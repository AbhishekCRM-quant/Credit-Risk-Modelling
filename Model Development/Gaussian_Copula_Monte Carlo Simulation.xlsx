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bhishek\CRM\Self\Basel\Vasicek\"/>
    </mc:Choice>
  </mc:AlternateContent>
  <xr:revisionPtr revIDLastSave="0" documentId="13_ncr:1_{DAFEE57C-2B28-4DD2-A5B1-79DE65C22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s" sheetId="2" r:id="rId1"/>
    <sheet name="MCS_Gaussian_Copula" sheetId="1" r:id="rId2"/>
  </sheets>
  <definedNames>
    <definedName name="_xlnm._FilterDatabase" localSheetId="1" hidden="1">MCS_Gaussian_Copula!$P$2:$U$1004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D6" i="1" s="1"/>
  <c r="G6" i="1" s="1"/>
  <c r="C6" i="1"/>
  <c r="E6" i="1" s="1"/>
  <c r="H6" i="1" s="1"/>
  <c r="B7" i="1"/>
  <c r="D7" i="1" s="1"/>
  <c r="G7" i="1" s="1"/>
  <c r="C7" i="1"/>
  <c r="E7" i="1" s="1"/>
  <c r="H7" i="1" s="1"/>
  <c r="B8" i="1"/>
  <c r="D8" i="1" s="1"/>
  <c r="G8" i="1" s="1"/>
  <c r="C8" i="1"/>
  <c r="E8" i="1" s="1"/>
  <c r="H8" i="1" s="1"/>
  <c r="B9" i="1"/>
  <c r="D9" i="1" s="1"/>
  <c r="G9" i="1" s="1"/>
  <c r="C9" i="1"/>
  <c r="E9" i="1" s="1"/>
  <c r="H9" i="1" s="1"/>
  <c r="B10" i="1"/>
  <c r="D10" i="1" s="1"/>
  <c r="G10" i="1" s="1"/>
  <c r="C10" i="1"/>
  <c r="E10" i="1" s="1"/>
  <c r="H10" i="1" s="1"/>
  <c r="B11" i="1"/>
  <c r="D11" i="1" s="1"/>
  <c r="G11" i="1" s="1"/>
  <c r="C11" i="1"/>
  <c r="E11" i="1" s="1"/>
  <c r="H11" i="1" s="1"/>
  <c r="B12" i="1"/>
  <c r="D12" i="1" s="1"/>
  <c r="G12" i="1" s="1"/>
  <c r="C12" i="1"/>
  <c r="E12" i="1" s="1"/>
  <c r="H12" i="1" s="1"/>
  <c r="B13" i="1"/>
  <c r="D13" i="1" s="1"/>
  <c r="G13" i="1" s="1"/>
  <c r="C13" i="1"/>
  <c r="E13" i="1" s="1"/>
  <c r="H13" i="1" s="1"/>
  <c r="B14" i="1"/>
  <c r="D14" i="1" s="1"/>
  <c r="G14" i="1" s="1"/>
  <c r="C14" i="1"/>
  <c r="E14" i="1" s="1"/>
  <c r="H14" i="1" s="1"/>
  <c r="B15" i="1"/>
  <c r="D15" i="1" s="1"/>
  <c r="G15" i="1" s="1"/>
  <c r="C15" i="1"/>
  <c r="B16" i="1"/>
  <c r="D16" i="1" s="1"/>
  <c r="G16" i="1" s="1"/>
  <c r="C16" i="1"/>
  <c r="E16" i="1" s="1"/>
  <c r="H16" i="1" s="1"/>
  <c r="B17" i="1"/>
  <c r="D17" i="1" s="1"/>
  <c r="G17" i="1" s="1"/>
  <c r="C17" i="1"/>
  <c r="E17" i="1" s="1"/>
  <c r="H17" i="1" s="1"/>
  <c r="B18" i="1"/>
  <c r="D18" i="1" s="1"/>
  <c r="G18" i="1" s="1"/>
  <c r="C18" i="1"/>
  <c r="E18" i="1" s="1"/>
  <c r="H18" i="1" s="1"/>
  <c r="B19" i="1"/>
  <c r="D19" i="1" s="1"/>
  <c r="G19" i="1" s="1"/>
  <c r="C19" i="1"/>
  <c r="E19" i="1" s="1"/>
  <c r="H19" i="1" s="1"/>
  <c r="B20" i="1"/>
  <c r="D20" i="1" s="1"/>
  <c r="G20" i="1" s="1"/>
  <c r="C20" i="1"/>
  <c r="E20" i="1" s="1"/>
  <c r="H20" i="1" s="1"/>
  <c r="B21" i="1"/>
  <c r="D21" i="1" s="1"/>
  <c r="G21" i="1" s="1"/>
  <c r="C21" i="1"/>
  <c r="E21" i="1" s="1"/>
  <c r="H21" i="1" s="1"/>
  <c r="B22" i="1"/>
  <c r="D22" i="1" s="1"/>
  <c r="G22" i="1" s="1"/>
  <c r="C22" i="1"/>
  <c r="E22" i="1" s="1"/>
  <c r="H22" i="1" s="1"/>
  <c r="B23" i="1"/>
  <c r="D23" i="1" s="1"/>
  <c r="G23" i="1" s="1"/>
  <c r="C23" i="1"/>
  <c r="E23" i="1" s="1"/>
  <c r="H23" i="1" s="1"/>
  <c r="B24" i="1"/>
  <c r="D24" i="1" s="1"/>
  <c r="G24" i="1" s="1"/>
  <c r="C24" i="1"/>
  <c r="E24" i="1" s="1"/>
  <c r="H24" i="1" s="1"/>
  <c r="B25" i="1"/>
  <c r="D25" i="1" s="1"/>
  <c r="G25" i="1" s="1"/>
  <c r="C25" i="1"/>
  <c r="E25" i="1" s="1"/>
  <c r="H25" i="1" s="1"/>
  <c r="B26" i="1"/>
  <c r="D26" i="1" s="1"/>
  <c r="G26" i="1" s="1"/>
  <c r="C26" i="1"/>
  <c r="E26" i="1" s="1"/>
  <c r="H26" i="1" s="1"/>
  <c r="B27" i="1"/>
  <c r="D27" i="1" s="1"/>
  <c r="G27" i="1" s="1"/>
  <c r="C27" i="1"/>
  <c r="E27" i="1" s="1"/>
  <c r="H27" i="1" s="1"/>
  <c r="B28" i="1"/>
  <c r="D28" i="1" s="1"/>
  <c r="G28" i="1" s="1"/>
  <c r="C28" i="1"/>
  <c r="E28" i="1" s="1"/>
  <c r="H28" i="1" s="1"/>
  <c r="B29" i="1"/>
  <c r="D29" i="1" s="1"/>
  <c r="G29" i="1" s="1"/>
  <c r="C29" i="1"/>
  <c r="E29" i="1" s="1"/>
  <c r="H29" i="1" s="1"/>
  <c r="B30" i="1"/>
  <c r="D30" i="1" s="1"/>
  <c r="G30" i="1" s="1"/>
  <c r="C30" i="1"/>
  <c r="E30" i="1" s="1"/>
  <c r="H30" i="1" s="1"/>
  <c r="B31" i="1"/>
  <c r="D31" i="1" s="1"/>
  <c r="G31" i="1" s="1"/>
  <c r="C31" i="1"/>
  <c r="E31" i="1" s="1"/>
  <c r="H31" i="1" s="1"/>
  <c r="B32" i="1"/>
  <c r="D32" i="1" s="1"/>
  <c r="G32" i="1" s="1"/>
  <c r="C32" i="1"/>
  <c r="E32" i="1" s="1"/>
  <c r="H32" i="1" s="1"/>
  <c r="B33" i="1"/>
  <c r="D33" i="1" s="1"/>
  <c r="G33" i="1" s="1"/>
  <c r="C33" i="1"/>
  <c r="E33" i="1" s="1"/>
  <c r="H33" i="1" s="1"/>
  <c r="B34" i="1"/>
  <c r="D34" i="1" s="1"/>
  <c r="G34" i="1" s="1"/>
  <c r="C34" i="1"/>
  <c r="E34" i="1" s="1"/>
  <c r="H34" i="1" s="1"/>
  <c r="B35" i="1"/>
  <c r="D35" i="1" s="1"/>
  <c r="G35" i="1" s="1"/>
  <c r="C35" i="1"/>
  <c r="E35" i="1" s="1"/>
  <c r="H35" i="1" s="1"/>
  <c r="B36" i="1"/>
  <c r="D36" i="1" s="1"/>
  <c r="G36" i="1" s="1"/>
  <c r="C36" i="1"/>
  <c r="E36" i="1" s="1"/>
  <c r="H36" i="1" s="1"/>
  <c r="B37" i="1"/>
  <c r="D37" i="1" s="1"/>
  <c r="G37" i="1" s="1"/>
  <c r="C37" i="1"/>
  <c r="E37" i="1" s="1"/>
  <c r="H37" i="1" s="1"/>
  <c r="B38" i="1"/>
  <c r="D38" i="1" s="1"/>
  <c r="G38" i="1" s="1"/>
  <c r="C38" i="1"/>
  <c r="E38" i="1" s="1"/>
  <c r="H38" i="1" s="1"/>
  <c r="B39" i="1"/>
  <c r="D39" i="1" s="1"/>
  <c r="G39" i="1" s="1"/>
  <c r="C39" i="1"/>
  <c r="E39" i="1" s="1"/>
  <c r="H39" i="1" s="1"/>
  <c r="B40" i="1"/>
  <c r="D40" i="1" s="1"/>
  <c r="G40" i="1" s="1"/>
  <c r="C40" i="1"/>
  <c r="E40" i="1" s="1"/>
  <c r="B41" i="1"/>
  <c r="D41" i="1" s="1"/>
  <c r="G41" i="1" s="1"/>
  <c r="C41" i="1"/>
  <c r="E41" i="1" s="1"/>
  <c r="H41" i="1" s="1"/>
  <c r="B42" i="1"/>
  <c r="D42" i="1" s="1"/>
  <c r="G42" i="1" s="1"/>
  <c r="C42" i="1"/>
  <c r="E42" i="1" s="1"/>
  <c r="H42" i="1" s="1"/>
  <c r="B43" i="1"/>
  <c r="D43" i="1" s="1"/>
  <c r="G43" i="1" s="1"/>
  <c r="C43" i="1"/>
  <c r="E43" i="1" s="1"/>
  <c r="H43" i="1" s="1"/>
  <c r="B44" i="1"/>
  <c r="D44" i="1" s="1"/>
  <c r="G44" i="1" s="1"/>
  <c r="C44" i="1"/>
  <c r="E44" i="1" s="1"/>
  <c r="H44" i="1" s="1"/>
  <c r="B45" i="1"/>
  <c r="D45" i="1" s="1"/>
  <c r="G45" i="1" s="1"/>
  <c r="C45" i="1"/>
  <c r="E45" i="1" s="1"/>
  <c r="H45" i="1" s="1"/>
  <c r="B46" i="1"/>
  <c r="D46" i="1" s="1"/>
  <c r="G46" i="1" s="1"/>
  <c r="Q46" i="1" s="1"/>
  <c r="S46" i="1" s="1"/>
  <c r="C46" i="1"/>
  <c r="E46" i="1" s="1"/>
  <c r="H46" i="1" s="1"/>
  <c r="B47" i="1"/>
  <c r="D47" i="1" s="1"/>
  <c r="G47" i="1" s="1"/>
  <c r="C47" i="1"/>
  <c r="E47" i="1" s="1"/>
  <c r="H47" i="1" s="1"/>
  <c r="B48" i="1"/>
  <c r="D48" i="1" s="1"/>
  <c r="G48" i="1" s="1"/>
  <c r="C48" i="1"/>
  <c r="E48" i="1" s="1"/>
  <c r="H48" i="1" s="1"/>
  <c r="B49" i="1"/>
  <c r="D49" i="1" s="1"/>
  <c r="G49" i="1" s="1"/>
  <c r="C49" i="1"/>
  <c r="E49" i="1" s="1"/>
  <c r="H49" i="1" s="1"/>
  <c r="B50" i="1"/>
  <c r="D50" i="1" s="1"/>
  <c r="G50" i="1" s="1"/>
  <c r="C50" i="1"/>
  <c r="E50" i="1" s="1"/>
  <c r="H50" i="1" s="1"/>
  <c r="B51" i="1"/>
  <c r="D51" i="1" s="1"/>
  <c r="G51" i="1" s="1"/>
  <c r="C51" i="1"/>
  <c r="E51" i="1" s="1"/>
  <c r="H51" i="1" s="1"/>
  <c r="B52" i="1"/>
  <c r="D52" i="1" s="1"/>
  <c r="G52" i="1" s="1"/>
  <c r="C52" i="1"/>
  <c r="E52" i="1" s="1"/>
  <c r="H52" i="1" s="1"/>
  <c r="B53" i="1"/>
  <c r="D53" i="1" s="1"/>
  <c r="G53" i="1" s="1"/>
  <c r="C53" i="1"/>
  <c r="E53" i="1" s="1"/>
  <c r="H53" i="1" s="1"/>
  <c r="B54" i="1"/>
  <c r="D54" i="1" s="1"/>
  <c r="G54" i="1" s="1"/>
  <c r="C54" i="1"/>
  <c r="E54" i="1" s="1"/>
  <c r="H54" i="1" s="1"/>
  <c r="B55" i="1"/>
  <c r="D55" i="1" s="1"/>
  <c r="G55" i="1" s="1"/>
  <c r="C55" i="1"/>
  <c r="E55" i="1" s="1"/>
  <c r="H55" i="1" s="1"/>
  <c r="B56" i="1"/>
  <c r="D56" i="1" s="1"/>
  <c r="G56" i="1" s="1"/>
  <c r="C56" i="1"/>
  <c r="E56" i="1" s="1"/>
  <c r="H56" i="1" s="1"/>
  <c r="B57" i="1"/>
  <c r="D57" i="1" s="1"/>
  <c r="G57" i="1" s="1"/>
  <c r="C57" i="1"/>
  <c r="E57" i="1" s="1"/>
  <c r="H57" i="1" s="1"/>
  <c r="B58" i="1"/>
  <c r="D58" i="1" s="1"/>
  <c r="G58" i="1" s="1"/>
  <c r="C58" i="1"/>
  <c r="E58" i="1" s="1"/>
  <c r="B59" i="1"/>
  <c r="D59" i="1" s="1"/>
  <c r="G59" i="1" s="1"/>
  <c r="C59" i="1"/>
  <c r="E59" i="1" s="1"/>
  <c r="H59" i="1" s="1"/>
  <c r="B60" i="1"/>
  <c r="D60" i="1" s="1"/>
  <c r="G60" i="1" s="1"/>
  <c r="Q60" i="1" s="1"/>
  <c r="S60" i="1" s="1"/>
  <c r="C60" i="1"/>
  <c r="E60" i="1" s="1"/>
  <c r="H60" i="1" s="1"/>
  <c r="B61" i="1"/>
  <c r="D61" i="1" s="1"/>
  <c r="G61" i="1" s="1"/>
  <c r="C61" i="1"/>
  <c r="E61" i="1" s="1"/>
  <c r="H61" i="1" s="1"/>
  <c r="B62" i="1"/>
  <c r="D62" i="1" s="1"/>
  <c r="G62" i="1" s="1"/>
  <c r="C62" i="1"/>
  <c r="E62" i="1" s="1"/>
  <c r="H62" i="1" s="1"/>
  <c r="B63" i="1"/>
  <c r="D63" i="1" s="1"/>
  <c r="G63" i="1" s="1"/>
  <c r="C63" i="1"/>
  <c r="E63" i="1" s="1"/>
  <c r="H63" i="1" s="1"/>
  <c r="B64" i="1"/>
  <c r="D64" i="1" s="1"/>
  <c r="G64" i="1" s="1"/>
  <c r="C64" i="1"/>
  <c r="E64" i="1" s="1"/>
  <c r="H64" i="1" s="1"/>
  <c r="B65" i="1"/>
  <c r="D65" i="1" s="1"/>
  <c r="G65" i="1" s="1"/>
  <c r="C65" i="1"/>
  <c r="E65" i="1" s="1"/>
  <c r="H65" i="1" s="1"/>
  <c r="B66" i="1"/>
  <c r="D66" i="1" s="1"/>
  <c r="G66" i="1" s="1"/>
  <c r="C66" i="1"/>
  <c r="E66" i="1" s="1"/>
  <c r="H66" i="1" s="1"/>
  <c r="B67" i="1"/>
  <c r="D67" i="1" s="1"/>
  <c r="G67" i="1" s="1"/>
  <c r="C67" i="1"/>
  <c r="E67" i="1" s="1"/>
  <c r="H67" i="1" s="1"/>
  <c r="B68" i="1"/>
  <c r="D68" i="1" s="1"/>
  <c r="G68" i="1" s="1"/>
  <c r="C68" i="1"/>
  <c r="E68" i="1" s="1"/>
  <c r="H68" i="1" s="1"/>
  <c r="B69" i="1"/>
  <c r="D69" i="1" s="1"/>
  <c r="G69" i="1" s="1"/>
  <c r="C69" i="1"/>
  <c r="E69" i="1" s="1"/>
  <c r="H69" i="1" s="1"/>
  <c r="B70" i="1"/>
  <c r="D70" i="1" s="1"/>
  <c r="G70" i="1" s="1"/>
  <c r="C70" i="1"/>
  <c r="E70" i="1" s="1"/>
  <c r="H70" i="1" s="1"/>
  <c r="B71" i="1"/>
  <c r="D71" i="1" s="1"/>
  <c r="G71" i="1" s="1"/>
  <c r="C71" i="1"/>
  <c r="E71" i="1" s="1"/>
  <c r="H71" i="1" s="1"/>
  <c r="B72" i="1"/>
  <c r="D72" i="1" s="1"/>
  <c r="G72" i="1" s="1"/>
  <c r="Q72" i="1" s="1"/>
  <c r="S72" i="1" s="1"/>
  <c r="C72" i="1"/>
  <c r="E72" i="1" s="1"/>
  <c r="H72" i="1" s="1"/>
  <c r="B73" i="1"/>
  <c r="D73" i="1" s="1"/>
  <c r="G73" i="1" s="1"/>
  <c r="C73" i="1"/>
  <c r="E73" i="1" s="1"/>
  <c r="H73" i="1" s="1"/>
  <c r="B74" i="1"/>
  <c r="D74" i="1" s="1"/>
  <c r="G74" i="1" s="1"/>
  <c r="C74" i="1"/>
  <c r="E74" i="1" s="1"/>
  <c r="H74" i="1" s="1"/>
  <c r="B75" i="1"/>
  <c r="D75" i="1" s="1"/>
  <c r="G75" i="1" s="1"/>
  <c r="C75" i="1"/>
  <c r="E75" i="1" s="1"/>
  <c r="H75" i="1" s="1"/>
  <c r="R75" i="1" s="1"/>
  <c r="T75" i="1" s="1"/>
  <c r="B76" i="1"/>
  <c r="D76" i="1" s="1"/>
  <c r="G76" i="1" s="1"/>
  <c r="C76" i="1"/>
  <c r="E76" i="1" s="1"/>
  <c r="H76" i="1" s="1"/>
  <c r="B77" i="1"/>
  <c r="D77" i="1" s="1"/>
  <c r="G77" i="1" s="1"/>
  <c r="C77" i="1"/>
  <c r="E77" i="1" s="1"/>
  <c r="H77" i="1" s="1"/>
  <c r="B78" i="1"/>
  <c r="D78" i="1" s="1"/>
  <c r="G78" i="1" s="1"/>
  <c r="C78" i="1"/>
  <c r="E78" i="1" s="1"/>
  <c r="H78" i="1" s="1"/>
  <c r="B79" i="1"/>
  <c r="D79" i="1" s="1"/>
  <c r="G79" i="1" s="1"/>
  <c r="C79" i="1"/>
  <c r="E79" i="1" s="1"/>
  <c r="H79" i="1" s="1"/>
  <c r="B80" i="1"/>
  <c r="D80" i="1" s="1"/>
  <c r="G80" i="1" s="1"/>
  <c r="C80" i="1"/>
  <c r="E80" i="1" s="1"/>
  <c r="H80" i="1" s="1"/>
  <c r="B81" i="1"/>
  <c r="D81" i="1" s="1"/>
  <c r="G81" i="1" s="1"/>
  <c r="C81" i="1"/>
  <c r="E81" i="1" s="1"/>
  <c r="H81" i="1" s="1"/>
  <c r="B82" i="1"/>
  <c r="D82" i="1" s="1"/>
  <c r="G82" i="1" s="1"/>
  <c r="C82" i="1"/>
  <c r="E82" i="1" s="1"/>
  <c r="H82" i="1" s="1"/>
  <c r="B83" i="1"/>
  <c r="D83" i="1" s="1"/>
  <c r="G83" i="1" s="1"/>
  <c r="C83" i="1"/>
  <c r="E83" i="1" s="1"/>
  <c r="H83" i="1" s="1"/>
  <c r="B84" i="1"/>
  <c r="D84" i="1" s="1"/>
  <c r="G84" i="1" s="1"/>
  <c r="C84" i="1"/>
  <c r="E84" i="1" s="1"/>
  <c r="H84" i="1" s="1"/>
  <c r="B85" i="1"/>
  <c r="D85" i="1" s="1"/>
  <c r="G85" i="1" s="1"/>
  <c r="C85" i="1"/>
  <c r="E85" i="1" s="1"/>
  <c r="H85" i="1" s="1"/>
  <c r="B86" i="1"/>
  <c r="D86" i="1" s="1"/>
  <c r="G86" i="1" s="1"/>
  <c r="C86" i="1"/>
  <c r="E86" i="1" s="1"/>
  <c r="H86" i="1" s="1"/>
  <c r="B87" i="1"/>
  <c r="D87" i="1" s="1"/>
  <c r="G87" i="1" s="1"/>
  <c r="C87" i="1"/>
  <c r="E87" i="1" s="1"/>
  <c r="H87" i="1" s="1"/>
  <c r="B88" i="1"/>
  <c r="D88" i="1" s="1"/>
  <c r="G88" i="1" s="1"/>
  <c r="C88" i="1"/>
  <c r="E88" i="1" s="1"/>
  <c r="B89" i="1"/>
  <c r="D89" i="1" s="1"/>
  <c r="G89" i="1" s="1"/>
  <c r="C89" i="1"/>
  <c r="E89" i="1" s="1"/>
  <c r="H89" i="1" s="1"/>
  <c r="B90" i="1"/>
  <c r="D90" i="1" s="1"/>
  <c r="G90" i="1" s="1"/>
  <c r="C90" i="1"/>
  <c r="E90" i="1" s="1"/>
  <c r="H90" i="1" s="1"/>
  <c r="B91" i="1"/>
  <c r="D91" i="1" s="1"/>
  <c r="G91" i="1" s="1"/>
  <c r="C91" i="1"/>
  <c r="E91" i="1" s="1"/>
  <c r="H91" i="1" s="1"/>
  <c r="B92" i="1"/>
  <c r="D92" i="1" s="1"/>
  <c r="G92" i="1" s="1"/>
  <c r="C92" i="1"/>
  <c r="E92" i="1" s="1"/>
  <c r="H92" i="1" s="1"/>
  <c r="B93" i="1"/>
  <c r="D93" i="1" s="1"/>
  <c r="G93" i="1" s="1"/>
  <c r="C93" i="1"/>
  <c r="E93" i="1" s="1"/>
  <c r="H93" i="1" s="1"/>
  <c r="B94" i="1"/>
  <c r="D94" i="1" s="1"/>
  <c r="G94" i="1" s="1"/>
  <c r="C94" i="1"/>
  <c r="E94" i="1" s="1"/>
  <c r="H94" i="1" s="1"/>
  <c r="B95" i="1"/>
  <c r="D95" i="1" s="1"/>
  <c r="G95" i="1" s="1"/>
  <c r="C95" i="1"/>
  <c r="E95" i="1" s="1"/>
  <c r="H95" i="1" s="1"/>
  <c r="B96" i="1"/>
  <c r="D96" i="1" s="1"/>
  <c r="G96" i="1" s="1"/>
  <c r="Q96" i="1" s="1"/>
  <c r="S96" i="1" s="1"/>
  <c r="C96" i="1"/>
  <c r="E96" i="1" s="1"/>
  <c r="H96" i="1" s="1"/>
  <c r="B97" i="1"/>
  <c r="D97" i="1" s="1"/>
  <c r="G97" i="1" s="1"/>
  <c r="C97" i="1"/>
  <c r="E97" i="1" s="1"/>
  <c r="H97" i="1" s="1"/>
  <c r="B98" i="1"/>
  <c r="D98" i="1" s="1"/>
  <c r="G98" i="1" s="1"/>
  <c r="C98" i="1"/>
  <c r="E98" i="1" s="1"/>
  <c r="H98" i="1" s="1"/>
  <c r="B99" i="1"/>
  <c r="D99" i="1" s="1"/>
  <c r="G99" i="1" s="1"/>
  <c r="C99" i="1"/>
  <c r="E99" i="1" s="1"/>
  <c r="H99" i="1" s="1"/>
  <c r="R99" i="1" s="1"/>
  <c r="T99" i="1" s="1"/>
  <c r="B100" i="1"/>
  <c r="D100" i="1" s="1"/>
  <c r="G100" i="1" s="1"/>
  <c r="Q100" i="1" s="1"/>
  <c r="S100" i="1" s="1"/>
  <c r="C100" i="1"/>
  <c r="E100" i="1" s="1"/>
  <c r="H100" i="1" s="1"/>
  <c r="B101" i="1"/>
  <c r="D101" i="1" s="1"/>
  <c r="G101" i="1" s="1"/>
  <c r="C101" i="1"/>
  <c r="E101" i="1" s="1"/>
  <c r="H101" i="1" s="1"/>
  <c r="B102" i="1"/>
  <c r="D102" i="1" s="1"/>
  <c r="G102" i="1" s="1"/>
  <c r="C102" i="1"/>
  <c r="E102" i="1" s="1"/>
  <c r="H102" i="1" s="1"/>
  <c r="B103" i="1"/>
  <c r="D103" i="1" s="1"/>
  <c r="G103" i="1" s="1"/>
  <c r="C103" i="1"/>
  <c r="E103" i="1" s="1"/>
  <c r="H103" i="1" s="1"/>
  <c r="B104" i="1"/>
  <c r="D104" i="1" s="1"/>
  <c r="G104" i="1" s="1"/>
  <c r="C104" i="1"/>
  <c r="E104" i="1" s="1"/>
  <c r="H104" i="1" s="1"/>
  <c r="B105" i="1"/>
  <c r="D105" i="1" s="1"/>
  <c r="G105" i="1" s="1"/>
  <c r="C105" i="1"/>
  <c r="E105" i="1" s="1"/>
  <c r="H105" i="1" s="1"/>
  <c r="B106" i="1"/>
  <c r="D106" i="1" s="1"/>
  <c r="G106" i="1" s="1"/>
  <c r="C106" i="1"/>
  <c r="E106" i="1" s="1"/>
  <c r="B107" i="1"/>
  <c r="D107" i="1" s="1"/>
  <c r="G107" i="1" s="1"/>
  <c r="Q107" i="1" s="1"/>
  <c r="S107" i="1" s="1"/>
  <c r="C107" i="1"/>
  <c r="E107" i="1" s="1"/>
  <c r="H107" i="1" s="1"/>
  <c r="B108" i="1"/>
  <c r="D108" i="1" s="1"/>
  <c r="G108" i="1" s="1"/>
  <c r="C108" i="1"/>
  <c r="E108" i="1" s="1"/>
  <c r="H108" i="1" s="1"/>
  <c r="B109" i="1"/>
  <c r="D109" i="1" s="1"/>
  <c r="G109" i="1" s="1"/>
  <c r="C109" i="1"/>
  <c r="E109" i="1" s="1"/>
  <c r="H109" i="1" s="1"/>
  <c r="B110" i="1"/>
  <c r="D110" i="1" s="1"/>
  <c r="G110" i="1" s="1"/>
  <c r="C110" i="1"/>
  <c r="E110" i="1" s="1"/>
  <c r="H110" i="1" s="1"/>
  <c r="B111" i="1"/>
  <c r="D111" i="1" s="1"/>
  <c r="G111" i="1" s="1"/>
  <c r="C111" i="1"/>
  <c r="E111" i="1" s="1"/>
  <c r="H111" i="1" s="1"/>
  <c r="B112" i="1"/>
  <c r="D112" i="1" s="1"/>
  <c r="G112" i="1" s="1"/>
  <c r="C112" i="1"/>
  <c r="E112" i="1" s="1"/>
  <c r="H112" i="1" s="1"/>
  <c r="B113" i="1"/>
  <c r="D113" i="1" s="1"/>
  <c r="G113" i="1" s="1"/>
  <c r="C113" i="1"/>
  <c r="E113" i="1" s="1"/>
  <c r="H113" i="1" s="1"/>
  <c r="B114" i="1"/>
  <c r="D114" i="1" s="1"/>
  <c r="G114" i="1" s="1"/>
  <c r="C114" i="1"/>
  <c r="E114" i="1" s="1"/>
  <c r="H114" i="1" s="1"/>
  <c r="B115" i="1"/>
  <c r="D115" i="1" s="1"/>
  <c r="G115" i="1" s="1"/>
  <c r="C115" i="1"/>
  <c r="E115" i="1" s="1"/>
  <c r="H115" i="1" s="1"/>
  <c r="B116" i="1"/>
  <c r="D116" i="1" s="1"/>
  <c r="G116" i="1" s="1"/>
  <c r="C116" i="1"/>
  <c r="E116" i="1" s="1"/>
  <c r="H116" i="1" s="1"/>
  <c r="B117" i="1"/>
  <c r="D117" i="1" s="1"/>
  <c r="G117" i="1" s="1"/>
  <c r="C117" i="1"/>
  <c r="E117" i="1" s="1"/>
  <c r="H117" i="1" s="1"/>
  <c r="B118" i="1"/>
  <c r="D118" i="1" s="1"/>
  <c r="G118" i="1" s="1"/>
  <c r="C118" i="1"/>
  <c r="E118" i="1" s="1"/>
  <c r="H118" i="1" s="1"/>
  <c r="B119" i="1"/>
  <c r="D119" i="1" s="1"/>
  <c r="G119" i="1" s="1"/>
  <c r="C119" i="1"/>
  <c r="E119" i="1" s="1"/>
  <c r="H119" i="1" s="1"/>
  <c r="B120" i="1"/>
  <c r="D120" i="1" s="1"/>
  <c r="G120" i="1" s="1"/>
  <c r="C120" i="1"/>
  <c r="E120" i="1" s="1"/>
  <c r="H120" i="1" s="1"/>
  <c r="B121" i="1"/>
  <c r="D121" i="1" s="1"/>
  <c r="G121" i="1" s="1"/>
  <c r="C121" i="1"/>
  <c r="E121" i="1" s="1"/>
  <c r="H121" i="1" s="1"/>
  <c r="B122" i="1"/>
  <c r="D122" i="1" s="1"/>
  <c r="G122" i="1" s="1"/>
  <c r="C122" i="1"/>
  <c r="E122" i="1" s="1"/>
  <c r="H122" i="1" s="1"/>
  <c r="B123" i="1"/>
  <c r="D123" i="1" s="1"/>
  <c r="G123" i="1" s="1"/>
  <c r="C123" i="1"/>
  <c r="E123" i="1" s="1"/>
  <c r="H123" i="1" s="1"/>
  <c r="B124" i="1"/>
  <c r="D124" i="1" s="1"/>
  <c r="G124" i="1" s="1"/>
  <c r="C124" i="1"/>
  <c r="E124" i="1" s="1"/>
  <c r="H124" i="1" s="1"/>
  <c r="B125" i="1"/>
  <c r="D125" i="1" s="1"/>
  <c r="G125" i="1" s="1"/>
  <c r="C125" i="1"/>
  <c r="E125" i="1" s="1"/>
  <c r="H125" i="1" s="1"/>
  <c r="B126" i="1"/>
  <c r="D126" i="1" s="1"/>
  <c r="G126" i="1" s="1"/>
  <c r="C126" i="1"/>
  <c r="E126" i="1" s="1"/>
  <c r="H126" i="1" s="1"/>
  <c r="B127" i="1"/>
  <c r="D127" i="1" s="1"/>
  <c r="G127" i="1" s="1"/>
  <c r="C127" i="1"/>
  <c r="E127" i="1" s="1"/>
  <c r="H127" i="1" s="1"/>
  <c r="B128" i="1"/>
  <c r="D128" i="1" s="1"/>
  <c r="G128" i="1" s="1"/>
  <c r="C128" i="1"/>
  <c r="E128" i="1" s="1"/>
  <c r="H128" i="1" s="1"/>
  <c r="B129" i="1"/>
  <c r="D129" i="1" s="1"/>
  <c r="G129" i="1" s="1"/>
  <c r="C129" i="1"/>
  <c r="E129" i="1" s="1"/>
  <c r="H129" i="1" s="1"/>
  <c r="B130" i="1"/>
  <c r="D130" i="1" s="1"/>
  <c r="G130" i="1" s="1"/>
  <c r="C130" i="1"/>
  <c r="E130" i="1" s="1"/>
  <c r="H130" i="1" s="1"/>
  <c r="B131" i="1"/>
  <c r="D131" i="1" s="1"/>
  <c r="G131" i="1" s="1"/>
  <c r="C131" i="1"/>
  <c r="E131" i="1" s="1"/>
  <c r="H131" i="1" s="1"/>
  <c r="B132" i="1"/>
  <c r="D132" i="1" s="1"/>
  <c r="G132" i="1" s="1"/>
  <c r="Q132" i="1" s="1"/>
  <c r="S132" i="1" s="1"/>
  <c r="C132" i="1"/>
  <c r="E132" i="1" s="1"/>
  <c r="H132" i="1" s="1"/>
  <c r="B133" i="1"/>
  <c r="D133" i="1" s="1"/>
  <c r="G133" i="1" s="1"/>
  <c r="C133" i="1"/>
  <c r="E133" i="1" s="1"/>
  <c r="H133" i="1" s="1"/>
  <c r="B134" i="1"/>
  <c r="D134" i="1" s="1"/>
  <c r="G134" i="1" s="1"/>
  <c r="C134" i="1"/>
  <c r="E134" i="1" s="1"/>
  <c r="H134" i="1" s="1"/>
  <c r="B135" i="1"/>
  <c r="D135" i="1" s="1"/>
  <c r="G135" i="1" s="1"/>
  <c r="C135" i="1"/>
  <c r="E135" i="1" s="1"/>
  <c r="H135" i="1" s="1"/>
  <c r="B136" i="1"/>
  <c r="D136" i="1" s="1"/>
  <c r="G136" i="1" s="1"/>
  <c r="C136" i="1"/>
  <c r="E136" i="1" s="1"/>
  <c r="B137" i="1"/>
  <c r="D137" i="1" s="1"/>
  <c r="G137" i="1" s="1"/>
  <c r="C137" i="1"/>
  <c r="E137" i="1" s="1"/>
  <c r="H137" i="1" s="1"/>
  <c r="B138" i="1"/>
  <c r="D138" i="1" s="1"/>
  <c r="G138" i="1" s="1"/>
  <c r="C138" i="1"/>
  <c r="E138" i="1" s="1"/>
  <c r="H138" i="1" s="1"/>
  <c r="B139" i="1"/>
  <c r="D139" i="1" s="1"/>
  <c r="G139" i="1" s="1"/>
  <c r="C139" i="1"/>
  <c r="E139" i="1" s="1"/>
  <c r="H139" i="1" s="1"/>
  <c r="B140" i="1"/>
  <c r="D140" i="1" s="1"/>
  <c r="G140" i="1" s="1"/>
  <c r="C140" i="1"/>
  <c r="E140" i="1" s="1"/>
  <c r="H140" i="1" s="1"/>
  <c r="B141" i="1"/>
  <c r="D141" i="1" s="1"/>
  <c r="G141" i="1" s="1"/>
  <c r="C141" i="1"/>
  <c r="E141" i="1" s="1"/>
  <c r="H141" i="1" s="1"/>
  <c r="B142" i="1"/>
  <c r="D142" i="1" s="1"/>
  <c r="G142" i="1" s="1"/>
  <c r="C142" i="1"/>
  <c r="E142" i="1" s="1"/>
  <c r="H142" i="1" s="1"/>
  <c r="B143" i="1"/>
  <c r="D143" i="1" s="1"/>
  <c r="G143" i="1" s="1"/>
  <c r="C143" i="1"/>
  <c r="E143" i="1" s="1"/>
  <c r="H143" i="1" s="1"/>
  <c r="B144" i="1"/>
  <c r="D144" i="1" s="1"/>
  <c r="G144" i="1" s="1"/>
  <c r="C144" i="1"/>
  <c r="E144" i="1" s="1"/>
  <c r="H144" i="1" s="1"/>
  <c r="B145" i="1"/>
  <c r="D145" i="1" s="1"/>
  <c r="G145" i="1" s="1"/>
  <c r="C145" i="1"/>
  <c r="E145" i="1" s="1"/>
  <c r="H145" i="1" s="1"/>
  <c r="B146" i="1"/>
  <c r="D146" i="1" s="1"/>
  <c r="G146" i="1" s="1"/>
  <c r="C146" i="1"/>
  <c r="E146" i="1" s="1"/>
  <c r="H146" i="1" s="1"/>
  <c r="B147" i="1"/>
  <c r="D147" i="1" s="1"/>
  <c r="G147" i="1" s="1"/>
  <c r="C147" i="1"/>
  <c r="E147" i="1" s="1"/>
  <c r="H147" i="1" s="1"/>
  <c r="B148" i="1"/>
  <c r="D148" i="1" s="1"/>
  <c r="G148" i="1" s="1"/>
  <c r="C148" i="1"/>
  <c r="E148" i="1" s="1"/>
  <c r="H148" i="1" s="1"/>
  <c r="B149" i="1"/>
  <c r="D149" i="1" s="1"/>
  <c r="G149" i="1" s="1"/>
  <c r="C149" i="1"/>
  <c r="E149" i="1" s="1"/>
  <c r="H149" i="1" s="1"/>
  <c r="B150" i="1"/>
  <c r="D150" i="1" s="1"/>
  <c r="G150" i="1" s="1"/>
  <c r="C150" i="1"/>
  <c r="E150" i="1" s="1"/>
  <c r="H150" i="1" s="1"/>
  <c r="B151" i="1"/>
  <c r="D151" i="1" s="1"/>
  <c r="G151" i="1" s="1"/>
  <c r="C151" i="1"/>
  <c r="E151" i="1" s="1"/>
  <c r="H151" i="1" s="1"/>
  <c r="B152" i="1"/>
  <c r="D152" i="1" s="1"/>
  <c r="G152" i="1" s="1"/>
  <c r="C152" i="1"/>
  <c r="E152" i="1" s="1"/>
  <c r="H152" i="1" s="1"/>
  <c r="B153" i="1"/>
  <c r="D153" i="1" s="1"/>
  <c r="G153" i="1" s="1"/>
  <c r="C153" i="1"/>
  <c r="E153" i="1" s="1"/>
  <c r="H153" i="1" s="1"/>
  <c r="B154" i="1"/>
  <c r="D154" i="1" s="1"/>
  <c r="G154" i="1" s="1"/>
  <c r="C154" i="1"/>
  <c r="E154" i="1" s="1"/>
  <c r="B155" i="1"/>
  <c r="D155" i="1" s="1"/>
  <c r="G155" i="1" s="1"/>
  <c r="C155" i="1"/>
  <c r="E155" i="1" s="1"/>
  <c r="H155" i="1" s="1"/>
  <c r="B156" i="1"/>
  <c r="D156" i="1" s="1"/>
  <c r="G156" i="1" s="1"/>
  <c r="Q156" i="1" s="1"/>
  <c r="S156" i="1" s="1"/>
  <c r="C156" i="1"/>
  <c r="E156" i="1" s="1"/>
  <c r="H156" i="1" s="1"/>
  <c r="B157" i="1"/>
  <c r="D157" i="1" s="1"/>
  <c r="G157" i="1" s="1"/>
  <c r="C157" i="1"/>
  <c r="E157" i="1" s="1"/>
  <c r="H157" i="1" s="1"/>
  <c r="B158" i="1"/>
  <c r="D158" i="1" s="1"/>
  <c r="G158" i="1" s="1"/>
  <c r="C158" i="1"/>
  <c r="E158" i="1" s="1"/>
  <c r="H158" i="1" s="1"/>
  <c r="B159" i="1"/>
  <c r="D159" i="1" s="1"/>
  <c r="G159" i="1" s="1"/>
  <c r="C159" i="1"/>
  <c r="E159" i="1" s="1"/>
  <c r="H159" i="1" s="1"/>
  <c r="R159" i="1" s="1"/>
  <c r="T159" i="1" s="1"/>
  <c r="B160" i="1"/>
  <c r="D160" i="1" s="1"/>
  <c r="G160" i="1" s="1"/>
  <c r="C160" i="1"/>
  <c r="E160" i="1" s="1"/>
  <c r="H160" i="1" s="1"/>
  <c r="B161" i="1"/>
  <c r="D161" i="1" s="1"/>
  <c r="G161" i="1" s="1"/>
  <c r="C161" i="1"/>
  <c r="E161" i="1" s="1"/>
  <c r="H161" i="1" s="1"/>
  <c r="B162" i="1"/>
  <c r="D162" i="1" s="1"/>
  <c r="G162" i="1" s="1"/>
  <c r="C162" i="1"/>
  <c r="E162" i="1" s="1"/>
  <c r="H162" i="1" s="1"/>
  <c r="B163" i="1"/>
  <c r="D163" i="1" s="1"/>
  <c r="G163" i="1" s="1"/>
  <c r="C163" i="1"/>
  <c r="E163" i="1" s="1"/>
  <c r="H163" i="1" s="1"/>
  <c r="B164" i="1"/>
  <c r="D164" i="1" s="1"/>
  <c r="G164" i="1" s="1"/>
  <c r="C164" i="1"/>
  <c r="E164" i="1" s="1"/>
  <c r="H164" i="1" s="1"/>
  <c r="B165" i="1"/>
  <c r="D165" i="1" s="1"/>
  <c r="G165" i="1" s="1"/>
  <c r="C165" i="1"/>
  <c r="E165" i="1" s="1"/>
  <c r="H165" i="1" s="1"/>
  <c r="B166" i="1"/>
  <c r="D166" i="1" s="1"/>
  <c r="G166" i="1" s="1"/>
  <c r="C166" i="1"/>
  <c r="E166" i="1" s="1"/>
  <c r="H166" i="1" s="1"/>
  <c r="B167" i="1"/>
  <c r="D167" i="1" s="1"/>
  <c r="G167" i="1" s="1"/>
  <c r="C167" i="1"/>
  <c r="E167" i="1" s="1"/>
  <c r="H167" i="1" s="1"/>
  <c r="B168" i="1"/>
  <c r="D168" i="1" s="1"/>
  <c r="G168" i="1" s="1"/>
  <c r="C168" i="1"/>
  <c r="E168" i="1" s="1"/>
  <c r="H168" i="1" s="1"/>
  <c r="B169" i="1"/>
  <c r="D169" i="1" s="1"/>
  <c r="G169" i="1" s="1"/>
  <c r="C169" i="1"/>
  <c r="E169" i="1" s="1"/>
  <c r="H169" i="1" s="1"/>
  <c r="B170" i="1"/>
  <c r="D170" i="1" s="1"/>
  <c r="G170" i="1" s="1"/>
  <c r="C170" i="1"/>
  <c r="E170" i="1" s="1"/>
  <c r="H170" i="1" s="1"/>
  <c r="B171" i="1"/>
  <c r="D171" i="1" s="1"/>
  <c r="G171" i="1" s="1"/>
  <c r="C171" i="1"/>
  <c r="E171" i="1" s="1"/>
  <c r="H171" i="1" s="1"/>
  <c r="B172" i="1"/>
  <c r="D172" i="1" s="1"/>
  <c r="G172" i="1" s="1"/>
  <c r="C172" i="1"/>
  <c r="E172" i="1" s="1"/>
  <c r="H172" i="1" s="1"/>
  <c r="B173" i="1"/>
  <c r="D173" i="1" s="1"/>
  <c r="G173" i="1" s="1"/>
  <c r="C173" i="1"/>
  <c r="E173" i="1" s="1"/>
  <c r="H173" i="1" s="1"/>
  <c r="B174" i="1"/>
  <c r="D174" i="1" s="1"/>
  <c r="G174" i="1" s="1"/>
  <c r="C174" i="1"/>
  <c r="E174" i="1" s="1"/>
  <c r="H174" i="1" s="1"/>
  <c r="B175" i="1"/>
  <c r="D175" i="1" s="1"/>
  <c r="G175" i="1" s="1"/>
  <c r="C175" i="1"/>
  <c r="E175" i="1" s="1"/>
  <c r="H175" i="1" s="1"/>
  <c r="B176" i="1"/>
  <c r="D176" i="1" s="1"/>
  <c r="G176" i="1" s="1"/>
  <c r="C176" i="1"/>
  <c r="E176" i="1" s="1"/>
  <c r="H176" i="1" s="1"/>
  <c r="B177" i="1"/>
  <c r="D177" i="1" s="1"/>
  <c r="G177" i="1" s="1"/>
  <c r="C177" i="1"/>
  <c r="E177" i="1" s="1"/>
  <c r="H177" i="1" s="1"/>
  <c r="B178" i="1"/>
  <c r="D178" i="1" s="1"/>
  <c r="G178" i="1" s="1"/>
  <c r="C178" i="1"/>
  <c r="E178" i="1" s="1"/>
  <c r="H178" i="1" s="1"/>
  <c r="B179" i="1"/>
  <c r="D179" i="1" s="1"/>
  <c r="G179" i="1" s="1"/>
  <c r="C179" i="1"/>
  <c r="E179" i="1" s="1"/>
  <c r="H179" i="1" s="1"/>
  <c r="B180" i="1"/>
  <c r="D180" i="1" s="1"/>
  <c r="G180" i="1" s="1"/>
  <c r="C180" i="1"/>
  <c r="E180" i="1" s="1"/>
  <c r="H180" i="1" s="1"/>
  <c r="B181" i="1"/>
  <c r="D181" i="1" s="1"/>
  <c r="G181" i="1" s="1"/>
  <c r="C181" i="1"/>
  <c r="E181" i="1" s="1"/>
  <c r="H181" i="1" s="1"/>
  <c r="B182" i="1"/>
  <c r="D182" i="1" s="1"/>
  <c r="G182" i="1" s="1"/>
  <c r="C182" i="1"/>
  <c r="E182" i="1" s="1"/>
  <c r="H182" i="1" s="1"/>
  <c r="B183" i="1"/>
  <c r="D183" i="1" s="1"/>
  <c r="G183" i="1" s="1"/>
  <c r="C183" i="1"/>
  <c r="E183" i="1" s="1"/>
  <c r="H183" i="1" s="1"/>
  <c r="R183" i="1" s="1"/>
  <c r="T183" i="1" s="1"/>
  <c r="B184" i="1"/>
  <c r="D184" i="1" s="1"/>
  <c r="G184" i="1" s="1"/>
  <c r="Q184" i="1" s="1"/>
  <c r="S184" i="1" s="1"/>
  <c r="C184" i="1"/>
  <c r="E184" i="1" s="1"/>
  <c r="B185" i="1"/>
  <c r="D185" i="1" s="1"/>
  <c r="G185" i="1" s="1"/>
  <c r="C185" i="1"/>
  <c r="E185" i="1" s="1"/>
  <c r="H185" i="1" s="1"/>
  <c r="B186" i="1"/>
  <c r="D186" i="1" s="1"/>
  <c r="G186" i="1" s="1"/>
  <c r="C186" i="1"/>
  <c r="E186" i="1" s="1"/>
  <c r="H186" i="1" s="1"/>
  <c r="B187" i="1"/>
  <c r="D187" i="1" s="1"/>
  <c r="G187" i="1" s="1"/>
  <c r="C187" i="1"/>
  <c r="E187" i="1" s="1"/>
  <c r="H187" i="1" s="1"/>
  <c r="B188" i="1"/>
  <c r="D188" i="1" s="1"/>
  <c r="G188" i="1" s="1"/>
  <c r="C188" i="1"/>
  <c r="E188" i="1" s="1"/>
  <c r="H188" i="1" s="1"/>
  <c r="B189" i="1"/>
  <c r="D189" i="1" s="1"/>
  <c r="G189" i="1" s="1"/>
  <c r="C189" i="1"/>
  <c r="E189" i="1" s="1"/>
  <c r="H189" i="1" s="1"/>
  <c r="B190" i="1"/>
  <c r="D190" i="1" s="1"/>
  <c r="G190" i="1" s="1"/>
  <c r="C190" i="1"/>
  <c r="E190" i="1" s="1"/>
  <c r="H190" i="1" s="1"/>
  <c r="B191" i="1"/>
  <c r="D191" i="1" s="1"/>
  <c r="G191" i="1" s="1"/>
  <c r="Q191" i="1" s="1"/>
  <c r="S191" i="1" s="1"/>
  <c r="C191" i="1"/>
  <c r="E191" i="1" s="1"/>
  <c r="H191" i="1" s="1"/>
  <c r="R191" i="1" s="1"/>
  <c r="T191" i="1" s="1"/>
  <c r="B192" i="1"/>
  <c r="D192" i="1" s="1"/>
  <c r="G192" i="1" s="1"/>
  <c r="C192" i="1"/>
  <c r="E192" i="1" s="1"/>
  <c r="H192" i="1" s="1"/>
  <c r="B193" i="1"/>
  <c r="D193" i="1" s="1"/>
  <c r="G193" i="1" s="1"/>
  <c r="C193" i="1"/>
  <c r="E193" i="1" s="1"/>
  <c r="H193" i="1" s="1"/>
  <c r="B194" i="1"/>
  <c r="D194" i="1" s="1"/>
  <c r="G194" i="1" s="1"/>
  <c r="C194" i="1"/>
  <c r="E194" i="1" s="1"/>
  <c r="H194" i="1" s="1"/>
  <c r="B195" i="1"/>
  <c r="D195" i="1" s="1"/>
  <c r="G195" i="1" s="1"/>
  <c r="C195" i="1"/>
  <c r="E195" i="1" s="1"/>
  <c r="H195" i="1" s="1"/>
  <c r="B196" i="1"/>
  <c r="D196" i="1" s="1"/>
  <c r="G196" i="1" s="1"/>
  <c r="C196" i="1"/>
  <c r="E196" i="1" s="1"/>
  <c r="H196" i="1" s="1"/>
  <c r="B197" i="1"/>
  <c r="D197" i="1" s="1"/>
  <c r="G197" i="1" s="1"/>
  <c r="C197" i="1"/>
  <c r="E197" i="1" s="1"/>
  <c r="H197" i="1" s="1"/>
  <c r="B198" i="1"/>
  <c r="D198" i="1" s="1"/>
  <c r="G198" i="1" s="1"/>
  <c r="C198" i="1"/>
  <c r="E198" i="1" s="1"/>
  <c r="H198" i="1" s="1"/>
  <c r="B199" i="1"/>
  <c r="D199" i="1" s="1"/>
  <c r="G199" i="1" s="1"/>
  <c r="C199" i="1"/>
  <c r="E199" i="1" s="1"/>
  <c r="H199" i="1" s="1"/>
  <c r="B200" i="1"/>
  <c r="D200" i="1" s="1"/>
  <c r="G200" i="1" s="1"/>
  <c r="C200" i="1"/>
  <c r="E200" i="1" s="1"/>
  <c r="H200" i="1" s="1"/>
  <c r="B201" i="1"/>
  <c r="D201" i="1" s="1"/>
  <c r="G201" i="1" s="1"/>
  <c r="C201" i="1"/>
  <c r="E201" i="1" s="1"/>
  <c r="H201" i="1" s="1"/>
  <c r="B202" i="1"/>
  <c r="D202" i="1" s="1"/>
  <c r="G202" i="1" s="1"/>
  <c r="C202" i="1"/>
  <c r="E202" i="1" s="1"/>
  <c r="B203" i="1"/>
  <c r="D203" i="1" s="1"/>
  <c r="G203" i="1" s="1"/>
  <c r="C203" i="1"/>
  <c r="E203" i="1" s="1"/>
  <c r="H203" i="1" s="1"/>
  <c r="B204" i="1"/>
  <c r="D204" i="1" s="1"/>
  <c r="G204" i="1" s="1"/>
  <c r="C204" i="1"/>
  <c r="E204" i="1" s="1"/>
  <c r="H204" i="1" s="1"/>
  <c r="B205" i="1"/>
  <c r="D205" i="1" s="1"/>
  <c r="G205" i="1" s="1"/>
  <c r="C205" i="1"/>
  <c r="E205" i="1" s="1"/>
  <c r="H205" i="1" s="1"/>
  <c r="B206" i="1"/>
  <c r="D206" i="1" s="1"/>
  <c r="G206" i="1" s="1"/>
  <c r="C206" i="1"/>
  <c r="E206" i="1" s="1"/>
  <c r="H206" i="1" s="1"/>
  <c r="B207" i="1"/>
  <c r="D207" i="1" s="1"/>
  <c r="G207" i="1" s="1"/>
  <c r="C207" i="1"/>
  <c r="E207" i="1" s="1"/>
  <c r="H207" i="1" s="1"/>
  <c r="B208" i="1"/>
  <c r="D208" i="1" s="1"/>
  <c r="G208" i="1" s="1"/>
  <c r="C208" i="1"/>
  <c r="E208" i="1" s="1"/>
  <c r="B209" i="1"/>
  <c r="D209" i="1" s="1"/>
  <c r="G209" i="1" s="1"/>
  <c r="C209" i="1"/>
  <c r="E209" i="1" s="1"/>
  <c r="H209" i="1" s="1"/>
  <c r="B210" i="1"/>
  <c r="D210" i="1" s="1"/>
  <c r="G210" i="1" s="1"/>
  <c r="C210" i="1"/>
  <c r="E210" i="1" s="1"/>
  <c r="H210" i="1" s="1"/>
  <c r="B211" i="1"/>
  <c r="D211" i="1" s="1"/>
  <c r="G211" i="1" s="1"/>
  <c r="C211" i="1"/>
  <c r="E211" i="1" s="1"/>
  <c r="H211" i="1" s="1"/>
  <c r="B212" i="1"/>
  <c r="D212" i="1" s="1"/>
  <c r="G212" i="1" s="1"/>
  <c r="C212" i="1"/>
  <c r="E212" i="1" s="1"/>
  <c r="H212" i="1" s="1"/>
  <c r="B213" i="1"/>
  <c r="D213" i="1" s="1"/>
  <c r="G213" i="1" s="1"/>
  <c r="C213" i="1"/>
  <c r="E213" i="1" s="1"/>
  <c r="H213" i="1" s="1"/>
  <c r="B214" i="1"/>
  <c r="D214" i="1" s="1"/>
  <c r="G214" i="1" s="1"/>
  <c r="C214" i="1"/>
  <c r="E214" i="1" s="1"/>
  <c r="H214" i="1" s="1"/>
  <c r="B215" i="1"/>
  <c r="D215" i="1" s="1"/>
  <c r="G215" i="1" s="1"/>
  <c r="C215" i="1"/>
  <c r="E215" i="1" s="1"/>
  <c r="H215" i="1" s="1"/>
  <c r="B216" i="1"/>
  <c r="D216" i="1" s="1"/>
  <c r="G216" i="1" s="1"/>
  <c r="Q216" i="1" s="1"/>
  <c r="S216" i="1" s="1"/>
  <c r="C216" i="1"/>
  <c r="E216" i="1" s="1"/>
  <c r="H216" i="1" s="1"/>
  <c r="B217" i="1"/>
  <c r="D217" i="1" s="1"/>
  <c r="G217" i="1" s="1"/>
  <c r="C217" i="1"/>
  <c r="E217" i="1" s="1"/>
  <c r="H217" i="1" s="1"/>
  <c r="B218" i="1"/>
  <c r="D218" i="1" s="1"/>
  <c r="G218" i="1" s="1"/>
  <c r="C218" i="1"/>
  <c r="E218" i="1" s="1"/>
  <c r="H218" i="1" s="1"/>
  <c r="B219" i="1"/>
  <c r="D219" i="1" s="1"/>
  <c r="G219" i="1" s="1"/>
  <c r="C219" i="1"/>
  <c r="E219" i="1" s="1"/>
  <c r="H219" i="1" s="1"/>
  <c r="R219" i="1" s="1"/>
  <c r="T219" i="1" s="1"/>
  <c r="B220" i="1"/>
  <c r="D220" i="1" s="1"/>
  <c r="G220" i="1" s="1"/>
  <c r="C220" i="1"/>
  <c r="E220" i="1" s="1"/>
  <c r="H220" i="1" s="1"/>
  <c r="B221" i="1"/>
  <c r="D221" i="1" s="1"/>
  <c r="G221" i="1" s="1"/>
  <c r="C221" i="1"/>
  <c r="E221" i="1" s="1"/>
  <c r="H221" i="1" s="1"/>
  <c r="B222" i="1"/>
  <c r="D222" i="1" s="1"/>
  <c r="G222" i="1" s="1"/>
  <c r="C222" i="1"/>
  <c r="E222" i="1" s="1"/>
  <c r="H222" i="1" s="1"/>
  <c r="B223" i="1"/>
  <c r="D223" i="1" s="1"/>
  <c r="G223" i="1" s="1"/>
  <c r="C223" i="1"/>
  <c r="E223" i="1" s="1"/>
  <c r="H223" i="1" s="1"/>
  <c r="B224" i="1"/>
  <c r="D224" i="1" s="1"/>
  <c r="G224" i="1" s="1"/>
  <c r="C224" i="1"/>
  <c r="E224" i="1" s="1"/>
  <c r="H224" i="1" s="1"/>
  <c r="B225" i="1"/>
  <c r="D225" i="1" s="1"/>
  <c r="G225" i="1" s="1"/>
  <c r="C225" i="1"/>
  <c r="E225" i="1" s="1"/>
  <c r="H225" i="1" s="1"/>
  <c r="B226" i="1"/>
  <c r="D226" i="1" s="1"/>
  <c r="G226" i="1" s="1"/>
  <c r="C226" i="1"/>
  <c r="E226" i="1" s="1"/>
  <c r="H226" i="1" s="1"/>
  <c r="B227" i="1"/>
  <c r="D227" i="1" s="1"/>
  <c r="G227" i="1" s="1"/>
  <c r="C227" i="1"/>
  <c r="E227" i="1" s="1"/>
  <c r="H227" i="1" s="1"/>
  <c r="B228" i="1"/>
  <c r="D228" i="1" s="1"/>
  <c r="G228" i="1" s="1"/>
  <c r="C228" i="1"/>
  <c r="E228" i="1" s="1"/>
  <c r="H228" i="1" s="1"/>
  <c r="B229" i="1"/>
  <c r="D229" i="1" s="1"/>
  <c r="G229" i="1" s="1"/>
  <c r="C229" i="1"/>
  <c r="E229" i="1" s="1"/>
  <c r="H229" i="1" s="1"/>
  <c r="B230" i="1"/>
  <c r="D230" i="1" s="1"/>
  <c r="G230" i="1" s="1"/>
  <c r="C230" i="1"/>
  <c r="E230" i="1" s="1"/>
  <c r="H230" i="1" s="1"/>
  <c r="B231" i="1"/>
  <c r="D231" i="1" s="1"/>
  <c r="G231" i="1" s="1"/>
  <c r="C231" i="1"/>
  <c r="E231" i="1" s="1"/>
  <c r="H231" i="1" s="1"/>
  <c r="B232" i="1"/>
  <c r="D232" i="1" s="1"/>
  <c r="G232" i="1" s="1"/>
  <c r="C232" i="1"/>
  <c r="E232" i="1" s="1"/>
  <c r="B233" i="1"/>
  <c r="D233" i="1" s="1"/>
  <c r="G233" i="1" s="1"/>
  <c r="C233" i="1"/>
  <c r="E233" i="1" s="1"/>
  <c r="H233" i="1" s="1"/>
  <c r="B234" i="1"/>
  <c r="D234" i="1" s="1"/>
  <c r="G234" i="1" s="1"/>
  <c r="C234" i="1"/>
  <c r="E234" i="1" s="1"/>
  <c r="H234" i="1" s="1"/>
  <c r="B235" i="1"/>
  <c r="D235" i="1" s="1"/>
  <c r="G235" i="1" s="1"/>
  <c r="C235" i="1"/>
  <c r="E235" i="1" s="1"/>
  <c r="H235" i="1" s="1"/>
  <c r="B236" i="1"/>
  <c r="D236" i="1" s="1"/>
  <c r="G236" i="1" s="1"/>
  <c r="C236" i="1"/>
  <c r="E236" i="1" s="1"/>
  <c r="H236" i="1" s="1"/>
  <c r="B237" i="1"/>
  <c r="D237" i="1" s="1"/>
  <c r="G237" i="1" s="1"/>
  <c r="C237" i="1"/>
  <c r="E237" i="1" s="1"/>
  <c r="H237" i="1" s="1"/>
  <c r="B238" i="1"/>
  <c r="D238" i="1" s="1"/>
  <c r="G238" i="1" s="1"/>
  <c r="C238" i="1"/>
  <c r="E238" i="1" s="1"/>
  <c r="H238" i="1" s="1"/>
  <c r="B239" i="1"/>
  <c r="D239" i="1" s="1"/>
  <c r="G239" i="1" s="1"/>
  <c r="C239" i="1"/>
  <c r="E239" i="1" s="1"/>
  <c r="H239" i="1" s="1"/>
  <c r="B240" i="1"/>
  <c r="D240" i="1" s="1"/>
  <c r="G240" i="1" s="1"/>
  <c r="Q240" i="1" s="1"/>
  <c r="S240" i="1" s="1"/>
  <c r="C240" i="1"/>
  <c r="E240" i="1" s="1"/>
  <c r="H240" i="1" s="1"/>
  <c r="B241" i="1"/>
  <c r="D241" i="1" s="1"/>
  <c r="G241" i="1" s="1"/>
  <c r="C241" i="1"/>
  <c r="E241" i="1" s="1"/>
  <c r="H241" i="1" s="1"/>
  <c r="B242" i="1"/>
  <c r="D242" i="1" s="1"/>
  <c r="G242" i="1" s="1"/>
  <c r="C242" i="1"/>
  <c r="E242" i="1" s="1"/>
  <c r="H242" i="1" s="1"/>
  <c r="B243" i="1"/>
  <c r="D243" i="1" s="1"/>
  <c r="G243" i="1" s="1"/>
  <c r="C243" i="1"/>
  <c r="E243" i="1" s="1"/>
  <c r="H243" i="1" s="1"/>
  <c r="R243" i="1" s="1"/>
  <c r="T243" i="1" s="1"/>
  <c r="B244" i="1"/>
  <c r="D244" i="1" s="1"/>
  <c r="G244" i="1" s="1"/>
  <c r="C244" i="1"/>
  <c r="E244" i="1" s="1"/>
  <c r="H244" i="1" s="1"/>
  <c r="B245" i="1"/>
  <c r="D245" i="1" s="1"/>
  <c r="G245" i="1" s="1"/>
  <c r="C245" i="1"/>
  <c r="E245" i="1" s="1"/>
  <c r="H245" i="1" s="1"/>
  <c r="B246" i="1"/>
  <c r="D246" i="1" s="1"/>
  <c r="G246" i="1" s="1"/>
  <c r="C246" i="1"/>
  <c r="E246" i="1" s="1"/>
  <c r="H246" i="1" s="1"/>
  <c r="B247" i="1"/>
  <c r="D247" i="1" s="1"/>
  <c r="G247" i="1" s="1"/>
  <c r="C247" i="1"/>
  <c r="E247" i="1" s="1"/>
  <c r="H247" i="1" s="1"/>
  <c r="B248" i="1"/>
  <c r="D248" i="1" s="1"/>
  <c r="G248" i="1" s="1"/>
  <c r="C248" i="1"/>
  <c r="E248" i="1" s="1"/>
  <c r="H248" i="1" s="1"/>
  <c r="B249" i="1"/>
  <c r="D249" i="1" s="1"/>
  <c r="G249" i="1" s="1"/>
  <c r="C249" i="1"/>
  <c r="E249" i="1" s="1"/>
  <c r="H249" i="1" s="1"/>
  <c r="B250" i="1"/>
  <c r="D250" i="1" s="1"/>
  <c r="G250" i="1" s="1"/>
  <c r="C250" i="1"/>
  <c r="E250" i="1" s="1"/>
  <c r="B251" i="1"/>
  <c r="D251" i="1" s="1"/>
  <c r="G251" i="1" s="1"/>
  <c r="C251" i="1"/>
  <c r="E251" i="1" s="1"/>
  <c r="H251" i="1" s="1"/>
  <c r="B252" i="1"/>
  <c r="D252" i="1" s="1"/>
  <c r="G252" i="1" s="1"/>
  <c r="C252" i="1"/>
  <c r="E252" i="1" s="1"/>
  <c r="H252" i="1" s="1"/>
  <c r="B253" i="1"/>
  <c r="D253" i="1" s="1"/>
  <c r="G253" i="1" s="1"/>
  <c r="C253" i="1"/>
  <c r="E253" i="1" s="1"/>
  <c r="H253" i="1" s="1"/>
  <c r="B254" i="1"/>
  <c r="D254" i="1" s="1"/>
  <c r="G254" i="1" s="1"/>
  <c r="C254" i="1"/>
  <c r="E254" i="1" s="1"/>
  <c r="H254" i="1" s="1"/>
  <c r="B255" i="1"/>
  <c r="D255" i="1" s="1"/>
  <c r="G255" i="1" s="1"/>
  <c r="C255" i="1"/>
  <c r="E255" i="1" s="1"/>
  <c r="H255" i="1" s="1"/>
  <c r="B256" i="1"/>
  <c r="D256" i="1" s="1"/>
  <c r="G256" i="1" s="1"/>
  <c r="C256" i="1"/>
  <c r="E256" i="1" s="1"/>
  <c r="H256" i="1" s="1"/>
  <c r="B257" i="1"/>
  <c r="D257" i="1" s="1"/>
  <c r="G257" i="1" s="1"/>
  <c r="C257" i="1"/>
  <c r="E257" i="1" s="1"/>
  <c r="H257" i="1" s="1"/>
  <c r="B258" i="1"/>
  <c r="D258" i="1" s="1"/>
  <c r="G258" i="1" s="1"/>
  <c r="C258" i="1"/>
  <c r="E258" i="1" s="1"/>
  <c r="H258" i="1" s="1"/>
  <c r="B259" i="1"/>
  <c r="D259" i="1" s="1"/>
  <c r="G259" i="1" s="1"/>
  <c r="C259" i="1"/>
  <c r="E259" i="1" s="1"/>
  <c r="H259" i="1" s="1"/>
  <c r="B260" i="1"/>
  <c r="D260" i="1" s="1"/>
  <c r="G260" i="1" s="1"/>
  <c r="C260" i="1"/>
  <c r="E260" i="1" s="1"/>
  <c r="H260" i="1" s="1"/>
  <c r="B261" i="1"/>
  <c r="D261" i="1" s="1"/>
  <c r="G261" i="1" s="1"/>
  <c r="C261" i="1"/>
  <c r="E261" i="1" s="1"/>
  <c r="H261" i="1" s="1"/>
  <c r="B262" i="1"/>
  <c r="D262" i="1" s="1"/>
  <c r="G262" i="1" s="1"/>
  <c r="C262" i="1"/>
  <c r="E262" i="1" s="1"/>
  <c r="H262" i="1" s="1"/>
  <c r="B263" i="1"/>
  <c r="D263" i="1" s="1"/>
  <c r="G263" i="1" s="1"/>
  <c r="C263" i="1"/>
  <c r="E263" i="1" s="1"/>
  <c r="H263" i="1" s="1"/>
  <c r="B264" i="1"/>
  <c r="D264" i="1" s="1"/>
  <c r="G264" i="1" s="1"/>
  <c r="C264" i="1"/>
  <c r="E264" i="1" s="1"/>
  <c r="H264" i="1" s="1"/>
  <c r="B265" i="1"/>
  <c r="D265" i="1" s="1"/>
  <c r="G265" i="1" s="1"/>
  <c r="C265" i="1"/>
  <c r="E265" i="1" s="1"/>
  <c r="H265" i="1" s="1"/>
  <c r="B266" i="1"/>
  <c r="D266" i="1" s="1"/>
  <c r="G266" i="1" s="1"/>
  <c r="C266" i="1"/>
  <c r="E266" i="1" s="1"/>
  <c r="H266" i="1" s="1"/>
  <c r="B267" i="1"/>
  <c r="D267" i="1" s="1"/>
  <c r="G267" i="1" s="1"/>
  <c r="C267" i="1"/>
  <c r="E267" i="1" s="1"/>
  <c r="H267" i="1" s="1"/>
  <c r="B268" i="1"/>
  <c r="D268" i="1" s="1"/>
  <c r="G268" i="1" s="1"/>
  <c r="C268" i="1"/>
  <c r="E268" i="1" s="1"/>
  <c r="H268" i="1" s="1"/>
  <c r="B269" i="1"/>
  <c r="D269" i="1" s="1"/>
  <c r="G269" i="1" s="1"/>
  <c r="C269" i="1"/>
  <c r="E269" i="1" s="1"/>
  <c r="H269" i="1" s="1"/>
  <c r="B270" i="1"/>
  <c r="D270" i="1" s="1"/>
  <c r="G270" i="1" s="1"/>
  <c r="C270" i="1"/>
  <c r="E270" i="1" s="1"/>
  <c r="H270" i="1" s="1"/>
  <c r="B271" i="1"/>
  <c r="D271" i="1" s="1"/>
  <c r="G271" i="1" s="1"/>
  <c r="C271" i="1"/>
  <c r="E271" i="1" s="1"/>
  <c r="H271" i="1" s="1"/>
  <c r="B272" i="1"/>
  <c r="D272" i="1" s="1"/>
  <c r="G272" i="1" s="1"/>
  <c r="C272" i="1"/>
  <c r="E272" i="1" s="1"/>
  <c r="H272" i="1" s="1"/>
  <c r="B273" i="1"/>
  <c r="D273" i="1" s="1"/>
  <c r="G273" i="1" s="1"/>
  <c r="C273" i="1"/>
  <c r="E273" i="1" s="1"/>
  <c r="H273" i="1" s="1"/>
  <c r="B274" i="1"/>
  <c r="D274" i="1" s="1"/>
  <c r="G274" i="1" s="1"/>
  <c r="C274" i="1"/>
  <c r="E274" i="1" s="1"/>
  <c r="H274" i="1" s="1"/>
  <c r="B275" i="1"/>
  <c r="D275" i="1" s="1"/>
  <c r="G275" i="1" s="1"/>
  <c r="Q275" i="1" s="1"/>
  <c r="S275" i="1" s="1"/>
  <c r="C275" i="1"/>
  <c r="E275" i="1" s="1"/>
  <c r="H275" i="1" s="1"/>
  <c r="R275" i="1" s="1"/>
  <c r="T275" i="1" s="1"/>
  <c r="B276" i="1"/>
  <c r="D276" i="1" s="1"/>
  <c r="G276" i="1" s="1"/>
  <c r="Q276" i="1" s="1"/>
  <c r="S276" i="1" s="1"/>
  <c r="C276" i="1"/>
  <c r="E276" i="1" s="1"/>
  <c r="H276" i="1" s="1"/>
  <c r="B277" i="1"/>
  <c r="D277" i="1" s="1"/>
  <c r="C277" i="1"/>
  <c r="E277" i="1" s="1"/>
  <c r="H277" i="1" s="1"/>
  <c r="B278" i="1"/>
  <c r="D278" i="1" s="1"/>
  <c r="G278" i="1" s="1"/>
  <c r="C278" i="1"/>
  <c r="E278" i="1" s="1"/>
  <c r="H278" i="1" s="1"/>
  <c r="B279" i="1"/>
  <c r="D279" i="1" s="1"/>
  <c r="G279" i="1" s="1"/>
  <c r="C279" i="1"/>
  <c r="E279" i="1" s="1"/>
  <c r="H279" i="1" s="1"/>
  <c r="B280" i="1"/>
  <c r="D280" i="1" s="1"/>
  <c r="G280" i="1" s="1"/>
  <c r="C280" i="1"/>
  <c r="E280" i="1" s="1"/>
  <c r="B281" i="1"/>
  <c r="D281" i="1" s="1"/>
  <c r="G281" i="1" s="1"/>
  <c r="C281" i="1"/>
  <c r="E281" i="1" s="1"/>
  <c r="H281" i="1" s="1"/>
  <c r="B282" i="1"/>
  <c r="D282" i="1" s="1"/>
  <c r="G282" i="1" s="1"/>
  <c r="C282" i="1"/>
  <c r="E282" i="1" s="1"/>
  <c r="H282" i="1" s="1"/>
  <c r="B283" i="1"/>
  <c r="D283" i="1" s="1"/>
  <c r="G283" i="1" s="1"/>
  <c r="C283" i="1"/>
  <c r="E283" i="1" s="1"/>
  <c r="H283" i="1" s="1"/>
  <c r="B284" i="1"/>
  <c r="D284" i="1" s="1"/>
  <c r="G284" i="1" s="1"/>
  <c r="C284" i="1"/>
  <c r="E284" i="1" s="1"/>
  <c r="H284" i="1" s="1"/>
  <c r="B285" i="1"/>
  <c r="D285" i="1" s="1"/>
  <c r="G285" i="1" s="1"/>
  <c r="C285" i="1"/>
  <c r="E285" i="1" s="1"/>
  <c r="H285" i="1" s="1"/>
  <c r="B286" i="1"/>
  <c r="D286" i="1" s="1"/>
  <c r="G286" i="1" s="1"/>
  <c r="C286" i="1"/>
  <c r="E286" i="1" s="1"/>
  <c r="H286" i="1" s="1"/>
  <c r="B287" i="1"/>
  <c r="D287" i="1" s="1"/>
  <c r="G287" i="1" s="1"/>
  <c r="C287" i="1"/>
  <c r="E287" i="1" s="1"/>
  <c r="H287" i="1" s="1"/>
  <c r="B288" i="1"/>
  <c r="D288" i="1" s="1"/>
  <c r="G288" i="1" s="1"/>
  <c r="C288" i="1"/>
  <c r="E288" i="1" s="1"/>
  <c r="H288" i="1" s="1"/>
  <c r="B289" i="1"/>
  <c r="D289" i="1" s="1"/>
  <c r="G289" i="1" s="1"/>
  <c r="C289" i="1"/>
  <c r="E289" i="1" s="1"/>
  <c r="H289" i="1" s="1"/>
  <c r="B290" i="1"/>
  <c r="D290" i="1" s="1"/>
  <c r="G290" i="1" s="1"/>
  <c r="C290" i="1"/>
  <c r="E290" i="1" s="1"/>
  <c r="H290" i="1" s="1"/>
  <c r="B291" i="1"/>
  <c r="D291" i="1" s="1"/>
  <c r="G291" i="1" s="1"/>
  <c r="C291" i="1"/>
  <c r="E291" i="1" s="1"/>
  <c r="H291" i="1" s="1"/>
  <c r="B292" i="1"/>
  <c r="D292" i="1" s="1"/>
  <c r="G292" i="1" s="1"/>
  <c r="C292" i="1"/>
  <c r="E292" i="1" s="1"/>
  <c r="H292" i="1" s="1"/>
  <c r="B293" i="1"/>
  <c r="D293" i="1" s="1"/>
  <c r="G293" i="1" s="1"/>
  <c r="C293" i="1"/>
  <c r="E293" i="1" s="1"/>
  <c r="H293" i="1" s="1"/>
  <c r="B294" i="1"/>
  <c r="D294" i="1" s="1"/>
  <c r="G294" i="1" s="1"/>
  <c r="C294" i="1"/>
  <c r="E294" i="1" s="1"/>
  <c r="H294" i="1" s="1"/>
  <c r="B295" i="1"/>
  <c r="D295" i="1" s="1"/>
  <c r="G295" i="1" s="1"/>
  <c r="C295" i="1"/>
  <c r="E295" i="1" s="1"/>
  <c r="H295" i="1" s="1"/>
  <c r="B296" i="1"/>
  <c r="D296" i="1" s="1"/>
  <c r="G296" i="1" s="1"/>
  <c r="C296" i="1"/>
  <c r="E296" i="1" s="1"/>
  <c r="H296" i="1" s="1"/>
  <c r="B297" i="1"/>
  <c r="D297" i="1" s="1"/>
  <c r="G297" i="1" s="1"/>
  <c r="C297" i="1"/>
  <c r="E297" i="1" s="1"/>
  <c r="H297" i="1" s="1"/>
  <c r="B298" i="1"/>
  <c r="D298" i="1" s="1"/>
  <c r="G298" i="1" s="1"/>
  <c r="C298" i="1"/>
  <c r="E298" i="1" s="1"/>
  <c r="B299" i="1"/>
  <c r="D299" i="1" s="1"/>
  <c r="G299" i="1" s="1"/>
  <c r="C299" i="1"/>
  <c r="E299" i="1" s="1"/>
  <c r="H299" i="1" s="1"/>
  <c r="B300" i="1"/>
  <c r="D300" i="1" s="1"/>
  <c r="G300" i="1" s="1"/>
  <c r="Q300" i="1" s="1"/>
  <c r="S300" i="1" s="1"/>
  <c r="C300" i="1"/>
  <c r="E300" i="1" s="1"/>
  <c r="H300" i="1" s="1"/>
  <c r="B301" i="1"/>
  <c r="D301" i="1" s="1"/>
  <c r="G301" i="1" s="1"/>
  <c r="C301" i="1"/>
  <c r="E301" i="1" s="1"/>
  <c r="H301" i="1" s="1"/>
  <c r="B302" i="1"/>
  <c r="D302" i="1" s="1"/>
  <c r="G302" i="1" s="1"/>
  <c r="C302" i="1"/>
  <c r="E302" i="1" s="1"/>
  <c r="H302" i="1" s="1"/>
  <c r="B303" i="1"/>
  <c r="D303" i="1" s="1"/>
  <c r="G303" i="1" s="1"/>
  <c r="C303" i="1"/>
  <c r="E303" i="1" s="1"/>
  <c r="H303" i="1" s="1"/>
  <c r="R303" i="1" s="1"/>
  <c r="T303" i="1" s="1"/>
  <c r="B304" i="1"/>
  <c r="D304" i="1" s="1"/>
  <c r="G304" i="1" s="1"/>
  <c r="C304" i="1"/>
  <c r="E304" i="1" s="1"/>
  <c r="H304" i="1" s="1"/>
  <c r="B305" i="1"/>
  <c r="D305" i="1" s="1"/>
  <c r="G305" i="1" s="1"/>
  <c r="C305" i="1"/>
  <c r="E305" i="1" s="1"/>
  <c r="H305" i="1" s="1"/>
  <c r="B306" i="1"/>
  <c r="D306" i="1" s="1"/>
  <c r="G306" i="1" s="1"/>
  <c r="C306" i="1"/>
  <c r="E306" i="1" s="1"/>
  <c r="H306" i="1" s="1"/>
  <c r="B307" i="1"/>
  <c r="D307" i="1" s="1"/>
  <c r="G307" i="1" s="1"/>
  <c r="C307" i="1"/>
  <c r="E307" i="1" s="1"/>
  <c r="H307" i="1" s="1"/>
  <c r="B308" i="1"/>
  <c r="D308" i="1" s="1"/>
  <c r="G308" i="1" s="1"/>
  <c r="C308" i="1"/>
  <c r="E308" i="1" s="1"/>
  <c r="H308" i="1" s="1"/>
  <c r="B309" i="1"/>
  <c r="D309" i="1" s="1"/>
  <c r="G309" i="1" s="1"/>
  <c r="C309" i="1"/>
  <c r="E309" i="1" s="1"/>
  <c r="H309" i="1" s="1"/>
  <c r="B310" i="1"/>
  <c r="D310" i="1" s="1"/>
  <c r="G310" i="1" s="1"/>
  <c r="C310" i="1"/>
  <c r="E310" i="1" s="1"/>
  <c r="H310" i="1" s="1"/>
  <c r="B311" i="1"/>
  <c r="D311" i="1" s="1"/>
  <c r="G311" i="1" s="1"/>
  <c r="C311" i="1"/>
  <c r="E311" i="1" s="1"/>
  <c r="H311" i="1" s="1"/>
  <c r="B312" i="1"/>
  <c r="D312" i="1" s="1"/>
  <c r="G312" i="1" s="1"/>
  <c r="C312" i="1"/>
  <c r="E312" i="1" s="1"/>
  <c r="H312" i="1" s="1"/>
  <c r="B313" i="1"/>
  <c r="D313" i="1" s="1"/>
  <c r="G313" i="1" s="1"/>
  <c r="C313" i="1"/>
  <c r="E313" i="1" s="1"/>
  <c r="H313" i="1" s="1"/>
  <c r="B314" i="1"/>
  <c r="D314" i="1" s="1"/>
  <c r="G314" i="1" s="1"/>
  <c r="C314" i="1"/>
  <c r="E314" i="1" s="1"/>
  <c r="H314" i="1" s="1"/>
  <c r="B315" i="1"/>
  <c r="D315" i="1" s="1"/>
  <c r="G315" i="1" s="1"/>
  <c r="C315" i="1"/>
  <c r="E315" i="1" s="1"/>
  <c r="H315" i="1" s="1"/>
  <c r="B316" i="1"/>
  <c r="D316" i="1" s="1"/>
  <c r="G316" i="1" s="1"/>
  <c r="C316" i="1"/>
  <c r="E316" i="1" s="1"/>
  <c r="H316" i="1" s="1"/>
  <c r="B317" i="1"/>
  <c r="D317" i="1" s="1"/>
  <c r="G317" i="1" s="1"/>
  <c r="C317" i="1"/>
  <c r="E317" i="1" s="1"/>
  <c r="H317" i="1" s="1"/>
  <c r="B318" i="1"/>
  <c r="D318" i="1" s="1"/>
  <c r="G318" i="1" s="1"/>
  <c r="C318" i="1"/>
  <c r="E318" i="1" s="1"/>
  <c r="H318" i="1" s="1"/>
  <c r="B319" i="1"/>
  <c r="D319" i="1" s="1"/>
  <c r="G319" i="1" s="1"/>
  <c r="C319" i="1"/>
  <c r="E319" i="1" s="1"/>
  <c r="H319" i="1" s="1"/>
  <c r="B320" i="1"/>
  <c r="D320" i="1" s="1"/>
  <c r="G320" i="1" s="1"/>
  <c r="C320" i="1"/>
  <c r="E320" i="1" s="1"/>
  <c r="H320" i="1" s="1"/>
  <c r="B321" i="1"/>
  <c r="D321" i="1" s="1"/>
  <c r="G321" i="1" s="1"/>
  <c r="C321" i="1"/>
  <c r="E321" i="1" s="1"/>
  <c r="H321" i="1" s="1"/>
  <c r="B322" i="1"/>
  <c r="D322" i="1" s="1"/>
  <c r="G322" i="1" s="1"/>
  <c r="C322" i="1"/>
  <c r="E322" i="1" s="1"/>
  <c r="H322" i="1" s="1"/>
  <c r="B323" i="1"/>
  <c r="D323" i="1" s="1"/>
  <c r="G323" i="1" s="1"/>
  <c r="C323" i="1"/>
  <c r="E323" i="1" s="1"/>
  <c r="H323" i="1" s="1"/>
  <c r="B324" i="1"/>
  <c r="D324" i="1" s="1"/>
  <c r="G324" i="1" s="1"/>
  <c r="C324" i="1"/>
  <c r="E324" i="1" s="1"/>
  <c r="H324" i="1" s="1"/>
  <c r="B325" i="1"/>
  <c r="D325" i="1" s="1"/>
  <c r="G325" i="1" s="1"/>
  <c r="C325" i="1"/>
  <c r="E325" i="1" s="1"/>
  <c r="H325" i="1" s="1"/>
  <c r="B326" i="1"/>
  <c r="D326" i="1" s="1"/>
  <c r="G326" i="1" s="1"/>
  <c r="C326" i="1"/>
  <c r="E326" i="1" s="1"/>
  <c r="H326" i="1" s="1"/>
  <c r="B327" i="1"/>
  <c r="D327" i="1" s="1"/>
  <c r="G327" i="1" s="1"/>
  <c r="C327" i="1"/>
  <c r="E327" i="1" s="1"/>
  <c r="H327" i="1" s="1"/>
  <c r="R327" i="1" s="1"/>
  <c r="T327" i="1" s="1"/>
  <c r="B328" i="1"/>
  <c r="D328" i="1" s="1"/>
  <c r="G328" i="1" s="1"/>
  <c r="C328" i="1"/>
  <c r="E328" i="1" s="1"/>
  <c r="B329" i="1"/>
  <c r="D329" i="1" s="1"/>
  <c r="G329" i="1" s="1"/>
  <c r="C329" i="1"/>
  <c r="E329" i="1" s="1"/>
  <c r="H329" i="1" s="1"/>
  <c r="B330" i="1"/>
  <c r="D330" i="1" s="1"/>
  <c r="G330" i="1" s="1"/>
  <c r="C330" i="1"/>
  <c r="E330" i="1" s="1"/>
  <c r="H330" i="1" s="1"/>
  <c r="B331" i="1"/>
  <c r="D331" i="1" s="1"/>
  <c r="G331" i="1" s="1"/>
  <c r="C331" i="1"/>
  <c r="E331" i="1" s="1"/>
  <c r="H331" i="1" s="1"/>
  <c r="B332" i="1"/>
  <c r="D332" i="1" s="1"/>
  <c r="G332" i="1" s="1"/>
  <c r="C332" i="1"/>
  <c r="E332" i="1" s="1"/>
  <c r="H332" i="1" s="1"/>
  <c r="B333" i="1"/>
  <c r="D333" i="1" s="1"/>
  <c r="G333" i="1" s="1"/>
  <c r="C333" i="1"/>
  <c r="E333" i="1" s="1"/>
  <c r="H333" i="1" s="1"/>
  <c r="B334" i="1"/>
  <c r="D334" i="1" s="1"/>
  <c r="G334" i="1" s="1"/>
  <c r="C334" i="1"/>
  <c r="E334" i="1" s="1"/>
  <c r="H334" i="1" s="1"/>
  <c r="B335" i="1"/>
  <c r="D335" i="1" s="1"/>
  <c r="G335" i="1" s="1"/>
  <c r="C335" i="1"/>
  <c r="E335" i="1" s="1"/>
  <c r="H335" i="1" s="1"/>
  <c r="B336" i="1"/>
  <c r="D336" i="1" s="1"/>
  <c r="G336" i="1" s="1"/>
  <c r="C336" i="1"/>
  <c r="E336" i="1" s="1"/>
  <c r="H336" i="1" s="1"/>
  <c r="B337" i="1"/>
  <c r="D337" i="1" s="1"/>
  <c r="C337" i="1"/>
  <c r="E337" i="1" s="1"/>
  <c r="H337" i="1" s="1"/>
  <c r="B338" i="1"/>
  <c r="D338" i="1" s="1"/>
  <c r="G338" i="1" s="1"/>
  <c r="C338" i="1"/>
  <c r="E338" i="1" s="1"/>
  <c r="H338" i="1" s="1"/>
  <c r="B339" i="1"/>
  <c r="D339" i="1" s="1"/>
  <c r="G339" i="1" s="1"/>
  <c r="C339" i="1"/>
  <c r="E339" i="1" s="1"/>
  <c r="H339" i="1" s="1"/>
  <c r="B340" i="1"/>
  <c r="D340" i="1" s="1"/>
  <c r="G340" i="1" s="1"/>
  <c r="C340" i="1"/>
  <c r="E340" i="1" s="1"/>
  <c r="H340" i="1" s="1"/>
  <c r="B341" i="1"/>
  <c r="D341" i="1" s="1"/>
  <c r="G341" i="1" s="1"/>
  <c r="C341" i="1"/>
  <c r="E341" i="1" s="1"/>
  <c r="H341" i="1" s="1"/>
  <c r="B342" i="1"/>
  <c r="D342" i="1" s="1"/>
  <c r="G342" i="1" s="1"/>
  <c r="C342" i="1"/>
  <c r="E342" i="1" s="1"/>
  <c r="H342" i="1" s="1"/>
  <c r="B343" i="1"/>
  <c r="D343" i="1" s="1"/>
  <c r="G343" i="1" s="1"/>
  <c r="C343" i="1"/>
  <c r="E343" i="1" s="1"/>
  <c r="H343" i="1" s="1"/>
  <c r="B344" i="1"/>
  <c r="D344" i="1" s="1"/>
  <c r="G344" i="1" s="1"/>
  <c r="C344" i="1"/>
  <c r="E344" i="1" s="1"/>
  <c r="H344" i="1" s="1"/>
  <c r="B345" i="1"/>
  <c r="D345" i="1" s="1"/>
  <c r="G345" i="1" s="1"/>
  <c r="C345" i="1"/>
  <c r="E345" i="1" s="1"/>
  <c r="H345" i="1" s="1"/>
  <c r="B346" i="1"/>
  <c r="D346" i="1" s="1"/>
  <c r="G346" i="1" s="1"/>
  <c r="C346" i="1"/>
  <c r="E346" i="1" s="1"/>
  <c r="B347" i="1"/>
  <c r="D347" i="1" s="1"/>
  <c r="G347" i="1" s="1"/>
  <c r="C347" i="1"/>
  <c r="E347" i="1" s="1"/>
  <c r="H347" i="1" s="1"/>
  <c r="B348" i="1"/>
  <c r="D348" i="1" s="1"/>
  <c r="G348" i="1" s="1"/>
  <c r="C348" i="1"/>
  <c r="E348" i="1" s="1"/>
  <c r="H348" i="1" s="1"/>
  <c r="B349" i="1"/>
  <c r="D349" i="1" s="1"/>
  <c r="G349" i="1" s="1"/>
  <c r="C349" i="1"/>
  <c r="E349" i="1" s="1"/>
  <c r="H349" i="1" s="1"/>
  <c r="B350" i="1"/>
  <c r="D350" i="1" s="1"/>
  <c r="G350" i="1" s="1"/>
  <c r="C350" i="1"/>
  <c r="E350" i="1" s="1"/>
  <c r="H350" i="1" s="1"/>
  <c r="B351" i="1"/>
  <c r="D351" i="1" s="1"/>
  <c r="G351" i="1" s="1"/>
  <c r="C351" i="1"/>
  <c r="E351" i="1" s="1"/>
  <c r="H351" i="1" s="1"/>
  <c r="B352" i="1"/>
  <c r="D352" i="1" s="1"/>
  <c r="G352" i="1" s="1"/>
  <c r="C352" i="1"/>
  <c r="E352" i="1" s="1"/>
  <c r="H352" i="1" s="1"/>
  <c r="B353" i="1"/>
  <c r="D353" i="1" s="1"/>
  <c r="G353" i="1" s="1"/>
  <c r="C353" i="1"/>
  <c r="E353" i="1" s="1"/>
  <c r="H353" i="1" s="1"/>
  <c r="B354" i="1"/>
  <c r="D354" i="1" s="1"/>
  <c r="G354" i="1" s="1"/>
  <c r="C354" i="1"/>
  <c r="E354" i="1" s="1"/>
  <c r="H354" i="1" s="1"/>
  <c r="B355" i="1"/>
  <c r="D355" i="1" s="1"/>
  <c r="G355" i="1" s="1"/>
  <c r="C355" i="1"/>
  <c r="E355" i="1" s="1"/>
  <c r="H355" i="1" s="1"/>
  <c r="B356" i="1"/>
  <c r="D356" i="1" s="1"/>
  <c r="G356" i="1" s="1"/>
  <c r="C356" i="1"/>
  <c r="E356" i="1" s="1"/>
  <c r="H356" i="1" s="1"/>
  <c r="B357" i="1"/>
  <c r="D357" i="1" s="1"/>
  <c r="G357" i="1" s="1"/>
  <c r="C357" i="1"/>
  <c r="E357" i="1" s="1"/>
  <c r="H357" i="1" s="1"/>
  <c r="B358" i="1"/>
  <c r="D358" i="1" s="1"/>
  <c r="G358" i="1" s="1"/>
  <c r="C358" i="1"/>
  <c r="E358" i="1" s="1"/>
  <c r="H358" i="1" s="1"/>
  <c r="B359" i="1"/>
  <c r="D359" i="1" s="1"/>
  <c r="G359" i="1" s="1"/>
  <c r="Q359" i="1" s="1"/>
  <c r="S359" i="1" s="1"/>
  <c r="C359" i="1"/>
  <c r="E359" i="1" s="1"/>
  <c r="H359" i="1" s="1"/>
  <c r="R359" i="1" s="1"/>
  <c r="T359" i="1" s="1"/>
  <c r="B360" i="1"/>
  <c r="D360" i="1" s="1"/>
  <c r="G360" i="1" s="1"/>
  <c r="Q360" i="1" s="1"/>
  <c r="S360" i="1" s="1"/>
  <c r="C360" i="1"/>
  <c r="E360" i="1" s="1"/>
  <c r="H360" i="1" s="1"/>
  <c r="B361" i="1"/>
  <c r="D361" i="1" s="1"/>
  <c r="G361" i="1" s="1"/>
  <c r="C361" i="1"/>
  <c r="E361" i="1" s="1"/>
  <c r="H361" i="1" s="1"/>
  <c r="B362" i="1"/>
  <c r="D362" i="1" s="1"/>
  <c r="G362" i="1" s="1"/>
  <c r="C362" i="1"/>
  <c r="E362" i="1" s="1"/>
  <c r="H362" i="1" s="1"/>
  <c r="B363" i="1"/>
  <c r="D363" i="1" s="1"/>
  <c r="G363" i="1" s="1"/>
  <c r="C363" i="1"/>
  <c r="E363" i="1" s="1"/>
  <c r="H363" i="1" s="1"/>
  <c r="R363" i="1" s="1"/>
  <c r="T363" i="1" s="1"/>
  <c r="B364" i="1"/>
  <c r="D364" i="1" s="1"/>
  <c r="G364" i="1" s="1"/>
  <c r="C364" i="1"/>
  <c r="E364" i="1" s="1"/>
  <c r="H364" i="1" s="1"/>
  <c r="B365" i="1"/>
  <c r="D365" i="1" s="1"/>
  <c r="G365" i="1" s="1"/>
  <c r="C365" i="1"/>
  <c r="E365" i="1" s="1"/>
  <c r="H365" i="1" s="1"/>
  <c r="B366" i="1"/>
  <c r="D366" i="1" s="1"/>
  <c r="G366" i="1" s="1"/>
  <c r="C366" i="1"/>
  <c r="E366" i="1" s="1"/>
  <c r="H366" i="1" s="1"/>
  <c r="B367" i="1"/>
  <c r="D367" i="1" s="1"/>
  <c r="G367" i="1" s="1"/>
  <c r="C367" i="1"/>
  <c r="E367" i="1" s="1"/>
  <c r="H367" i="1" s="1"/>
  <c r="B368" i="1"/>
  <c r="D368" i="1" s="1"/>
  <c r="G368" i="1" s="1"/>
  <c r="C368" i="1"/>
  <c r="E368" i="1" s="1"/>
  <c r="H368" i="1" s="1"/>
  <c r="B369" i="1"/>
  <c r="D369" i="1" s="1"/>
  <c r="G369" i="1" s="1"/>
  <c r="C369" i="1"/>
  <c r="E369" i="1" s="1"/>
  <c r="H369" i="1" s="1"/>
  <c r="B370" i="1"/>
  <c r="D370" i="1" s="1"/>
  <c r="G370" i="1" s="1"/>
  <c r="C370" i="1"/>
  <c r="E370" i="1" s="1"/>
  <c r="H370" i="1" s="1"/>
  <c r="B371" i="1"/>
  <c r="D371" i="1" s="1"/>
  <c r="G371" i="1" s="1"/>
  <c r="C371" i="1"/>
  <c r="E371" i="1" s="1"/>
  <c r="H371" i="1" s="1"/>
  <c r="B372" i="1"/>
  <c r="D372" i="1" s="1"/>
  <c r="G372" i="1" s="1"/>
  <c r="C372" i="1"/>
  <c r="E372" i="1" s="1"/>
  <c r="H372" i="1" s="1"/>
  <c r="B373" i="1"/>
  <c r="D373" i="1" s="1"/>
  <c r="G373" i="1" s="1"/>
  <c r="C373" i="1"/>
  <c r="E373" i="1" s="1"/>
  <c r="H373" i="1" s="1"/>
  <c r="B374" i="1"/>
  <c r="D374" i="1" s="1"/>
  <c r="G374" i="1" s="1"/>
  <c r="C374" i="1"/>
  <c r="E374" i="1" s="1"/>
  <c r="H374" i="1" s="1"/>
  <c r="B375" i="1"/>
  <c r="D375" i="1" s="1"/>
  <c r="G375" i="1" s="1"/>
  <c r="C375" i="1"/>
  <c r="E375" i="1" s="1"/>
  <c r="H375" i="1" s="1"/>
  <c r="B376" i="1"/>
  <c r="D376" i="1" s="1"/>
  <c r="G376" i="1" s="1"/>
  <c r="C376" i="1"/>
  <c r="E376" i="1" s="1"/>
  <c r="B377" i="1"/>
  <c r="D377" i="1" s="1"/>
  <c r="G377" i="1" s="1"/>
  <c r="C377" i="1"/>
  <c r="E377" i="1" s="1"/>
  <c r="H377" i="1" s="1"/>
  <c r="B378" i="1"/>
  <c r="D378" i="1" s="1"/>
  <c r="G378" i="1" s="1"/>
  <c r="C378" i="1"/>
  <c r="E378" i="1" s="1"/>
  <c r="H378" i="1" s="1"/>
  <c r="B379" i="1"/>
  <c r="D379" i="1" s="1"/>
  <c r="G379" i="1" s="1"/>
  <c r="C379" i="1"/>
  <c r="E379" i="1" s="1"/>
  <c r="H379" i="1" s="1"/>
  <c r="B380" i="1"/>
  <c r="D380" i="1" s="1"/>
  <c r="G380" i="1" s="1"/>
  <c r="C380" i="1"/>
  <c r="E380" i="1" s="1"/>
  <c r="H380" i="1" s="1"/>
  <c r="B381" i="1"/>
  <c r="D381" i="1" s="1"/>
  <c r="G381" i="1" s="1"/>
  <c r="C381" i="1"/>
  <c r="E381" i="1" s="1"/>
  <c r="H381" i="1" s="1"/>
  <c r="B382" i="1"/>
  <c r="D382" i="1" s="1"/>
  <c r="G382" i="1" s="1"/>
  <c r="C382" i="1"/>
  <c r="E382" i="1" s="1"/>
  <c r="H382" i="1" s="1"/>
  <c r="B383" i="1"/>
  <c r="D383" i="1" s="1"/>
  <c r="G383" i="1" s="1"/>
  <c r="C383" i="1"/>
  <c r="E383" i="1" s="1"/>
  <c r="H383" i="1" s="1"/>
  <c r="B384" i="1"/>
  <c r="D384" i="1" s="1"/>
  <c r="G384" i="1" s="1"/>
  <c r="Q384" i="1" s="1"/>
  <c r="S384" i="1" s="1"/>
  <c r="C384" i="1"/>
  <c r="E384" i="1" s="1"/>
  <c r="H384" i="1" s="1"/>
  <c r="B385" i="1"/>
  <c r="D385" i="1" s="1"/>
  <c r="G385" i="1" s="1"/>
  <c r="C385" i="1"/>
  <c r="E385" i="1" s="1"/>
  <c r="H385" i="1" s="1"/>
  <c r="B386" i="1"/>
  <c r="D386" i="1" s="1"/>
  <c r="G386" i="1" s="1"/>
  <c r="C386" i="1"/>
  <c r="E386" i="1" s="1"/>
  <c r="H386" i="1" s="1"/>
  <c r="B387" i="1"/>
  <c r="D387" i="1" s="1"/>
  <c r="G387" i="1" s="1"/>
  <c r="Q387" i="1" s="1"/>
  <c r="S387" i="1" s="1"/>
  <c r="C387" i="1"/>
  <c r="E387" i="1" s="1"/>
  <c r="H387" i="1" s="1"/>
  <c r="R387" i="1" s="1"/>
  <c r="T387" i="1" s="1"/>
  <c r="B388" i="1"/>
  <c r="D388" i="1" s="1"/>
  <c r="G388" i="1" s="1"/>
  <c r="C388" i="1"/>
  <c r="E388" i="1" s="1"/>
  <c r="H388" i="1" s="1"/>
  <c r="B389" i="1"/>
  <c r="D389" i="1" s="1"/>
  <c r="G389" i="1" s="1"/>
  <c r="C389" i="1"/>
  <c r="E389" i="1" s="1"/>
  <c r="H389" i="1" s="1"/>
  <c r="B390" i="1"/>
  <c r="D390" i="1" s="1"/>
  <c r="G390" i="1" s="1"/>
  <c r="C390" i="1"/>
  <c r="E390" i="1" s="1"/>
  <c r="H390" i="1" s="1"/>
  <c r="B391" i="1"/>
  <c r="D391" i="1" s="1"/>
  <c r="G391" i="1" s="1"/>
  <c r="C391" i="1"/>
  <c r="E391" i="1" s="1"/>
  <c r="H391" i="1" s="1"/>
  <c r="B392" i="1"/>
  <c r="D392" i="1" s="1"/>
  <c r="G392" i="1" s="1"/>
  <c r="C392" i="1"/>
  <c r="E392" i="1" s="1"/>
  <c r="H392" i="1" s="1"/>
  <c r="B393" i="1"/>
  <c r="D393" i="1" s="1"/>
  <c r="G393" i="1" s="1"/>
  <c r="C393" i="1"/>
  <c r="E393" i="1" s="1"/>
  <c r="H393" i="1" s="1"/>
  <c r="B394" i="1"/>
  <c r="D394" i="1" s="1"/>
  <c r="G394" i="1" s="1"/>
  <c r="C394" i="1"/>
  <c r="E394" i="1" s="1"/>
  <c r="H394" i="1" s="1"/>
  <c r="B395" i="1"/>
  <c r="D395" i="1" s="1"/>
  <c r="G395" i="1" s="1"/>
  <c r="C395" i="1"/>
  <c r="E395" i="1" s="1"/>
  <c r="H395" i="1" s="1"/>
  <c r="B396" i="1"/>
  <c r="D396" i="1" s="1"/>
  <c r="G396" i="1" s="1"/>
  <c r="C396" i="1"/>
  <c r="E396" i="1" s="1"/>
  <c r="H396" i="1" s="1"/>
  <c r="B397" i="1"/>
  <c r="D397" i="1" s="1"/>
  <c r="G397" i="1" s="1"/>
  <c r="C397" i="1"/>
  <c r="E397" i="1" s="1"/>
  <c r="H397" i="1" s="1"/>
  <c r="B398" i="1"/>
  <c r="D398" i="1" s="1"/>
  <c r="G398" i="1" s="1"/>
  <c r="C398" i="1"/>
  <c r="E398" i="1" s="1"/>
  <c r="H398" i="1" s="1"/>
  <c r="B399" i="1"/>
  <c r="D399" i="1" s="1"/>
  <c r="G399" i="1" s="1"/>
  <c r="C399" i="1"/>
  <c r="E399" i="1" s="1"/>
  <c r="H399" i="1" s="1"/>
  <c r="B400" i="1"/>
  <c r="D400" i="1" s="1"/>
  <c r="G400" i="1" s="1"/>
  <c r="C400" i="1"/>
  <c r="E400" i="1" s="1"/>
  <c r="H400" i="1" s="1"/>
  <c r="B401" i="1"/>
  <c r="D401" i="1" s="1"/>
  <c r="G401" i="1" s="1"/>
  <c r="C401" i="1"/>
  <c r="E401" i="1" s="1"/>
  <c r="H401" i="1" s="1"/>
  <c r="B402" i="1"/>
  <c r="D402" i="1" s="1"/>
  <c r="G402" i="1" s="1"/>
  <c r="C402" i="1"/>
  <c r="E402" i="1" s="1"/>
  <c r="H402" i="1" s="1"/>
  <c r="B403" i="1"/>
  <c r="D403" i="1" s="1"/>
  <c r="G403" i="1" s="1"/>
  <c r="C403" i="1"/>
  <c r="E403" i="1" s="1"/>
  <c r="H403" i="1" s="1"/>
  <c r="B404" i="1"/>
  <c r="D404" i="1" s="1"/>
  <c r="G404" i="1" s="1"/>
  <c r="C404" i="1"/>
  <c r="E404" i="1" s="1"/>
  <c r="H404" i="1" s="1"/>
  <c r="B405" i="1"/>
  <c r="D405" i="1" s="1"/>
  <c r="G405" i="1" s="1"/>
  <c r="C405" i="1"/>
  <c r="E405" i="1" s="1"/>
  <c r="H405" i="1" s="1"/>
  <c r="B406" i="1"/>
  <c r="D406" i="1" s="1"/>
  <c r="G406" i="1" s="1"/>
  <c r="C406" i="1"/>
  <c r="E406" i="1" s="1"/>
  <c r="H406" i="1" s="1"/>
  <c r="B407" i="1"/>
  <c r="D407" i="1" s="1"/>
  <c r="G407" i="1" s="1"/>
  <c r="C407" i="1"/>
  <c r="E407" i="1" s="1"/>
  <c r="H407" i="1" s="1"/>
  <c r="B408" i="1"/>
  <c r="D408" i="1" s="1"/>
  <c r="G408" i="1" s="1"/>
  <c r="C408" i="1"/>
  <c r="E408" i="1" s="1"/>
  <c r="H408" i="1" s="1"/>
  <c r="B409" i="1"/>
  <c r="D409" i="1" s="1"/>
  <c r="G409" i="1" s="1"/>
  <c r="C409" i="1"/>
  <c r="E409" i="1" s="1"/>
  <c r="H409" i="1" s="1"/>
  <c r="B410" i="1"/>
  <c r="D410" i="1" s="1"/>
  <c r="G410" i="1" s="1"/>
  <c r="C410" i="1"/>
  <c r="E410" i="1" s="1"/>
  <c r="H410" i="1" s="1"/>
  <c r="B411" i="1"/>
  <c r="D411" i="1" s="1"/>
  <c r="G411" i="1" s="1"/>
  <c r="C411" i="1"/>
  <c r="E411" i="1" s="1"/>
  <c r="H411" i="1" s="1"/>
  <c r="B412" i="1"/>
  <c r="D412" i="1" s="1"/>
  <c r="G412" i="1" s="1"/>
  <c r="C412" i="1"/>
  <c r="E412" i="1" s="1"/>
  <c r="H412" i="1" s="1"/>
  <c r="B413" i="1"/>
  <c r="D413" i="1" s="1"/>
  <c r="G413" i="1" s="1"/>
  <c r="C413" i="1"/>
  <c r="E413" i="1" s="1"/>
  <c r="H413" i="1" s="1"/>
  <c r="B414" i="1"/>
  <c r="D414" i="1" s="1"/>
  <c r="G414" i="1" s="1"/>
  <c r="Q414" i="1" s="1"/>
  <c r="S414" i="1" s="1"/>
  <c r="C414" i="1"/>
  <c r="E414" i="1" s="1"/>
  <c r="H414" i="1" s="1"/>
  <c r="B415" i="1"/>
  <c r="D415" i="1" s="1"/>
  <c r="G415" i="1" s="1"/>
  <c r="C415" i="1"/>
  <c r="E415" i="1" s="1"/>
  <c r="H415" i="1" s="1"/>
  <c r="B416" i="1"/>
  <c r="D416" i="1" s="1"/>
  <c r="G416" i="1" s="1"/>
  <c r="C416" i="1"/>
  <c r="E416" i="1" s="1"/>
  <c r="H416" i="1" s="1"/>
  <c r="B417" i="1"/>
  <c r="D417" i="1" s="1"/>
  <c r="G417" i="1" s="1"/>
  <c r="Q417" i="1" s="1"/>
  <c r="S417" i="1" s="1"/>
  <c r="C417" i="1"/>
  <c r="E417" i="1" s="1"/>
  <c r="H417" i="1" s="1"/>
  <c r="B418" i="1"/>
  <c r="D418" i="1" s="1"/>
  <c r="G418" i="1" s="1"/>
  <c r="C418" i="1"/>
  <c r="E418" i="1" s="1"/>
  <c r="H418" i="1" s="1"/>
  <c r="B419" i="1"/>
  <c r="D419" i="1" s="1"/>
  <c r="G419" i="1" s="1"/>
  <c r="C419" i="1"/>
  <c r="E419" i="1" s="1"/>
  <c r="H419" i="1" s="1"/>
  <c r="B420" i="1"/>
  <c r="D420" i="1" s="1"/>
  <c r="G420" i="1" s="1"/>
  <c r="C420" i="1"/>
  <c r="E420" i="1" s="1"/>
  <c r="H420" i="1" s="1"/>
  <c r="B421" i="1"/>
  <c r="D421" i="1" s="1"/>
  <c r="G421" i="1" s="1"/>
  <c r="C421" i="1"/>
  <c r="E421" i="1" s="1"/>
  <c r="H421" i="1" s="1"/>
  <c r="B422" i="1"/>
  <c r="D422" i="1" s="1"/>
  <c r="G422" i="1" s="1"/>
  <c r="C422" i="1"/>
  <c r="E422" i="1" s="1"/>
  <c r="H422" i="1" s="1"/>
  <c r="B423" i="1"/>
  <c r="D423" i="1" s="1"/>
  <c r="G423" i="1" s="1"/>
  <c r="C423" i="1"/>
  <c r="E423" i="1" s="1"/>
  <c r="H423" i="1" s="1"/>
  <c r="B424" i="1"/>
  <c r="D424" i="1" s="1"/>
  <c r="G424" i="1" s="1"/>
  <c r="C424" i="1"/>
  <c r="E424" i="1" s="1"/>
  <c r="B425" i="1"/>
  <c r="D425" i="1" s="1"/>
  <c r="G425" i="1" s="1"/>
  <c r="C425" i="1"/>
  <c r="E425" i="1" s="1"/>
  <c r="H425" i="1" s="1"/>
  <c r="B426" i="1"/>
  <c r="D426" i="1" s="1"/>
  <c r="G426" i="1" s="1"/>
  <c r="C426" i="1"/>
  <c r="E426" i="1" s="1"/>
  <c r="H426" i="1" s="1"/>
  <c r="B427" i="1"/>
  <c r="D427" i="1" s="1"/>
  <c r="G427" i="1" s="1"/>
  <c r="C427" i="1"/>
  <c r="E427" i="1" s="1"/>
  <c r="H427" i="1" s="1"/>
  <c r="B428" i="1"/>
  <c r="D428" i="1" s="1"/>
  <c r="G428" i="1" s="1"/>
  <c r="C428" i="1"/>
  <c r="E428" i="1" s="1"/>
  <c r="H428" i="1" s="1"/>
  <c r="B429" i="1"/>
  <c r="D429" i="1" s="1"/>
  <c r="G429" i="1" s="1"/>
  <c r="C429" i="1"/>
  <c r="E429" i="1" s="1"/>
  <c r="H429" i="1" s="1"/>
  <c r="B430" i="1"/>
  <c r="D430" i="1" s="1"/>
  <c r="G430" i="1" s="1"/>
  <c r="C430" i="1"/>
  <c r="E430" i="1" s="1"/>
  <c r="H430" i="1" s="1"/>
  <c r="B431" i="1"/>
  <c r="D431" i="1" s="1"/>
  <c r="G431" i="1" s="1"/>
  <c r="C431" i="1"/>
  <c r="E431" i="1" s="1"/>
  <c r="H431" i="1" s="1"/>
  <c r="B432" i="1"/>
  <c r="D432" i="1" s="1"/>
  <c r="G432" i="1" s="1"/>
  <c r="C432" i="1"/>
  <c r="E432" i="1" s="1"/>
  <c r="H432" i="1" s="1"/>
  <c r="B433" i="1"/>
  <c r="D433" i="1" s="1"/>
  <c r="G433" i="1" s="1"/>
  <c r="C433" i="1"/>
  <c r="E433" i="1" s="1"/>
  <c r="H433" i="1" s="1"/>
  <c r="B434" i="1"/>
  <c r="D434" i="1" s="1"/>
  <c r="G434" i="1" s="1"/>
  <c r="C434" i="1"/>
  <c r="E434" i="1" s="1"/>
  <c r="H434" i="1" s="1"/>
  <c r="B435" i="1"/>
  <c r="D435" i="1" s="1"/>
  <c r="G435" i="1" s="1"/>
  <c r="C435" i="1"/>
  <c r="E435" i="1" s="1"/>
  <c r="H435" i="1" s="1"/>
  <c r="B436" i="1"/>
  <c r="D436" i="1" s="1"/>
  <c r="G436" i="1" s="1"/>
  <c r="Q436" i="1" s="1"/>
  <c r="S436" i="1" s="1"/>
  <c r="C436" i="1"/>
  <c r="E436" i="1" s="1"/>
  <c r="H436" i="1" s="1"/>
  <c r="R436" i="1" s="1"/>
  <c r="T436" i="1" s="1"/>
  <c r="B437" i="1"/>
  <c r="D437" i="1" s="1"/>
  <c r="G437" i="1" s="1"/>
  <c r="Q437" i="1" s="1"/>
  <c r="S437" i="1" s="1"/>
  <c r="C437" i="1"/>
  <c r="E437" i="1" s="1"/>
  <c r="H437" i="1" s="1"/>
  <c r="R437" i="1" s="1"/>
  <c r="T437" i="1" s="1"/>
  <c r="B438" i="1"/>
  <c r="D438" i="1" s="1"/>
  <c r="G438" i="1" s="1"/>
  <c r="C438" i="1"/>
  <c r="E438" i="1" s="1"/>
  <c r="H438" i="1" s="1"/>
  <c r="B439" i="1"/>
  <c r="D439" i="1" s="1"/>
  <c r="G439" i="1" s="1"/>
  <c r="C439" i="1"/>
  <c r="E439" i="1" s="1"/>
  <c r="H439" i="1" s="1"/>
  <c r="B440" i="1"/>
  <c r="D440" i="1" s="1"/>
  <c r="G440" i="1" s="1"/>
  <c r="C440" i="1"/>
  <c r="E440" i="1" s="1"/>
  <c r="H440" i="1" s="1"/>
  <c r="B441" i="1"/>
  <c r="D441" i="1" s="1"/>
  <c r="G441" i="1" s="1"/>
  <c r="C441" i="1"/>
  <c r="E441" i="1" s="1"/>
  <c r="H441" i="1" s="1"/>
  <c r="B442" i="1"/>
  <c r="D442" i="1" s="1"/>
  <c r="G442" i="1" s="1"/>
  <c r="C442" i="1"/>
  <c r="E442" i="1" s="1"/>
  <c r="B443" i="1"/>
  <c r="D443" i="1" s="1"/>
  <c r="G443" i="1" s="1"/>
  <c r="C443" i="1"/>
  <c r="E443" i="1" s="1"/>
  <c r="H443" i="1" s="1"/>
  <c r="B444" i="1"/>
  <c r="D444" i="1" s="1"/>
  <c r="G444" i="1" s="1"/>
  <c r="C444" i="1"/>
  <c r="E444" i="1" s="1"/>
  <c r="H444" i="1" s="1"/>
  <c r="B445" i="1"/>
  <c r="D445" i="1" s="1"/>
  <c r="G445" i="1" s="1"/>
  <c r="C445" i="1"/>
  <c r="E445" i="1" s="1"/>
  <c r="H445" i="1" s="1"/>
  <c r="B446" i="1"/>
  <c r="D446" i="1" s="1"/>
  <c r="G446" i="1" s="1"/>
  <c r="C446" i="1"/>
  <c r="E446" i="1" s="1"/>
  <c r="H446" i="1" s="1"/>
  <c r="B447" i="1"/>
  <c r="D447" i="1" s="1"/>
  <c r="G447" i="1" s="1"/>
  <c r="C447" i="1"/>
  <c r="E447" i="1" s="1"/>
  <c r="H447" i="1" s="1"/>
  <c r="B448" i="1"/>
  <c r="D448" i="1" s="1"/>
  <c r="G448" i="1" s="1"/>
  <c r="C448" i="1"/>
  <c r="E448" i="1" s="1"/>
  <c r="H448" i="1" s="1"/>
  <c r="B449" i="1"/>
  <c r="D449" i="1" s="1"/>
  <c r="G449" i="1" s="1"/>
  <c r="C449" i="1"/>
  <c r="E449" i="1" s="1"/>
  <c r="H449" i="1" s="1"/>
  <c r="B450" i="1"/>
  <c r="D450" i="1" s="1"/>
  <c r="G450" i="1" s="1"/>
  <c r="C450" i="1"/>
  <c r="E450" i="1" s="1"/>
  <c r="H450" i="1" s="1"/>
  <c r="B451" i="1"/>
  <c r="D451" i="1" s="1"/>
  <c r="G451" i="1" s="1"/>
  <c r="C451" i="1"/>
  <c r="E451" i="1" s="1"/>
  <c r="H451" i="1" s="1"/>
  <c r="B452" i="1"/>
  <c r="D452" i="1" s="1"/>
  <c r="G452" i="1" s="1"/>
  <c r="C452" i="1"/>
  <c r="E452" i="1" s="1"/>
  <c r="H452" i="1" s="1"/>
  <c r="B453" i="1"/>
  <c r="D453" i="1" s="1"/>
  <c r="G453" i="1" s="1"/>
  <c r="C453" i="1"/>
  <c r="E453" i="1" s="1"/>
  <c r="H453" i="1" s="1"/>
  <c r="B454" i="1"/>
  <c r="D454" i="1" s="1"/>
  <c r="G454" i="1" s="1"/>
  <c r="C454" i="1"/>
  <c r="E454" i="1" s="1"/>
  <c r="H454" i="1" s="1"/>
  <c r="B455" i="1"/>
  <c r="D455" i="1" s="1"/>
  <c r="G455" i="1" s="1"/>
  <c r="C455" i="1"/>
  <c r="E455" i="1" s="1"/>
  <c r="H455" i="1" s="1"/>
  <c r="B456" i="1"/>
  <c r="D456" i="1" s="1"/>
  <c r="G456" i="1" s="1"/>
  <c r="C456" i="1"/>
  <c r="E456" i="1" s="1"/>
  <c r="H456" i="1" s="1"/>
  <c r="B457" i="1"/>
  <c r="D457" i="1" s="1"/>
  <c r="G457" i="1" s="1"/>
  <c r="C457" i="1"/>
  <c r="E457" i="1" s="1"/>
  <c r="H457" i="1" s="1"/>
  <c r="R457" i="1" s="1"/>
  <c r="T457" i="1" s="1"/>
  <c r="B458" i="1"/>
  <c r="D458" i="1" s="1"/>
  <c r="G458" i="1" s="1"/>
  <c r="C458" i="1"/>
  <c r="E458" i="1" s="1"/>
  <c r="H458" i="1" s="1"/>
  <c r="B459" i="1"/>
  <c r="D459" i="1" s="1"/>
  <c r="G459" i="1" s="1"/>
  <c r="Q459" i="1" s="1"/>
  <c r="S459" i="1" s="1"/>
  <c r="C459" i="1"/>
  <c r="E459" i="1" s="1"/>
  <c r="H459" i="1" s="1"/>
  <c r="B460" i="1"/>
  <c r="D460" i="1" s="1"/>
  <c r="G460" i="1" s="1"/>
  <c r="C460" i="1"/>
  <c r="E460" i="1" s="1"/>
  <c r="H460" i="1" s="1"/>
  <c r="B461" i="1"/>
  <c r="D461" i="1" s="1"/>
  <c r="G461" i="1" s="1"/>
  <c r="C461" i="1"/>
  <c r="E461" i="1" s="1"/>
  <c r="H461" i="1" s="1"/>
  <c r="B462" i="1"/>
  <c r="D462" i="1" s="1"/>
  <c r="G462" i="1" s="1"/>
  <c r="C462" i="1"/>
  <c r="E462" i="1" s="1"/>
  <c r="H462" i="1" s="1"/>
  <c r="B463" i="1"/>
  <c r="D463" i="1" s="1"/>
  <c r="G463" i="1" s="1"/>
  <c r="C463" i="1"/>
  <c r="E463" i="1" s="1"/>
  <c r="H463" i="1" s="1"/>
  <c r="B464" i="1"/>
  <c r="D464" i="1" s="1"/>
  <c r="G464" i="1" s="1"/>
  <c r="C464" i="1"/>
  <c r="E464" i="1" s="1"/>
  <c r="H464" i="1" s="1"/>
  <c r="B465" i="1"/>
  <c r="D465" i="1" s="1"/>
  <c r="G465" i="1" s="1"/>
  <c r="Q465" i="1" s="1"/>
  <c r="S465" i="1" s="1"/>
  <c r="C465" i="1"/>
  <c r="E465" i="1" s="1"/>
  <c r="H465" i="1" s="1"/>
  <c r="R465" i="1" s="1"/>
  <c r="T465" i="1" s="1"/>
  <c r="B466" i="1"/>
  <c r="D466" i="1" s="1"/>
  <c r="G466" i="1" s="1"/>
  <c r="C466" i="1"/>
  <c r="E466" i="1" s="1"/>
  <c r="H466" i="1" s="1"/>
  <c r="B467" i="1"/>
  <c r="D467" i="1" s="1"/>
  <c r="G467" i="1" s="1"/>
  <c r="C467" i="1"/>
  <c r="E467" i="1" s="1"/>
  <c r="H467" i="1" s="1"/>
  <c r="B468" i="1"/>
  <c r="D468" i="1" s="1"/>
  <c r="G468" i="1" s="1"/>
  <c r="C468" i="1"/>
  <c r="E468" i="1" s="1"/>
  <c r="H468" i="1" s="1"/>
  <c r="B469" i="1"/>
  <c r="D469" i="1" s="1"/>
  <c r="G469" i="1" s="1"/>
  <c r="C469" i="1"/>
  <c r="E469" i="1" s="1"/>
  <c r="H469" i="1" s="1"/>
  <c r="B470" i="1"/>
  <c r="D470" i="1" s="1"/>
  <c r="G470" i="1" s="1"/>
  <c r="C470" i="1"/>
  <c r="E470" i="1" s="1"/>
  <c r="H470" i="1" s="1"/>
  <c r="B471" i="1"/>
  <c r="D471" i="1" s="1"/>
  <c r="G471" i="1" s="1"/>
  <c r="C471" i="1"/>
  <c r="E471" i="1" s="1"/>
  <c r="H471" i="1" s="1"/>
  <c r="B472" i="1"/>
  <c r="D472" i="1" s="1"/>
  <c r="G472" i="1" s="1"/>
  <c r="C472" i="1"/>
  <c r="E472" i="1" s="1"/>
  <c r="B473" i="1"/>
  <c r="D473" i="1" s="1"/>
  <c r="G473" i="1" s="1"/>
  <c r="C473" i="1"/>
  <c r="E473" i="1" s="1"/>
  <c r="H473" i="1" s="1"/>
  <c r="B474" i="1"/>
  <c r="D474" i="1" s="1"/>
  <c r="G474" i="1" s="1"/>
  <c r="C474" i="1"/>
  <c r="E474" i="1" s="1"/>
  <c r="H474" i="1" s="1"/>
  <c r="B475" i="1"/>
  <c r="D475" i="1" s="1"/>
  <c r="G475" i="1" s="1"/>
  <c r="C475" i="1"/>
  <c r="E475" i="1" s="1"/>
  <c r="H475" i="1" s="1"/>
  <c r="B476" i="1"/>
  <c r="D476" i="1" s="1"/>
  <c r="G476" i="1" s="1"/>
  <c r="C476" i="1"/>
  <c r="E476" i="1" s="1"/>
  <c r="H476" i="1" s="1"/>
  <c r="B477" i="1"/>
  <c r="D477" i="1" s="1"/>
  <c r="G477" i="1" s="1"/>
  <c r="C477" i="1"/>
  <c r="E477" i="1" s="1"/>
  <c r="H477" i="1" s="1"/>
  <c r="B478" i="1"/>
  <c r="D478" i="1" s="1"/>
  <c r="G478" i="1" s="1"/>
  <c r="C478" i="1"/>
  <c r="E478" i="1" s="1"/>
  <c r="H478" i="1" s="1"/>
  <c r="B479" i="1"/>
  <c r="D479" i="1" s="1"/>
  <c r="G479" i="1" s="1"/>
  <c r="C479" i="1"/>
  <c r="E479" i="1" s="1"/>
  <c r="H479" i="1" s="1"/>
  <c r="B480" i="1"/>
  <c r="D480" i="1" s="1"/>
  <c r="G480" i="1" s="1"/>
  <c r="C480" i="1"/>
  <c r="E480" i="1" s="1"/>
  <c r="H480" i="1" s="1"/>
  <c r="B481" i="1"/>
  <c r="D481" i="1" s="1"/>
  <c r="G481" i="1" s="1"/>
  <c r="C481" i="1"/>
  <c r="E481" i="1" s="1"/>
  <c r="H481" i="1" s="1"/>
  <c r="B482" i="1"/>
  <c r="D482" i="1" s="1"/>
  <c r="G482" i="1" s="1"/>
  <c r="C482" i="1"/>
  <c r="E482" i="1" s="1"/>
  <c r="H482" i="1" s="1"/>
  <c r="B483" i="1"/>
  <c r="D483" i="1" s="1"/>
  <c r="G483" i="1" s="1"/>
  <c r="Q483" i="1" s="1"/>
  <c r="S483" i="1" s="1"/>
  <c r="C483" i="1"/>
  <c r="E483" i="1" s="1"/>
  <c r="H483" i="1" s="1"/>
  <c r="R483" i="1" s="1"/>
  <c r="T483" i="1" s="1"/>
  <c r="B484" i="1"/>
  <c r="D484" i="1" s="1"/>
  <c r="G484" i="1" s="1"/>
  <c r="C484" i="1"/>
  <c r="E484" i="1" s="1"/>
  <c r="B485" i="1"/>
  <c r="D485" i="1" s="1"/>
  <c r="G485" i="1" s="1"/>
  <c r="C485" i="1"/>
  <c r="E485" i="1" s="1"/>
  <c r="H485" i="1" s="1"/>
  <c r="B486" i="1"/>
  <c r="D486" i="1" s="1"/>
  <c r="G486" i="1" s="1"/>
  <c r="C486" i="1"/>
  <c r="E486" i="1" s="1"/>
  <c r="H486" i="1" s="1"/>
  <c r="B487" i="1"/>
  <c r="D487" i="1" s="1"/>
  <c r="G487" i="1" s="1"/>
  <c r="C487" i="1"/>
  <c r="E487" i="1" s="1"/>
  <c r="H487" i="1" s="1"/>
  <c r="B488" i="1"/>
  <c r="D488" i="1" s="1"/>
  <c r="G488" i="1" s="1"/>
  <c r="C488" i="1"/>
  <c r="E488" i="1" s="1"/>
  <c r="H488" i="1" s="1"/>
  <c r="B489" i="1"/>
  <c r="D489" i="1" s="1"/>
  <c r="G489" i="1" s="1"/>
  <c r="C489" i="1"/>
  <c r="E489" i="1" s="1"/>
  <c r="H489" i="1" s="1"/>
  <c r="B490" i="1"/>
  <c r="D490" i="1" s="1"/>
  <c r="G490" i="1" s="1"/>
  <c r="C490" i="1"/>
  <c r="E490" i="1" s="1"/>
  <c r="B491" i="1"/>
  <c r="D491" i="1" s="1"/>
  <c r="G491" i="1" s="1"/>
  <c r="C491" i="1"/>
  <c r="E491" i="1" s="1"/>
  <c r="H491" i="1" s="1"/>
  <c r="B492" i="1"/>
  <c r="D492" i="1" s="1"/>
  <c r="G492" i="1" s="1"/>
  <c r="C492" i="1"/>
  <c r="E492" i="1" s="1"/>
  <c r="H492" i="1" s="1"/>
  <c r="B493" i="1"/>
  <c r="D493" i="1" s="1"/>
  <c r="G493" i="1" s="1"/>
  <c r="C493" i="1"/>
  <c r="E493" i="1" s="1"/>
  <c r="H493" i="1" s="1"/>
  <c r="B494" i="1"/>
  <c r="D494" i="1" s="1"/>
  <c r="G494" i="1" s="1"/>
  <c r="C494" i="1"/>
  <c r="E494" i="1" s="1"/>
  <c r="H494" i="1" s="1"/>
  <c r="B495" i="1"/>
  <c r="D495" i="1" s="1"/>
  <c r="G495" i="1" s="1"/>
  <c r="C495" i="1"/>
  <c r="E495" i="1" s="1"/>
  <c r="H495" i="1" s="1"/>
  <c r="B496" i="1"/>
  <c r="D496" i="1" s="1"/>
  <c r="G496" i="1" s="1"/>
  <c r="C496" i="1"/>
  <c r="E496" i="1" s="1"/>
  <c r="H496" i="1" s="1"/>
  <c r="B497" i="1"/>
  <c r="D497" i="1" s="1"/>
  <c r="G497" i="1" s="1"/>
  <c r="C497" i="1"/>
  <c r="E497" i="1" s="1"/>
  <c r="H497" i="1" s="1"/>
  <c r="B498" i="1"/>
  <c r="D498" i="1" s="1"/>
  <c r="G498" i="1" s="1"/>
  <c r="C498" i="1"/>
  <c r="E498" i="1" s="1"/>
  <c r="H498" i="1" s="1"/>
  <c r="B499" i="1"/>
  <c r="D499" i="1" s="1"/>
  <c r="G499" i="1" s="1"/>
  <c r="C499" i="1"/>
  <c r="E499" i="1" s="1"/>
  <c r="H499" i="1" s="1"/>
  <c r="B500" i="1"/>
  <c r="D500" i="1" s="1"/>
  <c r="G500" i="1" s="1"/>
  <c r="C500" i="1"/>
  <c r="E500" i="1" s="1"/>
  <c r="H500" i="1" s="1"/>
  <c r="B501" i="1"/>
  <c r="D501" i="1" s="1"/>
  <c r="G501" i="1" s="1"/>
  <c r="C501" i="1"/>
  <c r="E501" i="1" s="1"/>
  <c r="H501" i="1" s="1"/>
  <c r="B502" i="1"/>
  <c r="D502" i="1" s="1"/>
  <c r="G502" i="1" s="1"/>
  <c r="C502" i="1"/>
  <c r="E502" i="1" s="1"/>
  <c r="H502" i="1" s="1"/>
  <c r="R502" i="1" s="1"/>
  <c r="T502" i="1" s="1"/>
  <c r="B503" i="1"/>
  <c r="D503" i="1" s="1"/>
  <c r="G503" i="1" s="1"/>
  <c r="Q503" i="1" s="1"/>
  <c r="S503" i="1" s="1"/>
  <c r="C503" i="1"/>
  <c r="E503" i="1" s="1"/>
  <c r="H503" i="1" s="1"/>
  <c r="B504" i="1"/>
  <c r="D504" i="1" s="1"/>
  <c r="G504" i="1" s="1"/>
  <c r="C504" i="1"/>
  <c r="E504" i="1" s="1"/>
  <c r="H504" i="1" s="1"/>
  <c r="B505" i="1"/>
  <c r="D505" i="1" s="1"/>
  <c r="G505" i="1" s="1"/>
  <c r="C505" i="1"/>
  <c r="E505" i="1" s="1"/>
  <c r="H505" i="1" s="1"/>
  <c r="B506" i="1"/>
  <c r="D506" i="1" s="1"/>
  <c r="G506" i="1" s="1"/>
  <c r="C506" i="1"/>
  <c r="E506" i="1" s="1"/>
  <c r="H506" i="1" s="1"/>
  <c r="B507" i="1"/>
  <c r="D507" i="1" s="1"/>
  <c r="G507" i="1" s="1"/>
  <c r="C507" i="1"/>
  <c r="E507" i="1" s="1"/>
  <c r="H507" i="1" s="1"/>
  <c r="B508" i="1"/>
  <c r="D508" i="1" s="1"/>
  <c r="G508" i="1" s="1"/>
  <c r="C508" i="1"/>
  <c r="E508" i="1" s="1"/>
  <c r="H508" i="1" s="1"/>
  <c r="B509" i="1"/>
  <c r="D509" i="1" s="1"/>
  <c r="G509" i="1" s="1"/>
  <c r="Q509" i="1" s="1"/>
  <c r="S509" i="1" s="1"/>
  <c r="C509" i="1"/>
  <c r="E509" i="1" s="1"/>
  <c r="H509" i="1" s="1"/>
  <c r="B510" i="1"/>
  <c r="D510" i="1" s="1"/>
  <c r="G510" i="1" s="1"/>
  <c r="C510" i="1"/>
  <c r="E510" i="1" s="1"/>
  <c r="H510" i="1" s="1"/>
  <c r="B511" i="1"/>
  <c r="D511" i="1" s="1"/>
  <c r="G511" i="1" s="1"/>
  <c r="C511" i="1"/>
  <c r="E511" i="1" s="1"/>
  <c r="H511" i="1" s="1"/>
  <c r="B512" i="1"/>
  <c r="D512" i="1" s="1"/>
  <c r="G512" i="1" s="1"/>
  <c r="C512" i="1"/>
  <c r="E512" i="1" s="1"/>
  <c r="H512" i="1" s="1"/>
  <c r="B513" i="1"/>
  <c r="D513" i="1" s="1"/>
  <c r="G513" i="1" s="1"/>
  <c r="C513" i="1"/>
  <c r="E513" i="1" s="1"/>
  <c r="H513" i="1" s="1"/>
  <c r="B514" i="1"/>
  <c r="D514" i="1" s="1"/>
  <c r="G514" i="1" s="1"/>
  <c r="C514" i="1"/>
  <c r="E514" i="1" s="1"/>
  <c r="H514" i="1" s="1"/>
  <c r="B515" i="1"/>
  <c r="D515" i="1" s="1"/>
  <c r="G515" i="1" s="1"/>
  <c r="C515" i="1"/>
  <c r="E515" i="1" s="1"/>
  <c r="H515" i="1" s="1"/>
  <c r="B516" i="1"/>
  <c r="D516" i="1" s="1"/>
  <c r="G516" i="1" s="1"/>
  <c r="C516" i="1"/>
  <c r="E516" i="1" s="1"/>
  <c r="H516" i="1" s="1"/>
  <c r="B517" i="1"/>
  <c r="D517" i="1" s="1"/>
  <c r="C517" i="1"/>
  <c r="E517" i="1" s="1"/>
  <c r="H517" i="1" s="1"/>
  <c r="B518" i="1"/>
  <c r="D518" i="1" s="1"/>
  <c r="G518" i="1" s="1"/>
  <c r="C518" i="1"/>
  <c r="E518" i="1" s="1"/>
  <c r="H518" i="1" s="1"/>
  <c r="B519" i="1"/>
  <c r="D519" i="1" s="1"/>
  <c r="G519" i="1" s="1"/>
  <c r="Q519" i="1" s="1"/>
  <c r="S519" i="1" s="1"/>
  <c r="C519" i="1"/>
  <c r="E519" i="1" s="1"/>
  <c r="H519" i="1" s="1"/>
  <c r="B520" i="1"/>
  <c r="D520" i="1" s="1"/>
  <c r="G520" i="1" s="1"/>
  <c r="C520" i="1"/>
  <c r="E520" i="1" s="1"/>
  <c r="B521" i="1"/>
  <c r="D521" i="1" s="1"/>
  <c r="G521" i="1" s="1"/>
  <c r="C521" i="1"/>
  <c r="E521" i="1" s="1"/>
  <c r="H521" i="1" s="1"/>
  <c r="B522" i="1"/>
  <c r="D522" i="1" s="1"/>
  <c r="G522" i="1" s="1"/>
  <c r="C522" i="1"/>
  <c r="E522" i="1" s="1"/>
  <c r="H522" i="1" s="1"/>
  <c r="B523" i="1"/>
  <c r="D523" i="1" s="1"/>
  <c r="G523" i="1" s="1"/>
  <c r="Q523" i="1" s="1"/>
  <c r="S523" i="1" s="1"/>
  <c r="C523" i="1"/>
  <c r="E523" i="1" s="1"/>
  <c r="H523" i="1" s="1"/>
  <c r="R523" i="1" s="1"/>
  <c r="T523" i="1" s="1"/>
  <c r="B524" i="1"/>
  <c r="D524" i="1" s="1"/>
  <c r="G524" i="1" s="1"/>
  <c r="Q524" i="1" s="1"/>
  <c r="S524" i="1" s="1"/>
  <c r="C524" i="1"/>
  <c r="E524" i="1" s="1"/>
  <c r="H524" i="1" s="1"/>
  <c r="B525" i="1"/>
  <c r="D525" i="1" s="1"/>
  <c r="G525" i="1" s="1"/>
  <c r="C525" i="1"/>
  <c r="E525" i="1" s="1"/>
  <c r="H525" i="1" s="1"/>
  <c r="B526" i="1"/>
  <c r="D526" i="1" s="1"/>
  <c r="G526" i="1" s="1"/>
  <c r="C526" i="1"/>
  <c r="E526" i="1" s="1"/>
  <c r="H526" i="1" s="1"/>
  <c r="B527" i="1"/>
  <c r="D527" i="1" s="1"/>
  <c r="G527" i="1" s="1"/>
  <c r="C527" i="1"/>
  <c r="E527" i="1" s="1"/>
  <c r="H527" i="1" s="1"/>
  <c r="B528" i="1"/>
  <c r="D528" i="1" s="1"/>
  <c r="G528" i="1" s="1"/>
  <c r="C528" i="1"/>
  <c r="E528" i="1" s="1"/>
  <c r="H528" i="1" s="1"/>
  <c r="B529" i="1"/>
  <c r="D529" i="1" s="1"/>
  <c r="G529" i="1" s="1"/>
  <c r="C529" i="1"/>
  <c r="E529" i="1" s="1"/>
  <c r="H529" i="1" s="1"/>
  <c r="B530" i="1"/>
  <c r="D530" i="1" s="1"/>
  <c r="G530" i="1" s="1"/>
  <c r="C530" i="1"/>
  <c r="E530" i="1" s="1"/>
  <c r="H530" i="1" s="1"/>
  <c r="B531" i="1"/>
  <c r="D531" i="1" s="1"/>
  <c r="G531" i="1" s="1"/>
  <c r="C531" i="1"/>
  <c r="E531" i="1" s="1"/>
  <c r="H531" i="1" s="1"/>
  <c r="B532" i="1"/>
  <c r="D532" i="1" s="1"/>
  <c r="G532" i="1" s="1"/>
  <c r="C532" i="1"/>
  <c r="E532" i="1" s="1"/>
  <c r="H532" i="1" s="1"/>
  <c r="B533" i="1"/>
  <c r="D533" i="1" s="1"/>
  <c r="G533" i="1" s="1"/>
  <c r="C533" i="1"/>
  <c r="E533" i="1" s="1"/>
  <c r="H533" i="1" s="1"/>
  <c r="B534" i="1"/>
  <c r="D534" i="1" s="1"/>
  <c r="G534" i="1" s="1"/>
  <c r="C534" i="1"/>
  <c r="E534" i="1" s="1"/>
  <c r="H534" i="1" s="1"/>
  <c r="B535" i="1"/>
  <c r="D535" i="1" s="1"/>
  <c r="G535" i="1" s="1"/>
  <c r="Q535" i="1" s="1"/>
  <c r="S535" i="1" s="1"/>
  <c r="C535" i="1"/>
  <c r="E535" i="1" s="1"/>
  <c r="H535" i="1" s="1"/>
  <c r="R535" i="1" s="1"/>
  <c r="T535" i="1" s="1"/>
  <c r="B536" i="1"/>
  <c r="D536" i="1" s="1"/>
  <c r="G536" i="1" s="1"/>
  <c r="Q536" i="1" s="1"/>
  <c r="S536" i="1" s="1"/>
  <c r="C536" i="1"/>
  <c r="E536" i="1" s="1"/>
  <c r="H536" i="1" s="1"/>
  <c r="R536" i="1" s="1"/>
  <c r="T536" i="1" s="1"/>
  <c r="B537" i="1"/>
  <c r="D537" i="1" s="1"/>
  <c r="G537" i="1" s="1"/>
  <c r="C537" i="1"/>
  <c r="E537" i="1" s="1"/>
  <c r="H537" i="1" s="1"/>
  <c r="B538" i="1"/>
  <c r="D538" i="1" s="1"/>
  <c r="G538" i="1" s="1"/>
  <c r="C538" i="1"/>
  <c r="E538" i="1" s="1"/>
  <c r="B539" i="1"/>
  <c r="D539" i="1" s="1"/>
  <c r="G539" i="1" s="1"/>
  <c r="C539" i="1"/>
  <c r="E539" i="1" s="1"/>
  <c r="H539" i="1" s="1"/>
  <c r="B540" i="1"/>
  <c r="D540" i="1" s="1"/>
  <c r="G540" i="1" s="1"/>
  <c r="C540" i="1"/>
  <c r="E540" i="1" s="1"/>
  <c r="H540" i="1" s="1"/>
  <c r="B541" i="1"/>
  <c r="D541" i="1" s="1"/>
  <c r="G541" i="1" s="1"/>
  <c r="C541" i="1"/>
  <c r="E541" i="1" s="1"/>
  <c r="H541" i="1" s="1"/>
  <c r="B542" i="1"/>
  <c r="D542" i="1" s="1"/>
  <c r="G542" i="1" s="1"/>
  <c r="C542" i="1"/>
  <c r="E542" i="1" s="1"/>
  <c r="H542" i="1" s="1"/>
  <c r="B543" i="1"/>
  <c r="D543" i="1" s="1"/>
  <c r="C543" i="1"/>
  <c r="E543" i="1" s="1"/>
  <c r="H543" i="1" s="1"/>
  <c r="B544" i="1"/>
  <c r="D544" i="1" s="1"/>
  <c r="G544" i="1" s="1"/>
  <c r="C544" i="1"/>
  <c r="E544" i="1" s="1"/>
  <c r="H544" i="1" s="1"/>
  <c r="B545" i="1"/>
  <c r="D545" i="1" s="1"/>
  <c r="G545" i="1" s="1"/>
  <c r="C545" i="1"/>
  <c r="E545" i="1" s="1"/>
  <c r="H545" i="1" s="1"/>
  <c r="B546" i="1"/>
  <c r="D546" i="1" s="1"/>
  <c r="G546" i="1" s="1"/>
  <c r="C546" i="1"/>
  <c r="E546" i="1" s="1"/>
  <c r="H546" i="1" s="1"/>
  <c r="B547" i="1"/>
  <c r="D547" i="1" s="1"/>
  <c r="G547" i="1" s="1"/>
  <c r="Q547" i="1" s="1"/>
  <c r="S547" i="1" s="1"/>
  <c r="C547" i="1"/>
  <c r="E547" i="1" s="1"/>
  <c r="H547" i="1" s="1"/>
  <c r="R547" i="1" s="1"/>
  <c r="T547" i="1" s="1"/>
  <c r="B548" i="1"/>
  <c r="D548" i="1" s="1"/>
  <c r="G548" i="1" s="1"/>
  <c r="Q548" i="1" s="1"/>
  <c r="S548" i="1" s="1"/>
  <c r="C548" i="1"/>
  <c r="E548" i="1" s="1"/>
  <c r="H548" i="1" s="1"/>
  <c r="R548" i="1" s="1"/>
  <c r="T548" i="1" s="1"/>
  <c r="B549" i="1"/>
  <c r="D549" i="1" s="1"/>
  <c r="G549" i="1" s="1"/>
  <c r="C549" i="1"/>
  <c r="E549" i="1" s="1"/>
  <c r="H549" i="1" s="1"/>
  <c r="B550" i="1"/>
  <c r="D550" i="1" s="1"/>
  <c r="G550" i="1" s="1"/>
  <c r="C550" i="1"/>
  <c r="E550" i="1" s="1"/>
  <c r="H550" i="1" s="1"/>
  <c r="B551" i="1"/>
  <c r="D551" i="1" s="1"/>
  <c r="G551" i="1" s="1"/>
  <c r="C551" i="1"/>
  <c r="E551" i="1" s="1"/>
  <c r="H551" i="1" s="1"/>
  <c r="B552" i="1"/>
  <c r="D552" i="1" s="1"/>
  <c r="G552" i="1" s="1"/>
  <c r="C552" i="1"/>
  <c r="E552" i="1" s="1"/>
  <c r="H552" i="1" s="1"/>
  <c r="B553" i="1"/>
  <c r="D553" i="1" s="1"/>
  <c r="G553" i="1" s="1"/>
  <c r="C553" i="1"/>
  <c r="E553" i="1" s="1"/>
  <c r="H553" i="1" s="1"/>
  <c r="B554" i="1"/>
  <c r="D554" i="1" s="1"/>
  <c r="G554" i="1" s="1"/>
  <c r="C554" i="1"/>
  <c r="E554" i="1" s="1"/>
  <c r="H554" i="1" s="1"/>
  <c r="B555" i="1"/>
  <c r="D555" i="1" s="1"/>
  <c r="G555" i="1" s="1"/>
  <c r="C555" i="1"/>
  <c r="E555" i="1" s="1"/>
  <c r="H555" i="1" s="1"/>
  <c r="B556" i="1"/>
  <c r="D556" i="1" s="1"/>
  <c r="G556" i="1" s="1"/>
  <c r="C556" i="1"/>
  <c r="E556" i="1" s="1"/>
  <c r="H556" i="1" s="1"/>
  <c r="B557" i="1"/>
  <c r="D557" i="1" s="1"/>
  <c r="G557" i="1" s="1"/>
  <c r="C557" i="1"/>
  <c r="E557" i="1" s="1"/>
  <c r="H557" i="1" s="1"/>
  <c r="B558" i="1"/>
  <c r="D558" i="1" s="1"/>
  <c r="G558" i="1" s="1"/>
  <c r="C558" i="1"/>
  <c r="E558" i="1" s="1"/>
  <c r="H558" i="1" s="1"/>
  <c r="B559" i="1"/>
  <c r="D559" i="1" s="1"/>
  <c r="G559" i="1" s="1"/>
  <c r="Q559" i="1" s="1"/>
  <c r="S559" i="1" s="1"/>
  <c r="C559" i="1"/>
  <c r="E559" i="1" s="1"/>
  <c r="H559" i="1" s="1"/>
  <c r="R559" i="1" s="1"/>
  <c r="T559" i="1" s="1"/>
  <c r="B560" i="1"/>
  <c r="D560" i="1" s="1"/>
  <c r="G560" i="1" s="1"/>
  <c r="Q560" i="1" s="1"/>
  <c r="S560" i="1" s="1"/>
  <c r="C560" i="1"/>
  <c r="E560" i="1" s="1"/>
  <c r="H560" i="1" s="1"/>
  <c r="R560" i="1" s="1"/>
  <c r="T560" i="1" s="1"/>
  <c r="B561" i="1"/>
  <c r="D561" i="1" s="1"/>
  <c r="G561" i="1" s="1"/>
  <c r="C561" i="1"/>
  <c r="E561" i="1" s="1"/>
  <c r="H561" i="1" s="1"/>
  <c r="B562" i="1"/>
  <c r="D562" i="1" s="1"/>
  <c r="G562" i="1" s="1"/>
  <c r="C562" i="1"/>
  <c r="E562" i="1" s="1"/>
  <c r="H562" i="1" s="1"/>
  <c r="B563" i="1"/>
  <c r="D563" i="1" s="1"/>
  <c r="G563" i="1" s="1"/>
  <c r="C563" i="1"/>
  <c r="E563" i="1" s="1"/>
  <c r="H563" i="1" s="1"/>
  <c r="B564" i="1"/>
  <c r="D564" i="1" s="1"/>
  <c r="G564" i="1" s="1"/>
  <c r="C564" i="1"/>
  <c r="E564" i="1" s="1"/>
  <c r="H564" i="1" s="1"/>
  <c r="B565" i="1"/>
  <c r="D565" i="1" s="1"/>
  <c r="G565" i="1" s="1"/>
  <c r="C565" i="1"/>
  <c r="E565" i="1" s="1"/>
  <c r="H565" i="1" s="1"/>
  <c r="B566" i="1"/>
  <c r="D566" i="1" s="1"/>
  <c r="G566" i="1" s="1"/>
  <c r="C566" i="1"/>
  <c r="E566" i="1" s="1"/>
  <c r="H566" i="1" s="1"/>
  <c r="B567" i="1"/>
  <c r="D567" i="1" s="1"/>
  <c r="G567" i="1" s="1"/>
  <c r="C567" i="1"/>
  <c r="E567" i="1" s="1"/>
  <c r="H567" i="1" s="1"/>
  <c r="B568" i="1"/>
  <c r="D568" i="1" s="1"/>
  <c r="G568" i="1" s="1"/>
  <c r="C568" i="1"/>
  <c r="E568" i="1" s="1"/>
  <c r="H568" i="1" s="1"/>
  <c r="B569" i="1"/>
  <c r="D569" i="1" s="1"/>
  <c r="G569" i="1" s="1"/>
  <c r="C569" i="1"/>
  <c r="E569" i="1" s="1"/>
  <c r="H569" i="1" s="1"/>
  <c r="B570" i="1"/>
  <c r="D570" i="1" s="1"/>
  <c r="G570" i="1" s="1"/>
  <c r="C570" i="1"/>
  <c r="E570" i="1" s="1"/>
  <c r="H570" i="1" s="1"/>
  <c r="B571" i="1"/>
  <c r="D571" i="1" s="1"/>
  <c r="G571" i="1" s="1"/>
  <c r="Q571" i="1" s="1"/>
  <c r="S571" i="1" s="1"/>
  <c r="C571" i="1"/>
  <c r="E571" i="1" s="1"/>
  <c r="H571" i="1" s="1"/>
  <c r="R571" i="1" s="1"/>
  <c r="T571" i="1" s="1"/>
  <c r="B572" i="1"/>
  <c r="D572" i="1" s="1"/>
  <c r="G572" i="1" s="1"/>
  <c r="Q572" i="1" s="1"/>
  <c r="S572" i="1" s="1"/>
  <c r="C572" i="1"/>
  <c r="E572" i="1" s="1"/>
  <c r="H572" i="1" s="1"/>
  <c r="R572" i="1" s="1"/>
  <c r="T572" i="1" s="1"/>
  <c r="B573" i="1"/>
  <c r="D573" i="1" s="1"/>
  <c r="G573" i="1" s="1"/>
  <c r="C573" i="1"/>
  <c r="E573" i="1" s="1"/>
  <c r="H573" i="1" s="1"/>
  <c r="B574" i="1"/>
  <c r="D574" i="1" s="1"/>
  <c r="G574" i="1" s="1"/>
  <c r="C574" i="1"/>
  <c r="E574" i="1" s="1"/>
  <c r="H574" i="1" s="1"/>
  <c r="B575" i="1"/>
  <c r="D575" i="1" s="1"/>
  <c r="G575" i="1" s="1"/>
  <c r="C575" i="1"/>
  <c r="E575" i="1" s="1"/>
  <c r="H575" i="1" s="1"/>
  <c r="B576" i="1"/>
  <c r="D576" i="1" s="1"/>
  <c r="G576" i="1" s="1"/>
  <c r="C576" i="1"/>
  <c r="E576" i="1" s="1"/>
  <c r="H576" i="1" s="1"/>
  <c r="B577" i="1"/>
  <c r="D577" i="1" s="1"/>
  <c r="G577" i="1" s="1"/>
  <c r="C577" i="1"/>
  <c r="E577" i="1" s="1"/>
  <c r="H577" i="1" s="1"/>
  <c r="B578" i="1"/>
  <c r="D578" i="1" s="1"/>
  <c r="G578" i="1" s="1"/>
  <c r="C578" i="1"/>
  <c r="E578" i="1" s="1"/>
  <c r="H578" i="1" s="1"/>
  <c r="B579" i="1"/>
  <c r="D579" i="1" s="1"/>
  <c r="G579" i="1" s="1"/>
  <c r="C579" i="1"/>
  <c r="E579" i="1" s="1"/>
  <c r="H579" i="1" s="1"/>
  <c r="B580" i="1"/>
  <c r="D580" i="1" s="1"/>
  <c r="G580" i="1" s="1"/>
  <c r="C580" i="1"/>
  <c r="E580" i="1" s="1"/>
  <c r="H580" i="1" s="1"/>
  <c r="B581" i="1"/>
  <c r="D581" i="1" s="1"/>
  <c r="G581" i="1" s="1"/>
  <c r="C581" i="1"/>
  <c r="E581" i="1" s="1"/>
  <c r="H581" i="1" s="1"/>
  <c r="B582" i="1"/>
  <c r="D582" i="1" s="1"/>
  <c r="G582" i="1" s="1"/>
  <c r="C582" i="1"/>
  <c r="E582" i="1" s="1"/>
  <c r="H582" i="1" s="1"/>
  <c r="R582" i="1" s="1"/>
  <c r="T582" i="1" s="1"/>
  <c r="B583" i="1"/>
  <c r="D583" i="1" s="1"/>
  <c r="G583" i="1" s="1"/>
  <c r="Q583" i="1" s="1"/>
  <c r="S583" i="1" s="1"/>
  <c r="C583" i="1"/>
  <c r="E583" i="1" s="1"/>
  <c r="H583" i="1" s="1"/>
  <c r="R583" i="1" s="1"/>
  <c r="T583" i="1" s="1"/>
  <c r="B584" i="1"/>
  <c r="D584" i="1" s="1"/>
  <c r="G584" i="1" s="1"/>
  <c r="Q584" i="1" s="1"/>
  <c r="S584" i="1" s="1"/>
  <c r="C584" i="1"/>
  <c r="E584" i="1" s="1"/>
  <c r="H584" i="1" s="1"/>
  <c r="B585" i="1"/>
  <c r="D585" i="1" s="1"/>
  <c r="G585" i="1" s="1"/>
  <c r="C585" i="1"/>
  <c r="E585" i="1" s="1"/>
  <c r="H585" i="1" s="1"/>
  <c r="B586" i="1"/>
  <c r="D586" i="1" s="1"/>
  <c r="G586" i="1" s="1"/>
  <c r="C586" i="1"/>
  <c r="E586" i="1" s="1"/>
  <c r="B587" i="1"/>
  <c r="D587" i="1" s="1"/>
  <c r="G587" i="1" s="1"/>
  <c r="C587" i="1"/>
  <c r="E587" i="1" s="1"/>
  <c r="H587" i="1" s="1"/>
  <c r="B588" i="1"/>
  <c r="D588" i="1" s="1"/>
  <c r="G588" i="1" s="1"/>
  <c r="C588" i="1"/>
  <c r="E588" i="1" s="1"/>
  <c r="H588" i="1" s="1"/>
  <c r="B589" i="1"/>
  <c r="D589" i="1" s="1"/>
  <c r="G589" i="1" s="1"/>
  <c r="C589" i="1"/>
  <c r="E589" i="1" s="1"/>
  <c r="H589" i="1" s="1"/>
  <c r="B590" i="1"/>
  <c r="D590" i="1" s="1"/>
  <c r="G590" i="1" s="1"/>
  <c r="C590" i="1"/>
  <c r="E590" i="1" s="1"/>
  <c r="H590" i="1" s="1"/>
  <c r="B591" i="1"/>
  <c r="D591" i="1" s="1"/>
  <c r="G591" i="1" s="1"/>
  <c r="Q591" i="1" s="1"/>
  <c r="S591" i="1" s="1"/>
  <c r="C591" i="1"/>
  <c r="E591" i="1" s="1"/>
  <c r="H591" i="1" s="1"/>
  <c r="B592" i="1"/>
  <c r="D592" i="1" s="1"/>
  <c r="G592" i="1" s="1"/>
  <c r="C592" i="1"/>
  <c r="E592" i="1" s="1"/>
  <c r="H592" i="1" s="1"/>
  <c r="B593" i="1"/>
  <c r="D593" i="1" s="1"/>
  <c r="G593" i="1" s="1"/>
  <c r="C593" i="1"/>
  <c r="E593" i="1" s="1"/>
  <c r="H593" i="1" s="1"/>
  <c r="B594" i="1"/>
  <c r="D594" i="1" s="1"/>
  <c r="G594" i="1" s="1"/>
  <c r="C594" i="1"/>
  <c r="E594" i="1" s="1"/>
  <c r="H594" i="1" s="1"/>
  <c r="R594" i="1" s="1"/>
  <c r="T594" i="1" s="1"/>
  <c r="B595" i="1"/>
  <c r="D595" i="1" s="1"/>
  <c r="G595" i="1" s="1"/>
  <c r="Q595" i="1" s="1"/>
  <c r="S595" i="1" s="1"/>
  <c r="C595" i="1"/>
  <c r="E595" i="1" s="1"/>
  <c r="H595" i="1" s="1"/>
  <c r="B596" i="1"/>
  <c r="D596" i="1" s="1"/>
  <c r="G596" i="1" s="1"/>
  <c r="C596" i="1"/>
  <c r="E596" i="1" s="1"/>
  <c r="H596" i="1" s="1"/>
  <c r="B597" i="1"/>
  <c r="D597" i="1" s="1"/>
  <c r="G597" i="1" s="1"/>
  <c r="C597" i="1"/>
  <c r="E597" i="1" s="1"/>
  <c r="H597" i="1" s="1"/>
  <c r="B598" i="1"/>
  <c r="D598" i="1" s="1"/>
  <c r="G598" i="1" s="1"/>
  <c r="C598" i="1"/>
  <c r="E598" i="1" s="1"/>
  <c r="H598" i="1" s="1"/>
  <c r="B599" i="1"/>
  <c r="D599" i="1" s="1"/>
  <c r="G599" i="1" s="1"/>
  <c r="C599" i="1"/>
  <c r="E599" i="1" s="1"/>
  <c r="H599" i="1" s="1"/>
  <c r="B600" i="1"/>
  <c r="D600" i="1" s="1"/>
  <c r="G600" i="1" s="1"/>
  <c r="C600" i="1"/>
  <c r="E600" i="1" s="1"/>
  <c r="H600" i="1" s="1"/>
  <c r="B601" i="1"/>
  <c r="D601" i="1" s="1"/>
  <c r="G601" i="1" s="1"/>
  <c r="C601" i="1"/>
  <c r="E601" i="1" s="1"/>
  <c r="H601" i="1" s="1"/>
  <c r="B602" i="1"/>
  <c r="D602" i="1" s="1"/>
  <c r="G602" i="1" s="1"/>
  <c r="Q602" i="1" s="1"/>
  <c r="S602" i="1" s="1"/>
  <c r="C602" i="1"/>
  <c r="E602" i="1" s="1"/>
  <c r="H602" i="1" s="1"/>
  <c r="R602" i="1" s="1"/>
  <c r="T602" i="1" s="1"/>
  <c r="B603" i="1"/>
  <c r="D603" i="1" s="1"/>
  <c r="G603" i="1" s="1"/>
  <c r="Q603" i="1" s="1"/>
  <c r="S603" i="1" s="1"/>
  <c r="C603" i="1"/>
  <c r="E603" i="1" s="1"/>
  <c r="H603" i="1" s="1"/>
  <c r="B604" i="1"/>
  <c r="D604" i="1" s="1"/>
  <c r="G604" i="1" s="1"/>
  <c r="C604" i="1"/>
  <c r="E604" i="1" s="1"/>
  <c r="H604" i="1" s="1"/>
  <c r="B605" i="1"/>
  <c r="D605" i="1" s="1"/>
  <c r="G605" i="1" s="1"/>
  <c r="C605" i="1"/>
  <c r="E605" i="1" s="1"/>
  <c r="H605" i="1" s="1"/>
  <c r="B606" i="1"/>
  <c r="D606" i="1" s="1"/>
  <c r="G606" i="1" s="1"/>
  <c r="C606" i="1"/>
  <c r="E606" i="1" s="1"/>
  <c r="H606" i="1" s="1"/>
  <c r="B607" i="1"/>
  <c r="D607" i="1" s="1"/>
  <c r="G607" i="1" s="1"/>
  <c r="C607" i="1"/>
  <c r="E607" i="1" s="1"/>
  <c r="H607" i="1" s="1"/>
  <c r="B608" i="1"/>
  <c r="D608" i="1" s="1"/>
  <c r="G608" i="1" s="1"/>
  <c r="C608" i="1"/>
  <c r="E608" i="1" s="1"/>
  <c r="H608" i="1" s="1"/>
  <c r="B609" i="1"/>
  <c r="D609" i="1" s="1"/>
  <c r="G609" i="1" s="1"/>
  <c r="C609" i="1"/>
  <c r="E609" i="1" s="1"/>
  <c r="H609" i="1" s="1"/>
  <c r="B610" i="1"/>
  <c r="D610" i="1" s="1"/>
  <c r="G610" i="1" s="1"/>
  <c r="C610" i="1"/>
  <c r="E610" i="1" s="1"/>
  <c r="H610" i="1" s="1"/>
  <c r="B611" i="1"/>
  <c r="D611" i="1" s="1"/>
  <c r="G611" i="1" s="1"/>
  <c r="C611" i="1"/>
  <c r="E611" i="1" s="1"/>
  <c r="H611" i="1" s="1"/>
  <c r="B612" i="1"/>
  <c r="D612" i="1" s="1"/>
  <c r="G612" i="1" s="1"/>
  <c r="C612" i="1"/>
  <c r="E612" i="1" s="1"/>
  <c r="H612" i="1" s="1"/>
  <c r="B613" i="1"/>
  <c r="D613" i="1" s="1"/>
  <c r="C613" i="1"/>
  <c r="E613" i="1" s="1"/>
  <c r="H613" i="1" s="1"/>
  <c r="R613" i="1" s="1"/>
  <c r="T613" i="1" s="1"/>
  <c r="B614" i="1"/>
  <c r="D614" i="1" s="1"/>
  <c r="G614" i="1" s="1"/>
  <c r="Q614" i="1" s="1"/>
  <c r="S614" i="1" s="1"/>
  <c r="C614" i="1"/>
  <c r="E614" i="1" s="1"/>
  <c r="H614" i="1" s="1"/>
  <c r="R614" i="1" s="1"/>
  <c r="T614" i="1" s="1"/>
  <c r="B615" i="1"/>
  <c r="D615" i="1" s="1"/>
  <c r="G615" i="1" s="1"/>
  <c r="C615" i="1"/>
  <c r="E615" i="1" s="1"/>
  <c r="H615" i="1" s="1"/>
  <c r="B616" i="1"/>
  <c r="D616" i="1" s="1"/>
  <c r="G616" i="1" s="1"/>
  <c r="C616" i="1"/>
  <c r="E616" i="1" s="1"/>
  <c r="B617" i="1"/>
  <c r="D617" i="1" s="1"/>
  <c r="G617" i="1" s="1"/>
  <c r="C617" i="1"/>
  <c r="E617" i="1" s="1"/>
  <c r="H617" i="1" s="1"/>
  <c r="B618" i="1"/>
  <c r="D618" i="1" s="1"/>
  <c r="G618" i="1" s="1"/>
  <c r="C618" i="1"/>
  <c r="E618" i="1" s="1"/>
  <c r="H618" i="1" s="1"/>
  <c r="B619" i="1"/>
  <c r="D619" i="1" s="1"/>
  <c r="G619" i="1" s="1"/>
  <c r="C619" i="1"/>
  <c r="E619" i="1" s="1"/>
  <c r="H619" i="1" s="1"/>
  <c r="B620" i="1"/>
  <c r="D620" i="1" s="1"/>
  <c r="G620" i="1" s="1"/>
  <c r="C620" i="1"/>
  <c r="E620" i="1" s="1"/>
  <c r="H620" i="1" s="1"/>
  <c r="B621" i="1"/>
  <c r="D621" i="1" s="1"/>
  <c r="G621" i="1" s="1"/>
  <c r="C621" i="1"/>
  <c r="E621" i="1" s="1"/>
  <c r="H621" i="1" s="1"/>
  <c r="B622" i="1"/>
  <c r="D622" i="1" s="1"/>
  <c r="G622" i="1" s="1"/>
  <c r="C622" i="1"/>
  <c r="E622" i="1" s="1"/>
  <c r="H622" i="1" s="1"/>
  <c r="B623" i="1"/>
  <c r="D623" i="1" s="1"/>
  <c r="G623" i="1" s="1"/>
  <c r="C623" i="1"/>
  <c r="E623" i="1" s="1"/>
  <c r="H623" i="1" s="1"/>
  <c r="B624" i="1"/>
  <c r="D624" i="1" s="1"/>
  <c r="G624" i="1" s="1"/>
  <c r="C624" i="1"/>
  <c r="E624" i="1" s="1"/>
  <c r="H624" i="1" s="1"/>
  <c r="R624" i="1" s="1"/>
  <c r="T624" i="1" s="1"/>
  <c r="B625" i="1"/>
  <c r="D625" i="1" s="1"/>
  <c r="G625" i="1" s="1"/>
  <c r="Q625" i="1" s="1"/>
  <c r="S625" i="1" s="1"/>
  <c r="C625" i="1"/>
  <c r="E625" i="1" s="1"/>
  <c r="H625" i="1" s="1"/>
  <c r="R625" i="1" s="1"/>
  <c r="T625" i="1" s="1"/>
  <c r="B626" i="1"/>
  <c r="D626" i="1" s="1"/>
  <c r="G626" i="1" s="1"/>
  <c r="C626" i="1"/>
  <c r="E626" i="1" s="1"/>
  <c r="H626" i="1" s="1"/>
  <c r="B627" i="1"/>
  <c r="D627" i="1" s="1"/>
  <c r="G627" i="1" s="1"/>
  <c r="C627" i="1"/>
  <c r="E627" i="1" s="1"/>
  <c r="H627" i="1" s="1"/>
  <c r="B628" i="1"/>
  <c r="D628" i="1" s="1"/>
  <c r="G628" i="1" s="1"/>
  <c r="C628" i="1"/>
  <c r="E628" i="1" s="1"/>
  <c r="H628" i="1" s="1"/>
  <c r="B629" i="1"/>
  <c r="D629" i="1" s="1"/>
  <c r="G629" i="1" s="1"/>
  <c r="C629" i="1"/>
  <c r="E629" i="1" s="1"/>
  <c r="H629" i="1" s="1"/>
  <c r="B630" i="1"/>
  <c r="D630" i="1" s="1"/>
  <c r="G630" i="1" s="1"/>
  <c r="C630" i="1"/>
  <c r="E630" i="1" s="1"/>
  <c r="H630" i="1" s="1"/>
  <c r="B631" i="1"/>
  <c r="D631" i="1" s="1"/>
  <c r="G631" i="1" s="1"/>
  <c r="C631" i="1"/>
  <c r="E631" i="1" s="1"/>
  <c r="H631" i="1" s="1"/>
  <c r="B632" i="1"/>
  <c r="D632" i="1" s="1"/>
  <c r="G632" i="1" s="1"/>
  <c r="C632" i="1"/>
  <c r="E632" i="1" s="1"/>
  <c r="H632" i="1" s="1"/>
  <c r="R632" i="1" s="1"/>
  <c r="T632" i="1" s="1"/>
  <c r="B633" i="1"/>
  <c r="D633" i="1" s="1"/>
  <c r="G633" i="1" s="1"/>
  <c r="Q633" i="1" s="1"/>
  <c r="S633" i="1" s="1"/>
  <c r="C633" i="1"/>
  <c r="E633" i="1" s="1"/>
  <c r="H633" i="1" s="1"/>
  <c r="B634" i="1"/>
  <c r="D634" i="1" s="1"/>
  <c r="G634" i="1" s="1"/>
  <c r="C634" i="1"/>
  <c r="E634" i="1" s="1"/>
  <c r="B635" i="1"/>
  <c r="D635" i="1" s="1"/>
  <c r="G635" i="1" s="1"/>
  <c r="C635" i="1"/>
  <c r="E635" i="1" s="1"/>
  <c r="H635" i="1" s="1"/>
  <c r="B636" i="1"/>
  <c r="D636" i="1" s="1"/>
  <c r="G636" i="1" s="1"/>
  <c r="C636" i="1"/>
  <c r="E636" i="1" s="1"/>
  <c r="H636" i="1" s="1"/>
  <c r="R636" i="1" s="1"/>
  <c r="T636" i="1" s="1"/>
  <c r="B637" i="1"/>
  <c r="D637" i="1" s="1"/>
  <c r="G637" i="1" s="1"/>
  <c r="C637" i="1"/>
  <c r="E637" i="1" s="1"/>
  <c r="H637" i="1" s="1"/>
  <c r="B638" i="1"/>
  <c r="D638" i="1" s="1"/>
  <c r="G638" i="1" s="1"/>
  <c r="C638" i="1"/>
  <c r="E638" i="1" s="1"/>
  <c r="H638" i="1" s="1"/>
  <c r="B639" i="1"/>
  <c r="D639" i="1" s="1"/>
  <c r="G639" i="1" s="1"/>
  <c r="C639" i="1"/>
  <c r="E639" i="1" s="1"/>
  <c r="H639" i="1" s="1"/>
  <c r="B640" i="1"/>
  <c r="D640" i="1" s="1"/>
  <c r="G640" i="1" s="1"/>
  <c r="C640" i="1"/>
  <c r="E640" i="1" s="1"/>
  <c r="H640" i="1" s="1"/>
  <c r="B641" i="1"/>
  <c r="D641" i="1" s="1"/>
  <c r="G641" i="1" s="1"/>
  <c r="C641" i="1"/>
  <c r="E641" i="1" s="1"/>
  <c r="H641" i="1" s="1"/>
  <c r="B642" i="1"/>
  <c r="D642" i="1" s="1"/>
  <c r="G642" i="1" s="1"/>
  <c r="C642" i="1"/>
  <c r="E642" i="1" s="1"/>
  <c r="H642" i="1" s="1"/>
  <c r="B643" i="1"/>
  <c r="D643" i="1" s="1"/>
  <c r="G643" i="1" s="1"/>
  <c r="C643" i="1"/>
  <c r="E643" i="1" s="1"/>
  <c r="H643" i="1" s="1"/>
  <c r="R643" i="1" s="1"/>
  <c r="T643" i="1" s="1"/>
  <c r="B644" i="1"/>
  <c r="D644" i="1" s="1"/>
  <c r="G644" i="1" s="1"/>
  <c r="Q644" i="1" s="1"/>
  <c r="S644" i="1" s="1"/>
  <c r="C644" i="1"/>
  <c r="E644" i="1" s="1"/>
  <c r="H644" i="1" s="1"/>
  <c r="R644" i="1" s="1"/>
  <c r="T644" i="1" s="1"/>
  <c r="B645" i="1"/>
  <c r="D645" i="1" s="1"/>
  <c r="G645" i="1" s="1"/>
  <c r="Q645" i="1" s="1"/>
  <c r="S645" i="1" s="1"/>
  <c r="C645" i="1"/>
  <c r="E645" i="1" s="1"/>
  <c r="H645" i="1" s="1"/>
  <c r="B646" i="1"/>
  <c r="D646" i="1" s="1"/>
  <c r="G646" i="1" s="1"/>
  <c r="C646" i="1"/>
  <c r="E646" i="1" s="1"/>
  <c r="H646" i="1" s="1"/>
  <c r="B647" i="1"/>
  <c r="D647" i="1" s="1"/>
  <c r="G647" i="1" s="1"/>
  <c r="C647" i="1"/>
  <c r="E647" i="1" s="1"/>
  <c r="H647" i="1" s="1"/>
  <c r="B648" i="1"/>
  <c r="D648" i="1" s="1"/>
  <c r="G648" i="1" s="1"/>
  <c r="C648" i="1"/>
  <c r="E648" i="1" s="1"/>
  <c r="H648" i="1" s="1"/>
  <c r="B649" i="1"/>
  <c r="D649" i="1" s="1"/>
  <c r="G649" i="1" s="1"/>
  <c r="C649" i="1"/>
  <c r="E649" i="1" s="1"/>
  <c r="H649" i="1" s="1"/>
  <c r="B650" i="1"/>
  <c r="D650" i="1" s="1"/>
  <c r="G650" i="1" s="1"/>
  <c r="C650" i="1"/>
  <c r="E650" i="1" s="1"/>
  <c r="H650" i="1" s="1"/>
  <c r="B651" i="1"/>
  <c r="D651" i="1" s="1"/>
  <c r="G651" i="1" s="1"/>
  <c r="C651" i="1"/>
  <c r="E651" i="1" s="1"/>
  <c r="H651" i="1" s="1"/>
  <c r="B652" i="1"/>
  <c r="D652" i="1" s="1"/>
  <c r="G652" i="1" s="1"/>
  <c r="C652" i="1"/>
  <c r="E652" i="1" s="1"/>
  <c r="H652" i="1" s="1"/>
  <c r="B653" i="1"/>
  <c r="D653" i="1" s="1"/>
  <c r="G653" i="1" s="1"/>
  <c r="C653" i="1"/>
  <c r="E653" i="1" s="1"/>
  <c r="H653" i="1" s="1"/>
  <c r="B654" i="1"/>
  <c r="D654" i="1" s="1"/>
  <c r="G654" i="1" s="1"/>
  <c r="C654" i="1"/>
  <c r="E654" i="1" s="1"/>
  <c r="H654" i="1" s="1"/>
  <c r="R654" i="1" s="1"/>
  <c r="T654" i="1" s="1"/>
  <c r="B655" i="1"/>
  <c r="D655" i="1" s="1"/>
  <c r="G655" i="1" s="1"/>
  <c r="Q655" i="1" s="1"/>
  <c r="S655" i="1" s="1"/>
  <c r="C655" i="1"/>
  <c r="E655" i="1" s="1"/>
  <c r="H655" i="1" s="1"/>
  <c r="R655" i="1" s="1"/>
  <c r="T655" i="1" s="1"/>
  <c r="B656" i="1"/>
  <c r="D656" i="1" s="1"/>
  <c r="G656" i="1" s="1"/>
  <c r="Q656" i="1" s="1"/>
  <c r="S656" i="1" s="1"/>
  <c r="C656" i="1"/>
  <c r="E656" i="1" s="1"/>
  <c r="H656" i="1" s="1"/>
  <c r="B657" i="1"/>
  <c r="D657" i="1" s="1"/>
  <c r="G657" i="1" s="1"/>
  <c r="C657" i="1"/>
  <c r="E657" i="1" s="1"/>
  <c r="H657" i="1" s="1"/>
  <c r="B658" i="1"/>
  <c r="D658" i="1" s="1"/>
  <c r="G658" i="1" s="1"/>
  <c r="C658" i="1"/>
  <c r="E658" i="1" s="1"/>
  <c r="H658" i="1" s="1"/>
  <c r="B659" i="1"/>
  <c r="D659" i="1" s="1"/>
  <c r="G659" i="1" s="1"/>
  <c r="C659" i="1"/>
  <c r="E659" i="1" s="1"/>
  <c r="H659" i="1" s="1"/>
  <c r="B660" i="1"/>
  <c r="D660" i="1" s="1"/>
  <c r="G660" i="1" s="1"/>
  <c r="C660" i="1"/>
  <c r="E660" i="1" s="1"/>
  <c r="H660" i="1" s="1"/>
  <c r="B661" i="1"/>
  <c r="D661" i="1" s="1"/>
  <c r="G661" i="1" s="1"/>
  <c r="C661" i="1"/>
  <c r="E661" i="1" s="1"/>
  <c r="H661" i="1" s="1"/>
  <c r="B662" i="1"/>
  <c r="D662" i="1" s="1"/>
  <c r="G662" i="1" s="1"/>
  <c r="C662" i="1"/>
  <c r="E662" i="1" s="1"/>
  <c r="H662" i="1" s="1"/>
  <c r="B663" i="1"/>
  <c r="D663" i="1" s="1"/>
  <c r="G663" i="1" s="1"/>
  <c r="Q663" i="1" s="1"/>
  <c r="S663" i="1" s="1"/>
  <c r="C663" i="1"/>
  <c r="E663" i="1" s="1"/>
  <c r="H663" i="1" s="1"/>
  <c r="B664" i="1"/>
  <c r="D664" i="1" s="1"/>
  <c r="G664" i="1" s="1"/>
  <c r="C664" i="1"/>
  <c r="E664" i="1" s="1"/>
  <c r="B665" i="1"/>
  <c r="D665" i="1" s="1"/>
  <c r="G665" i="1" s="1"/>
  <c r="C665" i="1"/>
  <c r="E665" i="1" s="1"/>
  <c r="H665" i="1" s="1"/>
  <c r="B666" i="1"/>
  <c r="D666" i="1" s="1"/>
  <c r="G666" i="1" s="1"/>
  <c r="C666" i="1"/>
  <c r="E666" i="1" s="1"/>
  <c r="H666" i="1" s="1"/>
  <c r="R666" i="1" s="1"/>
  <c r="T666" i="1" s="1"/>
  <c r="B667" i="1"/>
  <c r="D667" i="1" s="1"/>
  <c r="G667" i="1" s="1"/>
  <c r="Q667" i="1" s="1"/>
  <c r="S667" i="1" s="1"/>
  <c r="C667" i="1"/>
  <c r="E667" i="1" s="1"/>
  <c r="H667" i="1" s="1"/>
  <c r="B668" i="1"/>
  <c r="D668" i="1" s="1"/>
  <c r="G668" i="1" s="1"/>
  <c r="C668" i="1"/>
  <c r="E668" i="1" s="1"/>
  <c r="H668" i="1" s="1"/>
  <c r="B669" i="1"/>
  <c r="D669" i="1" s="1"/>
  <c r="G669" i="1" s="1"/>
  <c r="C669" i="1"/>
  <c r="E669" i="1" s="1"/>
  <c r="H669" i="1" s="1"/>
  <c r="B670" i="1"/>
  <c r="D670" i="1" s="1"/>
  <c r="G670" i="1" s="1"/>
  <c r="C670" i="1"/>
  <c r="E670" i="1" s="1"/>
  <c r="H670" i="1" s="1"/>
  <c r="B671" i="1"/>
  <c r="D671" i="1" s="1"/>
  <c r="G671" i="1" s="1"/>
  <c r="C671" i="1"/>
  <c r="E671" i="1" s="1"/>
  <c r="H671" i="1" s="1"/>
  <c r="B672" i="1"/>
  <c r="D672" i="1" s="1"/>
  <c r="G672" i="1" s="1"/>
  <c r="C672" i="1"/>
  <c r="E672" i="1" s="1"/>
  <c r="H672" i="1" s="1"/>
  <c r="B673" i="1"/>
  <c r="D673" i="1" s="1"/>
  <c r="G673" i="1" s="1"/>
  <c r="C673" i="1"/>
  <c r="E673" i="1" s="1"/>
  <c r="H673" i="1" s="1"/>
  <c r="B674" i="1"/>
  <c r="D674" i="1" s="1"/>
  <c r="G674" i="1" s="1"/>
  <c r="Q674" i="1" s="1"/>
  <c r="S674" i="1" s="1"/>
  <c r="C674" i="1"/>
  <c r="E674" i="1" s="1"/>
  <c r="H674" i="1" s="1"/>
  <c r="R674" i="1" s="1"/>
  <c r="T674" i="1" s="1"/>
  <c r="B675" i="1"/>
  <c r="D675" i="1" s="1"/>
  <c r="G675" i="1" s="1"/>
  <c r="Q675" i="1" s="1"/>
  <c r="S675" i="1" s="1"/>
  <c r="C675" i="1"/>
  <c r="E675" i="1" s="1"/>
  <c r="H675" i="1" s="1"/>
  <c r="B676" i="1"/>
  <c r="D676" i="1" s="1"/>
  <c r="G676" i="1" s="1"/>
  <c r="C676" i="1"/>
  <c r="E676" i="1" s="1"/>
  <c r="H676" i="1" s="1"/>
  <c r="B677" i="1"/>
  <c r="D677" i="1" s="1"/>
  <c r="G677" i="1" s="1"/>
  <c r="Q677" i="1" s="1"/>
  <c r="S677" i="1" s="1"/>
  <c r="C677" i="1"/>
  <c r="E677" i="1" s="1"/>
  <c r="H677" i="1" s="1"/>
  <c r="B678" i="1"/>
  <c r="D678" i="1" s="1"/>
  <c r="G678" i="1" s="1"/>
  <c r="C678" i="1"/>
  <c r="E678" i="1" s="1"/>
  <c r="H678" i="1" s="1"/>
  <c r="B679" i="1"/>
  <c r="D679" i="1" s="1"/>
  <c r="G679" i="1" s="1"/>
  <c r="C679" i="1"/>
  <c r="E679" i="1" s="1"/>
  <c r="H679" i="1" s="1"/>
  <c r="B680" i="1"/>
  <c r="D680" i="1" s="1"/>
  <c r="G680" i="1" s="1"/>
  <c r="C680" i="1"/>
  <c r="E680" i="1" s="1"/>
  <c r="H680" i="1" s="1"/>
  <c r="B681" i="1"/>
  <c r="D681" i="1" s="1"/>
  <c r="G681" i="1" s="1"/>
  <c r="C681" i="1"/>
  <c r="E681" i="1" s="1"/>
  <c r="H681" i="1" s="1"/>
  <c r="B682" i="1"/>
  <c r="D682" i="1" s="1"/>
  <c r="G682" i="1" s="1"/>
  <c r="C682" i="1"/>
  <c r="E682" i="1" s="1"/>
  <c r="B683" i="1"/>
  <c r="D683" i="1" s="1"/>
  <c r="G683" i="1" s="1"/>
  <c r="C683" i="1"/>
  <c r="E683" i="1" s="1"/>
  <c r="H683" i="1" s="1"/>
  <c r="B684" i="1"/>
  <c r="D684" i="1" s="1"/>
  <c r="G684" i="1" s="1"/>
  <c r="C684" i="1"/>
  <c r="E684" i="1" s="1"/>
  <c r="H684" i="1" s="1"/>
  <c r="B685" i="1"/>
  <c r="D685" i="1" s="1"/>
  <c r="G685" i="1" s="1"/>
  <c r="Q685" i="1" s="1"/>
  <c r="S685" i="1" s="1"/>
  <c r="C685" i="1"/>
  <c r="E685" i="1" s="1"/>
  <c r="H685" i="1" s="1"/>
  <c r="R685" i="1" s="1"/>
  <c r="T685" i="1" s="1"/>
  <c r="B686" i="1"/>
  <c r="D686" i="1" s="1"/>
  <c r="G686" i="1" s="1"/>
  <c r="Q686" i="1" s="1"/>
  <c r="S686" i="1" s="1"/>
  <c r="C686" i="1"/>
  <c r="E686" i="1" s="1"/>
  <c r="H686" i="1" s="1"/>
  <c r="R686" i="1" s="1"/>
  <c r="T686" i="1" s="1"/>
  <c r="B687" i="1"/>
  <c r="D687" i="1" s="1"/>
  <c r="G687" i="1" s="1"/>
  <c r="C687" i="1"/>
  <c r="E687" i="1" s="1"/>
  <c r="H687" i="1" s="1"/>
  <c r="B688" i="1"/>
  <c r="D688" i="1" s="1"/>
  <c r="G688" i="1" s="1"/>
  <c r="C688" i="1"/>
  <c r="E688" i="1" s="1"/>
  <c r="H688" i="1" s="1"/>
  <c r="B689" i="1"/>
  <c r="D689" i="1" s="1"/>
  <c r="G689" i="1" s="1"/>
  <c r="C689" i="1"/>
  <c r="E689" i="1" s="1"/>
  <c r="H689" i="1" s="1"/>
  <c r="B690" i="1"/>
  <c r="D690" i="1" s="1"/>
  <c r="G690" i="1" s="1"/>
  <c r="C690" i="1"/>
  <c r="E690" i="1" s="1"/>
  <c r="H690" i="1" s="1"/>
  <c r="B691" i="1"/>
  <c r="D691" i="1" s="1"/>
  <c r="G691" i="1" s="1"/>
  <c r="C691" i="1"/>
  <c r="E691" i="1" s="1"/>
  <c r="H691" i="1" s="1"/>
  <c r="B692" i="1"/>
  <c r="D692" i="1" s="1"/>
  <c r="G692" i="1" s="1"/>
  <c r="C692" i="1"/>
  <c r="E692" i="1" s="1"/>
  <c r="H692" i="1" s="1"/>
  <c r="B693" i="1"/>
  <c r="D693" i="1" s="1"/>
  <c r="G693" i="1" s="1"/>
  <c r="C693" i="1"/>
  <c r="E693" i="1" s="1"/>
  <c r="H693" i="1" s="1"/>
  <c r="B694" i="1"/>
  <c r="D694" i="1" s="1"/>
  <c r="G694" i="1" s="1"/>
  <c r="C694" i="1"/>
  <c r="E694" i="1" s="1"/>
  <c r="H694" i="1" s="1"/>
  <c r="B695" i="1"/>
  <c r="D695" i="1" s="1"/>
  <c r="G695" i="1" s="1"/>
  <c r="C695" i="1"/>
  <c r="E695" i="1" s="1"/>
  <c r="H695" i="1" s="1"/>
  <c r="B696" i="1"/>
  <c r="D696" i="1" s="1"/>
  <c r="G696" i="1" s="1"/>
  <c r="C696" i="1"/>
  <c r="E696" i="1" s="1"/>
  <c r="H696" i="1" s="1"/>
  <c r="R696" i="1" s="1"/>
  <c r="T696" i="1" s="1"/>
  <c r="B697" i="1"/>
  <c r="D697" i="1" s="1"/>
  <c r="G697" i="1" s="1"/>
  <c r="Q697" i="1" s="1"/>
  <c r="S697" i="1" s="1"/>
  <c r="C697" i="1"/>
  <c r="E697" i="1" s="1"/>
  <c r="H697" i="1" s="1"/>
  <c r="R697" i="1" s="1"/>
  <c r="T697" i="1" s="1"/>
  <c r="B698" i="1"/>
  <c r="D698" i="1" s="1"/>
  <c r="G698" i="1" s="1"/>
  <c r="C698" i="1"/>
  <c r="E698" i="1" s="1"/>
  <c r="H698" i="1" s="1"/>
  <c r="B699" i="1"/>
  <c r="D699" i="1" s="1"/>
  <c r="G699" i="1" s="1"/>
  <c r="C699" i="1"/>
  <c r="E699" i="1" s="1"/>
  <c r="H699" i="1" s="1"/>
  <c r="B700" i="1"/>
  <c r="D700" i="1" s="1"/>
  <c r="G700" i="1" s="1"/>
  <c r="C700" i="1"/>
  <c r="E700" i="1" s="1"/>
  <c r="H700" i="1" s="1"/>
  <c r="B701" i="1"/>
  <c r="D701" i="1" s="1"/>
  <c r="G701" i="1" s="1"/>
  <c r="C701" i="1"/>
  <c r="E701" i="1" s="1"/>
  <c r="H701" i="1" s="1"/>
  <c r="B702" i="1"/>
  <c r="D702" i="1" s="1"/>
  <c r="G702" i="1" s="1"/>
  <c r="C702" i="1"/>
  <c r="E702" i="1" s="1"/>
  <c r="H702" i="1" s="1"/>
  <c r="B703" i="1"/>
  <c r="D703" i="1" s="1"/>
  <c r="G703" i="1" s="1"/>
  <c r="C703" i="1"/>
  <c r="E703" i="1" s="1"/>
  <c r="H703" i="1" s="1"/>
  <c r="B704" i="1"/>
  <c r="D704" i="1" s="1"/>
  <c r="G704" i="1" s="1"/>
  <c r="C704" i="1"/>
  <c r="E704" i="1" s="1"/>
  <c r="H704" i="1" s="1"/>
  <c r="R704" i="1" s="1"/>
  <c r="T704" i="1" s="1"/>
  <c r="B705" i="1"/>
  <c r="D705" i="1" s="1"/>
  <c r="G705" i="1" s="1"/>
  <c r="Q705" i="1" s="1"/>
  <c r="S705" i="1" s="1"/>
  <c r="C705" i="1"/>
  <c r="E705" i="1" s="1"/>
  <c r="H705" i="1" s="1"/>
  <c r="B706" i="1"/>
  <c r="D706" i="1" s="1"/>
  <c r="G706" i="1" s="1"/>
  <c r="C706" i="1"/>
  <c r="E706" i="1" s="1"/>
  <c r="H706" i="1" s="1"/>
  <c r="B707" i="1"/>
  <c r="D707" i="1" s="1"/>
  <c r="G707" i="1" s="1"/>
  <c r="Q707" i="1" s="1"/>
  <c r="S707" i="1" s="1"/>
  <c r="C707" i="1"/>
  <c r="E707" i="1" s="1"/>
  <c r="H707" i="1" s="1"/>
  <c r="B708" i="1"/>
  <c r="D708" i="1" s="1"/>
  <c r="G708" i="1" s="1"/>
  <c r="C708" i="1"/>
  <c r="E708" i="1" s="1"/>
  <c r="H708" i="1" s="1"/>
  <c r="R708" i="1" s="1"/>
  <c r="T708" i="1" s="1"/>
  <c r="B709" i="1"/>
  <c r="D709" i="1" s="1"/>
  <c r="G709" i="1" s="1"/>
  <c r="C709" i="1"/>
  <c r="E709" i="1" s="1"/>
  <c r="H709" i="1" s="1"/>
  <c r="B710" i="1"/>
  <c r="D710" i="1" s="1"/>
  <c r="G710" i="1" s="1"/>
  <c r="C710" i="1"/>
  <c r="E710" i="1" s="1"/>
  <c r="H710" i="1" s="1"/>
  <c r="B711" i="1"/>
  <c r="D711" i="1" s="1"/>
  <c r="G711" i="1" s="1"/>
  <c r="C711" i="1"/>
  <c r="E711" i="1" s="1"/>
  <c r="H711" i="1" s="1"/>
  <c r="B712" i="1"/>
  <c r="D712" i="1" s="1"/>
  <c r="G712" i="1" s="1"/>
  <c r="C712" i="1"/>
  <c r="E712" i="1" s="1"/>
  <c r="B713" i="1"/>
  <c r="D713" i="1" s="1"/>
  <c r="G713" i="1" s="1"/>
  <c r="C713" i="1"/>
  <c r="E713" i="1" s="1"/>
  <c r="H713" i="1" s="1"/>
  <c r="B714" i="1"/>
  <c r="D714" i="1" s="1"/>
  <c r="G714" i="1" s="1"/>
  <c r="C714" i="1"/>
  <c r="E714" i="1" s="1"/>
  <c r="H714" i="1" s="1"/>
  <c r="B715" i="1"/>
  <c r="D715" i="1" s="1"/>
  <c r="G715" i="1" s="1"/>
  <c r="C715" i="1"/>
  <c r="E715" i="1" s="1"/>
  <c r="H715" i="1" s="1"/>
  <c r="R715" i="1" s="1"/>
  <c r="T715" i="1" s="1"/>
  <c r="B716" i="1"/>
  <c r="D716" i="1" s="1"/>
  <c r="G716" i="1" s="1"/>
  <c r="Q716" i="1" s="1"/>
  <c r="S716" i="1" s="1"/>
  <c r="C716" i="1"/>
  <c r="E716" i="1" s="1"/>
  <c r="H716" i="1" s="1"/>
  <c r="R716" i="1" s="1"/>
  <c r="T716" i="1" s="1"/>
  <c r="B717" i="1"/>
  <c r="D717" i="1" s="1"/>
  <c r="G717" i="1" s="1"/>
  <c r="Q717" i="1" s="1"/>
  <c r="S717" i="1" s="1"/>
  <c r="C717" i="1"/>
  <c r="E717" i="1" s="1"/>
  <c r="H717" i="1" s="1"/>
  <c r="B718" i="1"/>
  <c r="D718" i="1" s="1"/>
  <c r="G718" i="1" s="1"/>
  <c r="C718" i="1"/>
  <c r="E718" i="1" s="1"/>
  <c r="H718" i="1" s="1"/>
  <c r="B719" i="1"/>
  <c r="D719" i="1" s="1"/>
  <c r="G719" i="1" s="1"/>
  <c r="C719" i="1"/>
  <c r="E719" i="1" s="1"/>
  <c r="H719" i="1" s="1"/>
  <c r="B720" i="1"/>
  <c r="D720" i="1" s="1"/>
  <c r="G720" i="1" s="1"/>
  <c r="C720" i="1"/>
  <c r="E720" i="1" s="1"/>
  <c r="H720" i="1" s="1"/>
  <c r="B721" i="1"/>
  <c r="D721" i="1" s="1"/>
  <c r="G721" i="1" s="1"/>
  <c r="C721" i="1"/>
  <c r="E721" i="1" s="1"/>
  <c r="H721" i="1" s="1"/>
  <c r="B722" i="1"/>
  <c r="D722" i="1" s="1"/>
  <c r="G722" i="1" s="1"/>
  <c r="C722" i="1"/>
  <c r="E722" i="1" s="1"/>
  <c r="H722" i="1" s="1"/>
  <c r="B723" i="1"/>
  <c r="D723" i="1" s="1"/>
  <c r="G723" i="1" s="1"/>
  <c r="C723" i="1"/>
  <c r="E723" i="1" s="1"/>
  <c r="H723" i="1" s="1"/>
  <c r="B724" i="1"/>
  <c r="D724" i="1" s="1"/>
  <c r="G724" i="1" s="1"/>
  <c r="C724" i="1"/>
  <c r="E724" i="1" s="1"/>
  <c r="H724" i="1" s="1"/>
  <c r="B725" i="1"/>
  <c r="D725" i="1" s="1"/>
  <c r="G725" i="1" s="1"/>
  <c r="C725" i="1"/>
  <c r="E725" i="1" s="1"/>
  <c r="H725" i="1" s="1"/>
  <c r="B726" i="1"/>
  <c r="D726" i="1" s="1"/>
  <c r="G726" i="1" s="1"/>
  <c r="Q726" i="1" s="1"/>
  <c r="S726" i="1" s="1"/>
  <c r="C726" i="1"/>
  <c r="E726" i="1" s="1"/>
  <c r="H726" i="1" s="1"/>
  <c r="R726" i="1" s="1"/>
  <c r="T726" i="1" s="1"/>
  <c r="B727" i="1"/>
  <c r="D727" i="1" s="1"/>
  <c r="G727" i="1" s="1"/>
  <c r="Q727" i="1" s="1"/>
  <c r="S727" i="1" s="1"/>
  <c r="C727" i="1"/>
  <c r="E727" i="1" s="1"/>
  <c r="H727" i="1" s="1"/>
  <c r="R727" i="1" s="1"/>
  <c r="T727" i="1" s="1"/>
  <c r="B728" i="1"/>
  <c r="D728" i="1" s="1"/>
  <c r="G728" i="1" s="1"/>
  <c r="C728" i="1"/>
  <c r="E728" i="1" s="1"/>
  <c r="H728" i="1" s="1"/>
  <c r="B729" i="1"/>
  <c r="D729" i="1" s="1"/>
  <c r="G729" i="1" s="1"/>
  <c r="C729" i="1"/>
  <c r="E729" i="1" s="1"/>
  <c r="H729" i="1" s="1"/>
  <c r="B730" i="1"/>
  <c r="D730" i="1" s="1"/>
  <c r="G730" i="1" s="1"/>
  <c r="C730" i="1"/>
  <c r="E730" i="1" s="1"/>
  <c r="B731" i="1"/>
  <c r="D731" i="1" s="1"/>
  <c r="G731" i="1" s="1"/>
  <c r="C731" i="1"/>
  <c r="E731" i="1" s="1"/>
  <c r="H731" i="1" s="1"/>
  <c r="B732" i="1"/>
  <c r="D732" i="1" s="1"/>
  <c r="G732" i="1" s="1"/>
  <c r="C732" i="1"/>
  <c r="E732" i="1" s="1"/>
  <c r="H732" i="1" s="1"/>
  <c r="B733" i="1"/>
  <c r="D733" i="1" s="1"/>
  <c r="G733" i="1" s="1"/>
  <c r="C733" i="1"/>
  <c r="E733" i="1" s="1"/>
  <c r="H733" i="1" s="1"/>
  <c r="B734" i="1"/>
  <c r="D734" i="1" s="1"/>
  <c r="G734" i="1" s="1"/>
  <c r="Q734" i="1" s="1"/>
  <c r="S734" i="1" s="1"/>
  <c r="C734" i="1"/>
  <c r="E734" i="1" s="1"/>
  <c r="H734" i="1" s="1"/>
  <c r="R734" i="1" s="1"/>
  <c r="T734" i="1" s="1"/>
  <c r="B735" i="1"/>
  <c r="D735" i="1" s="1"/>
  <c r="G735" i="1" s="1"/>
  <c r="Q735" i="1" s="1"/>
  <c r="S735" i="1" s="1"/>
  <c r="C735" i="1"/>
  <c r="E735" i="1" s="1"/>
  <c r="H735" i="1" s="1"/>
  <c r="B736" i="1"/>
  <c r="D736" i="1" s="1"/>
  <c r="G736" i="1" s="1"/>
  <c r="C736" i="1"/>
  <c r="E736" i="1" s="1"/>
  <c r="H736" i="1" s="1"/>
  <c r="B737" i="1"/>
  <c r="D737" i="1" s="1"/>
  <c r="G737" i="1" s="1"/>
  <c r="Q737" i="1" s="1"/>
  <c r="S737" i="1" s="1"/>
  <c r="C737" i="1"/>
  <c r="E737" i="1" s="1"/>
  <c r="H737" i="1" s="1"/>
  <c r="B738" i="1"/>
  <c r="D738" i="1" s="1"/>
  <c r="G738" i="1" s="1"/>
  <c r="C738" i="1"/>
  <c r="E738" i="1" s="1"/>
  <c r="H738" i="1" s="1"/>
  <c r="B739" i="1"/>
  <c r="D739" i="1" s="1"/>
  <c r="G739" i="1" s="1"/>
  <c r="C739" i="1"/>
  <c r="E739" i="1" s="1"/>
  <c r="H739" i="1" s="1"/>
  <c r="B740" i="1"/>
  <c r="D740" i="1" s="1"/>
  <c r="G740" i="1" s="1"/>
  <c r="C740" i="1"/>
  <c r="E740" i="1" s="1"/>
  <c r="H740" i="1" s="1"/>
  <c r="B741" i="1"/>
  <c r="D741" i="1" s="1"/>
  <c r="G741" i="1" s="1"/>
  <c r="C741" i="1"/>
  <c r="E741" i="1" s="1"/>
  <c r="H741" i="1" s="1"/>
  <c r="B742" i="1"/>
  <c r="D742" i="1" s="1"/>
  <c r="G742" i="1" s="1"/>
  <c r="C742" i="1"/>
  <c r="E742" i="1" s="1"/>
  <c r="H742" i="1" s="1"/>
  <c r="B743" i="1"/>
  <c r="D743" i="1" s="1"/>
  <c r="G743" i="1" s="1"/>
  <c r="C743" i="1"/>
  <c r="E743" i="1" s="1"/>
  <c r="H743" i="1" s="1"/>
  <c r="B744" i="1"/>
  <c r="D744" i="1" s="1"/>
  <c r="G744" i="1" s="1"/>
  <c r="Q744" i="1" s="1"/>
  <c r="S744" i="1" s="1"/>
  <c r="C744" i="1"/>
  <c r="E744" i="1" s="1"/>
  <c r="H744" i="1" s="1"/>
  <c r="R744" i="1" s="1"/>
  <c r="T744" i="1" s="1"/>
  <c r="B745" i="1"/>
  <c r="D745" i="1" s="1"/>
  <c r="G745" i="1" s="1"/>
  <c r="Q745" i="1" s="1"/>
  <c r="S745" i="1" s="1"/>
  <c r="C745" i="1"/>
  <c r="E745" i="1" s="1"/>
  <c r="H745" i="1" s="1"/>
  <c r="B746" i="1"/>
  <c r="D746" i="1" s="1"/>
  <c r="G746" i="1" s="1"/>
  <c r="C746" i="1"/>
  <c r="E746" i="1" s="1"/>
  <c r="H746" i="1" s="1"/>
  <c r="B747" i="1"/>
  <c r="D747" i="1" s="1"/>
  <c r="G747" i="1" s="1"/>
  <c r="C747" i="1"/>
  <c r="E747" i="1" s="1"/>
  <c r="H747" i="1" s="1"/>
  <c r="B748" i="1"/>
  <c r="D748" i="1" s="1"/>
  <c r="G748" i="1" s="1"/>
  <c r="C748" i="1"/>
  <c r="E748" i="1" s="1"/>
  <c r="H748" i="1" s="1"/>
  <c r="B749" i="1"/>
  <c r="D749" i="1" s="1"/>
  <c r="G749" i="1" s="1"/>
  <c r="C749" i="1"/>
  <c r="E749" i="1" s="1"/>
  <c r="H749" i="1" s="1"/>
  <c r="B750" i="1"/>
  <c r="D750" i="1" s="1"/>
  <c r="G750" i="1" s="1"/>
  <c r="C750" i="1"/>
  <c r="E750" i="1" s="1"/>
  <c r="H750" i="1" s="1"/>
  <c r="B751" i="1"/>
  <c r="D751" i="1" s="1"/>
  <c r="G751" i="1" s="1"/>
  <c r="Q751" i="1" s="1"/>
  <c r="S751" i="1" s="1"/>
  <c r="C751" i="1"/>
  <c r="E751" i="1" s="1"/>
  <c r="H751" i="1" s="1"/>
  <c r="R751" i="1" s="1"/>
  <c r="T751" i="1" s="1"/>
  <c r="B752" i="1"/>
  <c r="D752" i="1" s="1"/>
  <c r="G752" i="1" s="1"/>
  <c r="Q752" i="1" s="1"/>
  <c r="S752" i="1" s="1"/>
  <c r="C752" i="1"/>
  <c r="E752" i="1" s="1"/>
  <c r="H752" i="1" s="1"/>
  <c r="R752" i="1" s="1"/>
  <c r="T752" i="1" s="1"/>
  <c r="B753" i="1"/>
  <c r="D753" i="1" s="1"/>
  <c r="G753" i="1" s="1"/>
  <c r="C753" i="1"/>
  <c r="E753" i="1" s="1"/>
  <c r="H753" i="1" s="1"/>
  <c r="B754" i="1"/>
  <c r="D754" i="1" s="1"/>
  <c r="G754" i="1" s="1"/>
  <c r="C754" i="1"/>
  <c r="E754" i="1" s="1"/>
  <c r="H754" i="1" s="1"/>
  <c r="B755" i="1"/>
  <c r="D755" i="1" s="1"/>
  <c r="G755" i="1" s="1"/>
  <c r="C755" i="1"/>
  <c r="E755" i="1" s="1"/>
  <c r="H755" i="1" s="1"/>
  <c r="B756" i="1"/>
  <c r="D756" i="1" s="1"/>
  <c r="G756" i="1" s="1"/>
  <c r="C756" i="1"/>
  <c r="E756" i="1" s="1"/>
  <c r="H756" i="1" s="1"/>
  <c r="B757" i="1"/>
  <c r="D757" i="1" s="1"/>
  <c r="G757" i="1" s="1"/>
  <c r="C757" i="1"/>
  <c r="E757" i="1" s="1"/>
  <c r="H757" i="1" s="1"/>
  <c r="B758" i="1"/>
  <c r="D758" i="1" s="1"/>
  <c r="G758" i="1" s="1"/>
  <c r="C758" i="1"/>
  <c r="E758" i="1" s="1"/>
  <c r="H758" i="1" s="1"/>
  <c r="R758" i="1" s="1"/>
  <c r="T758" i="1" s="1"/>
  <c r="B759" i="1"/>
  <c r="D759" i="1" s="1"/>
  <c r="G759" i="1" s="1"/>
  <c r="Q759" i="1" s="1"/>
  <c r="S759" i="1" s="1"/>
  <c r="C759" i="1"/>
  <c r="E759" i="1" s="1"/>
  <c r="H759" i="1" s="1"/>
  <c r="R759" i="1" s="1"/>
  <c r="T759" i="1" s="1"/>
  <c r="B760" i="1"/>
  <c r="D760" i="1" s="1"/>
  <c r="G760" i="1" s="1"/>
  <c r="Q760" i="1" s="1"/>
  <c r="S760" i="1" s="1"/>
  <c r="C760" i="1"/>
  <c r="E760" i="1" s="1"/>
  <c r="B761" i="1"/>
  <c r="D761" i="1" s="1"/>
  <c r="G761" i="1" s="1"/>
  <c r="C761" i="1"/>
  <c r="E761" i="1" s="1"/>
  <c r="H761" i="1" s="1"/>
  <c r="B762" i="1"/>
  <c r="D762" i="1" s="1"/>
  <c r="G762" i="1" s="1"/>
  <c r="C762" i="1"/>
  <c r="E762" i="1" s="1"/>
  <c r="H762" i="1" s="1"/>
  <c r="B763" i="1"/>
  <c r="D763" i="1" s="1"/>
  <c r="G763" i="1" s="1"/>
  <c r="C763" i="1"/>
  <c r="E763" i="1" s="1"/>
  <c r="H763" i="1" s="1"/>
  <c r="B764" i="1"/>
  <c r="D764" i="1" s="1"/>
  <c r="G764" i="1" s="1"/>
  <c r="C764" i="1"/>
  <c r="E764" i="1" s="1"/>
  <c r="H764" i="1" s="1"/>
  <c r="B765" i="1"/>
  <c r="D765" i="1" s="1"/>
  <c r="G765" i="1" s="1"/>
  <c r="C765" i="1"/>
  <c r="E765" i="1" s="1"/>
  <c r="H765" i="1" s="1"/>
  <c r="R765" i="1" s="1"/>
  <c r="T765" i="1" s="1"/>
  <c r="B766" i="1"/>
  <c r="D766" i="1" s="1"/>
  <c r="G766" i="1" s="1"/>
  <c r="C766" i="1"/>
  <c r="E766" i="1" s="1"/>
  <c r="H766" i="1" s="1"/>
  <c r="B767" i="1"/>
  <c r="D767" i="1" s="1"/>
  <c r="G767" i="1" s="1"/>
  <c r="C767" i="1"/>
  <c r="E767" i="1" s="1"/>
  <c r="H767" i="1" s="1"/>
  <c r="B768" i="1"/>
  <c r="D768" i="1" s="1"/>
  <c r="G768" i="1" s="1"/>
  <c r="Q768" i="1" s="1"/>
  <c r="S768" i="1" s="1"/>
  <c r="C768" i="1"/>
  <c r="E768" i="1" s="1"/>
  <c r="H768" i="1" s="1"/>
  <c r="B769" i="1"/>
  <c r="D769" i="1" s="1"/>
  <c r="G769" i="1" s="1"/>
  <c r="C769" i="1"/>
  <c r="E769" i="1" s="1"/>
  <c r="H769" i="1" s="1"/>
  <c r="B770" i="1"/>
  <c r="D770" i="1" s="1"/>
  <c r="G770" i="1" s="1"/>
  <c r="C770" i="1"/>
  <c r="E770" i="1" s="1"/>
  <c r="H770" i="1" s="1"/>
  <c r="B771" i="1"/>
  <c r="D771" i="1" s="1"/>
  <c r="G771" i="1" s="1"/>
  <c r="C771" i="1"/>
  <c r="E771" i="1" s="1"/>
  <c r="H771" i="1" s="1"/>
  <c r="B772" i="1"/>
  <c r="D772" i="1" s="1"/>
  <c r="G772" i="1" s="1"/>
  <c r="C772" i="1"/>
  <c r="E772" i="1" s="1"/>
  <c r="H772" i="1" s="1"/>
  <c r="B773" i="1"/>
  <c r="D773" i="1" s="1"/>
  <c r="G773" i="1" s="1"/>
  <c r="C773" i="1"/>
  <c r="E773" i="1" s="1"/>
  <c r="H773" i="1" s="1"/>
  <c r="B774" i="1"/>
  <c r="D774" i="1" s="1"/>
  <c r="G774" i="1" s="1"/>
  <c r="Q774" i="1" s="1"/>
  <c r="S774" i="1" s="1"/>
  <c r="C774" i="1"/>
  <c r="E774" i="1" s="1"/>
  <c r="H774" i="1" s="1"/>
  <c r="R774" i="1" s="1"/>
  <c r="T774" i="1" s="1"/>
  <c r="B775" i="1"/>
  <c r="D775" i="1" s="1"/>
  <c r="G775" i="1" s="1"/>
  <c r="Q775" i="1" s="1"/>
  <c r="S775" i="1" s="1"/>
  <c r="C775" i="1"/>
  <c r="E775" i="1" s="1"/>
  <c r="H775" i="1" s="1"/>
  <c r="B776" i="1"/>
  <c r="D776" i="1" s="1"/>
  <c r="G776" i="1" s="1"/>
  <c r="C776" i="1"/>
  <c r="E776" i="1" s="1"/>
  <c r="H776" i="1" s="1"/>
  <c r="B777" i="1"/>
  <c r="D777" i="1" s="1"/>
  <c r="G777" i="1" s="1"/>
  <c r="C777" i="1"/>
  <c r="E777" i="1" s="1"/>
  <c r="H777" i="1" s="1"/>
  <c r="B778" i="1"/>
  <c r="D778" i="1" s="1"/>
  <c r="G778" i="1" s="1"/>
  <c r="C778" i="1"/>
  <c r="E778" i="1" s="1"/>
  <c r="B779" i="1"/>
  <c r="D779" i="1" s="1"/>
  <c r="G779" i="1" s="1"/>
  <c r="C779" i="1"/>
  <c r="E779" i="1" s="1"/>
  <c r="H779" i="1" s="1"/>
  <c r="B780" i="1"/>
  <c r="D780" i="1" s="1"/>
  <c r="G780" i="1" s="1"/>
  <c r="C780" i="1"/>
  <c r="E780" i="1" s="1"/>
  <c r="H780" i="1" s="1"/>
  <c r="R780" i="1" s="1"/>
  <c r="T780" i="1" s="1"/>
  <c r="B781" i="1"/>
  <c r="D781" i="1" s="1"/>
  <c r="G781" i="1" s="1"/>
  <c r="Q781" i="1" s="1"/>
  <c r="S781" i="1" s="1"/>
  <c r="C781" i="1"/>
  <c r="E781" i="1" s="1"/>
  <c r="H781" i="1" s="1"/>
  <c r="R781" i="1" s="1"/>
  <c r="T781" i="1" s="1"/>
  <c r="B782" i="1"/>
  <c r="D782" i="1" s="1"/>
  <c r="G782" i="1" s="1"/>
  <c r="Q782" i="1" s="1"/>
  <c r="S782" i="1" s="1"/>
  <c r="C782" i="1"/>
  <c r="E782" i="1" s="1"/>
  <c r="H782" i="1" s="1"/>
  <c r="B783" i="1"/>
  <c r="D783" i="1" s="1"/>
  <c r="G783" i="1" s="1"/>
  <c r="C783" i="1"/>
  <c r="E783" i="1" s="1"/>
  <c r="H783" i="1" s="1"/>
  <c r="B784" i="1"/>
  <c r="D784" i="1" s="1"/>
  <c r="G784" i="1" s="1"/>
  <c r="C784" i="1"/>
  <c r="E784" i="1" s="1"/>
  <c r="H784" i="1" s="1"/>
  <c r="B785" i="1"/>
  <c r="D785" i="1" s="1"/>
  <c r="G785" i="1" s="1"/>
  <c r="C785" i="1"/>
  <c r="E785" i="1" s="1"/>
  <c r="H785" i="1" s="1"/>
  <c r="B786" i="1"/>
  <c r="D786" i="1" s="1"/>
  <c r="G786" i="1" s="1"/>
  <c r="C786" i="1"/>
  <c r="E786" i="1" s="1"/>
  <c r="H786" i="1" s="1"/>
  <c r="B787" i="1"/>
  <c r="D787" i="1" s="1"/>
  <c r="G787" i="1" s="1"/>
  <c r="C787" i="1"/>
  <c r="E787" i="1" s="1"/>
  <c r="H787" i="1" s="1"/>
  <c r="R787" i="1" s="1"/>
  <c r="T787" i="1" s="1"/>
  <c r="B788" i="1"/>
  <c r="D788" i="1" s="1"/>
  <c r="G788" i="1" s="1"/>
  <c r="Q788" i="1" s="1"/>
  <c r="S788" i="1" s="1"/>
  <c r="C788" i="1"/>
  <c r="E788" i="1" s="1"/>
  <c r="H788" i="1" s="1"/>
  <c r="R788" i="1" s="1"/>
  <c r="T788" i="1" s="1"/>
  <c r="B789" i="1"/>
  <c r="D789" i="1" s="1"/>
  <c r="G789" i="1" s="1"/>
  <c r="Q789" i="1" s="1"/>
  <c r="S789" i="1" s="1"/>
  <c r="C789" i="1"/>
  <c r="E789" i="1" s="1"/>
  <c r="H789" i="1" s="1"/>
  <c r="B790" i="1"/>
  <c r="D790" i="1" s="1"/>
  <c r="G790" i="1" s="1"/>
  <c r="C790" i="1"/>
  <c r="E790" i="1" s="1"/>
  <c r="H790" i="1" s="1"/>
  <c r="B791" i="1"/>
  <c r="D791" i="1" s="1"/>
  <c r="G791" i="1" s="1"/>
  <c r="C791" i="1"/>
  <c r="E791" i="1" s="1"/>
  <c r="H791" i="1" s="1"/>
  <c r="B792" i="1"/>
  <c r="D792" i="1" s="1"/>
  <c r="G792" i="1" s="1"/>
  <c r="C792" i="1"/>
  <c r="E792" i="1" s="1"/>
  <c r="H792" i="1" s="1"/>
  <c r="B793" i="1"/>
  <c r="D793" i="1" s="1"/>
  <c r="G793" i="1" s="1"/>
  <c r="C793" i="1"/>
  <c r="E793" i="1" s="1"/>
  <c r="H793" i="1" s="1"/>
  <c r="B794" i="1"/>
  <c r="D794" i="1" s="1"/>
  <c r="G794" i="1" s="1"/>
  <c r="C794" i="1"/>
  <c r="E794" i="1" s="1"/>
  <c r="H794" i="1" s="1"/>
  <c r="R794" i="1" s="1"/>
  <c r="T794" i="1" s="1"/>
  <c r="B795" i="1"/>
  <c r="D795" i="1" s="1"/>
  <c r="G795" i="1" s="1"/>
  <c r="Q795" i="1" s="1"/>
  <c r="S795" i="1" s="1"/>
  <c r="C795" i="1"/>
  <c r="E795" i="1" s="1"/>
  <c r="H795" i="1" s="1"/>
  <c r="R795" i="1" s="1"/>
  <c r="T795" i="1" s="1"/>
  <c r="B796" i="1"/>
  <c r="D796" i="1" s="1"/>
  <c r="G796" i="1" s="1"/>
  <c r="C796" i="1"/>
  <c r="E796" i="1" s="1"/>
  <c r="B797" i="1"/>
  <c r="D797" i="1" s="1"/>
  <c r="G797" i="1" s="1"/>
  <c r="C797" i="1"/>
  <c r="E797" i="1" s="1"/>
  <c r="H797" i="1" s="1"/>
  <c r="B798" i="1"/>
  <c r="D798" i="1" s="1"/>
  <c r="G798" i="1" s="1"/>
  <c r="C798" i="1"/>
  <c r="E798" i="1" s="1"/>
  <c r="H798" i="1" s="1"/>
  <c r="B799" i="1"/>
  <c r="D799" i="1" s="1"/>
  <c r="G799" i="1" s="1"/>
  <c r="C799" i="1"/>
  <c r="E799" i="1" s="1"/>
  <c r="H799" i="1" s="1"/>
  <c r="B800" i="1"/>
  <c r="D800" i="1" s="1"/>
  <c r="G800" i="1" s="1"/>
  <c r="C800" i="1"/>
  <c r="E800" i="1" s="1"/>
  <c r="H800" i="1" s="1"/>
  <c r="B801" i="1"/>
  <c r="D801" i="1" s="1"/>
  <c r="G801" i="1" s="1"/>
  <c r="C801" i="1"/>
  <c r="E801" i="1" s="1"/>
  <c r="H801" i="1" s="1"/>
  <c r="R801" i="1" s="1"/>
  <c r="T801" i="1" s="1"/>
  <c r="B802" i="1"/>
  <c r="D802" i="1" s="1"/>
  <c r="G802" i="1" s="1"/>
  <c r="Q802" i="1" s="1"/>
  <c r="S802" i="1" s="1"/>
  <c r="C802" i="1"/>
  <c r="E802" i="1" s="1"/>
  <c r="H802" i="1" s="1"/>
  <c r="R802" i="1" s="1"/>
  <c r="T802" i="1" s="1"/>
  <c r="B803" i="1"/>
  <c r="D803" i="1" s="1"/>
  <c r="G803" i="1" s="1"/>
  <c r="Q803" i="1" s="1"/>
  <c r="S803" i="1" s="1"/>
  <c r="C803" i="1"/>
  <c r="E803" i="1" s="1"/>
  <c r="H803" i="1" s="1"/>
  <c r="B804" i="1"/>
  <c r="D804" i="1" s="1"/>
  <c r="G804" i="1" s="1"/>
  <c r="C804" i="1"/>
  <c r="E804" i="1" s="1"/>
  <c r="H804" i="1" s="1"/>
  <c r="B805" i="1"/>
  <c r="D805" i="1" s="1"/>
  <c r="G805" i="1" s="1"/>
  <c r="C805" i="1"/>
  <c r="E805" i="1" s="1"/>
  <c r="H805" i="1" s="1"/>
  <c r="B806" i="1"/>
  <c r="D806" i="1" s="1"/>
  <c r="G806" i="1" s="1"/>
  <c r="C806" i="1"/>
  <c r="E806" i="1" s="1"/>
  <c r="H806" i="1" s="1"/>
  <c r="B807" i="1"/>
  <c r="D807" i="1" s="1"/>
  <c r="G807" i="1" s="1"/>
  <c r="C807" i="1"/>
  <c r="E807" i="1" s="1"/>
  <c r="H807" i="1" s="1"/>
  <c r="B808" i="1"/>
  <c r="D808" i="1" s="1"/>
  <c r="G808" i="1" s="1"/>
  <c r="C808" i="1"/>
  <c r="E808" i="1" s="1"/>
  <c r="B809" i="1"/>
  <c r="D809" i="1" s="1"/>
  <c r="G809" i="1" s="1"/>
  <c r="C809" i="1"/>
  <c r="E809" i="1" s="1"/>
  <c r="H809" i="1" s="1"/>
  <c r="B810" i="1"/>
  <c r="D810" i="1" s="1"/>
  <c r="G810" i="1" s="1"/>
  <c r="Q810" i="1" s="1"/>
  <c r="S810" i="1" s="1"/>
  <c r="C810" i="1"/>
  <c r="E810" i="1" s="1"/>
  <c r="H810" i="1" s="1"/>
  <c r="B811" i="1"/>
  <c r="D811" i="1" s="1"/>
  <c r="G811" i="1" s="1"/>
  <c r="C811" i="1"/>
  <c r="E811" i="1" s="1"/>
  <c r="H811" i="1" s="1"/>
  <c r="B812" i="1"/>
  <c r="D812" i="1" s="1"/>
  <c r="G812" i="1" s="1"/>
  <c r="C812" i="1"/>
  <c r="E812" i="1" s="1"/>
  <c r="H812" i="1" s="1"/>
  <c r="B813" i="1"/>
  <c r="D813" i="1" s="1"/>
  <c r="G813" i="1" s="1"/>
  <c r="C813" i="1"/>
  <c r="E813" i="1" s="1"/>
  <c r="H813" i="1" s="1"/>
  <c r="B814" i="1"/>
  <c r="D814" i="1" s="1"/>
  <c r="G814" i="1" s="1"/>
  <c r="C814" i="1"/>
  <c r="E814" i="1" s="1"/>
  <c r="H814" i="1" s="1"/>
  <c r="B815" i="1"/>
  <c r="D815" i="1" s="1"/>
  <c r="G815" i="1" s="1"/>
  <c r="C815" i="1"/>
  <c r="E815" i="1" s="1"/>
  <c r="H815" i="1" s="1"/>
  <c r="B816" i="1"/>
  <c r="D816" i="1" s="1"/>
  <c r="G816" i="1" s="1"/>
  <c r="Q816" i="1" s="1"/>
  <c r="S816" i="1" s="1"/>
  <c r="C816" i="1"/>
  <c r="E816" i="1" s="1"/>
  <c r="H816" i="1" s="1"/>
  <c r="R816" i="1" s="1"/>
  <c r="T816" i="1" s="1"/>
  <c r="B817" i="1"/>
  <c r="D817" i="1" s="1"/>
  <c r="G817" i="1" s="1"/>
  <c r="C817" i="1"/>
  <c r="E817" i="1" s="1"/>
  <c r="H817" i="1" s="1"/>
  <c r="B818" i="1"/>
  <c r="D818" i="1" s="1"/>
  <c r="G818" i="1" s="1"/>
  <c r="C818" i="1"/>
  <c r="E818" i="1" s="1"/>
  <c r="H818" i="1" s="1"/>
  <c r="B819" i="1"/>
  <c r="D819" i="1" s="1"/>
  <c r="G819" i="1" s="1"/>
  <c r="C819" i="1"/>
  <c r="E819" i="1" s="1"/>
  <c r="H819" i="1" s="1"/>
  <c r="B820" i="1"/>
  <c r="D820" i="1" s="1"/>
  <c r="G820" i="1" s="1"/>
  <c r="C820" i="1"/>
  <c r="E820" i="1" s="1"/>
  <c r="H820" i="1" s="1"/>
  <c r="B821" i="1"/>
  <c r="D821" i="1" s="1"/>
  <c r="G821" i="1" s="1"/>
  <c r="C821" i="1"/>
  <c r="E821" i="1" s="1"/>
  <c r="H821" i="1" s="1"/>
  <c r="B822" i="1"/>
  <c r="D822" i="1" s="1"/>
  <c r="G822" i="1" s="1"/>
  <c r="Q822" i="1" s="1"/>
  <c r="S822" i="1" s="1"/>
  <c r="C822" i="1"/>
  <c r="E822" i="1" s="1"/>
  <c r="H822" i="1" s="1"/>
  <c r="R822" i="1" s="1"/>
  <c r="T822" i="1" s="1"/>
  <c r="B823" i="1"/>
  <c r="D823" i="1" s="1"/>
  <c r="G823" i="1" s="1"/>
  <c r="Q823" i="1" s="1"/>
  <c r="S823" i="1" s="1"/>
  <c r="C823" i="1"/>
  <c r="E823" i="1" s="1"/>
  <c r="H823" i="1" s="1"/>
  <c r="B824" i="1"/>
  <c r="D824" i="1" s="1"/>
  <c r="G824" i="1" s="1"/>
  <c r="C824" i="1"/>
  <c r="E824" i="1" s="1"/>
  <c r="H824" i="1" s="1"/>
  <c r="B825" i="1"/>
  <c r="D825" i="1" s="1"/>
  <c r="G825" i="1" s="1"/>
  <c r="C825" i="1"/>
  <c r="E825" i="1" s="1"/>
  <c r="H825" i="1" s="1"/>
  <c r="B826" i="1"/>
  <c r="D826" i="1" s="1"/>
  <c r="G826" i="1" s="1"/>
  <c r="C826" i="1"/>
  <c r="E826" i="1" s="1"/>
  <c r="B827" i="1"/>
  <c r="D827" i="1" s="1"/>
  <c r="G827" i="1" s="1"/>
  <c r="C827" i="1"/>
  <c r="E827" i="1" s="1"/>
  <c r="H827" i="1" s="1"/>
  <c r="B828" i="1"/>
  <c r="D828" i="1" s="1"/>
  <c r="G828" i="1" s="1"/>
  <c r="Q828" i="1" s="1"/>
  <c r="S828" i="1" s="1"/>
  <c r="C828" i="1"/>
  <c r="E828" i="1" s="1"/>
  <c r="H828" i="1" s="1"/>
  <c r="R828" i="1" s="1"/>
  <c r="T828" i="1" s="1"/>
  <c r="B829" i="1"/>
  <c r="D829" i="1" s="1"/>
  <c r="G829" i="1" s="1"/>
  <c r="Q829" i="1" s="1"/>
  <c r="S829" i="1" s="1"/>
  <c r="C829" i="1"/>
  <c r="E829" i="1" s="1"/>
  <c r="H829" i="1" s="1"/>
  <c r="R829" i="1" s="1"/>
  <c r="T829" i="1" s="1"/>
  <c r="B830" i="1"/>
  <c r="D830" i="1" s="1"/>
  <c r="G830" i="1" s="1"/>
  <c r="C830" i="1"/>
  <c r="E830" i="1" s="1"/>
  <c r="H830" i="1" s="1"/>
  <c r="B831" i="1"/>
  <c r="D831" i="1" s="1"/>
  <c r="G831" i="1" s="1"/>
  <c r="C831" i="1"/>
  <c r="E831" i="1" s="1"/>
  <c r="H831" i="1" s="1"/>
  <c r="B832" i="1"/>
  <c r="D832" i="1" s="1"/>
  <c r="G832" i="1" s="1"/>
  <c r="C832" i="1"/>
  <c r="E832" i="1" s="1"/>
  <c r="H832" i="1" s="1"/>
  <c r="B833" i="1"/>
  <c r="D833" i="1" s="1"/>
  <c r="G833" i="1" s="1"/>
  <c r="C833" i="1"/>
  <c r="E833" i="1" s="1"/>
  <c r="H833" i="1" s="1"/>
  <c r="B834" i="1"/>
  <c r="D834" i="1" s="1"/>
  <c r="G834" i="1" s="1"/>
  <c r="C834" i="1"/>
  <c r="E834" i="1" s="1"/>
  <c r="H834" i="1" s="1"/>
  <c r="R834" i="1" s="1"/>
  <c r="T834" i="1" s="1"/>
  <c r="B835" i="1"/>
  <c r="D835" i="1" s="1"/>
  <c r="G835" i="1" s="1"/>
  <c r="Q835" i="1" s="1"/>
  <c r="S835" i="1" s="1"/>
  <c r="C835" i="1"/>
  <c r="E835" i="1" s="1"/>
  <c r="H835" i="1" s="1"/>
  <c r="R835" i="1" s="1"/>
  <c r="T835" i="1" s="1"/>
  <c r="B836" i="1"/>
  <c r="D836" i="1" s="1"/>
  <c r="G836" i="1" s="1"/>
  <c r="Q836" i="1" s="1"/>
  <c r="S836" i="1" s="1"/>
  <c r="C836" i="1"/>
  <c r="E836" i="1" s="1"/>
  <c r="H836" i="1" s="1"/>
  <c r="B837" i="1"/>
  <c r="D837" i="1" s="1"/>
  <c r="G837" i="1" s="1"/>
  <c r="C837" i="1"/>
  <c r="E837" i="1" s="1"/>
  <c r="H837" i="1" s="1"/>
  <c r="B838" i="1"/>
  <c r="D838" i="1" s="1"/>
  <c r="G838" i="1" s="1"/>
  <c r="C838" i="1"/>
  <c r="E838" i="1" s="1"/>
  <c r="H838" i="1" s="1"/>
  <c r="B839" i="1"/>
  <c r="D839" i="1" s="1"/>
  <c r="G839" i="1" s="1"/>
  <c r="C839" i="1"/>
  <c r="E839" i="1" s="1"/>
  <c r="H839" i="1" s="1"/>
  <c r="B840" i="1"/>
  <c r="D840" i="1" s="1"/>
  <c r="G840" i="1" s="1"/>
  <c r="C840" i="1"/>
  <c r="E840" i="1" s="1"/>
  <c r="H840" i="1" s="1"/>
  <c r="R840" i="1" s="1"/>
  <c r="T840" i="1" s="1"/>
  <c r="B841" i="1"/>
  <c r="D841" i="1" s="1"/>
  <c r="G841" i="1" s="1"/>
  <c r="Q841" i="1" s="1"/>
  <c r="S841" i="1" s="1"/>
  <c r="C841" i="1"/>
  <c r="E841" i="1" s="1"/>
  <c r="H841" i="1" s="1"/>
  <c r="R841" i="1" s="1"/>
  <c r="T841" i="1" s="1"/>
  <c r="B842" i="1"/>
  <c r="D842" i="1" s="1"/>
  <c r="G842" i="1" s="1"/>
  <c r="Q842" i="1" s="1"/>
  <c r="S842" i="1" s="1"/>
  <c r="C842" i="1"/>
  <c r="E842" i="1" s="1"/>
  <c r="H842" i="1" s="1"/>
  <c r="B843" i="1"/>
  <c r="D843" i="1" s="1"/>
  <c r="G843" i="1" s="1"/>
  <c r="C843" i="1"/>
  <c r="E843" i="1" s="1"/>
  <c r="H843" i="1" s="1"/>
  <c r="B844" i="1"/>
  <c r="D844" i="1" s="1"/>
  <c r="G844" i="1" s="1"/>
  <c r="C844" i="1"/>
  <c r="E844" i="1" s="1"/>
  <c r="H844" i="1" s="1"/>
  <c r="B845" i="1"/>
  <c r="D845" i="1" s="1"/>
  <c r="G845" i="1" s="1"/>
  <c r="C845" i="1"/>
  <c r="E845" i="1" s="1"/>
  <c r="H845" i="1" s="1"/>
  <c r="B846" i="1"/>
  <c r="D846" i="1" s="1"/>
  <c r="G846" i="1" s="1"/>
  <c r="C846" i="1"/>
  <c r="E846" i="1" s="1"/>
  <c r="H846" i="1" s="1"/>
  <c r="R846" i="1" s="1"/>
  <c r="T846" i="1" s="1"/>
  <c r="B847" i="1"/>
  <c r="D847" i="1" s="1"/>
  <c r="G847" i="1" s="1"/>
  <c r="Q847" i="1" s="1"/>
  <c r="S847" i="1" s="1"/>
  <c r="C847" i="1"/>
  <c r="E847" i="1" s="1"/>
  <c r="H847" i="1" s="1"/>
  <c r="R847" i="1" s="1"/>
  <c r="T847" i="1" s="1"/>
  <c r="B848" i="1"/>
  <c r="D848" i="1" s="1"/>
  <c r="G848" i="1" s="1"/>
  <c r="Q848" i="1" s="1"/>
  <c r="S848" i="1" s="1"/>
  <c r="C848" i="1"/>
  <c r="E848" i="1" s="1"/>
  <c r="H848" i="1" s="1"/>
  <c r="B849" i="1"/>
  <c r="D849" i="1" s="1"/>
  <c r="G849" i="1" s="1"/>
  <c r="C849" i="1"/>
  <c r="E849" i="1" s="1"/>
  <c r="H849" i="1" s="1"/>
  <c r="B850" i="1"/>
  <c r="D850" i="1" s="1"/>
  <c r="G850" i="1" s="1"/>
  <c r="C850" i="1"/>
  <c r="E850" i="1" s="1"/>
  <c r="H850" i="1" s="1"/>
  <c r="B851" i="1"/>
  <c r="D851" i="1" s="1"/>
  <c r="G851" i="1" s="1"/>
  <c r="C851" i="1"/>
  <c r="E851" i="1" s="1"/>
  <c r="H851" i="1" s="1"/>
  <c r="B852" i="1"/>
  <c r="D852" i="1" s="1"/>
  <c r="G852" i="1" s="1"/>
  <c r="C852" i="1"/>
  <c r="E852" i="1" s="1"/>
  <c r="H852" i="1" s="1"/>
  <c r="R852" i="1" s="1"/>
  <c r="T852" i="1" s="1"/>
  <c r="B853" i="1"/>
  <c r="D853" i="1" s="1"/>
  <c r="G853" i="1" s="1"/>
  <c r="Q853" i="1" s="1"/>
  <c r="S853" i="1" s="1"/>
  <c r="C853" i="1"/>
  <c r="E853" i="1" s="1"/>
  <c r="H853" i="1" s="1"/>
  <c r="R853" i="1" s="1"/>
  <c r="T853" i="1" s="1"/>
  <c r="B854" i="1"/>
  <c r="D854" i="1" s="1"/>
  <c r="G854" i="1" s="1"/>
  <c r="Q854" i="1" s="1"/>
  <c r="S854" i="1" s="1"/>
  <c r="C854" i="1"/>
  <c r="E854" i="1" s="1"/>
  <c r="H854" i="1" s="1"/>
  <c r="B855" i="1"/>
  <c r="D855" i="1" s="1"/>
  <c r="G855" i="1" s="1"/>
  <c r="C855" i="1"/>
  <c r="E855" i="1" s="1"/>
  <c r="H855" i="1" s="1"/>
  <c r="B856" i="1"/>
  <c r="D856" i="1" s="1"/>
  <c r="G856" i="1" s="1"/>
  <c r="C856" i="1"/>
  <c r="E856" i="1" s="1"/>
  <c r="B857" i="1"/>
  <c r="D857" i="1" s="1"/>
  <c r="G857" i="1" s="1"/>
  <c r="C857" i="1"/>
  <c r="E857" i="1" s="1"/>
  <c r="H857" i="1" s="1"/>
  <c r="B858" i="1"/>
  <c r="D858" i="1" s="1"/>
  <c r="G858" i="1" s="1"/>
  <c r="C858" i="1"/>
  <c r="E858" i="1" s="1"/>
  <c r="H858" i="1" s="1"/>
  <c r="R858" i="1" s="1"/>
  <c r="T858" i="1" s="1"/>
  <c r="B859" i="1"/>
  <c r="D859" i="1" s="1"/>
  <c r="G859" i="1" s="1"/>
  <c r="Q859" i="1" s="1"/>
  <c r="S859" i="1" s="1"/>
  <c r="C859" i="1"/>
  <c r="E859" i="1" s="1"/>
  <c r="H859" i="1" s="1"/>
  <c r="R859" i="1" s="1"/>
  <c r="T859" i="1" s="1"/>
  <c r="B860" i="1"/>
  <c r="D860" i="1" s="1"/>
  <c r="G860" i="1" s="1"/>
  <c r="Q860" i="1" s="1"/>
  <c r="S860" i="1" s="1"/>
  <c r="C860" i="1"/>
  <c r="E860" i="1" s="1"/>
  <c r="H860" i="1" s="1"/>
  <c r="B861" i="1"/>
  <c r="D861" i="1" s="1"/>
  <c r="G861" i="1" s="1"/>
  <c r="C861" i="1"/>
  <c r="E861" i="1" s="1"/>
  <c r="H861" i="1" s="1"/>
  <c r="B862" i="1"/>
  <c r="D862" i="1" s="1"/>
  <c r="G862" i="1" s="1"/>
  <c r="C862" i="1"/>
  <c r="E862" i="1" s="1"/>
  <c r="H862" i="1" s="1"/>
  <c r="B863" i="1"/>
  <c r="D863" i="1" s="1"/>
  <c r="G863" i="1" s="1"/>
  <c r="C863" i="1"/>
  <c r="E863" i="1" s="1"/>
  <c r="H863" i="1" s="1"/>
  <c r="B864" i="1"/>
  <c r="D864" i="1" s="1"/>
  <c r="G864" i="1" s="1"/>
  <c r="C864" i="1"/>
  <c r="E864" i="1" s="1"/>
  <c r="H864" i="1" s="1"/>
  <c r="R864" i="1" s="1"/>
  <c r="T864" i="1" s="1"/>
  <c r="B865" i="1"/>
  <c r="D865" i="1" s="1"/>
  <c r="G865" i="1" s="1"/>
  <c r="Q865" i="1" s="1"/>
  <c r="S865" i="1" s="1"/>
  <c r="C865" i="1"/>
  <c r="E865" i="1" s="1"/>
  <c r="H865" i="1" s="1"/>
  <c r="R865" i="1" s="1"/>
  <c r="T865" i="1" s="1"/>
  <c r="B866" i="1"/>
  <c r="D866" i="1" s="1"/>
  <c r="G866" i="1" s="1"/>
  <c r="Q866" i="1" s="1"/>
  <c r="S866" i="1" s="1"/>
  <c r="C866" i="1"/>
  <c r="E866" i="1" s="1"/>
  <c r="H866" i="1" s="1"/>
  <c r="B867" i="1"/>
  <c r="D867" i="1" s="1"/>
  <c r="G867" i="1" s="1"/>
  <c r="C867" i="1"/>
  <c r="E867" i="1" s="1"/>
  <c r="H867" i="1" s="1"/>
  <c r="B868" i="1"/>
  <c r="D868" i="1" s="1"/>
  <c r="G868" i="1" s="1"/>
  <c r="C868" i="1"/>
  <c r="E868" i="1" s="1"/>
  <c r="H868" i="1" s="1"/>
  <c r="B869" i="1"/>
  <c r="D869" i="1" s="1"/>
  <c r="G869" i="1" s="1"/>
  <c r="C869" i="1"/>
  <c r="E869" i="1" s="1"/>
  <c r="H869" i="1" s="1"/>
  <c r="B870" i="1"/>
  <c r="D870" i="1" s="1"/>
  <c r="G870" i="1" s="1"/>
  <c r="C870" i="1"/>
  <c r="E870" i="1" s="1"/>
  <c r="H870" i="1" s="1"/>
  <c r="R870" i="1" s="1"/>
  <c r="T870" i="1" s="1"/>
  <c r="B871" i="1"/>
  <c r="D871" i="1" s="1"/>
  <c r="G871" i="1" s="1"/>
  <c r="Q871" i="1" s="1"/>
  <c r="S871" i="1" s="1"/>
  <c r="C871" i="1"/>
  <c r="E871" i="1" s="1"/>
  <c r="H871" i="1" s="1"/>
  <c r="R871" i="1" s="1"/>
  <c r="T871" i="1" s="1"/>
  <c r="B872" i="1"/>
  <c r="D872" i="1" s="1"/>
  <c r="G872" i="1" s="1"/>
  <c r="Q872" i="1" s="1"/>
  <c r="S872" i="1" s="1"/>
  <c r="C872" i="1"/>
  <c r="E872" i="1" s="1"/>
  <c r="H872" i="1" s="1"/>
  <c r="B873" i="1"/>
  <c r="D873" i="1" s="1"/>
  <c r="G873" i="1" s="1"/>
  <c r="C873" i="1"/>
  <c r="E873" i="1" s="1"/>
  <c r="H873" i="1" s="1"/>
  <c r="B874" i="1"/>
  <c r="D874" i="1" s="1"/>
  <c r="G874" i="1" s="1"/>
  <c r="C874" i="1"/>
  <c r="E874" i="1" s="1"/>
  <c r="B875" i="1"/>
  <c r="D875" i="1" s="1"/>
  <c r="G875" i="1" s="1"/>
  <c r="C875" i="1"/>
  <c r="E875" i="1" s="1"/>
  <c r="H875" i="1" s="1"/>
  <c r="B876" i="1"/>
  <c r="D876" i="1" s="1"/>
  <c r="G876" i="1" s="1"/>
  <c r="C876" i="1"/>
  <c r="E876" i="1" s="1"/>
  <c r="H876" i="1" s="1"/>
  <c r="R876" i="1" s="1"/>
  <c r="T876" i="1" s="1"/>
  <c r="B877" i="1"/>
  <c r="D877" i="1" s="1"/>
  <c r="G877" i="1" s="1"/>
  <c r="Q877" i="1" s="1"/>
  <c r="S877" i="1" s="1"/>
  <c r="C877" i="1"/>
  <c r="E877" i="1" s="1"/>
  <c r="H877" i="1" s="1"/>
  <c r="R877" i="1" s="1"/>
  <c r="T877" i="1" s="1"/>
  <c r="B878" i="1"/>
  <c r="D878" i="1" s="1"/>
  <c r="G878" i="1" s="1"/>
  <c r="Q878" i="1" s="1"/>
  <c r="S878" i="1" s="1"/>
  <c r="C878" i="1"/>
  <c r="E878" i="1" s="1"/>
  <c r="H878" i="1" s="1"/>
  <c r="B879" i="1"/>
  <c r="D879" i="1" s="1"/>
  <c r="G879" i="1" s="1"/>
  <c r="C879" i="1"/>
  <c r="E879" i="1" s="1"/>
  <c r="H879" i="1" s="1"/>
  <c r="B880" i="1"/>
  <c r="D880" i="1" s="1"/>
  <c r="G880" i="1" s="1"/>
  <c r="C880" i="1"/>
  <c r="E880" i="1" s="1"/>
  <c r="H880" i="1" s="1"/>
  <c r="B881" i="1"/>
  <c r="D881" i="1" s="1"/>
  <c r="G881" i="1" s="1"/>
  <c r="C881" i="1"/>
  <c r="E881" i="1" s="1"/>
  <c r="H881" i="1" s="1"/>
  <c r="B882" i="1"/>
  <c r="D882" i="1" s="1"/>
  <c r="G882" i="1" s="1"/>
  <c r="C882" i="1"/>
  <c r="E882" i="1" s="1"/>
  <c r="H882" i="1" s="1"/>
  <c r="R882" i="1" s="1"/>
  <c r="T882" i="1" s="1"/>
  <c r="B883" i="1"/>
  <c r="D883" i="1" s="1"/>
  <c r="G883" i="1" s="1"/>
  <c r="Q883" i="1" s="1"/>
  <c r="S883" i="1" s="1"/>
  <c r="C883" i="1"/>
  <c r="E883" i="1" s="1"/>
  <c r="H883" i="1" s="1"/>
  <c r="R883" i="1" s="1"/>
  <c r="T883" i="1" s="1"/>
  <c r="B884" i="1"/>
  <c r="D884" i="1" s="1"/>
  <c r="G884" i="1" s="1"/>
  <c r="Q884" i="1" s="1"/>
  <c r="S884" i="1" s="1"/>
  <c r="C884" i="1"/>
  <c r="E884" i="1" s="1"/>
  <c r="H884" i="1" s="1"/>
  <c r="B885" i="1"/>
  <c r="D885" i="1" s="1"/>
  <c r="G885" i="1" s="1"/>
  <c r="C885" i="1"/>
  <c r="E885" i="1" s="1"/>
  <c r="H885" i="1" s="1"/>
  <c r="B886" i="1"/>
  <c r="D886" i="1" s="1"/>
  <c r="G886" i="1" s="1"/>
  <c r="C886" i="1"/>
  <c r="E886" i="1" s="1"/>
  <c r="H886" i="1" s="1"/>
  <c r="B887" i="1"/>
  <c r="D887" i="1" s="1"/>
  <c r="G887" i="1" s="1"/>
  <c r="C887" i="1"/>
  <c r="E887" i="1" s="1"/>
  <c r="H887" i="1" s="1"/>
  <c r="B888" i="1"/>
  <c r="D888" i="1" s="1"/>
  <c r="G888" i="1" s="1"/>
  <c r="C888" i="1"/>
  <c r="E888" i="1" s="1"/>
  <c r="H888" i="1" s="1"/>
  <c r="R888" i="1" s="1"/>
  <c r="T888" i="1" s="1"/>
  <c r="B889" i="1"/>
  <c r="D889" i="1" s="1"/>
  <c r="G889" i="1" s="1"/>
  <c r="Q889" i="1" s="1"/>
  <c r="S889" i="1" s="1"/>
  <c r="C889" i="1"/>
  <c r="E889" i="1" s="1"/>
  <c r="H889" i="1" s="1"/>
  <c r="R889" i="1" s="1"/>
  <c r="T889" i="1" s="1"/>
  <c r="B890" i="1"/>
  <c r="D890" i="1" s="1"/>
  <c r="G890" i="1" s="1"/>
  <c r="Q890" i="1" s="1"/>
  <c r="S890" i="1" s="1"/>
  <c r="C890" i="1"/>
  <c r="E890" i="1" s="1"/>
  <c r="H890" i="1" s="1"/>
  <c r="B891" i="1"/>
  <c r="D891" i="1" s="1"/>
  <c r="G891" i="1" s="1"/>
  <c r="C891" i="1"/>
  <c r="E891" i="1" s="1"/>
  <c r="H891" i="1" s="1"/>
  <c r="B892" i="1"/>
  <c r="D892" i="1" s="1"/>
  <c r="G892" i="1" s="1"/>
  <c r="C892" i="1"/>
  <c r="E892" i="1" s="1"/>
  <c r="H892" i="1" s="1"/>
  <c r="B893" i="1"/>
  <c r="D893" i="1" s="1"/>
  <c r="G893" i="1" s="1"/>
  <c r="C893" i="1"/>
  <c r="E893" i="1" s="1"/>
  <c r="H893" i="1" s="1"/>
  <c r="B894" i="1"/>
  <c r="D894" i="1" s="1"/>
  <c r="G894" i="1" s="1"/>
  <c r="C894" i="1"/>
  <c r="E894" i="1" s="1"/>
  <c r="H894" i="1" s="1"/>
  <c r="R894" i="1" s="1"/>
  <c r="T894" i="1" s="1"/>
  <c r="B895" i="1"/>
  <c r="D895" i="1" s="1"/>
  <c r="G895" i="1" s="1"/>
  <c r="Q895" i="1" s="1"/>
  <c r="S895" i="1" s="1"/>
  <c r="C895" i="1"/>
  <c r="E895" i="1" s="1"/>
  <c r="H895" i="1" s="1"/>
  <c r="R895" i="1" s="1"/>
  <c r="T895" i="1" s="1"/>
  <c r="B896" i="1"/>
  <c r="D896" i="1" s="1"/>
  <c r="G896" i="1" s="1"/>
  <c r="Q896" i="1" s="1"/>
  <c r="S896" i="1" s="1"/>
  <c r="C896" i="1"/>
  <c r="E896" i="1" s="1"/>
  <c r="H896" i="1" s="1"/>
  <c r="B897" i="1"/>
  <c r="D897" i="1" s="1"/>
  <c r="G897" i="1" s="1"/>
  <c r="C897" i="1"/>
  <c r="E897" i="1" s="1"/>
  <c r="H897" i="1" s="1"/>
  <c r="B898" i="1"/>
  <c r="D898" i="1" s="1"/>
  <c r="G898" i="1" s="1"/>
  <c r="C898" i="1"/>
  <c r="E898" i="1" s="1"/>
  <c r="H898" i="1" s="1"/>
  <c r="B899" i="1"/>
  <c r="D899" i="1" s="1"/>
  <c r="G899" i="1" s="1"/>
  <c r="C899" i="1"/>
  <c r="E899" i="1" s="1"/>
  <c r="H899" i="1" s="1"/>
  <c r="B900" i="1"/>
  <c r="D900" i="1" s="1"/>
  <c r="G900" i="1" s="1"/>
  <c r="C900" i="1"/>
  <c r="E900" i="1" s="1"/>
  <c r="H900" i="1" s="1"/>
  <c r="R900" i="1" s="1"/>
  <c r="T900" i="1" s="1"/>
  <c r="B901" i="1"/>
  <c r="D901" i="1" s="1"/>
  <c r="G901" i="1" s="1"/>
  <c r="Q901" i="1" s="1"/>
  <c r="S901" i="1" s="1"/>
  <c r="C901" i="1"/>
  <c r="E901" i="1" s="1"/>
  <c r="H901" i="1" s="1"/>
  <c r="R901" i="1" s="1"/>
  <c r="T901" i="1" s="1"/>
  <c r="B902" i="1"/>
  <c r="D902" i="1" s="1"/>
  <c r="G902" i="1" s="1"/>
  <c r="Q902" i="1" s="1"/>
  <c r="S902" i="1" s="1"/>
  <c r="C902" i="1"/>
  <c r="E902" i="1" s="1"/>
  <c r="H902" i="1" s="1"/>
  <c r="B903" i="1"/>
  <c r="D903" i="1" s="1"/>
  <c r="G903" i="1" s="1"/>
  <c r="C903" i="1"/>
  <c r="E903" i="1" s="1"/>
  <c r="H903" i="1" s="1"/>
  <c r="B904" i="1"/>
  <c r="D904" i="1" s="1"/>
  <c r="G904" i="1" s="1"/>
  <c r="C904" i="1"/>
  <c r="E904" i="1" s="1"/>
  <c r="B905" i="1"/>
  <c r="D905" i="1" s="1"/>
  <c r="G905" i="1" s="1"/>
  <c r="C905" i="1"/>
  <c r="E905" i="1" s="1"/>
  <c r="H905" i="1" s="1"/>
  <c r="B906" i="1"/>
  <c r="D906" i="1" s="1"/>
  <c r="G906" i="1" s="1"/>
  <c r="C906" i="1"/>
  <c r="E906" i="1" s="1"/>
  <c r="H906" i="1" s="1"/>
  <c r="R906" i="1" s="1"/>
  <c r="T906" i="1" s="1"/>
  <c r="B907" i="1"/>
  <c r="D907" i="1" s="1"/>
  <c r="G907" i="1" s="1"/>
  <c r="Q907" i="1" s="1"/>
  <c r="S907" i="1" s="1"/>
  <c r="C907" i="1"/>
  <c r="E907" i="1" s="1"/>
  <c r="H907" i="1" s="1"/>
  <c r="R907" i="1" s="1"/>
  <c r="T907" i="1" s="1"/>
  <c r="B908" i="1"/>
  <c r="D908" i="1" s="1"/>
  <c r="G908" i="1" s="1"/>
  <c r="Q908" i="1" s="1"/>
  <c r="S908" i="1" s="1"/>
  <c r="C908" i="1"/>
  <c r="E908" i="1" s="1"/>
  <c r="H908" i="1" s="1"/>
  <c r="B909" i="1"/>
  <c r="D909" i="1" s="1"/>
  <c r="G909" i="1" s="1"/>
  <c r="C909" i="1"/>
  <c r="E909" i="1" s="1"/>
  <c r="H909" i="1" s="1"/>
  <c r="B910" i="1"/>
  <c r="D910" i="1" s="1"/>
  <c r="G910" i="1" s="1"/>
  <c r="C910" i="1"/>
  <c r="E910" i="1" s="1"/>
  <c r="H910" i="1" s="1"/>
  <c r="B911" i="1"/>
  <c r="D911" i="1" s="1"/>
  <c r="G911" i="1" s="1"/>
  <c r="C911" i="1"/>
  <c r="E911" i="1" s="1"/>
  <c r="H911" i="1" s="1"/>
  <c r="B912" i="1"/>
  <c r="D912" i="1" s="1"/>
  <c r="G912" i="1" s="1"/>
  <c r="C912" i="1"/>
  <c r="E912" i="1" s="1"/>
  <c r="H912" i="1" s="1"/>
  <c r="R912" i="1" s="1"/>
  <c r="T912" i="1" s="1"/>
  <c r="B913" i="1"/>
  <c r="D913" i="1" s="1"/>
  <c r="G913" i="1" s="1"/>
  <c r="Q913" i="1" s="1"/>
  <c r="S913" i="1" s="1"/>
  <c r="C913" i="1"/>
  <c r="E913" i="1" s="1"/>
  <c r="H913" i="1" s="1"/>
  <c r="R913" i="1" s="1"/>
  <c r="T913" i="1" s="1"/>
  <c r="B914" i="1"/>
  <c r="D914" i="1" s="1"/>
  <c r="G914" i="1" s="1"/>
  <c r="Q914" i="1" s="1"/>
  <c r="S914" i="1" s="1"/>
  <c r="C914" i="1"/>
  <c r="E914" i="1" s="1"/>
  <c r="H914" i="1" s="1"/>
  <c r="B915" i="1"/>
  <c r="D915" i="1" s="1"/>
  <c r="G915" i="1" s="1"/>
  <c r="C915" i="1"/>
  <c r="E915" i="1" s="1"/>
  <c r="H915" i="1" s="1"/>
  <c r="B916" i="1"/>
  <c r="D916" i="1" s="1"/>
  <c r="G916" i="1" s="1"/>
  <c r="C916" i="1"/>
  <c r="E916" i="1" s="1"/>
  <c r="H916" i="1" s="1"/>
  <c r="B917" i="1"/>
  <c r="D917" i="1" s="1"/>
  <c r="G917" i="1" s="1"/>
  <c r="C917" i="1"/>
  <c r="E917" i="1" s="1"/>
  <c r="H917" i="1" s="1"/>
  <c r="B918" i="1"/>
  <c r="D918" i="1" s="1"/>
  <c r="G918" i="1" s="1"/>
  <c r="C918" i="1"/>
  <c r="E918" i="1" s="1"/>
  <c r="H918" i="1" s="1"/>
  <c r="R918" i="1" s="1"/>
  <c r="T918" i="1" s="1"/>
  <c r="B919" i="1"/>
  <c r="D919" i="1" s="1"/>
  <c r="G919" i="1" s="1"/>
  <c r="Q919" i="1" s="1"/>
  <c r="S919" i="1" s="1"/>
  <c r="C919" i="1"/>
  <c r="E919" i="1" s="1"/>
  <c r="H919" i="1" s="1"/>
  <c r="R919" i="1" s="1"/>
  <c r="T919" i="1" s="1"/>
  <c r="B920" i="1"/>
  <c r="D920" i="1" s="1"/>
  <c r="G920" i="1" s="1"/>
  <c r="Q920" i="1" s="1"/>
  <c r="S920" i="1" s="1"/>
  <c r="C920" i="1"/>
  <c r="E920" i="1" s="1"/>
  <c r="H920" i="1" s="1"/>
  <c r="B921" i="1"/>
  <c r="D921" i="1" s="1"/>
  <c r="G921" i="1" s="1"/>
  <c r="C921" i="1"/>
  <c r="E921" i="1" s="1"/>
  <c r="H921" i="1" s="1"/>
  <c r="B922" i="1"/>
  <c r="D922" i="1" s="1"/>
  <c r="G922" i="1" s="1"/>
  <c r="C922" i="1"/>
  <c r="E922" i="1" s="1"/>
  <c r="B923" i="1"/>
  <c r="D923" i="1" s="1"/>
  <c r="G923" i="1" s="1"/>
  <c r="C923" i="1"/>
  <c r="E923" i="1" s="1"/>
  <c r="H923" i="1" s="1"/>
  <c r="B924" i="1"/>
  <c r="D924" i="1" s="1"/>
  <c r="G924" i="1" s="1"/>
  <c r="C924" i="1"/>
  <c r="E924" i="1" s="1"/>
  <c r="H924" i="1" s="1"/>
  <c r="R924" i="1" s="1"/>
  <c r="T924" i="1" s="1"/>
  <c r="B925" i="1"/>
  <c r="D925" i="1" s="1"/>
  <c r="G925" i="1" s="1"/>
  <c r="Q925" i="1" s="1"/>
  <c r="S925" i="1" s="1"/>
  <c r="C925" i="1"/>
  <c r="E925" i="1" s="1"/>
  <c r="H925" i="1" s="1"/>
  <c r="R925" i="1" s="1"/>
  <c r="T925" i="1" s="1"/>
  <c r="B926" i="1"/>
  <c r="D926" i="1" s="1"/>
  <c r="G926" i="1" s="1"/>
  <c r="Q926" i="1" s="1"/>
  <c r="S926" i="1" s="1"/>
  <c r="C926" i="1"/>
  <c r="E926" i="1" s="1"/>
  <c r="H926" i="1" s="1"/>
  <c r="B927" i="1"/>
  <c r="D927" i="1" s="1"/>
  <c r="G927" i="1" s="1"/>
  <c r="C927" i="1"/>
  <c r="E927" i="1" s="1"/>
  <c r="H927" i="1" s="1"/>
  <c r="B928" i="1"/>
  <c r="D928" i="1" s="1"/>
  <c r="G928" i="1" s="1"/>
  <c r="C928" i="1"/>
  <c r="E928" i="1" s="1"/>
  <c r="H928" i="1" s="1"/>
  <c r="B929" i="1"/>
  <c r="D929" i="1" s="1"/>
  <c r="G929" i="1" s="1"/>
  <c r="C929" i="1"/>
  <c r="E929" i="1" s="1"/>
  <c r="H929" i="1" s="1"/>
  <c r="B930" i="1"/>
  <c r="D930" i="1" s="1"/>
  <c r="G930" i="1" s="1"/>
  <c r="C930" i="1"/>
  <c r="E930" i="1" s="1"/>
  <c r="H930" i="1" s="1"/>
  <c r="R930" i="1" s="1"/>
  <c r="T930" i="1" s="1"/>
  <c r="B931" i="1"/>
  <c r="D931" i="1" s="1"/>
  <c r="G931" i="1" s="1"/>
  <c r="Q931" i="1" s="1"/>
  <c r="S931" i="1" s="1"/>
  <c r="C931" i="1"/>
  <c r="E931" i="1" s="1"/>
  <c r="H931" i="1" s="1"/>
  <c r="R931" i="1" s="1"/>
  <c r="T931" i="1" s="1"/>
  <c r="B932" i="1"/>
  <c r="D932" i="1" s="1"/>
  <c r="G932" i="1" s="1"/>
  <c r="Q932" i="1" s="1"/>
  <c r="S932" i="1" s="1"/>
  <c r="C932" i="1"/>
  <c r="E932" i="1" s="1"/>
  <c r="H932" i="1" s="1"/>
  <c r="B933" i="1"/>
  <c r="D933" i="1" s="1"/>
  <c r="G933" i="1" s="1"/>
  <c r="C933" i="1"/>
  <c r="E933" i="1" s="1"/>
  <c r="H933" i="1" s="1"/>
  <c r="B934" i="1"/>
  <c r="D934" i="1" s="1"/>
  <c r="G934" i="1" s="1"/>
  <c r="C934" i="1"/>
  <c r="E934" i="1" s="1"/>
  <c r="H934" i="1" s="1"/>
  <c r="B935" i="1"/>
  <c r="D935" i="1" s="1"/>
  <c r="G935" i="1" s="1"/>
  <c r="C935" i="1"/>
  <c r="E935" i="1" s="1"/>
  <c r="H935" i="1" s="1"/>
  <c r="B936" i="1"/>
  <c r="D936" i="1" s="1"/>
  <c r="G936" i="1" s="1"/>
  <c r="C936" i="1"/>
  <c r="E936" i="1" s="1"/>
  <c r="H936" i="1" s="1"/>
  <c r="R936" i="1" s="1"/>
  <c r="T936" i="1" s="1"/>
  <c r="B937" i="1"/>
  <c r="D937" i="1" s="1"/>
  <c r="G937" i="1" s="1"/>
  <c r="Q937" i="1" s="1"/>
  <c r="S937" i="1" s="1"/>
  <c r="C937" i="1"/>
  <c r="E937" i="1" s="1"/>
  <c r="H937" i="1" s="1"/>
  <c r="R937" i="1" s="1"/>
  <c r="T937" i="1" s="1"/>
  <c r="B938" i="1"/>
  <c r="D938" i="1" s="1"/>
  <c r="G938" i="1" s="1"/>
  <c r="Q938" i="1" s="1"/>
  <c r="S938" i="1" s="1"/>
  <c r="C938" i="1"/>
  <c r="E938" i="1" s="1"/>
  <c r="H938" i="1" s="1"/>
  <c r="B939" i="1"/>
  <c r="D939" i="1" s="1"/>
  <c r="G939" i="1" s="1"/>
  <c r="C939" i="1"/>
  <c r="E939" i="1" s="1"/>
  <c r="H939" i="1" s="1"/>
  <c r="B940" i="1"/>
  <c r="D940" i="1" s="1"/>
  <c r="G940" i="1" s="1"/>
  <c r="C940" i="1"/>
  <c r="E940" i="1" s="1"/>
  <c r="H940" i="1" s="1"/>
  <c r="B941" i="1"/>
  <c r="D941" i="1" s="1"/>
  <c r="G941" i="1" s="1"/>
  <c r="C941" i="1"/>
  <c r="E941" i="1" s="1"/>
  <c r="H941" i="1" s="1"/>
  <c r="B942" i="1"/>
  <c r="D942" i="1" s="1"/>
  <c r="G942" i="1" s="1"/>
  <c r="C942" i="1"/>
  <c r="E942" i="1" s="1"/>
  <c r="H942" i="1" s="1"/>
  <c r="R942" i="1" s="1"/>
  <c r="T942" i="1" s="1"/>
  <c r="B943" i="1"/>
  <c r="D943" i="1" s="1"/>
  <c r="G943" i="1" s="1"/>
  <c r="Q943" i="1" s="1"/>
  <c r="S943" i="1" s="1"/>
  <c r="C943" i="1"/>
  <c r="E943" i="1" s="1"/>
  <c r="H943" i="1" s="1"/>
  <c r="R943" i="1" s="1"/>
  <c r="T943" i="1" s="1"/>
  <c r="B944" i="1"/>
  <c r="D944" i="1" s="1"/>
  <c r="G944" i="1" s="1"/>
  <c r="Q944" i="1" s="1"/>
  <c r="S944" i="1" s="1"/>
  <c r="C944" i="1"/>
  <c r="E944" i="1" s="1"/>
  <c r="H944" i="1" s="1"/>
  <c r="B945" i="1"/>
  <c r="D945" i="1" s="1"/>
  <c r="G945" i="1" s="1"/>
  <c r="C945" i="1"/>
  <c r="E945" i="1" s="1"/>
  <c r="H945" i="1" s="1"/>
  <c r="B946" i="1"/>
  <c r="D946" i="1" s="1"/>
  <c r="G946" i="1" s="1"/>
  <c r="C946" i="1"/>
  <c r="E946" i="1" s="1"/>
  <c r="H946" i="1" s="1"/>
  <c r="B947" i="1"/>
  <c r="D947" i="1" s="1"/>
  <c r="G947" i="1" s="1"/>
  <c r="C947" i="1"/>
  <c r="E947" i="1" s="1"/>
  <c r="H947" i="1" s="1"/>
  <c r="B948" i="1"/>
  <c r="D948" i="1" s="1"/>
  <c r="G948" i="1" s="1"/>
  <c r="C948" i="1"/>
  <c r="E948" i="1" s="1"/>
  <c r="H948" i="1" s="1"/>
  <c r="R948" i="1" s="1"/>
  <c r="T948" i="1" s="1"/>
  <c r="B949" i="1"/>
  <c r="D949" i="1" s="1"/>
  <c r="C949" i="1"/>
  <c r="E949" i="1" s="1"/>
  <c r="H949" i="1" s="1"/>
  <c r="R949" i="1" s="1"/>
  <c r="T949" i="1" s="1"/>
  <c r="B950" i="1"/>
  <c r="D950" i="1" s="1"/>
  <c r="G950" i="1" s="1"/>
  <c r="Q950" i="1" s="1"/>
  <c r="S950" i="1" s="1"/>
  <c r="C950" i="1"/>
  <c r="E950" i="1" s="1"/>
  <c r="H950" i="1" s="1"/>
  <c r="B951" i="1"/>
  <c r="D951" i="1" s="1"/>
  <c r="G951" i="1" s="1"/>
  <c r="C951" i="1"/>
  <c r="E951" i="1" s="1"/>
  <c r="H951" i="1" s="1"/>
  <c r="B952" i="1"/>
  <c r="D952" i="1" s="1"/>
  <c r="G952" i="1" s="1"/>
  <c r="C952" i="1"/>
  <c r="E952" i="1" s="1"/>
  <c r="B953" i="1"/>
  <c r="D953" i="1" s="1"/>
  <c r="G953" i="1" s="1"/>
  <c r="C953" i="1"/>
  <c r="E953" i="1" s="1"/>
  <c r="H953" i="1" s="1"/>
  <c r="B954" i="1"/>
  <c r="D954" i="1" s="1"/>
  <c r="G954" i="1" s="1"/>
  <c r="C954" i="1"/>
  <c r="E954" i="1" s="1"/>
  <c r="H954" i="1" s="1"/>
  <c r="R954" i="1" s="1"/>
  <c r="T954" i="1" s="1"/>
  <c r="B955" i="1"/>
  <c r="D955" i="1" s="1"/>
  <c r="G955" i="1" s="1"/>
  <c r="Q955" i="1" s="1"/>
  <c r="S955" i="1" s="1"/>
  <c r="C955" i="1"/>
  <c r="E955" i="1" s="1"/>
  <c r="H955" i="1" s="1"/>
  <c r="R955" i="1" s="1"/>
  <c r="T955" i="1" s="1"/>
  <c r="B956" i="1"/>
  <c r="D956" i="1" s="1"/>
  <c r="G956" i="1" s="1"/>
  <c r="Q956" i="1" s="1"/>
  <c r="S956" i="1" s="1"/>
  <c r="C956" i="1"/>
  <c r="E956" i="1" s="1"/>
  <c r="H956" i="1" s="1"/>
  <c r="B957" i="1"/>
  <c r="D957" i="1" s="1"/>
  <c r="G957" i="1" s="1"/>
  <c r="C957" i="1"/>
  <c r="E957" i="1" s="1"/>
  <c r="H957" i="1" s="1"/>
  <c r="B958" i="1"/>
  <c r="D958" i="1" s="1"/>
  <c r="G958" i="1" s="1"/>
  <c r="C958" i="1"/>
  <c r="E958" i="1" s="1"/>
  <c r="H958" i="1" s="1"/>
  <c r="B959" i="1"/>
  <c r="D959" i="1" s="1"/>
  <c r="G959" i="1" s="1"/>
  <c r="C959" i="1"/>
  <c r="E959" i="1" s="1"/>
  <c r="H959" i="1" s="1"/>
  <c r="B960" i="1"/>
  <c r="D960" i="1" s="1"/>
  <c r="G960" i="1" s="1"/>
  <c r="C960" i="1"/>
  <c r="E960" i="1" s="1"/>
  <c r="H960" i="1" s="1"/>
  <c r="R960" i="1" s="1"/>
  <c r="T960" i="1" s="1"/>
  <c r="B961" i="1"/>
  <c r="D961" i="1" s="1"/>
  <c r="G961" i="1" s="1"/>
  <c r="Q961" i="1" s="1"/>
  <c r="S961" i="1" s="1"/>
  <c r="C961" i="1"/>
  <c r="E961" i="1" s="1"/>
  <c r="H961" i="1" s="1"/>
  <c r="R961" i="1" s="1"/>
  <c r="T961" i="1" s="1"/>
  <c r="B962" i="1"/>
  <c r="D962" i="1" s="1"/>
  <c r="G962" i="1" s="1"/>
  <c r="Q962" i="1" s="1"/>
  <c r="S962" i="1" s="1"/>
  <c r="C962" i="1"/>
  <c r="E962" i="1" s="1"/>
  <c r="H962" i="1" s="1"/>
  <c r="B963" i="1"/>
  <c r="D963" i="1" s="1"/>
  <c r="G963" i="1" s="1"/>
  <c r="C963" i="1"/>
  <c r="E963" i="1" s="1"/>
  <c r="H963" i="1" s="1"/>
  <c r="B964" i="1"/>
  <c r="D964" i="1" s="1"/>
  <c r="G964" i="1" s="1"/>
  <c r="C964" i="1"/>
  <c r="E964" i="1" s="1"/>
  <c r="H964" i="1" s="1"/>
  <c r="B965" i="1"/>
  <c r="D965" i="1" s="1"/>
  <c r="G965" i="1" s="1"/>
  <c r="C965" i="1"/>
  <c r="E965" i="1" s="1"/>
  <c r="H965" i="1" s="1"/>
  <c r="B966" i="1"/>
  <c r="D966" i="1" s="1"/>
  <c r="G966" i="1" s="1"/>
  <c r="C966" i="1"/>
  <c r="E966" i="1" s="1"/>
  <c r="H966" i="1" s="1"/>
  <c r="R966" i="1" s="1"/>
  <c r="T966" i="1" s="1"/>
  <c r="B967" i="1"/>
  <c r="D967" i="1" s="1"/>
  <c r="G967" i="1" s="1"/>
  <c r="Q967" i="1" s="1"/>
  <c r="S967" i="1" s="1"/>
  <c r="C967" i="1"/>
  <c r="E967" i="1" s="1"/>
  <c r="H967" i="1" s="1"/>
  <c r="R967" i="1" s="1"/>
  <c r="T967" i="1" s="1"/>
  <c r="B968" i="1"/>
  <c r="D968" i="1" s="1"/>
  <c r="G968" i="1" s="1"/>
  <c r="Q968" i="1" s="1"/>
  <c r="S968" i="1" s="1"/>
  <c r="C968" i="1"/>
  <c r="E968" i="1" s="1"/>
  <c r="H968" i="1" s="1"/>
  <c r="R968" i="1" s="1"/>
  <c r="T968" i="1" s="1"/>
  <c r="B969" i="1"/>
  <c r="D969" i="1" s="1"/>
  <c r="G969" i="1" s="1"/>
  <c r="C969" i="1"/>
  <c r="E969" i="1" s="1"/>
  <c r="H969" i="1" s="1"/>
  <c r="B970" i="1"/>
  <c r="D970" i="1" s="1"/>
  <c r="G970" i="1" s="1"/>
  <c r="C970" i="1"/>
  <c r="E970" i="1" s="1"/>
  <c r="B971" i="1"/>
  <c r="D971" i="1" s="1"/>
  <c r="G971" i="1" s="1"/>
  <c r="C971" i="1"/>
  <c r="E971" i="1" s="1"/>
  <c r="H971" i="1" s="1"/>
  <c r="B972" i="1"/>
  <c r="D972" i="1" s="1"/>
  <c r="G972" i="1" s="1"/>
  <c r="C972" i="1"/>
  <c r="E972" i="1" s="1"/>
  <c r="H972" i="1" s="1"/>
  <c r="R972" i="1" s="1"/>
  <c r="T972" i="1" s="1"/>
  <c r="B973" i="1"/>
  <c r="D973" i="1" s="1"/>
  <c r="G973" i="1" s="1"/>
  <c r="Q973" i="1" s="1"/>
  <c r="S973" i="1" s="1"/>
  <c r="C973" i="1"/>
  <c r="E973" i="1" s="1"/>
  <c r="H973" i="1" s="1"/>
  <c r="R973" i="1" s="1"/>
  <c r="T973" i="1" s="1"/>
  <c r="B974" i="1"/>
  <c r="D974" i="1" s="1"/>
  <c r="G974" i="1" s="1"/>
  <c r="Q974" i="1" s="1"/>
  <c r="S974" i="1" s="1"/>
  <c r="C974" i="1"/>
  <c r="E974" i="1" s="1"/>
  <c r="H974" i="1" s="1"/>
  <c r="R974" i="1" s="1"/>
  <c r="T974" i="1" s="1"/>
  <c r="B975" i="1"/>
  <c r="D975" i="1" s="1"/>
  <c r="G975" i="1" s="1"/>
  <c r="C975" i="1"/>
  <c r="E975" i="1" s="1"/>
  <c r="H975" i="1" s="1"/>
  <c r="B976" i="1"/>
  <c r="D976" i="1" s="1"/>
  <c r="G976" i="1" s="1"/>
  <c r="C976" i="1"/>
  <c r="E976" i="1" s="1"/>
  <c r="H976" i="1" s="1"/>
  <c r="B977" i="1"/>
  <c r="D977" i="1" s="1"/>
  <c r="G977" i="1" s="1"/>
  <c r="C977" i="1"/>
  <c r="E977" i="1" s="1"/>
  <c r="H977" i="1" s="1"/>
  <c r="B978" i="1"/>
  <c r="D978" i="1" s="1"/>
  <c r="G978" i="1" s="1"/>
  <c r="C978" i="1"/>
  <c r="E978" i="1" s="1"/>
  <c r="H978" i="1" s="1"/>
  <c r="R978" i="1" s="1"/>
  <c r="T978" i="1" s="1"/>
  <c r="B979" i="1"/>
  <c r="D979" i="1" s="1"/>
  <c r="G979" i="1" s="1"/>
  <c r="Q979" i="1" s="1"/>
  <c r="S979" i="1" s="1"/>
  <c r="C979" i="1"/>
  <c r="E979" i="1" s="1"/>
  <c r="H979" i="1" s="1"/>
  <c r="R979" i="1" s="1"/>
  <c r="T979" i="1" s="1"/>
  <c r="B980" i="1"/>
  <c r="D980" i="1" s="1"/>
  <c r="G980" i="1" s="1"/>
  <c r="Q980" i="1" s="1"/>
  <c r="S980" i="1" s="1"/>
  <c r="C980" i="1"/>
  <c r="E980" i="1" s="1"/>
  <c r="H980" i="1" s="1"/>
  <c r="R980" i="1" s="1"/>
  <c r="T980" i="1" s="1"/>
  <c r="B981" i="1"/>
  <c r="D981" i="1" s="1"/>
  <c r="G981" i="1" s="1"/>
  <c r="C981" i="1"/>
  <c r="E981" i="1" s="1"/>
  <c r="H981" i="1" s="1"/>
  <c r="B982" i="1"/>
  <c r="D982" i="1" s="1"/>
  <c r="G982" i="1" s="1"/>
  <c r="C982" i="1"/>
  <c r="E982" i="1" s="1"/>
  <c r="H982" i="1" s="1"/>
  <c r="B983" i="1"/>
  <c r="D983" i="1" s="1"/>
  <c r="G983" i="1" s="1"/>
  <c r="C983" i="1"/>
  <c r="E983" i="1" s="1"/>
  <c r="H983" i="1" s="1"/>
  <c r="B984" i="1"/>
  <c r="D984" i="1" s="1"/>
  <c r="G984" i="1" s="1"/>
  <c r="C984" i="1"/>
  <c r="E984" i="1" s="1"/>
  <c r="H984" i="1" s="1"/>
  <c r="R984" i="1" s="1"/>
  <c r="T984" i="1" s="1"/>
  <c r="B985" i="1"/>
  <c r="D985" i="1" s="1"/>
  <c r="G985" i="1" s="1"/>
  <c r="Q985" i="1" s="1"/>
  <c r="S985" i="1" s="1"/>
  <c r="C985" i="1"/>
  <c r="E985" i="1" s="1"/>
  <c r="H985" i="1" s="1"/>
  <c r="R985" i="1" s="1"/>
  <c r="T985" i="1" s="1"/>
  <c r="B986" i="1"/>
  <c r="D986" i="1" s="1"/>
  <c r="G986" i="1" s="1"/>
  <c r="Q986" i="1" s="1"/>
  <c r="S986" i="1" s="1"/>
  <c r="C986" i="1"/>
  <c r="E986" i="1" s="1"/>
  <c r="H986" i="1" s="1"/>
  <c r="R986" i="1" s="1"/>
  <c r="T986" i="1" s="1"/>
  <c r="B987" i="1"/>
  <c r="D987" i="1" s="1"/>
  <c r="G987" i="1" s="1"/>
  <c r="C987" i="1"/>
  <c r="E987" i="1" s="1"/>
  <c r="H987" i="1" s="1"/>
  <c r="B988" i="1"/>
  <c r="D988" i="1" s="1"/>
  <c r="G988" i="1" s="1"/>
  <c r="C988" i="1"/>
  <c r="E988" i="1" s="1"/>
  <c r="H988" i="1" s="1"/>
  <c r="B989" i="1"/>
  <c r="D989" i="1" s="1"/>
  <c r="G989" i="1" s="1"/>
  <c r="C989" i="1"/>
  <c r="E989" i="1" s="1"/>
  <c r="H989" i="1" s="1"/>
  <c r="B990" i="1"/>
  <c r="D990" i="1" s="1"/>
  <c r="G990" i="1" s="1"/>
  <c r="C990" i="1"/>
  <c r="E990" i="1" s="1"/>
  <c r="H990" i="1" s="1"/>
  <c r="R990" i="1" s="1"/>
  <c r="T990" i="1" s="1"/>
  <c r="B991" i="1"/>
  <c r="D991" i="1" s="1"/>
  <c r="G991" i="1" s="1"/>
  <c r="Q991" i="1" s="1"/>
  <c r="S991" i="1" s="1"/>
  <c r="C991" i="1"/>
  <c r="E991" i="1" s="1"/>
  <c r="H991" i="1" s="1"/>
  <c r="R991" i="1" s="1"/>
  <c r="T991" i="1" s="1"/>
  <c r="B992" i="1"/>
  <c r="D992" i="1" s="1"/>
  <c r="G992" i="1" s="1"/>
  <c r="Q992" i="1" s="1"/>
  <c r="S992" i="1" s="1"/>
  <c r="C992" i="1"/>
  <c r="E992" i="1" s="1"/>
  <c r="H992" i="1" s="1"/>
  <c r="R992" i="1" s="1"/>
  <c r="T992" i="1" s="1"/>
  <c r="B993" i="1"/>
  <c r="D993" i="1" s="1"/>
  <c r="G993" i="1" s="1"/>
  <c r="C993" i="1"/>
  <c r="E993" i="1" s="1"/>
  <c r="H993" i="1" s="1"/>
  <c r="B994" i="1"/>
  <c r="D994" i="1" s="1"/>
  <c r="G994" i="1" s="1"/>
  <c r="C994" i="1"/>
  <c r="E994" i="1" s="1"/>
  <c r="H994" i="1" s="1"/>
  <c r="B995" i="1"/>
  <c r="D995" i="1" s="1"/>
  <c r="G995" i="1" s="1"/>
  <c r="C995" i="1"/>
  <c r="E995" i="1" s="1"/>
  <c r="H995" i="1" s="1"/>
  <c r="B996" i="1"/>
  <c r="D996" i="1" s="1"/>
  <c r="G996" i="1" s="1"/>
  <c r="C996" i="1"/>
  <c r="E996" i="1" s="1"/>
  <c r="H996" i="1" s="1"/>
  <c r="R996" i="1" s="1"/>
  <c r="T996" i="1" s="1"/>
  <c r="B997" i="1"/>
  <c r="D997" i="1" s="1"/>
  <c r="C997" i="1"/>
  <c r="E997" i="1" s="1"/>
  <c r="H997" i="1" s="1"/>
  <c r="R997" i="1" s="1"/>
  <c r="T997" i="1" s="1"/>
  <c r="B998" i="1"/>
  <c r="D998" i="1" s="1"/>
  <c r="G998" i="1" s="1"/>
  <c r="Q998" i="1" s="1"/>
  <c r="S998" i="1" s="1"/>
  <c r="C998" i="1"/>
  <c r="E998" i="1" s="1"/>
  <c r="H998" i="1" s="1"/>
  <c r="R998" i="1" s="1"/>
  <c r="T998" i="1" s="1"/>
  <c r="B999" i="1"/>
  <c r="D999" i="1" s="1"/>
  <c r="C999" i="1"/>
  <c r="E999" i="1" s="1"/>
  <c r="H999" i="1" s="1"/>
  <c r="B1000" i="1"/>
  <c r="D1000" i="1" s="1"/>
  <c r="G1000" i="1" s="1"/>
  <c r="C1000" i="1"/>
  <c r="E1000" i="1" s="1"/>
  <c r="B1001" i="1"/>
  <c r="D1001" i="1" s="1"/>
  <c r="G1001" i="1" s="1"/>
  <c r="C1001" i="1"/>
  <c r="E1001" i="1" s="1"/>
  <c r="H1001" i="1" s="1"/>
  <c r="B1002" i="1"/>
  <c r="D1002" i="1" s="1"/>
  <c r="G1002" i="1" s="1"/>
  <c r="C1002" i="1"/>
  <c r="E1002" i="1" s="1"/>
  <c r="H1002" i="1" s="1"/>
  <c r="R1002" i="1" s="1"/>
  <c r="T1002" i="1" s="1"/>
  <c r="B1003" i="1"/>
  <c r="D1003" i="1" s="1"/>
  <c r="G1003" i="1" s="1"/>
  <c r="Q1003" i="1" s="1"/>
  <c r="S1003" i="1" s="1"/>
  <c r="C1003" i="1"/>
  <c r="E1003" i="1" s="1"/>
  <c r="H1003" i="1" s="1"/>
  <c r="R1003" i="1" s="1"/>
  <c r="T1003" i="1" s="1"/>
  <c r="B1004" i="1"/>
  <c r="D1004" i="1" s="1"/>
  <c r="G1004" i="1" s="1"/>
  <c r="Q1004" i="1" s="1"/>
  <c r="S1004" i="1" s="1"/>
  <c r="C1004" i="1"/>
  <c r="E1004" i="1" s="1"/>
  <c r="H1004" i="1" s="1"/>
  <c r="R1004" i="1" s="1"/>
  <c r="T1004" i="1" s="1"/>
  <c r="C5" i="1"/>
  <c r="E5" i="1" s="1"/>
  <c r="H5" i="1" s="1"/>
  <c r="R5" i="1" s="1"/>
  <c r="T5" i="1" s="1"/>
  <c r="B5" i="1"/>
  <c r="D5" i="1" s="1"/>
  <c r="G5" i="1" s="1"/>
  <c r="Q5" i="1" s="1"/>
  <c r="S5" i="1" s="1"/>
  <c r="E15" i="1" l="1"/>
  <c r="H15" i="1" s="1"/>
  <c r="J992" i="1"/>
  <c r="I992" i="1"/>
  <c r="I896" i="1"/>
  <c r="J948" i="1"/>
  <c r="I842" i="1"/>
  <c r="J802" i="1"/>
  <c r="J674" i="1"/>
  <c r="I674" i="1"/>
  <c r="J548" i="1"/>
  <c r="J841" i="1"/>
  <c r="J991" i="1"/>
  <c r="I841" i="1"/>
  <c r="I548" i="1"/>
  <c r="I781" i="1"/>
  <c r="J582" i="1"/>
  <c r="I991" i="1"/>
  <c r="J840" i="1"/>
  <c r="J547" i="1"/>
  <c r="J780" i="1"/>
  <c r="J894" i="1"/>
  <c r="J966" i="1"/>
  <c r="I823" i="1"/>
  <c r="I547" i="1"/>
  <c r="I895" i="1"/>
  <c r="I950" i="1"/>
  <c r="J822" i="1"/>
  <c r="I360" i="1"/>
  <c r="J895" i="1"/>
  <c r="I1003" i="1"/>
  <c r="J949" i="1"/>
  <c r="I822" i="1"/>
  <c r="I359" i="1"/>
  <c r="J644" i="1"/>
  <c r="J758" i="1"/>
  <c r="J759" i="1"/>
  <c r="I759" i="1"/>
  <c r="I932" i="1"/>
  <c r="J980" i="1"/>
  <c r="J877" i="1"/>
  <c r="I735" i="1"/>
  <c r="J363" i="1"/>
  <c r="I980" i="1"/>
  <c r="I877" i="1"/>
  <c r="J979" i="1"/>
  <c r="J930" i="1"/>
  <c r="J876" i="1"/>
  <c r="I979" i="1"/>
  <c r="I914" i="1"/>
  <c r="I860" i="1"/>
  <c r="I802" i="1"/>
  <c r="I276" i="1"/>
  <c r="J1004" i="1"/>
  <c r="I968" i="1"/>
  <c r="J913" i="1"/>
  <c r="J859" i="1"/>
  <c r="J801" i="1"/>
  <c r="I705" i="1"/>
  <c r="I584" i="1"/>
  <c r="J183" i="1"/>
  <c r="I645" i="1"/>
  <c r="J734" i="1"/>
  <c r="I614" i="1"/>
  <c r="J613" i="1"/>
  <c r="I1004" i="1"/>
  <c r="K1004" i="1" s="1"/>
  <c r="J967" i="1"/>
  <c r="I913" i="1"/>
  <c r="I859" i="1"/>
  <c r="I782" i="1"/>
  <c r="J704" i="1"/>
  <c r="J583" i="1"/>
  <c r="J99" i="1"/>
  <c r="I878" i="1"/>
  <c r="I644" i="1"/>
  <c r="J931" i="1"/>
  <c r="J643" i="1"/>
  <c r="I931" i="1"/>
  <c r="J614" i="1"/>
  <c r="I734" i="1"/>
  <c r="J708" i="1"/>
  <c r="J1003" i="1"/>
  <c r="I967" i="1"/>
  <c r="J912" i="1"/>
  <c r="J858" i="1"/>
  <c r="J781" i="1"/>
  <c r="I675" i="1"/>
  <c r="I583" i="1"/>
  <c r="I96" i="1"/>
  <c r="R971" i="1"/>
  <c r="T971" i="1" s="1"/>
  <c r="J971" i="1"/>
  <c r="R935" i="1"/>
  <c r="T935" i="1" s="1"/>
  <c r="J935" i="1"/>
  <c r="R875" i="1"/>
  <c r="T875" i="1" s="1"/>
  <c r="J875" i="1"/>
  <c r="R827" i="1"/>
  <c r="T827" i="1" s="1"/>
  <c r="J827" i="1"/>
  <c r="R779" i="1"/>
  <c r="T779" i="1" s="1"/>
  <c r="J779" i="1"/>
  <c r="R737" i="1"/>
  <c r="T737" i="1" s="1"/>
  <c r="U737" i="1" s="1"/>
  <c r="J737" i="1"/>
  <c r="R695" i="1"/>
  <c r="T695" i="1" s="1"/>
  <c r="J695" i="1"/>
  <c r="R653" i="1"/>
  <c r="T653" i="1" s="1"/>
  <c r="J653" i="1"/>
  <c r="R611" i="1"/>
  <c r="T611" i="1" s="1"/>
  <c r="J611" i="1"/>
  <c r="R563" i="1"/>
  <c r="T563" i="1" s="1"/>
  <c r="J563" i="1"/>
  <c r="R521" i="1"/>
  <c r="T521" i="1" s="1"/>
  <c r="J521" i="1"/>
  <c r="R479" i="1"/>
  <c r="T479" i="1" s="1"/>
  <c r="J479" i="1"/>
  <c r="R431" i="1"/>
  <c r="T431" i="1" s="1"/>
  <c r="J431" i="1"/>
  <c r="R395" i="1"/>
  <c r="T395" i="1" s="1"/>
  <c r="J395" i="1"/>
  <c r="R353" i="1"/>
  <c r="T353" i="1" s="1"/>
  <c r="J353" i="1"/>
  <c r="R305" i="1"/>
  <c r="T305" i="1" s="1"/>
  <c r="J305" i="1"/>
  <c r="R263" i="1"/>
  <c r="T263" i="1" s="1"/>
  <c r="J263" i="1"/>
  <c r="R221" i="1"/>
  <c r="T221" i="1" s="1"/>
  <c r="J221" i="1"/>
  <c r="R185" i="1"/>
  <c r="T185" i="1" s="1"/>
  <c r="J185" i="1"/>
  <c r="R143" i="1"/>
  <c r="T143" i="1" s="1"/>
  <c r="J143" i="1"/>
  <c r="R101" i="1"/>
  <c r="T101" i="1" s="1"/>
  <c r="J101" i="1"/>
  <c r="R65" i="1"/>
  <c r="T65" i="1" s="1"/>
  <c r="J65" i="1"/>
  <c r="R29" i="1"/>
  <c r="T29" i="1" s="1"/>
  <c r="J29" i="1"/>
  <c r="Q989" i="1"/>
  <c r="S989" i="1" s="1"/>
  <c r="I989" i="1"/>
  <c r="Q947" i="1"/>
  <c r="S947" i="1" s="1"/>
  <c r="I947" i="1"/>
  <c r="Q905" i="1"/>
  <c r="S905" i="1" s="1"/>
  <c r="I905" i="1"/>
  <c r="Q857" i="1"/>
  <c r="S857" i="1" s="1"/>
  <c r="I857" i="1"/>
  <c r="Q761" i="1"/>
  <c r="S761" i="1" s="1"/>
  <c r="I761" i="1"/>
  <c r="Q719" i="1"/>
  <c r="S719" i="1" s="1"/>
  <c r="I719" i="1"/>
  <c r="Q689" i="1"/>
  <c r="S689" i="1" s="1"/>
  <c r="I689" i="1"/>
  <c r="Q647" i="1"/>
  <c r="S647" i="1" s="1"/>
  <c r="I647" i="1"/>
  <c r="Q605" i="1"/>
  <c r="S605" i="1" s="1"/>
  <c r="I605" i="1"/>
  <c r="Q575" i="1"/>
  <c r="S575" i="1" s="1"/>
  <c r="I575" i="1"/>
  <c r="Q539" i="1"/>
  <c r="S539" i="1" s="1"/>
  <c r="I539" i="1"/>
  <c r="Q497" i="1"/>
  <c r="S497" i="1" s="1"/>
  <c r="I497" i="1"/>
  <c r="Q461" i="1"/>
  <c r="S461" i="1" s="1"/>
  <c r="I461" i="1"/>
  <c r="Q419" i="1"/>
  <c r="S419" i="1" s="1"/>
  <c r="I419" i="1"/>
  <c r="Q311" i="1"/>
  <c r="S311" i="1" s="1"/>
  <c r="I311" i="1"/>
  <c r="Q239" i="1"/>
  <c r="S239" i="1" s="1"/>
  <c r="I239" i="1"/>
  <c r="R988" i="1"/>
  <c r="T988" i="1" s="1"/>
  <c r="J988" i="1"/>
  <c r="R946" i="1"/>
  <c r="T946" i="1" s="1"/>
  <c r="J946" i="1"/>
  <c r="R910" i="1"/>
  <c r="T910" i="1" s="1"/>
  <c r="J910" i="1"/>
  <c r="R862" i="1"/>
  <c r="T862" i="1" s="1"/>
  <c r="J862" i="1"/>
  <c r="R820" i="1"/>
  <c r="T820" i="1" s="1"/>
  <c r="J820" i="1"/>
  <c r="R766" i="1"/>
  <c r="T766" i="1" s="1"/>
  <c r="J766" i="1"/>
  <c r="R688" i="1"/>
  <c r="T688" i="1" s="1"/>
  <c r="J688" i="1"/>
  <c r="R640" i="1"/>
  <c r="T640" i="1" s="1"/>
  <c r="J640" i="1"/>
  <c r="R460" i="1"/>
  <c r="T460" i="1" s="1"/>
  <c r="J460" i="1"/>
  <c r="R370" i="1"/>
  <c r="T370" i="1" s="1"/>
  <c r="J370" i="1"/>
  <c r="R322" i="1"/>
  <c r="T322" i="1" s="1"/>
  <c r="J322" i="1"/>
  <c r="R268" i="1"/>
  <c r="T268" i="1" s="1"/>
  <c r="J268" i="1"/>
  <c r="R220" i="1"/>
  <c r="T220" i="1" s="1"/>
  <c r="J220" i="1"/>
  <c r="R172" i="1"/>
  <c r="T172" i="1" s="1"/>
  <c r="J172" i="1"/>
  <c r="R82" i="1"/>
  <c r="T82" i="1" s="1"/>
  <c r="J82" i="1"/>
  <c r="R34" i="1"/>
  <c r="T34" i="1" s="1"/>
  <c r="J34" i="1"/>
  <c r="J275" i="1"/>
  <c r="Q994" i="1"/>
  <c r="S994" i="1" s="1"/>
  <c r="I994" i="1"/>
  <c r="Q946" i="1"/>
  <c r="S946" i="1" s="1"/>
  <c r="I946" i="1"/>
  <c r="K946" i="1" s="1"/>
  <c r="Q910" i="1"/>
  <c r="S910" i="1" s="1"/>
  <c r="I910" i="1"/>
  <c r="Q862" i="1"/>
  <c r="S862" i="1" s="1"/>
  <c r="I862" i="1"/>
  <c r="Q826" i="1"/>
  <c r="S826" i="1" s="1"/>
  <c r="I826" i="1"/>
  <c r="Q778" i="1"/>
  <c r="S778" i="1" s="1"/>
  <c r="I778" i="1"/>
  <c r="Q724" i="1"/>
  <c r="S724" i="1" s="1"/>
  <c r="I724" i="1"/>
  <c r="Q658" i="1"/>
  <c r="S658" i="1" s="1"/>
  <c r="I658" i="1"/>
  <c r="Q616" i="1"/>
  <c r="S616" i="1" s="1"/>
  <c r="I616" i="1"/>
  <c r="Q574" i="1"/>
  <c r="S574" i="1" s="1"/>
  <c r="I574" i="1"/>
  <c r="Q532" i="1"/>
  <c r="S532" i="1" s="1"/>
  <c r="I532" i="1"/>
  <c r="Q484" i="1"/>
  <c r="S484" i="1" s="1"/>
  <c r="I484" i="1"/>
  <c r="Q442" i="1"/>
  <c r="S442" i="1" s="1"/>
  <c r="I442" i="1"/>
  <c r="Q358" i="1"/>
  <c r="S358" i="1" s="1"/>
  <c r="I358" i="1"/>
  <c r="I707" i="1"/>
  <c r="J502" i="1"/>
  <c r="J191" i="1"/>
  <c r="R959" i="1"/>
  <c r="T959" i="1" s="1"/>
  <c r="J959" i="1"/>
  <c r="R917" i="1"/>
  <c r="T917" i="1" s="1"/>
  <c r="J917" i="1"/>
  <c r="R881" i="1"/>
  <c r="T881" i="1" s="1"/>
  <c r="J881" i="1"/>
  <c r="R845" i="1"/>
  <c r="T845" i="1" s="1"/>
  <c r="J845" i="1"/>
  <c r="R803" i="1"/>
  <c r="T803" i="1" s="1"/>
  <c r="U803" i="1" s="1"/>
  <c r="J803" i="1"/>
  <c r="R761" i="1"/>
  <c r="T761" i="1" s="1"/>
  <c r="J761" i="1"/>
  <c r="R713" i="1"/>
  <c r="T713" i="1" s="1"/>
  <c r="J713" i="1"/>
  <c r="R665" i="1"/>
  <c r="T665" i="1" s="1"/>
  <c r="J665" i="1"/>
  <c r="R623" i="1"/>
  <c r="T623" i="1" s="1"/>
  <c r="J623" i="1"/>
  <c r="R569" i="1"/>
  <c r="T569" i="1" s="1"/>
  <c r="J569" i="1"/>
  <c r="R533" i="1"/>
  <c r="T533" i="1" s="1"/>
  <c r="J533" i="1"/>
  <c r="R491" i="1"/>
  <c r="T491" i="1" s="1"/>
  <c r="J491" i="1"/>
  <c r="R449" i="1"/>
  <c r="T449" i="1" s="1"/>
  <c r="J449" i="1"/>
  <c r="R401" i="1"/>
  <c r="T401" i="1" s="1"/>
  <c r="J401" i="1"/>
  <c r="R365" i="1"/>
  <c r="T365" i="1" s="1"/>
  <c r="J365" i="1"/>
  <c r="R317" i="1"/>
  <c r="T317" i="1" s="1"/>
  <c r="J317" i="1"/>
  <c r="R281" i="1"/>
  <c r="T281" i="1" s="1"/>
  <c r="J281" i="1"/>
  <c r="R227" i="1"/>
  <c r="T227" i="1" s="1"/>
  <c r="J227" i="1"/>
  <c r="R179" i="1"/>
  <c r="T179" i="1" s="1"/>
  <c r="J179" i="1"/>
  <c r="R137" i="1"/>
  <c r="T137" i="1" s="1"/>
  <c r="J137" i="1"/>
  <c r="R89" i="1"/>
  <c r="T89" i="1" s="1"/>
  <c r="J89" i="1"/>
  <c r="R53" i="1"/>
  <c r="T53" i="1" s="1"/>
  <c r="J53" i="1"/>
  <c r="Q983" i="1"/>
  <c r="S983" i="1" s="1"/>
  <c r="I983" i="1"/>
  <c r="Q935" i="1"/>
  <c r="S935" i="1" s="1"/>
  <c r="I935" i="1"/>
  <c r="Q893" i="1"/>
  <c r="S893" i="1" s="1"/>
  <c r="I893" i="1"/>
  <c r="Q851" i="1"/>
  <c r="S851" i="1" s="1"/>
  <c r="I851" i="1"/>
  <c r="Q809" i="1"/>
  <c r="S809" i="1" s="1"/>
  <c r="I809" i="1"/>
  <c r="Q767" i="1"/>
  <c r="S767" i="1" s="1"/>
  <c r="I767" i="1"/>
  <c r="Q725" i="1"/>
  <c r="S725" i="1" s="1"/>
  <c r="I725" i="1"/>
  <c r="Q695" i="1"/>
  <c r="S695" i="1" s="1"/>
  <c r="I695" i="1"/>
  <c r="Q653" i="1"/>
  <c r="S653" i="1" s="1"/>
  <c r="I653" i="1"/>
  <c r="Q617" i="1"/>
  <c r="S617" i="1" s="1"/>
  <c r="I617" i="1"/>
  <c r="Q581" i="1"/>
  <c r="S581" i="1" s="1"/>
  <c r="I581" i="1"/>
  <c r="Q533" i="1"/>
  <c r="S533" i="1" s="1"/>
  <c r="I533" i="1"/>
  <c r="Q491" i="1"/>
  <c r="S491" i="1" s="1"/>
  <c r="I491" i="1"/>
  <c r="Q455" i="1"/>
  <c r="S455" i="1" s="1"/>
  <c r="I455" i="1"/>
  <c r="Q407" i="1"/>
  <c r="S407" i="1" s="1"/>
  <c r="I407" i="1"/>
  <c r="Q371" i="1"/>
  <c r="S371" i="1" s="1"/>
  <c r="I371" i="1"/>
  <c r="Q335" i="1"/>
  <c r="S335" i="1" s="1"/>
  <c r="I335" i="1"/>
  <c r="Q299" i="1"/>
  <c r="S299" i="1" s="1"/>
  <c r="I299" i="1"/>
  <c r="Q263" i="1"/>
  <c r="S263" i="1" s="1"/>
  <c r="I263" i="1"/>
  <c r="K263" i="1" s="1"/>
  <c r="Q221" i="1"/>
  <c r="S221" i="1" s="1"/>
  <c r="I221" i="1"/>
  <c r="Q179" i="1"/>
  <c r="S179" i="1" s="1"/>
  <c r="U179" i="1" s="1"/>
  <c r="I179" i="1"/>
  <c r="K179" i="1" s="1"/>
  <c r="Q143" i="1"/>
  <c r="S143" i="1" s="1"/>
  <c r="I143" i="1"/>
  <c r="Q119" i="1"/>
  <c r="S119" i="1" s="1"/>
  <c r="I119" i="1"/>
  <c r="Q89" i="1"/>
  <c r="S89" i="1" s="1"/>
  <c r="I89" i="1"/>
  <c r="Q59" i="1"/>
  <c r="S59" i="1" s="1"/>
  <c r="I59" i="1"/>
  <c r="Q35" i="1"/>
  <c r="S35" i="1" s="1"/>
  <c r="I35" i="1"/>
  <c r="Q11" i="1"/>
  <c r="S11" i="1" s="1"/>
  <c r="I11" i="1"/>
  <c r="R964" i="1"/>
  <c r="T964" i="1" s="1"/>
  <c r="J964" i="1"/>
  <c r="R916" i="1"/>
  <c r="T916" i="1" s="1"/>
  <c r="J916" i="1"/>
  <c r="R850" i="1"/>
  <c r="T850" i="1" s="1"/>
  <c r="J850" i="1"/>
  <c r="R790" i="1"/>
  <c r="T790" i="1" s="1"/>
  <c r="J790" i="1"/>
  <c r="R748" i="1"/>
  <c r="T748" i="1" s="1"/>
  <c r="J748" i="1"/>
  <c r="R706" i="1"/>
  <c r="T706" i="1" s="1"/>
  <c r="J706" i="1"/>
  <c r="R646" i="1"/>
  <c r="T646" i="1" s="1"/>
  <c r="J646" i="1"/>
  <c r="R604" i="1"/>
  <c r="T604" i="1" s="1"/>
  <c r="J604" i="1"/>
  <c r="R574" i="1"/>
  <c r="T574" i="1" s="1"/>
  <c r="J574" i="1"/>
  <c r="R496" i="1"/>
  <c r="T496" i="1" s="1"/>
  <c r="J496" i="1"/>
  <c r="R466" i="1"/>
  <c r="T466" i="1" s="1"/>
  <c r="J466" i="1"/>
  <c r="R406" i="1"/>
  <c r="T406" i="1" s="1"/>
  <c r="J406" i="1"/>
  <c r="R364" i="1"/>
  <c r="T364" i="1" s="1"/>
  <c r="J364" i="1"/>
  <c r="R316" i="1"/>
  <c r="T316" i="1" s="1"/>
  <c r="J316" i="1"/>
  <c r="R262" i="1"/>
  <c r="T262" i="1" s="1"/>
  <c r="J262" i="1"/>
  <c r="R214" i="1"/>
  <c r="T214" i="1" s="1"/>
  <c r="J214" i="1"/>
  <c r="R148" i="1"/>
  <c r="T148" i="1" s="1"/>
  <c r="J148" i="1"/>
  <c r="R112" i="1"/>
  <c r="T112" i="1" s="1"/>
  <c r="J112" i="1"/>
  <c r="R64" i="1"/>
  <c r="T64" i="1" s="1"/>
  <c r="J64" i="1"/>
  <c r="R16" i="1"/>
  <c r="T16" i="1" s="1"/>
  <c r="J16" i="1"/>
  <c r="Q970" i="1"/>
  <c r="S970" i="1" s="1"/>
  <c r="I970" i="1"/>
  <c r="Q922" i="1"/>
  <c r="S922" i="1" s="1"/>
  <c r="I922" i="1"/>
  <c r="Q874" i="1"/>
  <c r="S874" i="1" s="1"/>
  <c r="I874" i="1"/>
  <c r="Q766" i="1"/>
  <c r="S766" i="1" s="1"/>
  <c r="I766" i="1"/>
  <c r="Q718" i="1"/>
  <c r="S718" i="1" s="1"/>
  <c r="I718" i="1"/>
  <c r="Q670" i="1"/>
  <c r="S670" i="1" s="1"/>
  <c r="I670" i="1"/>
  <c r="Q622" i="1"/>
  <c r="S622" i="1" s="1"/>
  <c r="I622" i="1"/>
  <c r="Q580" i="1"/>
  <c r="S580" i="1" s="1"/>
  <c r="I580" i="1"/>
  <c r="Q538" i="1"/>
  <c r="S538" i="1" s="1"/>
  <c r="I538" i="1"/>
  <c r="Q496" i="1"/>
  <c r="S496" i="1" s="1"/>
  <c r="I496" i="1"/>
  <c r="Q430" i="1"/>
  <c r="S430" i="1" s="1"/>
  <c r="I430" i="1"/>
  <c r="Q328" i="1"/>
  <c r="S328" i="1" s="1"/>
  <c r="I328" i="1"/>
  <c r="J437" i="1"/>
  <c r="I191" i="1"/>
  <c r="R1001" i="1"/>
  <c r="T1001" i="1" s="1"/>
  <c r="J1001" i="1"/>
  <c r="R953" i="1"/>
  <c r="T953" i="1" s="1"/>
  <c r="J953" i="1"/>
  <c r="R899" i="1"/>
  <c r="T899" i="1" s="1"/>
  <c r="J899" i="1"/>
  <c r="R851" i="1"/>
  <c r="T851" i="1" s="1"/>
  <c r="J851" i="1"/>
  <c r="R821" i="1"/>
  <c r="T821" i="1" s="1"/>
  <c r="J821" i="1"/>
  <c r="R773" i="1"/>
  <c r="T773" i="1" s="1"/>
  <c r="J773" i="1"/>
  <c r="R731" i="1"/>
  <c r="T731" i="1" s="1"/>
  <c r="J731" i="1"/>
  <c r="R689" i="1"/>
  <c r="T689" i="1" s="1"/>
  <c r="J689" i="1"/>
  <c r="R641" i="1"/>
  <c r="T641" i="1" s="1"/>
  <c r="J641" i="1"/>
  <c r="R593" i="1"/>
  <c r="T593" i="1" s="1"/>
  <c r="J593" i="1"/>
  <c r="R551" i="1"/>
  <c r="T551" i="1" s="1"/>
  <c r="J551" i="1"/>
  <c r="R503" i="1"/>
  <c r="T503" i="1" s="1"/>
  <c r="U503" i="1" s="1"/>
  <c r="J503" i="1"/>
  <c r="R461" i="1"/>
  <c r="T461" i="1" s="1"/>
  <c r="J461" i="1"/>
  <c r="R419" i="1"/>
  <c r="T419" i="1" s="1"/>
  <c r="J419" i="1"/>
  <c r="R377" i="1"/>
  <c r="T377" i="1" s="1"/>
  <c r="J377" i="1"/>
  <c r="R329" i="1"/>
  <c r="T329" i="1" s="1"/>
  <c r="J329" i="1"/>
  <c r="R233" i="1"/>
  <c r="T233" i="1" s="1"/>
  <c r="J233" i="1"/>
  <c r="R197" i="1"/>
  <c r="T197" i="1" s="1"/>
  <c r="J197" i="1"/>
  <c r="R149" i="1"/>
  <c r="T149" i="1" s="1"/>
  <c r="J149" i="1"/>
  <c r="R95" i="1"/>
  <c r="T95" i="1" s="1"/>
  <c r="J95" i="1"/>
  <c r="R47" i="1"/>
  <c r="T47" i="1" s="1"/>
  <c r="J47" i="1"/>
  <c r="Q977" i="1"/>
  <c r="S977" i="1" s="1"/>
  <c r="I977" i="1"/>
  <c r="Q929" i="1"/>
  <c r="S929" i="1" s="1"/>
  <c r="I929" i="1"/>
  <c r="Q881" i="1"/>
  <c r="S881" i="1" s="1"/>
  <c r="I881" i="1"/>
  <c r="Q845" i="1"/>
  <c r="S845" i="1" s="1"/>
  <c r="I845" i="1"/>
  <c r="Q791" i="1"/>
  <c r="S791" i="1" s="1"/>
  <c r="I791" i="1"/>
  <c r="Q641" i="1"/>
  <c r="S641" i="1" s="1"/>
  <c r="U641" i="1" s="1"/>
  <c r="I641" i="1"/>
  <c r="K641" i="1" s="1"/>
  <c r="Q599" i="1"/>
  <c r="S599" i="1" s="1"/>
  <c r="I599" i="1"/>
  <c r="Q551" i="1"/>
  <c r="S551" i="1" s="1"/>
  <c r="I551" i="1"/>
  <c r="K551" i="1" s="1"/>
  <c r="Q467" i="1"/>
  <c r="S467" i="1" s="1"/>
  <c r="I467" i="1"/>
  <c r="Q425" i="1"/>
  <c r="S425" i="1" s="1"/>
  <c r="I425" i="1"/>
  <c r="Q383" i="1"/>
  <c r="S383" i="1" s="1"/>
  <c r="I383" i="1"/>
  <c r="Q353" i="1"/>
  <c r="S353" i="1" s="1"/>
  <c r="I353" i="1"/>
  <c r="Q317" i="1"/>
  <c r="S317" i="1" s="1"/>
  <c r="I317" i="1"/>
  <c r="Q281" i="1"/>
  <c r="S281" i="1" s="1"/>
  <c r="I281" i="1"/>
  <c r="Q245" i="1"/>
  <c r="S245" i="1" s="1"/>
  <c r="I245" i="1"/>
  <c r="Q155" i="1"/>
  <c r="S155" i="1" s="1"/>
  <c r="I155" i="1"/>
  <c r="Q71" i="1"/>
  <c r="S71" i="1" s="1"/>
  <c r="I71" i="1"/>
  <c r="Q41" i="1"/>
  <c r="S41" i="1" s="1"/>
  <c r="I41" i="1"/>
  <c r="Q17" i="1"/>
  <c r="S17" i="1" s="1"/>
  <c r="I17" i="1"/>
  <c r="R940" i="1"/>
  <c r="T940" i="1" s="1"/>
  <c r="J940" i="1"/>
  <c r="R886" i="1"/>
  <c r="T886" i="1" s="1"/>
  <c r="J886" i="1"/>
  <c r="R694" i="1"/>
  <c r="T694" i="1" s="1"/>
  <c r="J694" i="1"/>
  <c r="R652" i="1"/>
  <c r="T652" i="1" s="1"/>
  <c r="J652" i="1"/>
  <c r="R592" i="1"/>
  <c r="T592" i="1" s="1"/>
  <c r="J592" i="1"/>
  <c r="R550" i="1"/>
  <c r="T550" i="1" s="1"/>
  <c r="J550" i="1"/>
  <c r="R508" i="1"/>
  <c r="T508" i="1" s="1"/>
  <c r="J508" i="1"/>
  <c r="R412" i="1"/>
  <c r="T412" i="1" s="1"/>
  <c r="J412" i="1"/>
  <c r="R334" i="1"/>
  <c r="T334" i="1" s="1"/>
  <c r="J334" i="1"/>
  <c r="R286" i="1"/>
  <c r="T286" i="1" s="1"/>
  <c r="J286" i="1"/>
  <c r="R238" i="1"/>
  <c r="T238" i="1" s="1"/>
  <c r="J238" i="1"/>
  <c r="R160" i="1"/>
  <c r="T160" i="1" s="1"/>
  <c r="J160" i="1"/>
  <c r="R118" i="1"/>
  <c r="T118" i="1" s="1"/>
  <c r="J118" i="1"/>
  <c r="R70" i="1"/>
  <c r="T70" i="1" s="1"/>
  <c r="J70" i="1"/>
  <c r="Q988" i="1"/>
  <c r="S988" i="1" s="1"/>
  <c r="U988" i="1" s="1"/>
  <c r="I988" i="1"/>
  <c r="K988" i="1" s="1"/>
  <c r="Q940" i="1"/>
  <c r="S940" i="1" s="1"/>
  <c r="I940" i="1"/>
  <c r="Q892" i="1"/>
  <c r="S892" i="1" s="1"/>
  <c r="I892" i="1"/>
  <c r="Q850" i="1"/>
  <c r="S850" i="1" s="1"/>
  <c r="I850" i="1"/>
  <c r="Q808" i="1"/>
  <c r="S808" i="1" s="1"/>
  <c r="I808" i="1"/>
  <c r="Q748" i="1"/>
  <c r="S748" i="1" s="1"/>
  <c r="I748" i="1"/>
  <c r="Q706" i="1"/>
  <c r="S706" i="1" s="1"/>
  <c r="I706" i="1"/>
  <c r="Q664" i="1"/>
  <c r="S664" i="1" s="1"/>
  <c r="I664" i="1"/>
  <c r="Q604" i="1"/>
  <c r="S604" i="1" s="1"/>
  <c r="I604" i="1"/>
  <c r="Q556" i="1"/>
  <c r="S556" i="1" s="1"/>
  <c r="I556" i="1"/>
  <c r="Q508" i="1"/>
  <c r="S508" i="1" s="1"/>
  <c r="I508" i="1"/>
  <c r="Q334" i="1"/>
  <c r="S334" i="1" s="1"/>
  <c r="I334" i="1"/>
  <c r="I437" i="1"/>
  <c r="I184" i="1"/>
  <c r="R965" i="1"/>
  <c r="T965" i="1" s="1"/>
  <c r="J965" i="1"/>
  <c r="R923" i="1"/>
  <c r="T923" i="1" s="1"/>
  <c r="J923" i="1"/>
  <c r="R887" i="1"/>
  <c r="T887" i="1" s="1"/>
  <c r="J887" i="1"/>
  <c r="R839" i="1"/>
  <c r="T839" i="1" s="1"/>
  <c r="J839" i="1"/>
  <c r="R755" i="1"/>
  <c r="T755" i="1" s="1"/>
  <c r="J755" i="1"/>
  <c r="R707" i="1"/>
  <c r="T707" i="1" s="1"/>
  <c r="U707" i="1" s="1"/>
  <c r="J707" i="1"/>
  <c r="R659" i="1"/>
  <c r="T659" i="1" s="1"/>
  <c r="J659" i="1"/>
  <c r="R617" i="1"/>
  <c r="T617" i="1" s="1"/>
  <c r="J617" i="1"/>
  <c r="R581" i="1"/>
  <c r="T581" i="1" s="1"/>
  <c r="J581" i="1"/>
  <c r="R527" i="1"/>
  <c r="T527" i="1" s="1"/>
  <c r="J527" i="1"/>
  <c r="R485" i="1"/>
  <c r="T485" i="1" s="1"/>
  <c r="J485" i="1"/>
  <c r="R443" i="1"/>
  <c r="T443" i="1" s="1"/>
  <c r="J443" i="1"/>
  <c r="R389" i="1"/>
  <c r="T389" i="1" s="1"/>
  <c r="J389" i="1"/>
  <c r="R347" i="1"/>
  <c r="T347" i="1" s="1"/>
  <c r="J347" i="1"/>
  <c r="R299" i="1"/>
  <c r="T299" i="1" s="1"/>
  <c r="J299" i="1"/>
  <c r="R251" i="1"/>
  <c r="T251" i="1" s="1"/>
  <c r="J251" i="1"/>
  <c r="R209" i="1"/>
  <c r="T209" i="1" s="1"/>
  <c r="J209" i="1"/>
  <c r="R161" i="1"/>
  <c r="T161" i="1" s="1"/>
  <c r="J161" i="1"/>
  <c r="R119" i="1"/>
  <c r="T119" i="1" s="1"/>
  <c r="J119" i="1"/>
  <c r="R71" i="1"/>
  <c r="T71" i="1" s="1"/>
  <c r="J71" i="1"/>
  <c r="R23" i="1"/>
  <c r="T23" i="1" s="1"/>
  <c r="J23" i="1"/>
  <c r="Q971" i="1"/>
  <c r="S971" i="1" s="1"/>
  <c r="I971" i="1"/>
  <c r="Q923" i="1"/>
  <c r="S923" i="1" s="1"/>
  <c r="I923" i="1"/>
  <c r="K923" i="1" s="1"/>
  <c r="Q887" i="1"/>
  <c r="S887" i="1" s="1"/>
  <c r="I887" i="1"/>
  <c r="Q839" i="1"/>
  <c r="S839" i="1" s="1"/>
  <c r="I839" i="1"/>
  <c r="Q797" i="1"/>
  <c r="S797" i="1" s="1"/>
  <c r="I797" i="1"/>
  <c r="Q749" i="1"/>
  <c r="S749" i="1" s="1"/>
  <c r="I749" i="1"/>
  <c r="Q671" i="1"/>
  <c r="S671" i="1" s="1"/>
  <c r="I671" i="1"/>
  <c r="Q623" i="1"/>
  <c r="S623" i="1" s="1"/>
  <c r="I623" i="1"/>
  <c r="Q587" i="1"/>
  <c r="S587" i="1" s="1"/>
  <c r="I587" i="1"/>
  <c r="Q545" i="1"/>
  <c r="S545" i="1" s="1"/>
  <c r="I545" i="1"/>
  <c r="Q515" i="1"/>
  <c r="S515" i="1" s="1"/>
  <c r="I515" i="1"/>
  <c r="Q473" i="1"/>
  <c r="S473" i="1" s="1"/>
  <c r="I473" i="1"/>
  <c r="Q431" i="1"/>
  <c r="S431" i="1" s="1"/>
  <c r="I431" i="1"/>
  <c r="Q401" i="1"/>
  <c r="S401" i="1" s="1"/>
  <c r="I401" i="1"/>
  <c r="Q365" i="1"/>
  <c r="S365" i="1" s="1"/>
  <c r="I365" i="1"/>
  <c r="Q323" i="1"/>
  <c r="S323" i="1" s="1"/>
  <c r="I323" i="1"/>
  <c r="Q305" i="1"/>
  <c r="S305" i="1" s="1"/>
  <c r="I305" i="1"/>
  <c r="Q269" i="1"/>
  <c r="S269" i="1" s="1"/>
  <c r="I269" i="1"/>
  <c r="Q227" i="1"/>
  <c r="S227" i="1" s="1"/>
  <c r="I227" i="1"/>
  <c r="Q197" i="1"/>
  <c r="S197" i="1" s="1"/>
  <c r="U197" i="1" s="1"/>
  <c r="I197" i="1"/>
  <c r="K197" i="1" s="1"/>
  <c r="Q167" i="1"/>
  <c r="S167" i="1" s="1"/>
  <c r="I167" i="1"/>
  <c r="Q137" i="1"/>
  <c r="S137" i="1" s="1"/>
  <c r="I137" i="1"/>
  <c r="Q113" i="1"/>
  <c r="S113" i="1" s="1"/>
  <c r="I113" i="1"/>
  <c r="Q65" i="1"/>
  <c r="S65" i="1" s="1"/>
  <c r="I65" i="1"/>
  <c r="Q29" i="1"/>
  <c r="S29" i="1" s="1"/>
  <c r="I29" i="1"/>
  <c r="R976" i="1"/>
  <c r="T976" i="1" s="1"/>
  <c r="J976" i="1"/>
  <c r="R844" i="1"/>
  <c r="T844" i="1" s="1"/>
  <c r="J844" i="1"/>
  <c r="R784" i="1"/>
  <c r="T784" i="1" s="1"/>
  <c r="J784" i="1"/>
  <c r="R736" i="1"/>
  <c r="T736" i="1" s="1"/>
  <c r="J736" i="1"/>
  <c r="R700" i="1"/>
  <c r="T700" i="1" s="1"/>
  <c r="J700" i="1"/>
  <c r="R598" i="1"/>
  <c r="T598" i="1" s="1"/>
  <c r="J598" i="1"/>
  <c r="R556" i="1"/>
  <c r="T556" i="1" s="1"/>
  <c r="J556" i="1"/>
  <c r="R514" i="1"/>
  <c r="T514" i="1" s="1"/>
  <c r="J514" i="1"/>
  <c r="R400" i="1"/>
  <c r="T400" i="1" s="1"/>
  <c r="J400" i="1"/>
  <c r="R340" i="1"/>
  <c r="T340" i="1" s="1"/>
  <c r="J340" i="1"/>
  <c r="R244" i="1"/>
  <c r="T244" i="1" s="1"/>
  <c r="J244" i="1"/>
  <c r="R190" i="1"/>
  <c r="T190" i="1" s="1"/>
  <c r="J190" i="1"/>
  <c r="R142" i="1"/>
  <c r="T142" i="1" s="1"/>
  <c r="J142" i="1"/>
  <c r="R52" i="1"/>
  <c r="T52" i="1" s="1"/>
  <c r="J52" i="1"/>
  <c r="R28" i="1"/>
  <c r="T28" i="1" s="1"/>
  <c r="J28" i="1"/>
  <c r="Q964" i="1"/>
  <c r="S964" i="1" s="1"/>
  <c r="I964" i="1"/>
  <c r="Q904" i="1"/>
  <c r="S904" i="1" s="1"/>
  <c r="I904" i="1"/>
  <c r="Q856" i="1"/>
  <c r="S856" i="1" s="1"/>
  <c r="I856" i="1"/>
  <c r="Q796" i="1"/>
  <c r="S796" i="1" s="1"/>
  <c r="I796" i="1"/>
  <c r="Q754" i="1"/>
  <c r="S754" i="1" s="1"/>
  <c r="I754" i="1"/>
  <c r="Q700" i="1"/>
  <c r="S700" i="1" s="1"/>
  <c r="I700" i="1"/>
  <c r="Q676" i="1"/>
  <c r="S676" i="1" s="1"/>
  <c r="I676" i="1"/>
  <c r="Q634" i="1"/>
  <c r="S634" i="1" s="1"/>
  <c r="I634" i="1"/>
  <c r="Q586" i="1"/>
  <c r="S586" i="1" s="1"/>
  <c r="I586" i="1"/>
  <c r="Q526" i="1"/>
  <c r="S526" i="1" s="1"/>
  <c r="I526" i="1"/>
  <c r="Q472" i="1"/>
  <c r="S472" i="1" s="1"/>
  <c r="I472" i="1"/>
  <c r="Q418" i="1"/>
  <c r="S418" i="1" s="1"/>
  <c r="I418" i="1"/>
  <c r="Q364" i="1"/>
  <c r="S364" i="1" s="1"/>
  <c r="I364" i="1"/>
  <c r="I760" i="1"/>
  <c r="I677" i="1"/>
  <c r="J436" i="1"/>
  <c r="R977" i="1"/>
  <c r="T977" i="1" s="1"/>
  <c r="J977" i="1"/>
  <c r="R911" i="1"/>
  <c r="T911" i="1" s="1"/>
  <c r="J911" i="1"/>
  <c r="R863" i="1"/>
  <c r="T863" i="1" s="1"/>
  <c r="J863" i="1"/>
  <c r="R809" i="1"/>
  <c r="T809" i="1" s="1"/>
  <c r="J809" i="1"/>
  <c r="R749" i="1"/>
  <c r="T749" i="1" s="1"/>
  <c r="J749" i="1"/>
  <c r="R701" i="1"/>
  <c r="T701" i="1" s="1"/>
  <c r="J701" i="1"/>
  <c r="R635" i="1"/>
  <c r="T635" i="1" s="1"/>
  <c r="J635" i="1"/>
  <c r="R575" i="1"/>
  <c r="T575" i="1" s="1"/>
  <c r="J575" i="1"/>
  <c r="R509" i="1"/>
  <c r="T509" i="1" s="1"/>
  <c r="U509" i="1" s="1"/>
  <c r="J509" i="1"/>
  <c r="R383" i="1"/>
  <c r="T383" i="1" s="1"/>
  <c r="J383" i="1"/>
  <c r="R311" i="1"/>
  <c r="T311" i="1" s="1"/>
  <c r="J311" i="1"/>
  <c r="R245" i="1"/>
  <c r="T245" i="1" s="1"/>
  <c r="J245" i="1"/>
  <c r="R173" i="1"/>
  <c r="T173" i="1" s="1"/>
  <c r="J173" i="1"/>
  <c r="R113" i="1"/>
  <c r="T113" i="1" s="1"/>
  <c r="J113" i="1"/>
  <c r="R35" i="1"/>
  <c r="T35" i="1" s="1"/>
  <c r="J35" i="1"/>
  <c r="Q941" i="1"/>
  <c r="S941" i="1" s="1"/>
  <c r="I941" i="1"/>
  <c r="Q875" i="1"/>
  <c r="S875" i="1" s="1"/>
  <c r="I875" i="1"/>
  <c r="Q815" i="1"/>
  <c r="S815" i="1" s="1"/>
  <c r="I815" i="1"/>
  <c r="Q755" i="1"/>
  <c r="S755" i="1" s="1"/>
  <c r="I755" i="1"/>
  <c r="Q701" i="1"/>
  <c r="S701" i="1" s="1"/>
  <c r="I701" i="1"/>
  <c r="Q629" i="1"/>
  <c r="S629" i="1" s="1"/>
  <c r="I629" i="1"/>
  <c r="Q569" i="1"/>
  <c r="S569" i="1" s="1"/>
  <c r="I569" i="1"/>
  <c r="Q389" i="1"/>
  <c r="S389" i="1" s="1"/>
  <c r="I389" i="1"/>
  <c r="Q341" i="1"/>
  <c r="S341" i="1" s="1"/>
  <c r="I341" i="1"/>
  <c r="Q293" i="1"/>
  <c r="S293" i="1" s="1"/>
  <c r="I293" i="1"/>
  <c r="Q251" i="1"/>
  <c r="S251" i="1" s="1"/>
  <c r="I251" i="1"/>
  <c r="Q209" i="1"/>
  <c r="S209" i="1" s="1"/>
  <c r="I209" i="1"/>
  <c r="Q149" i="1"/>
  <c r="S149" i="1" s="1"/>
  <c r="I149" i="1"/>
  <c r="Q83" i="1"/>
  <c r="S83" i="1" s="1"/>
  <c r="I83" i="1"/>
  <c r="R892" i="1"/>
  <c r="T892" i="1" s="1"/>
  <c r="J892" i="1"/>
  <c r="R832" i="1"/>
  <c r="T832" i="1" s="1"/>
  <c r="J832" i="1"/>
  <c r="R724" i="1"/>
  <c r="T724" i="1" s="1"/>
  <c r="J724" i="1"/>
  <c r="R568" i="1"/>
  <c r="T568" i="1" s="1"/>
  <c r="J568" i="1"/>
  <c r="R382" i="1"/>
  <c r="T382" i="1" s="1"/>
  <c r="J382" i="1"/>
  <c r="R274" i="1"/>
  <c r="T274" i="1" s="1"/>
  <c r="J274" i="1"/>
  <c r="R178" i="1"/>
  <c r="T178" i="1" s="1"/>
  <c r="J178" i="1"/>
  <c r="R100" i="1"/>
  <c r="T100" i="1" s="1"/>
  <c r="U100" i="1" s="1"/>
  <c r="J100" i="1"/>
  <c r="Q982" i="1"/>
  <c r="S982" i="1" s="1"/>
  <c r="I982" i="1"/>
  <c r="Q928" i="1"/>
  <c r="S928" i="1" s="1"/>
  <c r="I928" i="1"/>
  <c r="Q880" i="1"/>
  <c r="S880" i="1" s="1"/>
  <c r="I880" i="1"/>
  <c r="Q832" i="1"/>
  <c r="S832" i="1" s="1"/>
  <c r="I832" i="1"/>
  <c r="Q784" i="1"/>
  <c r="S784" i="1" s="1"/>
  <c r="I784" i="1"/>
  <c r="Q742" i="1"/>
  <c r="S742" i="1" s="1"/>
  <c r="I742" i="1"/>
  <c r="Q694" i="1"/>
  <c r="S694" i="1" s="1"/>
  <c r="I694" i="1"/>
  <c r="Q640" i="1"/>
  <c r="S640" i="1" s="1"/>
  <c r="I640" i="1"/>
  <c r="Q562" i="1"/>
  <c r="S562" i="1" s="1"/>
  <c r="I562" i="1"/>
  <c r="Q514" i="1"/>
  <c r="S514" i="1" s="1"/>
  <c r="I514" i="1"/>
  <c r="Q490" i="1"/>
  <c r="S490" i="1" s="1"/>
  <c r="I490" i="1"/>
  <c r="Q454" i="1"/>
  <c r="S454" i="1" s="1"/>
  <c r="I454" i="1"/>
  <c r="Q406" i="1"/>
  <c r="S406" i="1" s="1"/>
  <c r="I406" i="1"/>
  <c r="K406" i="1" s="1"/>
  <c r="Q394" i="1"/>
  <c r="S394" i="1" s="1"/>
  <c r="I394" i="1"/>
  <c r="Q382" i="1"/>
  <c r="S382" i="1" s="1"/>
  <c r="U382" i="1" s="1"/>
  <c r="I382" i="1"/>
  <c r="K382" i="1" s="1"/>
  <c r="Q370" i="1"/>
  <c r="S370" i="1" s="1"/>
  <c r="I370" i="1"/>
  <c r="Q346" i="1"/>
  <c r="S346" i="1" s="1"/>
  <c r="I346" i="1"/>
  <c r="Q316" i="1"/>
  <c r="S316" i="1" s="1"/>
  <c r="I316" i="1"/>
  <c r="Q304" i="1"/>
  <c r="S304" i="1" s="1"/>
  <c r="I304" i="1"/>
  <c r="Q292" i="1"/>
  <c r="S292" i="1" s="1"/>
  <c r="I292" i="1"/>
  <c r="Q280" i="1"/>
  <c r="S280" i="1" s="1"/>
  <c r="I280" i="1"/>
  <c r="Q268" i="1"/>
  <c r="S268" i="1" s="1"/>
  <c r="I268" i="1"/>
  <c r="Q256" i="1"/>
  <c r="S256" i="1" s="1"/>
  <c r="I256" i="1"/>
  <c r="Q244" i="1"/>
  <c r="S244" i="1" s="1"/>
  <c r="I244" i="1"/>
  <c r="Q238" i="1"/>
  <c r="S238" i="1" s="1"/>
  <c r="I238" i="1"/>
  <c r="K238" i="1" s="1"/>
  <c r="Q226" i="1"/>
  <c r="S226" i="1" s="1"/>
  <c r="I226" i="1"/>
  <c r="Q214" i="1"/>
  <c r="S214" i="1" s="1"/>
  <c r="I214" i="1"/>
  <c r="Q202" i="1"/>
  <c r="S202" i="1" s="1"/>
  <c r="I202" i="1"/>
  <c r="Q172" i="1"/>
  <c r="S172" i="1" s="1"/>
  <c r="I172" i="1"/>
  <c r="Q160" i="1"/>
  <c r="S160" i="1" s="1"/>
  <c r="I160" i="1"/>
  <c r="Q148" i="1"/>
  <c r="S148" i="1" s="1"/>
  <c r="I148" i="1"/>
  <c r="K148" i="1" s="1"/>
  <c r="Q136" i="1"/>
  <c r="S136" i="1" s="1"/>
  <c r="I136" i="1"/>
  <c r="Q124" i="1"/>
  <c r="S124" i="1" s="1"/>
  <c r="I124" i="1"/>
  <c r="Q112" i="1"/>
  <c r="S112" i="1" s="1"/>
  <c r="I112" i="1"/>
  <c r="Q88" i="1"/>
  <c r="S88" i="1" s="1"/>
  <c r="I88" i="1"/>
  <c r="I275" i="1"/>
  <c r="I436" i="1"/>
  <c r="I107" i="1"/>
  <c r="R995" i="1"/>
  <c r="T995" i="1" s="1"/>
  <c r="J995" i="1"/>
  <c r="R941" i="1"/>
  <c r="T941" i="1" s="1"/>
  <c r="J941" i="1"/>
  <c r="R893" i="1"/>
  <c r="T893" i="1" s="1"/>
  <c r="J893" i="1"/>
  <c r="R833" i="1"/>
  <c r="T833" i="1" s="1"/>
  <c r="J833" i="1"/>
  <c r="R791" i="1"/>
  <c r="T791" i="1" s="1"/>
  <c r="J791" i="1"/>
  <c r="R767" i="1"/>
  <c r="T767" i="1" s="1"/>
  <c r="J767" i="1"/>
  <c r="R719" i="1"/>
  <c r="T719" i="1" s="1"/>
  <c r="J719" i="1"/>
  <c r="R671" i="1"/>
  <c r="T671" i="1" s="1"/>
  <c r="J671" i="1"/>
  <c r="R629" i="1"/>
  <c r="T629" i="1" s="1"/>
  <c r="J629" i="1"/>
  <c r="R587" i="1"/>
  <c r="T587" i="1" s="1"/>
  <c r="J587" i="1"/>
  <c r="R545" i="1"/>
  <c r="T545" i="1" s="1"/>
  <c r="J545" i="1"/>
  <c r="R497" i="1"/>
  <c r="T497" i="1" s="1"/>
  <c r="J497" i="1"/>
  <c r="R455" i="1"/>
  <c r="T455" i="1" s="1"/>
  <c r="J455" i="1"/>
  <c r="R413" i="1"/>
  <c r="T413" i="1" s="1"/>
  <c r="J413" i="1"/>
  <c r="R371" i="1"/>
  <c r="T371" i="1" s="1"/>
  <c r="J371" i="1"/>
  <c r="R335" i="1"/>
  <c r="T335" i="1" s="1"/>
  <c r="J335" i="1"/>
  <c r="R293" i="1"/>
  <c r="T293" i="1" s="1"/>
  <c r="J293" i="1"/>
  <c r="R257" i="1"/>
  <c r="T257" i="1" s="1"/>
  <c r="J257" i="1"/>
  <c r="R215" i="1"/>
  <c r="T215" i="1" s="1"/>
  <c r="J215" i="1"/>
  <c r="R167" i="1"/>
  <c r="T167" i="1" s="1"/>
  <c r="J167" i="1"/>
  <c r="R131" i="1"/>
  <c r="T131" i="1" s="1"/>
  <c r="J131" i="1"/>
  <c r="R83" i="1"/>
  <c r="T83" i="1" s="1"/>
  <c r="J83" i="1"/>
  <c r="R59" i="1"/>
  <c r="T59" i="1" s="1"/>
  <c r="J59" i="1"/>
  <c r="R11" i="1"/>
  <c r="T11" i="1" s="1"/>
  <c r="J11" i="1"/>
  <c r="Q995" i="1"/>
  <c r="S995" i="1" s="1"/>
  <c r="I995" i="1"/>
  <c r="Q953" i="1"/>
  <c r="S953" i="1" s="1"/>
  <c r="I953" i="1"/>
  <c r="K953" i="1" s="1"/>
  <c r="Q911" i="1"/>
  <c r="S911" i="1" s="1"/>
  <c r="I911" i="1"/>
  <c r="Q863" i="1"/>
  <c r="S863" i="1" s="1"/>
  <c r="I863" i="1"/>
  <c r="Q821" i="1"/>
  <c r="S821" i="1" s="1"/>
  <c r="U821" i="1" s="1"/>
  <c r="I821" i="1"/>
  <c r="Q773" i="1"/>
  <c r="S773" i="1" s="1"/>
  <c r="U773" i="1" s="1"/>
  <c r="I773" i="1"/>
  <c r="K773" i="1" s="1"/>
  <c r="Q731" i="1"/>
  <c r="S731" i="1" s="1"/>
  <c r="I731" i="1"/>
  <c r="K731" i="1" s="1"/>
  <c r="Q683" i="1"/>
  <c r="S683" i="1" s="1"/>
  <c r="I683" i="1"/>
  <c r="Q635" i="1"/>
  <c r="S635" i="1" s="1"/>
  <c r="I635" i="1"/>
  <c r="Q593" i="1"/>
  <c r="S593" i="1" s="1"/>
  <c r="U593" i="1" s="1"/>
  <c r="I593" i="1"/>
  <c r="K593" i="1" s="1"/>
  <c r="Q557" i="1"/>
  <c r="S557" i="1" s="1"/>
  <c r="I557" i="1"/>
  <c r="Q527" i="1"/>
  <c r="S527" i="1" s="1"/>
  <c r="I527" i="1"/>
  <c r="Q479" i="1"/>
  <c r="S479" i="1" s="1"/>
  <c r="I479" i="1"/>
  <c r="K479" i="1" s="1"/>
  <c r="Q449" i="1"/>
  <c r="S449" i="1" s="1"/>
  <c r="I449" i="1"/>
  <c r="Q413" i="1"/>
  <c r="S413" i="1" s="1"/>
  <c r="I413" i="1"/>
  <c r="Q377" i="1"/>
  <c r="S377" i="1" s="1"/>
  <c r="I377" i="1"/>
  <c r="Q329" i="1"/>
  <c r="S329" i="1" s="1"/>
  <c r="I329" i="1"/>
  <c r="Q287" i="1"/>
  <c r="S287" i="1" s="1"/>
  <c r="I287" i="1"/>
  <c r="Q257" i="1"/>
  <c r="S257" i="1" s="1"/>
  <c r="I257" i="1"/>
  <c r="Q215" i="1"/>
  <c r="S215" i="1" s="1"/>
  <c r="I215" i="1"/>
  <c r="Q185" i="1"/>
  <c r="S185" i="1" s="1"/>
  <c r="I185" i="1"/>
  <c r="Q161" i="1"/>
  <c r="S161" i="1" s="1"/>
  <c r="I161" i="1"/>
  <c r="Q125" i="1"/>
  <c r="S125" i="1" s="1"/>
  <c r="I125" i="1"/>
  <c r="Q101" i="1"/>
  <c r="S101" i="1" s="1"/>
  <c r="I101" i="1"/>
  <c r="Q77" i="1"/>
  <c r="S77" i="1" s="1"/>
  <c r="I77" i="1"/>
  <c r="Q47" i="1"/>
  <c r="S47" i="1" s="1"/>
  <c r="I47" i="1"/>
  <c r="Q23" i="1"/>
  <c r="S23" i="1" s="1"/>
  <c r="I23" i="1"/>
  <c r="R982" i="1"/>
  <c r="T982" i="1" s="1"/>
  <c r="J982" i="1"/>
  <c r="R928" i="1"/>
  <c r="T928" i="1" s="1"/>
  <c r="J928" i="1"/>
  <c r="R868" i="1"/>
  <c r="T868" i="1" s="1"/>
  <c r="J868" i="1"/>
  <c r="R814" i="1"/>
  <c r="T814" i="1" s="1"/>
  <c r="J814" i="1"/>
  <c r="R772" i="1"/>
  <c r="T772" i="1" s="1"/>
  <c r="J772" i="1"/>
  <c r="R658" i="1"/>
  <c r="T658" i="1" s="1"/>
  <c r="J658" i="1"/>
  <c r="R622" i="1"/>
  <c r="T622" i="1" s="1"/>
  <c r="J622" i="1"/>
  <c r="R562" i="1"/>
  <c r="T562" i="1" s="1"/>
  <c r="J562" i="1"/>
  <c r="R526" i="1"/>
  <c r="T526" i="1" s="1"/>
  <c r="J526" i="1"/>
  <c r="R454" i="1"/>
  <c r="T454" i="1" s="1"/>
  <c r="J454" i="1"/>
  <c r="R418" i="1"/>
  <c r="T418" i="1" s="1"/>
  <c r="J418" i="1"/>
  <c r="R358" i="1"/>
  <c r="T358" i="1" s="1"/>
  <c r="J358" i="1"/>
  <c r="R310" i="1"/>
  <c r="T310" i="1" s="1"/>
  <c r="J310" i="1"/>
  <c r="R166" i="1"/>
  <c r="T166" i="1" s="1"/>
  <c r="J166" i="1"/>
  <c r="R130" i="1"/>
  <c r="T130" i="1" s="1"/>
  <c r="J130" i="1"/>
  <c r="R22" i="1"/>
  <c r="T22" i="1" s="1"/>
  <c r="J22" i="1"/>
  <c r="I509" i="1"/>
  <c r="K509" i="1" s="1"/>
  <c r="Q1000" i="1"/>
  <c r="S1000" i="1" s="1"/>
  <c r="I1000" i="1"/>
  <c r="Q952" i="1"/>
  <c r="S952" i="1" s="1"/>
  <c r="I952" i="1"/>
  <c r="Q916" i="1"/>
  <c r="S916" i="1" s="1"/>
  <c r="I916" i="1"/>
  <c r="Q868" i="1"/>
  <c r="S868" i="1" s="1"/>
  <c r="I868" i="1"/>
  <c r="Q820" i="1"/>
  <c r="S820" i="1" s="1"/>
  <c r="I820" i="1"/>
  <c r="Q712" i="1"/>
  <c r="S712" i="1" s="1"/>
  <c r="I712" i="1"/>
  <c r="Q652" i="1"/>
  <c r="S652" i="1" s="1"/>
  <c r="I652" i="1"/>
  <c r="Q610" i="1"/>
  <c r="S610" i="1" s="1"/>
  <c r="I610" i="1"/>
  <c r="Q568" i="1"/>
  <c r="S568" i="1" s="1"/>
  <c r="I568" i="1"/>
  <c r="Q544" i="1"/>
  <c r="S544" i="1" s="1"/>
  <c r="I544" i="1"/>
  <c r="Q478" i="1"/>
  <c r="S478" i="1" s="1"/>
  <c r="I478" i="1"/>
  <c r="Q448" i="1"/>
  <c r="S448" i="1" s="1"/>
  <c r="I448" i="1"/>
  <c r="Q352" i="1"/>
  <c r="S352" i="1" s="1"/>
  <c r="I352" i="1"/>
  <c r="I100" i="1"/>
  <c r="R983" i="1"/>
  <c r="T983" i="1" s="1"/>
  <c r="J983" i="1"/>
  <c r="R929" i="1"/>
  <c r="T929" i="1" s="1"/>
  <c r="J929" i="1"/>
  <c r="R869" i="1"/>
  <c r="T869" i="1" s="1"/>
  <c r="J869" i="1"/>
  <c r="R797" i="1"/>
  <c r="T797" i="1" s="1"/>
  <c r="J797" i="1"/>
  <c r="R743" i="1"/>
  <c r="T743" i="1" s="1"/>
  <c r="J743" i="1"/>
  <c r="R677" i="1"/>
  <c r="T677" i="1" s="1"/>
  <c r="U677" i="1" s="1"/>
  <c r="J677" i="1"/>
  <c r="R605" i="1"/>
  <c r="T605" i="1" s="1"/>
  <c r="J605" i="1"/>
  <c r="R539" i="1"/>
  <c r="T539" i="1" s="1"/>
  <c r="J539" i="1"/>
  <c r="R467" i="1"/>
  <c r="T467" i="1" s="1"/>
  <c r="J467" i="1"/>
  <c r="R407" i="1"/>
  <c r="T407" i="1" s="1"/>
  <c r="J407" i="1"/>
  <c r="R341" i="1"/>
  <c r="T341" i="1" s="1"/>
  <c r="J341" i="1"/>
  <c r="R269" i="1"/>
  <c r="T269" i="1" s="1"/>
  <c r="J269" i="1"/>
  <c r="R107" i="1"/>
  <c r="T107" i="1" s="1"/>
  <c r="U107" i="1" s="1"/>
  <c r="J107" i="1"/>
  <c r="R41" i="1"/>
  <c r="T41" i="1" s="1"/>
  <c r="J41" i="1"/>
  <c r="Q965" i="1"/>
  <c r="S965" i="1" s="1"/>
  <c r="I965" i="1"/>
  <c r="Q899" i="1"/>
  <c r="S899" i="1" s="1"/>
  <c r="I899" i="1"/>
  <c r="K899" i="1" s="1"/>
  <c r="Q833" i="1"/>
  <c r="S833" i="1" s="1"/>
  <c r="I833" i="1"/>
  <c r="Q779" i="1"/>
  <c r="S779" i="1" s="1"/>
  <c r="I779" i="1"/>
  <c r="Q659" i="1"/>
  <c r="S659" i="1" s="1"/>
  <c r="I659" i="1"/>
  <c r="R994" i="1"/>
  <c r="T994" i="1" s="1"/>
  <c r="J994" i="1"/>
  <c r="R934" i="1"/>
  <c r="T934" i="1" s="1"/>
  <c r="J934" i="1"/>
  <c r="R880" i="1"/>
  <c r="T880" i="1" s="1"/>
  <c r="J880" i="1"/>
  <c r="R838" i="1"/>
  <c r="T838" i="1" s="1"/>
  <c r="J838" i="1"/>
  <c r="R742" i="1"/>
  <c r="T742" i="1" s="1"/>
  <c r="J742" i="1"/>
  <c r="R676" i="1"/>
  <c r="T676" i="1" s="1"/>
  <c r="J676" i="1"/>
  <c r="R610" i="1"/>
  <c r="T610" i="1" s="1"/>
  <c r="J610" i="1"/>
  <c r="R544" i="1"/>
  <c r="T544" i="1" s="1"/>
  <c r="J544" i="1"/>
  <c r="R478" i="1"/>
  <c r="T478" i="1" s="1"/>
  <c r="J478" i="1"/>
  <c r="R430" i="1"/>
  <c r="T430" i="1" s="1"/>
  <c r="J430" i="1"/>
  <c r="R388" i="1"/>
  <c r="T388" i="1" s="1"/>
  <c r="J388" i="1"/>
  <c r="R292" i="1"/>
  <c r="T292" i="1" s="1"/>
  <c r="J292" i="1"/>
  <c r="R226" i="1"/>
  <c r="T226" i="1" s="1"/>
  <c r="J226" i="1"/>
  <c r="R94" i="1"/>
  <c r="T94" i="1" s="1"/>
  <c r="J94" i="1"/>
  <c r="Q976" i="1"/>
  <c r="S976" i="1" s="1"/>
  <c r="I976" i="1"/>
  <c r="Q934" i="1"/>
  <c r="S934" i="1" s="1"/>
  <c r="I934" i="1"/>
  <c r="Q886" i="1"/>
  <c r="S886" i="1" s="1"/>
  <c r="I886" i="1"/>
  <c r="Q838" i="1"/>
  <c r="S838" i="1" s="1"/>
  <c r="I838" i="1"/>
  <c r="Q790" i="1"/>
  <c r="S790" i="1" s="1"/>
  <c r="I790" i="1"/>
  <c r="Q736" i="1"/>
  <c r="S736" i="1" s="1"/>
  <c r="I736" i="1"/>
  <c r="K736" i="1" s="1"/>
  <c r="Q688" i="1"/>
  <c r="S688" i="1" s="1"/>
  <c r="U688" i="1" s="1"/>
  <c r="I688" i="1"/>
  <c r="K688" i="1" s="1"/>
  <c r="Q646" i="1"/>
  <c r="S646" i="1" s="1"/>
  <c r="I646" i="1"/>
  <c r="Q598" i="1"/>
  <c r="S598" i="1" s="1"/>
  <c r="I598" i="1"/>
  <c r="Q550" i="1"/>
  <c r="S550" i="1" s="1"/>
  <c r="U550" i="1" s="1"/>
  <c r="I550" i="1"/>
  <c r="K550" i="1" s="1"/>
  <c r="Q502" i="1"/>
  <c r="S502" i="1" s="1"/>
  <c r="U502" i="1" s="1"/>
  <c r="I502" i="1"/>
  <c r="Q460" i="1"/>
  <c r="S460" i="1" s="1"/>
  <c r="I460" i="1"/>
  <c r="K460" i="1" s="1"/>
  <c r="Q412" i="1"/>
  <c r="S412" i="1" s="1"/>
  <c r="I412" i="1"/>
  <c r="Q400" i="1"/>
  <c r="S400" i="1" s="1"/>
  <c r="U400" i="1" s="1"/>
  <c r="I400" i="1"/>
  <c r="K400" i="1" s="1"/>
  <c r="Q388" i="1"/>
  <c r="S388" i="1" s="1"/>
  <c r="U388" i="1" s="1"/>
  <c r="I388" i="1"/>
  <c r="K388" i="1" s="1"/>
  <c r="Q376" i="1"/>
  <c r="S376" i="1" s="1"/>
  <c r="I376" i="1"/>
  <c r="Q340" i="1"/>
  <c r="S340" i="1" s="1"/>
  <c r="I340" i="1"/>
  <c r="Q310" i="1"/>
  <c r="S310" i="1" s="1"/>
  <c r="I310" i="1"/>
  <c r="Q298" i="1"/>
  <c r="S298" i="1" s="1"/>
  <c r="I298" i="1"/>
  <c r="Q286" i="1"/>
  <c r="S286" i="1" s="1"/>
  <c r="U286" i="1" s="1"/>
  <c r="I286" i="1"/>
  <c r="K286" i="1" s="1"/>
  <c r="Q274" i="1"/>
  <c r="S274" i="1" s="1"/>
  <c r="I274" i="1"/>
  <c r="Q262" i="1"/>
  <c r="S262" i="1" s="1"/>
  <c r="I262" i="1"/>
  <c r="Q250" i="1"/>
  <c r="S250" i="1" s="1"/>
  <c r="I250" i="1"/>
  <c r="Q232" i="1"/>
  <c r="S232" i="1" s="1"/>
  <c r="I232" i="1"/>
  <c r="Q220" i="1"/>
  <c r="S220" i="1" s="1"/>
  <c r="U220" i="1" s="1"/>
  <c r="I220" i="1"/>
  <c r="K220" i="1" s="1"/>
  <c r="Q208" i="1"/>
  <c r="S208" i="1" s="1"/>
  <c r="I208" i="1"/>
  <c r="Q196" i="1"/>
  <c r="S196" i="1" s="1"/>
  <c r="I196" i="1"/>
  <c r="Q190" i="1"/>
  <c r="S190" i="1" s="1"/>
  <c r="I190" i="1"/>
  <c r="Q178" i="1"/>
  <c r="S178" i="1" s="1"/>
  <c r="I178" i="1"/>
  <c r="Q166" i="1"/>
  <c r="S166" i="1" s="1"/>
  <c r="I166" i="1"/>
  <c r="Q154" i="1"/>
  <c r="S154" i="1" s="1"/>
  <c r="I154" i="1"/>
  <c r="Q142" i="1"/>
  <c r="S142" i="1" s="1"/>
  <c r="I142" i="1"/>
  <c r="Q130" i="1"/>
  <c r="S130" i="1" s="1"/>
  <c r="I130" i="1"/>
  <c r="Q118" i="1"/>
  <c r="S118" i="1" s="1"/>
  <c r="I118" i="1"/>
  <c r="Q106" i="1"/>
  <c r="S106" i="1" s="1"/>
  <c r="I106" i="1"/>
  <c r="Q94" i="1"/>
  <c r="S94" i="1" s="1"/>
  <c r="I94" i="1"/>
  <c r="Q82" i="1"/>
  <c r="S82" i="1" s="1"/>
  <c r="I82" i="1"/>
  <c r="K82" i="1" s="1"/>
  <c r="I503" i="1"/>
  <c r="R989" i="1"/>
  <c r="T989" i="1" s="1"/>
  <c r="J989" i="1"/>
  <c r="R947" i="1"/>
  <c r="T947" i="1" s="1"/>
  <c r="J947" i="1"/>
  <c r="R905" i="1"/>
  <c r="T905" i="1" s="1"/>
  <c r="J905" i="1"/>
  <c r="R857" i="1"/>
  <c r="T857" i="1" s="1"/>
  <c r="J857" i="1"/>
  <c r="R815" i="1"/>
  <c r="T815" i="1" s="1"/>
  <c r="J815" i="1"/>
  <c r="R785" i="1"/>
  <c r="T785" i="1" s="1"/>
  <c r="J785" i="1"/>
  <c r="R725" i="1"/>
  <c r="T725" i="1" s="1"/>
  <c r="J725" i="1"/>
  <c r="R683" i="1"/>
  <c r="T683" i="1" s="1"/>
  <c r="J683" i="1"/>
  <c r="R647" i="1"/>
  <c r="T647" i="1" s="1"/>
  <c r="J647" i="1"/>
  <c r="R599" i="1"/>
  <c r="T599" i="1" s="1"/>
  <c r="J599" i="1"/>
  <c r="R557" i="1"/>
  <c r="T557" i="1" s="1"/>
  <c r="J557" i="1"/>
  <c r="R515" i="1"/>
  <c r="T515" i="1" s="1"/>
  <c r="J515" i="1"/>
  <c r="R473" i="1"/>
  <c r="T473" i="1" s="1"/>
  <c r="J473" i="1"/>
  <c r="R425" i="1"/>
  <c r="T425" i="1" s="1"/>
  <c r="J425" i="1"/>
  <c r="R323" i="1"/>
  <c r="T323" i="1" s="1"/>
  <c r="J323" i="1"/>
  <c r="R287" i="1"/>
  <c r="T287" i="1" s="1"/>
  <c r="J287" i="1"/>
  <c r="R239" i="1"/>
  <c r="T239" i="1" s="1"/>
  <c r="J239" i="1"/>
  <c r="R203" i="1"/>
  <c r="T203" i="1" s="1"/>
  <c r="J203" i="1"/>
  <c r="R155" i="1"/>
  <c r="T155" i="1" s="1"/>
  <c r="J155" i="1"/>
  <c r="R125" i="1"/>
  <c r="T125" i="1" s="1"/>
  <c r="J125" i="1"/>
  <c r="R77" i="1"/>
  <c r="T77" i="1" s="1"/>
  <c r="J77" i="1"/>
  <c r="R17" i="1"/>
  <c r="T17" i="1" s="1"/>
  <c r="J17" i="1"/>
  <c r="Q1001" i="1"/>
  <c r="S1001" i="1" s="1"/>
  <c r="I1001" i="1"/>
  <c r="Q959" i="1"/>
  <c r="S959" i="1" s="1"/>
  <c r="U959" i="1" s="1"/>
  <c r="I959" i="1"/>
  <c r="Q917" i="1"/>
  <c r="S917" i="1" s="1"/>
  <c r="I917" i="1"/>
  <c r="Q869" i="1"/>
  <c r="S869" i="1" s="1"/>
  <c r="I869" i="1"/>
  <c r="Q827" i="1"/>
  <c r="S827" i="1" s="1"/>
  <c r="I827" i="1"/>
  <c r="Q785" i="1"/>
  <c r="S785" i="1" s="1"/>
  <c r="I785" i="1"/>
  <c r="Q743" i="1"/>
  <c r="S743" i="1" s="1"/>
  <c r="I743" i="1"/>
  <c r="Q713" i="1"/>
  <c r="S713" i="1" s="1"/>
  <c r="I713" i="1"/>
  <c r="Q665" i="1"/>
  <c r="S665" i="1" s="1"/>
  <c r="I665" i="1"/>
  <c r="Q611" i="1"/>
  <c r="S611" i="1" s="1"/>
  <c r="I611" i="1"/>
  <c r="Q563" i="1"/>
  <c r="S563" i="1" s="1"/>
  <c r="I563" i="1"/>
  <c r="Q521" i="1"/>
  <c r="S521" i="1" s="1"/>
  <c r="I521" i="1"/>
  <c r="Q485" i="1"/>
  <c r="S485" i="1" s="1"/>
  <c r="I485" i="1"/>
  <c r="Q443" i="1"/>
  <c r="S443" i="1" s="1"/>
  <c r="I443" i="1"/>
  <c r="Q395" i="1"/>
  <c r="S395" i="1" s="1"/>
  <c r="I395" i="1"/>
  <c r="Q347" i="1"/>
  <c r="S347" i="1" s="1"/>
  <c r="I347" i="1"/>
  <c r="Q233" i="1"/>
  <c r="S233" i="1" s="1"/>
  <c r="I233" i="1"/>
  <c r="Q203" i="1"/>
  <c r="S203" i="1" s="1"/>
  <c r="I203" i="1"/>
  <c r="Q173" i="1"/>
  <c r="S173" i="1" s="1"/>
  <c r="I173" i="1"/>
  <c r="Q131" i="1"/>
  <c r="S131" i="1" s="1"/>
  <c r="I131" i="1"/>
  <c r="Q95" i="1"/>
  <c r="S95" i="1" s="1"/>
  <c r="I95" i="1"/>
  <c r="Q53" i="1"/>
  <c r="S53" i="1" s="1"/>
  <c r="I53" i="1"/>
  <c r="R958" i="1"/>
  <c r="T958" i="1" s="1"/>
  <c r="J958" i="1"/>
  <c r="R898" i="1"/>
  <c r="T898" i="1" s="1"/>
  <c r="J898" i="1"/>
  <c r="R754" i="1"/>
  <c r="T754" i="1" s="1"/>
  <c r="J754" i="1"/>
  <c r="R718" i="1"/>
  <c r="T718" i="1" s="1"/>
  <c r="J718" i="1"/>
  <c r="R670" i="1"/>
  <c r="T670" i="1" s="1"/>
  <c r="J670" i="1"/>
  <c r="R628" i="1"/>
  <c r="T628" i="1" s="1"/>
  <c r="J628" i="1"/>
  <c r="R580" i="1"/>
  <c r="T580" i="1" s="1"/>
  <c r="J580" i="1"/>
  <c r="R532" i="1"/>
  <c r="T532" i="1" s="1"/>
  <c r="J532" i="1"/>
  <c r="R448" i="1"/>
  <c r="T448" i="1" s="1"/>
  <c r="J448" i="1"/>
  <c r="R394" i="1"/>
  <c r="T394" i="1" s="1"/>
  <c r="J394" i="1"/>
  <c r="R352" i="1"/>
  <c r="T352" i="1" s="1"/>
  <c r="J352" i="1"/>
  <c r="R304" i="1"/>
  <c r="T304" i="1" s="1"/>
  <c r="J304" i="1"/>
  <c r="R256" i="1"/>
  <c r="T256" i="1" s="1"/>
  <c r="J256" i="1"/>
  <c r="R196" i="1"/>
  <c r="T196" i="1" s="1"/>
  <c r="J196" i="1"/>
  <c r="R124" i="1"/>
  <c r="T124" i="1" s="1"/>
  <c r="J124" i="1"/>
  <c r="R76" i="1"/>
  <c r="T76" i="1" s="1"/>
  <c r="J76" i="1"/>
  <c r="R46" i="1"/>
  <c r="T46" i="1" s="1"/>
  <c r="U46" i="1" s="1"/>
  <c r="J46" i="1"/>
  <c r="R10" i="1"/>
  <c r="T10" i="1" s="1"/>
  <c r="J10" i="1"/>
  <c r="Q958" i="1"/>
  <c r="S958" i="1" s="1"/>
  <c r="U958" i="1" s="1"/>
  <c r="I958" i="1"/>
  <c r="Q898" i="1"/>
  <c r="S898" i="1" s="1"/>
  <c r="I898" i="1"/>
  <c r="Q844" i="1"/>
  <c r="S844" i="1" s="1"/>
  <c r="I844" i="1"/>
  <c r="Q814" i="1"/>
  <c r="S814" i="1" s="1"/>
  <c r="I814" i="1"/>
  <c r="Q772" i="1"/>
  <c r="S772" i="1" s="1"/>
  <c r="I772" i="1"/>
  <c r="Q730" i="1"/>
  <c r="S730" i="1" s="1"/>
  <c r="I730" i="1"/>
  <c r="Q682" i="1"/>
  <c r="S682" i="1" s="1"/>
  <c r="I682" i="1"/>
  <c r="Q628" i="1"/>
  <c r="S628" i="1" s="1"/>
  <c r="I628" i="1"/>
  <c r="Q592" i="1"/>
  <c r="S592" i="1" s="1"/>
  <c r="I592" i="1"/>
  <c r="K592" i="1" s="1"/>
  <c r="Q520" i="1"/>
  <c r="S520" i="1" s="1"/>
  <c r="I520" i="1"/>
  <c r="Q466" i="1"/>
  <c r="S466" i="1" s="1"/>
  <c r="I466" i="1"/>
  <c r="Q424" i="1"/>
  <c r="S424" i="1" s="1"/>
  <c r="I424" i="1"/>
  <c r="Q322" i="1"/>
  <c r="S322" i="1" s="1"/>
  <c r="I322" i="1"/>
  <c r="I803" i="1"/>
  <c r="I737" i="1"/>
  <c r="K737" i="1" s="1"/>
  <c r="J359" i="1"/>
  <c r="Q76" i="1"/>
  <c r="S76" i="1" s="1"/>
  <c r="I76" i="1"/>
  <c r="Q70" i="1"/>
  <c r="S70" i="1" s="1"/>
  <c r="I70" i="1"/>
  <c r="Q64" i="1"/>
  <c r="S64" i="1" s="1"/>
  <c r="I64" i="1"/>
  <c r="Q58" i="1"/>
  <c r="S58" i="1" s="1"/>
  <c r="I58" i="1"/>
  <c r="Q52" i="1"/>
  <c r="S52" i="1" s="1"/>
  <c r="I52" i="1"/>
  <c r="Q40" i="1"/>
  <c r="S40" i="1" s="1"/>
  <c r="I40" i="1"/>
  <c r="Q34" i="1"/>
  <c r="S34" i="1" s="1"/>
  <c r="I34" i="1"/>
  <c r="Q28" i="1"/>
  <c r="S28" i="1" s="1"/>
  <c r="I28" i="1"/>
  <c r="K28" i="1" s="1"/>
  <c r="Q22" i="1"/>
  <c r="S22" i="1" s="1"/>
  <c r="I22" i="1"/>
  <c r="Q16" i="1"/>
  <c r="S16" i="1" s="1"/>
  <c r="I16" i="1"/>
  <c r="Q10" i="1"/>
  <c r="S10" i="1" s="1"/>
  <c r="I10" i="1"/>
  <c r="R999" i="1"/>
  <c r="T999" i="1" s="1"/>
  <c r="J999" i="1"/>
  <c r="R993" i="1"/>
  <c r="T993" i="1" s="1"/>
  <c r="J993" i="1"/>
  <c r="R987" i="1"/>
  <c r="T987" i="1" s="1"/>
  <c r="J987" i="1"/>
  <c r="R981" i="1"/>
  <c r="T981" i="1" s="1"/>
  <c r="J981" i="1"/>
  <c r="R975" i="1"/>
  <c r="T975" i="1" s="1"/>
  <c r="J975" i="1"/>
  <c r="R969" i="1"/>
  <c r="T969" i="1" s="1"/>
  <c r="J969" i="1"/>
  <c r="R963" i="1"/>
  <c r="T963" i="1" s="1"/>
  <c r="J963" i="1"/>
  <c r="R957" i="1"/>
  <c r="T957" i="1" s="1"/>
  <c r="J957" i="1"/>
  <c r="R951" i="1"/>
  <c r="T951" i="1" s="1"/>
  <c r="J951" i="1"/>
  <c r="R945" i="1"/>
  <c r="T945" i="1" s="1"/>
  <c r="J945" i="1"/>
  <c r="R939" i="1"/>
  <c r="T939" i="1" s="1"/>
  <c r="J939" i="1"/>
  <c r="R933" i="1"/>
  <c r="T933" i="1" s="1"/>
  <c r="J933" i="1"/>
  <c r="R927" i="1"/>
  <c r="T927" i="1" s="1"/>
  <c r="J927" i="1"/>
  <c r="R921" i="1"/>
  <c r="T921" i="1" s="1"/>
  <c r="J921" i="1"/>
  <c r="R915" i="1"/>
  <c r="T915" i="1" s="1"/>
  <c r="J915" i="1"/>
  <c r="R909" i="1"/>
  <c r="T909" i="1" s="1"/>
  <c r="J909" i="1"/>
  <c r="R903" i="1"/>
  <c r="T903" i="1" s="1"/>
  <c r="J903" i="1"/>
  <c r="R897" i="1"/>
  <c r="T897" i="1" s="1"/>
  <c r="J897" i="1"/>
  <c r="R891" i="1"/>
  <c r="T891" i="1" s="1"/>
  <c r="J891" i="1"/>
  <c r="R885" i="1"/>
  <c r="T885" i="1" s="1"/>
  <c r="J885" i="1"/>
  <c r="R879" i="1"/>
  <c r="T879" i="1" s="1"/>
  <c r="J879" i="1"/>
  <c r="R873" i="1"/>
  <c r="T873" i="1" s="1"/>
  <c r="J873" i="1"/>
  <c r="R867" i="1"/>
  <c r="T867" i="1" s="1"/>
  <c r="J867" i="1"/>
  <c r="R861" i="1"/>
  <c r="T861" i="1" s="1"/>
  <c r="J861" i="1"/>
  <c r="R855" i="1"/>
  <c r="T855" i="1" s="1"/>
  <c r="J855" i="1"/>
  <c r="R849" i="1"/>
  <c r="T849" i="1" s="1"/>
  <c r="J849" i="1"/>
  <c r="R843" i="1"/>
  <c r="T843" i="1" s="1"/>
  <c r="J843" i="1"/>
  <c r="R837" i="1"/>
  <c r="T837" i="1" s="1"/>
  <c r="J837" i="1"/>
  <c r="R831" i="1"/>
  <c r="T831" i="1" s="1"/>
  <c r="J831" i="1"/>
  <c r="R825" i="1"/>
  <c r="T825" i="1" s="1"/>
  <c r="J825" i="1"/>
  <c r="R819" i="1"/>
  <c r="T819" i="1" s="1"/>
  <c r="J819" i="1"/>
  <c r="R813" i="1"/>
  <c r="T813" i="1" s="1"/>
  <c r="J813" i="1"/>
  <c r="R807" i="1"/>
  <c r="T807" i="1" s="1"/>
  <c r="J807" i="1"/>
  <c r="R789" i="1"/>
  <c r="T789" i="1" s="1"/>
  <c r="U789" i="1" s="1"/>
  <c r="J789" i="1"/>
  <c r="R783" i="1"/>
  <c r="T783" i="1" s="1"/>
  <c r="J783" i="1"/>
  <c r="R777" i="1"/>
  <c r="T777" i="1" s="1"/>
  <c r="J777" i="1"/>
  <c r="R771" i="1"/>
  <c r="T771" i="1" s="1"/>
  <c r="J771" i="1"/>
  <c r="R753" i="1"/>
  <c r="T753" i="1" s="1"/>
  <c r="J753" i="1"/>
  <c r="R747" i="1"/>
  <c r="T747" i="1" s="1"/>
  <c r="J747" i="1"/>
  <c r="R741" i="1"/>
  <c r="T741" i="1" s="1"/>
  <c r="J741" i="1"/>
  <c r="R735" i="1"/>
  <c r="T735" i="1" s="1"/>
  <c r="U735" i="1" s="1"/>
  <c r="J735" i="1"/>
  <c r="R729" i="1"/>
  <c r="T729" i="1" s="1"/>
  <c r="J729" i="1"/>
  <c r="R723" i="1"/>
  <c r="T723" i="1" s="1"/>
  <c r="J723" i="1"/>
  <c r="R717" i="1"/>
  <c r="T717" i="1" s="1"/>
  <c r="U717" i="1" s="1"/>
  <c r="J717" i="1"/>
  <c r="R711" i="1"/>
  <c r="T711" i="1" s="1"/>
  <c r="J711" i="1"/>
  <c r="R705" i="1"/>
  <c r="T705" i="1" s="1"/>
  <c r="U705" i="1" s="1"/>
  <c r="J705" i="1"/>
  <c r="R699" i="1"/>
  <c r="T699" i="1" s="1"/>
  <c r="J699" i="1"/>
  <c r="R693" i="1"/>
  <c r="T693" i="1" s="1"/>
  <c r="J693" i="1"/>
  <c r="R687" i="1"/>
  <c r="T687" i="1" s="1"/>
  <c r="J687" i="1"/>
  <c r="R681" i="1"/>
  <c r="T681" i="1" s="1"/>
  <c r="J681" i="1"/>
  <c r="R675" i="1"/>
  <c r="T675" i="1" s="1"/>
  <c r="U675" i="1" s="1"/>
  <c r="J675" i="1"/>
  <c r="R669" i="1"/>
  <c r="T669" i="1" s="1"/>
  <c r="J669" i="1"/>
  <c r="R663" i="1"/>
  <c r="T663" i="1" s="1"/>
  <c r="U663" i="1" s="1"/>
  <c r="J663" i="1"/>
  <c r="R657" i="1"/>
  <c r="T657" i="1" s="1"/>
  <c r="J657" i="1"/>
  <c r="R651" i="1"/>
  <c r="T651" i="1" s="1"/>
  <c r="J651" i="1"/>
  <c r="R645" i="1"/>
  <c r="T645" i="1" s="1"/>
  <c r="U645" i="1" s="1"/>
  <c r="J645" i="1"/>
  <c r="R639" i="1"/>
  <c r="T639" i="1" s="1"/>
  <c r="J639" i="1"/>
  <c r="R633" i="1"/>
  <c r="T633" i="1" s="1"/>
  <c r="U633" i="1" s="1"/>
  <c r="J633" i="1"/>
  <c r="R627" i="1"/>
  <c r="T627" i="1" s="1"/>
  <c r="J627" i="1"/>
  <c r="R621" i="1"/>
  <c r="T621" i="1" s="1"/>
  <c r="J621" i="1"/>
  <c r="R615" i="1"/>
  <c r="T615" i="1" s="1"/>
  <c r="J615" i="1"/>
  <c r="R609" i="1"/>
  <c r="T609" i="1" s="1"/>
  <c r="J609" i="1"/>
  <c r="R603" i="1"/>
  <c r="T603" i="1" s="1"/>
  <c r="U603" i="1" s="1"/>
  <c r="J603" i="1"/>
  <c r="R597" i="1"/>
  <c r="T597" i="1" s="1"/>
  <c r="J597" i="1"/>
  <c r="R591" i="1"/>
  <c r="T591" i="1" s="1"/>
  <c r="U591" i="1" s="1"/>
  <c r="J591" i="1"/>
  <c r="R585" i="1"/>
  <c r="T585" i="1" s="1"/>
  <c r="J585" i="1"/>
  <c r="R579" i="1"/>
  <c r="T579" i="1" s="1"/>
  <c r="J579" i="1"/>
  <c r="R573" i="1"/>
  <c r="T573" i="1" s="1"/>
  <c r="J573" i="1"/>
  <c r="R567" i="1"/>
  <c r="T567" i="1" s="1"/>
  <c r="J567" i="1"/>
  <c r="R561" i="1"/>
  <c r="T561" i="1" s="1"/>
  <c r="J561" i="1"/>
  <c r="R555" i="1"/>
  <c r="T555" i="1" s="1"/>
  <c r="J555" i="1"/>
  <c r="R549" i="1"/>
  <c r="T549" i="1" s="1"/>
  <c r="J549" i="1"/>
  <c r="R543" i="1"/>
  <c r="T543" i="1" s="1"/>
  <c r="J543" i="1"/>
  <c r="R537" i="1"/>
  <c r="T537" i="1" s="1"/>
  <c r="J537" i="1"/>
  <c r="R531" i="1"/>
  <c r="T531" i="1" s="1"/>
  <c r="J531" i="1"/>
  <c r="R525" i="1"/>
  <c r="T525" i="1" s="1"/>
  <c r="J525" i="1"/>
  <c r="R519" i="1"/>
  <c r="T519" i="1" s="1"/>
  <c r="U519" i="1" s="1"/>
  <c r="J519" i="1"/>
  <c r="R513" i="1"/>
  <c r="T513" i="1" s="1"/>
  <c r="J513" i="1"/>
  <c r="R507" i="1"/>
  <c r="T507" i="1" s="1"/>
  <c r="J507" i="1"/>
  <c r="R501" i="1"/>
  <c r="T501" i="1" s="1"/>
  <c r="J501" i="1"/>
  <c r="R495" i="1"/>
  <c r="T495" i="1" s="1"/>
  <c r="J495" i="1"/>
  <c r="R489" i="1"/>
  <c r="T489" i="1" s="1"/>
  <c r="J489" i="1"/>
  <c r="R477" i="1"/>
  <c r="T477" i="1" s="1"/>
  <c r="J477" i="1"/>
  <c r="R471" i="1"/>
  <c r="T471" i="1" s="1"/>
  <c r="J471" i="1"/>
  <c r="R459" i="1"/>
  <c r="T459" i="1" s="1"/>
  <c r="U459" i="1" s="1"/>
  <c r="J459" i="1"/>
  <c r="R453" i="1"/>
  <c r="T453" i="1" s="1"/>
  <c r="J453" i="1"/>
  <c r="R447" i="1"/>
  <c r="T447" i="1" s="1"/>
  <c r="J447" i="1"/>
  <c r="R441" i="1"/>
  <c r="T441" i="1" s="1"/>
  <c r="J441" i="1"/>
  <c r="R435" i="1"/>
  <c r="T435" i="1" s="1"/>
  <c r="J435" i="1"/>
  <c r="R429" i="1"/>
  <c r="T429" i="1" s="1"/>
  <c r="J429" i="1"/>
  <c r="R423" i="1"/>
  <c r="T423" i="1" s="1"/>
  <c r="J423" i="1"/>
  <c r="R417" i="1"/>
  <c r="T417" i="1" s="1"/>
  <c r="U417" i="1" s="1"/>
  <c r="J417" i="1"/>
  <c r="R411" i="1"/>
  <c r="T411" i="1" s="1"/>
  <c r="J411" i="1"/>
  <c r="R405" i="1"/>
  <c r="T405" i="1" s="1"/>
  <c r="J405" i="1"/>
  <c r="R399" i="1"/>
  <c r="T399" i="1" s="1"/>
  <c r="J399" i="1"/>
  <c r="R393" i="1"/>
  <c r="T393" i="1" s="1"/>
  <c r="J393" i="1"/>
  <c r="R381" i="1"/>
  <c r="T381" i="1" s="1"/>
  <c r="J381" i="1"/>
  <c r="R375" i="1"/>
  <c r="T375" i="1" s="1"/>
  <c r="J375" i="1"/>
  <c r="R369" i="1"/>
  <c r="T369" i="1" s="1"/>
  <c r="J369" i="1"/>
  <c r="R357" i="1"/>
  <c r="T357" i="1" s="1"/>
  <c r="J357" i="1"/>
  <c r="R351" i="1"/>
  <c r="T351" i="1" s="1"/>
  <c r="J351" i="1"/>
  <c r="R345" i="1"/>
  <c r="T345" i="1" s="1"/>
  <c r="J345" i="1"/>
  <c r="R339" i="1"/>
  <c r="T339" i="1" s="1"/>
  <c r="J339" i="1"/>
  <c r="R333" i="1"/>
  <c r="T333" i="1" s="1"/>
  <c r="J333" i="1"/>
  <c r="R321" i="1"/>
  <c r="T321" i="1" s="1"/>
  <c r="J321" i="1"/>
  <c r="R315" i="1"/>
  <c r="T315" i="1" s="1"/>
  <c r="J315" i="1"/>
  <c r="R309" i="1"/>
  <c r="T309" i="1" s="1"/>
  <c r="J309" i="1"/>
  <c r="R297" i="1"/>
  <c r="T297" i="1" s="1"/>
  <c r="J297" i="1"/>
  <c r="R291" i="1"/>
  <c r="T291" i="1" s="1"/>
  <c r="J291" i="1"/>
  <c r="R285" i="1"/>
  <c r="T285" i="1" s="1"/>
  <c r="J285" i="1"/>
  <c r="R279" i="1"/>
  <c r="T279" i="1" s="1"/>
  <c r="J279" i="1"/>
  <c r="R273" i="1"/>
  <c r="T273" i="1" s="1"/>
  <c r="J273" i="1"/>
  <c r="R267" i="1"/>
  <c r="T267" i="1" s="1"/>
  <c r="J267" i="1"/>
  <c r="R261" i="1"/>
  <c r="T261" i="1" s="1"/>
  <c r="J261" i="1"/>
  <c r="R255" i="1"/>
  <c r="T255" i="1" s="1"/>
  <c r="J255" i="1"/>
  <c r="R249" i="1"/>
  <c r="T249" i="1" s="1"/>
  <c r="J249" i="1"/>
  <c r="R237" i="1"/>
  <c r="T237" i="1" s="1"/>
  <c r="J237" i="1"/>
  <c r="R231" i="1"/>
  <c r="T231" i="1" s="1"/>
  <c r="J231" i="1"/>
  <c r="R225" i="1"/>
  <c r="T225" i="1" s="1"/>
  <c r="J225" i="1"/>
  <c r="R213" i="1"/>
  <c r="T213" i="1" s="1"/>
  <c r="J213" i="1"/>
  <c r="R207" i="1"/>
  <c r="T207" i="1" s="1"/>
  <c r="J207" i="1"/>
  <c r="R201" i="1"/>
  <c r="T201" i="1" s="1"/>
  <c r="J201" i="1"/>
  <c r="R195" i="1"/>
  <c r="T195" i="1" s="1"/>
  <c r="J195" i="1"/>
  <c r="R189" i="1"/>
  <c r="T189" i="1" s="1"/>
  <c r="J189" i="1"/>
  <c r="R177" i="1"/>
  <c r="T177" i="1" s="1"/>
  <c r="J177" i="1"/>
  <c r="R171" i="1"/>
  <c r="T171" i="1" s="1"/>
  <c r="J171" i="1"/>
  <c r="R165" i="1"/>
  <c r="T165" i="1" s="1"/>
  <c r="J165" i="1"/>
  <c r="R153" i="1"/>
  <c r="T153" i="1" s="1"/>
  <c r="J153" i="1"/>
  <c r="R147" i="1"/>
  <c r="T147" i="1" s="1"/>
  <c r="J147" i="1"/>
  <c r="R141" i="1"/>
  <c r="T141" i="1" s="1"/>
  <c r="J141" i="1"/>
  <c r="R135" i="1"/>
  <c r="T135" i="1" s="1"/>
  <c r="J135" i="1"/>
  <c r="R129" i="1"/>
  <c r="T129" i="1" s="1"/>
  <c r="J129" i="1"/>
  <c r="R123" i="1"/>
  <c r="T123" i="1" s="1"/>
  <c r="J123" i="1"/>
  <c r="R117" i="1"/>
  <c r="T117" i="1" s="1"/>
  <c r="J117" i="1"/>
  <c r="R111" i="1"/>
  <c r="T111" i="1" s="1"/>
  <c r="J111" i="1"/>
  <c r="R105" i="1"/>
  <c r="T105" i="1" s="1"/>
  <c r="J105" i="1"/>
  <c r="R93" i="1"/>
  <c r="T93" i="1" s="1"/>
  <c r="J93" i="1"/>
  <c r="R87" i="1"/>
  <c r="T87" i="1" s="1"/>
  <c r="J87" i="1"/>
  <c r="R81" i="1"/>
  <c r="T81" i="1" s="1"/>
  <c r="J81" i="1"/>
  <c r="R69" i="1"/>
  <c r="T69" i="1" s="1"/>
  <c r="J69" i="1"/>
  <c r="R63" i="1"/>
  <c r="T63" i="1" s="1"/>
  <c r="J63" i="1"/>
  <c r="R57" i="1"/>
  <c r="T57" i="1" s="1"/>
  <c r="J57" i="1"/>
  <c r="R51" i="1"/>
  <c r="T51" i="1" s="1"/>
  <c r="J51" i="1"/>
  <c r="R45" i="1"/>
  <c r="T45" i="1" s="1"/>
  <c r="J45" i="1"/>
  <c r="R39" i="1"/>
  <c r="T39" i="1" s="1"/>
  <c r="J39" i="1"/>
  <c r="R33" i="1"/>
  <c r="T33" i="1" s="1"/>
  <c r="J33" i="1"/>
  <c r="R27" i="1"/>
  <c r="T27" i="1" s="1"/>
  <c r="J27" i="1"/>
  <c r="R21" i="1"/>
  <c r="T21" i="1" s="1"/>
  <c r="J21" i="1"/>
  <c r="R9" i="1"/>
  <c r="T9" i="1" s="1"/>
  <c r="J9" i="1"/>
  <c r="J1002" i="1"/>
  <c r="J990" i="1"/>
  <c r="J978" i="1"/>
  <c r="I962" i="1"/>
  <c r="I944" i="1"/>
  <c r="I926" i="1"/>
  <c r="I908" i="1"/>
  <c r="I890" i="1"/>
  <c r="I872" i="1"/>
  <c r="I854" i="1"/>
  <c r="I836" i="1"/>
  <c r="J816" i="1"/>
  <c r="I775" i="1"/>
  <c r="J752" i="1"/>
  <c r="J727" i="1"/>
  <c r="J697" i="1"/>
  <c r="I667" i="1"/>
  <c r="J636" i="1"/>
  <c r="J572" i="1"/>
  <c r="J536" i="1"/>
  <c r="I417" i="1"/>
  <c r="J75" i="1"/>
  <c r="Q993" i="1"/>
  <c r="S993" i="1" s="1"/>
  <c r="I993" i="1"/>
  <c r="Q987" i="1"/>
  <c r="S987" i="1" s="1"/>
  <c r="I987" i="1"/>
  <c r="Q981" i="1"/>
  <c r="S981" i="1" s="1"/>
  <c r="I981" i="1"/>
  <c r="Q975" i="1"/>
  <c r="S975" i="1" s="1"/>
  <c r="I975" i="1"/>
  <c r="Q969" i="1"/>
  <c r="S969" i="1" s="1"/>
  <c r="I969" i="1"/>
  <c r="Q963" i="1"/>
  <c r="S963" i="1" s="1"/>
  <c r="I963" i="1"/>
  <c r="Q957" i="1"/>
  <c r="S957" i="1" s="1"/>
  <c r="I957" i="1"/>
  <c r="Q951" i="1"/>
  <c r="S951" i="1" s="1"/>
  <c r="I951" i="1"/>
  <c r="Q945" i="1"/>
  <c r="S945" i="1" s="1"/>
  <c r="I945" i="1"/>
  <c r="Q939" i="1"/>
  <c r="S939" i="1" s="1"/>
  <c r="I939" i="1"/>
  <c r="Q933" i="1"/>
  <c r="S933" i="1" s="1"/>
  <c r="I933" i="1"/>
  <c r="Q927" i="1"/>
  <c r="S927" i="1" s="1"/>
  <c r="I927" i="1"/>
  <c r="Q921" i="1"/>
  <c r="S921" i="1" s="1"/>
  <c r="I921" i="1"/>
  <c r="Q915" i="1"/>
  <c r="S915" i="1" s="1"/>
  <c r="I915" i="1"/>
  <c r="Q909" i="1"/>
  <c r="S909" i="1" s="1"/>
  <c r="I909" i="1"/>
  <c r="Q903" i="1"/>
  <c r="S903" i="1" s="1"/>
  <c r="I903" i="1"/>
  <c r="Q897" i="1"/>
  <c r="S897" i="1" s="1"/>
  <c r="I897" i="1"/>
  <c r="Q891" i="1"/>
  <c r="S891" i="1" s="1"/>
  <c r="I891" i="1"/>
  <c r="Q885" i="1"/>
  <c r="S885" i="1" s="1"/>
  <c r="I885" i="1"/>
  <c r="Q879" i="1"/>
  <c r="S879" i="1" s="1"/>
  <c r="I879" i="1"/>
  <c r="Q873" i="1"/>
  <c r="S873" i="1" s="1"/>
  <c r="I873" i="1"/>
  <c r="Q867" i="1"/>
  <c r="S867" i="1" s="1"/>
  <c r="I867" i="1"/>
  <c r="Q861" i="1"/>
  <c r="S861" i="1" s="1"/>
  <c r="I861" i="1"/>
  <c r="Q855" i="1"/>
  <c r="S855" i="1" s="1"/>
  <c r="I855" i="1"/>
  <c r="Q849" i="1"/>
  <c r="S849" i="1" s="1"/>
  <c r="I849" i="1"/>
  <c r="Q843" i="1"/>
  <c r="S843" i="1" s="1"/>
  <c r="I843" i="1"/>
  <c r="Q837" i="1"/>
  <c r="S837" i="1" s="1"/>
  <c r="I837" i="1"/>
  <c r="Q831" i="1"/>
  <c r="S831" i="1" s="1"/>
  <c r="I831" i="1"/>
  <c r="Q825" i="1"/>
  <c r="S825" i="1" s="1"/>
  <c r="I825" i="1"/>
  <c r="Q819" i="1"/>
  <c r="S819" i="1" s="1"/>
  <c r="I819" i="1"/>
  <c r="Q813" i="1"/>
  <c r="S813" i="1" s="1"/>
  <c r="I813" i="1"/>
  <c r="Q807" i="1"/>
  <c r="S807" i="1" s="1"/>
  <c r="I807" i="1"/>
  <c r="Q801" i="1"/>
  <c r="S801" i="1" s="1"/>
  <c r="U801" i="1" s="1"/>
  <c r="I801" i="1"/>
  <c r="Q783" i="1"/>
  <c r="S783" i="1" s="1"/>
  <c r="I783" i="1"/>
  <c r="Q777" i="1"/>
  <c r="S777" i="1" s="1"/>
  <c r="I777" i="1"/>
  <c r="Q771" i="1"/>
  <c r="S771" i="1" s="1"/>
  <c r="I771" i="1"/>
  <c r="Q765" i="1"/>
  <c r="S765" i="1" s="1"/>
  <c r="U765" i="1" s="1"/>
  <c r="I765" i="1"/>
  <c r="Q753" i="1"/>
  <c r="S753" i="1" s="1"/>
  <c r="I753" i="1"/>
  <c r="Q747" i="1"/>
  <c r="S747" i="1" s="1"/>
  <c r="I747" i="1"/>
  <c r="Q741" i="1"/>
  <c r="S741" i="1" s="1"/>
  <c r="I741" i="1"/>
  <c r="Q729" i="1"/>
  <c r="S729" i="1" s="1"/>
  <c r="I729" i="1"/>
  <c r="Q723" i="1"/>
  <c r="S723" i="1" s="1"/>
  <c r="I723" i="1"/>
  <c r="Q711" i="1"/>
  <c r="S711" i="1" s="1"/>
  <c r="I711" i="1"/>
  <c r="Q699" i="1"/>
  <c r="S699" i="1" s="1"/>
  <c r="I699" i="1"/>
  <c r="Q693" i="1"/>
  <c r="S693" i="1" s="1"/>
  <c r="I693" i="1"/>
  <c r="Q687" i="1"/>
  <c r="S687" i="1" s="1"/>
  <c r="I687" i="1"/>
  <c r="Q681" i="1"/>
  <c r="S681" i="1" s="1"/>
  <c r="I681" i="1"/>
  <c r="Q669" i="1"/>
  <c r="S669" i="1" s="1"/>
  <c r="I669" i="1"/>
  <c r="Q657" i="1"/>
  <c r="S657" i="1" s="1"/>
  <c r="I657" i="1"/>
  <c r="Q651" i="1"/>
  <c r="S651" i="1" s="1"/>
  <c r="I651" i="1"/>
  <c r="Q639" i="1"/>
  <c r="S639" i="1" s="1"/>
  <c r="I639" i="1"/>
  <c r="Q627" i="1"/>
  <c r="S627" i="1" s="1"/>
  <c r="I627" i="1"/>
  <c r="Q621" i="1"/>
  <c r="S621" i="1" s="1"/>
  <c r="I621" i="1"/>
  <c r="Q615" i="1"/>
  <c r="S615" i="1" s="1"/>
  <c r="I615" i="1"/>
  <c r="Q609" i="1"/>
  <c r="S609" i="1" s="1"/>
  <c r="I609" i="1"/>
  <c r="Q597" i="1"/>
  <c r="S597" i="1" s="1"/>
  <c r="I597" i="1"/>
  <c r="Q585" i="1"/>
  <c r="S585" i="1" s="1"/>
  <c r="I585" i="1"/>
  <c r="Q579" i="1"/>
  <c r="S579" i="1" s="1"/>
  <c r="I579" i="1"/>
  <c r="Q573" i="1"/>
  <c r="S573" i="1" s="1"/>
  <c r="I573" i="1"/>
  <c r="Q567" i="1"/>
  <c r="S567" i="1" s="1"/>
  <c r="I567" i="1"/>
  <c r="Q561" i="1"/>
  <c r="S561" i="1" s="1"/>
  <c r="I561" i="1"/>
  <c r="Q555" i="1"/>
  <c r="S555" i="1" s="1"/>
  <c r="I555" i="1"/>
  <c r="Q549" i="1"/>
  <c r="S549" i="1" s="1"/>
  <c r="I549" i="1"/>
  <c r="Q537" i="1"/>
  <c r="S537" i="1" s="1"/>
  <c r="I537" i="1"/>
  <c r="Q531" i="1"/>
  <c r="S531" i="1" s="1"/>
  <c r="I531" i="1"/>
  <c r="Q525" i="1"/>
  <c r="S525" i="1" s="1"/>
  <c r="I525" i="1"/>
  <c r="Q513" i="1"/>
  <c r="S513" i="1" s="1"/>
  <c r="I513" i="1"/>
  <c r="Q507" i="1"/>
  <c r="S507" i="1" s="1"/>
  <c r="I507" i="1"/>
  <c r="Q501" i="1"/>
  <c r="S501" i="1" s="1"/>
  <c r="I501" i="1"/>
  <c r="Q495" i="1"/>
  <c r="S495" i="1" s="1"/>
  <c r="U495" i="1" s="1"/>
  <c r="I495" i="1"/>
  <c r="K495" i="1" s="1"/>
  <c r="Q489" i="1"/>
  <c r="S489" i="1" s="1"/>
  <c r="I489" i="1"/>
  <c r="Q477" i="1"/>
  <c r="S477" i="1" s="1"/>
  <c r="I477" i="1"/>
  <c r="Q471" i="1"/>
  <c r="S471" i="1" s="1"/>
  <c r="I471" i="1"/>
  <c r="Q453" i="1"/>
  <c r="S453" i="1" s="1"/>
  <c r="I453" i="1"/>
  <c r="Q447" i="1"/>
  <c r="S447" i="1" s="1"/>
  <c r="I447" i="1"/>
  <c r="Q441" i="1"/>
  <c r="S441" i="1" s="1"/>
  <c r="I441" i="1"/>
  <c r="Q435" i="1"/>
  <c r="S435" i="1" s="1"/>
  <c r="I435" i="1"/>
  <c r="Q429" i="1"/>
  <c r="S429" i="1" s="1"/>
  <c r="I429" i="1"/>
  <c r="Q423" i="1"/>
  <c r="S423" i="1" s="1"/>
  <c r="I423" i="1"/>
  <c r="Q411" i="1"/>
  <c r="S411" i="1" s="1"/>
  <c r="I411" i="1"/>
  <c r="Q405" i="1"/>
  <c r="S405" i="1" s="1"/>
  <c r="I405" i="1"/>
  <c r="Q399" i="1"/>
  <c r="S399" i="1" s="1"/>
  <c r="I399" i="1"/>
  <c r="Q393" i="1"/>
  <c r="S393" i="1" s="1"/>
  <c r="I393" i="1"/>
  <c r="Q381" i="1"/>
  <c r="S381" i="1" s="1"/>
  <c r="I381" i="1"/>
  <c r="Q375" i="1"/>
  <c r="S375" i="1" s="1"/>
  <c r="I375" i="1"/>
  <c r="Q369" i="1"/>
  <c r="S369" i="1" s="1"/>
  <c r="I369" i="1"/>
  <c r="Q363" i="1"/>
  <c r="S363" i="1" s="1"/>
  <c r="U363" i="1" s="1"/>
  <c r="I363" i="1"/>
  <c r="Q357" i="1"/>
  <c r="S357" i="1" s="1"/>
  <c r="I357" i="1"/>
  <c r="Q351" i="1"/>
  <c r="S351" i="1" s="1"/>
  <c r="I351" i="1"/>
  <c r="Q345" i="1"/>
  <c r="S345" i="1" s="1"/>
  <c r="I345" i="1"/>
  <c r="Q339" i="1"/>
  <c r="S339" i="1" s="1"/>
  <c r="I339" i="1"/>
  <c r="Q333" i="1"/>
  <c r="S333" i="1" s="1"/>
  <c r="I333" i="1"/>
  <c r="Q327" i="1"/>
  <c r="S327" i="1" s="1"/>
  <c r="U327" i="1" s="1"/>
  <c r="I327" i="1"/>
  <c r="Q321" i="1"/>
  <c r="S321" i="1" s="1"/>
  <c r="I321" i="1"/>
  <c r="K321" i="1" s="1"/>
  <c r="Q315" i="1"/>
  <c r="S315" i="1" s="1"/>
  <c r="I315" i="1"/>
  <c r="Q309" i="1"/>
  <c r="S309" i="1" s="1"/>
  <c r="I309" i="1"/>
  <c r="Q303" i="1"/>
  <c r="S303" i="1" s="1"/>
  <c r="U303" i="1" s="1"/>
  <c r="I303" i="1"/>
  <c r="Q297" i="1"/>
  <c r="S297" i="1" s="1"/>
  <c r="I297" i="1"/>
  <c r="Q291" i="1"/>
  <c r="S291" i="1" s="1"/>
  <c r="I291" i="1"/>
  <c r="Q285" i="1"/>
  <c r="S285" i="1" s="1"/>
  <c r="I285" i="1"/>
  <c r="Q279" i="1"/>
  <c r="S279" i="1" s="1"/>
  <c r="I279" i="1"/>
  <c r="Q273" i="1"/>
  <c r="S273" i="1" s="1"/>
  <c r="I273" i="1"/>
  <c r="Q267" i="1"/>
  <c r="S267" i="1" s="1"/>
  <c r="I267" i="1"/>
  <c r="Q261" i="1"/>
  <c r="S261" i="1" s="1"/>
  <c r="I261" i="1"/>
  <c r="Q255" i="1"/>
  <c r="S255" i="1" s="1"/>
  <c r="I255" i="1"/>
  <c r="Q249" i="1"/>
  <c r="S249" i="1" s="1"/>
  <c r="I249" i="1"/>
  <c r="Q243" i="1"/>
  <c r="S243" i="1" s="1"/>
  <c r="U243" i="1" s="1"/>
  <c r="I243" i="1"/>
  <c r="Q237" i="1"/>
  <c r="S237" i="1" s="1"/>
  <c r="I237" i="1"/>
  <c r="Q231" i="1"/>
  <c r="S231" i="1" s="1"/>
  <c r="I231" i="1"/>
  <c r="Q225" i="1"/>
  <c r="S225" i="1" s="1"/>
  <c r="I225" i="1"/>
  <c r="Q219" i="1"/>
  <c r="S219" i="1" s="1"/>
  <c r="U219" i="1" s="1"/>
  <c r="I219" i="1"/>
  <c r="Q213" i="1"/>
  <c r="S213" i="1" s="1"/>
  <c r="I213" i="1"/>
  <c r="Q207" i="1"/>
  <c r="S207" i="1" s="1"/>
  <c r="I207" i="1"/>
  <c r="Q201" i="1"/>
  <c r="S201" i="1" s="1"/>
  <c r="I201" i="1"/>
  <c r="Q195" i="1"/>
  <c r="S195" i="1" s="1"/>
  <c r="I195" i="1"/>
  <c r="Q189" i="1"/>
  <c r="S189" i="1" s="1"/>
  <c r="I189" i="1"/>
  <c r="Q183" i="1"/>
  <c r="S183" i="1" s="1"/>
  <c r="U183" i="1" s="1"/>
  <c r="I183" i="1"/>
  <c r="Q177" i="1"/>
  <c r="S177" i="1" s="1"/>
  <c r="I177" i="1"/>
  <c r="Q171" i="1"/>
  <c r="S171" i="1" s="1"/>
  <c r="I171" i="1"/>
  <c r="Q165" i="1"/>
  <c r="S165" i="1" s="1"/>
  <c r="I165" i="1"/>
  <c r="Q159" i="1"/>
  <c r="S159" i="1" s="1"/>
  <c r="U159" i="1" s="1"/>
  <c r="I159" i="1"/>
  <c r="Q153" i="1"/>
  <c r="S153" i="1" s="1"/>
  <c r="I153" i="1"/>
  <c r="Q147" i="1"/>
  <c r="S147" i="1" s="1"/>
  <c r="I147" i="1"/>
  <c r="Q141" i="1"/>
  <c r="S141" i="1" s="1"/>
  <c r="I141" i="1"/>
  <c r="Q135" i="1"/>
  <c r="S135" i="1" s="1"/>
  <c r="I135" i="1"/>
  <c r="Q129" i="1"/>
  <c r="S129" i="1" s="1"/>
  <c r="I129" i="1"/>
  <c r="Q123" i="1"/>
  <c r="S123" i="1" s="1"/>
  <c r="I123" i="1"/>
  <c r="Q117" i="1"/>
  <c r="S117" i="1" s="1"/>
  <c r="I117" i="1"/>
  <c r="Q111" i="1"/>
  <c r="S111" i="1" s="1"/>
  <c r="I111" i="1"/>
  <c r="Q105" i="1"/>
  <c r="S105" i="1" s="1"/>
  <c r="I105" i="1"/>
  <c r="Q99" i="1"/>
  <c r="S99" i="1" s="1"/>
  <c r="U99" i="1" s="1"/>
  <c r="I99" i="1"/>
  <c r="Q93" i="1"/>
  <c r="S93" i="1" s="1"/>
  <c r="I93" i="1"/>
  <c r="Q87" i="1"/>
  <c r="S87" i="1" s="1"/>
  <c r="I87" i="1"/>
  <c r="Q81" i="1"/>
  <c r="S81" i="1" s="1"/>
  <c r="I81" i="1"/>
  <c r="Q75" i="1"/>
  <c r="S75" i="1" s="1"/>
  <c r="U75" i="1" s="1"/>
  <c r="I75" i="1"/>
  <c r="Q69" i="1"/>
  <c r="S69" i="1" s="1"/>
  <c r="I69" i="1"/>
  <c r="Q63" i="1"/>
  <c r="S63" i="1" s="1"/>
  <c r="I63" i="1"/>
  <c r="Q57" i="1"/>
  <c r="S57" i="1" s="1"/>
  <c r="I57" i="1"/>
  <c r="Q51" i="1"/>
  <c r="S51" i="1" s="1"/>
  <c r="I51" i="1"/>
  <c r="Q45" i="1"/>
  <c r="S45" i="1" s="1"/>
  <c r="I45" i="1"/>
  <c r="Q39" i="1"/>
  <c r="S39" i="1" s="1"/>
  <c r="I39" i="1"/>
  <c r="Q33" i="1"/>
  <c r="S33" i="1" s="1"/>
  <c r="I33" i="1"/>
  <c r="Q27" i="1"/>
  <c r="S27" i="1" s="1"/>
  <c r="I27" i="1"/>
  <c r="Q21" i="1"/>
  <c r="S21" i="1" s="1"/>
  <c r="I21" i="1"/>
  <c r="Q15" i="1"/>
  <c r="S15" i="1" s="1"/>
  <c r="I15" i="1"/>
  <c r="Q9" i="1"/>
  <c r="S9" i="1" s="1"/>
  <c r="I9" i="1"/>
  <c r="J961" i="1"/>
  <c r="J943" i="1"/>
  <c r="J925" i="1"/>
  <c r="J907" i="1"/>
  <c r="J889" i="1"/>
  <c r="J871" i="1"/>
  <c r="J853" i="1"/>
  <c r="J835" i="1"/>
  <c r="I816" i="1"/>
  <c r="J795" i="1"/>
  <c r="J774" i="1"/>
  <c r="I752" i="1"/>
  <c r="K752" i="1" s="1"/>
  <c r="I727" i="1"/>
  <c r="I697" i="1"/>
  <c r="J666" i="1"/>
  <c r="I603" i="1"/>
  <c r="K603" i="1" s="1"/>
  <c r="I572" i="1"/>
  <c r="K572" i="1" s="1"/>
  <c r="I536" i="1"/>
  <c r="K536" i="1" s="1"/>
  <c r="I414" i="1"/>
  <c r="J159" i="1"/>
  <c r="I72" i="1"/>
  <c r="R962" i="1"/>
  <c r="T962" i="1" s="1"/>
  <c r="U962" i="1" s="1"/>
  <c r="J962" i="1"/>
  <c r="R956" i="1"/>
  <c r="T956" i="1" s="1"/>
  <c r="U956" i="1" s="1"/>
  <c r="J956" i="1"/>
  <c r="R950" i="1"/>
  <c r="T950" i="1" s="1"/>
  <c r="U950" i="1" s="1"/>
  <c r="J950" i="1"/>
  <c r="R944" i="1"/>
  <c r="T944" i="1" s="1"/>
  <c r="U944" i="1" s="1"/>
  <c r="J944" i="1"/>
  <c r="R938" i="1"/>
  <c r="T938" i="1" s="1"/>
  <c r="U938" i="1" s="1"/>
  <c r="J938" i="1"/>
  <c r="R932" i="1"/>
  <c r="T932" i="1" s="1"/>
  <c r="U932" i="1" s="1"/>
  <c r="J932" i="1"/>
  <c r="R926" i="1"/>
  <c r="T926" i="1" s="1"/>
  <c r="U926" i="1" s="1"/>
  <c r="J926" i="1"/>
  <c r="R920" i="1"/>
  <c r="T920" i="1" s="1"/>
  <c r="U920" i="1" s="1"/>
  <c r="J920" i="1"/>
  <c r="R914" i="1"/>
  <c r="T914" i="1" s="1"/>
  <c r="U914" i="1" s="1"/>
  <c r="J914" i="1"/>
  <c r="R908" i="1"/>
  <c r="T908" i="1" s="1"/>
  <c r="U908" i="1" s="1"/>
  <c r="J908" i="1"/>
  <c r="R902" i="1"/>
  <c r="T902" i="1" s="1"/>
  <c r="U902" i="1" s="1"/>
  <c r="J902" i="1"/>
  <c r="R896" i="1"/>
  <c r="T896" i="1" s="1"/>
  <c r="U896" i="1" s="1"/>
  <c r="J896" i="1"/>
  <c r="R890" i="1"/>
  <c r="T890" i="1" s="1"/>
  <c r="U890" i="1" s="1"/>
  <c r="J890" i="1"/>
  <c r="R884" i="1"/>
  <c r="T884" i="1" s="1"/>
  <c r="U884" i="1" s="1"/>
  <c r="J884" i="1"/>
  <c r="R878" i="1"/>
  <c r="T878" i="1" s="1"/>
  <c r="U878" i="1" s="1"/>
  <c r="J878" i="1"/>
  <c r="R872" i="1"/>
  <c r="T872" i="1" s="1"/>
  <c r="U872" i="1" s="1"/>
  <c r="J872" i="1"/>
  <c r="R866" i="1"/>
  <c r="T866" i="1" s="1"/>
  <c r="U866" i="1" s="1"/>
  <c r="J866" i="1"/>
  <c r="R860" i="1"/>
  <c r="T860" i="1" s="1"/>
  <c r="U860" i="1" s="1"/>
  <c r="J860" i="1"/>
  <c r="R854" i="1"/>
  <c r="T854" i="1" s="1"/>
  <c r="U854" i="1" s="1"/>
  <c r="J854" i="1"/>
  <c r="R848" i="1"/>
  <c r="T848" i="1" s="1"/>
  <c r="U848" i="1" s="1"/>
  <c r="J848" i="1"/>
  <c r="R842" i="1"/>
  <c r="T842" i="1" s="1"/>
  <c r="U842" i="1" s="1"/>
  <c r="J842" i="1"/>
  <c r="R836" i="1"/>
  <c r="T836" i="1" s="1"/>
  <c r="U836" i="1" s="1"/>
  <c r="J836" i="1"/>
  <c r="R830" i="1"/>
  <c r="T830" i="1" s="1"/>
  <c r="J830" i="1"/>
  <c r="R824" i="1"/>
  <c r="T824" i="1" s="1"/>
  <c r="J824" i="1"/>
  <c r="R818" i="1"/>
  <c r="T818" i="1" s="1"/>
  <c r="J818" i="1"/>
  <c r="R812" i="1"/>
  <c r="T812" i="1" s="1"/>
  <c r="J812" i="1"/>
  <c r="R806" i="1"/>
  <c r="T806" i="1" s="1"/>
  <c r="J806" i="1"/>
  <c r="R800" i="1"/>
  <c r="T800" i="1" s="1"/>
  <c r="J800" i="1"/>
  <c r="R782" i="1"/>
  <c r="T782" i="1" s="1"/>
  <c r="U782" i="1" s="1"/>
  <c r="J782" i="1"/>
  <c r="R776" i="1"/>
  <c r="T776" i="1" s="1"/>
  <c r="J776" i="1"/>
  <c r="R770" i="1"/>
  <c r="T770" i="1" s="1"/>
  <c r="J770" i="1"/>
  <c r="R764" i="1"/>
  <c r="T764" i="1" s="1"/>
  <c r="J764" i="1"/>
  <c r="R746" i="1"/>
  <c r="T746" i="1" s="1"/>
  <c r="J746" i="1"/>
  <c r="R740" i="1"/>
  <c r="T740" i="1" s="1"/>
  <c r="J740" i="1"/>
  <c r="R728" i="1"/>
  <c r="T728" i="1" s="1"/>
  <c r="J728" i="1"/>
  <c r="R722" i="1"/>
  <c r="T722" i="1" s="1"/>
  <c r="J722" i="1"/>
  <c r="R710" i="1"/>
  <c r="T710" i="1" s="1"/>
  <c r="J710" i="1"/>
  <c r="R698" i="1"/>
  <c r="T698" i="1" s="1"/>
  <c r="J698" i="1"/>
  <c r="R692" i="1"/>
  <c r="T692" i="1" s="1"/>
  <c r="J692" i="1"/>
  <c r="R680" i="1"/>
  <c r="T680" i="1" s="1"/>
  <c r="J680" i="1"/>
  <c r="R668" i="1"/>
  <c r="T668" i="1" s="1"/>
  <c r="J668" i="1"/>
  <c r="R662" i="1"/>
  <c r="T662" i="1" s="1"/>
  <c r="J662" i="1"/>
  <c r="R656" i="1"/>
  <c r="T656" i="1" s="1"/>
  <c r="U656" i="1" s="1"/>
  <c r="J656" i="1"/>
  <c r="R650" i="1"/>
  <c r="T650" i="1" s="1"/>
  <c r="J650" i="1"/>
  <c r="R638" i="1"/>
  <c r="T638" i="1" s="1"/>
  <c r="J638" i="1"/>
  <c r="R626" i="1"/>
  <c r="T626" i="1" s="1"/>
  <c r="J626" i="1"/>
  <c r="R620" i="1"/>
  <c r="T620" i="1" s="1"/>
  <c r="J620" i="1"/>
  <c r="R608" i="1"/>
  <c r="T608" i="1" s="1"/>
  <c r="J608" i="1"/>
  <c r="R596" i="1"/>
  <c r="T596" i="1" s="1"/>
  <c r="J596" i="1"/>
  <c r="R590" i="1"/>
  <c r="T590" i="1" s="1"/>
  <c r="J590" i="1"/>
  <c r="R584" i="1"/>
  <c r="T584" i="1" s="1"/>
  <c r="U584" i="1" s="1"/>
  <c r="J584" i="1"/>
  <c r="R578" i="1"/>
  <c r="T578" i="1" s="1"/>
  <c r="J578" i="1"/>
  <c r="R566" i="1"/>
  <c r="T566" i="1" s="1"/>
  <c r="J566" i="1"/>
  <c r="R554" i="1"/>
  <c r="T554" i="1" s="1"/>
  <c r="J554" i="1"/>
  <c r="R542" i="1"/>
  <c r="T542" i="1" s="1"/>
  <c r="J542" i="1"/>
  <c r="R530" i="1"/>
  <c r="T530" i="1" s="1"/>
  <c r="J530" i="1"/>
  <c r="R524" i="1"/>
  <c r="T524" i="1" s="1"/>
  <c r="U524" i="1" s="1"/>
  <c r="J524" i="1"/>
  <c r="R518" i="1"/>
  <c r="T518" i="1" s="1"/>
  <c r="J518" i="1"/>
  <c r="R512" i="1"/>
  <c r="T512" i="1" s="1"/>
  <c r="J512" i="1"/>
  <c r="R506" i="1"/>
  <c r="T506" i="1" s="1"/>
  <c r="J506" i="1"/>
  <c r="R500" i="1"/>
  <c r="T500" i="1" s="1"/>
  <c r="J500" i="1"/>
  <c r="R494" i="1"/>
  <c r="T494" i="1" s="1"/>
  <c r="J494" i="1"/>
  <c r="R488" i="1"/>
  <c r="T488" i="1" s="1"/>
  <c r="J488" i="1"/>
  <c r="R482" i="1"/>
  <c r="T482" i="1" s="1"/>
  <c r="J482" i="1"/>
  <c r="R476" i="1"/>
  <c r="T476" i="1" s="1"/>
  <c r="J476" i="1"/>
  <c r="R470" i="1"/>
  <c r="T470" i="1" s="1"/>
  <c r="J470" i="1"/>
  <c r="R464" i="1"/>
  <c r="T464" i="1" s="1"/>
  <c r="J464" i="1"/>
  <c r="R458" i="1"/>
  <c r="T458" i="1" s="1"/>
  <c r="J458" i="1"/>
  <c r="R452" i="1"/>
  <c r="T452" i="1" s="1"/>
  <c r="J452" i="1"/>
  <c r="R446" i="1"/>
  <c r="T446" i="1" s="1"/>
  <c r="J446" i="1"/>
  <c r="R440" i="1"/>
  <c r="T440" i="1" s="1"/>
  <c r="J440" i="1"/>
  <c r="R434" i="1"/>
  <c r="T434" i="1" s="1"/>
  <c r="J434" i="1"/>
  <c r="R428" i="1"/>
  <c r="T428" i="1" s="1"/>
  <c r="J428" i="1"/>
  <c r="R422" i="1"/>
  <c r="T422" i="1" s="1"/>
  <c r="J422" i="1"/>
  <c r="R416" i="1"/>
  <c r="T416" i="1" s="1"/>
  <c r="J416" i="1"/>
  <c r="R410" i="1"/>
  <c r="T410" i="1" s="1"/>
  <c r="J410" i="1"/>
  <c r="R404" i="1"/>
  <c r="T404" i="1" s="1"/>
  <c r="J404" i="1"/>
  <c r="R398" i="1"/>
  <c r="T398" i="1" s="1"/>
  <c r="J398" i="1"/>
  <c r="R392" i="1"/>
  <c r="T392" i="1" s="1"/>
  <c r="J392" i="1"/>
  <c r="R386" i="1"/>
  <c r="T386" i="1" s="1"/>
  <c r="J386" i="1"/>
  <c r="R380" i="1"/>
  <c r="T380" i="1" s="1"/>
  <c r="J380" i="1"/>
  <c r="R374" i="1"/>
  <c r="T374" i="1" s="1"/>
  <c r="J374" i="1"/>
  <c r="R368" i="1"/>
  <c r="T368" i="1" s="1"/>
  <c r="J368" i="1"/>
  <c r="R362" i="1"/>
  <c r="T362" i="1" s="1"/>
  <c r="J362" i="1"/>
  <c r="R356" i="1"/>
  <c r="T356" i="1" s="1"/>
  <c r="J356" i="1"/>
  <c r="R350" i="1"/>
  <c r="T350" i="1" s="1"/>
  <c r="J350" i="1"/>
  <c r="R344" i="1"/>
  <c r="T344" i="1" s="1"/>
  <c r="J344" i="1"/>
  <c r="R338" i="1"/>
  <c r="T338" i="1" s="1"/>
  <c r="J338" i="1"/>
  <c r="R332" i="1"/>
  <c r="T332" i="1" s="1"/>
  <c r="J332" i="1"/>
  <c r="R326" i="1"/>
  <c r="T326" i="1" s="1"/>
  <c r="J326" i="1"/>
  <c r="R320" i="1"/>
  <c r="T320" i="1" s="1"/>
  <c r="J320" i="1"/>
  <c r="R314" i="1"/>
  <c r="T314" i="1" s="1"/>
  <c r="J314" i="1"/>
  <c r="R308" i="1"/>
  <c r="T308" i="1" s="1"/>
  <c r="J308" i="1"/>
  <c r="R302" i="1"/>
  <c r="T302" i="1" s="1"/>
  <c r="J302" i="1"/>
  <c r="R296" i="1"/>
  <c r="T296" i="1" s="1"/>
  <c r="J296" i="1"/>
  <c r="R290" i="1"/>
  <c r="T290" i="1" s="1"/>
  <c r="J290" i="1"/>
  <c r="R284" i="1"/>
  <c r="T284" i="1" s="1"/>
  <c r="J284" i="1"/>
  <c r="R278" i="1"/>
  <c r="T278" i="1" s="1"/>
  <c r="J278" i="1"/>
  <c r="R272" i="1"/>
  <c r="T272" i="1" s="1"/>
  <c r="J272" i="1"/>
  <c r="R266" i="1"/>
  <c r="T266" i="1" s="1"/>
  <c r="J266" i="1"/>
  <c r="R260" i="1"/>
  <c r="T260" i="1" s="1"/>
  <c r="J260" i="1"/>
  <c r="R254" i="1"/>
  <c r="T254" i="1" s="1"/>
  <c r="J254" i="1"/>
  <c r="R248" i="1"/>
  <c r="T248" i="1" s="1"/>
  <c r="J248" i="1"/>
  <c r="R242" i="1"/>
  <c r="T242" i="1" s="1"/>
  <c r="J242" i="1"/>
  <c r="R236" i="1"/>
  <c r="T236" i="1" s="1"/>
  <c r="J236" i="1"/>
  <c r="R230" i="1"/>
  <c r="T230" i="1" s="1"/>
  <c r="J230" i="1"/>
  <c r="R224" i="1"/>
  <c r="T224" i="1" s="1"/>
  <c r="J224" i="1"/>
  <c r="R218" i="1"/>
  <c r="T218" i="1" s="1"/>
  <c r="J218" i="1"/>
  <c r="R212" i="1"/>
  <c r="T212" i="1" s="1"/>
  <c r="J212" i="1"/>
  <c r="R206" i="1"/>
  <c r="T206" i="1" s="1"/>
  <c r="J206" i="1"/>
  <c r="R200" i="1"/>
  <c r="T200" i="1" s="1"/>
  <c r="J200" i="1"/>
  <c r="R194" i="1"/>
  <c r="T194" i="1" s="1"/>
  <c r="J194" i="1"/>
  <c r="R188" i="1"/>
  <c r="T188" i="1" s="1"/>
  <c r="J188" i="1"/>
  <c r="R182" i="1"/>
  <c r="T182" i="1" s="1"/>
  <c r="J182" i="1"/>
  <c r="R176" i="1"/>
  <c r="T176" i="1" s="1"/>
  <c r="J176" i="1"/>
  <c r="R170" i="1"/>
  <c r="T170" i="1" s="1"/>
  <c r="J170" i="1"/>
  <c r="R164" i="1"/>
  <c r="T164" i="1" s="1"/>
  <c r="J164" i="1"/>
  <c r="R158" i="1"/>
  <c r="T158" i="1" s="1"/>
  <c r="J158" i="1"/>
  <c r="R152" i="1"/>
  <c r="T152" i="1" s="1"/>
  <c r="J152" i="1"/>
  <c r="R146" i="1"/>
  <c r="T146" i="1" s="1"/>
  <c r="J146" i="1"/>
  <c r="R140" i="1"/>
  <c r="T140" i="1" s="1"/>
  <c r="J140" i="1"/>
  <c r="R134" i="1"/>
  <c r="T134" i="1" s="1"/>
  <c r="J134" i="1"/>
  <c r="R128" i="1"/>
  <c r="T128" i="1" s="1"/>
  <c r="J128" i="1"/>
  <c r="R122" i="1"/>
  <c r="T122" i="1" s="1"/>
  <c r="J122" i="1"/>
  <c r="R116" i="1"/>
  <c r="T116" i="1" s="1"/>
  <c r="J116" i="1"/>
  <c r="R110" i="1"/>
  <c r="T110" i="1" s="1"/>
  <c r="J110" i="1"/>
  <c r="R104" i="1"/>
  <c r="T104" i="1" s="1"/>
  <c r="J104" i="1"/>
  <c r="R98" i="1"/>
  <c r="T98" i="1" s="1"/>
  <c r="J98" i="1"/>
  <c r="R92" i="1"/>
  <c r="T92" i="1" s="1"/>
  <c r="J92" i="1"/>
  <c r="R86" i="1"/>
  <c r="T86" i="1" s="1"/>
  <c r="J86" i="1"/>
  <c r="R80" i="1"/>
  <c r="T80" i="1" s="1"/>
  <c r="J80" i="1"/>
  <c r="R74" i="1"/>
  <c r="T74" i="1" s="1"/>
  <c r="J74" i="1"/>
  <c r="J998" i="1"/>
  <c r="J986" i="1"/>
  <c r="J974" i="1"/>
  <c r="I961" i="1"/>
  <c r="K961" i="1" s="1"/>
  <c r="I943" i="1"/>
  <c r="K943" i="1" s="1"/>
  <c r="I925" i="1"/>
  <c r="I907" i="1"/>
  <c r="K907" i="1" s="1"/>
  <c r="I889" i="1"/>
  <c r="K889" i="1" s="1"/>
  <c r="I871" i="1"/>
  <c r="K871" i="1" s="1"/>
  <c r="I853" i="1"/>
  <c r="K853" i="1" s="1"/>
  <c r="I835" i="1"/>
  <c r="K835" i="1" s="1"/>
  <c r="I795" i="1"/>
  <c r="I774" i="1"/>
  <c r="J751" i="1"/>
  <c r="J726" i="1"/>
  <c r="J696" i="1"/>
  <c r="I633" i="1"/>
  <c r="J602" i="1"/>
  <c r="J571" i="1"/>
  <c r="J535" i="1"/>
  <c r="J483" i="1"/>
  <c r="J243" i="1"/>
  <c r="I156" i="1"/>
  <c r="Q830" i="1"/>
  <c r="S830" i="1" s="1"/>
  <c r="I830" i="1"/>
  <c r="Q824" i="1"/>
  <c r="S824" i="1" s="1"/>
  <c r="I824" i="1"/>
  <c r="Q818" i="1"/>
  <c r="S818" i="1" s="1"/>
  <c r="I818" i="1"/>
  <c r="Q812" i="1"/>
  <c r="S812" i="1" s="1"/>
  <c r="I812" i="1"/>
  <c r="Q806" i="1"/>
  <c r="S806" i="1" s="1"/>
  <c r="I806" i="1"/>
  <c r="Q800" i="1"/>
  <c r="S800" i="1" s="1"/>
  <c r="I800" i="1"/>
  <c r="Q794" i="1"/>
  <c r="S794" i="1" s="1"/>
  <c r="U794" i="1" s="1"/>
  <c r="I794" i="1"/>
  <c r="Q776" i="1"/>
  <c r="S776" i="1" s="1"/>
  <c r="I776" i="1"/>
  <c r="Q770" i="1"/>
  <c r="S770" i="1" s="1"/>
  <c r="I770" i="1"/>
  <c r="Q764" i="1"/>
  <c r="S764" i="1" s="1"/>
  <c r="I764" i="1"/>
  <c r="Q758" i="1"/>
  <c r="S758" i="1" s="1"/>
  <c r="U758" i="1" s="1"/>
  <c r="I758" i="1"/>
  <c r="Q746" i="1"/>
  <c r="S746" i="1" s="1"/>
  <c r="I746" i="1"/>
  <c r="Q740" i="1"/>
  <c r="S740" i="1" s="1"/>
  <c r="I740" i="1"/>
  <c r="Q728" i="1"/>
  <c r="S728" i="1" s="1"/>
  <c r="I728" i="1"/>
  <c r="Q722" i="1"/>
  <c r="S722" i="1" s="1"/>
  <c r="I722" i="1"/>
  <c r="Q710" i="1"/>
  <c r="S710" i="1" s="1"/>
  <c r="I710" i="1"/>
  <c r="Q704" i="1"/>
  <c r="S704" i="1" s="1"/>
  <c r="U704" i="1" s="1"/>
  <c r="I704" i="1"/>
  <c r="Q698" i="1"/>
  <c r="S698" i="1" s="1"/>
  <c r="I698" i="1"/>
  <c r="Q692" i="1"/>
  <c r="S692" i="1" s="1"/>
  <c r="I692" i="1"/>
  <c r="Q680" i="1"/>
  <c r="S680" i="1" s="1"/>
  <c r="I680" i="1"/>
  <c r="Q668" i="1"/>
  <c r="S668" i="1" s="1"/>
  <c r="I668" i="1"/>
  <c r="Q662" i="1"/>
  <c r="S662" i="1" s="1"/>
  <c r="I662" i="1"/>
  <c r="Q650" i="1"/>
  <c r="S650" i="1" s="1"/>
  <c r="I650" i="1"/>
  <c r="Q638" i="1"/>
  <c r="S638" i="1" s="1"/>
  <c r="I638" i="1"/>
  <c r="Q632" i="1"/>
  <c r="S632" i="1" s="1"/>
  <c r="U632" i="1" s="1"/>
  <c r="I632" i="1"/>
  <c r="Q626" i="1"/>
  <c r="S626" i="1" s="1"/>
  <c r="I626" i="1"/>
  <c r="Q620" i="1"/>
  <c r="S620" i="1" s="1"/>
  <c r="I620" i="1"/>
  <c r="K620" i="1" s="1"/>
  <c r="Q608" i="1"/>
  <c r="S608" i="1" s="1"/>
  <c r="I608" i="1"/>
  <c r="Q596" i="1"/>
  <c r="S596" i="1" s="1"/>
  <c r="I596" i="1"/>
  <c r="Q590" i="1"/>
  <c r="S590" i="1" s="1"/>
  <c r="I590" i="1"/>
  <c r="Q578" i="1"/>
  <c r="S578" i="1" s="1"/>
  <c r="I578" i="1"/>
  <c r="Q566" i="1"/>
  <c r="S566" i="1" s="1"/>
  <c r="I566" i="1"/>
  <c r="Q554" i="1"/>
  <c r="S554" i="1" s="1"/>
  <c r="I554" i="1"/>
  <c r="Q542" i="1"/>
  <c r="S542" i="1" s="1"/>
  <c r="I542" i="1"/>
  <c r="Q530" i="1"/>
  <c r="S530" i="1" s="1"/>
  <c r="I530" i="1"/>
  <c r="Q518" i="1"/>
  <c r="S518" i="1" s="1"/>
  <c r="I518" i="1"/>
  <c r="Q512" i="1"/>
  <c r="S512" i="1" s="1"/>
  <c r="I512" i="1"/>
  <c r="Q506" i="1"/>
  <c r="S506" i="1" s="1"/>
  <c r="I506" i="1"/>
  <c r="Q500" i="1"/>
  <c r="S500" i="1" s="1"/>
  <c r="I500" i="1"/>
  <c r="Q494" i="1"/>
  <c r="S494" i="1" s="1"/>
  <c r="I494" i="1"/>
  <c r="Q488" i="1"/>
  <c r="S488" i="1" s="1"/>
  <c r="I488" i="1"/>
  <c r="Q482" i="1"/>
  <c r="S482" i="1" s="1"/>
  <c r="I482" i="1"/>
  <c r="Q476" i="1"/>
  <c r="S476" i="1" s="1"/>
  <c r="I476" i="1"/>
  <c r="Q470" i="1"/>
  <c r="S470" i="1" s="1"/>
  <c r="I470" i="1"/>
  <c r="Q464" i="1"/>
  <c r="S464" i="1" s="1"/>
  <c r="I464" i="1"/>
  <c r="Q458" i="1"/>
  <c r="S458" i="1" s="1"/>
  <c r="I458" i="1"/>
  <c r="Q452" i="1"/>
  <c r="S452" i="1" s="1"/>
  <c r="I452" i="1"/>
  <c r="Q446" i="1"/>
  <c r="S446" i="1" s="1"/>
  <c r="I446" i="1"/>
  <c r="Q440" i="1"/>
  <c r="S440" i="1" s="1"/>
  <c r="I440" i="1"/>
  <c r="Q434" i="1"/>
  <c r="S434" i="1" s="1"/>
  <c r="I434" i="1"/>
  <c r="Q428" i="1"/>
  <c r="S428" i="1" s="1"/>
  <c r="I428" i="1"/>
  <c r="Q422" i="1"/>
  <c r="S422" i="1" s="1"/>
  <c r="I422" i="1"/>
  <c r="Q416" i="1"/>
  <c r="S416" i="1" s="1"/>
  <c r="I416" i="1"/>
  <c r="Q410" i="1"/>
  <c r="S410" i="1" s="1"/>
  <c r="I410" i="1"/>
  <c r="Q404" i="1"/>
  <c r="S404" i="1" s="1"/>
  <c r="I404" i="1"/>
  <c r="Q398" i="1"/>
  <c r="S398" i="1" s="1"/>
  <c r="I398" i="1"/>
  <c r="Q392" i="1"/>
  <c r="S392" i="1" s="1"/>
  <c r="I392" i="1"/>
  <c r="Q386" i="1"/>
  <c r="S386" i="1" s="1"/>
  <c r="I386" i="1"/>
  <c r="Q380" i="1"/>
  <c r="S380" i="1" s="1"/>
  <c r="I380" i="1"/>
  <c r="Q374" i="1"/>
  <c r="S374" i="1" s="1"/>
  <c r="I374" i="1"/>
  <c r="Q368" i="1"/>
  <c r="S368" i="1" s="1"/>
  <c r="I368" i="1"/>
  <c r="Q362" i="1"/>
  <c r="S362" i="1" s="1"/>
  <c r="I362" i="1"/>
  <c r="Q356" i="1"/>
  <c r="S356" i="1" s="1"/>
  <c r="I356" i="1"/>
  <c r="Q350" i="1"/>
  <c r="S350" i="1" s="1"/>
  <c r="I350" i="1"/>
  <c r="Q344" i="1"/>
  <c r="S344" i="1" s="1"/>
  <c r="I344" i="1"/>
  <c r="Q338" i="1"/>
  <c r="S338" i="1" s="1"/>
  <c r="I338" i="1"/>
  <c r="Q332" i="1"/>
  <c r="S332" i="1" s="1"/>
  <c r="I332" i="1"/>
  <c r="Q326" i="1"/>
  <c r="S326" i="1" s="1"/>
  <c r="I326" i="1"/>
  <c r="Q320" i="1"/>
  <c r="S320" i="1" s="1"/>
  <c r="I320" i="1"/>
  <c r="Q314" i="1"/>
  <c r="S314" i="1" s="1"/>
  <c r="I314" i="1"/>
  <c r="Q308" i="1"/>
  <c r="S308" i="1" s="1"/>
  <c r="I308" i="1"/>
  <c r="Q302" i="1"/>
  <c r="S302" i="1" s="1"/>
  <c r="I302" i="1"/>
  <c r="Q296" i="1"/>
  <c r="S296" i="1" s="1"/>
  <c r="I296" i="1"/>
  <c r="Q290" i="1"/>
  <c r="S290" i="1" s="1"/>
  <c r="I290" i="1"/>
  <c r="Q284" i="1"/>
  <c r="S284" i="1" s="1"/>
  <c r="I284" i="1"/>
  <c r="Q278" i="1"/>
  <c r="S278" i="1" s="1"/>
  <c r="I278" i="1"/>
  <c r="Q272" i="1"/>
  <c r="S272" i="1" s="1"/>
  <c r="I272" i="1"/>
  <c r="Q266" i="1"/>
  <c r="S266" i="1" s="1"/>
  <c r="I266" i="1"/>
  <c r="Q260" i="1"/>
  <c r="S260" i="1" s="1"/>
  <c r="I260" i="1"/>
  <c r="Q254" i="1"/>
  <c r="S254" i="1" s="1"/>
  <c r="I254" i="1"/>
  <c r="Q248" i="1"/>
  <c r="S248" i="1" s="1"/>
  <c r="I248" i="1"/>
  <c r="Q242" i="1"/>
  <c r="S242" i="1" s="1"/>
  <c r="I242" i="1"/>
  <c r="Q236" i="1"/>
  <c r="S236" i="1" s="1"/>
  <c r="I236" i="1"/>
  <c r="Q230" i="1"/>
  <c r="S230" i="1" s="1"/>
  <c r="I230" i="1"/>
  <c r="Q224" i="1"/>
  <c r="S224" i="1" s="1"/>
  <c r="I224" i="1"/>
  <c r="Q218" i="1"/>
  <c r="S218" i="1" s="1"/>
  <c r="I218" i="1"/>
  <c r="Q212" i="1"/>
  <c r="S212" i="1" s="1"/>
  <c r="I212" i="1"/>
  <c r="Q206" i="1"/>
  <c r="S206" i="1" s="1"/>
  <c r="I206" i="1"/>
  <c r="Q200" i="1"/>
  <c r="S200" i="1" s="1"/>
  <c r="I200" i="1"/>
  <c r="Q194" i="1"/>
  <c r="S194" i="1" s="1"/>
  <c r="I194" i="1"/>
  <c r="Q188" i="1"/>
  <c r="S188" i="1" s="1"/>
  <c r="I188" i="1"/>
  <c r="Q182" i="1"/>
  <c r="S182" i="1" s="1"/>
  <c r="I182" i="1"/>
  <c r="Q176" i="1"/>
  <c r="S176" i="1" s="1"/>
  <c r="I176" i="1"/>
  <c r="Q170" i="1"/>
  <c r="S170" i="1" s="1"/>
  <c r="I170" i="1"/>
  <c r="Q164" i="1"/>
  <c r="S164" i="1" s="1"/>
  <c r="I164" i="1"/>
  <c r="Q158" i="1"/>
  <c r="S158" i="1" s="1"/>
  <c r="I158" i="1"/>
  <c r="Q152" i="1"/>
  <c r="S152" i="1" s="1"/>
  <c r="I152" i="1"/>
  <c r="Q146" i="1"/>
  <c r="S146" i="1" s="1"/>
  <c r="I146" i="1"/>
  <c r="Q140" i="1"/>
  <c r="S140" i="1" s="1"/>
  <c r="I140" i="1"/>
  <c r="Q134" i="1"/>
  <c r="S134" i="1" s="1"/>
  <c r="I134" i="1"/>
  <c r="Q128" i="1"/>
  <c r="S128" i="1" s="1"/>
  <c r="I128" i="1"/>
  <c r="Q122" i="1"/>
  <c r="S122" i="1" s="1"/>
  <c r="I122" i="1"/>
  <c r="Q116" i="1"/>
  <c r="S116" i="1" s="1"/>
  <c r="I116" i="1"/>
  <c r="Q110" i="1"/>
  <c r="S110" i="1" s="1"/>
  <c r="I110" i="1"/>
  <c r="Q104" i="1"/>
  <c r="S104" i="1" s="1"/>
  <c r="I104" i="1"/>
  <c r="Q98" i="1"/>
  <c r="S98" i="1" s="1"/>
  <c r="I98" i="1"/>
  <c r="Q92" i="1"/>
  <c r="S92" i="1" s="1"/>
  <c r="I92" i="1"/>
  <c r="Q86" i="1"/>
  <c r="S86" i="1" s="1"/>
  <c r="I86" i="1"/>
  <c r="Q80" i="1"/>
  <c r="S80" i="1" s="1"/>
  <c r="I80" i="1"/>
  <c r="Q74" i="1"/>
  <c r="S74" i="1" s="1"/>
  <c r="I74" i="1"/>
  <c r="I998" i="1"/>
  <c r="I986" i="1"/>
  <c r="I974" i="1"/>
  <c r="J960" i="1"/>
  <c r="J942" i="1"/>
  <c r="J924" i="1"/>
  <c r="J906" i="1"/>
  <c r="J888" i="1"/>
  <c r="J870" i="1"/>
  <c r="J852" i="1"/>
  <c r="J834" i="1"/>
  <c r="J794" i="1"/>
  <c r="I751" i="1"/>
  <c r="I726" i="1"/>
  <c r="I663" i="1"/>
  <c r="J632" i="1"/>
  <c r="I602" i="1"/>
  <c r="I571" i="1"/>
  <c r="I535" i="1"/>
  <c r="I483" i="1"/>
  <c r="J327" i="1"/>
  <c r="I240" i="1"/>
  <c r="R823" i="1"/>
  <c r="T823" i="1" s="1"/>
  <c r="U823" i="1" s="1"/>
  <c r="J823" i="1"/>
  <c r="R817" i="1"/>
  <c r="T817" i="1" s="1"/>
  <c r="J817" i="1"/>
  <c r="R811" i="1"/>
  <c r="T811" i="1" s="1"/>
  <c r="J811" i="1"/>
  <c r="R805" i="1"/>
  <c r="T805" i="1" s="1"/>
  <c r="J805" i="1"/>
  <c r="R799" i="1"/>
  <c r="T799" i="1" s="1"/>
  <c r="J799" i="1"/>
  <c r="R793" i="1"/>
  <c r="T793" i="1" s="1"/>
  <c r="J793" i="1"/>
  <c r="R775" i="1"/>
  <c r="T775" i="1" s="1"/>
  <c r="U775" i="1" s="1"/>
  <c r="J775" i="1"/>
  <c r="R769" i="1"/>
  <c r="T769" i="1" s="1"/>
  <c r="J769" i="1"/>
  <c r="R763" i="1"/>
  <c r="T763" i="1" s="1"/>
  <c r="J763" i="1"/>
  <c r="R757" i="1"/>
  <c r="T757" i="1" s="1"/>
  <c r="J757" i="1"/>
  <c r="R745" i="1"/>
  <c r="T745" i="1" s="1"/>
  <c r="U745" i="1" s="1"/>
  <c r="J745" i="1"/>
  <c r="R739" i="1"/>
  <c r="T739" i="1" s="1"/>
  <c r="J739" i="1"/>
  <c r="R733" i="1"/>
  <c r="T733" i="1" s="1"/>
  <c r="J733" i="1"/>
  <c r="R721" i="1"/>
  <c r="T721" i="1" s="1"/>
  <c r="J721" i="1"/>
  <c r="R709" i="1"/>
  <c r="T709" i="1" s="1"/>
  <c r="J709" i="1"/>
  <c r="R703" i="1"/>
  <c r="T703" i="1" s="1"/>
  <c r="J703" i="1"/>
  <c r="R691" i="1"/>
  <c r="T691" i="1" s="1"/>
  <c r="J691" i="1"/>
  <c r="R679" i="1"/>
  <c r="T679" i="1" s="1"/>
  <c r="J679" i="1"/>
  <c r="R673" i="1"/>
  <c r="T673" i="1" s="1"/>
  <c r="J673" i="1"/>
  <c r="R667" i="1"/>
  <c r="T667" i="1" s="1"/>
  <c r="U667" i="1" s="1"/>
  <c r="J667" i="1"/>
  <c r="R661" i="1"/>
  <c r="T661" i="1" s="1"/>
  <c r="J661" i="1"/>
  <c r="R649" i="1"/>
  <c r="T649" i="1" s="1"/>
  <c r="J649" i="1"/>
  <c r="R637" i="1"/>
  <c r="T637" i="1" s="1"/>
  <c r="J637" i="1"/>
  <c r="R631" i="1"/>
  <c r="T631" i="1" s="1"/>
  <c r="J631" i="1"/>
  <c r="R619" i="1"/>
  <c r="T619" i="1" s="1"/>
  <c r="J619" i="1"/>
  <c r="R607" i="1"/>
  <c r="T607" i="1" s="1"/>
  <c r="J607" i="1"/>
  <c r="R601" i="1"/>
  <c r="T601" i="1" s="1"/>
  <c r="J601" i="1"/>
  <c r="R595" i="1"/>
  <c r="T595" i="1" s="1"/>
  <c r="U595" i="1" s="1"/>
  <c r="J595" i="1"/>
  <c r="R589" i="1"/>
  <c r="T589" i="1" s="1"/>
  <c r="J589" i="1"/>
  <c r="R577" i="1"/>
  <c r="T577" i="1" s="1"/>
  <c r="J577" i="1"/>
  <c r="R565" i="1"/>
  <c r="T565" i="1" s="1"/>
  <c r="J565" i="1"/>
  <c r="R553" i="1"/>
  <c r="T553" i="1" s="1"/>
  <c r="J553" i="1"/>
  <c r="R541" i="1"/>
  <c r="T541" i="1" s="1"/>
  <c r="J541" i="1"/>
  <c r="R529" i="1"/>
  <c r="T529" i="1" s="1"/>
  <c r="J529" i="1"/>
  <c r="R517" i="1"/>
  <c r="T517" i="1" s="1"/>
  <c r="J517" i="1"/>
  <c r="R511" i="1"/>
  <c r="T511" i="1" s="1"/>
  <c r="J511" i="1"/>
  <c r="R505" i="1"/>
  <c r="T505" i="1" s="1"/>
  <c r="J505" i="1"/>
  <c r="R499" i="1"/>
  <c r="T499" i="1" s="1"/>
  <c r="J499" i="1"/>
  <c r="R493" i="1"/>
  <c r="T493" i="1" s="1"/>
  <c r="J493" i="1"/>
  <c r="R487" i="1"/>
  <c r="T487" i="1" s="1"/>
  <c r="J487" i="1"/>
  <c r="R481" i="1"/>
  <c r="T481" i="1" s="1"/>
  <c r="J481" i="1"/>
  <c r="R475" i="1"/>
  <c r="T475" i="1" s="1"/>
  <c r="J475" i="1"/>
  <c r="R469" i="1"/>
  <c r="T469" i="1" s="1"/>
  <c r="J469" i="1"/>
  <c r="R463" i="1"/>
  <c r="T463" i="1" s="1"/>
  <c r="J463" i="1"/>
  <c r="R451" i="1"/>
  <c r="T451" i="1" s="1"/>
  <c r="J451" i="1"/>
  <c r="R445" i="1"/>
  <c r="T445" i="1" s="1"/>
  <c r="J445" i="1"/>
  <c r="R439" i="1"/>
  <c r="T439" i="1" s="1"/>
  <c r="J439" i="1"/>
  <c r="R433" i="1"/>
  <c r="T433" i="1" s="1"/>
  <c r="J433" i="1"/>
  <c r="R427" i="1"/>
  <c r="T427" i="1" s="1"/>
  <c r="J427" i="1"/>
  <c r="R421" i="1"/>
  <c r="T421" i="1" s="1"/>
  <c r="J421" i="1"/>
  <c r="R415" i="1"/>
  <c r="T415" i="1" s="1"/>
  <c r="J415" i="1"/>
  <c r="R409" i="1"/>
  <c r="T409" i="1" s="1"/>
  <c r="J409" i="1"/>
  <c r="R403" i="1"/>
  <c r="T403" i="1" s="1"/>
  <c r="J403" i="1"/>
  <c r="R397" i="1"/>
  <c r="T397" i="1" s="1"/>
  <c r="J397" i="1"/>
  <c r="R391" i="1"/>
  <c r="T391" i="1" s="1"/>
  <c r="J391" i="1"/>
  <c r="R385" i="1"/>
  <c r="T385" i="1" s="1"/>
  <c r="J385" i="1"/>
  <c r="R379" i="1"/>
  <c r="T379" i="1" s="1"/>
  <c r="J379" i="1"/>
  <c r="R373" i="1"/>
  <c r="T373" i="1" s="1"/>
  <c r="J373" i="1"/>
  <c r="R367" i="1"/>
  <c r="T367" i="1" s="1"/>
  <c r="J367" i="1"/>
  <c r="R361" i="1"/>
  <c r="T361" i="1" s="1"/>
  <c r="J361" i="1"/>
  <c r="R355" i="1"/>
  <c r="T355" i="1" s="1"/>
  <c r="J355" i="1"/>
  <c r="R349" i="1"/>
  <c r="T349" i="1" s="1"/>
  <c r="J349" i="1"/>
  <c r="R343" i="1"/>
  <c r="T343" i="1" s="1"/>
  <c r="J343" i="1"/>
  <c r="R337" i="1"/>
  <c r="T337" i="1" s="1"/>
  <c r="J337" i="1"/>
  <c r="R331" i="1"/>
  <c r="T331" i="1" s="1"/>
  <c r="J331" i="1"/>
  <c r="R325" i="1"/>
  <c r="T325" i="1" s="1"/>
  <c r="J325" i="1"/>
  <c r="R319" i="1"/>
  <c r="T319" i="1" s="1"/>
  <c r="J319" i="1"/>
  <c r="R313" i="1"/>
  <c r="T313" i="1" s="1"/>
  <c r="J313" i="1"/>
  <c r="R307" i="1"/>
  <c r="T307" i="1" s="1"/>
  <c r="J307" i="1"/>
  <c r="R301" i="1"/>
  <c r="T301" i="1" s="1"/>
  <c r="J301" i="1"/>
  <c r="R295" i="1"/>
  <c r="T295" i="1" s="1"/>
  <c r="J295" i="1"/>
  <c r="R289" i="1"/>
  <c r="T289" i="1" s="1"/>
  <c r="J289" i="1"/>
  <c r="R283" i="1"/>
  <c r="T283" i="1" s="1"/>
  <c r="J283" i="1"/>
  <c r="R277" i="1"/>
  <c r="T277" i="1" s="1"/>
  <c r="J277" i="1"/>
  <c r="R271" i="1"/>
  <c r="T271" i="1" s="1"/>
  <c r="J271" i="1"/>
  <c r="R265" i="1"/>
  <c r="T265" i="1" s="1"/>
  <c r="J265" i="1"/>
  <c r="R259" i="1"/>
  <c r="T259" i="1" s="1"/>
  <c r="J259" i="1"/>
  <c r="R253" i="1"/>
  <c r="T253" i="1" s="1"/>
  <c r="J253" i="1"/>
  <c r="R247" i="1"/>
  <c r="T247" i="1" s="1"/>
  <c r="J247" i="1"/>
  <c r="R241" i="1"/>
  <c r="T241" i="1" s="1"/>
  <c r="J241" i="1"/>
  <c r="R235" i="1"/>
  <c r="T235" i="1" s="1"/>
  <c r="J235" i="1"/>
  <c r="R229" i="1"/>
  <c r="T229" i="1" s="1"/>
  <c r="J229" i="1"/>
  <c r="R223" i="1"/>
  <c r="T223" i="1" s="1"/>
  <c r="J223" i="1"/>
  <c r="R217" i="1"/>
  <c r="T217" i="1" s="1"/>
  <c r="J217" i="1"/>
  <c r="R211" i="1"/>
  <c r="T211" i="1" s="1"/>
  <c r="J211" i="1"/>
  <c r="R205" i="1"/>
  <c r="T205" i="1" s="1"/>
  <c r="J205" i="1"/>
  <c r="R199" i="1"/>
  <c r="T199" i="1" s="1"/>
  <c r="J199" i="1"/>
  <c r="R193" i="1"/>
  <c r="T193" i="1" s="1"/>
  <c r="J193" i="1"/>
  <c r="R187" i="1"/>
  <c r="T187" i="1" s="1"/>
  <c r="J187" i="1"/>
  <c r="R181" i="1"/>
  <c r="T181" i="1" s="1"/>
  <c r="J181" i="1"/>
  <c r="R175" i="1"/>
  <c r="T175" i="1" s="1"/>
  <c r="J175" i="1"/>
  <c r="R169" i="1"/>
  <c r="T169" i="1" s="1"/>
  <c r="J169" i="1"/>
  <c r="R163" i="1"/>
  <c r="T163" i="1" s="1"/>
  <c r="J163" i="1"/>
  <c r="R157" i="1"/>
  <c r="T157" i="1" s="1"/>
  <c r="J157" i="1"/>
  <c r="R151" i="1"/>
  <c r="T151" i="1" s="1"/>
  <c r="J151" i="1"/>
  <c r="R145" i="1"/>
  <c r="T145" i="1" s="1"/>
  <c r="J145" i="1"/>
  <c r="R139" i="1"/>
  <c r="T139" i="1" s="1"/>
  <c r="J139" i="1"/>
  <c r="R133" i="1"/>
  <c r="T133" i="1" s="1"/>
  <c r="J133" i="1"/>
  <c r="R127" i="1"/>
  <c r="T127" i="1" s="1"/>
  <c r="J127" i="1"/>
  <c r="R121" i="1"/>
  <c r="T121" i="1" s="1"/>
  <c r="J121" i="1"/>
  <c r="R115" i="1"/>
  <c r="T115" i="1" s="1"/>
  <c r="J115" i="1"/>
  <c r="R109" i="1"/>
  <c r="T109" i="1" s="1"/>
  <c r="J109" i="1"/>
  <c r="R103" i="1"/>
  <c r="T103" i="1" s="1"/>
  <c r="J103" i="1"/>
  <c r="R97" i="1"/>
  <c r="T97" i="1" s="1"/>
  <c r="J97" i="1"/>
  <c r="R91" i="1"/>
  <c r="T91" i="1" s="1"/>
  <c r="J91" i="1"/>
  <c r="R85" i="1"/>
  <c r="T85" i="1" s="1"/>
  <c r="J85" i="1"/>
  <c r="R79" i="1"/>
  <c r="T79" i="1" s="1"/>
  <c r="J79" i="1"/>
  <c r="R73" i="1"/>
  <c r="T73" i="1" s="1"/>
  <c r="J73" i="1"/>
  <c r="J997" i="1"/>
  <c r="J985" i="1"/>
  <c r="J973" i="1"/>
  <c r="I956" i="1"/>
  <c r="I938" i="1"/>
  <c r="K938" i="1" s="1"/>
  <c r="I920" i="1"/>
  <c r="I902" i="1"/>
  <c r="I884" i="1"/>
  <c r="I866" i="1"/>
  <c r="K866" i="1" s="1"/>
  <c r="I848" i="1"/>
  <c r="J829" i="1"/>
  <c r="I810" i="1"/>
  <c r="I789" i="1"/>
  <c r="K789" i="1" s="1"/>
  <c r="I768" i="1"/>
  <c r="I745" i="1"/>
  <c r="I717" i="1"/>
  <c r="J686" i="1"/>
  <c r="I656" i="1"/>
  <c r="J625" i="1"/>
  <c r="I595" i="1"/>
  <c r="K595" i="1" s="1"/>
  <c r="J560" i="1"/>
  <c r="I524" i="1"/>
  <c r="J465" i="1"/>
  <c r="J219" i="1"/>
  <c r="I132" i="1"/>
  <c r="Q817" i="1"/>
  <c r="S817" i="1" s="1"/>
  <c r="I817" i="1"/>
  <c r="Q811" i="1"/>
  <c r="S811" i="1" s="1"/>
  <c r="I811" i="1"/>
  <c r="Q805" i="1"/>
  <c r="S805" i="1" s="1"/>
  <c r="I805" i="1"/>
  <c r="Q799" i="1"/>
  <c r="S799" i="1" s="1"/>
  <c r="I799" i="1"/>
  <c r="Q793" i="1"/>
  <c r="S793" i="1" s="1"/>
  <c r="I793" i="1"/>
  <c r="Q787" i="1"/>
  <c r="S787" i="1" s="1"/>
  <c r="U787" i="1" s="1"/>
  <c r="I787" i="1"/>
  <c r="Q769" i="1"/>
  <c r="S769" i="1" s="1"/>
  <c r="I769" i="1"/>
  <c r="Q763" i="1"/>
  <c r="S763" i="1" s="1"/>
  <c r="I763" i="1"/>
  <c r="Q757" i="1"/>
  <c r="S757" i="1" s="1"/>
  <c r="I757" i="1"/>
  <c r="Q739" i="1"/>
  <c r="S739" i="1" s="1"/>
  <c r="I739" i="1"/>
  <c r="Q733" i="1"/>
  <c r="S733" i="1" s="1"/>
  <c r="I733" i="1"/>
  <c r="Q721" i="1"/>
  <c r="S721" i="1" s="1"/>
  <c r="I721" i="1"/>
  <c r="Q715" i="1"/>
  <c r="S715" i="1" s="1"/>
  <c r="U715" i="1" s="1"/>
  <c r="I715" i="1"/>
  <c r="Q709" i="1"/>
  <c r="S709" i="1" s="1"/>
  <c r="I709" i="1"/>
  <c r="Q703" i="1"/>
  <c r="S703" i="1" s="1"/>
  <c r="I703" i="1"/>
  <c r="Q691" i="1"/>
  <c r="S691" i="1" s="1"/>
  <c r="I691" i="1"/>
  <c r="Q679" i="1"/>
  <c r="S679" i="1" s="1"/>
  <c r="I679" i="1"/>
  <c r="Q673" i="1"/>
  <c r="S673" i="1" s="1"/>
  <c r="I673" i="1"/>
  <c r="Q661" i="1"/>
  <c r="S661" i="1" s="1"/>
  <c r="I661" i="1"/>
  <c r="Q649" i="1"/>
  <c r="S649" i="1" s="1"/>
  <c r="I649" i="1"/>
  <c r="K649" i="1" s="1"/>
  <c r="Q643" i="1"/>
  <c r="S643" i="1" s="1"/>
  <c r="U643" i="1" s="1"/>
  <c r="I643" i="1"/>
  <c r="Q637" i="1"/>
  <c r="S637" i="1" s="1"/>
  <c r="I637" i="1"/>
  <c r="Q631" i="1"/>
  <c r="S631" i="1" s="1"/>
  <c r="I631" i="1"/>
  <c r="Q619" i="1"/>
  <c r="S619" i="1" s="1"/>
  <c r="I619" i="1"/>
  <c r="Q607" i="1"/>
  <c r="S607" i="1" s="1"/>
  <c r="I607" i="1"/>
  <c r="Q601" i="1"/>
  <c r="S601" i="1" s="1"/>
  <c r="I601" i="1"/>
  <c r="Q589" i="1"/>
  <c r="S589" i="1" s="1"/>
  <c r="I589" i="1"/>
  <c r="Q577" i="1"/>
  <c r="S577" i="1" s="1"/>
  <c r="I577" i="1"/>
  <c r="Q565" i="1"/>
  <c r="S565" i="1" s="1"/>
  <c r="I565" i="1"/>
  <c r="Q553" i="1"/>
  <c r="S553" i="1" s="1"/>
  <c r="I553" i="1"/>
  <c r="Q541" i="1"/>
  <c r="S541" i="1" s="1"/>
  <c r="I541" i="1"/>
  <c r="Q529" i="1"/>
  <c r="S529" i="1" s="1"/>
  <c r="I529" i="1"/>
  <c r="K529" i="1" s="1"/>
  <c r="Q511" i="1"/>
  <c r="S511" i="1" s="1"/>
  <c r="I511" i="1"/>
  <c r="Q505" i="1"/>
  <c r="S505" i="1" s="1"/>
  <c r="I505" i="1"/>
  <c r="Q499" i="1"/>
  <c r="S499" i="1" s="1"/>
  <c r="I499" i="1"/>
  <c r="Q493" i="1"/>
  <c r="S493" i="1" s="1"/>
  <c r="I493" i="1"/>
  <c r="Q487" i="1"/>
  <c r="S487" i="1" s="1"/>
  <c r="I487" i="1"/>
  <c r="K487" i="1" s="1"/>
  <c r="Q481" i="1"/>
  <c r="S481" i="1" s="1"/>
  <c r="I481" i="1"/>
  <c r="Q475" i="1"/>
  <c r="S475" i="1" s="1"/>
  <c r="I475" i="1"/>
  <c r="Q469" i="1"/>
  <c r="S469" i="1" s="1"/>
  <c r="I469" i="1"/>
  <c r="Q463" i="1"/>
  <c r="S463" i="1" s="1"/>
  <c r="I463" i="1"/>
  <c r="Q457" i="1"/>
  <c r="S457" i="1" s="1"/>
  <c r="U457" i="1" s="1"/>
  <c r="I457" i="1"/>
  <c r="Q451" i="1"/>
  <c r="S451" i="1" s="1"/>
  <c r="I451" i="1"/>
  <c r="Q445" i="1"/>
  <c r="S445" i="1" s="1"/>
  <c r="I445" i="1"/>
  <c r="K445" i="1" s="1"/>
  <c r="Q439" i="1"/>
  <c r="S439" i="1" s="1"/>
  <c r="I439" i="1"/>
  <c r="Q433" i="1"/>
  <c r="S433" i="1" s="1"/>
  <c r="I433" i="1"/>
  <c r="Q427" i="1"/>
  <c r="S427" i="1" s="1"/>
  <c r="I427" i="1"/>
  <c r="Q421" i="1"/>
  <c r="S421" i="1" s="1"/>
  <c r="I421" i="1"/>
  <c r="Q415" i="1"/>
  <c r="S415" i="1" s="1"/>
  <c r="I415" i="1"/>
  <c r="Q409" i="1"/>
  <c r="S409" i="1" s="1"/>
  <c r="I409" i="1"/>
  <c r="K409" i="1" s="1"/>
  <c r="Q403" i="1"/>
  <c r="S403" i="1" s="1"/>
  <c r="I403" i="1"/>
  <c r="Q397" i="1"/>
  <c r="S397" i="1" s="1"/>
  <c r="I397" i="1"/>
  <c r="Q391" i="1"/>
  <c r="S391" i="1" s="1"/>
  <c r="I391" i="1"/>
  <c r="Q385" i="1"/>
  <c r="S385" i="1" s="1"/>
  <c r="I385" i="1"/>
  <c r="Q379" i="1"/>
  <c r="S379" i="1" s="1"/>
  <c r="I379" i="1"/>
  <c r="Q373" i="1"/>
  <c r="S373" i="1" s="1"/>
  <c r="I373" i="1"/>
  <c r="K373" i="1" s="1"/>
  <c r="Q367" i="1"/>
  <c r="S367" i="1" s="1"/>
  <c r="I367" i="1"/>
  <c r="Q361" i="1"/>
  <c r="S361" i="1" s="1"/>
  <c r="I361" i="1"/>
  <c r="Q355" i="1"/>
  <c r="S355" i="1" s="1"/>
  <c r="I355" i="1"/>
  <c r="Q349" i="1"/>
  <c r="S349" i="1" s="1"/>
  <c r="I349" i="1"/>
  <c r="Q343" i="1"/>
  <c r="S343" i="1" s="1"/>
  <c r="I343" i="1"/>
  <c r="Q331" i="1"/>
  <c r="S331" i="1" s="1"/>
  <c r="I331" i="1"/>
  <c r="Q325" i="1"/>
  <c r="S325" i="1" s="1"/>
  <c r="I325" i="1"/>
  <c r="Q319" i="1"/>
  <c r="S319" i="1" s="1"/>
  <c r="I319" i="1"/>
  <c r="Q313" i="1"/>
  <c r="S313" i="1" s="1"/>
  <c r="I313" i="1"/>
  <c r="Q307" i="1"/>
  <c r="S307" i="1" s="1"/>
  <c r="I307" i="1"/>
  <c r="Q301" i="1"/>
  <c r="S301" i="1" s="1"/>
  <c r="I301" i="1"/>
  <c r="K301" i="1" s="1"/>
  <c r="Q295" i="1"/>
  <c r="S295" i="1" s="1"/>
  <c r="I295" i="1"/>
  <c r="Q289" i="1"/>
  <c r="S289" i="1" s="1"/>
  <c r="I289" i="1"/>
  <c r="Q283" i="1"/>
  <c r="S283" i="1" s="1"/>
  <c r="I283" i="1"/>
  <c r="Q271" i="1"/>
  <c r="S271" i="1" s="1"/>
  <c r="I271" i="1"/>
  <c r="Q265" i="1"/>
  <c r="S265" i="1" s="1"/>
  <c r="I265" i="1"/>
  <c r="Q259" i="1"/>
  <c r="S259" i="1" s="1"/>
  <c r="I259" i="1"/>
  <c r="Q253" i="1"/>
  <c r="S253" i="1" s="1"/>
  <c r="I253" i="1"/>
  <c r="Q247" i="1"/>
  <c r="S247" i="1" s="1"/>
  <c r="I247" i="1"/>
  <c r="Q241" i="1"/>
  <c r="S241" i="1" s="1"/>
  <c r="I241" i="1"/>
  <c r="Q235" i="1"/>
  <c r="S235" i="1" s="1"/>
  <c r="I235" i="1"/>
  <c r="Q229" i="1"/>
  <c r="S229" i="1" s="1"/>
  <c r="I229" i="1"/>
  <c r="Q223" i="1"/>
  <c r="S223" i="1" s="1"/>
  <c r="I223" i="1"/>
  <c r="Q217" i="1"/>
  <c r="S217" i="1" s="1"/>
  <c r="I217" i="1"/>
  <c r="Q211" i="1"/>
  <c r="S211" i="1" s="1"/>
  <c r="I211" i="1"/>
  <c r="Q205" i="1"/>
  <c r="S205" i="1" s="1"/>
  <c r="I205" i="1"/>
  <c r="Q199" i="1"/>
  <c r="S199" i="1" s="1"/>
  <c r="I199" i="1"/>
  <c r="Q193" i="1"/>
  <c r="S193" i="1" s="1"/>
  <c r="I193" i="1"/>
  <c r="Q187" i="1"/>
  <c r="S187" i="1" s="1"/>
  <c r="I187" i="1"/>
  <c r="Q181" i="1"/>
  <c r="S181" i="1" s="1"/>
  <c r="I181" i="1"/>
  <c r="Q175" i="1"/>
  <c r="S175" i="1" s="1"/>
  <c r="I175" i="1"/>
  <c r="Q169" i="1"/>
  <c r="S169" i="1" s="1"/>
  <c r="I169" i="1"/>
  <c r="Q163" i="1"/>
  <c r="S163" i="1" s="1"/>
  <c r="I163" i="1"/>
  <c r="Q157" i="1"/>
  <c r="S157" i="1" s="1"/>
  <c r="I157" i="1"/>
  <c r="Q151" i="1"/>
  <c r="S151" i="1" s="1"/>
  <c r="I151" i="1"/>
  <c r="Q145" i="1"/>
  <c r="S145" i="1" s="1"/>
  <c r="I145" i="1"/>
  <c r="Q139" i="1"/>
  <c r="S139" i="1" s="1"/>
  <c r="I139" i="1"/>
  <c r="Q133" i="1"/>
  <c r="S133" i="1" s="1"/>
  <c r="I133" i="1"/>
  <c r="Q127" i="1"/>
  <c r="S127" i="1" s="1"/>
  <c r="I127" i="1"/>
  <c r="Q121" i="1"/>
  <c r="S121" i="1" s="1"/>
  <c r="I121" i="1"/>
  <c r="Q115" i="1"/>
  <c r="S115" i="1" s="1"/>
  <c r="I115" i="1"/>
  <c r="Q109" i="1"/>
  <c r="S109" i="1" s="1"/>
  <c r="I109" i="1"/>
  <c r="Q103" i="1"/>
  <c r="S103" i="1" s="1"/>
  <c r="I103" i="1"/>
  <c r="Q97" i="1"/>
  <c r="S97" i="1" s="1"/>
  <c r="I97" i="1"/>
  <c r="Q91" i="1"/>
  <c r="S91" i="1" s="1"/>
  <c r="I91" i="1"/>
  <c r="Q85" i="1"/>
  <c r="S85" i="1" s="1"/>
  <c r="I85" i="1"/>
  <c r="Q79" i="1"/>
  <c r="S79" i="1" s="1"/>
  <c r="I79" i="1"/>
  <c r="Q73" i="1"/>
  <c r="S73" i="1" s="1"/>
  <c r="I73" i="1"/>
  <c r="Q67" i="1"/>
  <c r="S67" i="1" s="1"/>
  <c r="I67" i="1"/>
  <c r="Q61" i="1"/>
  <c r="S61" i="1" s="1"/>
  <c r="I61" i="1"/>
  <c r="Q55" i="1"/>
  <c r="S55" i="1" s="1"/>
  <c r="I55" i="1"/>
  <c r="Q49" i="1"/>
  <c r="S49" i="1" s="1"/>
  <c r="I49" i="1"/>
  <c r="Q43" i="1"/>
  <c r="S43" i="1" s="1"/>
  <c r="I43" i="1"/>
  <c r="Q37" i="1"/>
  <c r="S37" i="1" s="1"/>
  <c r="I37" i="1"/>
  <c r="Q31" i="1"/>
  <c r="S31" i="1" s="1"/>
  <c r="I31" i="1"/>
  <c r="Q25" i="1"/>
  <c r="S25" i="1" s="1"/>
  <c r="I25" i="1"/>
  <c r="Q19" i="1"/>
  <c r="S19" i="1" s="1"/>
  <c r="I19" i="1"/>
  <c r="Q13" i="1"/>
  <c r="S13" i="1" s="1"/>
  <c r="I13" i="1"/>
  <c r="Q7" i="1"/>
  <c r="S7" i="1" s="1"/>
  <c r="I7" i="1"/>
  <c r="I985" i="1"/>
  <c r="I973" i="1"/>
  <c r="J955" i="1"/>
  <c r="J937" i="1"/>
  <c r="J919" i="1"/>
  <c r="J901" i="1"/>
  <c r="J883" i="1"/>
  <c r="J865" i="1"/>
  <c r="J847" i="1"/>
  <c r="I829" i="1"/>
  <c r="J788" i="1"/>
  <c r="J744" i="1"/>
  <c r="J716" i="1"/>
  <c r="I686" i="1"/>
  <c r="J655" i="1"/>
  <c r="I625" i="1"/>
  <c r="K625" i="1" s="1"/>
  <c r="J594" i="1"/>
  <c r="I560" i="1"/>
  <c r="K560" i="1" s="1"/>
  <c r="J523" i="1"/>
  <c r="I465" i="1"/>
  <c r="K465" i="1" s="1"/>
  <c r="J387" i="1"/>
  <c r="J303" i="1"/>
  <c r="I216" i="1"/>
  <c r="I46" i="1"/>
  <c r="K46" i="1" s="1"/>
  <c r="R810" i="1"/>
  <c r="T810" i="1" s="1"/>
  <c r="U810" i="1" s="1"/>
  <c r="J810" i="1"/>
  <c r="R804" i="1"/>
  <c r="T804" i="1" s="1"/>
  <c r="J804" i="1"/>
  <c r="R798" i="1"/>
  <c r="T798" i="1" s="1"/>
  <c r="J798" i="1"/>
  <c r="R792" i="1"/>
  <c r="T792" i="1" s="1"/>
  <c r="J792" i="1"/>
  <c r="R786" i="1"/>
  <c r="T786" i="1" s="1"/>
  <c r="J786" i="1"/>
  <c r="R768" i="1"/>
  <c r="T768" i="1" s="1"/>
  <c r="U768" i="1" s="1"/>
  <c r="J768" i="1"/>
  <c r="R762" i="1"/>
  <c r="T762" i="1" s="1"/>
  <c r="J762" i="1"/>
  <c r="R756" i="1"/>
  <c r="T756" i="1" s="1"/>
  <c r="J756" i="1"/>
  <c r="R750" i="1"/>
  <c r="T750" i="1" s="1"/>
  <c r="J750" i="1"/>
  <c r="R738" i="1"/>
  <c r="T738" i="1" s="1"/>
  <c r="J738" i="1"/>
  <c r="R732" i="1"/>
  <c r="T732" i="1" s="1"/>
  <c r="J732" i="1"/>
  <c r="R720" i="1"/>
  <c r="T720" i="1" s="1"/>
  <c r="J720" i="1"/>
  <c r="R714" i="1"/>
  <c r="T714" i="1" s="1"/>
  <c r="J714" i="1"/>
  <c r="R702" i="1"/>
  <c r="T702" i="1" s="1"/>
  <c r="J702" i="1"/>
  <c r="R690" i="1"/>
  <c r="T690" i="1" s="1"/>
  <c r="J690" i="1"/>
  <c r="R684" i="1"/>
  <c r="T684" i="1" s="1"/>
  <c r="J684" i="1"/>
  <c r="R678" i="1"/>
  <c r="T678" i="1" s="1"/>
  <c r="J678" i="1"/>
  <c r="R672" i="1"/>
  <c r="T672" i="1" s="1"/>
  <c r="J672" i="1"/>
  <c r="R660" i="1"/>
  <c r="T660" i="1" s="1"/>
  <c r="J660" i="1"/>
  <c r="R648" i="1"/>
  <c r="T648" i="1" s="1"/>
  <c r="J648" i="1"/>
  <c r="R642" i="1"/>
  <c r="T642" i="1" s="1"/>
  <c r="J642" i="1"/>
  <c r="R630" i="1"/>
  <c r="T630" i="1" s="1"/>
  <c r="J630" i="1"/>
  <c r="R618" i="1"/>
  <c r="T618" i="1" s="1"/>
  <c r="J618" i="1"/>
  <c r="R612" i="1"/>
  <c r="T612" i="1" s="1"/>
  <c r="J612" i="1"/>
  <c r="R606" i="1"/>
  <c r="T606" i="1" s="1"/>
  <c r="J606" i="1"/>
  <c r="R600" i="1"/>
  <c r="T600" i="1" s="1"/>
  <c r="J600" i="1"/>
  <c r="R588" i="1"/>
  <c r="T588" i="1" s="1"/>
  <c r="J588" i="1"/>
  <c r="R576" i="1"/>
  <c r="T576" i="1" s="1"/>
  <c r="J576" i="1"/>
  <c r="R570" i="1"/>
  <c r="T570" i="1" s="1"/>
  <c r="J570" i="1"/>
  <c r="R564" i="1"/>
  <c r="T564" i="1" s="1"/>
  <c r="J564" i="1"/>
  <c r="R558" i="1"/>
  <c r="T558" i="1" s="1"/>
  <c r="J558" i="1"/>
  <c r="R552" i="1"/>
  <c r="T552" i="1" s="1"/>
  <c r="J552" i="1"/>
  <c r="R546" i="1"/>
  <c r="T546" i="1" s="1"/>
  <c r="J546" i="1"/>
  <c r="R540" i="1"/>
  <c r="T540" i="1" s="1"/>
  <c r="J540" i="1"/>
  <c r="R534" i="1"/>
  <c r="T534" i="1" s="1"/>
  <c r="J534" i="1"/>
  <c r="R528" i="1"/>
  <c r="T528" i="1" s="1"/>
  <c r="J528" i="1"/>
  <c r="R522" i="1"/>
  <c r="T522" i="1" s="1"/>
  <c r="J522" i="1"/>
  <c r="R516" i="1"/>
  <c r="T516" i="1" s="1"/>
  <c r="J516" i="1"/>
  <c r="R510" i="1"/>
  <c r="T510" i="1" s="1"/>
  <c r="J510" i="1"/>
  <c r="R504" i="1"/>
  <c r="T504" i="1" s="1"/>
  <c r="J504" i="1"/>
  <c r="R498" i="1"/>
  <c r="T498" i="1" s="1"/>
  <c r="J498" i="1"/>
  <c r="R492" i="1"/>
  <c r="T492" i="1" s="1"/>
  <c r="J492" i="1"/>
  <c r="R486" i="1"/>
  <c r="T486" i="1" s="1"/>
  <c r="J486" i="1"/>
  <c r="R480" i="1"/>
  <c r="T480" i="1" s="1"/>
  <c r="J480" i="1"/>
  <c r="R474" i="1"/>
  <c r="T474" i="1" s="1"/>
  <c r="J474" i="1"/>
  <c r="R468" i="1"/>
  <c r="T468" i="1" s="1"/>
  <c r="J468" i="1"/>
  <c r="R462" i="1"/>
  <c r="T462" i="1" s="1"/>
  <c r="J462" i="1"/>
  <c r="R456" i="1"/>
  <c r="T456" i="1" s="1"/>
  <c r="J456" i="1"/>
  <c r="R450" i="1"/>
  <c r="T450" i="1" s="1"/>
  <c r="J450" i="1"/>
  <c r="R444" i="1"/>
  <c r="T444" i="1" s="1"/>
  <c r="J444" i="1"/>
  <c r="R438" i="1"/>
  <c r="T438" i="1" s="1"/>
  <c r="J438" i="1"/>
  <c r="R432" i="1"/>
  <c r="T432" i="1" s="1"/>
  <c r="J432" i="1"/>
  <c r="R426" i="1"/>
  <c r="T426" i="1" s="1"/>
  <c r="J426" i="1"/>
  <c r="R420" i="1"/>
  <c r="T420" i="1" s="1"/>
  <c r="J420" i="1"/>
  <c r="R414" i="1"/>
  <c r="T414" i="1" s="1"/>
  <c r="U414" i="1" s="1"/>
  <c r="J414" i="1"/>
  <c r="R408" i="1"/>
  <c r="T408" i="1" s="1"/>
  <c r="J408" i="1"/>
  <c r="R402" i="1"/>
  <c r="T402" i="1" s="1"/>
  <c r="J402" i="1"/>
  <c r="R396" i="1"/>
  <c r="T396" i="1" s="1"/>
  <c r="J396" i="1"/>
  <c r="R390" i="1"/>
  <c r="T390" i="1" s="1"/>
  <c r="J390" i="1"/>
  <c r="R384" i="1"/>
  <c r="T384" i="1" s="1"/>
  <c r="U384" i="1" s="1"/>
  <c r="J384" i="1"/>
  <c r="R378" i="1"/>
  <c r="T378" i="1" s="1"/>
  <c r="J378" i="1"/>
  <c r="R372" i="1"/>
  <c r="T372" i="1" s="1"/>
  <c r="J372" i="1"/>
  <c r="R366" i="1"/>
  <c r="T366" i="1" s="1"/>
  <c r="J366" i="1"/>
  <c r="R360" i="1"/>
  <c r="T360" i="1" s="1"/>
  <c r="U360" i="1" s="1"/>
  <c r="J360" i="1"/>
  <c r="R354" i="1"/>
  <c r="T354" i="1" s="1"/>
  <c r="J354" i="1"/>
  <c r="R348" i="1"/>
  <c r="T348" i="1" s="1"/>
  <c r="J348" i="1"/>
  <c r="R342" i="1"/>
  <c r="T342" i="1" s="1"/>
  <c r="J342" i="1"/>
  <c r="R336" i="1"/>
  <c r="T336" i="1" s="1"/>
  <c r="J336" i="1"/>
  <c r="R330" i="1"/>
  <c r="T330" i="1" s="1"/>
  <c r="J330" i="1"/>
  <c r="R324" i="1"/>
  <c r="T324" i="1" s="1"/>
  <c r="J324" i="1"/>
  <c r="R318" i="1"/>
  <c r="T318" i="1" s="1"/>
  <c r="J318" i="1"/>
  <c r="R312" i="1"/>
  <c r="T312" i="1" s="1"/>
  <c r="J312" i="1"/>
  <c r="R306" i="1"/>
  <c r="T306" i="1" s="1"/>
  <c r="J306" i="1"/>
  <c r="R300" i="1"/>
  <c r="T300" i="1" s="1"/>
  <c r="U300" i="1" s="1"/>
  <c r="J300" i="1"/>
  <c r="R294" i="1"/>
  <c r="T294" i="1" s="1"/>
  <c r="J294" i="1"/>
  <c r="R288" i="1"/>
  <c r="T288" i="1" s="1"/>
  <c r="J288" i="1"/>
  <c r="R282" i="1"/>
  <c r="T282" i="1" s="1"/>
  <c r="J282" i="1"/>
  <c r="R276" i="1"/>
  <c r="T276" i="1" s="1"/>
  <c r="U276" i="1" s="1"/>
  <c r="J276" i="1"/>
  <c r="R270" i="1"/>
  <c r="T270" i="1" s="1"/>
  <c r="J270" i="1"/>
  <c r="R264" i="1"/>
  <c r="T264" i="1" s="1"/>
  <c r="J264" i="1"/>
  <c r="R258" i="1"/>
  <c r="T258" i="1" s="1"/>
  <c r="J258" i="1"/>
  <c r="R252" i="1"/>
  <c r="T252" i="1" s="1"/>
  <c r="J252" i="1"/>
  <c r="R246" i="1"/>
  <c r="T246" i="1" s="1"/>
  <c r="J246" i="1"/>
  <c r="R240" i="1"/>
  <c r="T240" i="1" s="1"/>
  <c r="U240" i="1" s="1"/>
  <c r="J240" i="1"/>
  <c r="R234" i="1"/>
  <c r="T234" i="1" s="1"/>
  <c r="J234" i="1"/>
  <c r="R228" i="1"/>
  <c r="T228" i="1" s="1"/>
  <c r="J228" i="1"/>
  <c r="R222" i="1"/>
  <c r="T222" i="1" s="1"/>
  <c r="J222" i="1"/>
  <c r="R216" i="1"/>
  <c r="T216" i="1" s="1"/>
  <c r="U216" i="1" s="1"/>
  <c r="J216" i="1"/>
  <c r="R210" i="1"/>
  <c r="T210" i="1" s="1"/>
  <c r="J210" i="1"/>
  <c r="R204" i="1"/>
  <c r="T204" i="1" s="1"/>
  <c r="J204" i="1"/>
  <c r="R198" i="1"/>
  <c r="T198" i="1" s="1"/>
  <c r="J198" i="1"/>
  <c r="R192" i="1"/>
  <c r="T192" i="1" s="1"/>
  <c r="J192" i="1"/>
  <c r="R186" i="1"/>
  <c r="T186" i="1" s="1"/>
  <c r="J186" i="1"/>
  <c r="R180" i="1"/>
  <c r="T180" i="1" s="1"/>
  <c r="J180" i="1"/>
  <c r="R174" i="1"/>
  <c r="T174" i="1" s="1"/>
  <c r="J174" i="1"/>
  <c r="R168" i="1"/>
  <c r="T168" i="1" s="1"/>
  <c r="J168" i="1"/>
  <c r="R162" i="1"/>
  <c r="T162" i="1" s="1"/>
  <c r="J162" i="1"/>
  <c r="R156" i="1"/>
  <c r="T156" i="1" s="1"/>
  <c r="U156" i="1" s="1"/>
  <c r="J156" i="1"/>
  <c r="R150" i="1"/>
  <c r="T150" i="1" s="1"/>
  <c r="J150" i="1"/>
  <c r="R144" i="1"/>
  <c r="T144" i="1" s="1"/>
  <c r="J144" i="1"/>
  <c r="R138" i="1"/>
  <c r="T138" i="1" s="1"/>
  <c r="J138" i="1"/>
  <c r="R132" i="1"/>
  <c r="T132" i="1" s="1"/>
  <c r="U132" i="1" s="1"/>
  <c r="J132" i="1"/>
  <c r="R126" i="1"/>
  <c r="T126" i="1" s="1"/>
  <c r="J126" i="1"/>
  <c r="R120" i="1"/>
  <c r="T120" i="1" s="1"/>
  <c r="J120" i="1"/>
  <c r="R114" i="1"/>
  <c r="T114" i="1" s="1"/>
  <c r="J114" i="1"/>
  <c r="R108" i="1"/>
  <c r="T108" i="1" s="1"/>
  <c r="J108" i="1"/>
  <c r="R102" i="1"/>
  <c r="T102" i="1" s="1"/>
  <c r="J102" i="1"/>
  <c r="R96" i="1"/>
  <c r="T96" i="1" s="1"/>
  <c r="U96" i="1" s="1"/>
  <c r="J96" i="1"/>
  <c r="R90" i="1"/>
  <c r="T90" i="1" s="1"/>
  <c r="J90" i="1"/>
  <c r="R84" i="1"/>
  <c r="T84" i="1" s="1"/>
  <c r="J84" i="1"/>
  <c r="R78" i="1"/>
  <c r="T78" i="1" s="1"/>
  <c r="J78" i="1"/>
  <c r="R72" i="1"/>
  <c r="T72" i="1" s="1"/>
  <c r="U72" i="1" s="1"/>
  <c r="J72" i="1"/>
  <c r="J996" i="1"/>
  <c r="J984" i="1"/>
  <c r="J972" i="1"/>
  <c r="I955" i="1"/>
  <c r="I937" i="1"/>
  <c r="I919" i="1"/>
  <c r="I901" i="1"/>
  <c r="I883" i="1"/>
  <c r="I865" i="1"/>
  <c r="I847" i="1"/>
  <c r="J828" i="1"/>
  <c r="I788" i="1"/>
  <c r="I744" i="1"/>
  <c r="I716" i="1"/>
  <c r="J685" i="1"/>
  <c r="I655" i="1"/>
  <c r="J624" i="1"/>
  <c r="J559" i="1"/>
  <c r="I523" i="1"/>
  <c r="I459" i="1"/>
  <c r="I387" i="1"/>
  <c r="I300" i="1"/>
  <c r="Q1002" i="1"/>
  <c r="S1002" i="1" s="1"/>
  <c r="U1002" i="1" s="1"/>
  <c r="I1002" i="1"/>
  <c r="Q996" i="1"/>
  <c r="S996" i="1" s="1"/>
  <c r="U996" i="1" s="1"/>
  <c r="I996" i="1"/>
  <c r="Q990" i="1"/>
  <c r="S990" i="1" s="1"/>
  <c r="U990" i="1" s="1"/>
  <c r="I990" i="1"/>
  <c r="Q984" i="1"/>
  <c r="S984" i="1" s="1"/>
  <c r="U984" i="1" s="1"/>
  <c r="I984" i="1"/>
  <c r="Q978" i="1"/>
  <c r="S978" i="1" s="1"/>
  <c r="U978" i="1" s="1"/>
  <c r="I978" i="1"/>
  <c r="Q972" i="1"/>
  <c r="S972" i="1" s="1"/>
  <c r="U972" i="1" s="1"/>
  <c r="I972" i="1"/>
  <c r="Q966" i="1"/>
  <c r="S966" i="1" s="1"/>
  <c r="U966" i="1" s="1"/>
  <c r="I966" i="1"/>
  <c r="Q960" i="1"/>
  <c r="S960" i="1" s="1"/>
  <c r="U960" i="1" s="1"/>
  <c r="I960" i="1"/>
  <c r="Q954" i="1"/>
  <c r="S954" i="1" s="1"/>
  <c r="U954" i="1" s="1"/>
  <c r="I954" i="1"/>
  <c r="Q948" i="1"/>
  <c r="S948" i="1" s="1"/>
  <c r="U948" i="1" s="1"/>
  <c r="I948" i="1"/>
  <c r="Q942" i="1"/>
  <c r="S942" i="1" s="1"/>
  <c r="U942" i="1" s="1"/>
  <c r="I942" i="1"/>
  <c r="K942" i="1" s="1"/>
  <c r="Q936" i="1"/>
  <c r="S936" i="1" s="1"/>
  <c r="U936" i="1" s="1"/>
  <c r="I936" i="1"/>
  <c r="Q930" i="1"/>
  <c r="S930" i="1" s="1"/>
  <c r="U930" i="1" s="1"/>
  <c r="I930" i="1"/>
  <c r="Q924" i="1"/>
  <c r="S924" i="1" s="1"/>
  <c r="U924" i="1" s="1"/>
  <c r="I924" i="1"/>
  <c r="Q918" i="1"/>
  <c r="S918" i="1" s="1"/>
  <c r="U918" i="1" s="1"/>
  <c r="I918" i="1"/>
  <c r="Q912" i="1"/>
  <c r="S912" i="1" s="1"/>
  <c r="U912" i="1" s="1"/>
  <c r="I912" i="1"/>
  <c r="Q906" i="1"/>
  <c r="S906" i="1" s="1"/>
  <c r="U906" i="1" s="1"/>
  <c r="I906" i="1"/>
  <c r="Q900" i="1"/>
  <c r="S900" i="1" s="1"/>
  <c r="U900" i="1" s="1"/>
  <c r="I900" i="1"/>
  <c r="Q894" i="1"/>
  <c r="S894" i="1" s="1"/>
  <c r="U894" i="1" s="1"/>
  <c r="I894" i="1"/>
  <c r="Q888" i="1"/>
  <c r="S888" i="1" s="1"/>
  <c r="U888" i="1" s="1"/>
  <c r="I888" i="1"/>
  <c r="Q882" i="1"/>
  <c r="S882" i="1" s="1"/>
  <c r="U882" i="1" s="1"/>
  <c r="I882" i="1"/>
  <c r="Q876" i="1"/>
  <c r="S876" i="1" s="1"/>
  <c r="U876" i="1" s="1"/>
  <c r="I876" i="1"/>
  <c r="Q870" i="1"/>
  <c r="S870" i="1" s="1"/>
  <c r="U870" i="1" s="1"/>
  <c r="I870" i="1"/>
  <c r="Q864" i="1"/>
  <c r="S864" i="1" s="1"/>
  <c r="U864" i="1" s="1"/>
  <c r="I864" i="1"/>
  <c r="Q858" i="1"/>
  <c r="S858" i="1" s="1"/>
  <c r="U858" i="1" s="1"/>
  <c r="I858" i="1"/>
  <c r="Q852" i="1"/>
  <c r="S852" i="1" s="1"/>
  <c r="U852" i="1" s="1"/>
  <c r="I852" i="1"/>
  <c r="Q846" i="1"/>
  <c r="S846" i="1" s="1"/>
  <c r="U846" i="1" s="1"/>
  <c r="I846" i="1"/>
  <c r="Q840" i="1"/>
  <c r="S840" i="1" s="1"/>
  <c r="U840" i="1" s="1"/>
  <c r="I840" i="1"/>
  <c r="Q834" i="1"/>
  <c r="S834" i="1" s="1"/>
  <c r="U834" i="1" s="1"/>
  <c r="I834" i="1"/>
  <c r="Q804" i="1"/>
  <c r="S804" i="1" s="1"/>
  <c r="I804" i="1"/>
  <c r="Q798" i="1"/>
  <c r="S798" i="1" s="1"/>
  <c r="I798" i="1"/>
  <c r="Q792" i="1"/>
  <c r="S792" i="1" s="1"/>
  <c r="I792" i="1"/>
  <c r="Q786" i="1"/>
  <c r="S786" i="1" s="1"/>
  <c r="I786" i="1"/>
  <c r="Q780" i="1"/>
  <c r="S780" i="1" s="1"/>
  <c r="U780" i="1" s="1"/>
  <c r="I780" i="1"/>
  <c r="Q762" i="1"/>
  <c r="S762" i="1" s="1"/>
  <c r="I762" i="1"/>
  <c r="Q756" i="1"/>
  <c r="S756" i="1" s="1"/>
  <c r="I756" i="1"/>
  <c r="Q750" i="1"/>
  <c r="S750" i="1" s="1"/>
  <c r="I750" i="1"/>
  <c r="Q738" i="1"/>
  <c r="S738" i="1" s="1"/>
  <c r="I738" i="1"/>
  <c r="Q732" i="1"/>
  <c r="S732" i="1" s="1"/>
  <c r="I732" i="1"/>
  <c r="Q720" i="1"/>
  <c r="S720" i="1" s="1"/>
  <c r="I720" i="1"/>
  <c r="Q714" i="1"/>
  <c r="S714" i="1" s="1"/>
  <c r="I714" i="1"/>
  <c r="Q708" i="1"/>
  <c r="S708" i="1" s="1"/>
  <c r="U708" i="1" s="1"/>
  <c r="I708" i="1"/>
  <c r="Q702" i="1"/>
  <c r="S702" i="1" s="1"/>
  <c r="I702" i="1"/>
  <c r="Q696" i="1"/>
  <c r="S696" i="1" s="1"/>
  <c r="U696" i="1" s="1"/>
  <c r="I696" i="1"/>
  <c r="Q690" i="1"/>
  <c r="S690" i="1" s="1"/>
  <c r="I690" i="1"/>
  <c r="K690" i="1" s="1"/>
  <c r="Q684" i="1"/>
  <c r="S684" i="1" s="1"/>
  <c r="I684" i="1"/>
  <c r="Q678" i="1"/>
  <c r="S678" i="1" s="1"/>
  <c r="I678" i="1"/>
  <c r="Q672" i="1"/>
  <c r="S672" i="1" s="1"/>
  <c r="I672" i="1"/>
  <c r="Q666" i="1"/>
  <c r="S666" i="1" s="1"/>
  <c r="U666" i="1" s="1"/>
  <c r="I666" i="1"/>
  <c r="Q660" i="1"/>
  <c r="S660" i="1" s="1"/>
  <c r="I660" i="1"/>
  <c r="Q654" i="1"/>
  <c r="S654" i="1" s="1"/>
  <c r="U654" i="1" s="1"/>
  <c r="I654" i="1"/>
  <c r="Q648" i="1"/>
  <c r="S648" i="1" s="1"/>
  <c r="I648" i="1"/>
  <c r="Q642" i="1"/>
  <c r="S642" i="1" s="1"/>
  <c r="I642" i="1"/>
  <c r="Q636" i="1"/>
  <c r="S636" i="1" s="1"/>
  <c r="U636" i="1" s="1"/>
  <c r="I636" i="1"/>
  <c r="Q630" i="1"/>
  <c r="S630" i="1" s="1"/>
  <c r="U630" i="1" s="1"/>
  <c r="I630" i="1"/>
  <c r="K630" i="1" s="1"/>
  <c r="Q624" i="1"/>
  <c r="S624" i="1" s="1"/>
  <c r="U624" i="1" s="1"/>
  <c r="I624" i="1"/>
  <c r="Q618" i="1"/>
  <c r="S618" i="1" s="1"/>
  <c r="I618" i="1"/>
  <c r="Q612" i="1"/>
  <c r="S612" i="1" s="1"/>
  <c r="I612" i="1"/>
  <c r="Q606" i="1"/>
  <c r="S606" i="1" s="1"/>
  <c r="I606" i="1"/>
  <c r="Q600" i="1"/>
  <c r="S600" i="1" s="1"/>
  <c r="I600" i="1"/>
  <c r="Q594" i="1"/>
  <c r="S594" i="1" s="1"/>
  <c r="U594" i="1" s="1"/>
  <c r="I594" i="1"/>
  <c r="Q588" i="1"/>
  <c r="S588" i="1" s="1"/>
  <c r="I588" i="1"/>
  <c r="Q582" i="1"/>
  <c r="S582" i="1" s="1"/>
  <c r="U582" i="1" s="1"/>
  <c r="I582" i="1"/>
  <c r="K582" i="1" s="1"/>
  <c r="Q576" i="1"/>
  <c r="S576" i="1" s="1"/>
  <c r="I576" i="1"/>
  <c r="Q570" i="1"/>
  <c r="S570" i="1" s="1"/>
  <c r="I570" i="1"/>
  <c r="Q564" i="1"/>
  <c r="S564" i="1" s="1"/>
  <c r="I564" i="1"/>
  <c r="Q558" i="1"/>
  <c r="S558" i="1" s="1"/>
  <c r="I558" i="1"/>
  <c r="Q552" i="1"/>
  <c r="S552" i="1" s="1"/>
  <c r="I552" i="1"/>
  <c r="Q546" i="1"/>
  <c r="S546" i="1" s="1"/>
  <c r="I546" i="1"/>
  <c r="K546" i="1" s="1"/>
  <c r="Q540" i="1"/>
  <c r="S540" i="1" s="1"/>
  <c r="I540" i="1"/>
  <c r="Q534" i="1"/>
  <c r="S534" i="1" s="1"/>
  <c r="I534" i="1"/>
  <c r="Q528" i="1"/>
  <c r="S528" i="1" s="1"/>
  <c r="I528" i="1"/>
  <c r="Q522" i="1"/>
  <c r="S522" i="1" s="1"/>
  <c r="I522" i="1"/>
  <c r="Q516" i="1"/>
  <c r="S516" i="1" s="1"/>
  <c r="I516" i="1"/>
  <c r="Q510" i="1"/>
  <c r="S510" i="1" s="1"/>
  <c r="I510" i="1"/>
  <c r="K510" i="1" s="1"/>
  <c r="Q504" i="1"/>
  <c r="S504" i="1" s="1"/>
  <c r="I504" i="1"/>
  <c r="Q498" i="1"/>
  <c r="S498" i="1" s="1"/>
  <c r="I498" i="1"/>
  <c r="Q492" i="1"/>
  <c r="S492" i="1" s="1"/>
  <c r="I492" i="1"/>
  <c r="Q486" i="1"/>
  <c r="S486" i="1" s="1"/>
  <c r="I486" i="1"/>
  <c r="Q480" i="1"/>
  <c r="S480" i="1" s="1"/>
  <c r="I480" i="1"/>
  <c r="Q474" i="1"/>
  <c r="S474" i="1" s="1"/>
  <c r="I474" i="1"/>
  <c r="K474" i="1" s="1"/>
  <c r="Q468" i="1"/>
  <c r="S468" i="1" s="1"/>
  <c r="I468" i="1"/>
  <c r="Q462" i="1"/>
  <c r="S462" i="1" s="1"/>
  <c r="I462" i="1"/>
  <c r="Q456" i="1"/>
  <c r="S456" i="1" s="1"/>
  <c r="I456" i="1"/>
  <c r="Q450" i="1"/>
  <c r="S450" i="1" s="1"/>
  <c r="I450" i="1"/>
  <c r="Q444" i="1"/>
  <c r="S444" i="1" s="1"/>
  <c r="I444" i="1"/>
  <c r="Q438" i="1"/>
  <c r="S438" i="1" s="1"/>
  <c r="I438" i="1"/>
  <c r="K438" i="1" s="1"/>
  <c r="Q432" i="1"/>
  <c r="S432" i="1" s="1"/>
  <c r="I432" i="1"/>
  <c r="Q426" i="1"/>
  <c r="S426" i="1" s="1"/>
  <c r="I426" i="1"/>
  <c r="Q420" i="1"/>
  <c r="S420" i="1" s="1"/>
  <c r="I420" i="1"/>
  <c r="Q408" i="1"/>
  <c r="S408" i="1" s="1"/>
  <c r="I408" i="1"/>
  <c r="Q402" i="1"/>
  <c r="S402" i="1" s="1"/>
  <c r="I402" i="1"/>
  <c r="Q396" i="1"/>
  <c r="S396" i="1" s="1"/>
  <c r="I396" i="1"/>
  <c r="Q390" i="1"/>
  <c r="S390" i="1" s="1"/>
  <c r="I390" i="1"/>
  <c r="Q378" i="1"/>
  <c r="S378" i="1" s="1"/>
  <c r="I378" i="1"/>
  <c r="Q372" i="1"/>
  <c r="S372" i="1" s="1"/>
  <c r="I372" i="1"/>
  <c r="Q366" i="1"/>
  <c r="S366" i="1" s="1"/>
  <c r="I366" i="1"/>
  <c r="Q354" i="1"/>
  <c r="S354" i="1" s="1"/>
  <c r="I354" i="1"/>
  <c r="K354" i="1" s="1"/>
  <c r="Q348" i="1"/>
  <c r="S348" i="1" s="1"/>
  <c r="U348" i="1" s="1"/>
  <c r="I348" i="1"/>
  <c r="K348" i="1" s="1"/>
  <c r="Q342" i="1"/>
  <c r="S342" i="1" s="1"/>
  <c r="U342" i="1" s="1"/>
  <c r="I342" i="1"/>
  <c r="K342" i="1" s="1"/>
  <c r="Q336" i="1"/>
  <c r="S336" i="1" s="1"/>
  <c r="U336" i="1" s="1"/>
  <c r="I336" i="1"/>
  <c r="K336" i="1" s="1"/>
  <c r="Q330" i="1"/>
  <c r="S330" i="1" s="1"/>
  <c r="U330" i="1" s="1"/>
  <c r="I330" i="1"/>
  <c r="K330" i="1" s="1"/>
  <c r="Q324" i="1"/>
  <c r="S324" i="1" s="1"/>
  <c r="U324" i="1" s="1"/>
  <c r="I324" i="1"/>
  <c r="K324" i="1" s="1"/>
  <c r="Q318" i="1"/>
  <c r="S318" i="1" s="1"/>
  <c r="U318" i="1" s="1"/>
  <c r="I318" i="1"/>
  <c r="K318" i="1" s="1"/>
  <c r="Q312" i="1"/>
  <c r="S312" i="1" s="1"/>
  <c r="U312" i="1" s="1"/>
  <c r="I312" i="1"/>
  <c r="K312" i="1" s="1"/>
  <c r="Q306" i="1"/>
  <c r="S306" i="1" s="1"/>
  <c r="U306" i="1" s="1"/>
  <c r="I306" i="1"/>
  <c r="K306" i="1" s="1"/>
  <c r="Q294" i="1"/>
  <c r="S294" i="1" s="1"/>
  <c r="I294" i="1"/>
  <c r="Q288" i="1"/>
  <c r="S288" i="1" s="1"/>
  <c r="I288" i="1"/>
  <c r="Q282" i="1"/>
  <c r="S282" i="1" s="1"/>
  <c r="I282" i="1"/>
  <c r="Q270" i="1"/>
  <c r="S270" i="1" s="1"/>
  <c r="I270" i="1"/>
  <c r="Q264" i="1"/>
  <c r="S264" i="1" s="1"/>
  <c r="I264" i="1"/>
  <c r="Q258" i="1"/>
  <c r="S258" i="1" s="1"/>
  <c r="I258" i="1"/>
  <c r="Q252" i="1"/>
  <c r="S252" i="1" s="1"/>
  <c r="I252" i="1"/>
  <c r="Q246" i="1"/>
  <c r="S246" i="1" s="1"/>
  <c r="I246" i="1"/>
  <c r="Q234" i="1"/>
  <c r="S234" i="1" s="1"/>
  <c r="I234" i="1"/>
  <c r="Q228" i="1"/>
  <c r="S228" i="1" s="1"/>
  <c r="I228" i="1"/>
  <c r="Q222" i="1"/>
  <c r="S222" i="1" s="1"/>
  <c r="I222" i="1"/>
  <c r="K222" i="1" s="1"/>
  <c r="Q210" i="1"/>
  <c r="S210" i="1" s="1"/>
  <c r="I210" i="1"/>
  <c r="Q204" i="1"/>
  <c r="S204" i="1" s="1"/>
  <c r="I204" i="1"/>
  <c r="Q198" i="1"/>
  <c r="S198" i="1" s="1"/>
  <c r="I198" i="1"/>
  <c r="Q192" i="1"/>
  <c r="S192" i="1" s="1"/>
  <c r="I192" i="1"/>
  <c r="Q186" i="1"/>
  <c r="S186" i="1" s="1"/>
  <c r="I186" i="1"/>
  <c r="Q180" i="1"/>
  <c r="S180" i="1" s="1"/>
  <c r="I180" i="1"/>
  <c r="Q174" i="1"/>
  <c r="S174" i="1" s="1"/>
  <c r="I174" i="1"/>
  <c r="Q168" i="1"/>
  <c r="S168" i="1" s="1"/>
  <c r="I168" i="1"/>
  <c r="Q162" i="1"/>
  <c r="S162" i="1" s="1"/>
  <c r="I162" i="1"/>
  <c r="Q150" i="1"/>
  <c r="S150" i="1" s="1"/>
  <c r="I150" i="1"/>
  <c r="Q144" i="1"/>
  <c r="S144" i="1" s="1"/>
  <c r="I144" i="1"/>
  <c r="Q138" i="1"/>
  <c r="S138" i="1" s="1"/>
  <c r="I138" i="1"/>
  <c r="Q126" i="1"/>
  <c r="S126" i="1" s="1"/>
  <c r="I126" i="1"/>
  <c r="K126" i="1" s="1"/>
  <c r="Q120" i="1"/>
  <c r="S120" i="1" s="1"/>
  <c r="U120" i="1" s="1"/>
  <c r="I120" i="1"/>
  <c r="K120" i="1" s="1"/>
  <c r="Q114" i="1"/>
  <c r="S114" i="1" s="1"/>
  <c r="U114" i="1" s="1"/>
  <c r="I114" i="1"/>
  <c r="K114" i="1" s="1"/>
  <c r="Q108" i="1"/>
  <c r="S108" i="1" s="1"/>
  <c r="U108" i="1" s="1"/>
  <c r="I108" i="1"/>
  <c r="K108" i="1" s="1"/>
  <c r="Q102" i="1"/>
  <c r="S102" i="1" s="1"/>
  <c r="U102" i="1" s="1"/>
  <c r="I102" i="1"/>
  <c r="K102" i="1" s="1"/>
  <c r="Q90" i="1"/>
  <c r="S90" i="1" s="1"/>
  <c r="I90" i="1"/>
  <c r="Q84" i="1"/>
  <c r="S84" i="1" s="1"/>
  <c r="I84" i="1"/>
  <c r="Q78" i="1"/>
  <c r="S78" i="1" s="1"/>
  <c r="I78" i="1"/>
  <c r="Q66" i="1"/>
  <c r="S66" i="1" s="1"/>
  <c r="I66" i="1"/>
  <c r="J968" i="1"/>
  <c r="J954" i="1"/>
  <c r="J936" i="1"/>
  <c r="J918" i="1"/>
  <c r="J900" i="1"/>
  <c r="J882" i="1"/>
  <c r="J864" i="1"/>
  <c r="J846" i="1"/>
  <c r="I828" i="1"/>
  <c r="J787" i="1"/>
  <c r="J765" i="1"/>
  <c r="J715" i="1"/>
  <c r="I685" i="1"/>
  <c r="J654" i="1"/>
  <c r="I591" i="1"/>
  <c r="I559" i="1"/>
  <c r="I519" i="1"/>
  <c r="J457" i="1"/>
  <c r="I384" i="1"/>
  <c r="R68" i="1"/>
  <c r="T68" i="1" s="1"/>
  <c r="J68" i="1"/>
  <c r="R62" i="1"/>
  <c r="T62" i="1" s="1"/>
  <c r="J62" i="1"/>
  <c r="R56" i="1"/>
  <c r="T56" i="1" s="1"/>
  <c r="J56" i="1"/>
  <c r="R50" i="1"/>
  <c r="T50" i="1" s="1"/>
  <c r="J50" i="1"/>
  <c r="R44" i="1"/>
  <c r="T44" i="1" s="1"/>
  <c r="J44" i="1"/>
  <c r="R38" i="1"/>
  <c r="T38" i="1" s="1"/>
  <c r="J38" i="1"/>
  <c r="R32" i="1"/>
  <c r="T32" i="1" s="1"/>
  <c r="J32" i="1"/>
  <c r="R26" i="1"/>
  <c r="T26" i="1" s="1"/>
  <c r="J26" i="1"/>
  <c r="R20" i="1"/>
  <c r="T20" i="1" s="1"/>
  <c r="J20" i="1"/>
  <c r="R14" i="1"/>
  <c r="T14" i="1" s="1"/>
  <c r="J14" i="1"/>
  <c r="R8" i="1"/>
  <c r="T8" i="1" s="1"/>
  <c r="J8" i="1"/>
  <c r="Q68" i="1"/>
  <c r="S68" i="1" s="1"/>
  <c r="I68" i="1"/>
  <c r="Q62" i="1"/>
  <c r="S62" i="1" s="1"/>
  <c r="I62" i="1"/>
  <c r="Q56" i="1"/>
  <c r="S56" i="1" s="1"/>
  <c r="I56" i="1"/>
  <c r="Q50" i="1"/>
  <c r="S50" i="1" s="1"/>
  <c r="I50" i="1"/>
  <c r="Q44" i="1"/>
  <c r="S44" i="1" s="1"/>
  <c r="I44" i="1"/>
  <c r="Q38" i="1"/>
  <c r="S38" i="1" s="1"/>
  <c r="I38" i="1"/>
  <c r="Q32" i="1"/>
  <c r="S32" i="1" s="1"/>
  <c r="I32" i="1"/>
  <c r="Q26" i="1"/>
  <c r="S26" i="1" s="1"/>
  <c r="I26" i="1"/>
  <c r="Q20" i="1"/>
  <c r="S20" i="1" s="1"/>
  <c r="I20" i="1"/>
  <c r="Q14" i="1"/>
  <c r="S14" i="1" s="1"/>
  <c r="I14" i="1"/>
  <c r="Q8" i="1"/>
  <c r="S8" i="1" s="1"/>
  <c r="I8" i="1"/>
  <c r="I60" i="1"/>
  <c r="R67" i="1"/>
  <c r="T67" i="1" s="1"/>
  <c r="J67" i="1"/>
  <c r="R61" i="1"/>
  <c r="T61" i="1" s="1"/>
  <c r="J61" i="1"/>
  <c r="R55" i="1"/>
  <c r="T55" i="1" s="1"/>
  <c r="J55" i="1"/>
  <c r="R49" i="1"/>
  <c r="T49" i="1" s="1"/>
  <c r="J49" i="1"/>
  <c r="R43" i="1"/>
  <c r="T43" i="1" s="1"/>
  <c r="J43" i="1"/>
  <c r="R37" i="1"/>
  <c r="T37" i="1" s="1"/>
  <c r="J37" i="1"/>
  <c r="R31" i="1"/>
  <c r="T31" i="1" s="1"/>
  <c r="J31" i="1"/>
  <c r="R25" i="1"/>
  <c r="T25" i="1" s="1"/>
  <c r="J25" i="1"/>
  <c r="R19" i="1"/>
  <c r="T19" i="1" s="1"/>
  <c r="J19" i="1"/>
  <c r="R13" i="1"/>
  <c r="T13" i="1" s="1"/>
  <c r="J13" i="1"/>
  <c r="R7" i="1"/>
  <c r="T7" i="1" s="1"/>
  <c r="J7" i="1"/>
  <c r="R66" i="1"/>
  <c r="T66" i="1" s="1"/>
  <c r="J66" i="1"/>
  <c r="R60" i="1"/>
  <c r="T60" i="1" s="1"/>
  <c r="U60" i="1" s="1"/>
  <c r="J60" i="1"/>
  <c r="R54" i="1"/>
  <c r="T54" i="1" s="1"/>
  <c r="J54" i="1"/>
  <c r="R48" i="1"/>
  <c r="T48" i="1" s="1"/>
  <c r="J48" i="1"/>
  <c r="R42" i="1"/>
  <c r="T42" i="1" s="1"/>
  <c r="J42" i="1"/>
  <c r="R36" i="1"/>
  <c r="T36" i="1" s="1"/>
  <c r="J36" i="1"/>
  <c r="R30" i="1"/>
  <c r="T30" i="1" s="1"/>
  <c r="J30" i="1"/>
  <c r="R24" i="1"/>
  <c r="T24" i="1" s="1"/>
  <c r="J24" i="1"/>
  <c r="R18" i="1"/>
  <c r="T18" i="1" s="1"/>
  <c r="J18" i="1"/>
  <c r="R12" i="1"/>
  <c r="T12" i="1" s="1"/>
  <c r="J12" i="1"/>
  <c r="R6" i="1"/>
  <c r="T6" i="1" s="1"/>
  <c r="J6" i="1"/>
  <c r="Q54" i="1"/>
  <c r="S54" i="1" s="1"/>
  <c r="I54" i="1"/>
  <c r="Q48" i="1"/>
  <c r="S48" i="1" s="1"/>
  <c r="I48" i="1"/>
  <c r="Q42" i="1"/>
  <c r="S42" i="1" s="1"/>
  <c r="I42" i="1"/>
  <c r="Q36" i="1"/>
  <c r="S36" i="1" s="1"/>
  <c r="I36" i="1"/>
  <c r="Q30" i="1"/>
  <c r="S30" i="1" s="1"/>
  <c r="I30" i="1"/>
  <c r="Q24" i="1"/>
  <c r="S24" i="1" s="1"/>
  <c r="I24" i="1"/>
  <c r="Q18" i="1"/>
  <c r="S18" i="1" s="1"/>
  <c r="I18" i="1"/>
  <c r="Q12" i="1"/>
  <c r="S12" i="1" s="1"/>
  <c r="I12" i="1"/>
  <c r="Q6" i="1"/>
  <c r="S6" i="1" s="1"/>
  <c r="I6" i="1"/>
  <c r="J5" i="1"/>
  <c r="I5" i="1"/>
  <c r="F1000" i="1"/>
  <c r="F970" i="1"/>
  <c r="F952" i="1"/>
  <c r="F922" i="1"/>
  <c r="F904" i="1"/>
  <c r="F874" i="1"/>
  <c r="F856" i="1"/>
  <c r="F826" i="1"/>
  <c r="F808" i="1"/>
  <c r="F796" i="1"/>
  <c r="F778" i="1"/>
  <c r="F760" i="1"/>
  <c r="F730" i="1"/>
  <c r="F712" i="1"/>
  <c r="F682" i="1"/>
  <c r="F634" i="1"/>
  <c r="F616" i="1"/>
  <c r="F586" i="1"/>
  <c r="F568" i="1"/>
  <c r="F538" i="1"/>
  <c r="F520" i="1"/>
  <c r="F490" i="1"/>
  <c r="F472" i="1"/>
  <c r="F424" i="1"/>
  <c r="F394" i="1"/>
  <c r="F376" i="1"/>
  <c r="F346" i="1"/>
  <c r="F280" i="1"/>
  <c r="F250" i="1"/>
  <c r="F208" i="1"/>
  <c r="F184" i="1"/>
  <c r="F154" i="1"/>
  <c r="F88" i="1"/>
  <c r="F58" i="1"/>
  <c r="F40" i="1"/>
  <c r="H154" i="1"/>
  <c r="H280" i="1"/>
  <c r="H616" i="1"/>
  <c r="H796" i="1"/>
  <c r="H490" i="1"/>
  <c r="H208" i="1"/>
  <c r="H778" i="1"/>
  <c r="H376" i="1"/>
  <c r="H760" i="1"/>
  <c r="H520" i="1"/>
  <c r="H682" i="1"/>
  <c r="H58" i="1"/>
  <c r="F997" i="1"/>
  <c r="G997" i="1"/>
  <c r="F337" i="1"/>
  <c r="G337" i="1"/>
  <c r="F517" i="1"/>
  <c r="G517" i="1"/>
  <c r="F277" i="1"/>
  <c r="G277" i="1"/>
  <c r="F949" i="1"/>
  <c r="G949" i="1"/>
  <c r="F613" i="1"/>
  <c r="G613" i="1"/>
  <c r="F328" i="1"/>
  <c r="H328" i="1"/>
  <c r="F232" i="1"/>
  <c r="H232" i="1"/>
  <c r="H634" i="1"/>
  <c r="H538" i="1"/>
  <c r="H472" i="1"/>
  <c r="H346" i="1"/>
  <c r="F999" i="1"/>
  <c r="H730" i="1"/>
  <c r="H88" i="1"/>
  <c r="F664" i="1"/>
  <c r="H664" i="1"/>
  <c r="F442" i="1"/>
  <c r="H442" i="1"/>
  <c r="F298" i="1"/>
  <c r="H298" i="1"/>
  <c r="H970" i="1"/>
  <c r="H922" i="1"/>
  <c r="H874" i="1"/>
  <c r="H826" i="1"/>
  <c r="H184" i="1"/>
  <c r="F543" i="1"/>
  <c r="G543" i="1"/>
  <c r="F333" i="1"/>
  <c r="H1000" i="1"/>
  <c r="H952" i="1"/>
  <c r="H904" i="1"/>
  <c r="H424" i="1"/>
  <c r="H250" i="1"/>
  <c r="F484" i="1"/>
  <c r="H484" i="1"/>
  <c r="F202" i="1"/>
  <c r="H202" i="1"/>
  <c r="F136" i="1"/>
  <c r="H136" i="1"/>
  <c r="F106" i="1"/>
  <c r="H106" i="1"/>
  <c r="H586" i="1"/>
  <c r="H856" i="1"/>
  <c r="H808" i="1"/>
  <c r="H712" i="1"/>
  <c r="G999" i="1"/>
  <c r="H40" i="1"/>
  <c r="F996" i="1"/>
  <c r="F960" i="1"/>
  <c r="F948" i="1"/>
  <c r="F900" i="1"/>
  <c r="F864" i="1"/>
  <c r="F816" i="1"/>
  <c r="F768" i="1"/>
  <c r="F756" i="1"/>
  <c r="F720" i="1"/>
  <c r="F708" i="1"/>
  <c r="F672" i="1"/>
  <c r="F660" i="1"/>
  <c r="F612" i="1"/>
  <c r="F516" i="1"/>
  <c r="F480" i="1"/>
  <c r="F468" i="1"/>
  <c r="F432" i="1"/>
  <c r="F384" i="1"/>
  <c r="F336" i="1"/>
  <c r="F324" i="1"/>
  <c r="F288" i="1"/>
  <c r="F228" i="1"/>
  <c r="F180" i="1"/>
  <c r="F132" i="1"/>
  <c r="F96" i="1"/>
  <c r="F549" i="1"/>
  <c r="F338" i="1"/>
  <c r="F278" i="1"/>
  <c r="F182" i="1"/>
  <c r="F134" i="1"/>
  <c r="F50" i="1"/>
  <c r="F437" i="1"/>
  <c r="F957" i="1"/>
  <c r="F861" i="1"/>
  <c r="F795" i="1"/>
  <c r="F759" i="1"/>
  <c r="F741" i="1"/>
  <c r="F723" i="1"/>
  <c r="F681" i="1"/>
  <c r="F663" i="1"/>
  <c r="F621" i="1"/>
  <c r="F597" i="1"/>
  <c r="F579" i="1"/>
  <c r="F567" i="1"/>
  <c r="F525" i="1"/>
  <c r="F513" i="1"/>
  <c r="F495" i="1"/>
  <c r="F459" i="1"/>
  <c r="F441" i="1"/>
  <c r="F417" i="1"/>
  <c r="F363" i="1"/>
  <c r="F339" i="1"/>
  <c r="F321" i="1"/>
  <c r="F303" i="1"/>
  <c r="F285" i="1"/>
  <c r="F255" i="1"/>
  <c r="F237" i="1"/>
  <c r="F219" i="1"/>
  <c r="F201" i="1"/>
  <c r="F159" i="1"/>
  <c r="F123" i="1"/>
  <c r="F75" i="1"/>
  <c r="F51" i="1"/>
  <c r="F27" i="1"/>
  <c r="F21" i="1"/>
  <c r="F386" i="1"/>
  <c r="F311" i="1"/>
  <c r="F855" i="1"/>
  <c r="F747" i="1"/>
  <c r="F717" i="1"/>
  <c r="F693" i="1"/>
  <c r="F675" i="1"/>
  <c r="F651" i="1"/>
  <c r="F627" i="1"/>
  <c r="F603" i="1"/>
  <c r="F585" i="1"/>
  <c r="F561" i="1"/>
  <c r="F501" i="1"/>
  <c r="F489" i="1"/>
  <c r="F471" i="1"/>
  <c r="F435" i="1"/>
  <c r="F411" i="1"/>
  <c r="F387" i="1"/>
  <c r="F327" i="1"/>
  <c r="F309" i="1"/>
  <c r="F267" i="1"/>
  <c r="F249" i="1"/>
  <c r="F231" i="1"/>
  <c r="F213" i="1"/>
  <c r="F177" i="1"/>
  <c r="F153" i="1"/>
  <c r="F135" i="1"/>
  <c r="F111" i="1"/>
  <c r="F81" i="1"/>
  <c r="F63" i="1"/>
  <c r="F817" i="1"/>
  <c r="F721" i="1"/>
  <c r="F661" i="1"/>
  <c r="F433" i="1"/>
  <c r="F229" i="1"/>
  <c r="F951" i="1"/>
  <c r="F801" i="1"/>
  <c r="F771" i="1"/>
  <c r="F753" i="1"/>
  <c r="F735" i="1"/>
  <c r="F705" i="1"/>
  <c r="F669" i="1"/>
  <c r="F645" i="1"/>
  <c r="F615" i="1"/>
  <c r="F591" i="1"/>
  <c r="F573" i="1"/>
  <c r="F531" i="1"/>
  <c r="F507" i="1"/>
  <c r="F483" i="1"/>
  <c r="F465" i="1"/>
  <c r="F423" i="1"/>
  <c r="F399" i="1"/>
  <c r="F381" i="1"/>
  <c r="F357" i="1"/>
  <c r="F315" i="1"/>
  <c r="F279" i="1"/>
  <c r="F243" i="1"/>
  <c r="F225" i="1"/>
  <c r="F207" i="1"/>
  <c r="F147" i="1"/>
  <c r="F129" i="1"/>
  <c r="F105" i="1"/>
  <c r="F69" i="1"/>
  <c r="F33" i="1"/>
  <c r="F5" i="1"/>
  <c r="F939" i="1"/>
  <c r="F897" i="1"/>
  <c r="F807" i="1"/>
  <c r="F783" i="1"/>
  <c r="F777" i="1"/>
  <c r="F699" i="1"/>
  <c r="F537" i="1"/>
  <c r="F405" i="1"/>
  <c r="F261" i="1"/>
  <c r="F183" i="1"/>
  <c r="F99" i="1"/>
  <c r="F754" i="1"/>
  <c r="F718" i="1"/>
  <c r="F436" i="1"/>
  <c r="F434" i="1"/>
  <c r="F310" i="1"/>
  <c r="F958" i="1"/>
  <c r="F352" i="1"/>
  <c r="F901" i="1"/>
  <c r="F565" i="1"/>
  <c r="F469" i="1"/>
  <c r="F289" i="1"/>
  <c r="F85" i="1"/>
  <c r="F166" i="1"/>
  <c r="F976" i="1"/>
  <c r="F928" i="1"/>
  <c r="F868" i="1"/>
  <c r="F724" i="1"/>
  <c r="F676" i="1"/>
  <c r="F652" i="1"/>
  <c r="F622" i="1"/>
  <c r="F574" i="1"/>
  <c r="F544" i="1"/>
  <c r="F508" i="1"/>
  <c r="F454" i="1"/>
  <c r="F418" i="1"/>
  <c r="F370" i="1"/>
  <c r="F178" i="1"/>
  <c r="F130" i="1"/>
  <c r="F70" i="1"/>
  <c r="F46" i="1"/>
  <c r="F927" i="1"/>
  <c r="F885" i="1"/>
  <c r="F831" i="1"/>
  <c r="F729" i="1"/>
  <c r="F657" i="1"/>
  <c r="F519" i="1"/>
  <c r="F447" i="1"/>
  <c r="F375" i="1"/>
  <c r="F351" i="1"/>
  <c r="F291" i="1"/>
  <c r="F273" i="1"/>
  <c r="F189" i="1"/>
  <c r="F165" i="1"/>
  <c r="F117" i="1"/>
  <c r="F93" i="1"/>
  <c r="F39" i="1"/>
  <c r="F15" i="1"/>
  <c r="F988" i="1"/>
  <c r="F934" i="1"/>
  <c r="F886" i="1"/>
  <c r="F862" i="1"/>
  <c r="F820" i="1"/>
  <c r="F748" i="1"/>
  <c r="F694" i="1"/>
  <c r="F658" i="1"/>
  <c r="F592" i="1"/>
  <c r="F514" i="1"/>
  <c r="F412" i="1"/>
  <c r="F382" i="1"/>
  <c r="F304" i="1"/>
  <c r="F238" i="1"/>
  <c r="F214" i="1"/>
  <c r="F172" i="1"/>
  <c r="F100" i="1"/>
  <c r="F76" i="1"/>
  <c r="F28" i="1"/>
  <c r="F181" i="1"/>
  <c r="F49" i="1"/>
  <c r="F912" i="1"/>
  <c r="F84" i="1"/>
  <c r="F48" i="1"/>
  <c r="F994" i="1"/>
  <c r="F898" i="1"/>
  <c r="F850" i="1"/>
  <c r="F832" i="1"/>
  <c r="F448" i="1"/>
  <c r="F406" i="1"/>
  <c r="F316" i="1"/>
  <c r="F921" i="1"/>
  <c r="F819" i="1"/>
  <c r="F639" i="1"/>
  <c r="F555" i="1"/>
  <c r="F477" i="1"/>
  <c r="F453" i="1"/>
  <c r="F393" i="1"/>
  <c r="F369" i="1"/>
  <c r="F345" i="1"/>
  <c r="F297" i="1"/>
  <c r="F195" i="1"/>
  <c r="F171" i="1"/>
  <c r="F141" i="1"/>
  <c r="F87" i="1"/>
  <c r="F57" i="1"/>
  <c r="F45" i="1"/>
  <c r="F9" i="1"/>
  <c r="F963" i="1"/>
  <c r="F933" i="1"/>
  <c r="F891" i="1"/>
  <c r="F825" i="1"/>
  <c r="F765" i="1"/>
  <c r="F711" i="1"/>
  <c r="F687" i="1"/>
  <c r="F633" i="1"/>
  <c r="F609" i="1"/>
  <c r="F429" i="1"/>
  <c r="F769" i="1"/>
  <c r="F1001" i="1"/>
  <c r="F995" i="1"/>
  <c r="F989" i="1"/>
  <c r="F983" i="1"/>
  <c r="F977" i="1"/>
  <c r="F971" i="1"/>
  <c r="F965" i="1"/>
  <c r="F959" i="1"/>
  <c r="F953" i="1"/>
  <c r="F947" i="1"/>
  <c r="F941" i="1"/>
  <c r="F935" i="1"/>
  <c r="F929" i="1"/>
  <c r="F923" i="1"/>
  <c r="F917" i="1"/>
  <c r="F911" i="1"/>
  <c r="F905" i="1"/>
  <c r="F899" i="1"/>
  <c r="F893" i="1"/>
  <c r="F887" i="1"/>
  <c r="F881" i="1"/>
  <c r="F875" i="1"/>
  <c r="F869" i="1"/>
  <c r="F863" i="1"/>
  <c r="F857" i="1"/>
  <c r="F851" i="1"/>
  <c r="F845" i="1"/>
  <c r="F839" i="1"/>
  <c r="F833" i="1"/>
  <c r="F827" i="1"/>
  <c r="F821" i="1"/>
  <c r="F815" i="1"/>
  <c r="F809" i="1"/>
  <c r="F803" i="1"/>
  <c r="F797" i="1"/>
  <c r="F791" i="1"/>
  <c r="F785" i="1"/>
  <c r="F779" i="1"/>
  <c r="F773" i="1"/>
  <c r="F767" i="1"/>
  <c r="F761" i="1"/>
  <c r="F755" i="1"/>
  <c r="F749" i="1"/>
  <c r="F743" i="1"/>
  <c r="F737" i="1"/>
  <c r="F731" i="1"/>
  <c r="F725" i="1"/>
  <c r="F719" i="1"/>
  <c r="F713" i="1"/>
  <c r="F707" i="1"/>
  <c r="F701" i="1"/>
  <c r="F353" i="1"/>
  <c r="F695" i="1"/>
  <c r="F689" i="1"/>
  <c r="F683" i="1"/>
  <c r="F677" i="1"/>
  <c r="F671" i="1"/>
  <c r="F665" i="1"/>
  <c r="F659" i="1"/>
  <c r="F653" i="1"/>
  <c r="F647" i="1"/>
  <c r="F641" i="1"/>
  <c r="F635" i="1"/>
  <c r="F629" i="1"/>
  <c r="F623" i="1"/>
  <c r="F617" i="1"/>
  <c r="F611" i="1"/>
  <c r="F605" i="1"/>
  <c r="F599" i="1"/>
  <c r="F593" i="1"/>
  <c r="F587" i="1"/>
  <c r="F581" i="1"/>
  <c r="F575" i="1"/>
  <c r="F569" i="1"/>
  <c r="F563" i="1"/>
  <c r="F557" i="1"/>
  <c r="F551" i="1"/>
  <c r="F545" i="1"/>
  <c r="F539" i="1"/>
  <c r="F533" i="1"/>
  <c r="F527" i="1"/>
  <c r="F521" i="1"/>
  <c r="F515" i="1"/>
  <c r="F509" i="1"/>
  <c r="F503" i="1"/>
  <c r="F497" i="1"/>
  <c r="F491" i="1"/>
  <c r="F485" i="1"/>
  <c r="F479" i="1"/>
  <c r="F473" i="1"/>
  <c r="F467" i="1"/>
  <c r="F461" i="1"/>
  <c r="F455" i="1"/>
  <c r="F449" i="1"/>
  <c r="F443" i="1"/>
  <c r="F431" i="1"/>
  <c r="F425" i="1"/>
  <c r="F419" i="1"/>
  <c r="F413" i="1"/>
  <c r="F407" i="1"/>
  <c r="F401" i="1"/>
  <c r="F395" i="1"/>
  <c r="F389" i="1"/>
  <c r="F383" i="1"/>
  <c r="F377" i="1"/>
  <c r="F371" i="1"/>
  <c r="F365" i="1"/>
  <c r="F359" i="1"/>
  <c r="F347" i="1"/>
  <c r="F341" i="1"/>
  <c r="F335" i="1"/>
  <c r="F329" i="1"/>
  <c r="F323" i="1"/>
  <c r="F317" i="1"/>
  <c r="F305" i="1"/>
  <c r="F299" i="1"/>
  <c r="F293" i="1"/>
  <c r="F287" i="1"/>
  <c r="F275" i="1"/>
  <c r="F269" i="1"/>
  <c r="F239" i="1"/>
  <c r="F209" i="1"/>
  <c r="F197" i="1"/>
  <c r="F179" i="1"/>
  <c r="F173" i="1"/>
  <c r="F161" i="1"/>
  <c r="F143" i="1"/>
  <c r="F131" i="1"/>
  <c r="F101" i="1"/>
  <c r="F95" i="1"/>
  <c r="F71" i="1"/>
  <c r="F53" i="1"/>
  <c r="F47" i="1"/>
  <c r="F35" i="1"/>
  <c r="F29" i="1"/>
  <c r="F281" i="1"/>
  <c r="F263" i="1"/>
  <c r="F257" i="1"/>
  <c r="F251" i="1"/>
  <c r="F245" i="1"/>
  <c r="F233" i="1"/>
  <c r="F227" i="1"/>
  <c r="F221" i="1"/>
  <c r="F215" i="1"/>
  <c r="F203" i="1"/>
  <c r="F191" i="1"/>
  <c r="F185" i="1"/>
  <c r="F167" i="1"/>
  <c r="F155" i="1"/>
  <c r="F149" i="1"/>
  <c r="F137" i="1"/>
  <c r="F125" i="1"/>
  <c r="F119" i="1"/>
  <c r="F113" i="1"/>
  <c r="F107" i="1"/>
  <c r="F89" i="1"/>
  <c r="F83" i="1"/>
  <c r="F77" i="1"/>
  <c r="F65" i="1"/>
  <c r="F59" i="1"/>
  <c r="F41" i="1"/>
  <c r="F23" i="1"/>
  <c r="F17" i="1"/>
  <c r="F11" i="1"/>
  <c r="F964" i="1"/>
  <c r="F940" i="1"/>
  <c r="F910" i="1"/>
  <c r="F892" i="1"/>
  <c r="F880" i="1"/>
  <c r="F844" i="1"/>
  <c r="F814" i="1"/>
  <c r="F784" i="1"/>
  <c r="F772" i="1"/>
  <c r="F736" i="1"/>
  <c r="F706" i="1"/>
  <c r="F670" i="1"/>
  <c r="F640" i="1"/>
  <c r="F628" i="1"/>
  <c r="F610" i="1"/>
  <c r="F598" i="1"/>
  <c r="F580" i="1"/>
  <c r="F556" i="1"/>
  <c r="F532" i="1"/>
  <c r="F502" i="1"/>
  <c r="F496" i="1"/>
  <c r="F460" i="1"/>
  <c r="F430" i="1"/>
  <c r="F358" i="1"/>
  <c r="F340" i="1"/>
  <c r="F274" i="1"/>
  <c r="F262" i="1"/>
  <c r="F226" i="1"/>
  <c r="F190" i="1"/>
  <c r="F160" i="1"/>
  <c r="F148" i="1"/>
  <c r="F118" i="1"/>
  <c r="F94" i="1"/>
  <c r="F34" i="1"/>
  <c r="F10" i="1"/>
  <c r="F993" i="1"/>
  <c r="F987" i="1"/>
  <c r="F981" i="1"/>
  <c r="F975" i="1"/>
  <c r="F969" i="1"/>
  <c r="F945" i="1"/>
  <c r="F915" i="1"/>
  <c r="F909" i="1"/>
  <c r="F903" i="1"/>
  <c r="F879" i="1"/>
  <c r="F873" i="1"/>
  <c r="F867" i="1"/>
  <c r="F849" i="1"/>
  <c r="F843" i="1"/>
  <c r="F837" i="1"/>
  <c r="F813" i="1"/>
  <c r="F789" i="1"/>
  <c r="F982" i="1"/>
  <c r="F946" i="1"/>
  <c r="F916" i="1"/>
  <c r="F838" i="1"/>
  <c r="F802" i="1"/>
  <c r="F790" i="1"/>
  <c r="F766" i="1"/>
  <c r="F742" i="1"/>
  <c r="F700" i="1"/>
  <c r="F688" i="1"/>
  <c r="F646" i="1"/>
  <c r="F604" i="1"/>
  <c r="F562" i="1"/>
  <c r="F550" i="1"/>
  <c r="F526" i="1"/>
  <c r="F478" i="1"/>
  <c r="F466" i="1"/>
  <c r="F400" i="1"/>
  <c r="F388" i="1"/>
  <c r="F364" i="1"/>
  <c r="F334" i="1"/>
  <c r="F322" i="1"/>
  <c r="F292" i="1"/>
  <c r="F286" i="1"/>
  <c r="F268" i="1"/>
  <c r="F256" i="1"/>
  <c r="F244" i="1"/>
  <c r="F220" i="1"/>
  <c r="F196" i="1"/>
  <c r="F142" i="1"/>
  <c r="F124" i="1"/>
  <c r="F112" i="1"/>
  <c r="F82" i="1"/>
  <c r="F64" i="1"/>
  <c r="F52" i="1"/>
  <c r="F22" i="1"/>
  <c r="F16" i="1"/>
  <c r="F1004" i="1"/>
  <c r="F992" i="1"/>
  <c r="F980" i="1"/>
  <c r="F968" i="1"/>
  <c r="F956" i="1"/>
  <c r="F944" i="1"/>
  <c r="F932" i="1"/>
  <c r="F920" i="1"/>
  <c r="F902" i="1"/>
  <c r="F890" i="1"/>
  <c r="F878" i="1"/>
  <c r="F872" i="1"/>
  <c r="F860" i="1"/>
  <c r="F842" i="1"/>
  <c r="F830" i="1"/>
  <c r="F818" i="1"/>
  <c r="F812" i="1"/>
  <c r="F800" i="1"/>
  <c r="F788" i="1"/>
  <c r="F776" i="1"/>
  <c r="F764" i="1"/>
  <c r="F752" i="1"/>
  <c r="F740" i="1"/>
  <c r="F728" i="1"/>
  <c r="F710" i="1"/>
  <c r="F704" i="1"/>
  <c r="F698" i="1"/>
  <c r="F692" i="1"/>
  <c r="F686" i="1"/>
  <c r="F680" i="1"/>
  <c r="F913" i="1"/>
  <c r="F865" i="1"/>
  <c r="F853" i="1"/>
  <c r="F805" i="1"/>
  <c r="F757" i="1"/>
  <c r="F709" i="1"/>
  <c r="F625" i="1"/>
  <c r="F577" i="1"/>
  <c r="F529" i="1"/>
  <c r="F481" i="1"/>
  <c r="F421" i="1"/>
  <c r="F373" i="1"/>
  <c r="F325" i="1"/>
  <c r="F241" i="1"/>
  <c r="F193" i="1"/>
  <c r="F145" i="1"/>
  <c r="F133" i="1"/>
  <c r="F37" i="1"/>
  <c r="F998" i="1"/>
  <c r="F986" i="1"/>
  <c r="F974" i="1"/>
  <c r="F962" i="1"/>
  <c r="F950" i="1"/>
  <c r="F938" i="1"/>
  <c r="F926" i="1"/>
  <c r="F914" i="1"/>
  <c r="F908" i="1"/>
  <c r="F896" i="1"/>
  <c r="F884" i="1"/>
  <c r="F866" i="1"/>
  <c r="F854" i="1"/>
  <c r="F848" i="1"/>
  <c r="F836" i="1"/>
  <c r="F824" i="1"/>
  <c r="F806" i="1"/>
  <c r="F794" i="1"/>
  <c r="F782" i="1"/>
  <c r="F770" i="1"/>
  <c r="F758" i="1"/>
  <c r="F746" i="1"/>
  <c r="F734" i="1"/>
  <c r="F722" i="1"/>
  <c r="F716" i="1"/>
  <c r="F674" i="1"/>
  <c r="F804" i="1"/>
  <c r="F624" i="1"/>
  <c r="F576" i="1"/>
  <c r="F528" i="1"/>
  <c r="F420" i="1"/>
  <c r="F372" i="1"/>
  <c r="F240" i="1"/>
  <c r="F192" i="1"/>
  <c r="F144" i="1"/>
  <c r="F36" i="1"/>
  <c r="F668" i="1"/>
  <c r="F662" i="1"/>
  <c r="F656" i="1"/>
  <c r="F650" i="1"/>
  <c r="F644" i="1"/>
  <c r="F638" i="1"/>
  <c r="F632" i="1"/>
  <c r="F626" i="1"/>
  <c r="F620" i="1"/>
  <c r="F614" i="1"/>
  <c r="F608" i="1"/>
  <c r="F602" i="1"/>
  <c r="F596" i="1"/>
  <c r="F590" i="1"/>
  <c r="F584" i="1"/>
  <c r="F578" i="1"/>
  <c r="F572" i="1"/>
  <c r="F566" i="1"/>
  <c r="F560" i="1"/>
  <c r="F554" i="1"/>
  <c r="F548" i="1"/>
  <c r="F542" i="1"/>
  <c r="F536" i="1"/>
  <c r="F530" i="1"/>
  <c r="F524" i="1"/>
  <c r="F518" i="1"/>
  <c r="F512" i="1"/>
  <c r="F506" i="1"/>
  <c r="F500" i="1"/>
  <c r="F494" i="1"/>
  <c r="F488" i="1"/>
  <c r="F482" i="1"/>
  <c r="F476" i="1"/>
  <c r="F470" i="1"/>
  <c r="F464" i="1"/>
  <c r="F458" i="1"/>
  <c r="F422" i="1"/>
  <c r="F374" i="1"/>
  <c r="F326" i="1"/>
  <c r="F290" i="1"/>
  <c r="F242" i="1"/>
  <c r="F194" i="1"/>
  <c r="F146" i="1"/>
  <c r="F98" i="1"/>
  <c r="F86" i="1"/>
  <c r="F38" i="1"/>
  <c r="F452" i="1"/>
  <c r="F410" i="1"/>
  <c r="F362" i="1"/>
  <c r="F314" i="1"/>
  <c r="F266" i="1"/>
  <c r="F230" i="1"/>
  <c r="F206" i="1"/>
  <c r="F158" i="1"/>
  <c r="F128" i="1"/>
  <c r="F110" i="1"/>
  <c r="F80" i="1"/>
  <c r="F62" i="1"/>
  <c r="F32" i="1"/>
  <c r="F8" i="1"/>
  <c r="F428" i="1"/>
  <c r="F404" i="1"/>
  <c r="F380" i="1"/>
  <c r="F356" i="1"/>
  <c r="F332" i="1"/>
  <c r="F308" i="1"/>
  <c r="F284" i="1"/>
  <c r="F260" i="1"/>
  <c r="F236" i="1"/>
  <c r="F212" i="1"/>
  <c r="F170" i="1"/>
  <c r="F122" i="1"/>
  <c r="F56" i="1"/>
  <c r="F14" i="1"/>
  <c r="F1003" i="1"/>
  <c r="F991" i="1"/>
  <c r="F985" i="1"/>
  <c r="F973" i="1"/>
  <c r="F961" i="1"/>
  <c r="F937" i="1"/>
  <c r="F925" i="1"/>
  <c r="F907" i="1"/>
  <c r="F889" i="1"/>
  <c r="F877" i="1"/>
  <c r="F847" i="1"/>
  <c r="F835" i="1"/>
  <c r="F823" i="1"/>
  <c r="F799" i="1"/>
  <c r="F787" i="1"/>
  <c r="F775" i="1"/>
  <c r="F751" i="1"/>
  <c r="F739" i="1"/>
  <c r="F733" i="1"/>
  <c r="F697" i="1"/>
  <c r="F685" i="1"/>
  <c r="F673" i="1"/>
  <c r="F655" i="1"/>
  <c r="F643" i="1"/>
  <c r="F631" i="1"/>
  <c r="F601" i="1"/>
  <c r="F589" i="1"/>
  <c r="F571" i="1"/>
  <c r="F553" i="1"/>
  <c r="F541" i="1"/>
  <c r="F511" i="1"/>
  <c r="F499" i="1"/>
  <c r="F487" i="1"/>
  <c r="F457" i="1"/>
  <c r="F445" i="1"/>
  <c r="F427" i="1"/>
  <c r="F415" i="1"/>
  <c r="F409" i="1"/>
  <c r="F397" i="1"/>
  <c r="F385" i="1"/>
  <c r="F361" i="1"/>
  <c r="F349" i="1"/>
  <c r="F331" i="1"/>
  <c r="F313" i="1"/>
  <c r="F301" i="1"/>
  <c r="F283" i="1"/>
  <c r="F265" i="1"/>
  <c r="F253" i="1"/>
  <c r="F235" i="1"/>
  <c r="F217" i="1"/>
  <c r="F199" i="1"/>
  <c r="F187" i="1"/>
  <c r="F175" i="1"/>
  <c r="F163" i="1"/>
  <c r="F151" i="1"/>
  <c r="F127" i="1"/>
  <c r="F121" i="1"/>
  <c r="F109" i="1"/>
  <c r="F97" i="1"/>
  <c r="F79" i="1"/>
  <c r="F67" i="1"/>
  <c r="F55" i="1"/>
  <c r="F43" i="1"/>
  <c r="F25" i="1"/>
  <c r="F7" i="1"/>
  <c r="F446" i="1"/>
  <c r="F416" i="1"/>
  <c r="F392" i="1"/>
  <c r="F350" i="1"/>
  <c r="F302" i="1"/>
  <c r="F272" i="1"/>
  <c r="F248" i="1"/>
  <c r="F224" i="1"/>
  <c r="F200" i="1"/>
  <c r="F176" i="1"/>
  <c r="F152" i="1"/>
  <c r="F116" i="1"/>
  <c r="F92" i="1"/>
  <c r="F68" i="1"/>
  <c r="F44" i="1"/>
  <c r="F20" i="1"/>
  <c r="F440" i="1"/>
  <c r="F398" i="1"/>
  <c r="F368" i="1"/>
  <c r="F344" i="1"/>
  <c r="F320" i="1"/>
  <c r="F296" i="1"/>
  <c r="F254" i="1"/>
  <c r="F218" i="1"/>
  <c r="F188" i="1"/>
  <c r="F164" i="1"/>
  <c r="F140" i="1"/>
  <c r="F104" i="1"/>
  <c r="F74" i="1"/>
  <c r="F26" i="1"/>
  <c r="F979" i="1"/>
  <c r="F967" i="1"/>
  <c r="F955" i="1"/>
  <c r="F943" i="1"/>
  <c r="F931" i="1"/>
  <c r="F919" i="1"/>
  <c r="F895" i="1"/>
  <c r="F883" i="1"/>
  <c r="F871" i="1"/>
  <c r="F859" i="1"/>
  <c r="F841" i="1"/>
  <c r="F829" i="1"/>
  <c r="F811" i="1"/>
  <c r="F793" i="1"/>
  <c r="F781" i="1"/>
  <c r="F763" i="1"/>
  <c r="F745" i="1"/>
  <c r="F727" i="1"/>
  <c r="F715" i="1"/>
  <c r="F703" i="1"/>
  <c r="F691" i="1"/>
  <c r="F679" i="1"/>
  <c r="F667" i="1"/>
  <c r="F649" i="1"/>
  <c r="F637" i="1"/>
  <c r="F619" i="1"/>
  <c r="F607" i="1"/>
  <c r="F595" i="1"/>
  <c r="F583" i="1"/>
  <c r="F559" i="1"/>
  <c r="F547" i="1"/>
  <c r="F535" i="1"/>
  <c r="F523" i="1"/>
  <c r="F505" i="1"/>
  <c r="F493" i="1"/>
  <c r="F475" i="1"/>
  <c r="F463" i="1"/>
  <c r="F451" i="1"/>
  <c r="F439" i="1"/>
  <c r="F403" i="1"/>
  <c r="F391" i="1"/>
  <c r="F379" i="1"/>
  <c r="F367" i="1"/>
  <c r="F355" i="1"/>
  <c r="F343" i="1"/>
  <c r="F319" i="1"/>
  <c r="F307" i="1"/>
  <c r="F295" i="1"/>
  <c r="F271" i="1"/>
  <c r="F259" i="1"/>
  <c r="F247" i="1"/>
  <c r="F223" i="1"/>
  <c r="F211" i="1"/>
  <c r="F205" i="1"/>
  <c r="F169" i="1"/>
  <c r="F157" i="1"/>
  <c r="F139" i="1"/>
  <c r="F115" i="1"/>
  <c r="F103" i="1"/>
  <c r="F91" i="1"/>
  <c r="F73" i="1"/>
  <c r="F61" i="1"/>
  <c r="F31" i="1"/>
  <c r="F19" i="1"/>
  <c r="F13" i="1"/>
  <c r="F1002" i="1"/>
  <c r="F990" i="1"/>
  <c r="F984" i="1"/>
  <c r="F978" i="1"/>
  <c r="F972" i="1"/>
  <c r="F966" i="1"/>
  <c r="F954" i="1"/>
  <c r="F942" i="1"/>
  <c r="F936" i="1"/>
  <c r="F930" i="1"/>
  <c r="F924" i="1"/>
  <c r="F918" i="1"/>
  <c r="F906" i="1"/>
  <c r="F894" i="1"/>
  <c r="F888" i="1"/>
  <c r="F882" i="1"/>
  <c r="F876" i="1"/>
  <c r="F870" i="1"/>
  <c r="F858" i="1"/>
  <c r="F852" i="1"/>
  <c r="F846" i="1"/>
  <c r="F840" i="1"/>
  <c r="F834" i="1"/>
  <c r="F828" i="1"/>
  <c r="F822" i="1"/>
  <c r="F810" i="1"/>
  <c r="F798" i="1"/>
  <c r="F792" i="1"/>
  <c r="F786" i="1"/>
  <c r="F780" i="1"/>
  <c r="F774" i="1"/>
  <c r="F762" i="1"/>
  <c r="F750" i="1"/>
  <c r="F744" i="1"/>
  <c r="F738" i="1"/>
  <c r="F732" i="1"/>
  <c r="F726" i="1"/>
  <c r="F714" i="1"/>
  <c r="F702" i="1"/>
  <c r="F696" i="1"/>
  <c r="F690" i="1"/>
  <c r="F684" i="1"/>
  <c r="F678" i="1"/>
  <c r="F666" i="1"/>
  <c r="F654" i="1"/>
  <c r="F648" i="1"/>
  <c r="F564" i="1"/>
  <c r="F276" i="1"/>
  <c r="F642" i="1"/>
  <c r="F636" i="1"/>
  <c r="F630" i="1"/>
  <c r="F618" i="1"/>
  <c r="F606" i="1"/>
  <c r="F600" i="1"/>
  <c r="F594" i="1"/>
  <c r="F588" i="1"/>
  <c r="F582" i="1"/>
  <c r="F570" i="1"/>
  <c r="F558" i="1"/>
  <c r="F552" i="1"/>
  <c r="F546" i="1"/>
  <c r="F540" i="1"/>
  <c r="F534" i="1"/>
  <c r="F522" i="1"/>
  <c r="F510" i="1"/>
  <c r="F504" i="1"/>
  <c r="F498" i="1"/>
  <c r="F492" i="1"/>
  <c r="F486" i="1"/>
  <c r="F474" i="1"/>
  <c r="F462" i="1"/>
  <c r="F456" i="1"/>
  <c r="F450" i="1"/>
  <c r="F444" i="1"/>
  <c r="F438" i="1"/>
  <c r="F426" i="1"/>
  <c r="F414" i="1"/>
  <c r="F408" i="1"/>
  <c r="F402" i="1"/>
  <c r="F396" i="1"/>
  <c r="F390" i="1"/>
  <c r="F378" i="1"/>
  <c r="F366" i="1"/>
  <c r="F360" i="1"/>
  <c r="F354" i="1"/>
  <c r="F348" i="1"/>
  <c r="F342" i="1"/>
  <c r="F330" i="1"/>
  <c r="F318" i="1"/>
  <c r="F312" i="1"/>
  <c r="F306" i="1"/>
  <c r="F300" i="1"/>
  <c r="F294" i="1"/>
  <c r="F282" i="1"/>
  <c r="F270" i="1"/>
  <c r="F264" i="1"/>
  <c r="F258" i="1"/>
  <c r="F252" i="1"/>
  <c r="F246" i="1"/>
  <c r="F234" i="1"/>
  <c r="F222" i="1"/>
  <c r="F216" i="1"/>
  <c r="F210" i="1"/>
  <c r="F204" i="1"/>
  <c r="F198" i="1"/>
  <c r="F186" i="1"/>
  <c r="F174" i="1"/>
  <c r="F168" i="1"/>
  <c r="F162" i="1"/>
  <c r="F156" i="1"/>
  <c r="F150" i="1"/>
  <c r="F138" i="1"/>
  <c r="F126" i="1"/>
  <c r="F120" i="1"/>
  <c r="F114" i="1"/>
  <c r="F108" i="1"/>
  <c r="F102" i="1"/>
  <c r="F90" i="1"/>
  <c r="F78" i="1"/>
  <c r="F72" i="1"/>
  <c r="F60" i="1"/>
  <c r="F24" i="1"/>
  <c r="F12" i="1"/>
  <c r="F54" i="1"/>
  <c r="F42" i="1"/>
  <c r="F18" i="1"/>
  <c r="F6" i="1"/>
  <c r="F66" i="1"/>
  <c r="F30" i="1"/>
  <c r="U828" i="1"/>
  <c r="U816" i="1"/>
  <c r="U744" i="1"/>
  <c r="U851" i="1"/>
  <c r="U275" i="1"/>
  <c r="U985" i="1"/>
  <c r="U973" i="1"/>
  <c r="U961" i="1"/>
  <c r="U937" i="1"/>
  <c r="U925" i="1"/>
  <c r="U913" i="1"/>
  <c r="U901" i="1"/>
  <c r="U889" i="1"/>
  <c r="U877" i="1"/>
  <c r="U865" i="1"/>
  <c r="U853" i="1"/>
  <c r="U841" i="1"/>
  <c r="U781" i="1"/>
  <c r="U697" i="1"/>
  <c r="U685" i="1"/>
  <c r="U625" i="1"/>
  <c r="U437" i="1"/>
  <c r="U436" i="1"/>
  <c r="U795" i="1"/>
  <c r="U759" i="1"/>
  <c r="U483" i="1"/>
  <c r="U387" i="1"/>
  <c r="U734" i="1"/>
  <c r="U998" i="1"/>
  <c r="U986" i="1"/>
  <c r="U974" i="1"/>
  <c r="U686" i="1"/>
  <c r="U674" i="1"/>
  <c r="U614" i="1"/>
  <c r="U602" i="1"/>
  <c r="U822" i="1"/>
  <c r="U774" i="1"/>
  <c r="U726" i="1"/>
  <c r="U465" i="1"/>
  <c r="U1004" i="1"/>
  <c r="U992" i="1"/>
  <c r="U980" i="1"/>
  <c r="U968" i="1"/>
  <c r="U788" i="1"/>
  <c r="U752" i="1"/>
  <c r="U716" i="1"/>
  <c r="U644" i="1"/>
  <c r="U572" i="1"/>
  <c r="U560" i="1"/>
  <c r="U548" i="1"/>
  <c r="U536" i="1"/>
  <c r="U1003" i="1"/>
  <c r="U991" i="1"/>
  <c r="U979" i="1"/>
  <c r="U967" i="1"/>
  <c r="U955" i="1"/>
  <c r="U943" i="1"/>
  <c r="U931" i="1"/>
  <c r="U919" i="1"/>
  <c r="U907" i="1"/>
  <c r="U895" i="1"/>
  <c r="U883" i="1"/>
  <c r="U859" i="1"/>
  <c r="U847" i="1"/>
  <c r="U835" i="1"/>
  <c r="U751" i="1"/>
  <c r="U655" i="1"/>
  <c r="U583" i="1"/>
  <c r="U571" i="1"/>
  <c r="U559" i="1"/>
  <c r="U547" i="1"/>
  <c r="U535" i="1"/>
  <c r="U523" i="1"/>
  <c r="U359" i="1"/>
  <c r="U191" i="1"/>
  <c r="U802" i="1"/>
  <c r="U871" i="1"/>
  <c r="U727" i="1"/>
  <c r="U829" i="1"/>
  <c r="U5" i="1"/>
  <c r="K990" i="1" l="1"/>
  <c r="U126" i="1"/>
  <c r="K840" i="1"/>
  <c r="K948" i="1"/>
  <c r="K995" i="1"/>
  <c r="U731" i="1"/>
  <c r="U329" i="1"/>
  <c r="U431" i="1"/>
  <c r="U971" i="1"/>
  <c r="K925" i="1"/>
  <c r="U975" i="1"/>
  <c r="K258" i="1"/>
  <c r="K919" i="1"/>
  <c r="U315" i="1"/>
  <c r="U489" i="1"/>
  <c r="K640" i="1"/>
  <c r="K189" i="1"/>
  <c r="K597" i="1"/>
  <c r="U160" i="1"/>
  <c r="U93" i="1"/>
  <c r="U309" i="1"/>
  <c r="U477" i="1"/>
  <c r="K686" i="1"/>
  <c r="K131" i="1"/>
  <c r="K713" i="1"/>
  <c r="K959" i="1"/>
  <c r="K910" i="1"/>
  <c r="K295" i="1"/>
  <c r="K331" i="1"/>
  <c r="K481" i="1"/>
  <c r="K663" i="1"/>
  <c r="K485" i="1"/>
  <c r="K304" i="1"/>
  <c r="U754" i="1"/>
  <c r="K358" i="1"/>
  <c r="K658" i="1"/>
  <c r="K309" i="1"/>
  <c r="K477" i="1"/>
  <c r="K84" i="1"/>
  <c r="U898" i="1"/>
  <c r="K87" i="1"/>
  <c r="K471" i="1"/>
  <c r="K513" i="1"/>
  <c r="K657" i="1"/>
  <c r="K937" i="1"/>
  <c r="U651" i="1"/>
  <c r="U507" i="1"/>
  <c r="K648" i="1"/>
  <c r="U321" i="1"/>
  <c r="K315" i="1"/>
  <c r="K489" i="1"/>
  <c r="K6" i="1"/>
  <c r="K42" i="1"/>
  <c r="K264" i="1"/>
  <c r="K715" i="1"/>
  <c r="U501" i="1"/>
  <c r="K81" i="1"/>
  <c r="K651" i="1"/>
  <c r="U87" i="1"/>
  <c r="U471" i="1"/>
  <c r="U513" i="1"/>
  <c r="U657" i="1"/>
  <c r="K501" i="1"/>
  <c r="K814" i="1"/>
  <c r="K443" i="1"/>
  <c r="R15" i="1"/>
  <c r="T15" i="1" s="1"/>
  <c r="U15" i="1" s="1"/>
  <c r="J15" i="1"/>
  <c r="K15" i="1" s="1"/>
  <c r="K36" i="1"/>
  <c r="K174" i="1"/>
  <c r="K210" i="1"/>
  <c r="K390" i="1"/>
  <c r="K432" i="1"/>
  <c r="K468" i="1"/>
  <c r="K504" i="1"/>
  <c r="K540" i="1"/>
  <c r="K576" i="1"/>
  <c r="K684" i="1"/>
  <c r="K780" i="1"/>
  <c r="K984" i="1"/>
  <c r="K37" i="1"/>
  <c r="K944" i="1"/>
  <c r="K629" i="1"/>
  <c r="K645" i="1"/>
  <c r="K507" i="1"/>
  <c r="K786" i="1"/>
  <c r="U333" i="1"/>
  <c r="K173" i="1"/>
  <c r="K437" i="1"/>
  <c r="K138" i="1"/>
  <c r="K618" i="1"/>
  <c r="K732" i="1"/>
  <c r="K918" i="1"/>
  <c r="K751" i="1"/>
  <c r="K578" i="1"/>
  <c r="K740" i="1"/>
  <c r="K822" i="1"/>
  <c r="K668" i="1"/>
  <c r="K601" i="1"/>
  <c r="K709" i="1"/>
  <c r="K147" i="1"/>
  <c r="K447" i="1"/>
  <c r="K369" i="1"/>
  <c r="K843" i="1"/>
  <c r="K987" i="1"/>
  <c r="K748" i="1"/>
  <c r="K191" i="1"/>
  <c r="K521" i="1"/>
  <c r="K227" i="1"/>
  <c r="K172" i="1"/>
  <c r="K807" i="1"/>
  <c r="K915" i="1"/>
  <c r="K29" i="1"/>
  <c r="K763" i="1"/>
  <c r="K111" i="1"/>
  <c r="K743" i="1"/>
  <c r="K411" i="1"/>
  <c r="K879" i="1"/>
  <c r="K951" i="1"/>
  <c r="K965" i="1"/>
  <c r="K636" i="1"/>
  <c r="K811" i="1"/>
  <c r="K779" i="1"/>
  <c r="K180" i="1"/>
  <c r="K396" i="1"/>
  <c r="K79" i="1"/>
  <c r="K115" i="1"/>
  <c r="K151" i="1"/>
  <c r="K187" i="1"/>
  <c r="K223" i="1"/>
  <c r="K259" i="1"/>
  <c r="K745" i="1"/>
  <c r="U722" i="1"/>
  <c r="K982" i="1"/>
  <c r="U28" i="1"/>
  <c r="K340" i="1"/>
  <c r="K924" i="1"/>
  <c r="K12" i="1"/>
  <c r="K48" i="1"/>
  <c r="K228" i="1"/>
  <c r="K444" i="1"/>
  <c r="K480" i="1"/>
  <c r="K516" i="1"/>
  <c r="K552" i="1"/>
  <c r="K659" i="1"/>
  <c r="K466" i="1"/>
  <c r="K95" i="1"/>
  <c r="K652" i="1"/>
  <c r="K654" i="1"/>
  <c r="K954" i="1"/>
  <c r="K7" i="1"/>
  <c r="K43" i="1"/>
  <c r="K998" i="1"/>
  <c r="U585" i="1"/>
  <c r="K701" i="1"/>
  <c r="K519" i="1"/>
  <c r="K225" i="1"/>
  <c r="K555" i="1"/>
  <c r="K699" i="1"/>
  <c r="K310" i="1"/>
  <c r="K401" i="1"/>
  <c r="K967" i="1"/>
  <c r="K717" i="1"/>
  <c r="K85" i="1"/>
  <c r="K121" i="1"/>
  <c r="K157" i="1"/>
  <c r="K193" i="1"/>
  <c r="K229" i="1"/>
  <c r="K265" i="1"/>
  <c r="U953" i="1"/>
  <c r="K491" i="1"/>
  <c r="K80" i="1"/>
  <c r="K116" i="1"/>
  <c r="K152" i="1"/>
  <c r="K188" i="1"/>
  <c r="K224" i="1"/>
  <c r="K260" i="1"/>
  <c r="K296" i="1"/>
  <c r="K332" i="1"/>
  <c r="K368" i="1"/>
  <c r="K404" i="1"/>
  <c r="K440" i="1"/>
  <c r="K476" i="1"/>
  <c r="K512" i="1"/>
  <c r="K830" i="1"/>
  <c r="U115" i="1"/>
  <c r="U151" i="1"/>
  <c r="U187" i="1"/>
  <c r="U259" i="1"/>
  <c r="K566" i="1"/>
  <c r="K626" i="1"/>
  <c r="K680" i="1"/>
  <c r="K728" i="1"/>
  <c r="K980" i="1"/>
  <c r="K86" i="1"/>
  <c r="K122" i="1"/>
  <c r="K158" i="1"/>
  <c r="K194" i="1"/>
  <c r="K230" i="1"/>
  <c r="K446" i="1"/>
  <c r="K482" i="1"/>
  <c r="K518" i="1"/>
  <c r="K800" i="1"/>
  <c r="K181" i="1"/>
  <c r="K217" i="1"/>
  <c r="K73" i="1"/>
  <c r="K145" i="1"/>
  <c r="K253" i="1"/>
  <c r="K508" i="1"/>
  <c r="K639" i="1"/>
  <c r="K237" i="1"/>
  <c r="K567" i="1"/>
  <c r="K27" i="1"/>
  <c r="K63" i="1"/>
  <c r="K279" i="1"/>
  <c r="K612" i="1"/>
  <c r="K876" i="1"/>
  <c r="K912" i="1"/>
  <c r="K226" i="1"/>
  <c r="K928" i="1"/>
  <c r="K365" i="1"/>
  <c r="K186" i="1"/>
  <c r="K402" i="1"/>
  <c r="K588" i="1"/>
  <c r="K195" i="1"/>
  <c r="K711" i="1"/>
  <c r="K784" i="1"/>
  <c r="K734" i="1"/>
  <c r="K531" i="1"/>
  <c r="K389" i="1"/>
  <c r="K107" i="1"/>
  <c r="K150" i="1"/>
  <c r="K750" i="1"/>
  <c r="K798" i="1"/>
  <c r="K820" i="1"/>
  <c r="K251" i="1"/>
  <c r="K622" i="1"/>
  <c r="K821" i="1"/>
  <c r="K628" i="1"/>
  <c r="U401" i="1"/>
  <c r="K898" i="1"/>
  <c r="K377" i="1"/>
  <c r="U551" i="1"/>
  <c r="K643" i="1"/>
  <c r="K216" i="1"/>
  <c r="K74" i="1"/>
  <c r="K110" i="1"/>
  <c r="K146" i="1"/>
  <c r="K182" i="1"/>
  <c r="K218" i="1"/>
  <c r="K254" i="1"/>
  <c r="K290" i="1"/>
  <c r="K326" i="1"/>
  <c r="K362" i="1"/>
  <c r="K398" i="1"/>
  <c r="K434" i="1"/>
  <c r="K470" i="1"/>
  <c r="K506" i="1"/>
  <c r="K776" i="1"/>
  <c r="K824" i="1"/>
  <c r="K9" i="1"/>
  <c r="K45" i="1"/>
  <c r="K261" i="1"/>
  <c r="K297" i="1"/>
  <c r="K166" i="1"/>
  <c r="K527" i="1"/>
  <c r="K623" i="1"/>
  <c r="K245" i="1"/>
  <c r="K881" i="1"/>
  <c r="K89" i="1"/>
  <c r="K144" i="1"/>
  <c r="K738" i="1"/>
  <c r="K792" i="1"/>
  <c r="K888" i="1"/>
  <c r="K829" i="1"/>
  <c r="K13" i="1"/>
  <c r="K49" i="1"/>
  <c r="K787" i="1"/>
  <c r="U963" i="1"/>
  <c r="K436" i="1"/>
  <c r="K160" i="1"/>
  <c r="K244" i="1"/>
  <c r="K742" i="1"/>
  <c r="U850" i="1"/>
  <c r="K287" i="1"/>
  <c r="K299" i="1"/>
  <c r="K857" i="1"/>
  <c r="K852" i="1"/>
  <c r="K996" i="1"/>
  <c r="K316" i="1"/>
  <c r="K293" i="1"/>
  <c r="K994" i="1"/>
  <c r="K674" i="1"/>
  <c r="K727" i="1"/>
  <c r="K483" i="1"/>
  <c r="K21" i="1"/>
  <c r="K57" i="1"/>
  <c r="K5" i="1"/>
  <c r="U763" i="1"/>
  <c r="K667" i="1"/>
  <c r="K895" i="1"/>
  <c r="K747" i="1"/>
  <c r="K823" i="1"/>
  <c r="K705" i="1"/>
  <c r="K782" i="1"/>
  <c r="K10" i="1"/>
  <c r="K838" i="1"/>
  <c r="K772" i="1"/>
  <c r="K877" i="1"/>
  <c r="K958" i="1"/>
  <c r="K112" i="1"/>
  <c r="K47" i="1"/>
  <c r="K449" i="1"/>
  <c r="K101" i="1"/>
  <c r="K366" i="1"/>
  <c r="K273" i="1"/>
  <c r="K525" i="1"/>
  <c r="K669" i="1"/>
  <c r="K221" i="1"/>
  <c r="K183" i="1"/>
  <c r="K859" i="1"/>
  <c r="U354" i="1"/>
  <c r="U508" i="1"/>
  <c r="U338" i="1"/>
  <c r="K955" i="1"/>
  <c r="K379" i="1"/>
  <c r="K451" i="1"/>
  <c r="K661" i="1"/>
  <c r="K960" i="1"/>
  <c r="K493" i="1"/>
  <c r="K632" i="1"/>
  <c r="K127" i="1"/>
  <c r="K199" i="1"/>
  <c r="K235" i="1"/>
  <c r="U756" i="1"/>
  <c r="U804" i="1"/>
  <c r="K571" i="1"/>
  <c r="K109" i="1"/>
  <c r="K655" i="1"/>
  <c r="K343" i="1"/>
  <c r="K415" i="1"/>
  <c r="K541" i="1"/>
  <c r="K307" i="1"/>
  <c r="K91" i="1"/>
  <c r="K163" i="1"/>
  <c r="K271" i="1"/>
  <c r="K93" i="1"/>
  <c r="U372" i="1"/>
  <c r="U600" i="1"/>
  <c r="K759" i="1"/>
  <c r="U94" i="1"/>
  <c r="K274" i="1"/>
  <c r="K906" i="1"/>
  <c r="K902" i="1"/>
  <c r="U995" i="1"/>
  <c r="U665" i="1"/>
  <c r="K129" i="1"/>
  <c r="K345" i="1"/>
  <c r="K429" i="1"/>
  <c r="K16" i="1"/>
  <c r="K118" i="1"/>
  <c r="K190" i="1"/>
  <c r="K143" i="1"/>
  <c r="K322" i="1"/>
  <c r="K916" i="1"/>
  <c r="K708" i="1"/>
  <c r="K233" i="1"/>
  <c r="K865" i="1"/>
  <c r="K171" i="1"/>
  <c r="K393" i="1"/>
  <c r="K621" i="1"/>
  <c r="K729" i="1"/>
  <c r="K777" i="1"/>
  <c r="K825" i="1"/>
  <c r="K861" i="1"/>
  <c r="K897" i="1"/>
  <c r="K933" i="1"/>
  <c r="K969" i="1"/>
  <c r="K598" i="1"/>
  <c r="K413" i="1"/>
  <c r="K604" i="1"/>
  <c r="K653" i="1"/>
  <c r="K697" i="1"/>
  <c r="U101" i="1"/>
  <c r="K795" i="1"/>
  <c r="K816" i="1"/>
  <c r="K913" i="1"/>
  <c r="K78" i="1"/>
  <c r="K294" i="1"/>
  <c r="K642" i="1"/>
  <c r="K395" i="1"/>
  <c r="K901" i="1"/>
  <c r="K608" i="1"/>
  <c r="K662" i="1"/>
  <c r="K213" i="1"/>
  <c r="K935" i="1"/>
  <c r="K720" i="1"/>
  <c r="K973" i="1"/>
  <c r="U451" i="1"/>
  <c r="K974" i="1"/>
  <c r="U206" i="1"/>
  <c r="U314" i="1"/>
  <c r="U494" i="1"/>
  <c r="U33" i="1"/>
  <c r="U249" i="1"/>
  <c r="K503" i="1"/>
  <c r="K448" i="1"/>
  <c r="K292" i="1"/>
  <c r="K209" i="1"/>
  <c r="U148" i="1"/>
  <c r="U455" i="1"/>
  <c r="U761" i="1"/>
  <c r="U719" i="1"/>
  <c r="K841" i="1"/>
  <c r="K32" i="1"/>
  <c r="K68" i="1"/>
  <c r="K384" i="1"/>
  <c r="U612" i="1"/>
  <c r="K985" i="1"/>
  <c r="U601" i="1"/>
  <c r="K956" i="1"/>
  <c r="K726" i="1"/>
  <c r="K986" i="1"/>
  <c r="K104" i="1"/>
  <c r="K140" i="1"/>
  <c r="K176" i="1"/>
  <c r="K212" i="1"/>
  <c r="K248" i="1"/>
  <c r="K284" i="1"/>
  <c r="K320" i="1"/>
  <c r="K356" i="1"/>
  <c r="K392" i="1"/>
  <c r="K428" i="1"/>
  <c r="K464" i="1"/>
  <c r="K500" i="1"/>
  <c r="K554" i="1"/>
  <c r="K722" i="1"/>
  <c r="K770" i="1"/>
  <c r="K818" i="1"/>
  <c r="K633" i="1"/>
  <c r="K39" i="1"/>
  <c r="K75" i="1"/>
  <c r="K219" i="1"/>
  <c r="K255" i="1"/>
  <c r="K291" i="1"/>
  <c r="K327" i="1"/>
  <c r="K363" i="1"/>
  <c r="K405" i="1"/>
  <c r="K549" i="1"/>
  <c r="K585" i="1"/>
  <c r="K693" i="1"/>
  <c r="K801" i="1"/>
  <c r="K837" i="1"/>
  <c r="K873" i="1"/>
  <c r="K909" i="1"/>
  <c r="K945" i="1"/>
  <c r="K981" i="1"/>
  <c r="K962" i="1"/>
  <c r="K34" i="1"/>
  <c r="U814" i="1"/>
  <c r="U443" i="1"/>
  <c r="K412" i="1"/>
  <c r="K976" i="1"/>
  <c r="U448" i="1"/>
  <c r="K77" i="1"/>
  <c r="K257" i="1"/>
  <c r="U863" i="1"/>
  <c r="K754" i="1"/>
  <c r="K167" i="1"/>
  <c r="K587" i="1"/>
  <c r="K887" i="1"/>
  <c r="K706" i="1"/>
  <c r="K155" i="1"/>
  <c r="K425" i="1"/>
  <c r="K845" i="1"/>
  <c r="K580" i="1"/>
  <c r="K59" i="1"/>
  <c r="K725" i="1"/>
  <c r="K983" i="1"/>
  <c r="K539" i="1"/>
  <c r="K761" i="1"/>
  <c r="K979" i="1"/>
  <c r="K547" i="1"/>
  <c r="K591" i="1"/>
  <c r="K51" i="1"/>
  <c r="K159" i="1"/>
  <c r="K231" i="1"/>
  <c r="K267" i="1"/>
  <c r="K561" i="1"/>
  <c r="K178" i="1"/>
  <c r="K329" i="1"/>
  <c r="K275" i="1"/>
  <c r="K431" i="1"/>
  <c r="K971" i="1"/>
  <c r="K594" i="1"/>
  <c r="U178" i="1"/>
  <c r="K288" i="1"/>
  <c r="K637" i="1"/>
  <c r="K691" i="1"/>
  <c r="K799" i="1"/>
  <c r="K347" i="1"/>
  <c r="K370" i="1"/>
  <c r="K364" i="1"/>
  <c r="K964" i="1"/>
  <c r="K56" i="1"/>
  <c r="K135" i="1"/>
  <c r="K351" i="1"/>
  <c r="K435" i="1"/>
  <c r="K64" i="1"/>
  <c r="K185" i="1"/>
  <c r="K252" i="1"/>
  <c r="K870" i="1"/>
  <c r="K883" i="1"/>
  <c r="K289" i="1"/>
  <c r="K325" i="1"/>
  <c r="K367" i="1"/>
  <c r="K403" i="1"/>
  <c r="K439" i="1"/>
  <c r="K475" i="1"/>
  <c r="K511" i="1"/>
  <c r="K589" i="1"/>
  <c r="K703" i="1"/>
  <c r="K757" i="1"/>
  <c r="K805" i="1"/>
  <c r="K665" i="1"/>
  <c r="K917" i="1"/>
  <c r="K941" i="1"/>
  <c r="K862" i="1"/>
  <c r="K614" i="1"/>
  <c r="K802" i="1"/>
  <c r="K992" i="1"/>
  <c r="K20" i="1"/>
  <c r="K23" i="1"/>
  <c r="K26" i="1"/>
  <c r="K62" i="1"/>
  <c r="K828" i="1"/>
  <c r="K523" i="1"/>
  <c r="K105" i="1"/>
  <c r="K141" i="1"/>
  <c r="K177" i="1"/>
  <c r="K357" i="1"/>
  <c r="K399" i="1"/>
  <c r="K441" i="1"/>
  <c r="K627" i="1"/>
  <c r="K741" i="1"/>
  <c r="K783" i="1"/>
  <c r="K831" i="1"/>
  <c r="K867" i="1"/>
  <c r="K903" i="1"/>
  <c r="K939" i="1"/>
  <c r="K975" i="1"/>
  <c r="K646" i="1"/>
  <c r="K833" i="1"/>
  <c r="K700" i="1"/>
  <c r="K137" i="1"/>
  <c r="K695" i="1"/>
  <c r="K844" i="1"/>
  <c r="K153" i="1"/>
  <c r="K526" i="1"/>
  <c r="K533" i="1"/>
  <c r="K575" i="1"/>
  <c r="K696" i="1"/>
  <c r="K421" i="1"/>
  <c r="K775" i="1"/>
  <c r="K8" i="1"/>
  <c r="K44" i="1"/>
  <c r="K744" i="1"/>
  <c r="K810" i="1"/>
  <c r="K240" i="1"/>
  <c r="K692" i="1"/>
  <c r="K794" i="1"/>
  <c r="K774" i="1"/>
  <c r="K123" i="1"/>
  <c r="K303" i="1"/>
  <c r="K339" i="1"/>
  <c r="K375" i="1"/>
  <c r="K423" i="1"/>
  <c r="K609" i="1"/>
  <c r="K765" i="1"/>
  <c r="K813" i="1"/>
  <c r="K849" i="1"/>
  <c r="K885" i="1"/>
  <c r="K921" i="1"/>
  <c r="K957" i="1"/>
  <c r="K993" i="1"/>
  <c r="K52" i="1"/>
  <c r="K803" i="1"/>
  <c r="K502" i="1"/>
  <c r="K790" i="1"/>
  <c r="K125" i="1"/>
  <c r="K557" i="1"/>
  <c r="K671" i="1"/>
  <c r="K281" i="1"/>
  <c r="K929" i="1"/>
  <c r="K670" i="1"/>
  <c r="K119" i="1"/>
  <c r="K335" i="1"/>
  <c r="K581" i="1"/>
  <c r="K809" i="1"/>
  <c r="K311" i="1"/>
  <c r="K605" i="1"/>
  <c r="K905" i="1"/>
  <c r="K453" i="1"/>
  <c r="K753" i="1"/>
  <c r="K270" i="1"/>
  <c r="K624" i="1"/>
  <c r="K349" i="1"/>
  <c r="K673" i="1"/>
  <c r="U81" i="1"/>
  <c r="K18" i="1"/>
  <c r="K54" i="1"/>
  <c r="K192" i="1"/>
  <c r="K234" i="1"/>
  <c r="K282" i="1"/>
  <c r="K408" i="1"/>
  <c r="K450" i="1"/>
  <c r="K486" i="1"/>
  <c r="K522" i="1"/>
  <c r="K558" i="1"/>
  <c r="K666" i="1"/>
  <c r="K702" i="1"/>
  <c r="K858" i="1"/>
  <c r="K894" i="1"/>
  <c r="K930" i="1"/>
  <c r="K966" i="1"/>
  <c r="K1002" i="1"/>
  <c r="K788" i="1"/>
  <c r="K19" i="1"/>
  <c r="K55" i="1"/>
  <c r="K313" i="1"/>
  <c r="K355" i="1"/>
  <c r="K391" i="1"/>
  <c r="K427" i="1"/>
  <c r="K463" i="1"/>
  <c r="K499" i="1"/>
  <c r="K565" i="1"/>
  <c r="K631" i="1"/>
  <c r="K679" i="1"/>
  <c r="K733" i="1"/>
  <c r="K793" i="1"/>
  <c r="K72" i="1"/>
  <c r="U609" i="1"/>
  <c r="K836" i="1"/>
  <c r="K563" i="1"/>
  <c r="K827" i="1"/>
  <c r="K568" i="1"/>
  <c r="K256" i="1"/>
  <c r="K341" i="1"/>
  <c r="K815" i="1"/>
  <c r="U605" i="1"/>
  <c r="K76" i="1"/>
  <c r="K846" i="1"/>
  <c r="K769" i="1"/>
  <c r="K478" i="1"/>
  <c r="K584" i="1"/>
  <c r="K559" i="1"/>
  <c r="K716" i="1"/>
  <c r="K457" i="1"/>
  <c r="K132" i="1"/>
  <c r="K544" i="1"/>
  <c r="K724" i="1"/>
  <c r="K14" i="1"/>
  <c r="K50" i="1"/>
  <c r="K685" i="1"/>
  <c r="K524" i="1"/>
  <c r="K848" i="1"/>
  <c r="K266" i="1"/>
  <c r="K302" i="1"/>
  <c r="K338" i="1"/>
  <c r="K374" i="1"/>
  <c r="K410" i="1"/>
  <c r="K590" i="1"/>
  <c r="K638" i="1"/>
  <c r="K698" i="1"/>
  <c r="K746" i="1"/>
  <c r="K156" i="1"/>
  <c r="K165" i="1"/>
  <c r="K201" i="1"/>
  <c r="K381" i="1"/>
  <c r="K615" i="1"/>
  <c r="K723" i="1"/>
  <c r="K771" i="1"/>
  <c r="K819" i="1"/>
  <c r="K855" i="1"/>
  <c r="K891" i="1"/>
  <c r="K927" i="1"/>
  <c r="K963" i="1"/>
  <c r="K854" i="1"/>
  <c r="K262" i="1"/>
  <c r="K161" i="1"/>
  <c r="K863" i="1"/>
  <c r="K677" i="1"/>
  <c r="K65" i="1"/>
  <c r="K269" i="1"/>
  <c r="K473" i="1"/>
  <c r="K749" i="1"/>
  <c r="K556" i="1"/>
  <c r="K850" i="1"/>
  <c r="K17" i="1"/>
  <c r="K317" i="1"/>
  <c r="K599" i="1"/>
  <c r="K977" i="1"/>
  <c r="K430" i="1"/>
  <c r="K718" i="1"/>
  <c r="K371" i="1"/>
  <c r="K617" i="1"/>
  <c r="K851" i="1"/>
  <c r="K419" i="1"/>
  <c r="K647" i="1"/>
  <c r="K947" i="1"/>
  <c r="K968" i="1"/>
  <c r="K1003" i="1"/>
  <c r="K842" i="1"/>
  <c r="K914" i="1"/>
  <c r="K90" i="1"/>
  <c r="K607" i="1"/>
  <c r="U76" i="1"/>
  <c r="K333" i="1"/>
  <c r="K467" i="1"/>
  <c r="K868" i="1"/>
  <c r="K454" i="1"/>
  <c r="K359" i="1"/>
  <c r="K24" i="1"/>
  <c r="K66" i="1"/>
  <c r="K162" i="1"/>
  <c r="K198" i="1"/>
  <c r="K246" i="1"/>
  <c r="K372" i="1"/>
  <c r="K420" i="1"/>
  <c r="K456" i="1"/>
  <c r="K492" i="1"/>
  <c r="K528" i="1"/>
  <c r="K564" i="1"/>
  <c r="K600" i="1"/>
  <c r="K672" i="1"/>
  <c r="K756" i="1"/>
  <c r="K804" i="1"/>
  <c r="K864" i="1"/>
  <c r="K900" i="1"/>
  <c r="K936" i="1"/>
  <c r="K972" i="1"/>
  <c r="K300" i="1"/>
  <c r="K847" i="1"/>
  <c r="K25" i="1"/>
  <c r="K61" i="1"/>
  <c r="K97" i="1"/>
  <c r="K133" i="1"/>
  <c r="K169" i="1"/>
  <c r="K205" i="1"/>
  <c r="K241" i="1"/>
  <c r="K283" i="1"/>
  <c r="K319" i="1"/>
  <c r="K361" i="1"/>
  <c r="K397" i="1"/>
  <c r="K433" i="1"/>
  <c r="K469" i="1"/>
  <c r="K505" i="1"/>
  <c r="K577" i="1"/>
  <c r="K739" i="1"/>
  <c r="K535" i="1"/>
  <c r="K414" i="1"/>
  <c r="K417" i="1"/>
  <c r="K872" i="1"/>
  <c r="K53" i="1"/>
  <c r="K611" i="1"/>
  <c r="K869" i="1"/>
  <c r="K610" i="1"/>
  <c r="K268" i="1"/>
  <c r="K514" i="1"/>
  <c r="K832" i="1"/>
  <c r="K83" i="1"/>
  <c r="K875" i="1"/>
  <c r="K532" i="1"/>
  <c r="K931" i="1"/>
  <c r="K735" i="1"/>
  <c r="K991" i="1"/>
  <c r="K394" i="1"/>
  <c r="U32" i="1"/>
  <c r="K882" i="1"/>
  <c r="K817" i="1"/>
  <c r="K1001" i="1"/>
  <c r="K768" i="1"/>
  <c r="K60" i="1"/>
  <c r="K660" i="1"/>
  <c r="K619" i="1"/>
  <c r="K203" i="1"/>
  <c r="K755" i="1"/>
  <c r="K387" i="1"/>
  <c r="K884" i="1"/>
  <c r="K92" i="1"/>
  <c r="K128" i="1"/>
  <c r="K164" i="1"/>
  <c r="K200" i="1"/>
  <c r="K236" i="1"/>
  <c r="K272" i="1"/>
  <c r="K308" i="1"/>
  <c r="K344" i="1"/>
  <c r="K380" i="1"/>
  <c r="K416" i="1"/>
  <c r="K452" i="1"/>
  <c r="K488" i="1"/>
  <c r="K530" i="1"/>
  <c r="K596" i="1"/>
  <c r="K650" i="1"/>
  <c r="K704" i="1"/>
  <c r="K758" i="1"/>
  <c r="K806" i="1"/>
  <c r="K99" i="1"/>
  <c r="K207" i="1"/>
  <c r="K243" i="1"/>
  <c r="K573" i="1"/>
  <c r="K681" i="1"/>
  <c r="K890" i="1"/>
  <c r="K22" i="1"/>
  <c r="K130" i="1"/>
  <c r="K196" i="1"/>
  <c r="K886" i="1"/>
  <c r="K100" i="1"/>
  <c r="K635" i="1"/>
  <c r="K911" i="1"/>
  <c r="K676" i="1"/>
  <c r="K113" i="1"/>
  <c r="K305" i="1"/>
  <c r="K515" i="1"/>
  <c r="K797" i="1"/>
  <c r="K892" i="1"/>
  <c r="K41" i="1"/>
  <c r="K353" i="1"/>
  <c r="K496" i="1"/>
  <c r="K766" i="1"/>
  <c r="K11" i="1"/>
  <c r="K407" i="1"/>
  <c r="K893" i="1"/>
  <c r="K461" i="1"/>
  <c r="K689" i="1"/>
  <c r="K989" i="1"/>
  <c r="K96" i="1"/>
  <c r="K276" i="1"/>
  <c r="K360" i="1"/>
  <c r="K896" i="1"/>
  <c r="K878" i="1"/>
  <c r="K707" i="1"/>
  <c r="K117" i="1"/>
  <c r="K334" i="1"/>
  <c r="K767" i="1"/>
  <c r="K239" i="1"/>
  <c r="K385" i="1"/>
  <c r="K30" i="1"/>
  <c r="K168" i="1"/>
  <c r="K204" i="1"/>
  <c r="K378" i="1"/>
  <c r="K426" i="1"/>
  <c r="K462" i="1"/>
  <c r="K498" i="1"/>
  <c r="K534" i="1"/>
  <c r="K570" i="1"/>
  <c r="K606" i="1"/>
  <c r="K678" i="1"/>
  <c r="K714" i="1"/>
  <c r="K762" i="1"/>
  <c r="K834" i="1"/>
  <c r="K978" i="1"/>
  <c r="K459" i="1"/>
  <c r="K31" i="1"/>
  <c r="K67" i="1"/>
  <c r="K103" i="1"/>
  <c r="K139" i="1"/>
  <c r="K175" i="1"/>
  <c r="K211" i="1"/>
  <c r="K247" i="1"/>
  <c r="K602" i="1"/>
  <c r="K908" i="1"/>
  <c r="K352" i="1"/>
  <c r="K124" i="1"/>
  <c r="K214" i="1"/>
  <c r="K562" i="1"/>
  <c r="K880" i="1"/>
  <c r="K149" i="1"/>
  <c r="K569" i="1"/>
  <c r="K574" i="1"/>
  <c r="K583" i="1"/>
  <c r="K781" i="1"/>
  <c r="K694" i="1"/>
  <c r="K38" i="1"/>
  <c r="K94" i="1"/>
  <c r="K553" i="1"/>
  <c r="K721" i="1"/>
  <c r="K785" i="1"/>
  <c r="K656" i="1"/>
  <c r="K920" i="1"/>
  <c r="K98" i="1"/>
  <c r="K134" i="1"/>
  <c r="K170" i="1"/>
  <c r="K206" i="1"/>
  <c r="K242" i="1"/>
  <c r="K278" i="1"/>
  <c r="K314" i="1"/>
  <c r="K350" i="1"/>
  <c r="K386" i="1"/>
  <c r="K422" i="1"/>
  <c r="K458" i="1"/>
  <c r="K494" i="1"/>
  <c r="K542" i="1"/>
  <c r="K710" i="1"/>
  <c r="K764" i="1"/>
  <c r="K812" i="1"/>
  <c r="K33" i="1"/>
  <c r="K69" i="1"/>
  <c r="K249" i="1"/>
  <c r="K285" i="1"/>
  <c r="K537" i="1"/>
  <c r="K579" i="1"/>
  <c r="K687" i="1"/>
  <c r="K926" i="1"/>
  <c r="K70" i="1"/>
  <c r="K142" i="1"/>
  <c r="K934" i="1"/>
  <c r="K215" i="1"/>
  <c r="K683" i="1"/>
  <c r="K418" i="1"/>
  <c r="K323" i="1"/>
  <c r="K545" i="1"/>
  <c r="K839" i="1"/>
  <c r="K940" i="1"/>
  <c r="K71" i="1"/>
  <c r="K383" i="1"/>
  <c r="K791" i="1"/>
  <c r="K35" i="1"/>
  <c r="K455" i="1"/>
  <c r="K497" i="1"/>
  <c r="K719" i="1"/>
  <c r="K675" i="1"/>
  <c r="K644" i="1"/>
  <c r="K860" i="1"/>
  <c r="K932" i="1"/>
  <c r="K950" i="1"/>
  <c r="K548" i="1"/>
  <c r="U144" i="1"/>
  <c r="U738" i="1"/>
  <c r="U792" i="1"/>
  <c r="U316" i="1"/>
  <c r="U394" i="1"/>
  <c r="U90" i="1"/>
  <c r="U769" i="1"/>
  <c r="U631" i="1"/>
  <c r="U1001" i="1"/>
  <c r="U815" i="1"/>
  <c r="U439" i="1"/>
  <c r="U44" i="1"/>
  <c r="U565" i="1"/>
  <c r="U322" i="1"/>
  <c r="U165" i="1"/>
  <c r="U723" i="1"/>
  <c r="U262" i="1"/>
  <c r="U24" i="1"/>
  <c r="U6" i="1"/>
  <c r="U42" i="1"/>
  <c r="U162" i="1"/>
  <c r="U198" i="1"/>
  <c r="U420" i="1"/>
  <c r="U456" i="1"/>
  <c r="U492" i="1"/>
  <c r="U528" i="1"/>
  <c r="U564" i="1"/>
  <c r="U672" i="1"/>
  <c r="U222" i="1"/>
  <c r="U258" i="1"/>
  <c r="U438" i="1"/>
  <c r="U474" i="1"/>
  <c r="U510" i="1"/>
  <c r="U546" i="1"/>
  <c r="U690" i="1"/>
  <c r="U25" i="1"/>
  <c r="U61" i="1"/>
  <c r="U97" i="1"/>
  <c r="U133" i="1"/>
  <c r="U169" i="1"/>
  <c r="U205" i="1"/>
  <c r="U241" i="1"/>
  <c r="U620" i="1"/>
  <c r="U668" i="1"/>
  <c r="U425" i="1"/>
  <c r="U683" i="1"/>
  <c r="U514" i="1"/>
  <c r="U389" i="1"/>
  <c r="U26" i="1"/>
  <c r="U62" i="1"/>
  <c r="U373" i="1"/>
  <c r="U409" i="1"/>
  <c r="U445" i="1"/>
  <c r="U529" i="1"/>
  <c r="U649" i="1"/>
  <c r="U92" i="1"/>
  <c r="U128" i="1"/>
  <c r="U164" i="1"/>
  <c r="U200" i="1"/>
  <c r="U236" i="1"/>
  <c r="U272" i="1"/>
  <c r="U308" i="1"/>
  <c r="U344" i="1"/>
  <c r="U380" i="1"/>
  <c r="U416" i="1"/>
  <c r="U452" i="1"/>
  <c r="U488" i="1"/>
  <c r="U806" i="1"/>
  <c r="U27" i="1"/>
  <c r="U63" i="1"/>
  <c r="U279" i="1"/>
  <c r="U531" i="1"/>
  <c r="U573" i="1"/>
  <c r="U681" i="1"/>
  <c r="U405" i="1"/>
  <c r="U741" i="1"/>
  <c r="U837" i="1"/>
  <c r="U873" i="1"/>
  <c r="U909" i="1"/>
  <c r="U945" i="1"/>
  <c r="U981" i="1"/>
  <c r="U22" i="1"/>
  <c r="U779" i="1"/>
  <c r="U358" i="1"/>
  <c r="U658" i="1"/>
  <c r="U413" i="1"/>
  <c r="U131" i="1"/>
  <c r="U629" i="1"/>
  <c r="U305" i="1"/>
  <c r="U515" i="1"/>
  <c r="U797" i="1"/>
  <c r="U71" i="1"/>
  <c r="U899" i="1"/>
  <c r="U496" i="1"/>
  <c r="U706" i="1"/>
  <c r="U407" i="1"/>
  <c r="U713" i="1"/>
  <c r="U82" i="1"/>
  <c r="U910" i="1"/>
  <c r="U461" i="1"/>
  <c r="U689" i="1"/>
  <c r="U989" i="1"/>
  <c r="U221" i="1"/>
  <c r="U479" i="1"/>
  <c r="U123" i="1"/>
  <c r="U378" i="1"/>
  <c r="U606" i="1"/>
  <c r="U714" i="1"/>
  <c r="U762" i="1"/>
  <c r="U466" i="1"/>
  <c r="U772" i="1"/>
  <c r="U95" i="1"/>
  <c r="U155" i="1"/>
  <c r="U725" i="1"/>
  <c r="U652" i="1"/>
  <c r="U124" i="1"/>
  <c r="U214" i="1"/>
  <c r="U149" i="1"/>
  <c r="U941" i="1"/>
  <c r="U347" i="1"/>
  <c r="U112" i="1"/>
  <c r="U720" i="1"/>
  <c r="U607" i="1"/>
  <c r="U817" i="1"/>
  <c r="U170" i="1"/>
  <c r="U350" i="1"/>
  <c r="U698" i="1"/>
  <c r="U812" i="1"/>
  <c r="U844" i="1"/>
  <c r="U743" i="1"/>
  <c r="U478" i="1"/>
  <c r="U304" i="1"/>
  <c r="U694" i="1"/>
  <c r="U626" i="1"/>
  <c r="U680" i="1"/>
  <c r="U807" i="1"/>
  <c r="U951" i="1"/>
  <c r="U965" i="1"/>
  <c r="U497" i="1"/>
  <c r="U37" i="1"/>
  <c r="U270" i="1"/>
  <c r="U444" i="1"/>
  <c r="U588" i="1"/>
  <c r="U660" i="1"/>
  <c r="U138" i="1"/>
  <c r="U174" i="1"/>
  <c r="U210" i="1"/>
  <c r="U390" i="1"/>
  <c r="U462" i="1"/>
  <c r="U618" i="1"/>
  <c r="U732" i="1"/>
  <c r="U786" i="1"/>
  <c r="U85" i="1"/>
  <c r="U229" i="1"/>
  <c r="U307" i="1"/>
  <c r="U349" i="1"/>
  <c r="U385" i="1"/>
  <c r="U421" i="1"/>
  <c r="U553" i="1"/>
  <c r="U721" i="1"/>
  <c r="U104" i="1"/>
  <c r="U140" i="1"/>
  <c r="U176" i="1"/>
  <c r="U212" i="1"/>
  <c r="U248" i="1"/>
  <c r="U284" i="1"/>
  <c r="U320" i="1"/>
  <c r="U356" i="1"/>
  <c r="U392" i="1"/>
  <c r="U428" i="1"/>
  <c r="U464" i="1"/>
  <c r="U500" i="1"/>
  <c r="U770" i="1"/>
  <c r="U818" i="1"/>
  <c r="U203" i="1"/>
  <c r="U521" i="1"/>
  <c r="U785" i="1"/>
  <c r="U244" i="1"/>
  <c r="U454" i="1"/>
  <c r="U293" i="1"/>
  <c r="U173" i="1"/>
  <c r="U724" i="1"/>
  <c r="U994" i="1"/>
  <c r="U73" i="1"/>
  <c r="U109" i="1"/>
  <c r="U145" i="1"/>
  <c r="U181" i="1"/>
  <c r="U217" i="1"/>
  <c r="U253" i="1"/>
  <c r="U793" i="1"/>
  <c r="U692" i="1"/>
  <c r="U51" i="1"/>
  <c r="U267" i="1"/>
  <c r="U375" i="1"/>
  <c r="U813" i="1"/>
  <c r="U849" i="1"/>
  <c r="U885" i="1"/>
  <c r="U921" i="1"/>
  <c r="U957" i="1"/>
  <c r="U993" i="1"/>
  <c r="U549" i="1"/>
  <c r="U693" i="1"/>
  <c r="U52" i="1"/>
  <c r="U790" i="1"/>
  <c r="U226" i="1"/>
  <c r="U539" i="1"/>
  <c r="U928" i="1"/>
  <c r="U557" i="1"/>
  <c r="U59" i="1"/>
  <c r="U227" i="1"/>
  <c r="U251" i="1"/>
  <c r="U281" i="1"/>
  <c r="U16" i="1"/>
  <c r="U335" i="1"/>
  <c r="U581" i="1"/>
  <c r="U809" i="1"/>
  <c r="U365" i="1"/>
  <c r="U820" i="1"/>
  <c r="U905" i="1"/>
  <c r="U395" i="1"/>
  <c r="U653" i="1"/>
  <c r="U935" i="1"/>
  <c r="U18" i="1"/>
  <c r="U54" i="1"/>
  <c r="U36" i="1"/>
  <c r="U7" i="1"/>
  <c r="U43" i="1"/>
  <c r="U234" i="1"/>
  <c r="U450" i="1"/>
  <c r="U486" i="1"/>
  <c r="U522" i="1"/>
  <c r="U558" i="1"/>
  <c r="U750" i="1"/>
  <c r="U180" i="1"/>
  <c r="U396" i="1"/>
  <c r="U432" i="1"/>
  <c r="U468" i="1"/>
  <c r="U504" i="1"/>
  <c r="U540" i="1"/>
  <c r="U576" i="1"/>
  <c r="U684" i="1"/>
  <c r="U55" i="1"/>
  <c r="U199" i="1"/>
  <c r="U313" i="1"/>
  <c r="U463" i="1"/>
  <c r="U499" i="1"/>
  <c r="U554" i="1"/>
  <c r="U580" i="1"/>
  <c r="U563" i="1"/>
  <c r="U827" i="1"/>
  <c r="U77" i="1"/>
  <c r="U568" i="1"/>
  <c r="U172" i="1"/>
  <c r="U701" i="1"/>
  <c r="U295" i="1"/>
  <c r="U331" i="1"/>
  <c r="U481" i="1"/>
  <c r="U589" i="1"/>
  <c r="U194" i="1"/>
  <c r="U482" i="1"/>
  <c r="U638" i="1"/>
  <c r="U746" i="1"/>
  <c r="U201" i="1"/>
  <c r="U237" i="1"/>
  <c r="U831" i="1"/>
  <c r="U939" i="1"/>
  <c r="U838" i="1"/>
  <c r="U292" i="1"/>
  <c r="U659" i="1"/>
  <c r="U983" i="1"/>
  <c r="U161" i="1"/>
  <c r="U587" i="1"/>
  <c r="U700" i="1"/>
  <c r="U65" i="1"/>
  <c r="U38" i="1"/>
  <c r="U175" i="1"/>
  <c r="U283" i="1"/>
  <c r="U74" i="1"/>
  <c r="U110" i="1"/>
  <c r="U146" i="1"/>
  <c r="U182" i="1"/>
  <c r="U218" i="1"/>
  <c r="U254" i="1"/>
  <c r="U290" i="1"/>
  <c r="U326" i="1"/>
  <c r="U362" i="1"/>
  <c r="U398" i="1"/>
  <c r="U434" i="1"/>
  <c r="U470" i="1"/>
  <c r="U506" i="1"/>
  <c r="U776" i="1"/>
  <c r="U824" i="1"/>
  <c r="U9" i="1"/>
  <c r="U45" i="1"/>
  <c r="U117" i="1"/>
  <c r="U153" i="1"/>
  <c r="U189" i="1"/>
  <c r="U225" i="1"/>
  <c r="U261" i="1"/>
  <c r="U297" i="1"/>
  <c r="U453" i="1"/>
  <c r="U555" i="1"/>
  <c r="U699" i="1"/>
  <c r="U753" i="1"/>
  <c r="U39" i="1"/>
  <c r="U255" i="1"/>
  <c r="U291" i="1"/>
  <c r="U687" i="1"/>
  <c r="U166" i="1"/>
  <c r="U310" i="1"/>
  <c r="U287" i="1"/>
  <c r="U527" i="1"/>
  <c r="U257" i="1"/>
  <c r="U976" i="1"/>
  <c r="U623" i="1"/>
  <c r="U209" i="1"/>
  <c r="U485" i="1"/>
  <c r="U334" i="1"/>
  <c r="U70" i="1"/>
  <c r="U412" i="1"/>
  <c r="U245" i="1"/>
  <c r="U467" i="1"/>
  <c r="U881" i="1"/>
  <c r="U622" i="1"/>
  <c r="U89" i="1"/>
  <c r="U299" i="1"/>
  <c r="U533" i="1"/>
  <c r="U767" i="1"/>
  <c r="U317" i="1"/>
  <c r="U845" i="1"/>
  <c r="U766" i="1"/>
  <c r="U239" i="1"/>
  <c r="U575" i="1"/>
  <c r="U857" i="1"/>
  <c r="U353" i="1"/>
  <c r="U679" i="1"/>
  <c r="U50" i="1"/>
  <c r="U79" i="1"/>
  <c r="U223" i="1"/>
  <c r="U590" i="1"/>
  <c r="U21" i="1"/>
  <c r="U345" i="1"/>
  <c r="U351" i="1"/>
  <c r="U982" i="1"/>
  <c r="U887" i="1"/>
  <c r="U977" i="1"/>
  <c r="U718" i="1"/>
  <c r="U34" i="1"/>
  <c r="U487" i="1"/>
  <c r="U650" i="1"/>
  <c r="U911" i="1"/>
  <c r="U168" i="1"/>
  <c r="U204" i="1"/>
  <c r="U84" i="1"/>
  <c r="U264" i="1"/>
  <c r="U648" i="1"/>
  <c r="U31" i="1"/>
  <c r="U67" i="1"/>
  <c r="U880" i="1"/>
  <c r="U929" i="1"/>
  <c r="U530" i="1"/>
  <c r="U113" i="1"/>
  <c r="U592" i="1"/>
  <c r="U406" i="1"/>
  <c r="U98" i="1"/>
  <c r="U134" i="1"/>
  <c r="U242" i="1"/>
  <c r="U278" i="1"/>
  <c r="U386" i="1"/>
  <c r="U422" i="1"/>
  <c r="U458" i="1"/>
  <c r="U764" i="1"/>
  <c r="U69" i="1"/>
  <c r="U285" i="1"/>
  <c r="U537" i="1"/>
  <c r="U215" i="1"/>
  <c r="U167" i="1"/>
  <c r="U946" i="1"/>
  <c r="U301" i="1"/>
  <c r="U238" i="1"/>
  <c r="U868" i="1"/>
  <c r="U339" i="1"/>
  <c r="U427" i="1"/>
  <c r="U381" i="1"/>
  <c r="U615" i="1"/>
  <c r="U819" i="1"/>
  <c r="U190" i="1"/>
  <c r="U556" i="1"/>
  <c r="U30" i="1"/>
  <c r="U562" i="1"/>
  <c r="U619" i="1"/>
  <c r="U423" i="1"/>
  <c r="U733" i="1"/>
  <c r="U14" i="1"/>
  <c r="U429" i="1"/>
  <c r="U891" i="1"/>
  <c r="U599" i="1"/>
  <c r="U143" i="1"/>
  <c r="U647" i="1"/>
  <c r="U130" i="1"/>
  <c r="U676" i="1"/>
  <c r="U11" i="1"/>
  <c r="U526" i="1"/>
  <c r="U544" i="1"/>
  <c r="U391" i="1"/>
  <c r="U916" i="1"/>
  <c r="U256" i="1"/>
  <c r="U855" i="1"/>
  <c r="U17" i="1"/>
  <c r="U673" i="1"/>
  <c r="U755" i="1"/>
  <c r="U8" i="1"/>
  <c r="U282" i="1"/>
  <c r="U355" i="1"/>
  <c r="U233" i="1"/>
  <c r="U129" i="1"/>
  <c r="U771" i="1"/>
  <c r="U927" i="1"/>
  <c r="U118" i="1"/>
  <c r="U66" i="1"/>
  <c r="U361" i="1"/>
  <c r="U505" i="1"/>
  <c r="U691" i="1"/>
  <c r="U80" i="1"/>
  <c r="U188" i="1"/>
  <c r="U296" i="1"/>
  <c r="U440" i="1"/>
  <c r="U830" i="1"/>
  <c r="U628" i="1"/>
  <c r="U869" i="1"/>
  <c r="U947" i="1"/>
  <c r="U268" i="1"/>
  <c r="U832" i="1"/>
  <c r="U56" i="1"/>
  <c r="U193" i="1"/>
  <c r="U207" i="1"/>
  <c r="U825" i="1"/>
  <c r="U969" i="1"/>
  <c r="U231" i="1"/>
  <c r="U525" i="1"/>
  <c r="U669" i="1"/>
  <c r="U274" i="1"/>
  <c r="U604" i="1"/>
  <c r="U19" i="1"/>
  <c r="U534" i="1"/>
  <c r="U480" i="1"/>
  <c r="U702" i="1"/>
  <c r="U103" i="1"/>
  <c r="U247" i="1"/>
  <c r="U325" i="1"/>
  <c r="U122" i="1"/>
  <c r="U266" i="1"/>
  <c r="U518" i="1"/>
  <c r="U800" i="1"/>
  <c r="U574" i="1"/>
  <c r="U49" i="1"/>
  <c r="U186" i="1"/>
  <c r="U319" i="1"/>
  <c r="U469" i="1"/>
  <c r="U739" i="1"/>
  <c r="U152" i="1"/>
  <c r="U332" i="1"/>
  <c r="U476" i="1"/>
  <c r="U728" i="1"/>
  <c r="U610" i="1"/>
  <c r="U370" i="1"/>
  <c r="U875" i="1"/>
  <c r="U532" i="1"/>
  <c r="U265" i="1"/>
  <c r="U596" i="1"/>
  <c r="U171" i="1"/>
  <c r="U435" i="1"/>
  <c r="U729" i="1"/>
  <c r="U933" i="1"/>
  <c r="U57" i="1"/>
  <c r="U273" i="1"/>
  <c r="U597" i="1"/>
  <c r="U742" i="1"/>
  <c r="U23" i="1"/>
  <c r="U364" i="1"/>
  <c r="U736" i="1"/>
  <c r="U617" i="1"/>
  <c r="U892" i="1"/>
  <c r="U460" i="1"/>
  <c r="U12" i="1"/>
  <c r="U78" i="1"/>
  <c r="U294" i="1"/>
  <c r="U642" i="1"/>
  <c r="U403" i="1"/>
  <c r="U805" i="1"/>
  <c r="U158" i="1"/>
  <c r="U302" i="1"/>
  <c r="U446" i="1"/>
  <c r="U473" i="1"/>
  <c r="U352" i="1"/>
  <c r="U569" i="1"/>
  <c r="U13" i="1"/>
  <c r="U246" i="1"/>
  <c r="U150" i="1"/>
  <c r="U366" i="1"/>
  <c r="U433" i="1"/>
  <c r="U637" i="1"/>
  <c r="U224" i="1"/>
  <c r="U368" i="1"/>
  <c r="U512" i="1"/>
  <c r="U53" i="1"/>
  <c r="U125" i="1"/>
  <c r="U83" i="1"/>
  <c r="U749" i="1"/>
  <c r="U157" i="1"/>
  <c r="U135" i="1"/>
  <c r="U861" i="1"/>
  <c r="U196" i="1"/>
  <c r="U886" i="1"/>
  <c r="U635" i="1"/>
  <c r="U964" i="1"/>
  <c r="U377" i="1"/>
  <c r="U48" i="1"/>
  <c r="U252" i="1"/>
  <c r="U426" i="1"/>
  <c r="U570" i="1"/>
  <c r="U228" i="1"/>
  <c r="U408" i="1"/>
  <c r="U552" i="1"/>
  <c r="U211" i="1"/>
  <c r="U367" i="1"/>
  <c r="U511" i="1"/>
  <c r="U703" i="1"/>
  <c r="U86" i="1"/>
  <c r="U374" i="1"/>
  <c r="U740" i="1"/>
  <c r="U670" i="1"/>
  <c r="U288" i="1"/>
  <c r="U402" i="1"/>
  <c r="U798" i="1"/>
  <c r="U397" i="1"/>
  <c r="U577" i="1"/>
  <c r="U799" i="1"/>
  <c r="U116" i="1"/>
  <c r="U260" i="1"/>
  <c r="U404" i="1"/>
  <c r="U566" i="1"/>
  <c r="U10" i="1"/>
  <c r="U611" i="1"/>
  <c r="U311" i="1"/>
  <c r="U20" i="1"/>
  <c r="U121" i="1"/>
  <c r="U393" i="1"/>
  <c r="U621" i="1"/>
  <c r="U777" i="1"/>
  <c r="U897" i="1"/>
  <c r="U561" i="1"/>
  <c r="U64" i="1"/>
  <c r="U598" i="1"/>
  <c r="U269" i="1"/>
  <c r="U185" i="1"/>
  <c r="U371" i="1"/>
  <c r="U340" i="1"/>
  <c r="U923" i="1"/>
  <c r="U41" i="1"/>
  <c r="U893" i="1"/>
  <c r="U498" i="1"/>
  <c r="U678" i="1"/>
  <c r="U192" i="1"/>
  <c r="U516" i="1"/>
  <c r="U139" i="1"/>
  <c r="U289" i="1"/>
  <c r="U475" i="1"/>
  <c r="U757" i="1"/>
  <c r="U230" i="1"/>
  <c r="U410" i="1"/>
  <c r="U578" i="1"/>
  <c r="U917" i="1"/>
  <c r="U862" i="1"/>
  <c r="U68" i="1"/>
  <c r="U91" i="1"/>
  <c r="U127" i="1"/>
  <c r="U163" i="1"/>
  <c r="U235" i="1"/>
  <c r="U271" i="1"/>
  <c r="U343" i="1"/>
  <c r="U379" i="1"/>
  <c r="U415" i="1"/>
  <c r="U493" i="1"/>
  <c r="U541" i="1"/>
  <c r="U661" i="1"/>
  <c r="U709" i="1"/>
  <c r="U811" i="1"/>
  <c r="U542" i="1"/>
  <c r="U608" i="1"/>
  <c r="U662" i="1"/>
  <c r="U710" i="1"/>
  <c r="U105" i="1"/>
  <c r="U141" i="1"/>
  <c r="U177" i="1"/>
  <c r="U213" i="1"/>
  <c r="U357" i="1"/>
  <c r="U399" i="1"/>
  <c r="U441" i="1"/>
  <c r="U579" i="1"/>
  <c r="U627" i="1"/>
  <c r="U783" i="1"/>
  <c r="U867" i="1"/>
  <c r="U903" i="1"/>
  <c r="U111" i="1"/>
  <c r="U147" i="1"/>
  <c r="U195" i="1"/>
  <c r="U369" i="1"/>
  <c r="U411" i="1"/>
  <c r="U447" i="1"/>
  <c r="U567" i="1"/>
  <c r="U639" i="1"/>
  <c r="U711" i="1"/>
  <c r="U747" i="1"/>
  <c r="U843" i="1"/>
  <c r="U879" i="1"/>
  <c r="U915" i="1"/>
  <c r="U987" i="1"/>
  <c r="U142" i="1"/>
  <c r="U646" i="1"/>
  <c r="U934" i="1"/>
  <c r="U430" i="1"/>
  <c r="U833" i="1"/>
  <c r="U341" i="1"/>
  <c r="U47" i="1"/>
  <c r="U449" i="1"/>
  <c r="U671" i="1"/>
  <c r="U418" i="1"/>
  <c r="U784" i="1"/>
  <c r="U137" i="1"/>
  <c r="U323" i="1"/>
  <c r="U545" i="1"/>
  <c r="U839" i="1"/>
  <c r="U119" i="1"/>
  <c r="U940" i="1"/>
  <c r="U383" i="1"/>
  <c r="U791" i="1"/>
  <c r="U419" i="1"/>
  <c r="U748" i="1"/>
  <c r="U35" i="1"/>
  <c r="U695" i="1"/>
  <c r="U491" i="1"/>
  <c r="U640" i="1"/>
  <c r="U29" i="1"/>
  <c r="U263" i="1"/>
  <c r="R796" i="1"/>
  <c r="T796" i="1" s="1"/>
  <c r="U796" i="1" s="1"/>
  <c r="J796" i="1"/>
  <c r="K796" i="1" s="1"/>
  <c r="R154" i="1"/>
  <c r="T154" i="1" s="1"/>
  <c r="U154" i="1" s="1"/>
  <c r="J154" i="1"/>
  <c r="K154" i="1" s="1"/>
  <c r="R136" i="1"/>
  <c r="T136" i="1" s="1"/>
  <c r="U136" i="1" s="1"/>
  <c r="J136" i="1"/>
  <c r="K136" i="1" s="1"/>
  <c r="Q543" i="1"/>
  <c r="S543" i="1" s="1"/>
  <c r="U543" i="1" s="1"/>
  <c r="I543" i="1"/>
  <c r="K543" i="1" s="1"/>
  <c r="Q613" i="1"/>
  <c r="S613" i="1" s="1"/>
  <c r="U613" i="1" s="1"/>
  <c r="I613" i="1"/>
  <c r="K613" i="1" s="1"/>
  <c r="R58" i="1"/>
  <c r="T58" i="1" s="1"/>
  <c r="U58" i="1" s="1"/>
  <c r="J58" i="1"/>
  <c r="K58" i="1" s="1"/>
  <c r="R232" i="1"/>
  <c r="T232" i="1" s="1"/>
  <c r="U232" i="1" s="1"/>
  <c r="J232" i="1"/>
  <c r="K232" i="1" s="1"/>
  <c r="R1000" i="1"/>
  <c r="T1000" i="1" s="1"/>
  <c r="U1000" i="1" s="1"/>
  <c r="J1000" i="1"/>
  <c r="K1000" i="1" s="1"/>
  <c r="R88" i="1"/>
  <c r="T88" i="1" s="1"/>
  <c r="U88" i="1" s="1"/>
  <c r="J88" i="1"/>
  <c r="K88" i="1" s="1"/>
  <c r="R682" i="1"/>
  <c r="T682" i="1" s="1"/>
  <c r="U682" i="1" s="1"/>
  <c r="J682" i="1"/>
  <c r="K682" i="1" s="1"/>
  <c r="R586" i="1"/>
  <c r="T586" i="1" s="1"/>
  <c r="U586" i="1" s="1"/>
  <c r="J586" i="1"/>
  <c r="K586" i="1" s="1"/>
  <c r="R616" i="1"/>
  <c r="T616" i="1" s="1"/>
  <c r="U616" i="1" s="1"/>
  <c r="J616" i="1"/>
  <c r="K616" i="1" s="1"/>
  <c r="R664" i="1"/>
  <c r="T664" i="1" s="1"/>
  <c r="U664" i="1" s="1"/>
  <c r="J664" i="1"/>
  <c r="K664" i="1" s="1"/>
  <c r="R202" i="1"/>
  <c r="T202" i="1" s="1"/>
  <c r="U202" i="1" s="1"/>
  <c r="J202" i="1"/>
  <c r="K202" i="1" s="1"/>
  <c r="R184" i="1"/>
  <c r="T184" i="1" s="1"/>
  <c r="U184" i="1" s="1"/>
  <c r="J184" i="1"/>
  <c r="K184" i="1" s="1"/>
  <c r="R730" i="1"/>
  <c r="T730" i="1" s="1"/>
  <c r="U730" i="1" s="1"/>
  <c r="J730" i="1"/>
  <c r="K730" i="1" s="1"/>
  <c r="Q949" i="1"/>
  <c r="S949" i="1" s="1"/>
  <c r="U949" i="1" s="1"/>
  <c r="I949" i="1"/>
  <c r="K949" i="1" s="1"/>
  <c r="R520" i="1"/>
  <c r="T520" i="1" s="1"/>
  <c r="U520" i="1" s="1"/>
  <c r="J520" i="1"/>
  <c r="K520" i="1" s="1"/>
  <c r="R856" i="1"/>
  <c r="T856" i="1" s="1"/>
  <c r="U856" i="1" s="1"/>
  <c r="J856" i="1"/>
  <c r="K856" i="1" s="1"/>
  <c r="R280" i="1"/>
  <c r="T280" i="1" s="1"/>
  <c r="U280" i="1" s="1"/>
  <c r="J280" i="1"/>
  <c r="K280" i="1" s="1"/>
  <c r="R826" i="1"/>
  <c r="T826" i="1" s="1"/>
  <c r="U826" i="1" s="1"/>
  <c r="J826" i="1"/>
  <c r="K826" i="1" s="1"/>
  <c r="R760" i="1"/>
  <c r="T760" i="1" s="1"/>
  <c r="U760" i="1" s="1"/>
  <c r="J760" i="1"/>
  <c r="K760" i="1" s="1"/>
  <c r="R40" i="1"/>
  <c r="T40" i="1" s="1"/>
  <c r="U40" i="1" s="1"/>
  <c r="J40" i="1"/>
  <c r="K40" i="1" s="1"/>
  <c r="R484" i="1"/>
  <c r="T484" i="1" s="1"/>
  <c r="U484" i="1" s="1"/>
  <c r="J484" i="1"/>
  <c r="K484" i="1" s="1"/>
  <c r="R874" i="1"/>
  <c r="T874" i="1" s="1"/>
  <c r="U874" i="1" s="1"/>
  <c r="J874" i="1"/>
  <c r="K874" i="1" s="1"/>
  <c r="R346" i="1"/>
  <c r="T346" i="1" s="1"/>
  <c r="U346" i="1" s="1"/>
  <c r="J346" i="1"/>
  <c r="K346" i="1" s="1"/>
  <c r="Q277" i="1"/>
  <c r="S277" i="1" s="1"/>
  <c r="U277" i="1" s="1"/>
  <c r="I277" i="1"/>
  <c r="K277" i="1" s="1"/>
  <c r="R376" i="1"/>
  <c r="T376" i="1" s="1"/>
  <c r="U376" i="1" s="1"/>
  <c r="J376" i="1"/>
  <c r="K376" i="1" s="1"/>
  <c r="R442" i="1"/>
  <c r="T442" i="1" s="1"/>
  <c r="U442" i="1" s="1"/>
  <c r="J442" i="1"/>
  <c r="K442" i="1" s="1"/>
  <c r="R106" i="1"/>
  <c r="T106" i="1" s="1"/>
  <c r="U106" i="1" s="1"/>
  <c r="J106" i="1"/>
  <c r="K106" i="1" s="1"/>
  <c r="Q999" i="1"/>
  <c r="S999" i="1" s="1"/>
  <c r="U999" i="1" s="1"/>
  <c r="I999" i="1"/>
  <c r="K999" i="1" s="1"/>
  <c r="R922" i="1"/>
  <c r="T922" i="1" s="1"/>
  <c r="U922" i="1" s="1"/>
  <c r="J922" i="1"/>
  <c r="K922" i="1" s="1"/>
  <c r="R472" i="1"/>
  <c r="T472" i="1" s="1"/>
  <c r="U472" i="1" s="1"/>
  <c r="J472" i="1"/>
  <c r="K472" i="1" s="1"/>
  <c r="R778" i="1"/>
  <c r="T778" i="1" s="1"/>
  <c r="U778" i="1" s="1"/>
  <c r="J778" i="1"/>
  <c r="K778" i="1" s="1"/>
  <c r="Q337" i="1"/>
  <c r="S337" i="1" s="1"/>
  <c r="U337" i="1" s="1"/>
  <c r="I337" i="1"/>
  <c r="K337" i="1" s="1"/>
  <c r="R952" i="1"/>
  <c r="T952" i="1" s="1"/>
  <c r="U952" i="1" s="1"/>
  <c r="J952" i="1"/>
  <c r="K952" i="1" s="1"/>
  <c r="Q997" i="1"/>
  <c r="S997" i="1" s="1"/>
  <c r="U997" i="1" s="1"/>
  <c r="I997" i="1"/>
  <c r="K997" i="1" s="1"/>
  <c r="R712" i="1"/>
  <c r="T712" i="1" s="1"/>
  <c r="U712" i="1" s="1"/>
  <c r="J712" i="1"/>
  <c r="K712" i="1" s="1"/>
  <c r="R250" i="1"/>
  <c r="T250" i="1" s="1"/>
  <c r="U250" i="1" s="1"/>
  <c r="J250" i="1"/>
  <c r="K250" i="1" s="1"/>
  <c r="R970" i="1"/>
  <c r="T970" i="1" s="1"/>
  <c r="U970" i="1" s="1"/>
  <c r="J970" i="1"/>
  <c r="K970" i="1" s="1"/>
  <c r="R538" i="1"/>
  <c r="T538" i="1" s="1"/>
  <c r="U538" i="1" s="1"/>
  <c r="J538" i="1"/>
  <c r="K538" i="1" s="1"/>
  <c r="Q517" i="1"/>
  <c r="S517" i="1" s="1"/>
  <c r="U517" i="1" s="1"/>
  <c r="I517" i="1"/>
  <c r="K517" i="1" s="1"/>
  <c r="R208" i="1"/>
  <c r="T208" i="1" s="1"/>
  <c r="U208" i="1" s="1"/>
  <c r="J208" i="1"/>
  <c r="K208" i="1" s="1"/>
  <c r="R904" i="1"/>
  <c r="T904" i="1" s="1"/>
  <c r="U904" i="1" s="1"/>
  <c r="J904" i="1"/>
  <c r="K904" i="1" s="1"/>
  <c r="R328" i="1"/>
  <c r="T328" i="1" s="1"/>
  <c r="U328" i="1" s="1"/>
  <c r="J328" i="1"/>
  <c r="K328" i="1" s="1"/>
  <c r="R808" i="1"/>
  <c r="T808" i="1" s="1"/>
  <c r="U808" i="1" s="1"/>
  <c r="J808" i="1"/>
  <c r="K808" i="1" s="1"/>
  <c r="R424" i="1"/>
  <c r="T424" i="1" s="1"/>
  <c r="U424" i="1" s="1"/>
  <c r="J424" i="1"/>
  <c r="K424" i="1" s="1"/>
  <c r="R298" i="1"/>
  <c r="T298" i="1" s="1"/>
  <c r="U298" i="1" s="1"/>
  <c r="J298" i="1"/>
  <c r="K298" i="1" s="1"/>
  <c r="R634" i="1"/>
  <c r="T634" i="1" s="1"/>
  <c r="U634" i="1" s="1"/>
  <c r="J634" i="1"/>
  <c r="K634" i="1" s="1"/>
  <c r="R490" i="1"/>
  <c r="T490" i="1" s="1"/>
  <c r="U490" i="1" s="1"/>
  <c r="J490" i="1"/>
  <c r="K490" i="1" s="1"/>
  <c r="M3" i="1" l="1"/>
  <c r="M2" i="1"/>
</calcChain>
</file>

<file path=xl/sharedStrings.xml><?xml version="1.0" encoding="utf-8"?>
<sst xmlns="http://schemas.openxmlformats.org/spreadsheetml/2006/main" count="38" uniqueCount="35">
  <si>
    <t>L1</t>
  </si>
  <si>
    <t>L2</t>
  </si>
  <si>
    <t>Sr.No.</t>
  </si>
  <si>
    <t>Loss 1</t>
  </si>
  <si>
    <t>Loss 2</t>
  </si>
  <si>
    <t>EAD</t>
  </si>
  <si>
    <t>LGD</t>
  </si>
  <si>
    <t>Portfolio Loss</t>
  </si>
  <si>
    <t>U1</t>
  </si>
  <si>
    <t>U2</t>
  </si>
  <si>
    <t>Z1</t>
  </si>
  <si>
    <t>Z2</t>
  </si>
  <si>
    <t>Z2*</t>
  </si>
  <si>
    <t>Correlation</t>
  </si>
  <si>
    <t>U2*</t>
  </si>
  <si>
    <t>Port Loss</t>
  </si>
  <si>
    <t>Expected Loss</t>
  </si>
  <si>
    <t>Variance Loss</t>
  </si>
  <si>
    <t>MCS run is executed 1000 times</t>
  </si>
  <si>
    <t xml:space="preserve">In 1000 times, how many time, portfolio will have 5% default, that is randomly generated. </t>
  </si>
  <si>
    <t>This random generation of default will give us loss distribution curev</t>
  </si>
  <si>
    <t>NOTE</t>
  </si>
  <si>
    <t>When corrlation between portolio is non zero, Guassian Copula method needs to be used to calculate expected loss and variance of the portflio</t>
  </si>
  <si>
    <t>Step 2</t>
  </si>
  <si>
    <t>Generate random numbers U1 and U2</t>
  </si>
  <si>
    <t>As Guassian follows NORMAL Distribution, convert random numbers into numbers following normal  distribution (Z1 and Z2, using norm.s.inv)</t>
  </si>
  <si>
    <t>Step 3</t>
  </si>
  <si>
    <t>To incorporate CORRELATION betw portfolio 1 and portfolio 2, create Z2* variable using (z1*r1+z2*sqrt(1-sq r))
This ensure Z2 is correlated with Z1</t>
  </si>
  <si>
    <t>Correlation between Z1 and Z2*</t>
  </si>
  <si>
    <t>Correlation between Z1 and Z2 is ZERO</t>
  </si>
  <si>
    <t>Step 4</t>
  </si>
  <si>
    <t>Recalculate 2 variables that simulates randon variable U1 and U2, but this time they are correlated</t>
  </si>
  <si>
    <t>Step 1</t>
  </si>
  <si>
    <r>
      <rPr>
        <b/>
        <i/>
        <sz val="11"/>
        <color theme="1"/>
        <rFont val="Calibri"/>
        <family val="2"/>
        <scheme val="minor"/>
      </rPr>
      <t>GaussianCopula</t>
    </r>
    <r>
      <rPr>
        <sz val="11"/>
        <color theme="1"/>
        <rFont val="Calibri"/>
        <family val="2"/>
        <scheme val="minor"/>
      </rPr>
      <t xml:space="preserve"> follows normal distribution</t>
    </r>
  </si>
  <si>
    <t>It is very difficult to find out correlation betw loans, hence we use One Factor Copula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</si>
</sst>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2" fillId="2" borderId="11" xfId="0" applyFont="1" applyFill="1" applyBorder="1"/>
    <xf numFmtId="0" fontId="2" fillId="2" borderId="1" xfId="0" applyFont="1" applyFill="1" applyBorder="1"/>
    <xf numFmtId="0" fontId="2" fillId="2" borderId="9" xfId="0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/>
    </xf>
    <xf numFmtId="0" fontId="6" fillId="4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MCS_Gaussian_Copula!$F$2:$F$4</c:f>
              <c:strCache>
                <c:ptCount val="3"/>
                <c:pt idx="2">
                  <c:v>Z2*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MCS_Gaussian_Copula!$D$5:$D$1004</c:f>
              <c:numCache>
                <c:formatCode>General</c:formatCode>
                <c:ptCount val="1000"/>
                <c:pt idx="0">
                  <c:v>-0.53392873809964048</c:v>
                </c:pt>
                <c:pt idx="1">
                  <c:v>-1.4400809502851926</c:v>
                </c:pt>
                <c:pt idx="2">
                  <c:v>-1.0854417576460453</c:v>
                </c:pt>
                <c:pt idx="3">
                  <c:v>-2.2941254559881479</c:v>
                </c:pt>
                <c:pt idx="4">
                  <c:v>-0.60419307175910175</c:v>
                </c:pt>
                <c:pt idx="5">
                  <c:v>-0.16416910951977287</c:v>
                </c:pt>
                <c:pt idx="6">
                  <c:v>-1.087052333180909</c:v>
                </c:pt>
                <c:pt idx="7">
                  <c:v>-0.42360730246171663</c:v>
                </c:pt>
                <c:pt idx="8">
                  <c:v>-1.5952049985197359</c:v>
                </c:pt>
                <c:pt idx="9">
                  <c:v>-2.4369228582500058E-2</c:v>
                </c:pt>
                <c:pt idx="10">
                  <c:v>0.50474706244295153</c:v>
                </c:pt>
                <c:pt idx="11">
                  <c:v>1.2103261270948715</c:v>
                </c:pt>
                <c:pt idx="12">
                  <c:v>1.1003659110208661</c:v>
                </c:pt>
                <c:pt idx="13">
                  <c:v>-0.7105492291861043</c:v>
                </c:pt>
                <c:pt idx="14">
                  <c:v>-1.8152198374613879</c:v>
                </c:pt>
                <c:pt idx="15">
                  <c:v>-1.7797742863069157</c:v>
                </c:pt>
                <c:pt idx="16">
                  <c:v>-0.15372859221258015</c:v>
                </c:pt>
                <c:pt idx="17">
                  <c:v>-0.47149333455528197</c:v>
                </c:pt>
                <c:pt idx="18">
                  <c:v>0.27529197471338412</c:v>
                </c:pt>
                <c:pt idx="19">
                  <c:v>-1.9012743872715263</c:v>
                </c:pt>
                <c:pt idx="20">
                  <c:v>-1.2759628519041548E-2</c:v>
                </c:pt>
                <c:pt idx="21">
                  <c:v>-0.12727640560540679</c:v>
                </c:pt>
                <c:pt idx="22">
                  <c:v>-0.47623552478037939</c:v>
                </c:pt>
                <c:pt idx="23">
                  <c:v>0.68423707010429713</c:v>
                </c:pt>
                <c:pt idx="24">
                  <c:v>3.1204226696589531E-2</c:v>
                </c:pt>
                <c:pt idx="25">
                  <c:v>0.76417921681106438</c:v>
                </c:pt>
                <c:pt idx="26">
                  <c:v>1.2773660968202722</c:v>
                </c:pt>
                <c:pt idx="27">
                  <c:v>0.47991437890641292</c:v>
                </c:pt>
                <c:pt idx="28">
                  <c:v>-0.59855080734690447</c:v>
                </c:pt>
                <c:pt idx="29">
                  <c:v>-1.1983710016124902</c:v>
                </c:pt>
                <c:pt idx="30">
                  <c:v>0.66618783896485001</c:v>
                </c:pt>
                <c:pt idx="31">
                  <c:v>-0.37716543214246551</c:v>
                </c:pt>
                <c:pt idx="32">
                  <c:v>1.0144653194329079</c:v>
                </c:pt>
                <c:pt idx="33">
                  <c:v>-0.59891042592159593</c:v>
                </c:pt>
                <c:pt idx="34">
                  <c:v>0.69805538380185317</c:v>
                </c:pt>
                <c:pt idx="35">
                  <c:v>-0.43370419709699326</c:v>
                </c:pt>
                <c:pt idx="36">
                  <c:v>0.38698278149134457</c:v>
                </c:pt>
                <c:pt idx="37">
                  <c:v>-0.71872021311320333</c:v>
                </c:pt>
                <c:pt idx="38">
                  <c:v>-0.43226402207805353</c:v>
                </c:pt>
                <c:pt idx="39">
                  <c:v>0.18892417592776384</c:v>
                </c:pt>
                <c:pt idx="40">
                  <c:v>0.65095117214494624</c:v>
                </c:pt>
                <c:pt idx="41">
                  <c:v>1.1827623815235899</c:v>
                </c:pt>
                <c:pt idx="42">
                  <c:v>-9.8974144881666476E-2</c:v>
                </c:pt>
                <c:pt idx="43">
                  <c:v>-9.1453270663906155E-2</c:v>
                </c:pt>
                <c:pt idx="44">
                  <c:v>-0.11807902992067695</c:v>
                </c:pt>
                <c:pt idx="45">
                  <c:v>-1.7236268485493478</c:v>
                </c:pt>
                <c:pt idx="46">
                  <c:v>-0.33355814336399159</c:v>
                </c:pt>
                <c:pt idx="47">
                  <c:v>0.80031042764788451</c:v>
                </c:pt>
                <c:pt idx="48">
                  <c:v>1.2024134098829318</c:v>
                </c:pt>
                <c:pt idx="49">
                  <c:v>-0.80347094646018002</c:v>
                </c:pt>
                <c:pt idx="50">
                  <c:v>-1.069680493383512</c:v>
                </c:pt>
                <c:pt idx="51">
                  <c:v>9.0897838053809923E-2</c:v>
                </c:pt>
                <c:pt idx="52">
                  <c:v>0.85773293501188919</c:v>
                </c:pt>
                <c:pt idx="53">
                  <c:v>-0.36415345207461425</c:v>
                </c:pt>
                <c:pt idx="54">
                  <c:v>1.2146200080846778</c:v>
                </c:pt>
                <c:pt idx="55">
                  <c:v>0.91035068751791337</c:v>
                </c:pt>
                <c:pt idx="56">
                  <c:v>-0.3328092869402427</c:v>
                </c:pt>
                <c:pt idx="57">
                  <c:v>0.21608461763948753</c:v>
                </c:pt>
                <c:pt idx="58">
                  <c:v>0.38216544914901912</c:v>
                </c:pt>
                <c:pt idx="59">
                  <c:v>1.3626434171836836</c:v>
                </c:pt>
                <c:pt idx="60">
                  <c:v>-2.4302078204781008</c:v>
                </c:pt>
                <c:pt idx="61">
                  <c:v>0.18413165963041317</c:v>
                </c:pt>
                <c:pt idx="62">
                  <c:v>0.5149933507241965</c:v>
                </c:pt>
                <c:pt idx="63">
                  <c:v>-0.70667899080776786</c:v>
                </c:pt>
                <c:pt idx="64">
                  <c:v>0.34543759967819931</c:v>
                </c:pt>
                <c:pt idx="65">
                  <c:v>0.42151922143763798</c:v>
                </c:pt>
                <c:pt idx="66">
                  <c:v>1.1214181659598874</c:v>
                </c:pt>
                <c:pt idx="67">
                  <c:v>0.58545791293386806</c:v>
                </c:pt>
                <c:pt idx="68">
                  <c:v>-0.86121357917753993</c:v>
                </c:pt>
                <c:pt idx="69">
                  <c:v>1.7103016234990427</c:v>
                </c:pt>
                <c:pt idx="70">
                  <c:v>0.41973861474938157</c:v>
                </c:pt>
                <c:pt idx="71">
                  <c:v>-1.4506622568314136</c:v>
                </c:pt>
                <c:pt idx="72">
                  <c:v>0.67639729736995369</c:v>
                </c:pt>
                <c:pt idx="73">
                  <c:v>-0.6997904887260743</c:v>
                </c:pt>
                <c:pt idx="74">
                  <c:v>0.83980793415731081</c:v>
                </c:pt>
                <c:pt idx="75">
                  <c:v>-0.42873427065023156</c:v>
                </c:pt>
                <c:pt idx="76">
                  <c:v>-1.5022386804099048</c:v>
                </c:pt>
                <c:pt idx="77">
                  <c:v>-0.71851610039105385</c:v>
                </c:pt>
                <c:pt idx="78">
                  <c:v>1.72780196473889</c:v>
                </c:pt>
                <c:pt idx="79">
                  <c:v>-0.72744384280324614</c:v>
                </c:pt>
                <c:pt idx="80">
                  <c:v>-6.1877424517207832E-2</c:v>
                </c:pt>
                <c:pt idx="81">
                  <c:v>-1.6715917852144073</c:v>
                </c:pt>
                <c:pt idx="82">
                  <c:v>-1.2800200876435868</c:v>
                </c:pt>
                <c:pt idx="83">
                  <c:v>3.0467811211665162E-2</c:v>
                </c:pt>
                <c:pt idx="84">
                  <c:v>-0.33712007374005781</c:v>
                </c:pt>
                <c:pt idx="85">
                  <c:v>-0.23348199586803925</c:v>
                </c:pt>
                <c:pt idx="86">
                  <c:v>1.1657620178195192</c:v>
                </c:pt>
                <c:pt idx="87">
                  <c:v>-0.8247499552612142</c:v>
                </c:pt>
                <c:pt idx="88">
                  <c:v>1.0690498933311141</c:v>
                </c:pt>
                <c:pt idx="89">
                  <c:v>0.56617882825145815</c:v>
                </c:pt>
                <c:pt idx="90">
                  <c:v>-5.0036952953843833E-2</c:v>
                </c:pt>
                <c:pt idx="91">
                  <c:v>0.42178042407828231</c:v>
                </c:pt>
                <c:pt idx="92">
                  <c:v>-0.20962266465618895</c:v>
                </c:pt>
                <c:pt idx="93">
                  <c:v>-9.530904681450493E-3</c:v>
                </c:pt>
                <c:pt idx="94">
                  <c:v>0.46781299511690755</c:v>
                </c:pt>
                <c:pt idx="95">
                  <c:v>5.282476549471677E-2</c:v>
                </c:pt>
                <c:pt idx="96">
                  <c:v>0.6797166503408768</c:v>
                </c:pt>
                <c:pt idx="97">
                  <c:v>0.35909040300154921</c:v>
                </c:pt>
                <c:pt idx="98">
                  <c:v>-0.60470096109771188</c:v>
                </c:pt>
                <c:pt idx="99">
                  <c:v>-3.8986278964833435E-2</c:v>
                </c:pt>
                <c:pt idx="100">
                  <c:v>-0.13404892142161978</c:v>
                </c:pt>
                <c:pt idx="101">
                  <c:v>0.81508873015659533</c:v>
                </c:pt>
                <c:pt idx="102">
                  <c:v>-0.36758597593238229</c:v>
                </c:pt>
                <c:pt idx="103">
                  <c:v>0.38456316597450507</c:v>
                </c:pt>
                <c:pt idx="104">
                  <c:v>1.0092162408164176</c:v>
                </c:pt>
                <c:pt idx="105">
                  <c:v>-9.9469134097685111E-2</c:v>
                </c:pt>
                <c:pt idx="106">
                  <c:v>-0.40579642179715386</c:v>
                </c:pt>
                <c:pt idx="107">
                  <c:v>-1.4127571088554912E-2</c:v>
                </c:pt>
                <c:pt idx="108">
                  <c:v>0.22032747185715779</c:v>
                </c:pt>
                <c:pt idx="109">
                  <c:v>0.74522292430530568</c:v>
                </c:pt>
                <c:pt idx="110">
                  <c:v>-0.74095489383452318</c:v>
                </c:pt>
                <c:pt idx="111">
                  <c:v>1.3230889752793984</c:v>
                </c:pt>
                <c:pt idx="112">
                  <c:v>1.2406272871457897</c:v>
                </c:pt>
                <c:pt idx="113">
                  <c:v>-0.43282019189323429</c:v>
                </c:pt>
                <c:pt idx="114">
                  <c:v>0.89605111632398327</c:v>
                </c:pt>
                <c:pt idx="115">
                  <c:v>-0.28239456316785455</c:v>
                </c:pt>
                <c:pt idx="116">
                  <c:v>-0.13167192601608996</c:v>
                </c:pt>
                <c:pt idx="117">
                  <c:v>1.2645400235958679</c:v>
                </c:pt>
                <c:pt idx="118">
                  <c:v>-0.59075049703147742</c:v>
                </c:pt>
                <c:pt idx="119">
                  <c:v>1.3927368593762262</c:v>
                </c:pt>
                <c:pt idx="120">
                  <c:v>1.0638114881653318</c:v>
                </c:pt>
                <c:pt idx="121">
                  <c:v>-1.0350215242034253</c:v>
                </c:pt>
                <c:pt idx="122">
                  <c:v>-1.2000159732156119</c:v>
                </c:pt>
                <c:pt idx="123">
                  <c:v>-1.7773115045860692</c:v>
                </c:pt>
                <c:pt idx="124">
                  <c:v>0.4530008842718603</c:v>
                </c:pt>
                <c:pt idx="125">
                  <c:v>0.87782037016324255</c:v>
                </c:pt>
                <c:pt idx="126">
                  <c:v>-0.16140896645485084</c:v>
                </c:pt>
                <c:pt idx="127">
                  <c:v>0.18717747615219038</c:v>
                </c:pt>
                <c:pt idx="128">
                  <c:v>1.0366430429943363</c:v>
                </c:pt>
                <c:pt idx="129">
                  <c:v>-1.704626827531573</c:v>
                </c:pt>
                <c:pt idx="130">
                  <c:v>0.77436065423016254</c:v>
                </c:pt>
                <c:pt idx="131">
                  <c:v>0.89157316336225612</c:v>
                </c:pt>
                <c:pt idx="132">
                  <c:v>0.18366079796012699</c:v>
                </c:pt>
                <c:pt idx="133">
                  <c:v>-0.50875021038659418</c:v>
                </c:pt>
                <c:pt idx="134">
                  <c:v>-1.1850173835559705</c:v>
                </c:pt>
                <c:pt idx="135">
                  <c:v>0.19033332436920644</c:v>
                </c:pt>
                <c:pt idx="136">
                  <c:v>1.2881791039610122</c:v>
                </c:pt>
                <c:pt idx="137">
                  <c:v>1.1400691588879632</c:v>
                </c:pt>
                <c:pt idx="138">
                  <c:v>-1.0776657854896883</c:v>
                </c:pt>
                <c:pt idx="139">
                  <c:v>0.38417783214063</c:v>
                </c:pt>
                <c:pt idx="140">
                  <c:v>0.72474487245402774</c:v>
                </c:pt>
                <c:pt idx="141">
                  <c:v>1.7635996761445329</c:v>
                </c:pt>
                <c:pt idx="142">
                  <c:v>-0.84089134380657682</c:v>
                </c:pt>
                <c:pt idx="143">
                  <c:v>-0.53764571479279888</c:v>
                </c:pt>
                <c:pt idx="144">
                  <c:v>1.4358903620288654</c:v>
                </c:pt>
                <c:pt idx="145">
                  <c:v>0.6853194508553927</c:v>
                </c:pt>
                <c:pt idx="146">
                  <c:v>0.66806044914122642</c:v>
                </c:pt>
                <c:pt idx="147">
                  <c:v>0.16025831658308493</c:v>
                </c:pt>
                <c:pt idx="148">
                  <c:v>0.77358684342799189</c:v>
                </c:pt>
                <c:pt idx="149">
                  <c:v>0.21189016335214619</c:v>
                </c:pt>
                <c:pt idx="150">
                  <c:v>-0.9909708221190161</c:v>
                </c:pt>
                <c:pt idx="151">
                  <c:v>-0.53913155205986008</c:v>
                </c:pt>
                <c:pt idx="152">
                  <c:v>-0.4066878556901945</c:v>
                </c:pt>
                <c:pt idx="153">
                  <c:v>1.5181987425833331E-2</c:v>
                </c:pt>
                <c:pt idx="154">
                  <c:v>-0.19806707333761941</c:v>
                </c:pt>
                <c:pt idx="155">
                  <c:v>-0.39686089840542649</c:v>
                </c:pt>
                <c:pt idx="156">
                  <c:v>-1.276252748250958</c:v>
                </c:pt>
                <c:pt idx="157">
                  <c:v>-0.47730865044009946</c:v>
                </c:pt>
                <c:pt idx="158">
                  <c:v>-0.71026357932809348</c:v>
                </c:pt>
                <c:pt idx="159">
                  <c:v>1.2993602820999828</c:v>
                </c:pt>
                <c:pt idx="160">
                  <c:v>8.4229367269714361E-2</c:v>
                </c:pt>
                <c:pt idx="161">
                  <c:v>-1.8070178707051012</c:v>
                </c:pt>
                <c:pt idx="162">
                  <c:v>1.1555162430612054</c:v>
                </c:pt>
                <c:pt idx="163">
                  <c:v>0.29299749859589791</c:v>
                </c:pt>
                <c:pt idx="164">
                  <c:v>1.2597932335900399</c:v>
                </c:pt>
                <c:pt idx="165">
                  <c:v>0.6197133303690272</c:v>
                </c:pt>
                <c:pt idx="166">
                  <c:v>0.4403198497809237</c:v>
                </c:pt>
                <c:pt idx="167">
                  <c:v>-0.93252242596800028</c:v>
                </c:pt>
                <c:pt idx="168">
                  <c:v>0.53630035167906054</c:v>
                </c:pt>
                <c:pt idx="169">
                  <c:v>-1.0960486875493842</c:v>
                </c:pt>
                <c:pt idx="170">
                  <c:v>0.20952695174443717</c:v>
                </c:pt>
                <c:pt idx="171">
                  <c:v>-0.27236185272347274</c:v>
                </c:pt>
                <c:pt idx="172">
                  <c:v>-0.234228181669142</c:v>
                </c:pt>
                <c:pt idx="173">
                  <c:v>1.0807621763026176</c:v>
                </c:pt>
                <c:pt idx="174">
                  <c:v>0.63434286962493769</c:v>
                </c:pt>
                <c:pt idx="175">
                  <c:v>-0.9261578922349013</c:v>
                </c:pt>
                <c:pt idx="176">
                  <c:v>-0.54686585852074321</c:v>
                </c:pt>
                <c:pt idx="177">
                  <c:v>-0.69830255188326107</c:v>
                </c:pt>
                <c:pt idx="178">
                  <c:v>0.78844939750802678</c:v>
                </c:pt>
                <c:pt idx="179">
                  <c:v>-0.39412368020840249</c:v>
                </c:pt>
                <c:pt idx="180">
                  <c:v>-1.7410076662609903</c:v>
                </c:pt>
                <c:pt idx="181">
                  <c:v>-1.0108052127339093</c:v>
                </c:pt>
                <c:pt idx="182">
                  <c:v>0.866064594615228</c:v>
                </c:pt>
                <c:pt idx="183">
                  <c:v>-0.97704227834128698</c:v>
                </c:pt>
                <c:pt idx="184">
                  <c:v>1.9577695585603723</c:v>
                </c:pt>
                <c:pt idx="185">
                  <c:v>6.7639605493534358E-2</c:v>
                </c:pt>
                <c:pt idx="186">
                  <c:v>2.5153840545555431E-2</c:v>
                </c:pt>
                <c:pt idx="187">
                  <c:v>-0.10983353387726173</c:v>
                </c:pt>
                <c:pt idx="188">
                  <c:v>-1.8922298577748837</c:v>
                </c:pt>
                <c:pt idx="189">
                  <c:v>0.82629744464772337</c:v>
                </c:pt>
                <c:pt idx="190">
                  <c:v>-1.8871033554304448</c:v>
                </c:pt>
                <c:pt idx="191">
                  <c:v>-0.30550203584164515</c:v>
                </c:pt>
                <c:pt idx="192">
                  <c:v>0.70162217266207805</c:v>
                </c:pt>
                <c:pt idx="193">
                  <c:v>-0.89151237230244518</c:v>
                </c:pt>
                <c:pt idx="194">
                  <c:v>0.49454972929595437</c:v>
                </c:pt>
                <c:pt idx="195">
                  <c:v>7.9429615873100004E-2</c:v>
                </c:pt>
                <c:pt idx="196">
                  <c:v>-0.51740670507493802</c:v>
                </c:pt>
                <c:pt idx="197">
                  <c:v>-1.2374644604724121</c:v>
                </c:pt>
                <c:pt idx="198">
                  <c:v>-0.12903955413781348</c:v>
                </c:pt>
                <c:pt idx="199">
                  <c:v>-0.36194616395107743</c:v>
                </c:pt>
                <c:pt idx="200">
                  <c:v>0.20790428173773873</c:v>
                </c:pt>
                <c:pt idx="201">
                  <c:v>0.17024243018878715</c:v>
                </c:pt>
                <c:pt idx="202">
                  <c:v>-0.60680442745715624</c:v>
                </c:pt>
                <c:pt idx="203">
                  <c:v>0.36081019294675848</c:v>
                </c:pt>
                <c:pt idx="204">
                  <c:v>0.58059864813176787</c:v>
                </c:pt>
                <c:pt idx="205">
                  <c:v>-1.4314460190059952</c:v>
                </c:pt>
                <c:pt idx="206">
                  <c:v>-0.25582877686577599</c:v>
                </c:pt>
                <c:pt idx="207">
                  <c:v>-0.61297934982004354</c:v>
                </c:pt>
                <c:pt idx="208">
                  <c:v>-1.9473668178409635</c:v>
                </c:pt>
                <c:pt idx="209">
                  <c:v>1.3507445846225745</c:v>
                </c:pt>
                <c:pt idx="210">
                  <c:v>-6.3701948114557025E-2</c:v>
                </c:pt>
                <c:pt idx="211">
                  <c:v>-1.1249051523921452</c:v>
                </c:pt>
                <c:pt idx="212">
                  <c:v>-1.1840256134863878</c:v>
                </c:pt>
                <c:pt idx="213">
                  <c:v>-1.0035042519492405</c:v>
                </c:pt>
                <c:pt idx="214">
                  <c:v>-0.86772359529134968</c:v>
                </c:pt>
                <c:pt idx="215">
                  <c:v>-0.15553704036266491</c:v>
                </c:pt>
                <c:pt idx="216">
                  <c:v>-0.27852691665283646</c:v>
                </c:pt>
                <c:pt idx="217">
                  <c:v>-1.5475980305461206</c:v>
                </c:pt>
                <c:pt idx="218">
                  <c:v>0.22968892462559687</c:v>
                </c:pt>
                <c:pt idx="219">
                  <c:v>-0.29978557259319466</c:v>
                </c:pt>
                <c:pt idx="220">
                  <c:v>-1.3396989907364102E-2</c:v>
                </c:pt>
                <c:pt idx="221">
                  <c:v>-0.69849707874870248</c:v>
                </c:pt>
                <c:pt idx="222">
                  <c:v>0.50252314213795046</c:v>
                </c:pt>
                <c:pt idx="223">
                  <c:v>0.38077707173142022</c:v>
                </c:pt>
                <c:pt idx="224">
                  <c:v>-0.92696490390076003</c:v>
                </c:pt>
                <c:pt idx="225">
                  <c:v>0.58269071762610325</c:v>
                </c:pt>
                <c:pt idx="226">
                  <c:v>1.0329308108625854</c:v>
                </c:pt>
                <c:pt idx="227">
                  <c:v>-0.81644007618314096</c:v>
                </c:pt>
                <c:pt idx="228">
                  <c:v>1.5752390760342583</c:v>
                </c:pt>
                <c:pt idx="229">
                  <c:v>-0.12088117713806372</c:v>
                </c:pt>
                <c:pt idx="230">
                  <c:v>1.3163543994911222</c:v>
                </c:pt>
                <c:pt idx="231">
                  <c:v>-0.69082148693665035</c:v>
                </c:pt>
                <c:pt idx="232">
                  <c:v>2.1720686867305848E-2</c:v>
                </c:pt>
                <c:pt idx="233">
                  <c:v>-0.42408105188054329</c:v>
                </c:pt>
                <c:pt idx="234">
                  <c:v>3.0149531509718375E-2</c:v>
                </c:pt>
                <c:pt idx="235">
                  <c:v>0.65973346261841559</c:v>
                </c:pt>
                <c:pt idx="236">
                  <c:v>-2.139947763673216</c:v>
                </c:pt>
                <c:pt idx="237">
                  <c:v>0.98122639762175279</c:v>
                </c:pt>
                <c:pt idx="238">
                  <c:v>-1.5270305678600524</c:v>
                </c:pt>
                <c:pt idx="239">
                  <c:v>0.60002530553330691</c:v>
                </c:pt>
                <c:pt idx="240">
                  <c:v>0.50921982438865177</c:v>
                </c:pt>
                <c:pt idx="241">
                  <c:v>-0.10514229737499296</c:v>
                </c:pt>
                <c:pt idx="242">
                  <c:v>-4.7426927748251697E-2</c:v>
                </c:pt>
                <c:pt idx="243">
                  <c:v>1.264322976136796</c:v>
                </c:pt>
                <c:pt idx="244">
                  <c:v>-2.7972837952314809</c:v>
                </c:pt>
                <c:pt idx="245">
                  <c:v>0.41920509797057987</c:v>
                </c:pt>
                <c:pt idx="246">
                  <c:v>-0.21383384336115963</c:v>
                </c:pt>
                <c:pt idx="247">
                  <c:v>1.7064357642548043</c:v>
                </c:pt>
                <c:pt idx="248">
                  <c:v>1.8768827352794806</c:v>
                </c:pt>
                <c:pt idx="249">
                  <c:v>1.0331530974246044</c:v>
                </c:pt>
                <c:pt idx="250">
                  <c:v>0.42367101100695098</c:v>
                </c:pt>
                <c:pt idx="251">
                  <c:v>-0.97867467133876229</c:v>
                </c:pt>
                <c:pt idx="252">
                  <c:v>-1.4216489348650621</c:v>
                </c:pt>
                <c:pt idx="253">
                  <c:v>0.56954711231694011</c:v>
                </c:pt>
                <c:pt idx="254">
                  <c:v>3.1433854819257121</c:v>
                </c:pt>
                <c:pt idx="255">
                  <c:v>6.3163372664162692E-2</c:v>
                </c:pt>
                <c:pt idx="256">
                  <c:v>1.1740660272725918</c:v>
                </c:pt>
                <c:pt idx="257">
                  <c:v>0.64672688152953173</c:v>
                </c:pt>
                <c:pt idx="258">
                  <c:v>-0.1784907898898728</c:v>
                </c:pt>
                <c:pt idx="259">
                  <c:v>-0.26662161750733443</c:v>
                </c:pt>
                <c:pt idx="260">
                  <c:v>0.21156199280113391</c:v>
                </c:pt>
                <c:pt idx="261">
                  <c:v>-1.9218625118426604</c:v>
                </c:pt>
                <c:pt idx="262">
                  <c:v>1.6267658015798598</c:v>
                </c:pt>
                <c:pt idx="263">
                  <c:v>-0.44992518147082633</c:v>
                </c:pt>
                <c:pt idx="264">
                  <c:v>-0.51369505404982829</c:v>
                </c:pt>
                <c:pt idx="265">
                  <c:v>1.2308444679076902</c:v>
                </c:pt>
                <c:pt idx="266">
                  <c:v>0.6326653525032031</c:v>
                </c:pt>
                <c:pt idx="267">
                  <c:v>1.5802987737181133</c:v>
                </c:pt>
                <c:pt idx="268">
                  <c:v>-6.1593346614289467E-2</c:v>
                </c:pt>
                <c:pt idx="269">
                  <c:v>-1.5563429927136405</c:v>
                </c:pt>
                <c:pt idx="270">
                  <c:v>-0.85193768463259045</c:v>
                </c:pt>
                <c:pt idx="271">
                  <c:v>-0.41190153246033434</c:v>
                </c:pt>
                <c:pt idx="272">
                  <c:v>-1.1429186631625867</c:v>
                </c:pt>
                <c:pt idx="273">
                  <c:v>0.57270640776950543</c:v>
                </c:pt>
                <c:pt idx="274">
                  <c:v>1.277193660216454</c:v>
                </c:pt>
                <c:pt idx="275">
                  <c:v>0.70188377327921148</c:v>
                </c:pt>
                <c:pt idx="276">
                  <c:v>-0.70106858726574905</c:v>
                </c:pt>
                <c:pt idx="277">
                  <c:v>1.6687861069701084</c:v>
                </c:pt>
                <c:pt idx="278">
                  <c:v>-2.5564341481312267</c:v>
                </c:pt>
                <c:pt idx="279">
                  <c:v>0.2940647813198955</c:v>
                </c:pt>
                <c:pt idx="280">
                  <c:v>-1.2677364105955282</c:v>
                </c:pt>
                <c:pt idx="281">
                  <c:v>0.35824816567232998</c:v>
                </c:pt>
                <c:pt idx="282">
                  <c:v>-0.65323160742246378</c:v>
                </c:pt>
                <c:pt idx="283">
                  <c:v>0.87481554631491443</c:v>
                </c:pt>
                <c:pt idx="284">
                  <c:v>1.0797700184582504</c:v>
                </c:pt>
                <c:pt idx="285">
                  <c:v>-1.0043072212093855</c:v>
                </c:pt>
                <c:pt idx="286">
                  <c:v>-1.0809709123952378</c:v>
                </c:pt>
                <c:pt idx="287">
                  <c:v>-4.1812619713616141E-2</c:v>
                </c:pt>
                <c:pt idx="288">
                  <c:v>-0.12584594346284533</c:v>
                </c:pt>
                <c:pt idx="289">
                  <c:v>-0.20371057345306057</c:v>
                </c:pt>
                <c:pt idx="290">
                  <c:v>1.1058510803057524</c:v>
                </c:pt>
                <c:pt idx="291">
                  <c:v>4.6600743243640386E-2</c:v>
                </c:pt>
                <c:pt idx="292">
                  <c:v>0.38848415270234032</c:v>
                </c:pt>
                <c:pt idx="293">
                  <c:v>7.0564473370818325E-4</c:v>
                </c:pt>
                <c:pt idx="294">
                  <c:v>8.7579566227933919E-2</c:v>
                </c:pt>
                <c:pt idx="295">
                  <c:v>-0.40273771128595698</c:v>
                </c:pt>
                <c:pt idx="296">
                  <c:v>0.27871825651575238</c:v>
                </c:pt>
                <c:pt idx="297">
                  <c:v>-1.4393127226528701</c:v>
                </c:pt>
                <c:pt idx="298">
                  <c:v>1.0171441324648913</c:v>
                </c:pt>
                <c:pt idx="299">
                  <c:v>0.70524253604984066</c:v>
                </c:pt>
                <c:pt idx="300">
                  <c:v>-0.25763114841416113</c:v>
                </c:pt>
                <c:pt idx="301">
                  <c:v>1.7066686986853772</c:v>
                </c:pt>
                <c:pt idx="302">
                  <c:v>0.47739974523820272</c:v>
                </c:pt>
                <c:pt idx="303">
                  <c:v>-0.52009592137681104</c:v>
                </c:pt>
                <c:pt idx="304">
                  <c:v>0.32823871852439673</c:v>
                </c:pt>
                <c:pt idx="305">
                  <c:v>2.3494994128671425</c:v>
                </c:pt>
                <c:pt idx="306">
                  <c:v>-1.2145303358865953</c:v>
                </c:pt>
                <c:pt idx="307">
                  <c:v>1.3998036563325857</c:v>
                </c:pt>
                <c:pt idx="308">
                  <c:v>1.7434219852986812</c:v>
                </c:pt>
                <c:pt idx="309">
                  <c:v>-0.60787881194982396</c:v>
                </c:pt>
                <c:pt idx="310">
                  <c:v>1.38146581997704</c:v>
                </c:pt>
                <c:pt idx="311">
                  <c:v>-0.26646382970460275</c:v>
                </c:pt>
                <c:pt idx="312">
                  <c:v>1.1457630050821981</c:v>
                </c:pt>
                <c:pt idx="313">
                  <c:v>0.58141779108782077</c:v>
                </c:pt>
                <c:pt idx="314">
                  <c:v>1.0522001468851794</c:v>
                </c:pt>
                <c:pt idx="315">
                  <c:v>0.32390608586493347</c:v>
                </c:pt>
                <c:pt idx="316">
                  <c:v>0.27534326671681081</c:v>
                </c:pt>
                <c:pt idx="317">
                  <c:v>1.0086849335109387</c:v>
                </c:pt>
                <c:pt idx="318">
                  <c:v>0.94601772402042261</c:v>
                </c:pt>
                <c:pt idx="319">
                  <c:v>0.15001944132699863</c:v>
                </c:pt>
                <c:pt idx="320">
                  <c:v>-1.0247209593615267</c:v>
                </c:pt>
                <c:pt idx="321">
                  <c:v>-0.53715061987448776</c:v>
                </c:pt>
                <c:pt idx="322">
                  <c:v>1.4795878548364505</c:v>
                </c:pt>
                <c:pt idx="323">
                  <c:v>-0.71301312035875808</c:v>
                </c:pt>
                <c:pt idx="324">
                  <c:v>-0.1749268124580956</c:v>
                </c:pt>
                <c:pt idx="325">
                  <c:v>0.38039921491366918</c:v>
                </c:pt>
                <c:pt idx="326">
                  <c:v>-1.2402637931792553</c:v>
                </c:pt>
                <c:pt idx="327">
                  <c:v>1.7705563081052915</c:v>
                </c:pt>
                <c:pt idx="328">
                  <c:v>-0.81103345606118016</c:v>
                </c:pt>
                <c:pt idx="329">
                  <c:v>-0.35315206440898395</c:v>
                </c:pt>
                <c:pt idx="330">
                  <c:v>0.4944155429369802</c:v>
                </c:pt>
                <c:pt idx="331">
                  <c:v>-0.38594493971524463</c:v>
                </c:pt>
                <c:pt idx="332">
                  <c:v>-6.9469584731782039E-2</c:v>
                </c:pt>
                <c:pt idx="333">
                  <c:v>0.41015056742454975</c:v>
                </c:pt>
                <c:pt idx="334">
                  <c:v>0.64556298037911453</c:v>
                </c:pt>
                <c:pt idx="335">
                  <c:v>0.37239529564093926</c:v>
                </c:pt>
                <c:pt idx="336">
                  <c:v>-2.3004589213885462</c:v>
                </c:pt>
                <c:pt idx="337">
                  <c:v>-9.6101631835660613E-3</c:v>
                </c:pt>
                <c:pt idx="338">
                  <c:v>-0.49627106169161028</c:v>
                </c:pt>
                <c:pt idx="339">
                  <c:v>0.32750454645335553</c:v>
                </c:pt>
                <c:pt idx="340">
                  <c:v>-0.51986229223848635</c:v>
                </c:pt>
                <c:pt idx="341">
                  <c:v>-1.8419860000682358</c:v>
                </c:pt>
                <c:pt idx="342">
                  <c:v>-0.91317419904968</c:v>
                </c:pt>
                <c:pt idx="343">
                  <c:v>-0.12429418504494578</c:v>
                </c:pt>
                <c:pt idx="344">
                  <c:v>1.2606402720334038</c:v>
                </c:pt>
                <c:pt idx="345">
                  <c:v>1.0626900403487773</c:v>
                </c:pt>
                <c:pt idx="346">
                  <c:v>-0.28795814281599769</c:v>
                </c:pt>
                <c:pt idx="347">
                  <c:v>0.42244834727824021</c:v>
                </c:pt>
                <c:pt idx="348">
                  <c:v>0.39203643524078208</c:v>
                </c:pt>
                <c:pt idx="349">
                  <c:v>-0.34448188251419137</c:v>
                </c:pt>
                <c:pt idx="350">
                  <c:v>-0.24954774349914369</c:v>
                </c:pt>
                <c:pt idx="351">
                  <c:v>1.0950068721714923</c:v>
                </c:pt>
                <c:pt idx="352">
                  <c:v>-1.0568846513512844</c:v>
                </c:pt>
                <c:pt idx="353">
                  <c:v>-1.0734836112346944</c:v>
                </c:pt>
                <c:pt idx="354">
                  <c:v>-0.37005489229386995</c:v>
                </c:pt>
                <c:pt idx="355">
                  <c:v>-2.1197961500344729E-2</c:v>
                </c:pt>
                <c:pt idx="356">
                  <c:v>-0.41283670365466396</c:v>
                </c:pt>
                <c:pt idx="357">
                  <c:v>-1.2535771279380714</c:v>
                </c:pt>
                <c:pt idx="358">
                  <c:v>0.27585530610875098</c:v>
                </c:pt>
                <c:pt idx="359">
                  <c:v>-0.52130172913531858</c:v>
                </c:pt>
                <c:pt idx="360">
                  <c:v>1.3622842065388039</c:v>
                </c:pt>
                <c:pt idx="361">
                  <c:v>0.71125987575090399</c:v>
                </c:pt>
                <c:pt idx="362">
                  <c:v>0.45559485667519983</c:v>
                </c:pt>
                <c:pt idx="363">
                  <c:v>-0.45008848817278435</c:v>
                </c:pt>
                <c:pt idx="364">
                  <c:v>0.3527595975890947</c:v>
                </c:pt>
                <c:pt idx="365">
                  <c:v>0.50033787002265617</c:v>
                </c:pt>
                <c:pt idx="366">
                  <c:v>-0.16772009992660686</c:v>
                </c:pt>
                <c:pt idx="367">
                  <c:v>-0.30692711227832326</c:v>
                </c:pt>
                <c:pt idx="368">
                  <c:v>0.27010182950804873</c:v>
                </c:pt>
                <c:pt idx="369">
                  <c:v>1.0375362215640627</c:v>
                </c:pt>
                <c:pt idx="370">
                  <c:v>-0.62831170068241182</c:v>
                </c:pt>
                <c:pt idx="371">
                  <c:v>1.7670145330826421</c:v>
                </c:pt>
                <c:pt idx="372">
                  <c:v>-2.1413029078223209</c:v>
                </c:pt>
                <c:pt idx="373">
                  <c:v>-0.49249314581572395</c:v>
                </c:pt>
                <c:pt idx="374">
                  <c:v>1.0263235951735388</c:v>
                </c:pt>
                <c:pt idx="375">
                  <c:v>-0.32295066126947858</c:v>
                </c:pt>
                <c:pt idx="376">
                  <c:v>-2.0710396229836667</c:v>
                </c:pt>
                <c:pt idx="377">
                  <c:v>-0.54886569693201581</c:v>
                </c:pt>
                <c:pt idx="378">
                  <c:v>-0.95333635741306655</c:v>
                </c:pt>
                <c:pt idx="379">
                  <c:v>-2.311780782870843</c:v>
                </c:pt>
                <c:pt idx="380">
                  <c:v>0.31499336516739201</c:v>
                </c:pt>
                <c:pt idx="381">
                  <c:v>-1.4302422673763731</c:v>
                </c:pt>
                <c:pt idx="382">
                  <c:v>-0.37593264496052492</c:v>
                </c:pt>
                <c:pt idx="383">
                  <c:v>0.72964803998207872</c:v>
                </c:pt>
                <c:pt idx="384">
                  <c:v>0.39567693611526183</c:v>
                </c:pt>
                <c:pt idx="385">
                  <c:v>0.10880950778541493</c:v>
                </c:pt>
                <c:pt idx="386">
                  <c:v>-0.89588038853731444</c:v>
                </c:pt>
                <c:pt idx="387">
                  <c:v>0.36963490994404208</c:v>
                </c:pt>
                <c:pt idx="388">
                  <c:v>0.58192581783434616</c:v>
                </c:pt>
                <c:pt idx="389">
                  <c:v>-1.0919155067442321</c:v>
                </c:pt>
                <c:pt idx="390">
                  <c:v>0.68836203494377368</c:v>
                </c:pt>
                <c:pt idx="391">
                  <c:v>-0.22071526285489504</c:v>
                </c:pt>
                <c:pt idx="392">
                  <c:v>2.5269202623860556</c:v>
                </c:pt>
                <c:pt idx="393">
                  <c:v>-1.3299888371477202</c:v>
                </c:pt>
                <c:pt idx="394">
                  <c:v>-1.153348008408196</c:v>
                </c:pt>
                <c:pt idx="395">
                  <c:v>0.29262045793153052</c:v>
                </c:pt>
                <c:pt idx="396">
                  <c:v>0.66419413345535228</c:v>
                </c:pt>
                <c:pt idx="397">
                  <c:v>-1.0581478695462312</c:v>
                </c:pt>
                <c:pt idx="398">
                  <c:v>-1.1386968051065804</c:v>
                </c:pt>
                <c:pt idx="399">
                  <c:v>-1.049259443084023</c:v>
                </c:pt>
                <c:pt idx="400">
                  <c:v>-0.29972075687765565</c:v>
                </c:pt>
                <c:pt idx="401">
                  <c:v>-9.3065680429727002E-2</c:v>
                </c:pt>
                <c:pt idx="402">
                  <c:v>-1.8797846086780294</c:v>
                </c:pt>
                <c:pt idx="403">
                  <c:v>0.92901467442253594</c:v>
                </c:pt>
                <c:pt idx="404">
                  <c:v>-1.2571666027390758</c:v>
                </c:pt>
                <c:pt idx="405">
                  <c:v>-0.20422220157535903</c:v>
                </c:pt>
                <c:pt idx="406">
                  <c:v>1.2068053189007744</c:v>
                </c:pt>
                <c:pt idx="407">
                  <c:v>-1.5561568332928526</c:v>
                </c:pt>
                <c:pt idx="408">
                  <c:v>0.39018066687804998</c:v>
                </c:pt>
                <c:pt idx="409">
                  <c:v>2.0205277985320453</c:v>
                </c:pt>
                <c:pt idx="410">
                  <c:v>0.2602736547679893</c:v>
                </c:pt>
                <c:pt idx="411">
                  <c:v>0.90047883603717938</c:v>
                </c:pt>
                <c:pt idx="412">
                  <c:v>-0.87385803209880775</c:v>
                </c:pt>
                <c:pt idx="413">
                  <c:v>0.8838567818088866</c:v>
                </c:pt>
                <c:pt idx="414">
                  <c:v>0.77684644174380046</c:v>
                </c:pt>
                <c:pt idx="415">
                  <c:v>0.83396301704148157</c:v>
                </c:pt>
                <c:pt idx="416">
                  <c:v>-0.95358732163509408</c:v>
                </c:pt>
                <c:pt idx="417">
                  <c:v>-0.57187736035179215</c:v>
                </c:pt>
                <c:pt idx="418">
                  <c:v>-0.89214977697598663</c:v>
                </c:pt>
                <c:pt idx="419">
                  <c:v>0.61269899425071805</c:v>
                </c:pt>
                <c:pt idx="420">
                  <c:v>-0.70247460448337185</c:v>
                </c:pt>
                <c:pt idx="421">
                  <c:v>-0.34766486883124381</c:v>
                </c:pt>
                <c:pt idx="422">
                  <c:v>1.9696679986322383</c:v>
                </c:pt>
                <c:pt idx="423">
                  <c:v>-0.79485917726842914</c:v>
                </c:pt>
                <c:pt idx="424">
                  <c:v>-0.10295339933366325</c:v>
                </c:pt>
                <c:pt idx="425">
                  <c:v>0.27797695048875121</c:v>
                </c:pt>
                <c:pt idx="426">
                  <c:v>-0.63806911970681646</c:v>
                </c:pt>
                <c:pt idx="427">
                  <c:v>1.8064588782715869</c:v>
                </c:pt>
                <c:pt idx="428">
                  <c:v>-1.2212438761349753</c:v>
                </c:pt>
                <c:pt idx="429">
                  <c:v>-1.3236413721851634</c:v>
                </c:pt>
                <c:pt idx="430">
                  <c:v>0.6532026293343941</c:v>
                </c:pt>
                <c:pt idx="431">
                  <c:v>0.43726166267758881</c:v>
                </c:pt>
                <c:pt idx="432">
                  <c:v>-0.33561772151124059</c:v>
                </c:pt>
                <c:pt idx="433">
                  <c:v>-0.52712855646731116</c:v>
                </c:pt>
                <c:pt idx="434">
                  <c:v>0.33748716051595301</c:v>
                </c:pt>
                <c:pt idx="435">
                  <c:v>1.3535769174356986</c:v>
                </c:pt>
                <c:pt idx="436">
                  <c:v>-0.28855216929550243</c:v>
                </c:pt>
                <c:pt idx="437">
                  <c:v>-0.39269334361795122</c:v>
                </c:pt>
                <c:pt idx="438">
                  <c:v>0.36588219072521755</c:v>
                </c:pt>
                <c:pt idx="439">
                  <c:v>1.0225110852706909</c:v>
                </c:pt>
                <c:pt idx="440">
                  <c:v>-0.40948239086491078</c:v>
                </c:pt>
                <c:pt idx="441">
                  <c:v>0.47785178772097686</c:v>
                </c:pt>
                <c:pt idx="442">
                  <c:v>-0.45892449891215287</c:v>
                </c:pt>
                <c:pt idx="443">
                  <c:v>0.45540394428315606</c:v>
                </c:pt>
                <c:pt idx="444">
                  <c:v>0.16152344357979548</c:v>
                </c:pt>
                <c:pt idx="445">
                  <c:v>1.672389485985021</c:v>
                </c:pt>
                <c:pt idx="446">
                  <c:v>1.9890513181350686</c:v>
                </c:pt>
                <c:pt idx="447">
                  <c:v>0.22793252454688256</c:v>
                </c:pt>
                <c:pt idx="448">
                  <c:v>2.3807584753430592E-2</c:v>
                </c:pt>
                <c:pt idx="449">
                  <c:v>0.33264040601174377</c:v>
                </c:pt>
                <c:pt idx="450">
                  <c:v>-0.89024691502040976</c:v>
                </c:pt>
                <c:pt idx="451">
                  <c:v>-0.6825970441913467</c:v>
                </c:pt>
                <c:pt idx="452">
                  <c:v>0.56506863079231529</c:v>
                </c:pt>
                <c:pt idx="453">
                  <c:v>-0.64193949803098294</c:v>
                </c:pt>
                <c:pt idx="454">
                  <c:v>1.9096534550692734</c:v>
                </c:pt>
                <c:pt idx="455">
                  <c:v>-0.33264830224776104</c:v>
                </c:pt>
                <c:pt idx="456">
                  <c:v>-6.6533190100828699E-2</c:v>
                </c:pt>
                <c:pt idx="457">
                  <c:v>0.26446581349934761</c:v>
                </c:pt>
                <c:pt idx="458">
                  <c:v>0.43931498429586496</c:v>
                </c:pt>
                <c:pt idx="459">
                  <c:v>0.18397024620957805</c:v>
                </c:pt>
                <c:pt idx="460">
                  <c:v>-1.087490796391694</c:v>
                </c:pt>
                <c:pt idx="461">
                  <c:v>2.19368159455651</c:v>
                </c:pt>
                <c:pt idx="462">
                  <c:v>0.28213146985103543</c:v>
                </c:pt>
                <c:pt idx="463">
                  <c:v>1.1760295928528082</c:v>
                </c:pt>
                <c:pt idx="464">
                  <c:v>0.22550812556686303</c:v>
                </c:pt>
                <c:pt idx="465">
                  <c:v>-1.1012262749335444</c:v>
                </c:pt>
                <c:pt idx="466">
                  <c:v>-0.13203150285990053</c:v>
                </c:pt>
                <c:pt idx="467">
                  <c:v>2.6730537616300722</c:v>
                </c:pt>
                <c:pt idx="468">
                  <c:v>0.34171804255571703</c:v>
                </c:pt>
                <c:pt idx="469">
                  <c:v>-0.40784424295737548</c:v>
                </c:pt>
                <c:pt idx="470">
                  <c:v>0.62094392464128423</c:v>
                </c:pt>
                <c:pt idx="471">
                  <c:v>1.0910005966328382</c:v>
                </c:pt>
                <c:pt idx="472">
                  <c:v>-2.2712456618527632</c:v>
                </c:pt>
                <c:pt idx="473">
                  <c:v>-0.47974137194607702</c:v>
                </c:pt>
                <c:pt idx="474">
                  <c:v>0.75268846272422252</c:v>
                </c:pt>
                <c:pt idx="475">
                  <c:v>1.0929950046742667</c:v>
                </c:pt>
                <c:pt idx="476">
                  <c:v>0.89417303348061183</c:v>
                </c:pt>
                <c:pt idx="477">
                  <c:v>1.7292835591254812</c:v>
                </c:pt>
                <c:pt idx="478">
                  <c:v>0.53556792517791629</c:v>
                </c:pt>
                <c:pt idx="479">
                  <c:v>-1.0318227743225177</c:v>
                </c:pt>
                <c:pt idx="480">
                  <c:v>-1.2785300062615392</c:v>
                </c:pt>
                <c:pt idx="481">
                  <c:v>1.1959785047983325</c:v>
                </c:pt>
                <c:pt idx="482">
                  <c:v>0.14864978676754273</c:v>
                </c:pt>
                <c:pt idx="483">
                  <c:v>0.68959661950878726</c:v>
                </c:pt>
                <c:pt idx="484">
                  <c:v>-0.33066657293068097</c:v>
                </c:pt>
                <c:pt idx="485">
                  <c:v>-1.0466589520469134</c:v>
                </c:pt>
                <c:pt idx="486">
                  <c:v>0.37473897538818568</c:v>
                </c:pt>
                <c:pt idx="487">
                  <c:v>0.67145021058544052</c:v>
                </c:pt>
                <c:pt idx="488">
                  <c:v>-2.6529597370600375</c:v>
                </c:pt>
                <c:pt idx="489">
                  <c:v>-0.4906795676709157</c:v>
                </c:pt>
                <c:pt idx="490">
                  <c:v>-2.1318078746832305</c:v>
                </c:pt>
                <c:pt idx="491">
                  <c:v>-0.566931552577839</c:v>
                </c:pt>
                <c:pt idx="492">
                  <c:v>-1.6621162773221898</c:v>
                </c:pt>
                <c:pt idx="493">
                  <c:v>0.59805177920227526</c:v>
                </c:pt>
                <c:pt idx="494">
                  <c:v>1.3029617403914473</c:v>
                </c:pt>
                <c:pt idx="495">
                  <c:v>1.8903151635334778</c:v>
                </c:pt>
                <c:pt idx="496">
                  <c:v>0.20139312325840672</c:v>
                </c:pt>
                <c:pt idx="497">
                  <c:v>0.15139664846615941</c:v>
                </c:pt>
                <c:pt idx="498">
                  <c:v>-0.35597780384606759</c:v>
                </c:pt>
                <c:pt idx="499">
                  <c:v>0.88511273874784646</c:v>
                </c:pt>
                <c:pt idx="500">
                  <c:v>-1.1835527798788217</c:v>
                </c:pt>
                <c:pt idx="501">
                  <c:v>0.79221735437034246</c:v>
                </c:pt>
                <c:pt idx="502">
                  <c:v>-0.60881305258585516</c:v>
                </c:pt>
                <c:pt idx="503">
                  <c:v>-0.99816302303289395</c:v>
                </c:pt>
                <c:pt idx="504">
                  <c:v>6.3545047067849914E-2</c:v>
                </c:pt>
                <c:pt idx="505">
                  <c:v>-0.70344090847413832</c:v>
                </c:pt>
                <c:pt idx="506">
                  <c:v>-0.39382390378496923</c:v>
                </c:pt>
                <c:pt idx="507">
                  <c:v>0.43195320646547741</c:v>
                </c:pt>
                <c:pt idx="508">
                  <c:v>0.30627089868369806</c:v>
                </c:pt>
                <c:pt idx="509">
                  <c:v>9.5162108602124609E-3</c:v>
                </c:pt>
                <c:pt idx="510">
                  <c:v>-0.14749364992145894</c:v>
                </c:pt>
                <c:pt idx="511">
                  <c:v>0.90520202303922914</c:v>
                </c:pt>
                <c:pt idx="512">
                  <c:v>1.8777982288597614</c:v>
                </c:pt>
                <c:pt idx="513">
                  <c:v>-0.79051142959313081</c:v>
                </c:pt>
                <c:pt idx="514">
                  <c:v>-0.59060090090397532</c:v>
                </c:pt>
                <c:pt idx="515">
                  <c:v>-2.0493348849354081</c:v>
                </c:pt>
                <c:pt idx="516">
                  <c:v>-0.57250556252723905</c:v>
                </c:pt>
                <c:pt idx="517">
                  <c:v>-0.44221832508874848</c:v>
                </c:pt>
                <c:pt idx="518">
                  <c:v>-0.46191290500919902</c:v>
                </c:pt>
                <c:pt idx="519">
                  <c:v>0.92704207501470226</c:v>
                </c:pt>
                <c:pt idx="520">
                  <c:v>0.52681739960680729</c:v>
                </c:pt>
                <c:pt idx="521">
                  <c:v>1.2386678152728092E-2</c:v>
                </c:pt>
                <c:pt idx="522">
                  <c:v>-1.5348855252937053</c:v>
                </c:pt>
                <c:pt idx="523">
                  <c:v>0.27480946968170517</c:v>
                </c:pt>
                <c:pt idx="524">
                  <c:v>-0.40076194398010478</c:v>
                </c:pt>
                <c:pt idx="525">
                  <c:v>0.69475686665293512</c:v>
                </c:pt>
                <c:pt idx="526">
                  <c:v>-1.0258261171506786</c:v>
                </c:pt>
                <c:pt idx="527">
                  <c:v>-0.96146617083900809</c:v>
                </c:pt>
                <c:pt idx="528">
                  <c:v>0.58003212466069887</c:v>
                </c:pt>
                <c:pt idx="529">
                  <c:v>-0.21115869864133094</c:v>
                </c:pt>
                <c:pt idx="530">
                  <c:v>-0.25378276031357361</c:v>
                </c:pt>
                <c:pt idx="531">
                  <c:v>1.0707929500359674</c:v>
                </c:pt>
                <c:pt idx="532">
                  <c:v>1.4791205737894004</c:v>
                </c:pt>
                <c:pt idx="533">
                  <c:v>1.0826500336201186</c:v>
                </c:pt>
                <c:pt idx="534">
                  <c:v>0.8287404470011912</c:v>
                </c:pt>
                <c:pt idx="535">
                  <c:v>0.25111238955793108</c:v>
                </c:pt>
                <c:pt idx="536">
                  <c:v>4.187937223109213E-2</c:v>
                </c:pt>
                <c:pt idx="537">
                  <c:v>-0.78178748877750992</c:v>
                </c:pt>
                <c:pt idx="538">
                  <c:v>-0.9658044060509362</c:v>
                </c:pt>
                <c:pt idx="539">
                  <c:v>0.61294227890130326</c:v>
                </c:pt>
                <c:pt idx="540">
                  <c:v>0.11086050497953212</c:v>
                </c:pt>
                <c:pt idx="541">
                  <c:v>0.88530434693956717</c:v>
                </c:pt>
                <c:pt idx="542">
                  <c:v>1.3736189878621179</c:v>
                </c:pt>
                <c:pt idx="543">
                  <c:v>1.655370686823517</c:v>
                </c:pt>
                <c:pt idx="544">
                  <c:v>-1.8428263161796927</c:v>
                </c:pt>
                <c:pt idx="545">
                  <c:v>1.4566106600249653E-2</c:v>
                </c:pt>
                <c:pt idx="546">
                  <c:v>-0.5763246267023121</c:v>
                </c:pt>
                <c:pt idx="547">
                  <c:v>-1.0579224737752047</c:v>
                </c:pt>
                <c:pt idx="548">
                  <c:v>0.42947874055673291</c:v>
                </c:pt>
                <c:pt idx="549">
                  <c:v>0.61162877576946129</c:v>
                </c:pt>
                <c:pt idx="550">
                  <c:v>0.39409821418652419</c:v>
                </c:pt>
                <c:pt idx="551">
                  <c:v>0.53680428328415497</c:v>
                </c:pt>
                <c:pt idx="552">
                  <c:v>1.4996245838762872</c:v>
                </c:pt>
                <c:pt idx="553">
                  <c:v>-0.24601202153397936</c:v>
                </c:pt>
                <c:pt idx="554">
                  <c:v>2.0351755477250668</c:v>
                </c:pt>
                <c:pt idx="555">
                  <c:v>-1.2506594835880112</c:v>
                </c:pt>
                <c:pt idx="556">
                  <c:v>0.21194979720344997</c:v>
                </c:pt>
                <c:pt idx="557">
                  <c:v>-1.6293346017193608</c:v>
                </c:pt>
                <c:pt idx="558">
                  <c:v>1.2724959496701613</c:v>
                </c:pt>
                <c:pt idx="559">
                  <c:v>-0.71876129408192357</c:v>
                </c:pt>
                <c:pt idx="560">
                  <c:v>-0.95586573777744621</c:v>
                </c:pt>
                <c:pt idx="561">
                  <c:v>-0.48625470271223908</c:v>
                </c:pt>
                <c:pt idx="562">
                  <c:v>-0.59526782389957145</c:v>
                </c:pt>
                <c:pt idx="563">
                  <c:v>1.770601433833958</c:v>
                </c:pt>
                <c:pt idx="564">
                  <c:v>0.5798052162535996</c:v>
                </c:pt>
                <c:pt idx="565">
                  <c:v>1.8532380852084187</c:v>
                </c:pt>
                <c:pt idx="566">
                  <c:v>0.19303471293141033</c:v>
                </c:pt>
                <c:pt idx="567">
                  <c:v>-0.22362096027811892</c:v>
                </c:pt>
                <c:pt idx="568">
                  <c:v>0.29382313746236421</c:v>
                </c:pt>
                <c:pt idx="569">
                  <c:v>-1.6466672336576014</c:v>
                </c:pt>
                <c:pt idx="570">
                  <c:v>1.0587214138011463</c:v>
                </c:pt>
                <c:pt idx="571">
                  <c:v>1.9517325238812671</c:v>
                </c:pt>
                <c:pt idx="572">
                  <c:v>0.42077501880162471</c:v>
                </c:pt>
                <c:pt idx="573">
                  <c:v>-1.3133239528691247</c:v>
                </c:pt>
                <c:pt idx="574">
                  <c:v>-2.1313540800962184E-2</c:v>
                </c:pt>
                <c:pt idx="575">
                  <c:v>-0.72681836531264044</c:v>
                </c:pt>
                <c:pt idx="576">
                  <c:v>9.1972352712605371E-2</c:v>
                </c:pt>
                <c:pt idx="577">
                  <c:v>0.63240095961415188</c:v>
                </c:pt>
                <c:pt idx="578">
                  <c:v>0.18931539445560805</c:v>
                </c:pt>
                <c:pt idx="579">
                  <c:v>-0.13392991329254519</c:v>
                </c:pt>
                <c:pt idx="580">
                  <c:v>-2.3066036205523028</c:v>
                </c:pt>
                <c:pt idx="581">
                  <c:v>0.17260391215033991</c:v>
                </c:pt>
                <c:pt idx="582">
                  <c:v>1.8552971603107424</c:v>
                </c:pt>
                <c:pt idx="583">
                  <c:v>1.6911381588018728</c:v>
                </c:pt>
                <c:pt idx="584">
                  <c:v>1.3069113648504336</c:v>
                </c:pt>
                <c:pt idx="585">
                  <c:v>0.1167113695466203</c:v>
                </c:pt>
                <c:pt idx="586">
                  <c:v>-0.52524620943571521</c:v>
                </c:pt>
                <c:pt idx="587">
                  <c:v>0.14183962669193839</c:v>
                </c:pt>
                <c:pt idx="588">
                  <c:v>0.66326728610830987</c:v>
                </c:pt>
                <c:pt idx="589">
                  <c:v>-0.9599808642811728</c:v>
                </c:pt>
                <c:pt idx="590">
                  <c:v>-0.60631431910480427</c:v>
                </c:pt>
                <c:pt idx="591">
                  <c:v>-0.49317874112989429</c:v>
                </c:pt>
                <c:pt idx="592">
                  <c:v>-0.78054866641980136</c:v>
                </c:pt>
                <c:pt idx="593">
                  <c:v>1.0444717991120409</c:v>
                </c:pt>
                <c:pt idx="594">
                  <c:v>-0.95126223381600061</c:v>
                </c:pt>
                <c:pt idx="595">
                  <c:v>-2.8901939123702331E-2</c:v>
                </c:pt>
                <c:pt idx="596">
                  <c:v>1.4770314691630073</c:v>
                </c:pt>
                <c:pt idx="597">
                  <c:v>-1.1432335620255516</c:v>
                </c:pt>
                <c:pt idx="598">
                  <c:v>0.37282264890364802</c:v>
                </c:pt>
                <c:pt idx="599">
                  <c:v>-1.4705060851735707</c:v>
                </c:pt>
                <c:pt idx="600">
                  <c:v>-8.755657521987803E-2</c:v>
                </c:pt>
                <c:pt idx="601">
                  <c:v>0.13557423877471944</c:v>
                </c:pt>
                <c:pt idx="602">
                  <c:v>0.643627460159652</c:v>
                </c:pt>
                <c:pt idx="603">
                  <c:v>-1.1639157523380297</c:v>
                </c:pt>
                <c:pt idx="604">
                  <c:v>0.99288534521675909</c:v>
                </c:pt>
                <c:pt idx="605">
                  <c:v>1.1121841834435051</c:v>
                </c:pt>
                <c:pt idx="606">
                  <c:v>-1.4959789625049205</c:v>
                </c:pt>
                <c:pt idx="607">
                  <c:v>-0.92678876816757605</c:v>
                </c:pt>
                <c:pt idx="608">
                  <c:v>-0.72902442073762741</c:v>
                </c:pt>
                <c:pt idx="609">
                  <c:v>1.3191146987806506</c:v>
                </c:pt>
                <c:pt idx="610">
                  <c:v>0.58714449706509009</c:v>
                </c:pt>
                <c:pt idx="611">
                  <c:v>-0.84273408012768969</c:v>
                </c:pt>
                <c:pt idx="612">
                  <c:v>6.0582088051115784E-2</c:v>
                </c:pt>
                <c:pt idx="613">
                  <c:v>7.9306617341030991E-2</c:v>
                </c:pt>
                <c:pt idx="614">
                  <c:v>0.45797219149492718</c:v>
                </c:pt>
                <c:pt idx="615">
                  <c:v>-0.65505096209063496</c:v>
                </c:pt>
                <c:pt idx="616">
                  <c:v>-0.25258345608395794</c:v>
                </c:pt>
                <c:pt idx="617">
                  <c:v>-0.12153524465567037</c:v>
                </c:pt>
                <c:pt idx="618">
                  <c:v>0.53441655920967412</c:v>
                </c:pt>
                <c:pt idx="619">
                  <c:v>0.46453496970233121</c:v>
                </c:pt>
                <c:pt idx="620">
                  <c:v>-1.1871312138161805</c:v>
                </c:pt>
                <c:pt idx="621">
                  <c:v>-0.48408162417639689</c:v>
                </c:pt>
                <c:pt idx="622">
                  <c:v>-1.142800590175052</c:v>
                </c:pt>
                <c:pt idx="623">
                  <c:v>0.36752762200515232</c:v>
                </c:pt>
                <c:pt idx="624">
                  <c:v>-0.60419143103886197</c:v>
                </c:pt>
                <c:pt idx="625">
                  <c:v>-0.95121266035796681</c:v>
                </c:pt>
                <c:pt idx="626">
                  <c:v>0.2045590947948949</c:v>
                </c:pt>
                <c:pt idx="627">
                  <c:v>0.4390057947331969</c:v>
                </c:pt>
                <c:pt idx="628">
                  <c:v>1.381000505324719</c:v>
                </c:pt>
                <c:pt idx="629">
                  <c:v>0.54976007426919438</c:v>
                </c:pt>
                <c:pt idx="630">
                  <c:v>0.22765493252375604</c:v>
                </c:pt>
                <c:pt idx="631">
                  <c:v>0.25098139287638849</c:v>
                </c:pt>
                <c:pt idx="632">
                  <c:v>-1.3348628711448185</c:v>
                </c:pt>
                <c:pt idx="633">
                  <c:v>-0.23412357192730812</c:v>
                </c:pt>
                <c:pt idx="634">
                  <c:v>-0.15388447429938337</c:v>
                </c:pt>
                <c:pt idx="635">
                  <c:v>-1.9170245791362317</c:v>
                </c:pt>
                <c:pt idx="636">
                  <c:v>-1.3226221102510347</c:v>
                </c:pt>
                <c:pt idx="637">
                  <c:v>-0.82042035287096549</c:v>
                </c:pt>
                <c:pt idx="638">
                  <c:v>-0.82801275603230873</c:v>
                </c:pt>
                <c:pt idx="639">
                  <c:v>0.40272625999231682</c:v>
                </c:pt>
                <c:pt idx="640">
                  <c:v>0.55082740248559769</c:v>
                </c:pt>
                <c:pt idx="641">
                  <c:v>-0.97755974143493818</c:v>
                </c:pt>
                <c:pt idx="642">
                  <c:v>-1.0797768655914655</c:v>
                </c:pt>
                <c:pt idx="643">
                  <c:v>-0.43802261909016998</c:v>
                </c:pt>
                <c:pt idx="644">
                  <c:v>-1.0780699276598205</c:v>
                </c:pt>
                <c:pt idx="645">
                  <c:v>0.49037965336861356</c:v>
                </c:pt>
                <c:pt idx="646">
                  <c:v>0.18444934928076509</c:v>
                </c:pt>
                <c:pt idx="647">
                  <c:v>-0.58497743390554269</c:v>
                </c:pt>
                <c:pt idx="648">
                  <c:v>1.0804530386799157E-2</c:v>
                </c:pt>
                <c:pt idx="649">
                  <c:v>1.079939876802873</c:v>
                </c:pt>
                <c:pt idx="650">
                  <c:v>-5.9077229564114203E-3</c:v>
                </c:pt>
                <c:pt idx="651">
                  <c:v>3.9425172022558755E-2</c:v>
                </c:pt>
                <c:pt idx="652">
                  <c:v>1.292380408523595</c:v>
                </c:pt>
                <c:pt idx="653">
                  <c:v>0.18429893460634456</c:v>
                </c:pt>
                <c:pt idx="654">
                  <c:v>1.3324044835524822</c:v>
                </c:pt>
                <c:pt idx="655">
                  <c:v>-2.3060804155408641</c:v>
                </c:pt>
                <c:pt idx="656">
                  <c:v>0.13075561769122129</c:v>
                </c:pt>
                <c:pt idx="657">
                  <c:v>0.76712789724096975</c:v>
                </c:pt>
                <c:pt idx="658">
                  <c:v>0.56052163951176326</c:v>
                </c:pt>
                <c:pt idx="659">
                  <c:v>0.8198453188743976</c:v>
                </c:pt>
                <c:pt idx="660">
                  <c:v>-0.74353914860981218</c:v>
                </c:pt>
                <c:pt idx="661">
                  <c:v>0.61139196949548935</c:v>
                </c:pt>
                <c:pt idx="662">
                  <c:v>1.5189157601452794</c:v>
                </c:pt>
                <c:pt idx="663">
                  <c:v>1.0402515273091189</c:v>
                </c:pt>
                <c:pt idx="664">
                  <c:v>-0.10891704160930622</c:v>
                </c:pt>
                <c:pt idx="665">
                  <c:v>4.435037388328332E-2</c:v>
                </c:pt>
                <c:pt idx="666">
                  <c:v>-0.29407500832255007</c:v>
                </c:pt>
                <c:pt idx="667">
                  <c:v>-1.520448053834746</c:v>
                </c:pt>
                <c:pt idx="668">
                  <c:v>-0.49695500505909529</c:v>
                </c:pt>
                <c:pt idx="669">
                  <c:v>-0.37887078886446846</c:v>
                </c:pt>
                <c:pt idx="670">
                  <c:v>-1.9905274827107502</c:v>
                </c:pt>
                <c:pt idx="671">
                  <c:v>1.2767587376173031</c:v>
                </c:pt>
                <c:pt idx="672">
                  <c:v>0.91355402435817057</c:v>
                </c:pt>
                <c:pt idx="673">
                  <c:v>-1.3848646144581374</c:v>
                </c:pt>
                <c:pt idx="674">
                  <c:v>-0.48336040303785366</c:v>
                </c:pt>
                <c:pt idx="675">
                  <c:v>-0.66675231680707847</c:v>
                </c:pt>
                <c:pt idx="676">
                  <c:v>-1.3268106241956688</c:v>
                </c:pt>
                <c:pt idx="677">
                  <c:v>2.2198740453683143</c:v>
                </c:pt>
                <c:pt idx="678">
                  <c:v>0.30193251364102014</c:v>
                </c:pt>
                <c:pt idx="679">
                  <c:v>-0.47232546771253692</c:v>
                </c:pt>
                <c:pt idx="680">
                  <c:v>-0.81433325158326497</c:v>
                </c:pt>
                <c:pt idx="681">
                  <c:v>1.0913811337943775</c:v>
                </c:pt>
                <c:pt idx="682">
                  <c:v>0.98796034788037079</c:v>
                </c:pt>
                <c:pt idx="683">
                  <c:v>-1.8081605981237792</c:v>
                </c:pt>
                <c:pt idx="684">
                  <c:v>0.94382036389329238</c:v>
                </c:pt>
                <c:pt idx="685">
                  <c:v>-0.39705622717092909</c:v>
                </c:pt>
                <c:pt idx="686">
                  <c:v>-1.5129269704644634</c:v>
                </c:pt>
                <c:pt idx="687">
                  <c:v>-1.9443594496624836</c:v>
                </c:pt>
                <c:pt idx="688">
                  <c:v>0.89972389756904869</c:v>
                </c:pt>
                <c:pt idx="689">
                  <c:v>1.9798532957737307</c:v>
                </c:pt>
                <c:pt idx="690">
                  <c:v>-0.95276128752332023</c:v>
                </c:pt>
                <c:pt idx="691">
                  <c:v>-0.1623097391925036</c:v>
                </c:pt>
                <c:pt idx="692">
                  <c:v>-0.55399526059869153</c:v>
                </c:pt>
                <c:pt idx="693">
                  <c:v>-0.61387292873716581</c:v>
                </c:pt>
                <c:pt idx="694">
                  <c:v>0.71016881887803329</c:v>
                </c:pt>
                <c:pt idx="695">
                  <c:v>-0.10588369491077147</c:v>
                </c:pt>
                <c:pt idx="696">
                  <c:v>1.5302616397719888</c:v>
                </c:pt>
                <c:pt idx="697">
                  <c:v>-0.41910173667980483</c:v>
                </c:pt>
                <c:pt idx="698">
                  <c:v>-2.6941707916690421</c:v>
                </c:pt>
                <c:pt idx="699">
                  <c:v>0.26862281764573309</c:v>
                </c:pt>
                <c:pt idx="700">
                  <c:v>-0.36440039211551978</c:v>
                </c:pt>
                <c:pt idx="701">
                  <c:v>0.86741659721780151</c:v>
                </c:pt>
                <c:pt idx="702">
                  <c:v>2.4516477650366437</c:v>
                </c:pt>
                <c:pt idx="703">
                  <c:v>0.43959480657421951</c:v>
                </c:pt>
                <c:pt idx="704">
                  <c:v>-1.5753243074513537</c:v>
                </c:pt>
                <c:pt idx="705">
                  <c:v>1.0584884841215543</c:v>
                </c:pt>
                <c:pt idx="706">
                  <c:v>-0.26165219919609189</c:v>
                </c:pt>
                <c:pt idx="707">
                  <c:v>1.3808423199028113</c:v>
                </c:pt>
                <c:pt idx="708">
                  <c:v>-1.0464383194858937</c:v>
                </c:pt>
                <c:pt idx="709">
                  <c:v>0.70480083736824306</c:v>
                </c:pt>
                <c:pt idx="710">
                  <c:v>-0.12480526752438362</c:v>
                </c:pt>
                <c:pt idx="711">
                  <c:v>1.4421490597342281</c:v>
                </c:pt>
                <c:pt idx="712">
                  <c:v>0.36207008208197727</c:v>
                </c:pt>
                <c:pt idx="713">
                  <c:v>-1.0192472727002548</c:v>
                </c:pt>
                <c:pt idx="714">
                  <c:v>-0.57582521101668938</c:v>
                </c:pt>
                <c:pt idx="715">
                  <c:v>-6.3664960332998941E-2</c:v>
                </c:pt>
                <c:pt idx="716">
                  <c:v>-2.6757764928397076</c:v>
                </c:pt>
                <c:pt idx="717">
                  <c:v>0.69515921092587107</c:v>
                </c:pt>
                <c:pt idx="718">
                  <c:v>-1.1010030255940246</c:v>
                </c:pt>
                <c:pt idx="719">
                  <c:v>0.70281077845524387</c:v>
                </c:pt>
                <c:pt idx="720">
                  <c:v>0.6484790306622723</c:v>
                </c:pt>
                <c:pt idx="721">
                  <c:v>0.25659886173484131</c:v>
                </c:pt>
                <c:pt idx="722">
                  <c:v>-0.84870216160102552</c:v>
                </c:pt>
                <c:pt idx="723">
                  <c:v>2.2514228026448651</c:v>
                </c:pt>
                <c:pt idx="724">
                  <c:v>0.68580456119828226</c:v>
                </c:pt>
                <c:pt idx="725">
                  <c:v>0.45420380356395845</c:v>
                </c:pt>
                <c:pt idx="726">
                  <c:v>0.48248162349432722</c:v>
                </c:pt>
                <c:pt idx="727">
                  <c:v>-1.8733801245205772</c:v>
                </c:pt>
                <c:pt idx="728">
                  <c:v>0.85565372426652864</c:v>
                </c:pt>
                <c:pt idx="729">
                  <c:v>-0.70156325631773719</c:v>
                </c:pt>
                <c:pt idx="730">
                  <c:v>0.60504342826217528</c:v>
                </c:pt>
                <c:pt idx="731">
                  <c:v>0.33516672847404744</c:v>
                </c:pt>
                <c:pt idx="732">
                  <c:v>-0.78948182442972847</c:v>
                </c:pt>
                <c:pt idx="733">
                  <c:v>-0.31089569651088933</c:v>
                </c:pt>
                <c:pt idx="734">
                  <c:v>1.3911057116354873E-2</c:v>
                </c:pt>
                <c:pt idx="735">
                  <c:v>-1.104463067525117</c:v>
                </c:pt>
                <c:pt idx="736">
                  <c:v>-3.957122869898221</c:v>
                </c:pt>
                <c:pt idx="737">
                  <c:v>-2.5655950337013675</c:v>
                </c:pt>
                <c:pt idx="738">
                  <c:v>-1.1704628421581149</c:v>
                </c:pt>
                <c:pt idx="739">
                  <c:v>0.59733566750328471</c:v>
                </c:pt>
                <c:pt idx="740">
                  <c:v>-0.75660227127455604</c:v>
                </c:pt>
                <c:pt idx="741">
                  <c:v>-0.13710982450822692</c:v>
                </c:pt>
                <c:pt idx="742">
                  <c:v>1.0259366778128418</c:v>
                </c:pt>
                <c:pt idx="743">
                  <c:v>-1.2049252392748702</c:v>
                </c:pt>
                <c:pt idx="744">
                  <c:v>1.6941487617576445</c:v>
                </c:pt>
                <c:pt idx="745">
                  <c:v>1.7005004987914525</c:v>
                </c:pt>
                <c:pt idx="746">
                  <c:v>1.3937909626689093</c:v>
                </c:pt>
                <c:pt idx="747">
                  <c:v>0.45861011983485028</c:v>
                </c:pt>
                <c:pt idx="748">
                  <c:v>9.1932651949849873E-3</c:v>
                </c:pt>
                <c:pt idx="749">
                  <c:v>-1.7436238588373658</c:v>
                </c:pt>
                <c:pt idx="750">
                  <c:v>-0.71490152315690836</c:v>
                </c:pt>
                <c:pt idx="751">
                  <c:v>1.0334934765243777</c:v>
                </c:pt>
                <c:pt idx="752">
                  <c:v>-0.94861201062819145</c:v>
                </c:pt>
                <c:pt idx="753">
                  <c:v>0.56030916882838377</c:v>
                </c:pt>
                <c:pt idx="754">
                  <c:v>-4.2838629763343149E-2</c:v>
                </c:pt>
                <c:pt idx="755">
                  <c:v>0.69683937325899914</c:v>
                </c:pt>
                <c:pt idx="756">
                  <c:v>-0.67044242113086594</c:v>
                </c:pt>
                <c:pt idx="757">
                  <c:v>1.2787070633151338</c:v>
                </c:pt>
                <c:pt idx="758">
                  <c:v>0.45052090198972738</c:v>
                </c:pt>
                <c:pt idx="759">
                  <c:v>-0.40137792934834904</c:v>
                </c:pt>
                <c:pt idx="760">
                  <c:v>1.5361713790266684</c:v>
                </c:pt>
                <c:pt idx="761">
                  <c:v>-1.1952808095314071</c:v>
                </c:pt>
                <c:pt idx="762">
                  <c:v>-1.1507543626175634</c:v>
                </c:pt>
                <c:pt idx="763">
                  <c:v>-0.59710645365942527</c:v>
                </c:pt>
                <c:pt idx="764">
                  <c:v>-0.2261078658631836</c:v>
                </c:pt>
                <c:pt idx="765">
                  <c:v>-0.39247917678694183</c:v>
                </c:pt>
                <c:pt idx="766">
                  <c:v>-8.8894146868763652E-2</c:v>
                </c:pt>
                <c:pt idx="767">
                  <c:v>-0.5430441115892769</c:v>
                </c:pt>
                <c:pt idx="768">
                  <c:v>-1.0714840966031376</c:v>
                </c:pt>
                <c:pt idx="769">
                  <c:v>0.41264206814223053</c:v>
                </c:pt>
                <c:pt idx="770">
                  <c:v>-1.3110768182353911</c:v>
                </c:pt>
                <c:pt idx="771">
                  <c:v>-0.65378718729453777</c:v>
                </c:pt>
                <c:pt idx="772">
                  <c:v>0.93343530413722187</c:v>
                </c:pt>
                <c:pt idx="773">
                  <c:v>1.0254369546969795</c:v>
                </c:pt>
                <c:pt idx="774">
                  <c:v>-1.1183312651142396</c:v>
                </c:pt>
                <c:pt idx="775">
                  <c:v>8.7538612313209641E-3</c:v>
                </c:pt>
                <c:pt idx="776">
                  <c:v>1.7895458575609868</c:v>
                </c:pt>
                <c:pt idx="777">
                  <c:v>-0.50353658230554021</c:v>
                </c:pt>
                <c:pt idx="778">
                  <c:v>-1.612572445183732</c:v>
                </c:pt>
                <c:pt idx="779">
                  <c:v>-0.32153733530404599</c:v>
                </c:pt>
                <c:pt idx="780">
                  <c:v>1.5942047012321292</c:v>
                </c:pt>
                <c:pt idx="781">
                  <c:v>1.7658114631921422</c:v>
                </c:pt>
                <c:pt idx="782">
                  <c:v>-0.37510488709217804</c:v>
                </c:pt>
                <c:pt idx="783">
                  <c:v>2.1401677622787867</c:v>
                </c:pt>
                <c:pt idx="784">
                  <c:v>-0.57925789332083832</c:v>
                </c:pt>
                <c:pt idx="785">
                  <c:v>6.0555651394895701E-2</c:v>
                </c:pt>
                <c:pt idx="786">
                  <c:v>0.76748173792325902</c:v>
                </c:pt>
                <c:pt idx="787">
                  <c:v>0.58226180726812404</c:v>
                </c:pt>
                <c:pt idx="788">
                  <c:v>-0.21537533620182087</c:v>
                </c:pt>
                <c:pt idx="789">
                  <c:v>-2.1092068887404776</c:v>
                </c:pt>
                <c:pt idx="790">
                  <c:v>-0.66056427210680502</c:v>
                </c:pt>
                <c:pt idx="791">
                  <c:v>-1.2829145046883974</c:v>
                </c:pt>
                <c:pt idx="792">
                  <c:v>1.668534791074096</c:v>
                </c:pt>
                <c:pt idx="793">
                  <c:v>-0.2446907412494444</c:v>
                </c:pt>
                <c:pt idx="794">
                  <c:v>1.0598405746154358</c:v>
                </c:pt>
                <c:pt idx="795">
                  <c:v>0.60608383166094237</c:v>
                </c:pt>
                <c:pt idx="796">
                  <c:v>1.1729226333374181</c:v>
                </c:pt>
                <c:pt idx="797">
                  <c:v>-0.13071947187264918</c:v>
                </c:pt>
                <c:pt idx="798">
                  <c:v>1.8270265277620252</c:v>
                </c:pt>
                <c:pt idx="799">
                  <c:v>-1.8573414178109018</c:v>
                </c:pt>
                <c:pt idx="800">
                  <c:v>-0.20976087128785098</c:v>
                </c:pt>
                <c:pt idx="801">
                  <c:v>-1.3142330277273373</c:v>
                </c:pt>
                <c:pt idx="802">
                  <c:v>-0.77597716330237287</c:v>
                </c:pt>
                <c:pt idx="803">
                  <c:v>-0.67382660716578435</c:v>
                </c:pt>
                <c:pt idx="804">
                  <c:v>-0.11630800030498975</c:v>
                </c:pt>
                <c:pt idx="805">
                  <c:v>0.71982809900969957</c:v>
                </c:pt>
                <c:pt idx="806">
                  <c:v>1.0530487368694692</c:v>
                </c:pt>
                <c:pt idx="807">
                  <c:v>-0.3866354610294982</c:v>
                </c:pt>
                <c:pt idx="808">
                  <c:v>-0.30475235217585211</c:v>
                </c:pt>
                <c:pt idx="809">
                  <c:v>-0.95000871245708129</c:v>
                </c:pt>
                <c:pt idx="810">
                  <c:v>1.5461481091677853</c:v>
                </c:pt>
                <c:pt idx="811">
                  <c:v>-0.59120672901064286</c:v>
                </c:pt>
                <c:pt idx="812">
                  <c:v>1.1902293454466861</c:v>
                </c:pt>
                <c:pt idx="813">
                  <c:v>0.9728224137199577</c:v>
                </c:pt>
                <c:pt idx="814">
                  <c:v>0.24078154096280349</c:v>
                </c:pt>
                <c:pt idx="815">
                  <c:v>-1.32081166937287</c:v>
                </c:pt>
                <c:pt idx="816">
                  <c:v>-0.35842280990658348</c:v>
                </c:pt>
                <c:pt idx="817">
                  <c:v>-0.26130550992509277</c:v>
                </c:pt>
                <c:pt idx="818">
                  <c:v>-0.66002045798993714</c:v>
                </c:pt>
                <c:pt idx="819">
                  <c:v>0.71101499133550716</c:v>
                </c:pt>
                <c:pt idx="820">
                  <c:v>-1.1649530434953532</c:v>
                </c:pt>
                <c:pt idx="821">
                  <c:v>0.1094715449274624</c:v>
                </c:pt>
                <c:pt idx="822">
                  <c:v>-0.90543572115064119</c:v>
                </c:pt>
                <c:pt idx="823">
                  <c:v>-0.75956861720526236</c:v>
                </c:pt>
                <c:pt idx="824">
                  <c:v>-1.1302487075762495</c:v>
                </c:pt>
                <c:pt idx="825">
                  <c:v>1.981548697531571</c:v>
                </c:pt>
                <c:pt idx="826">
                  <c:v>-7.284052449072308E-3</c:v>
                </c:pt>
                <c:pt idx="827">
                  <c:v>-0.18148072256222555</c:v>
                </c:pt>
                <c:pt idx="828">
                  <c:v>-0.79794878770033661</c:v>
                </c:pt>
                <c:pt idx="829">
                  <c:v>1.2844936527136455</c:v>
                </c:pt>
                <c:pt idx="830">
                  <c:v>-0.80940606327144304</c:v>
                </c:pt>
                <c:pt idx="831">
                  <c:v>-1.3478800578248029</c:v>
                </c:pt>
                <c:pt idx="832">
                  <c:v>-0.98221713265477661</c:v>
                </c:pt>
                <c:pt idx="833">
                  <c:v>1.1737695582006922</c:v>
                </c:pt>
                <c:pt idx="834">
                  <c:v>-1.9371510494029009</c:v>
                </c:pt>
                <c:pt idx="835">
                  <c:v>6.1384653895191842E-2</c:v>
                </c:pt>
                <c:pt idx="836">
                  <c:v>-0.19262581503795403</c:v>
                </c:pt>
                <c:pt idx="837">
                  <c:v>-1.6939608328114266</c:v>
                </c:pt>
                <c:pt idx="838">
                  <c:v>0.76726881837312377</c:v>
                </c:pt>
                <c:pt idx="839">
                  <c:v>-0.12823096659972688</c:v>
                </c:pt>
                <c:pt idx="840">
                  <c:v>0.83049779050107908</c:v>
                </c:pt>
                <c:pt idx="841">
                  <c:v>9.1398028199812575E-2</c:v>
                </c:pt>
                <c:pt idx="842">
                  <c:v>-0.94485864266351216</c:v>
                </c:pt>
                <c:pt idx="843">
                  <c:v>-2.006709348695042</c:v>
                </c:pt>
                <c:pt idx="844">
                  <c:v>0.46618707413210753</c:v>
                </c:pt>
                <c:pt idx="845">
                  <c:v>1.4637532027713944</c:v>
                </c:pt>
                <c:pt idx="846">
                  <c:v>0.66620755870474113</c:v>
                </c:pt>
                <c:pt idx="847">
                  <c:v>-0.61984747808486884</c:v>
                </c:pt>
                <c:pt idx="848">
                  <c:v>0.36603060018471556</c:v>
                </c:pt>
                <c:pt idx="849">
                  <c:v>-6.1915148943243223E-2</c:v>
                </c:pt>
                <c:pt idx="850">
                  <c:v>6.3792730485083896E-2</c:v>
                </c:pt>
                <c:pt idx="851">
                  <c:v>0.32342687317697261</c:v>
                </c:pt>
                <c:pt idx="852">
                  <c:v>1.3986342993907006</c:v>
                </c:pt>
                <c:pt idx="853">
                  <c:v>-1.3127971922365527</c:v>
                </c:pt>
                <c:pt idx="854">
                  <c:v>0.20229982241647051</c:v>
                </c:pt>
                <c:pt idx="855">
                  <c:v>1.7921193681457475</c:v>
                </c:pt>
                <c:pt idx="856">
                  <c:v>5.714106329444206E-2</c:v>
                </c:pt>
                <c:pt idx="857">
                  <c:v>0.27577168323635198</c:v>
                </c:pt>
                <c:pt idx="858">
                  <c:v>0.43695564414594068</c:v>
                </c:pt>
                <c:pt idx="859">
                  <c:v>-0.82287666039134755</c:v>
                </c:pt>
                <c:pt idx="860">
                  <c:v>0.15810373756989085</c:v>
                </c:pt>
                <c:pt idx="861">
                  <c:v>0.6989514478418184</c:v>
                </c:pt>
                <c:pt idx="862">
                  <c:v>-0.45378066645100706</c:v>
                </c:pt>
                <c:pt idx="863">
                  <c:v>-2.1332041240174107</c:v>
                </c:pt>
                <c:pt idx="864">
                  <c:v>-0.10219210828916496</c:v>
                </c:pt>
                <c:pt idx="865">
                  <c:v>1.383564933684434</c:v>
                </c:pt>
                <c:pt idx="866">
                  <c:v>-0.74252592396287742</c:v>
                </c:pt>
                <c:pt idx="867">
                  <c:v>-1.3576521700897213</c:v>
                </c:pt>
                <c:pt idx="868">
                  <c:v>-0.57059767671305017</c:v>
                </c:pt>
                <c:pt idx="869">
                  <c:v>2.073318595437278E-2</c:v>
                </c:pt>
                <c:pt idx="870">
                  <c:v>-0.3098167606359209</c:v>
                </c:pt>
                <c:pt idx="871">
                  <c:v>-1.408434749407971</c:v>
                </c:pt>
                <c:pt idx="872">
                  <c:v>-0.15870343158423403</c:v>
                </c:pt>
                <c:pt idx="873">
                  <c:v>-8.840879718013589E-3</c:v>
                </c:pt>
                <c:pt idx="874">
                  <c:v>-0.87998725883470386</c:v>
                </c:pt>
                <c:pt idx="875">
                  <c:v>1.3892491540957224</c:v>
                </c:pt>
                <c:pt idx="876">
                  <c:v>0.1971069869602273</c:v>
                </c:pt>
                <c:pt idx="877">
                  <c:v>-0.4614439945790878</c:v>
                </c:pt>
                <c:pt idx="878">
                  <c:v>0.10650761599359311</c:v>
                </c:pt>
                <c:pt idx="879">
                  <c:v>1.7363558995254833</c:v>
                </c:pt>
                <c:pt idx="880">
                  <c:v>-1.4641413570405826</c:v>
                </c:pt>
                <c:pt idx="881">
                  <c:v>-1.292212807734691</c:v>
                </c:pt>
                <c:pt idx="882">
                  <c:v>-4.9464826322720028E-2</c:v>
                </c:pt>
                <c:pt idx="883">
                  <c:v>-0.20695844809022729</c:v>
                </c:pt>
                <c:pt idx="884">
                  <c:v>0.64465533114267415</c:v>
                </c:pt>
                <c:pt idx="885">
                  <c:v>0.24747912660789007</c:v>
                </c:pt>
                <c:pt idx="886">
                  <c:v>-0.9043075357461795</c:v>
                </c:pt>
                <c:pt idx="887">
                  <c:v>-1.2365396054606617</c:v>
                </c:pt>
                <c:pt idx="888">
                  <c:v>0.9870699926817772</c:v>
                </c:pt>
                <c:pt idx="889">
                  <c:v>-0.57062291381510954</c:v>
                </c:pt>
                <c:pt idx="890">
                  <c:v>1.7259436975083746E-4</c:v>
                </c:pt>
                <c:pt idx="891">
                  <c:v>-0.81826434227534794</c:v>
                </c:pt>
                <c:pt idx="892">
                  <c:v>0.24093262643335669</c:v>
                </c:pt>
                <c:pt idx="893">
                  <c:v>0.32346244150887321</c:v>
                </c:pt>
                <c:pt idx="894">
                  <c:v>0.19603304567628907</c:v>
                </c:pt>
                <c:pt idx="895">
                  <c:v>0.76911265745881552</c:v>
                </c:pt>
                <c:pt idx="896">
                  <c:v>-1.2120006883435597</c:v>
                </c:pt>
                <c:pt idx="897">
                  <c:v>0.26628519988768229</c:v>
                </c:pt>
                <c:pt idx="898">
                  <c:v>-1.167737289349376</c:v>
                </c:pt>
                <c:pt idx="899">
                  <c:v>0.42116289368331533</c:v>
                </c:pt>
                <c:pt idx="900">
                  <c:v>0.98442718861008538</c:v>
                </c:pt>
                <c:pt idx="901">
                  <c:v>-0.47036118323584997</c:v>
                </c:pt>
                <c:pt idx="902">
                  <c:v>-1.5991530913133574</c:v>
                </c:pt>
                <c:pt idx="903">
                  <c:v>-0.4703312545261723</c:v>
                </c:pt>
                <c:pt idx="904">
                  <c:v>1.116201877383622</c:v>
                </c:pt>
                <c:pt idx="905">
                  <c:v>0.5012781715499639</c:v>
                </c:pt>
                <c:pt idx="906">
                  <c:v>0.64830651440622644</c:v>
                </c:pt>
                <c:pt idx="907">
                  <c:v>0.67694979123687027</c:v>
                </c:pt>
                <c:pt idx="908">
                  <c:v>0.43526787944931189</c:v>
                </c:pt>
                <c:pt idx="909">
                  <c:v>-0.69547759243752794</c:v>
                </c:pt>
                <c:pt idx="910">
                  <c:v>0.4616364125119346</c:v>
                </c:pt>
                <c:pt idx="911">
                  <c:v>-0.78860837413651397</c:v>
                </c:pt>
                <c:pt idx="912">
                  <c:v>-1.098952859584017</c:v>
                </c:pt>
                <c:pt idx="913">
                  <c:v>0.49219991825871862</c:v>
                </c:pt>
                <c:pt idx="914">
                  <c:v>4.6295706330442055E-2</c:v>
                </c:pt>
                <c:pt idx="915">
                  <c:v>-0.64545549166139693</c:v>
                </c:pt>
                <c:pt idx="916">
                  <c:v>-0.81885790056171515</c:v>
                </c:pt>
                <c:pt idx="917">
                  <c:v>-1.4039431737553347</c:v>
                </c:pt>
                <c:pt idx="918">
                  <c:v>-0.24017048734619975</c:v>
                </c:pt>
                <c:pt idx="919">
                  <c:v>2.2859002835651019</c:v>
                </c:pt>
                <c:pt idx="920">
                  <c:v>-0.62366594297091194</c:v>
                </c:pt>
                <c:pt idx="921">
                  <c:v>0.10445917478761067</c:v>
                </c:pt>
                <c:pt idx="922">
                  <c:v>0.29956140916177965</c:v>
                </c:pt>
                <c:pt idx="923">
                  <c:v>0.89959275258619043</c:v>
                </c:pt>
                <c:pt idx="924">
                  <c:v>-2.1109311815403657</c:v>
                </c:pt>
                <c:pt idx="925">
                  <c:v>-1.5893643943308506</c:v>
                </c:pt>
                <c:pt idx="926">
                  <c:v>-1.9150591417181821</c:v>
                </c:pt>
                <c:pt idx="927">
                  <c:v>-1.3101452424465834</c:v>
                </c:pt>
                <c:pt idx="928">
                  <c:v>-1.949658489598902</c:v>
                </c:pt>
                <c:pt idx="929">
                  <c:v>-0.2009967898852619</c:v>
                </c:pt>
                <c:pt idx="930">
                  <c:v>1.6161577367692421</c:v>
                </c:pt>
                <c:pt idx="931">
                  <c:v>0.23965936622491557</c:v>
                </c:pt>
                <c:pt idx="932">
                  <c:v>0.49033294562170604</c:v>
                </c:pt>
                <c:pt idx="933">
                  <c:v>-0.15382950572049597</c:v>
                </c:pt>
                <c:pt idx="934">
                  <c:v>-1.0393777756981402</c:v>
                </c:pt>
                <c:pt idx="935">
                  <c:v>2.0749418959403049E-3</c:v>
                </c:pt>
                <c:pt idx="936">
                  <c:v>-0.23855509551719414</c:v>
                </c:pt>
                <c:pt idx="937">
                  <c:v>-1.3615075154697005</c:v>
                </c:pt>
                <c:pt idx="938">
                  <c:v>0.12306495189781946</c:v>
                </c:pt>
                <c:pt idx="939">
                  <c:v>-1.1972523594354352</c:v>
                </c:pt>
                <c:pt idx="940">
                  <c:v>0.5750605579899406</c:v>
                </c:pt>
                <c:pt idx="941">
                  <c:v>1.0311272014252435</c:v>
                </c:pt>
                <c:pt idx="942">
                  <c:v>-0.78920372521480731</c:v>
                </c:pt>
                <c:pt idx="943">
                  <c:v>0.29172395131709405</c:v>
                </c:pt>
                <c:pt idx="944">
                  <c:v>0.77538344784245827</c:v>
                </c:pt>
                <c:pt idx="945">
                  <c:v>0.5393910633367911</c:v>
                </c:pt>
                <c:pt idx="946">
                  <c:v>0.58971635881460527</c:v>
                </c:pt>
                <c:pt idx="947">
                  <c:v>0.31911072797682177</c:v>
                </c:pt>
                <c:pt idx="948">
                  <c:v>-0.55485050389842272</c:v>
                </c:pt>
                <c:pt idx="949">
                  <c:v>1.7684037228272158</c:v>
                </c:pt>
                <c:pt idx="950">
                  <c:v>-1.0642881557354984</c:v>
                </c:pt>
                <c:pt idx="951">
                  <c:v>-1.3672466279808531</c:v>
                </c:pt>
                <c:pt idx="952">
                  <c:v>1.6340508638321153E-2</c:v>
                </c:pt>
                <c:pt idx="953">
                  <c:v>-1.3533928399210136</c:v>
                </c:pt>
                <c:pt idx="954">
                  <c:v>0.8467213085945795</c:v>
                </c:pt>
                <c:pt idx="955">
                  <c:v>-0.7369612198017429</c:v>
                </c:pt>
                <c:pt idx="956">
                  <c:v>-0.92027809823748463</c:v>
                </c:pt>
                <c:pt idx="957">
                  <c:v>-0.79829928675820017</c:v>
                </c:pt>
                <c:pt idx="958">
                  <c:v>0.10318821729111868</c:v>
                </c:pt>
                <c:pt idx="959">
                  <c:v>-1.6691671745940513</c:v>
                </c:pt>
                <c:pt idx="960">
                  <c:v>-0.35697783302455932</c:v>
                </c:pt>
                <c:pt idx="961">
                  <c:v>-0.47674957827431869</c:v>
                </c:pt>
                <c:pt idx="962">
                  <c:v>0.15711034946756836</c:v>
                </c:pt>
                <c:pt idx="963">
                  <c:v>-0.21003883922288344</c:v>
                </c:pt>
                <c:pt idx="964">
                  <c:v>0.88944887570520148</c:v>
                </c:pt>
                <c:pt idx="965">
                  <c:v>-0.7780574727874251</c:v>
                </c:pt>
                <c:pt idx="966">
                  <c:v>-1.0301594749893339</c:v>
                </c:pt>
                <c:pt idx="967">
                  <c:v>-0.62054954322756772</c:v>
                </c:pt>
                <c:pt idx="968">
                  <c:v>0.63894848752974043</c:v>
                </c:pt>
                <c:pt idx="969">
                  <c:v>-0.12614601073881548</c:v>
                </c:pt>
                <c:pt idx="970">
                  <c:v>-1.7096418641021922</c:v>
                </c:pt>
                <c:pt idx="971">
                  <c:v>0.77722140081706159</c:v>
                </c:pt>
                <c:pt idx="972">
                  <c:v>-0.50631184495242931</c:v>
                </c:pt>
                <c:pt idx="973">
                  <c:v>0.40484745334599509</c:v>
                </c:pt>
                <c:pt idx="974">
                  <c:v>-1.5289952683625645</c:v>
                </c:pt>
                <c:pt idx="975">
                  <c:v>-0.74495142046542329</c:v>
                </c:pt>
                <c:pt idx="976">
                  <c:v>-0.95311796266817372</c:v>
                </c:pt>
                <c:pt idx="977">
                  <c:v>2.2768497693862617</c:v>
                </c:pt>
                <c:pt idx="978">
                  <c:v>1.1895903681212681</c:v>
                </c:pt>
                <c:pt idx="979">
                  <c:v>-0.59621155299982598</c:v>
                </c:pt>
                <c:pt idx="980">
                  <c:v>-0.76616143308396067</c:v>
                </c:pt>
                <c:pt idx="981">
                  <c:v>1.362267256020506</c:v>
                </c:pt>
                <c:pt idx="982">
                  <c:v>0.76090580266497054</c:v>
                </c:pt>
                <c:pt idx="983">
                  <c:v>0.31494733169308753</c:v>
                </c:pt>
                <c:pt idx="984">
                  <c:v>6.3969745661716634E-2</c:v>
                </c:pt>
                <c:pt idx="985">
                  <c:v>2.2924876418511846</c:v>
                </c:pt>
                <c:pt idx="986">
                  <c:v>0.18251089521246161</c:v>
                </c:pt>
                <c:pt idx="987">
                  <c:v>-0.52604776537122866</c:v>
                </c:pt>
                <c:pt idx="988">
                  <c:v>-1.793829645477768</c:v>
                </c:pt>
                <c:pt idx="989">
                  <c:v>0.51345023604529727</c:v>
                </c:pt>
                <c:pt idx="990">
                  <c:v>0.20047764547354702</c:v>
                </c:pt>
                <c:pt idx="991">
                  <c:v>0.25017076224812984</c:v>
                </c:pt>
                <c:pt idx="992">
                  <c:v>0.47783528368757189</c:v>
                </c:pt>
                <c:pt idx="993">
                  <c:v>-1.127016707998759</c:v>
                </c:pt>
                <c:pt idx="994">
                  <c:v>0.1891293435013531</c:v>
                </c:pt>
                <c:pt idx="995">
                  <c:v>0.26946072221783213</c:v>
                </c:pt>
                <c:pt idx="996">
                  <c:v>1.0045638712827971</c:v>
                </c:pt>
                <c:pt idx="997">
                  <c:v>0.37380152327045607</c:v>
                </c:pt>
                <c:pt idx="998">
                  <c:v>0.93608267239381593</c:v>
                </c:pt>
                <c:pt idx="999">
                  <c:v>-0.31323309529741694</c:v>
                </c:pt>
              </c:numCache>
            </c:numRef>
          </c:xVal>
          <c:yVal>
            <c:numRef>
              <c:f>MCS_Gaussian_Copula!$F$5:$F$1004</c:f>
              <c:numCache>
                <c:formatCode>General</c:formatCode>
                <c:ptCount val="1000"/>
                <c:pt idx="0">
                  <c:v>-0.7175681154625202</c:v>
                </c:pt>
                <c:pt idx="1">
                  <c:v>-1.9898212443755843</c:v>
                </c:pt>
                <c:pt idx="2">
                  <c:v>-1.0520155576029937</c:v>
                </c:pt>
                <c:pt idx="3">
                  <c:v>-2.8450998055021279</c:v>
                </c:pt>
                <c:pt idx="4">
                  <c:v>-0.71105294320778378</c:v>
                </c:pt>
                <c:pt idx="5">
                  <c:v>-0.43604037165504206</c:v>
                </c:pt>
                <c:pt idx="6">
                  <c:v>-0.85800153812193325</c:v>
                </c:pt>
                <c:pt idx="7">
                  <c:v>-0.26883789415084047</c:v>
                </c:pt>
                <c:pt idx="8">
                  <c:v>-1.0663548026298717</c:v>
                </c:pt>
                <c:pt idx="9">
                  <c:v>0.47020824147730944</c:v>
                </c:pt>
                <c:pt idx="10">
                  <c:v>1.1226153619848371</c:v>
                </c:pt>
                <c:pt idx="11">
                  <c:v>0.67525073214316733</c:v>
                </c:pt>
                <c:pt idx="12">
                  <c:v>1.2874771993097569</c:v>
                </c:pt>
                <c:pt idx="13">
                  <c:v>5.6085798052124991E-2</c:v>
                </c:pt>
                <c:pt idx="14">
                  <c:v>-2.7709355703592404</c:v>
                </c:pt>
                <c:pt idx="15">
                  <c:v>-1.4118622619301009</c:v>
                </c:pt>
                <c:pt idx="16">
                  <c:v>-5.2717966808062275E-2</c:v>
                </c:pt>
                <c:pt idx="17">
                  <c:v>0.1207848309502686</c:v>
                </c:pt>
                <c:pt idx="18">
                  <c:v>2.9247327635759185E-2</c:v>
                </c:pt>
                <c:pt idx="19">
                  <c:v>-1.8811169039561453</c:v>
                </c:pt>
                <c:pt idx="20">
                  <c:v>0.10481930665745123</c:v>
                </c:pt>
                <c:pt idx="21">
                  <c:v>0.20070295556873563</c:v>
                </c:pt>
                <c:pt idx="22">
                  <c:v>-0.28339723178492027</c:v>
                </c:pt>
                <c:pt idx="23">
                  <c:v>1.5907312188567646</c:v>
                </c:pt>
                <c:pt idx="24">
                  <c:v>0.69024792877950081</c:v>
                </c:pt>
                <c:pt idx="25">
                  <c:v>1.1510025359772524E-2</c:v>
                </c:pt>
                <c:pt idx="26">
                  <c:v>1.5306341628509994</c:v>
                </c:pt>
                <c:pt idx="27">
                  <c:v>1.1841254788127853</c:v>
                </c:pt>
                <c:pt idx="28">
                  <c:v>-0.70995413714426836</c:v>
                </c:pt>
                <c:pt idx="29">
                  <c:v>-1.6221210666048038</c:v>
                </c:pt>
                <c:pt idx="30">
                  <c:v>0.74406261407192686</c:v>
                </c:pt>
                <c:pt idx="31">
                  <c:v>-0.63732094382719295</c:v>
                </c:pt>
                <c:pt idx="32">
                  <c:v>1.6326849504922114</c:v>
                </c:pt>
                <c:pt idx="33">
                  <c:v>-0.11387559342989073</c:v>
                </c:pt>
                <c:pt idx="34">
                  <c:v>0.60758160409902762</c:v>
                </c:pt>
                <c:pt idx="35">
                  <c:v>-7.1049850504372181E-2</c:v>
                </c:pt>
                <c:pt idx="36">
                  <c:v>0.33970987847937567</c:v>
                </c:pt>
                <c:pt idx="37">
                  <c:v>-0.22756630629389663</c:v>
                </c:pt>
                <c:pt idx="38">
                  <c:v>-0.41042742727751669</c:v>
                </c:pt>
                <c:pt idx="39">
                  <c:v>0.51308772401444225</c:v>
                </c:pt>
                <c:pt idx="40">
                  <c:v>0.74992399149289579</c:v>
                </c:pt>
                <c:pt idx="41">
                  <c:v>1.2715169389741545</c:v>
                </c:pt>
                <c:pt idx="42">
                  <c:v>-0.5026825726249321</c:v>
                </c:pt>
                <c:pt idx="43">
                  <c:v>-0.53760349322557377</c:v>
                </c:pt>
                <c:pt idx="44">
                  <c:v>0.39409480927558194</c:v>
                </c:pt>
                <c:pt idx="45">
                  <c:v>-1.3002930139817137</c:v>
                </c:pt>
                <c:pt idx="46">
                  <c:v>-0.65082877274500017</c:v>
                </c:pt>
                <c:pt idx="47">
                  <c:v>1.3328451938305692</c:v>
                </c:pt>
                <c:pt idx="48">
                  <c:v>2.0124124022868068</c:v>
                </c:pt>
                <c:pt idx="49">
                  <c:v>-1.4125029654040104</c:v>
                </c:pt>
                <c:pt idx="50">
                  <c:v>-0.93506946924641876</c:v>
                </c:pt>
                <c:pt idx="51">
                  <c:v>0.83022444907179282</c:v>
                </c:pt>
                <c:pt idx="52">
                  <c:v>0.66798559935976654</c:v>
                </c:pt>
                <c:pt idx="53">
                  <c:v>-0.37202953162857999</c:v>
                </c:pt>
                <c:pt idx="54">
                  <c:v>0.98623720201328535</c:v>
                </c:pt>
                <c:pt idx="55">
                  <c:v>0.96552766775282461</c:v>
                </c:pt>
                <c:pt idx="56">
                  <c:v>-0.37757792949559255</c:v>
                </c:pt>
                <c:pt idx="57">
                  <c:v>-0.28921444686525077</c:v>
                </c:pt>
                <c:pt idx="58">
                  <c:v>5.3877063095963018E-2</c:v>
                </c:pt>
                <c:pt idx="59">
                  <c:v>1.0714956271590204</c:v>
                </c:pt>
                <c:pt idx="60">
                  <c:v>-2.2805925693861138</c:v>
                </c:pt>
                <c:pt idx="61">
                  <c:v>0.80355309603815028</c:v>
                </c:pt>
                <c:pt idx="62">
                  <c:v>1.1412076144712846E-3</c:v>
                </c:pt>
                <c:pt idx="63">
                  <c:v>-1.1603732026244968</c:v>
                </c:pt>
                <c:pt idx="64">
                  <c:v>0.12114335543904595</c:v>
                </c:pt>
                <c:pt idx="65">
                  <c:v>0.79642559929670542</c:v>
                </c:pt>
                <c:pt idx="66">
                  <c:v>1.0368477011871764</c:v>
                </c:pt>
                <c:pt idx="67">
                  <c:v>0.30920808941173961</c:v>
                </c:pt>
                <c:pt idx="68">
                  <c:v>-0.83236892510251481</c:v>
                </c:pt>
                <c:pt idx="69">
                  <c:v>1.5421027929557753</c:v>
                </c:pt>
                <c:pt idx="70">
                  <c:v>-9.798491250295055E-2</c:v>
                </c:pt>
                <c:pt idx="71">
                  <c:v>-1.5342012088785393</c:v>
                </c:pt>
                <c:pt idx="72">
                  <c:v>1.4884276067332058</c:v>
                </c:pt>
                <c:pt idx="73">
                  <c:v>-0.27711640755289502</c:v>
                </c:pt>
                <c:pt idx="74">
                  <c:v>1.3093796428290783</c:v>
                </c:pt>
                <c:pt idx="75">
                  <c:v>-0.4351338013112267</c:v>
                </c:pt>
                <c:pt idx="76">
                  <c:v>-0.76874299157573711</c:v>
                </c:pt>
                <c:pt idx="77">
                  <c:v>-0.1532141687688377</c:v>
                </c:pt>
                <c:pt idx="78">
                  <c:v>0.91753267286319551</c:v>
                </c:pt>
                <c:pt idx="79">
                  <c:v>-0.30037760487249748</c:v>
                </c:pt>
                <c:pt idx="80">
                  <c:v>0.67847190394001422</c:v>
                </c:pt>
                <c:pt idx="81">
                  <c:v>-1.556506311266874</c:v>
                </c:pt>
                <c:pt idx="82">
                  <c:v>-1.1627365474987057</c:v>
                </c:pt>
                <c:pt idx="83">
                  <c:v>0.53848593098543218</c:v>
                </c:pt>
                <c:pt idx="84">
                  <c:v>-0.19451793276741092</c:v>
                </c:pt>
                <c:pt idx="85">
                  <c:v>-0.10306816669332011</c:v>
                </c:pt>
                <c:pt idx="86">
                  <c:v>1.6972273351409575</c:v>
                </c:pt>
                <c:pt idx="87">
                  <c:v>-1.2097752602519383</c:v>
                </c:pt>
                <c:pt idx="88">
                  <c:v>0.91110681609478938</c:v>
                </c:pt>
                <c:pt idx="89">
                  <c:v>1.082001322102651</c:v>
                </c:pt>
                <c:pt idx="90">
                  <c:v>0.44154347943778233</c:v>
                </c:pt>
                <c:pt idx="91">
                  <c:v>0.10570185161150925</c:v>
                </c:pt>
                <c:pt idx="92">
                  <c:v>-1.1828923141863983</c:v>
                </c:pt>
                <c:pt idx="93">
                  <c:v>-0.30557607750646437</c:v>
                </c:pt>
                <c:pt idx="94">
                  <c:v>1.5236434680789612E-2</c:v>
                </c:pt>
                <c:pt idx="95">
                  <c:v>-8.3919250389537459E-2</c:v>
                </c:pt>
                <c:pt idx="96">
                  <c:v>0.85599536017359135</c:v>
                </c:pt>
                <c:pt idx="97">
                  <c:v>0.54870749894455617</c:v>
                </c:pt>
                <c:pt idx="98">
                  <c:v>-0.93466590086188517</c:v>
                </c:pt>
                <c:pt idx="99">
                  <c:v>-0.22028745706317168</c:v>
                </c:pt>
                <c:pt idx="100">
                  <c:v>-0.55796353570975588</c:v>
                </c:pt>
                <c:pt idx="101">
                  <c:v>1.2198836300174605</c:v>
                </c:pt>
                <c:pt idx="102">
                  <c:v>-9.5527739647209536E-2</c:v>
                </c:pt>
                <c:pt idx="103">
                  <c:v>1.4215749776821021</c:v>
                </c:pt>
                <c:pt idx="104">
                  <c:v>0.5571882441706818</c:v>
                </c:pt>
                <c:pt idx="105">
                  <c:v>0.30549735072619988</c:v>
                </c:pt>
                <c:pt idx="106">
                  <c:v>-0.86882386684711432</c:v>
                </c:pt>
                <c:pt idx="107">
                  <c:v>0.20097377837900546</c:v>
                </c:pt>
                <c:pt idx="108">
                  <c:v>-0.40761829067543198</c:v>
                </c:pt>
                <c:pt idx="109">
                  <c:v>0.25114891414971929</c:v>
                </c:pt>
                <c:pt idx="110">
                  <c:v>-0.40255810950515547</c:v>
                </c:pt>
                <c:pt idx="111">
                  <c:v>1.4599512395680503</c:v>
                </c:pt>
                <c:pt idx="112">
                  <c:v>1.3127413132112649</c:v>
                </c:pt>
                <c:pt idx="113">
                  <c:v>-9.4152906152494054E-2</c:v>
                </c:pt>
                <c:pt idx="114">
                  <c:v>0.99597530406918355</c:v>
                </c:pt>
                <c:pt idx="115">
                  <c:v>-0.26639662213054188</c:v>
                </c:pt>
                <c:pt idx="116">
                  <c:v>-0.21131305873818076</c:v>
                </c:pt>
                <c:pt idx="117">
                  <c:v>0.54871041210019444</c:v>
                </c:pt>
                <c:pt idx="118">
                  <c:v>-0.59808208719583111</c:v>
                </c:pt>
                <c:pt idx="119">
                  <c:v>0.98874432813381707</c:v>
                </c:pt>
                <c:pt idx="120">
                  <c:v>1.2633798774720246</c:v>
                </c:pt>
                <c:pt idx="121">
                  <c:v>-0.95355823118270366</c:v>
                </c:pt>
                <c:pt idx="122">
                  <c:v>-0.9763103146143699</c:v>
                </c:pt>
                <c:pt idx="123">
                  <c:v>-0.91445239317728155</c:v>
                </c:pt>
                <c:pt idx="124">
                  <c:v>0.50182578538796196</c:v>
                </c:pt>
                <c:pt idx="125">
                  <c:v>0.82410985611147036</c:v>
                </c:pt>
                <c:pt idx="126">
                  <c:v>0.30068388188592965</c:v>
                </c:pt>
                <c:pt idx="127">
                  <c:v>-2.4200475561918011E-2</c:v>
                </c:pt>
                <c:pt idx="128">
                  <c:v>0.23287058175590725</c:v>
                </c:pt>
                <c:pt idx="129">
                  <c:v>-1.3817187033533602</c:v>
                </c:pt>
                <c:pt idx="130">
                  <c:v>0.36272861917280885</c:v>
                </c:pt>
                <c:pt idx="131">
                  <c:v>0.80487759771294598</c:v>
                </c:pt>
                <c:pt idx="132">
                  <c:v>-1.1665326578294555E-2</c:v>
                </c:pt>
                <c:pt idx="133">
                  <c:v>-0.76530831148155576</c:v>
                </c:pt>
                <c:pt idx="134">
                  <c:v>-1.6429940146861517</c:v>
                </c:pt>
                <c:pt idx="135">
                  <c:v>-0.2204551883523243</c:v>
                </c:pt>
                <c:pt idx="136">
                  <c:v>1.0947311080559421</c:v>
                </c:pt>
                <c:pt idx="137">
                  <c:v>1.6659127250188457</c:v>
                </c:pt>
                <c:pt idx="138">
                  <c:v>-1.0852377438842942</c:v>
                </c:pt>
                <c:pt idx="139">
                  <c:v>0.93782391319822289</c:v>
                </c:pt>
                <c:pt idx="140">
                  <c:v>1.4273186020479165</c:v>
                </c:pt>
                <c:pt idx="141">
                  <c:v>2.0599918816500145</c:v>
                </c:pt>
                <c:pt idx="142">
                  <c:v>-0.84372144640252911</c:v>
                </c:pt>
                <c:pt idx="143">
                  <c:v>-0.18689306108132686</c:v>
                </c:pt>
                <c:pt idx="144">
                  <c:v>1.5307171270638604</c:v>
                </c:pt>
                <c:pt idx="145">
                  <c:v>0.50654003566909034</c:v>
                </c:pt>
                <c:pt idx="146">
                  <c:v>0.63032528641525432</c:v>
                </c:pt>
                <c:pt idx="147">
                  <c:v>0.45297687331623571</c:v>
                </c:pt>
                <c:pt idx="148">
                  <c:v>1.2955669632190705</c:v>
                </c:pt>
                <c:pt idx="149">
                  <c:v>0.20390478033770634</c:v>
                </c:pt>
                <c:pt idx="150">
                  <c:v>-1.4317879645637781</c:v>
                </c:pt>
                <c:pt idx="151">
                  <c:v>-1.1737746620358114</c:v>
                </c:pt>
                <c:pt idx="152">
                  <c:v>-0.81236642635201961</c:v>
                </c:pt>
                <c:pt idx="153">
                  <c:v>0.36485583163998925</c:v>
                </c:pt>
                <c:pt idx="154">
                  <c:v>-9.5055359697038086E-2</c:v>
                </c:pt>
                <c:pt idx="155">
                  <c:v>-0.16458363634960685</c:v>
                </c:pt>
                <c:pt idx="156">
                  <c:v>-0.75827998946755559</c:v>
                </c:pt>
                <c:pt idx="157">
                  <c:v>-0.98226928558601356</c:v>
                </c:pt>
                <c:pt idx="158">
                  <c:v>-0.38707584428109587</c:v>
                </c:pt>
                <c:pt idx="159">
                  <c:v>0.9771339044545353</c:v>
                </c:pt>
                <c:pt idx="160">
                  <c:v>0.36230784291646673</c:v>
                </c:pt>
                <c:pt idx="161">
                  <c:v>-1.2312517046653109</c:v>
                </c:pt>
                <c:pt idx="162">
                  <c:v>0.73851503249863992</c:v>
                </c:pt>
                <c:pt idx="163">
                  <c:v>0.15187725018527087</c:v>
                </c:pt>
                <c:pt idx="164">
                  <c:v>1.8538591792059222</c:v>
                </c:pt>
                <c:pt idx="165">
                  <c:v>0.97587064830032355</c:v>
                </c:pt>
                <c:pt idx="166">
                  <c:v>0.24119722979510599</c:v>
                </c:pt>
                <c:pt idx="167">
                  <c:v>-1.541599541958474</c:v>
                </c:pt>
                <c:pt idx="168">
                  <c:v>0.74718584759029349</c:v>
                </c:pt>
                <c:pt idx="169">
                  <c:v>-0.84487437619407735</c:v>
                </c:pt>
                <c:pt idx="170">
                  <c:v>0.43399444316532726</c:v>
                </c:pt>
                <c:pt idx="171">
                  <c:v>-0.2780275152907799</c:v>
                </c:pt>
                <c:pt idx="172">
                  <c:v>0.11448511822986704</c:v>
                </c:pt>
                <c:pt idx="173">
                  <c:v>0.99143558538316112</c:v>
                </c:pt>
                <c:pt idx="174">
                  <c:v>0.25062092336534963</c:v>
                </c:pt>
                <c:pt idx="175">
                  <c:v>-1.41234298732359</c:v>
                </c:pt>
                <c:pt idx="176">
                  <c:v>0.76892431014215035</c:v>
                </c:pt>
                <c:pt idx="177">
                  <c:v>-0.65112446295131265</c:v>
                </c:pt>
                <c:pt idx="178">
                  <c:v>1.5248021111579704</c:v>
                </c:pt>
                <c:pt idx="179">
                  <c:v>3.2221900725689867E-2</c:v>
                </c:pt>
                <c:pt idx="180">
                  <c:v>-1.7428044600823724</c:v>
                </c:pt>
                <c:pt idx="181">
                  <c:v>-0.69617025679697631</c:v>
                </c:pt>
                <c:pt idx="182">
                  <c:v>1.1306507811081641</c:v>
                </c:pt>
                <c:pt idx="183">
                  <c:v>-1.5313163327800665</c:v>
                </c:pt>
                <c:pt idx="184">
                  <c:v>1.8761798857822818</c:v>
                </c:pt>
                <c:pt idx="185">
                  <c:v>0.55532903471830553</c:v>
                </c:pt>
                <c:pt idx="186">
                  <c:v>-0.2256304444452982</c:v>
                </c:pt>
                <c:pt idx="187">
                  <c:v>0.48516555708513565</c:v>
                </c:pt>
                <c:pt idx="188">
                  <c:v>-1.1520970702281166</c:v>
                </c:pt>
                <c:pt idx="189">
                  <c:v>1.1533428558167977</c:v>
                </c:pt>
                <c:pt idx="190">
                  <c:v>-2.4044985676877477</c:v>
                </c:pt>
                <c:pt idx="191">
                  <c:v>-4.9618241313089007E-2</c:v>
                </c:pt>
                <c:pt idx="192">
                  <c:v>2.5846582308950428E-2</c:v>
                </c:pt>
                <c:pt idx="193">
                  <c:v>-0.55598889699422416</c:v>
                </c:pt>
                <c:pt idx="194">
                  <c:v>0.25567055585956333</c:v>
                </c:pt>
                <c:pt idx="195">
                  <c:v>-0.49684316749153984</c:v>
                </c:pt>
                <c:pt idx="196">
                  <c:v>7.9164105374368576E-3</c:v>
                </c:pt>
                <c:pt idx="197">
                  <c:v>-0.96648087617862677</c:v>
                </c:pt>
                <c:pt idx="198">
                  <c:v>-0.77333355434342088</c:v>
                </c:pt>
                <c:pt idx="199">
                  <c:v>-0.23197254280464866</c:v>
                </c:pt>
                <c:pt idx="200">
                  <c:v>0.85990428166088062</c:v>
                </c:pt>
                <c:pt idx="201">
                  <c:v>1.0709291623213137</c:v>
                </c:pt>
                <c:pt idx="202">
                  <c:v>0.15000344876090366</c:v>
                </c:pt>
                <c:pt idx="203">
                  <c:v>0.59066650275876142</c:v>
                </c:pt>
                <c:pt idx="204">
                  <c:v>0.93725238047775683</c:v>
                </c:pt>
                <c:pt idx="205">
                  <c:v>-0.97317390290796646</c:v>
                </c:pt>
                <c:pt idx="206">
                  <c:v>0.15665556483040058</c:v>
                </c:pt>
                <c:pt idx="207">
                  <c:v>-0.67995241989207811</c:v>
                </c:pt>
                <c:pt idx="208">
                  <c:v>-1.3692994382286969</c:v>
                </c:pt>
                <c:pt idx="209">
                  <c:v>0.62401570400385697</c:v>
                </c:pt>
                <c:pt idx="210">
                  <c:v>0.27423647875640922</c:v>
                </c:pt>
                <c:pt idx="211">
                  <c:v>-1.078271275658403</c:v>
                </c:pt>
                <c:pt idx="212">
                  <c:v>-0.91002523999597518</c:v>
                </c:pt>
                <c:pt idx="213">
                  <c:v>-1.049519781453955</c:v>
                </c:pt>
                <c:pt idx="214">
                  <c:v>-0.69308879013642377</c:v>
                </c:pt>
                <c:pt idx="215">
                  <c:v>0.12767801940794155</c:v>
                </c:pt>
                <c:pt idx="216">
                  <c:v>-0.27625878677073101</c:v>
                </c:pt>
                <c:pt idx="217">
                  <c:v>-0.36282871390220883</c:v>
                </c:pt>
                <c:pt idx="218">
                  <c:v>0.67705097932470448</c:v>
                </c:pt>
                <c:pt idx="219">
                  <c:v>0.49243979152846351</c:v>
                </c:pt>
                <c:pt idx="220">
                  <c:v>0.10603551414398897</c:v>
                </c:pt>
                <c:pt idx="221">
                  <c:v>-1.1827291616790423</c:v>
                </c:pt>
                <c:pt idx="222">
                  <c:v>0.30191116978375809</c:v>
                </c:pt>
                <c:pt idx="223">
                  <c:v>0.21896802812757088</c:v>
                </c:pt>
                <c:pt idx="224">
                  <c:v>-0.62668351928067711</c:v>
                </c:pt>
                <c:pt idx="225">
                  <c:v>0.30481556842498198</c:v>
                </c:pt>
                <c:pt idx="226">
                  <c:v>1.4682018713983602</c:v>
                </c:pt>
                <c:pt idx="227">
                  <c:v>-0.40007556023443613</c:v>
                </c:pt>
                <c:pt idx="228">
                  <c:v>1.7647786719155956</c:v>
                </c:pt>
                <c:pt idx="229">
                  <c:v>-0.38003157855706282</c:v>
                </c:pt>
                <c:pt idx="230">
                  <c:v>1.1011536790416787</c:v>
                </c:pt>
                <c:pt idx="231">
                  <c:v>-0.90898009532256108</c:v>
                </c:pt>
                <c:pt idx="232">
                  <c:v>-0.49475723255993226</c:v>
                </c:pt>
                <c:pt idx="233">
                  <c:v>-2.1927384469085376E-2</c:v>
                </c:pt>
                <c:pt idx="234">
                  <c:v>-0.45180695351612504</c:v>
                </c:pt>
                <c:pt idx="235">
                  <c:v>-0.19555000826569202</c:v>
                </c:pt>
                <c:pt idx="236">
                  <c:v>-2.4955503575887179</c:v>
                </c:pt>
                <c:pt idx="237">
                  <c:v>1.5110055731239975</c:v>
                </c:pt>
                <c:pt idx="238">
                  <c:v>-1.7810777451563935</c:v>
                </c:pt>
                <c:pt idx="239">
                  <c:v>-1.9425934133602052E-2</c:v>
                </c:pt>
                <c:pt idx="240">
                  <c:v>0.29746395798278724</c:v>
                </c:pt>
                <c:pt idx="241">
                  <c:v>-0.71485041998490018</c:v>
                </c:pt>
                <c:pt idx="242">
                  <c:v>0.16641025897865261</c:v>
                </c:pt>
                <c:pt idx="243">
                  <c:v>1.5399268484989106</c:v>
                </c:pt>
                <c:pt idx="244">
                  <c:v>-2.9521445956527224</c:v>
                </c:pt>
                <c:pt idx="245">
                  <c:v>1.2878324608191691</c:v>
                </c:pt>
                <c:pt idx="246">
                  <c:v>-0.40845021816806021</c:v>
                </c:pt>
                <c:pt idx="247">
                  <c:v>1.2215911457989523</c:v>
                </c:pt>
                <c:pt idx="248">
                  <c:v>2.5306511141602068</c:v>
                </c:pt>
                <c:pt idx="249">
                  <c:v>1.6863328125554997</c:v>
                </c:pt>
                <c:pt idx="250">
                  <c:v>0.29424170623886836</c:v>
                </c:pt>
                <c:pt idx="251">
                  <c:v>-0.5852689576960729</c:v>
                </c:pt>
                <c:pt idx="252">
                  <c:v>-2.5452360600569501</c:v>
                </c:pt>
                <c:pt idx="253">
                  <c:v>0.22845908790004732</c:v>
                </c:pt>
                <c:pt idx="254">
                  <c:v>2.8213198992561166</c:v>
                </c:pt>
                <c:pt idx="255">
                  <c:v>-5.5779672114333156E-2</c:v>
                </c:pt>
                <c:pt idx="256">
                  <c:v>1.1792727779551355</c:v>
                </c:pt>
                <c:pt idx="257">
                  <c:v>-0.17628528889220008</c:v>
                </c:pt>
                <c:pt idx="258">
                  <c:v>4.1905285387412172E-2</c:v>
                </c:pt>
                <c:pt idx="259">
                  <c:v>-0.81471849529843898</c:v>
                </c:pt>
                <c:pt idx="260">
                  <c:v>0.40054747161326609</c:v>
                </c:pt>
                <c:pt idx="261">
                  <c:v>-1.2695601015675679</c:v>
                </c:pt>
                <c:pt idx="262">
                  <c:v>1.6152908199748313</c:v>
                </c:pt>
                <c:pt idx="263">
                  <c:v>0.69514443969344053</c:v>
                </c:pt>
                <c:pt idx="264">
                  <c:v>-0.50944758203598395</c:v>
                </c:pt>
                <c:pt idx="265">
                  <c:v>0.85851563359286887</c:v>
                </c:pt>
                <c:pt idx="266">
                  <c:v>1.0918724022842814</c:v>
                </c:pt>
                <c:pt idx="267">
                  <c:v>1.5613495574234042</c:v>
                </c:pt>
                <c:pt idx="268">
                  <c:v>8.386805728173824E-3</c:v>
                </c:pt>
                <c:pt idx="269">
                  <c:v>-1.4287919020077946</c:v>
                </c:pt>
                <c:pt idx="270">
                  <c:v>-1.0974940895429346</c:v>
                </c:pt>
                <c:pt idx="271">
                  <c:v>-0.49945918844954712</c:v>
                </c:pt>
                <c:pt idx="272">
                  <c:v>-1.119231822673745</c:v>
                </c:pt>
                <c:pt idx="273">
                  <c:v>0.37722705210899943</c:v>
                </c:pt>
                <c:pt idx="274">
                  <c:v>1.1150905094660168</c:v>
                </c:pt>
                <c:pt idx="275">
                  <c:v>0.25641103159397632</c:v>
                </c:pt>
                <c:pt idx="276">
                  <c:v>-0.50768196700881907</c:v>
                </c:pt>
                <c:pt idx="277">
                  <c:v>1.7390378339031272</c:v>
                </c:pt>
                <c:pt idx="278">
                  <c:v>-2.7625810058170712</c:v>
                </c:pt>
                <c:pt idx="279">
                  <c:v>0.12707415494078544</c:v>
                </c:pt>
                <c:pt idx="280">
                  <c:v>-1.3731439021761713</c:v>
                </c:pt>
                <c:pt idx="281">
                  <c:v>0.18093741727919432</c:v>
                </c:pt>
                <c:pt idx="282">
                  <c:v>-0.8604606326791453</c:v>
                </c:pt>
                <c:pt idx="283">
                  <c:v>0.53716856007491498</c:v>
                </c:pt>
                <c:pt idx="284">
                  <c:v>0.79588503057424631</c:v>
                </c:pt>
                <c:pt idx="285">
                  <c:v>-0.43495673408332181</c:v>
                </c:pt>
                <c:pt idx="286">
                  <c:v>-0.91521979462610759</c:v>
                </c:pt>
                <c:pt idx="287">
                  <c:v>-1.1181242325802754</c:v>
                </c:pt>
                <c:pt idx="288">
                  <c:v>-3.8499929922515011E-2</c:v>
                </c:pt>
                <c:pt idx="289">
                  <c:v>8.2092814663422164E-2</c:v>
                </c:pt>
                <c:pt idx="290">
                  <c:v>0.94285243758234338</c:v>
                </c:pt>
                <c:pt idx="291">
                  <c:v>0.72133067969187104</c:v>
                </c:pt>
                <c:pt idx="292">
                  <c:v>-0.22610332024248803</c:v>
                </c:pt>
                <c:pt idx="293">
                  <c:v>0.11043850857668169</c:v>
                </c:pt>
                <c:pt idx="294">
                  <c:v>-0.17179475562978333</c:v>
                </c:pt>
                <c:pt idx="295">
                  <c:v>-0.11613666341107071</c:v>
                </c:pt>
                <c:pt idx="296">
                  <c:v>0.36148589054893665</c:v>
                </c:pt>
                <c:pt idx="297">
                  <c:v>-1.7676270071867277</c:v>
                </c:pt>
                <c:pt idx="298">
                  <c:v>1.7462808773428786</c:v>
                </c:pt>
                <c:pt idx="299">
                  <c:v>0.50113684941986358</c:v>
                </c:pt>
                <c:pt idx="300">
                  <c:v>-0.52487161324572806</c:v>
                </c:pt>
                <c:pt idx="301">
                  <c:v>1.6842125855088519</c:v>
                </c:pt>
                <c:pt idx="302">
                  <c:v>0.49916597401674623</c:v>
                </c:pt>
                <c:pt idx="303">
                  <c:v>-0.34375172585459179</c:v>
                </c:pt>
                <c:pt idx="304">
                  <c:v>0.11142498332788345</c:v>
                </c:pt>
                <c:pt idx="305">
                  <c:v>1.5570719405048252</c:v>
                </c:pt>
                <c:pt idx="306">
                  <c:v>-1.4570648521695788</c:v>
                </c:pt>
                <c:pt idx="307">
                  <c:v>0.96933897525260582</c:v>
                </c:pt>
                <c:pt idx="308">
                  <c:v>1.0841876284859555</c:v>
                </c:pt>
                <c:pt idx="309">
                  <c:v>-0.96726923168904055</c:v>
                </c:pt>
                <c:pt idx="310">
                  <c:v>1.3633649620117931</c:v>
                </c:pt>
                <c:pt idx="311">
                  <c:v>-0.75962869330196581</c:v>
                </c:pt>
                <c:pt idx="312">
                  <c:v>0.44825489158527365</c:v>
                </c:pt>
                <c:pt idx="313">
                  <c:v>0.60218819768994991</c:v>
                </c:pt>
                <c:pt idx="314">
                  <c:v>0.57384002226828024</c:v>
                </c:pt>
                <c:pt idx="315">
                  <c:v>0.77570762499312229</c:v>
                </c:pt>
                <c:pt idx="316">
                  <c:v>0.26130404477612601</c:v>
                </c:pt>
                <c:pt idx="317">
                  <c:v>1.277990955241423</c:v>
                </c:pt>
                <c:pt idx="318">
                  <c:v>0.72603512636928547</c:v>
                </c:pt>
                <c:pt idx="319">
                  <c:v>-0.1852351199004065</c:v>
                </c:pt>
                <c:pt idx="320">
                  <c:v>-1.0439015532691278</c:v>
                </c:pt>
                <c:pt idx="321">
                  <c:v>-0.81366752623541938</c:v>
                </c:pt>
                <c:pt idx="322">
                  <c:v>1.2586531341031653</c:v>
                </c:pt>
                <c:pt idx="323">
                  <c:v>6.9515456488354221E-2</c:v>
                </c:pt>
                <c:pt idx="324">
                  <c:v>0.44201854997839068</c:v>
                </c:pt>
                <c:pt idx="325">
                  <c:v>0.23580679949774275</c:v>
                </c:pt>
                <c:pt idx="326">
                  <c:v>-0.94066690726118285</c:v>
                </c:pt>
                <c:pt idx="327">
                  <c:v>2.5010181662574382</c:v>
                </c:pt>
                <c:pt idx="328">
                  <c:v>-1.4790221611755801</c:v>
                </c:pt>
                <c:pt idx="329">
                  <c:v>0.27667678328029977</c:v>
                </c:pt>
                <c:pt idx="330">
                  <c:v>0.3114168447093737</c:v>
                </c:pt>
                <c:pt idx="331">
                  <c:v>-0.22455159929176938</c:v>
                </c:pt>
                <c:pt idx="332">
                  <c:v>-0.27577472072158615</c:v>
                </c:pt>
                <c:pt idx="333">
                  <c:v>-0.15219683789216026</c:v>
                </c:pt>
                <c:pt idx="334">
                  <c:v>0.5693127527546844</c:v>
                </c:pt>
                <c:pt idx="335">
                  <c:v>0.70574015644227872</c:v>
                </c:pt>
                <c:pt idx="336">
                  <c:v>-1.8782486272712609</c:v>
                </c:pt>
                <c:pt idx="337">
                  <c:v>0.77470679981116186</c:v>
                </c:pt>
                <c:pt idx="338">
                  <c:v>-8.8623740686050834E-2</c:v>
                </c:pt>
                <c:pt idx="339">
                  <c:v>-0.21241561321222796</c:v>
                </c:pt>
                <c:pt idx="340">
                  <c:v>-1.2364243462465141</c:v>
                </c:pt>
                <c:pt idx="341">
                  <c:v>-1.1921446991992242</c:v>
                </c:pt>
                <c:pt idx="342">
                  <c:v>-0.73132270396173604</c:v>
                </c:pt>
                <c:pt idx="343">
                  <c:v>0.77499319765165409</c:v>
                </c:pt>
                <c:pt idx="344">
                  <c:v>0.53754358476225261</c:v>
                </c:pt>
                <c:pt idx="345">
                  <c:v>0.99657532474933586</c:v>
                </c:pt>
                <c:pt idx="346">
                  <c:v>-0.25709937337666289</c:v>
                </c:pt>
                <c:pt idx="347">
                  <c:v>0.46040088684709329</c:v>
                </c:pt>
                <c:pt idx="348">
                  <c:v>0.99733862446503141</c:v>
                </c:pt>
                <c:pt idx="349">
                  <c:v>4.8950422326958731E-2</c:v>
                </c:pt>
                <c:pt idx="350">
                  <c:v>0.1834699936391011</c:v>
                </c:pt>
                <c:pt idx="351">
                  <c:v>-9.8159650665507248E-2</c:v>
                </c:pt>
                <c:pt idx="352">
                  <c:v>-1.3700206161113244</c:v>
                </c:pt>
                <c:pt idx="353">
                  <c:v>-0.60179811436399633</c:v>
                </c:pt>
                <c:pt idx="354">
                  <c:v>-0.19776763757322458</c:v>
                </c:pt>
                <c:pt idx="355">
                  <c:v>0.43128913466027669</c:v>
                </c:pt>
                <c:pt idx="356">
                  <c:v>-0.44841267989605793</c:v>
                </c:pt>
                <c:pt idx="357">
                  <c:v>-1.652385485619426</c:v>
                </c:pt>
                <c:pt idx="358">
                  <c:v>-0.90115807047248098</c:v>
                </c:pt>
                <c:pt idx="359">
                  <c:v>-0.28055007459271764</c:v>
                </c:pt>
                <c:pt idx="360">
                  <c:v>1.1223536131768161</c:v>
                </c:pt>
                <c:pt idx="361">
                  <c:v>0.89978345851837194</c:v>
                </c:pt>
                <c:pt idx="362">
                  <c:v>0.88150463171105375</c:v>
                </c:pt>
                <c:pt idx="363">
                  <c:v>-0.4857045093785351</c:v>
                </c:pt>
                <c:pt idx="364">
                  <c:v>-0.10117818428251785</c:v>
                </c:pt>
                <c:pt idx="365">
                  <c:v>-0.64613267588933421</c:v>
                </c:pt>
                <c:pt idx="366">
                  <c:v>-0.10526559405853822</c:v>
                </c:pt>
                <c:pt idx="367">
                  <c:v>-0.79492003139704592</c:v>
                </c:pt>
                <c:pt idx="368">
                  <c:v>0.47134037200565077</c:v>
                </c:pt>
                <c:pt idx="369">
                  <c:v>1.0332491419329126</c:v>
                </c:pt>
                <c:pt idx="370">
                  <c:v>-0.55396463244935656</c:v>
                </c:pt>
                <c:pt idx="371">
                  <c:v>1.8475626542083585</c:v>
                </c:pt>
                <c:pt idx="372">
                  <c:v>-2.1030442301999432</c:v>
                </c:pt>
                <c:pt idx="373">
                  <c:v>-0.66374707982949244</c:v>
                </c:pt>
                <c:pt idx="374">
                  <c:v>1.4034266990635158</c:v>
                </c:pt>
                <c:pt idx="375">
                  <c:v>-7.3830336159456889E-2</c:v>
                </c:pt>
                <c:pt idx="376">
                  <c:v>-1.8690769692042002</c:v>
                </c:pt>
                <c:pt idx="377">
                  <c:v>-0.50672015094275746</c:v>
                </c:pt>
                <c:pt idx="378">
                  <c:v>-1.08068158551339</c:v>
                </c:pt>
                <c:pt idx="379">
                  <c:v>-1.5198459335352856</c:v>
                </c:pt>
                <c:pt idx="380">
                  <c:v>-7.0045691808856725E-2</c:v>
                </c:pt>
                <c:pt idx="381">
                  <c:v>-1.035450351108079</c:v>
                </c:pt>
                <c:pt idx="382">
                  <c:v>0.36060071091802492</c:v>
                </c:pt>
                <c:pt idx="383">
                  <c:v>0.4121790085296847</c:v>
                </c:pt>
                <c:pt idx="384">
                  <c:v>1.2230314866316638</c:v>
                </c:pt>
                <c:pt idx="385">
                  <c:v>-6.5227774968892219E-2</c:v>
                </c:pt>
                <c:pt idx="386">
                  <c:v>-1.2967812707362034</c:v>
                </c:pt>
                <c:pt idx="387">
                  <c:v>0.71879548714355945</c:v>
                </c:pt>
                <c:pt idx="388">
                  <c:v>0.5150978897503713</c:v>
                </c:pt>
                <c:pt idx="389">
                  <c:v>-1.2890656564721923</c:v>
                </c:pt>
                <c:pt idx="390">
                  <c:v>-0.23123366269378365</c:v>
                </c:pt>
                <c:pt idx="391">
                  <c:v>-0.43808323609750732</c:v>
                </c:pt>
                <c:pt idx="392">
                  <c:v>2.3132527646385261</c:v>
                </c:pt>
                <c:pt idx="393">
                  <c:v>-1.7333819467983276</c:v>
                </c:pt>
                <c:pt idx="394">
                  <c:v>-1.2476883492626172</c:v>
                </c:pt>
                <c:pt idx="395">
                  <c:v>-5.5918458449663033E-3</c:v>
                </c:pt>
                <c:pt idx="396">
                  <c:v>0.9790887843183913</c:v>
                </c:pt>
                <c:pt idx="397">
                  <c:v>-0.99490492227737981</c:v>
                </c:pt>
                <c:pt idx="398">
                  <c:v>-0.82152102586936193</c:v>
                </c:pt>
                <c:pt idx="399">
                  <c:v>-1.1798828811068842</c:v>
                </c:pt>
                <c:pt idx="400">
                  <c:v>0.11547947519877766</c:v>
                </c:pt>
                <c:pt idx="401">
                  <c:v>0.41383255225910537</c:v>
                </c:pt>
                <c:pt idx="402">
                  <c:v>-1.8577681733768765</c:v>
                </c:pt>
                <c:pt idx="403">
                  <c:v>0.86433471216066249</c:v>
                </c:pt>
                <c:pt idx="404">
                  <c:v>-1.357291264027193</c:v>
                </c:pt>
                <c:pt idx="405">
                  <c:v>6.1234242974040315E-2</c:v>
                </c:pt>
                <c:pt idx="406">
                  <c:v>1.1105323895584402</c:v>
                </c:pt>
                <c:pt idx="407">
                  <c:v>-1.2801620138948271</c:v>
                </c:pt>
                <c:pt idx="408">
                  <c:v>1.0180939256046198</c:v>
                </c:pt>
                <c:pt idx="409">
                  <c:v>2.1047414625112921</c:v>
                </c:pt>
                <c:pt idx="410">
                  <c:v>0.87869560545397885</c:v>
                </c:pt>
                <c:pt idx="411">
                  <c:v>0.39455149996621547</c:v>
                </c:pt>
                <c:pt idx="412">
                  <c:v>-0.89142012795682013</c:v>
                </c:pt>
                <c:pt idx="413">
                  <c:v>0.40110794130429361</c:v>
                </c:pt>
                <c:pt idx="414">
                  <c:v>0.99222618690279607</c:v>
                </c:pt>
                <c:pt idx="415">
                  <c:v>0.16542499063629812</c:v>
                </c:pt>
                <c:pt idx="416">
                  <c:v>-0.98827387059190874</c:v>
                </c:pt>
                <c:pt idx="417">
                  <c:v>0.31204322083388447</c:v>
                </c:pt>
                <c:pt idx="418">
                  <c:v>-1.0520921726513353</c:v>
                </c:pt>
                <c:pt idx="419">
                  <c:v>1.064335616722129</c:v>
                </c:pt>
                <c:pt idx="420">
                  <c:v>-0.18146369508823895</c:v>
                </c:pt>
                <c:pt idx="421">
                  <c:v>-0.35192756562745314</c:v>
                </c:pt>
                <c:pt idx="422">
                  <c:v>2.5790710347907169</c:v>
                </c:pt>
                <c:pt idx="423">
                  <c:v>-1.2221424670250336</c:v>
                </c:pt>
                <c:pt idx="424">
                  <c:v>-0.14588144346905607</c:v>
                </c:pt>
                <c:pt idx="425">
                  <c:v>0.49391427246218866</c:v>
                </c:pt>
                <c:pt idx="426">
                  <c:v>-1.3006750804901281</c:v>
                </c:pt>
                <c:pt idx="427">
                  <c:v>1.8840501119796458</c:v>
                </c:pt>
                <c:pt idx="428">
                  <c:v>-0.96451506291729139</c:v>
                </c:pt>
                <c:pt idx="429">
                  <c:v>-1.4570171951324911</c:v>
                </c:pt>
                <c:pt idx="430">
                  <c:v>1.3199072507542136</c:v>
                </c:pt>
                <c:pt idx="431">
                  <c:v>0.23645281390070597</c:v>
                </c:pt>
                <c:pt idx="432">
                  <c:v>-0.15590431965122936</c:v>
                </c:pt>
                <c:pt idx="433">
                  <c:v>-0.54447047844535534</c:v>
                </c:pt>
                <c:pt idx="434">
                  <c:v>0.68055811431179936</c:v>
                </c:pt>
                <c:pt idx="435">
                  <c:v>0.75768860899841484</c:v>
                </c:pt>
                <c:pt idx="436">
                  <c:v>-0.16837364420070139</c:v>
                </c:pt>
                <c:pt idx="437">
                  <c:v>0.33170344244442546</c:v>
                </c:pt>
                <c:pt idx="438">
                  <c:v>-0.29411897492857697</c:v>
                </c:pt>
                <c:pt idx="439">
                  <c:v>1.1235946971378494</c:v>
                </c:pt>
                <c:pt idx="440">
                  <c:v>-0.51061109190542808</c:v>
                </c:pt>
                <c:pt idx="441">
                  <c:v>0.87323048950793425</c:v>
                </c:pt>
                <c:pt idx="442">
                  <c:v>-0.31689064427797337</c:v>
                </c:pt>
                <c:pt idx="443">
                  <c:v>-6.3718776948804345E-2</c:v>
                </c:pt>
                <c:pt idx="444">
                  <c:v>4.9525523446347919E-3</c:v>
                </c:pt>
                <c:pt idx="445">
                  <c:v>1.338572029545821</c:v>
                </c:pt>
                <c:pt idx="446">
                  <c:v>1.9322668076253893</c:v>
                </c:pt>
                <c:pt idx="447">
                  <c:v>0.41802140865308912</c:v>
                </c:pt>
                <c:pt idx="448">
                  <c:v>0.1046234401200776</c:v>
                </c:pt>
                <c:pt idx="449">
                  <c:v>0.24653747748175872</c:v>
                </c:pt>
                <c:pt idx="450">
                  <c:v>-0.42914930647510874</c:v>
                </c:pt>
                <c:pt idx="451">
                  <c:v>-0.74801166428593036</c:v>
                </c:pt>
                <c:pt idx="452">
                  <c:v>-0.63582910970920192</c:v>
                </c:pt>
                <c:pt idx="453">
                  <c:v>-4.1998824915431165E-2</c:v>
                </c:pt>
                <c:pt idx="454">
                  <c:v>2.2780166469915391</c:v>
                </c:pt>
                <c:pt idx="455">
                  <c:v>-0.11730357839279504</c:v>
                </c:pt>
                <c:pt idx="456">
                  <c:v>-2.3700438183218084E-3</c:v>
                </c:pt>
                <c:pt idx="457">
                  <c:v>0.34583207111179481</c:v>
                </c:pt>
                <c:pt idx="458">
                  <c:v>0.17072057228084145</c:v>
                </c:pt>
                <c:pt idx="459">
                  <c:v>0.29357287415101591</c:v>
                </c:pt>
                <c:pt idx="460">
                  <c:v>-0.39792401250739928</c:v>
                </c:pt>
                <c:pt idx="461">
                  <c:v>2.2805923156839185</c:v>
                </c:pt>
                <c:pt idx="462">
                  <c:v>0.79583241428500373</c:v>
                </c:pt>
                <c:pt idx="463">
                  <c:v>0.54592728435589388</c:v>
                </c:pt>
                <c:pt idx="464">
                  <c:v>-0.21837785910975821</c:v>
                </c:pt>
                <c:pt idx="465">
                  <c:v>-0.63640821266118741</c:v>
                </c:pt>
                <c:pt idx="466">
                  <c:v>-0.75960063104920772</c:v>
                </c:pt>
                <c:pt idx="467">
                  <c:v>2.1309470835598523</c:v>
                </c:pt>
                <c:pt idx="468">
                  <c:v>0.90352830318125732</c:v>
                </c:pt>
                <c:pt idx="469">
                  <c:v>-0.81617229777570954</c:v>
                </c:pt>
                <c:pt idx="470">
                  <c:v>0.39832365135135767</c:v>
                </c:pt>
                <c:pt idx="471">
                  <c:v>0.43524572916973192</c:v>
                </c:pt>
                <c:pt idx="472">
                  <c:v>-1.5528601567125362</c:v>
                </c:pt>
                <c:pt idx="473">
                  <c:v>-0.83439516488018528</c:v>
                </c:pt>
                <c:pt idx="474">
                  <c:v>0.6665862969200399</c:v>
                </c:pt>
                <c:pt idx="475">
                  <c:v>1.3637423890724083</c:v>
                </c:pt>
                <c:pt idx="476">
                  <c:v>0.87533612400840044</c:v>
                </c:pt>
                <c:pt idx="477">
                  <c:v>1.7292272950736485</c:v>
                </c:pt>
                <c:pt idx="478">
                  <c:v>1.2446826646790814</c:v>
                </c:pt>
                <c:pt idx="479">
                  <c:v>-0.71626324225639304</c:v>
                </c:pt>
                <c:pt idx="480">
                  <c:v>-1.3984341686012842</c:v>
                </c:pt>
                <c:pt idx="481">
                  <c:v>0.83279933639536408</c:v>
                </c:pt>
                <c:pt idx="482">
                  <c:v>-5.5362035566887069E-2</c:v>
                </c:pt>
                <c:pt idx="483">
                  <c:v>0.68768542484032036</c:v>
                </c:pt>
                <c:pt idx="484">
                  <c:v>-0.3040050968696193</c:v>
                </c:pt>
                <c:pt idx="485">
                  <c:v>-9.1201538345393462E-2</c:v>
                </c:pt>
                <c:pt idx="486">
                  <c:v>0.18009372503997093</c:v>
                </c:pt>
                <c:pt idx="487">
                  <c:v>0.78039152524437227</c:v>
                </c:pt>
                <c:pt idx="488">
                  <c:v>-1.8376240799581334</c:v>
                </c:pt>
                <c:pt idx="489">
                  <c:v>-0.57561963804507577</c:v>
                </c:pt>
                <c:pt idx="490">
                  <c:v>-2.3306429199522376</c:v>
                </c:pt>
                <c:pt idx="491">
                  <c:v>-0.19771864762456848</c:v>
                </c:pt>
                <c:pt idx="492">
                  <c:v>-1.5800318189073095</c:v>
                </c:pt>
                <c:pt idx="493">
                  <c:v>1.0893115786672549</c:v>
                </c:pt>
                <c:pt idx="494">
                  <c:v>1.5752830753711855</c:v>
                </c:pt>
                <c:pt idx="495">
                  <c:v>1.8193155120448867</c:v>
                </c:pt>
                <c:pt idx="496">
                  <c:v>3.8227238380450501E-2</c:v>
                </c:pt>
                <c:pt idx="497">
                  <c:v>0.12707583536141923</c:v>
                </c:pt>
                <c:pt idx="498">
                  <c:v>-7.9849679800194501E-2</c:v>
                </c:pt>
                <c:pt idx="499">
                  <c:v>0.74767107037813174</c:v>
                </c:pt>
                <c:pt idx="500">
                  <c:v>-0.64512463643089024</c:v>
                </c:pt>
                <c:pt idx="501">
                  <c:v>0.79017543976362514</c:v>
                </c:pt>
                <c:pt idx="502">
                  <c:v>-1.2852051589297244</c:v>
                </c:pt>
                <c:pt idx="503">
                  <c:v>-0.99899510460509222</c:v>
                </c:pt>
                <c:pt idx="504">
                  <c:v>-0.3344044077312151</c:v>
                </c:pt>
                <c:pt idx="505">
                  <c:v>-0.65608831172317028</c:v>
                </c:pt>
                <c:pt idx="506">
                  <c:v>-0.95203283468150568</c:v>
                </c:pt>
                <c:pt idx="507">
                  <c:v>0.14750179287036444</c:v>
                </c:pt>
                <c:pt idx="508">
                  <c:v>0.34165587826567478</c:v>
                </c:pt>
                <c:pt idx="509">
                  <c:v>-0.41170500430728196</c:v>
                </c:pt>
                <c:pt idx="510">
                  <c:v>0.29506390757545353</c:v>
                </c:pt>
                <c:pt idx="511">
                  <c:v>0.58763771141023935</c:v>
                </c:pt>
                <c:pt idx="512">
                  <c:v>1.1472031748735159</c:v>
                </c:pt>
                <c:pt idx="513">
                  <c:v>-1.2401273219182034</c:v>
                </c:pt>
                <c:pt idx="514">
                  <c:v>-0.60773422031165492</c:v>
                </c:pt>
                <c:pt idx="515">
                  <c:v>-1.5624836391347245</c:v>
                </c:pt>
                <c:pt idx="516">
                  <c:v>-0.24774664080062297</c:v>
                </c:pt>
                <c:pt idx="517">
                  <c:v>-1.1009744892178928</c:v>
                </c:pt>
                <c:pt idx="518">
                  <c:v>-0.37320655607897052</c:v>
                </c:pt>
                <c:pt idx="519">
                  <c:v>1.1696795513421656</c:v>
                </c:pt>
                <c:pt idx="520">
                  <c:v>0.71763258988775069</c:v>
                </c:pt>
                <c:pt idx="521">
                  <c:v>1.8092533103949589E-2</c:v>
                </c:pt>
                <c:pt idx="522">
                  <c:v>-1.3058107559875767</c:v>
                </c:pt>
                <c:pt idx="523">
                  <c:v>-0.10782333955613108</c:v>
                </c:pt>
                <c:pt idx="524">
                  <c:v>-9.968264204071442E-2</c:v>
                </c:pt>
                <c:pt idx="525">
                  <c:v>0.49456634381379472</c:v>
                </c:pt>
                <c:pt idx="526">
                  <c:v>-1.4353557004643198</c:v>
                </c:pt>
                <c:pt idx="527">
                  <c:v>-0.43673575855073526</c:v>
                </c:pt>
                <c:pt idx="528">
                  <c:v>1.093615099811609</c:v>
                </c:pt>
                <c:pt idx="529">
                  <c:v>1.3560700856899861</c:v>
                </c:pt>
                <c:pt idx="530">
                  <c:v>-0.13218298447446911</c:v>
                </c:pt>
                <c:pt idx="531">
                  <c:v>0.8892742508718896</c:v>
                </c:pt>
                <c:pt idx="532">
                  <c:v>1.7856510868173432</c:v>
                </c:pt>
                <c:pt idx="533">
                  <c:v>0.16475145156850357</c:v>
                </c:pt>
                <c:pt idx="534">
                  <c:v>0.36515390724688496</c:v>
                </c:pt>
                <c:pt idx="535">
                  <c:v>-0.39461930456161065</c:v>
                </c:pt>
                <c:pt idx="536">
                  <c:v>0.21439389098199338</c:v>
                </c:pt>
                <c:pt idx="537">
                  <c:v>-0.39669278618507903</c:v>
                </c:pt>
                <c:pt idx="538">
                  <c:v>-1.0214491175057325</c:v>
                </c:pt>
                <c:pt idx="539">
                  <c:v>0.94134998216998744</c:v>
                </c:pt>
                <c:pt idx="540">
                  <c:v>-0.56688479301002226</c:v>
                </c:pt>
                <c:pt idx="541">
                  <c:v>0.12291601639712413</c:v>
                </c:pt>
                <c:pt idx="542">
                  <c:v>0.74653417229750807</c:v>
                </c:pt>
                <c:pt idx="543">
                  <c:v>1.438663607333668</c:v>
                </c:pt>
                <c:pt idx="544">
                  <c:v>-2.8722499096359444</c:v>
                </c:pt>
                <c:pt idx="545">
                  <c:v>-3.2179616084295939E-2</c:v>
                </c:pt>
                <c:pt idx="546">
                  <c:v>-0.53100389464938813</c:v>
                </c:pt>
                <c:pt idx="547">
                  <c:v>-1.3760654375964803</c:v>
                </c:pt>
                <c:pt idx="548">
                  <c:v>-0.26937281115189604</c:v>
                </c:pt>
                <c:pt idx="549">
                  <c:v>1.0416365914413146</c:v>
                </c:pt>
                <c:pt idx="550">
                  <c:v>0.34345677971959804</c:v>
                </c:pt>
                <c:pt idx="551">
                  <c:v>0.7497553944372839</c:v>
                </c:pt>
                <c:pt idx="552">
                  <c:v>1.3372789194465047</c:v>
                </c:pt>
                <c:pt idx="553">
                  <c:v>-0.33761708182284217</c:v>
                </c:pt>
                <c:pt idx="554">
                  <c:v>1.2743275493618003</c:v>
                </c:pt>
                <c:pt idx="555">
                  <c:v>-0.93767336786743349</c:v>
                </c:pt>
                <c:pt idx="556">
                  <c:v>0.15455551703972106</c:v>
                </c:pt>
                <c:pt idx="557">
                  <c:v>-1.409809839711347</c:v>
                </c:pt>
                <c:pt idx="558">
                  <c:v>0.90279413163024025</c:v>
                </c:pt>
                <c:pt idx="559">
                  <c:v>-0.15889603297588017</c:v>
                </c:pt>
                <c:pt idx="560">
                  <c:v>-0.67596900114032765</c:v>
                </c:pt>
                <c:pt idx="561">
                  <c:v>-0.50649895355215069</c:v>
                </c:pt>
                <c:pt idx="562">
                  <c:v>-0.55458865283066694</c:v>
                </c:pt>
                <c:pt idx="563">
                  <c:v>1.6785215754662846</c:v>
                </c:pt>
                <c:pt idx="564">
                  <c:v>0.43783593946076343</c:v>
                </c:pt>
                <c:pt idx="565">
                  <c:v>1.2215658777468494</c:v>
                </c:pt>
                <c:pt idx="566">
                  <c:v>-0.17891488792955701</c:v>
                </c:pt>
                <c:pt idx="567">
                  <c:v>-1.1404408377493356</c:v>
                </c:pt>
                <c:pt idx="568">
                  <c:v>2.5353843476169508E-2</c:v>
                </c:pt>
                <c:pt idx="569">
                  <c:v>-1.1619620927953809</c:v>
                </c:pt>
                <c:pt idx="570">
                  <c:v>1.0161975587440042</c:v>
                </c:pt>
                <c:pt idx="571">
                  <c:v>1.5185519911741481</c:v>
                </c:pt>
                <c:pt idx="572">
                  <c:v>-0.59581669143059124</c:v>
                </c:pt>
                <c:pt idx="573">
                  <c:v>-0.6839810429351334</c:v>
                </c:pt>
                <c:pt idx="574">
                  <c:v>-0.40642446505675145</c:v>
                </c:pt>
                <c:pt idx="575">
                  <c:v>-0.33555441097348077</c:v>
                </c:pt>
                <c:pt idx="576">
                  <c:v>-0.35285854264472838</c:v>
                </c:pt>
                <c:pt idx="577">
                  <c:v>-0.49262294053676581</c:v>
                </c:pt>
                <c:pt idx="578">
                  <c:v>0.56949919021569428</c:v>
                </c:pt>
                <c:pt idx="579">
                  <c:v>0.78036761179953251</c:v>
                </c:pt>
                <c:pt idx="580">
                  <c:v>-1.8307342432177554</c:v>
                </c:pt>
                <c:pt idx="581">
                  <c:v>0.68582712263773871</c:v>
                </c:pt>
                <c:pt idx="582">
                  <c:v>2.1937810169292806</c:v>
                </c:pt>
                <c:pt idx="583">
                  <c:v>1.7146165306382271</c:v>
                </c:pt>
                <c:pt idx="584">
                  <c:v>1.5150846393943196</c:v>
                </c:pt>
                <c:pt idx="585">
                  <c:v>0.69316940687963491</c:v>
                </c:pt>
                <c:pt idx="586">
                  <c:v>-1.0046815573462551</c:v>
                </c:pt>
                <c:pt idx="587">
                  <c:v>-7.823010874074654E-2</c:v>
                </c:pt>
                <c:pt idx="588">
                  <c:v>0.2710269910516877</c:v>
                </c:pt>
                <c:pt idx="589">
                  <c:v>-1.1857116566384274</c:v>
                </c:pt>
                <c:pt idx="590">
                  <c:v>-4.5838892235177564E-2</c:v>
                </c:pt>
                <c:pt idx="591">
                  <c:v>-0.2632532137492295</c:v>
                </c:pt>
                <c:pt idx="592">
                  <c:v>-0.71824592711099833</c:v>
                </c:pt>
                <c:pt idx="593">
                  <c:v>0.66847443182571409</c:v>
                </c:pt>
                <c:pt idx="594">
                  <c:v>-0.78238124436733236</c:v>
                </c:pt>
                <c:pt idx="595">
                  <c:v>-0.12633952201709595</c:v>
                </c:pt>
                <c:pt idx="596">
                  <c:v>1.4590351038844844</c:v>
                </c:pt>
                <c:pt idx="597">
                  <c:v>-1.6672197830162419</c:v>
                </c:pt>
                <c:pt idx="598">
                  <c:v>0.69678163193607257</c:v>
                </c:pt>
                <c:pt idx="599">
                  <c:v>-0.90353430758054731</c:v>
                </c:pt>
                <c:pt idx="600">
                  <c:v>-0.66417989181457493</c:v>
                </c:pt>
                <c:pt idx="601">
                  <c:v>-0.88211726055432516</c:v>
                </c:pt>
                <c:pt idx="602">
                  <c:v>0.78119942887377658</c:v>
                </c:pt>
                <c:pt idx="603">
                  <c:v>-1.029431561998347</c:v>
                </c:pt>
                <c:pt idx="604">
                  <c:v>0.67042940024632081</c:v>
                </c:pt>
                <c:pt idx="605">
                  <c:v>0.5736926907147909</c:v>
                </c:pt>
                <c:pt idx="606">
                  <c:v>-1.332332940646513</c:v>
                </c:pt>
                <c:pt idx="607">
                  <c:v>-1.3265745115584435</c:v>
                </c:pt>
                <c:pt idx="608">
                  <c:v>-0.15315057732529602</c:v>
                </c:pt>
                <c:pt idx="609">
                  <c:v>1.0238016569014454</c:v>
                </c:pt>
                <c:pt idx="610">
                  <c:v>0.93637343372273518</c:v>
                </c:pt>
                <c:pt idx="611">
                  <c:v>-1.0432525514993527</c:v>
                </c:pt>
                <c:pt idx="612">
                  <c:v>0.11897545493666878</c:v>
                </c:pt>
                <c:pt idx="613">
                  <c:v>-0.82639511446167513</c:v>
                </c:pt>
                <c:pt idx="614">
                  <c:v>0.33772064017516945</c:v>
                </c:pt>
                <c:pt idx="615">
                  <c:v>-0.35217339522893887</c:v>
                </c:pt>
                <c:pt idx="616">
                  <c:v>-0.2331711757063667</c:v>
                </c:pt>
                <c:pt idx="617">
                  <c:v>0.42573656017791878</c:v>
                </c:pt>
                <c:pt idx="618">
                  <c:v>1.4461220728641591</c:v>
                </c:pt>
                <c:pt idx="619">
                  <c:v>0.35505026402080919</c:v>
                </c:pt>
                <c:pt idx="620">
                  <c:v>-0.41198302193756697</c:v>
                </c:pt>
                <c:pt idx="621">
                  <c:v>-0.22521319314143812</c:v>
                </c:pt>
                <c:pt idx="622">
                  <c:v>-0.86636279793036741</c:v>
                </c:pt>
                <c:pt idx="623">
                  <c:v>0.10551660125563703</c:v>
                </c:pt>
                <c:pt idx="624">
                  <c:v>-9.9227814322188856E-2</c:v>
                </c:pt>
                <c:pt idx="625">
                  <c:v>-2.0113208980982451</c:v>
                </c:pt>
                <c:pt idx="626">
                  <c:v>0.17680394877887734</c:v>
                </c:pt>
                <c:pt idx="627">
                  <c:v>0.7166018715701743</c:v>
                </c:pt>
                <c:pt idx="628">
                  <c:v>0.3309160171752985</c:v>
                </c:pt>
                <c:pt idx="629">
                  <c:v>0.75540467505789943</c:v>
                </c:pt>
                <c:pt idx="630">
                  <c:v>-0.11402609186683424</c:v>
                </c:pt>
                <c:pt idx="631">
                  <c:v>1.0098328037636009</c:v>
                </c:pt>
                <c:pt idx="632">
                  <c:v>-1.1930519783730378</c:v>
                </c:pt>
                <c:pt idx="633">
                  <c:v>-0.73986924380059282</c:v>
                </c:pt>
                <c:pt idx="634">
                  <c:v>-0.30889038769836286</c:v>
                </c:pt>
                <c:pt idx="635">
                  <c:v>-1.6503561978886674</c:v>
                </c:pt>
                <c:pt idx="636">
                  <c:v>-1.4549800402674036</c:v>
                </c:pt>
                <c:pt idx="637">
                  <c:v>-1.0834166661736329</c:v>
                </c:pt>
                <c:pt idx="638">
                  <c:v>-0.43385823433971227</c:v>
                </c:pt>
                <c:pt idx="639">
                  <c:v>0.48486698099237679</c:v>
                </c:pt>
                <c:pt idx="640">
                  <c:v>0.26551856274928642</c:v>
                </c:pt>
                <c:pt idx="641">
                  <c:v>-4.7894353443984961E-2</c:v>
                </c:pt>
                <c:pt idx="642">
                  <c:v>-0.26213262710272944</c:v>
                </c:pt>
                <c:pt idx="643">
                  <c:v>-0.25750434912049947</c:v>
                </c:pt>
                <c:pt idx="644">
                  <c:v>-0.68335540385016702</c:v>
                </c:pt>
                <c:pt idx="645">
                  <c:v>0.49911240263797457</c:v>
                </c:pt>
                <c:pt idx="646">
                  <c:v>8.6134225077754117E-2</c:v>
                </c:pt>
                <c:pt idx="647">
                  <c:v>-0.2365890776929484</c:v>
                </c:pt>
                <c:pt idx="648">
                  <c:v>0.44233508307361941</c:v>
                </c:pt>
                <c:pt idx="649">
                  <c:v>1.0540778065956031</c:v>
                </c:pt>
                <c:pt idx="650">
                  <c:v>-0.64385054822351762</c:v>
                </c:pt>
                <c:pt idx="651">
                  <c:v>0.54343437980490328</c:v>
                </c:pt>
                <c:pt idx="652">
                  <c:v>2.4808523295533464</c:v>
                </c:pt>
                <c:pt idx="653">
                  <c:v>0.3761262063727836</c:v>
                </c:pt>
                <c:pt idx="654">
                  <c:v>0.99113790102546651</c:v>
                </c:pt>
                <c:pt idx="655">
                  <c:v>-2.0978770190077123</c:v>
                </c:pt>
                <c:pt idx="656">
                  <c:v>0.20873363321314209</c:v>
                </c:pt>
                <c:pt idx="657">
                  <c:v>0.56815521448613748</c:v>
                </c:pt>
                <c:pt idx="658">
                  <c:v>0.33688977455436386</c:v>
                </c:pt>
                <c:pt idx="659">
                  <c:v>1.2076741894379375</c:v>
                </c:pt>
                <c:pt idx="660">
                  <c:v>-0.63797077695813553</c:v>
                </c:pt>
                <c:pt idx="661">
                  <c:v>3.2514619993954774E-2</c:v>
                </c:pt>
                <c:pt idx="662">
                  <c:v>1.5680613903433303</c:v>
                </c:pt>
                <c:pt idx="663">
                  <c:v>1.2416817016379662</c:v>
                </c:pt>
                <c:pt idx="664">
                  <c:v>0.17631003033197001</c:v>
                </c:pt>
                <c:pt idx="665">
                  <c:v>-0.3542873932917846</c:v>
                </c:pt>
                <c:pt idx="666">
                  <c:v>0.1426998918607727</c:v>
                </c:pt>
                <c:pt idx="667">
                  <c:v>-1.0797438164967559</c:v>
                </c:pt>
                <c:pt idx="668">
                  <c:v>0.25014574923945065</c:v>
                </c:pt>
                <c:pt idx="669">
                  <c:v>-0.25726412550925115</c:v>
                </c:pt>
                <c:pt idx="670">
                  <c:v>-2.0156649351479201</c:v>
                </c:pt>
                <c:pt idx="671">
                  <c:v>1.901528689284083</c:v>
                </c:pt>
                <c:pt idx="672">
                  <c:v>1.4483187061252927</c:v>
                </c:pt>
                <c:pt idx="673">
                  <c:v>-1.5459409765389509</c:v>
                </c:pt>
                <c:pt idx="674">
                  <c:v>-0.11621003095801552</c:v>
                </c:pt>
                <c:pt idx="675">
                  <c:v>-7.6837623000449051E-2</c:v>
                </c:pt>
                <c:pt idx="676">
                  <c:v>-0.84623602085678362</c:v>
                </c:pt>
                <c:pt idx="677">
                  <c:v>1.2011990983193241</c:v>
                </c:pt>
                <c:pt idx="678">
                  <c:v>6.4749938703505844E-2</c:v>
                </c:pt>
                <c:pt idx="679">
                  <c:v>-0.20822483108896811</c:v>
                </c:pt>
                <c:pt idx="680">
                  <c:v>-0.40742417218798982</c:v>
                </c:pt>
                <c:pt idx="681">
                  <c:v>1.4859930474314313</c:v>
                </c:pt>
                <c:pt idx="682">
                  <c:v>0.63387132068358976</c:v>
                </c:pt>
                <c:pt idx="683">
                  <c:v>-1.178592234177148</c:v>
                </c:pt>
                <c:pt idx="684">
                  <c:v>0.29843498323850959</c:v>
                </c:pt>
                <c:pt idx="685">
                  <c:v>-0.12941637681203402</c:v>
                </c:pt>
                <c:pt idx="686">
                  <c:v>-1.077091489565666</c:v>
                </c:pt>
                <c:pt idx="687">
                  <c:v>-2.2305305939256894</c:v>
                </c:pt>
                <c:pt idx="688">
                  <c:v>0.93610431838848129</c:v>
                </c:pt>
                <c:pt idx="689">
                  <c:v>1.8294081409367502</c:v>
                </c:pt>
                <c:pt idx="690">
                  <c:v>-0.81073500159771772</c:v>
                </c:pt>
                <c:pt idx="691">
                  <c:v>-0.58156083815131721</c:v>
                </c:pt>
                <c:pt idx="692">
                  <c:v>-9.7520486250309124E-2</c:v>
                </c:pt>
                <c:pt idx="693">
                  <c:v>-0.97557219277161189</c:v>
                </c:pt>
                <c:pt idx="694">
                  <c:v>1.1296753935835562</c:v>
                </c:pt>
                <c:pt idx="695">
                  <c:v>-0.62189047815796361</c:v>
                </c:pt>
                <c:pt idx="696">
                  <c:v>1.008532810405697</c:v>
                </c:pt>
                <c:pt idx="697">
                  <c:v>-0.45804874999810963</c:v>
                </c:pt>
                <c:pt idx="698">
                  <c:v>-2.5416057018474829</c:v>
                </c:pt>
                <c:pt idx="699">
                  <c:v>0.27331728762083607</c:v>
                </c:pt>
                <c:pt idx="700">
                  <c:v>0.18373998826146903</c:v>
                </c:pt>
                <c:pt idx="701">
                  <c:v>0.63717382499068609</c:v>
                </c:pt>
                <c:pt idx="702">
                  <c:v>1.8802486132554324</c:v>
                </c:pt>
                <c:pt idx="703">
                  <c:v>4.9985064991637962E-2</c:v>
                </c:pt>
                <c:pt idx="704">
                  <c:v>-1.7727075023639118</c:v>
                </c:pt>
                <c:pt idx="705">
                  <c:v>1.1805664512593812</c:v>
                </c:pt>
                <c:pt idx="706">
                  <c:v>0.15479614003035602</c:v>
                </c:pt>
                <c:pt idx="707">
                  <c:v>0.59532115481449122</c:v>
                </c:pt>
                <c:pt idx="708">
                  <c:v>-0.7856473335581855</c:v>
                </c:pt>
                <c:pt idx="709">
                  <c:v>1.5295369314729022</c:v>
                </c:pt>
                <c:pt idx="710">
                  <c:v>0.96638318200208984</c:v>
                </c:pt>
                <c:pt idx="711">
                  <c:v>1.1083340323182158</c:v>
                </c:pt>
                <c:pt idx="712">
                  <c:v>0.11430148753432318</c:v>
                </c:pt>
                <c:pt idx="713">
                  <c:v>-0.73824384293057044</c:v>
                </c:pt>
                <c:pt idx="714">
                  <c:v>-0.61616646681833498</c:v>
                </c:pt>
                <c:pt idx="715">
                  <c:v>-1.0295659423410315</c:v>
                </c:pt>
                <c:pt idx="716">
                  <c:v>-2.2452972151154897</c:v>
                </c:pt>
                <c:pt idx="717">
                  <c:v>0.18971468868378671</c:v>
                </c:pt>
                <c:pt idx="718">
                  <c:v>-1.0910273360747846</c:v>
                </c:pt>
                <c:pt idx="719">
                  <c:v>0.6035603415378904</c:v>
                </c:pt>
                <c:pt idx="720">
                  <c:v>0.8226859169939551</c:v>
                </c:pt>
                <c:pt idx="721">
                  <c:v>0.24881359288680552</c:v>
                </c:pt>
                <c:pt idx="722">
                  <c:v>-0.61795740648144326</c:v>
                </c:pt>
                <c:pt idx="723">
                  <c:v>1.7375176589757535</c:v>
                </c:pt>
                <c:pt idx="724">
                  <c:v>0.68253346981729091</c:v>
                </c:pt>
                <c:pt idx="725">
                  <c:v>0.38701977564578655</c:v>
                </c:pt>
                <c:pt idx="726">
                  <c:v>0.67850886683513534</c:v>
                </c:pt>
                <c:pt idx="727">
                  <c:v>-0.82939955591684689</c:v>
                </c:pt>
                <c:pt idx="728">
                  <c:v>0.51386925544532158</c:v>
                </c:pt>
                <c:pt idx="729">
                  <c:v>-0.34533597609949723</c:v>
                </c:pt>
                <c:pt idx="730">
                  <c:v>-4.7996466814189453E-2</c:v>
                </c:pt>
                <c:pt idx="731">
                  <c:v>0.44651932108896997</c:v>
                </c:pt>
                <c:pt idx="732">
                  <c:v>-1.1223730324511663</c:v>
                </c:pt>
                <c:pt idx="733">
                  <c:v>-1.2407535843423951</c:v>
                </c:pt>
                <c:pt idx="734">
                  <c:v>0.19541258101770653</c:v>
                </c:pt>
                <c:pt idx="735">
                  <c:v>-1.6819362136252369</c:v>
                </c:pt>
                <c:pt idx="736">
                  <c:v>-3.3788207122030127</c:v>
                </c:pt>
                <c:pt idx="737">
                  <c:v>-1.9171464050585274</c:v>
                </c:pt>
                <c:pt idx="738">
                  <c:v>-0.5747473921582662</c:v>
                </c:pt>
                <c:pt idx="739">
                  <c:v>1.0962949016602495</c:v>
                </c:pt>
                <c:pt idx="740">
                  <c:v>-0.33830059698477233</c:v>
                </c:pt>
                <c:pt idx="741">
                  <c:v>6.7850364699457932E-2</c:v>
                </c:pt>
                <c:pt idx="742">
                  <c:v>0.75628727099166904</c:v>
                </c:pt>
                <c:pt idx="743">
                  <c:v>-0.87907628028211238</c:v>
                </c:pt>
                <c:pt idx="744">
                  <c:v>0.98100594468945934</c:v>
                </c:pt>
                <c:pt idx="745">
                  <c:v>1.4021675171400847</c:v>
                </c:pt>
                <c:pt idx="746">
                  <c:v>2.0452376409724424</c:v>
                </c:pt>
                <c:pt idx="747">
                  <c:v>-0.21033811559083343</c:v>
                </c:pt>
                <c:pt idx="748">
                  <c:v>-0.51769059778226634</c:v>
                </c:pt>
                <c:pt idx="749">
                  <c:v>-1.6719463005594155</c:v>
                </c:pt>
                <c:pt idx="750">
                  <c:v>-1.054218491625138</c:v>
                </c:pt>
                <c:pt idx="751">
                  <c:v>0.84070111487337629</c:v>
                </c:pt>
                <c:pt idx="752">
                  <c:v>-2.167456547034873</c:v>
                </c:pt>
                <c:pt idx="753">
                  <c:v>0.71208508902976519</c:v>
                </c:pt>
                <c:pt idx="754">
                  <c:v>-0.15295950338593975</c:v>
                </c:pt>
                <c:pt idx="755">
                  <c:v>0.38033590820005281</c:v>
                </c:pt>
                <c:pt idx="756">
                  <c:v>-1.2565772622347036</c:v>
                </c:pt>
                <c:pt idx="757">
                  <c:v>1.2434740177948282</c:v>
                </c:pt>
                <c:pt idx="758">
                  <c:v>0.66980580126100597</c:v>
                </c:pt>
                <c:pt idx="759">
                  <c:v>-0.5112584056163072</c:v>
                </c:pt>
                <c:pt idx="760">
                  <c:v>1.2169611608518238</c:v>
                </c:pt>
                <c:pt idx="761">
                  <c:v>3.8835948032877932E-2</c:v>
                </c:pt>
                <c:pt idx="762">
                  <c:v>-1.1827224990941436</c:v>
                </c:pt>
                <c:pt idx="763">
                  <c:v>0.4379697976850917</c:v>
                </c:pt>
                <c:pt idx="764">
                  <c:v>-0.16670041635695329</c:v>
                </c:pt>
                <c:pt idx="765">
                  <c:v>0.15429286685309868</c:v>
                </c:pt>
                <c:pt idx="766">
                  <c:v>-0.34164887757471757</c:v>
                </c:pt>
                <c:pt idx="767">
                  <c:v>-0.84829833250245201</c:v>
                </c:pt>
                <c:pt idx="768">
                  <c:v>-0.59563292656875422</c:v>
                </c:pt>
                <c:pt idx="769">
                  <c:v>0.78879377761399061</c:v>
                </c:pt>
                <c:pt idx="770">
                  <c:v>-1.0830005797451983</c:v>
                </c:pt>
                <c:pt idx="771">
                  <c:v>-0.42370823610905972</c:v>
                </c:pt>
                <c:pt idx="772">
                  <c:v>0.76469680318126498</c:v>
                </c:pt>
                <c:pt idx="773">
                  <c:v>0.91507237861216306</c:v>
                </c:pt>
                <c:pt idx="774">
                  <c:v>-1.2399749446859318</c:v>
                </c:pt>
                <c:pt idx="775">
                  <c:v>0.18576241372221433</c:v>
                </c:pt>
                <c:pt idx="776">
                  <c:v>1.293146287103407</c:v>
                </c:pt>
                <c:pt idx="777">
                  <c:v>-0.20744643000385918</c:v>
                </c:pt>
                <c:pt idx="778">
                  <c:v>-1.3283400787822854</c:v>
                </c:pt>
                <c:pt idx="779">
                  <c:v>-0.52725646487630839</c:v>
                </c:pt>
                <c:pt idx="780">
                  <c:v>2.066592062982322</c:v>
                </c:pt>
                <c:pt idx="781">
                  <c:v>1.2219369088971603</c:v>
                </c:pt>
                <c:pt idx="782">
                  <c:v>-0.3777068023802943</c:v>
                </c:pt>
                <c:pt idx="783">
                  <c:v>2.2360157350598691</c:v>
                </c:pt>
                <c:pt idx="784">
                  <c:v>-0.60149614101703275</c:v>
                </c:pt>
                <c:pt idx="785">
                  <c:v>0.60103611709632354</c:v>
                </c:pt>
                <c:pt idx="786">
                  <c:v>0.76457350775300448</c:v>
                </c:pt>
                <c:pt idx="787">
                  <c:v>0.74664929967792726</c:v>
                </c:pt>
                <c:pt idx="788">
                  <c:v>-7.4268578238518859E-2</c:v>
                </c:pt>
                <c:pt idx="789">
                  <c:v>-1.9108845466965281</c:v>
                </c:pt>
                <c:pt idx="790">
                  <c:v>7.7255363839697111E-2</c:v>
                </c:pt>
                <c:pt idx="791">
                  <c:v>-0.96433860692311946</c:v>
                </c:pt>
                <c:pt idx="792">
                  <c:v>2.0284443666746892</c:v>
                </c:pt>
                <c:pt idx="793">
                  <c:v>-0.54833645296585865</c:v>
                </c:pt>
                <c:pt idx="794">
                  <c:v>1.1987073419021981</c:v>
                </c:pt>
                <c:pt idx="795">
                  <c:v>7.733547662482243E-3</c:v>
                </c:pt>
                <c:pt idx="796">
                  <c:v>1.3696334325670307</c:v>
                </c:pt>
                <c:pt idx="797">
                  <c:v>0.35600886877774018</c:v>
                </c:pt>
                <c:pt idx="798">
                  <c:v>2.0096515496543712</c:v>
                </c:pt>
                <c:pt idx="799">
                  <c:v>-1.7524444290924659</c:v>
                </c:pt>
                <c:pt idx="800">
                  <c:v>-0.70705736954820309</c:v>
                </c:pt>
                <c:pt idx="801">
                  <c:v>-0.86165097463203655</c:v>
                </c:pt>
                <c:pt idx="802">
                  <c:v>-0.80541412076274899</c:v>
                </c:pt>
                <c:pt idx="803">
                  <c:v>-0.64598295758958602</c:v>
                </c:pt>
                <c:pt idx="804">
                  <c:v>-0.14564901174731265</c:v>
                </c:pt>
                <c:pt idx="805">
                  <c:v>0.46142120570964262</c:v>
                </c:pt>
                <c:pt idx="806">
                  <c:v>1.3200672294488982</c:v>
                </c:pt>
                <c:pt idx="807">
                  <c:v>-1.2109835505911826E-3</c:v>
                </c:pt>
                <c:pt idx="808">
                  <c:v>9.5572302441168822E-2</c:v>
                </c:pt>
                <c:pt idx="809">
                  <c:v>-0.48390974739205767</c:v>
                </c:pt>
                <c:pt idx="810">
                  <c:v>1.3873324024797833</c:v>
                </c:pt>
                <c:pt idx="811">
                  <c:v>-0.87429051808768865</c:v>
                </c:pt>
                <c:pt idx="812">
                  <c:v>0.75799504457430533</c:v>
                </c:pt>
                <c:pt idx="813">
                  <c:v>1.3537040213863742</c:v>
                </c:pt>
                <c:pt idx="814">
                  <c:v>-0.14028999748673812</c:v>
                </c:pt>
                <c:pt idx="815">
                  <c:v>-1.5886034543115706</c:v>
                </c:pt>
                <c:pt idx="816">
                  <c:v>0.3602892811980356</c:v>
                </c:pt>
                <c:pt idx="817">
                  <c:v>-0.57130518873275427</c:v>
                </c:pt>
                <c:pt idx="818">
                  <c:v>-0.83213827866959011</c:v>
                </c:pt>
                <c:pt idx="819">
                  <c:v>0.28452206242124639</c:v>
                </c:pt>
                <c:pt idx="820">
                  <c:v>-1.7036218753202963</c:v>
                </c:pt>
                <c:pt idx="821">
                  <c:v>3.5738515125048526E-2</c:v>
                </c:pt>
                <c:pt idx="822">
                  <c:v>-1.4274181114848308</c:v>
                </c:pt>
                <c:pt idx="823">
                  <c:v>-0.26666102963017096</c:v>
                </c:pt>
                <c:pt idx="824">
                  <c:v>-1.1947285889957153</c:v>
                </c:pt>
                <c:pt idx="825">
                  <c:v>1.4053172599850574</c:v>
                </c:pt>
                <c:pt idx="826">
                  <c:v>0.23820132322991072</c:v>
                </c:pt>
                <c:pt idx="827">
                  <c:v>-1.1836282865457448</c:v>
                </c:pt>
                <c:pt idx="828">
                  <c:v>-0.82636632625407525</c:v>
                </c:pt>
                <c:pt idx="829">
                  <c:v>1.3039281463569807</c:v>
                </c:pt>
                <c:pt idx="830">
                  <c:v>-0.30814579260846253</c:v>
                </c:pt>
                <c:pt idx="831">
                  <c:v>-0.98120489126878752</c:v>
                </c:pt>
                <c:pt idx="832">
                  <c:v>-0.6252283222062438</c:v>
                </c:pt>
                <c:pt idx="833">
                  <c:v>0.25934009848361561</c:v>
                </c:pt>
                <c:pt idx="834">
                  <c:v>-2.2593415982285041</c:v>
                </c:pt>
                <c:pt idx="835">
                  <c:v>0.1346328700859678</c:v>
                </c:pt>
                <c:pt idx="836">
                  <c:v>-0.22652003767691126</c:v>
                </c:pt>
                <c:pt idx="837">
                  <c:v>-1.3295563738172305</c:v>
                </c:pt>
                <c:pt idx="838">
                  <c:v>0.89263378242563818</c:v>
                </c:pt>
                <c:pt idx="839">
                  <c:v>-0.20985542486760883</c:v>
                </c:pt>
                <c:pt idx="840">
                  <c:v>0.78915087519733862</c:v>
                </c:pt>
                <c:pt idx="841">
                  <c:v>-0.11231746439028595</c:v>
                </c:pt>
                <c:pt idx="842">
                  <c:v>-0.15383437479562845</c:v>
                </c:pt>
                <c:pt idx="843">
                  <c:v>-2.1431961402519786</c:v>
                </c:pt>
                <c:pt idx="844">
                  <c:v>-0.22924644013135559</c:v>
                </c:pt>
                <c:pt idx="845">
                  <c:v>1.2150075501702844</c:v>
                </c:pt>
                <c:pt idx="846">
                  <c:v>0.47707212183042857</c:v>
                </c:pt>
                <c:pt idx="847">
                  <c:v>-0.66065775017862849</c:v>
                </c:pt>
                <c:pt idx="848">
                  <c:v>1.0973155218824751</c:v>
                </c:pt>
                <c:pt idx="849">
                  <c:v>-0.15866909233492929</c:v>
                </c:pt>
                <c:pt idx="850">
                  <c:v>-0.22114338514425608</c:v>
                </c:pt>
                <c:pt idx="851">
                  <c:v>-0.66306265558902688</c:v>
                </c:pt>
                <c:pt idx="852">
                  <c:v>1.2126439769210908</c:v>
                </c:pt>
                <c:pt idx="853">
                  <c:v>-1.6029018592823716</c:v>
                </c:pt>
                <c:pt idx="854">
                  <c:v>-0.65607423695656353</c:v>
                </c:pt>
                <c:pt idx="855">
                  <c:v>0.83385354094883779</c:v>
                </c:pt>
                <c:pt idx="856">
                  <c:v>-0.13263440319169709</c:v>
                </c:pt>
                <c:pt idx="857">
                  <c:v>-0.70282448669479602</c:v>
                </c:pt>
                <c:pt idx="858">
                  <c:v>-6.7172843415026218E-2</c:v>
                </c:pt>
                <c:pt idx="859">
                  <c:v>-0.99356944502869948</c:v>
                </c:pt>
                <c:pt idx="860">
                  <c:v>0.69647958865107251</c:v>
                </c:pt>
                <c:pt idx="861">
                  <c:v>0.83109677822060635</c:v>
                </c:pt>
                <c:pt idx="862">
                  <c:v>-0.73074781075679851</c:v>
                </c:pt>
                <c:pt idx="863">
                  <c:v>-2.2874492615767616</c:v>
                </c:pt>
                <c:pt idx="864">
                  <c:v>-8.8931592126785475E-2</c:v>
                </c:pt>
                <c:pt idx="865">
                  <c:v>0.71061726216076082</c:v>
                </c:pt>
                <c:pt idx="866">
                  <c:v>-0.5398987963771904</c:v>
                </c:pt>
                <c:pt idx="867">
                  <c:v>-1.4646569661114648</c:v>
                </c:pt>
                <c:pt idx="868">
                  <c:v>-0.47872337073509769</c:v>
                </c:pt>
                <c:pt idx="869">
                  <c:v>0.26542133162140163</c:v>
                </c:pt>
                <c:pt idx="870">
                  <c:v>-0.90992757118275591</c:v>
                </c:pt>
                <c:pt idx="871">
                  <c:v>-1.1072450713697057</c:v>
                </c:pt>
                <c:pt idx="872">
                  <c:v>0.24366729465155293</c:v>
                </c:pt>
                <c:pt idx="873">
                  <c:v>0.16150391683945445</c:v>
                </c:pt>
                <c:pt idx="874">
                  <c:v>-1.4148685785000779</c:v>
                </c:pt>
                <c:pt idx="875">
                  <c:v>1.5469235266087804</c:v>
                </c:pt>
                <c:pt idx="876">
                  <c:v>0.25139809942548108</c:v>
                </c:pt>
                <c:pt idx="877">
                  <c:v>3.1083726470942374E-2</c:v>
                </c:pt>
                <c:pt idx="878">
                  <c:v>0.33257444376480272</c:v>
                </c:pt>
                <c:pt idx="879">
                  <c:v>1.7151212403056726</c:v>
                </c:pt>
                <c:pt idx="880">
                  <c:v>-1.1731288250368235</c:v>
                </c:pt>
                <c:pt idx="881">
                  <c:v>-1.6579197793702258</c:v>
                </c:pt>
                <c:pt idx="882">
                  <c:v>0.17888352437063743</c:v>
                </c:pt>
                <c:pt idx="883">
                  <c:v>-0.80634455041763531</c:v>
                </c:pt>
                <c:pt idx="884">
                  <c:v>0.4523595676961103</c:v>
                </c:pt>
                <c:pt idx="885">
                  <c:v>0.28202880688413506</c:v>
                </c:pt>
                <c:pt idx="886">
                  <c:v>-0.83480593560806682</c:v>
                </c:pt>
                <c:pt idx="887">
                  <c:v>-2.3474773500845498</c:v>
                </c:pt>
                <c:pt idx="888">
                  <c:v>1.4616175899794941</c:v>
                </c:pt>
                <c:pt idx="889">
                  <c:v>-0.81811553700618378</c:v>
                </c:pt>
                <c:pt idx="890">
                  <c:v>0.22815309938671288</c:v>
                </c:pt>
                <c:pt idx="891">
                  <c:v>-0.79955877297778111</c:v>
                </c:pt>
                <c:pt idx="892">
                  <c:v>-0.98278814390744329</c:v>
                </c:pt>
                <c:pt idx="893">
                  <c:v>0.69405568058217293</c:v>
                </c:pt>
                <c:pt idx="894">
                  <c:v>-3.4874006381775235E-2</c:v>
                </c:pt>
                <c:pt idx="895">
                  <c:v>0.58576395668882597</c:v>
                </c:pt>
                <c:pt idx="896">
                  <c:v>-1.1854778302491473</c:v>
                </c:pt>
                <c:pt idx="897">
                  <c:v>-0.46256748065601305</c:v>
                </c:pt>
                <c:pt idx="898">
                  <c:v>-0.92832968946172523</c:v>
                </c:pt>
                <c:pt idx="899">
                  <c:v>1.0614425713830271</c:v>
                </c:pt>
                <c:pt idx="900">
                  <c:v>0.96583734126936027</c:v>
                </c:pt>
                <c:pt idx="901">
                  <c:v>-0.14590805521931571</c:v>
                </c:pt>
                <c:pt idx="902">
                  <c:v>-1.0222007700410864</c:v>
                </c:pt>
                <c:pt idx="903">
                  <c:v>-0.35917926451692223</c:v>
                </c:pt>
                <c:pt idx="904">
                  <c:v>0.33599159035287041</c:v>
                </c:pt>
                <c:pt idx="905">
                  <c:v>0.22065366391286589</c:v>
                </c:pt>
                <c:pt idx="906">
                  <c:v>1.075507001641431</c:v>
                </c:pt>
                <c:pt idx="907">
                  <c:v>0.61005380061974435</c:v>
                </c:pt>
                <c:pt idx="908">
                  <c:v>1.0514426871700913</c:v>
                </c:pt>
                <c:pt idx="909">
                  <c:v>-1.0552269839314481</c:v>
                </c:pt>
                <c:pt idx="910">
                  <c:v>0.46465356525498375</c:v>
                </c:pt>
                <c:pt idx="911">
                  <c:v>-0.68539113977118271</c:v>
                </c:pt>
                <c:pt idx="912">
                  <c:v>-0.57573794099219022</c:v>
                </c:pt>
                <c:pt idx="913">
                  <c:v>-9.2614937672305664E-2</c:v>
                </c:pt>
                <c:pt idx="914">
                  <c:v>1.3303466666383654</c:v>
                </c:pt>
                <c:pt idx="915">
                  <c:v>-0.37783390674807343</c:v>
                </c:pt>
                <c:pt idx="916">
                  <c:v>-0.46741330310875417</c:v>
                </c:pt>
                <c:pt idx="917">
                  <c:v>-1.2547490442162628</c:v>
                </c:pt>
                <c:pt idx="918">
                  <c:v>0.19567626428536852</c:v>
                </c:pt>
                <c:pt idx="919">
                  <c:v>2.0029387670561238</c:v>
                </c:pt>
                <c:pt idx="920">
                  <c:v>-0.93813309352242036</c:v>
                </c:pt>
                <c:pt idx="921">
                  <c:v>-0.63196830215682998</c:v>
                </c:pt>
                <c:pt idx="922">
                  <c:v>3.8102340334536355E-2</c:v>
                </c:pt>
                <c:pt idx="923">
                  <c:v>1.1747415922732627</c:v>
                </c:pt>
                <c:pt idx="924">
                  <c:v>-1.4817502877357607</c:v>
                </c:pt>
                <c:pt idx="925">
                  <c:v>-0.29320076585463917</c:v>
                </c:pt>
                <c:pt idx="926">
                  <c:v>-1.4683165452685643</c:v>
                </c:pt>
                <c:pt idx="927">
                  <c:v>-0.41417695629049511</c:v>
                </c:pt>
                <c:pt idx="928">
                  <c:v>-1.1308982780682699</c:v>
                </c:pt>
                <c:pt idx="929">
                  <c:v>0.26298493233963083</c:v>
                </c:pt>
                <c:pt idx="930">
                  <c:v>2.1763814215161377</c:v>
                </c:pt>
                <c:pt idx="931">
                  <c:v>0.43261190900592744</c:v>
                </c:pt>
                <c:pt idx="932">
                  <c:v>0.63991685689204403</c:v>
                </c:pt>
                <c:pt idx="933">
                  <c:v>-0.2385802921448601</c:v>
                </c:pt>
                <c:pt idx="934">
                  <c:v>-1.7069749738469344</c:v>
                </c:pt>
                <c:pt idx="935">
                  <c:v>4.3807153016895077E-2</c:v>
                </c:pt>
                <c:pt idx="936">
                  <c:v>-0.23946529739164735</c:v>
                </c:pt>
                <c:pt idx="937">
                  <c:v>-1.3513336134367864</c:v>
                </c:pt>
                <c:pt idx="938">
                  <c:v>-0.40003642729436661</c:v>
                </c:pt>
                <c:pt idx="939">
                  <c:v>-0.37994062821283936</c:v>
                </c:pt>
                <c:pt idx="940">
                  <c:v>1.1152818982251835</c:v>
                </c:pt>
                <c:pt idx="941">
                  <c:v>1.51247298080932</c:v>
                </c:pt>
                <c:pt idx="942">
                  <c:v>-1.4770573261125497</c:v>
                </c:pt>
                <c:pt idx="943">
                  <c:v>0.22870066758395932</c:v>
                </c:pt>
                <c:pt idx="944">
                  <c:v>0.42267368156563578</c:v>
                </c:pt>
                <c:pt idx="945">
                  <c:v>8.6796331611327049E-2</c:v>
                </c:pt>
                <c:pt idx="946">
                  <c:v>1.120974003388794</c:v>
                </c:pt>
                <c:pt idx="947">
                  <c:v>0.76154261138502377</c:v>
                </c:pt>
                <c:pt idx="948">
                  <c:v>-1.3071758670821405</c:v>
                </c:pt>
                <c:pt idx="949">
                  <c:v>1.3417370061291258</c:v>
                </c:pt>
                <c:pt idx="950">
                  <c:v>-1.0008592459182535</c:v>
                </c:pt>
                <c:pt idx="951">
                  <c:v>-1.1205118314403588</c:v>
                </c:pt>
                <c:pt idx="952">
                  <c:v>0.4221325508861698</c:v>
                </c:pt>
                <c:pt idx="953">
                  <c:v>-1.3235074993725635</c:v>
                </c:pt>
                <c:pt idx="954">
                  <c:v>0.51205515717068451</c:v>
                </c:pt>
                <c:pt idx="955">
                  <c:v>-0.87968715062980074</c:v>
                </c:pt>
                <c:pt idx="956">
                  <c:v>-0.39099979175284727</c:v>
                </c:pt>
                <c:pt idx="957">
                  <c:v>-0.91731932415897655</c:v>
                </c:pt>
                <c:pt idx="958">
                  <c:v>-0.8879603900002786</c:v>
                </c:pt>
                <c:pt idx="959">
                  <c:v>-1.0482309792067053</c:v>
                </c:pt>
                <c:pt idx="960">
                  <c:v>-0.3007415762724383</c:v>
                </c:pt>
                <c:pt idx="961">
                  <c:v>-0.56415608764528269</c:v>
                </c:pt>
                <c:pt idx="962">
                  <c:v>0.19500020080144456</c:v>
                </c:pt>
                <c:pt idx="963">
                  <c:v>-0.11389595660078015</c:v>
                </c:pt>
                <c:pt idx="964">
                  <c:v>1.3264369468599435</c:v>
                </c:pt>
                <c:pt idx="965">
                  <c:v>-0.690759331971184</c:v>
                </c:pt>
                <c:pt idx="966">
                  <c:v>-1.4108555025803691</c:v>
                </c:pt>
                <c:pt idx="967">
                  <c:v>-9.8671551226887588E-2</c:v>
                </c:pt>
                <c:pt idx="968">
                  <c:v>0.63920492860447475</c:v>
                </c:pt>
                <c:pt idx="969">
                  <c:v>0.16704852370876669</c:v>
                </c:pt>
                <c:pt idx="970">
                  <c:v>-1.8672292652338223</c:v>
                </c:pt>
                <c:pt idx="971">
                  <c:v>0.57358940625320187</c:v>
                </c:pt>
                <c:pt idx="972">
                  <c:v>0.19217409293302107</c:v>
                </c:pt>
                <c:pt idx="973">
                  <c:v>6.4815678030060275E-2</c:v>
                </c:pt>
                <c:pt idx="974">
                  <c:v>-1.3427646684257852</c:v>
                </c:pt>
                <c:pt idx="975">
                  <c:v>-1.9226647193162041</c:v>
                </c:pt>
                <c:pt idx="976">
                  <c:v>-1.0223362429580733</c:v>
                </c:pt>
                <c:pt idx="977">
                  <c:v>1.8916868842140548</c:v>
                </c:pt>
                <c:pt idx="978">
                  <c:v>1.3098824666615039</c:v>
                </c:pt>
                <c:pt idx="979">
                  <c:v>0.20279907213411863</c:v>
                </c:pt>
                <c:pt idx="980">
                  <c:v>-0.58307204500572019</c:v>
                </c:pt>
                <c:pt idx="981">
                  <c:v>0.72967101076729124</c:v>
                </c:pt>
                <c:pt idx="982">
                  <c:v>0.47304227870206211</c:v>
                </c:pt>
                <c:pt idx="983">
                  <c:v>0.31327550947017557</c:v>
                </c:pt>
                <c:pt idx="984">
                  <c:v>0.60518946445277566</c:v>
                </c:pt>
                <c:pt idx="985">
                  <c:v>2.5862575920630295</c:v>
                </c:pt>
                <c:pt idx="986">
                  <c:v>-0.42190847873791615</c:v>
                </c:pt>
                <c:pt idx="987">
                  <c:v>-0.81959389578832798</c:v>
                </c:pt>
                <c:pt idx="988">
                  <c:v>-1.0731421756712138</c:v>
                </c:pt>
                <c:pt idx="989">
                  <c:v>0.34980062414172247</c:v>
                </c:pt>
                <c:pt idx="990">
                  <c:v>7.34761417879366E-2</c:v>
                </c:pt>
                <c:pt idx="991">
                  <c:v>-0.2356037402339522</c:v>
                </c:pt>
                <c:pt idx="992">
                  <c:v>0.61516492345829676</c:v>
                </c:pt>
                <c:pt idx="993">
                  <c:v>-0.29183771063747088</c:v>
                </c:pt>
                <c:pt idx="994">
                  <c:v>-0.16160170952022371</c:v>
                </c:pt>
                <c:pt idx="995">
                  <c:v>0.37938938928905813</c:v>
                </c:pt>
                <c:pt idx="996">
                  <c:v>1.1459768839834943</c:v>
                </c:pt>
                <c:pt idx="997">
                  <c:v>0.1485710825042133</c:v>
                </c:pt>
                <c:pt idx="998">
                  <c:v>0.86761259467387686</c:v>
                </c:pt>
                <c:pt idx="999">
                  <c:v>-0.25592891527708139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3-40DA-8B12-7D12BF12A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69311"/>
        <c:axId val="662161151"/>
      </c:scatterChart>
      <c:valAx>
        <c:axId val="66216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61151"/>
        <c:crosses val="autoZero"/>
        <c:crossBetween val="midCat"/>
      </c:valAx>
      <c:valAx>
        <c:axId val="6621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6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MCS_Gaussian_Copula!$E$4</c:f>
              <c:strCache>
                <c:ptCount val="1"/>
                <c:pt idx="0">
                  <c:v>Z2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MCS_Gaussian_Copula!$D$5:$D$1004</c:f>
              <c:numCache>
                <c:formatCode>General</c:formatCode>
                <c:ptCount val="1000"/>
                <c:pt idx="0">
                  <c:v>-0.53392873809964048</c:v>
                </c:pt>
                <c:pt idx="1">
                  <c:v>-1.4400809502851926</c:v>
                </c:pt>
                <c:pt idx="2">
                  <c:v>-1.0854417576460453</c:v>
                </c:pt>
                <c:pt idx="3">
                  <c:v>-2.2941254559881479</c:v>
                </c:pt>
                <c:pt idx="4">
                  <c:v>-0.60419307175910175</c:v>
                </c:pt>
                <c:pt idx="5">
                  <c:v>-0.16416910951977287</c:v>
                </c:pt>
                <c:pt idx="6">
                  <c:v>-1.087052333180909</c:v>
                </c:pt>
                <c:pt idx="7">
                  <c:v>-0.42360730246171663</c:v>
                </c:pt>
                <c:pt idx="8">
                  <c:v>-1.5952049985197359</c:v>
                </c:pt>
                <c:pt idx="9">
                  <c:v>-2.4369228582500058E-2</c:v>
                </c:pt>
                <c:pt idx="10">
                  <c:v>0.50474706244295153</c:v>
                </c:pt>
                <c:pt idx="11">
                  <c:v>1.2103261270948715</c:v>
                </c:pt>
                <c:pt idx="12">
                  <c:v>1.1003659110208661</c:v>
                </c:pt>
                <c:pt idx="13">
                  <c:v>-0.7105492291861043</c:v>
                </c:pt>
                <c:pt idx="14">
                  <c:v>-1.8152198374613879</c:v>
                </c:pt>
                <c:pt idx="15">
                  <c:v>-1.7797742863069157</c:v>
                </c:pt>
                <c:pt idx="16">
                  <c:v>-0.15372859221258015</c:v>
                </c:pt>
                <c:pt idx="17">
                  <c:v>-0.47149333455528197</c:v>
                </c:pt>
                <c:pt idx="18">
                  <c:v>0.27529197471338412</c:v>
                </c:pt>
                <c:pt idx="19">
                  <c:v>-1.9012743872715263</c:v>
                </c:pt>
                <c:pt idx="20">
                  <c:v>-1.2759628519041548E-2</c:v>
                </c:pt>
                <c:pt idx="21">
                  <c:v>-0.12727640560540679</c:v>
                </c:pt>
                <c:pt idx="22">
                  <c:v>-0.47623552478037939</c:v>
                </c:pt>
                <c:pt idx="23">
                  <c:v>0.68423707010429713</c:v>
                </c:pt>
                <c:pt idx="24">
                  <c:v>3.1204226696589531E-2</c:v>
                </c:pt>
                <c:pt idx="25">
                  <c:v>0.76417921681106438</c:v>
                </c:pt>
                <c:pt idx="26">
                  <c:v>1.2773660968202722</c:v>
                </c:pt>
                <c:pt idx="27">
                  <c:v>0.47991437890641292</c:v>
                </c:pt>
                <c:pt idx="28">
                  <c:v>-0.59855080734690447</c:v>
                </c:pt>
                <c:pt idx="29">
                  <c:v>-1.1983710016124902</c:v>
                </c:pt>
                <c:pt idx="30">
                  <c:v>0.66618783896485001</c:v>
                </c:pt>
                <c:pt idx="31">
                  <c:v>-0.37716543214246551</c:v>
                </c:pt>
                <c:pt idx="32">
                  <c:v>1.0144653194329079</c:v>
                </c:pt>
                <c:pt idx="33">
                  <c:v>-0.59891042592159593</c:v>
                </c:pt>
                <c:pt idx="34">
                  <c:v>0.69805538380185317</c:v>
                </c:pt>
                <c:pt idx="35">
                  <c:v>-0.43370419709699326</c:v>
                </c:pt>
                <c:pt idx="36">
                  <c:v>0.38698278149134457</c:v>
                </c:pt>
                <c:pt idx="37">
                  <c:v>-0.71872021311320333</c:v>
                </c:pt>
                <c:pt idx="38">
                  <c:v>-0.43226402207805353</c:v>
                </c:pt>
                <c:pt idx="39">
                  <c:v>0.18892417592776384</c:v>
                </c:pt>
                <c:pt idx="40">
                  <c:v>0.65095117214494624</c:v>
                </c:pt>
                <c:pt idx="41">
                  <c:v>1.1827623815235899</c:v>
                </c:pt>
                <c:pt idx="42">
                  <c:v>-9.8974144881666476E-2</c:v>
                </c:pt>
                <c:pt idx="43">
                  <c:v>-9.1453270663906155E-2</c:v>
                </c:pt>
                <c:pt idx="44">
                  <c:v>-0.11807902992067695</c:v>
                </c:pt>
                <c:pt idx="45">
                  <c:v>-1.7236268485493478</c:v>
                </c:pt>
                <c:pt idx="46">
                  <c:v>-0.33355814336399159</c:v>
                </c:pt>
                <c:pt idx="47">
                  <c:v>0.80031042764788451</c:v>
                </c:pt>
                <c:pt idx="48">
                  <c:v>1.2024134098829318</c:v>
                </c:pt>
                <c:pt idx="49">
                  <c:v>-0.80347094646018002</c:v>
                </c:pt>
                <c:pt idx="50">
                  <c:v>-1.069680493383512</c:v>
                </c:pt>
                <c:pt idx="51">
                  <c:v>9.0897838053809923E-2</c:v>
                </c:pt>
                <c:pt idx="52">
                  <c:v>0.85773293501188919</c:v>
                </c:pt>
                <c:pt idx="53">
                  <c:v>-0.36415345207461425</c:v>
                </c:pt>
                <c:pt idx="54">
                  <c:v>1.2146200080846778</c:v>
                </c:pt>
                <c:pt idx="55">
                  <c:v>0.91035068751791337</c:v>
                </c:pt>
                <c:pt idx="56">
                  <c:v>-0.3328092869402427</c:v>
                </c:pt>
                <c:pt idx="57">
                  <c:v>0.21608461763948753</c:v>
                </c:pt>
                <c:pt idx="58">
                  <c:v>0.38216544914901912</c:v>
                </c:pt>
                <c:pt idx="59">
                  <c:v>1.3626434171836836</c:v>
                </c:pt>
                <c:pt idx="60">
                  <c:v>-2.4302078204781008</c:v>
                </c:pt>
                <c:pt idx="61">
                  <c:v>0.18413165963041317</c:v>
                </c:pt>
                <c:pt idx="62">
                  <c:v>0.5149933507241965</c:v>
                </c:pt>
                <c:pt idx="63">
                  <c:v>-0.70667899080776786</c:v>
                </c:pt>
                <c:pt idx="64">
                  <c:v>0.34543759967819931</c:v>
                </c:pt>
                <c:pt idx="65">
                  <c:v>0.42151922143763798</c:v>
                </c:pt>
                <c:pt idx="66">
                  <c:v>1.1214181659598874</c:v>
                </c:pt>
                <c:pt idx="67">
                  <c:v>0.58545791293386806</c:v>
                </c:pt>
                <c:pt idx="68">
                  <c:v>-0.86121357917753993</c:v>
                </c:pt>
                <c:pt idx="69">
                  <c:v>1.7103016234990427</c:v>
                </c:pt>
                <c:pt idx="70">
                  <c:v>0.41973861474938157</c:v>
                </c:pt>
                <c:pt idx="71">
                  <c:v>-1.4506622568314136</c:v>
                </c:pt>
                <c:pt idx="72">
                  <c:v>0.67639729736995369</c:v>
                </c:pt>
                <c:pt idx="73">
                  <c:v>-0.6997904887260743</c:v>
                </c:pt>
                <c:pt idx="74">
                  <c:v>0.83980793415731081</c:v>
                </c:pt>
                <c:pt idx="75">
                  <c:v>-0.42873427065023156</c:v>
                </c:pt>
                <c:pt idx="76">
                  <c:v>-1.5022386804099048</c:v>
                </c:pt>
                <c:pt idx="77">
                  <c:v>-0.71851610039105385</c:v>
                </c:pt>
                <c:pt idx="78">
                  <c:v>1.72780196473889</c:v>
                </c:pt>
                <c:pt idx="79">
                  <c:v>-0.72744384280324614</c:v>
                </c:pt>
                <c:pt idx="80">
                  <c:v>-6.1877424517207832E-2</c:v>
                </c:pt>
                <c:pt idx="81">
                  <c:v>-1.6715917852144073</c:v>
                </c:pt>
                <c:pt idx="82">
                  <c:v>-1.2800200876435868</c:v>
                </c:pt>
                <c:pt idx="83">
                  <c:v>3.0467811211665162E-2</c:v>
                </c:pt>
                <c:pt idx="84">
                  <c:v>-0.33712007374005781</c:v>
                </c:pt>
                <c:pt idx="85">
                  <c:v>-0.23348199586803925</c:v>
                </c:pt>
                <c:pt idx="86">
                  <c:v>1.1657620178195192</c:v>
                </c:pt>
                <c:pt idx="87">
                  <c:v>-0.8247499552612142</c:v>
                </c:pt>
                <c:pt idx="88">
                  <c:v>1.0690498933311141</c:v>
                </c:pt>
                <c:pt idx="89">
                  <c:v>0.56617882825145815</c:v>
                </c:pt>
                <c:pt idx="90">
                  <c:v>-5.0036952953843833E-2</c:v>
                </c:pt>
                <c:pt idx="91">
                  <c:v>0.42178042407828231</c:v>
                </c:pt>
                <c:pt idx="92">
                  <c:v>-0.20962266465618895</c:v>
                </c:pt>
                <c:pt idx="93">
                  <c:v>-9.530904681450493E-3</c:v>
                </c:pt>
                <c:pt idx="94">
                  <c:v>0.46781299511690755</c:v>
                </c:pt>
                <c:pt idx="95">
                  <c:v>5.282476549471677E-2</c:v>
                </c:pt>
                <c:pt idx="96">
                  <c:v>0.6797166503408768</c:v>
                </c:pt>
                <c:pt idx="97">
                  <c:v>0.35909040300154921</c:v>
                </c:pt>
                <c:pt idx="98">
                  <c:v>-0.60470096109771188</c:v>
                </c:pt>
                <c:pt idx="99">
                  <c:v>-3.8986278964833435E-2</c:v>
                </c:pt>
                <c:pt idx="100">
                  <c:v>-0.13404892142161978</c:v>
                </c:pt>
                <c:pt idx="101">
                  <c:v>0.81508873015659533</c:v>
                </c:pt>
                <c:pt idx="102">
                  <c:v>-0.36758597593238229</c:v>
                </c:pt>
                <c:pt idx="103">
                  <c:v>0.38456316597450507</c:v>
                </c:pt>
                <c:pt idx="104">
                  <c:v>1.0092162408164176</c:v>
                </c:pt>
                <c:pt idx="105">
                  <c:v>-9.9469134097685111E-2</c:v>
                </c:pt>
                <c:pt idx="106">
                  <c:v>-0.40579642179715386</c:v>
                </c:pt>
                <c:pt idx="107">
                  <c:v>-1.4127571088554912E-2</c:v>
                </c:pt>
                <c:pt idx="108">
                  <c:v>0.22032747185715779</c:v>
                </c:pt>
                <c:pt idx="109">
                  <c:v>0.74522292430530568</c:v>
                </c:pt>
                <c:pt idx="110">
                  <c:v>-0.74095489383452318</c:v>
                </c:pt>
                <c:pt idx="111">
                  <c:v>1.3230889752793984</c:v>
                </c:pt>
                <c:pt idx="112">
                  <c:v>1.2406272871457897</c:v>
                </c:pt>
                <c:pt idx="113">
                  <c:v>-0.43282019189323429</c:v>
                </c:pt>
                <c:pt idx="114">
                  <c:v>0.89605111632398327</c:v>
                </c:pt>
                <c:pt idx="115">
                  <c:v>-0.28239456316785455</c:v>
                </c:pt>
                <c:pt idx="116">
                  <c:v>-0.13167192601608996</c:v>
                </c:pt>
                <c:pt idx="117">
                  <c:v>1.2645400235958679</c:v>
                </c:pt>
                <c:pt idx="118">
                  <c:v>-0.59075049703147742</c:v>
                </c:pt>
                <c:pt idx="119">
                  <c:v>1.3927368593762262</c:v>
                </c:pt>
                <c:pt idx="120">
                  <c:v>1.0638114881653318</c:v>
                </c:pt>
                <c:pt idx="121">
                  <c:v>-1.0350215242034253</c:v>
                </c:pt>
                <c:pt idx="122">
                  <c:v>-1.2000159732156119</c:v>
                </c:pt>
                <c:pt idx="123">
                  <c:v>-1.7773115045860692</c:v>
                </c:pt>
                <c:pt idx="124">
                  <c:v>0.4530008842718603</c:v>
                </c:pt>
                <c:pt idx="125">
                  <c:v>0.87782037016324255</c:v>
                </c:pt>
                <c:pt idx="126">
                  <c:v>-0.16140896645485084</c:v>
                </c:pt>
                <c:pt idx="127">
                  <c:v>0.18717747615219038</c:v>
                </c:pt>
                <c:pt idx="128">
                  <c:v>1.0366430429943363</c:v>
                </c:pt>
                <c:pt idx="129">
                  <c:v>-1.704626827531573</c:v>
                </c:pt>
                <c:pt idx="130">
                  <c:v>0.77436065423016254</c:v>
                </c:pt>
                <c:pt idx="131">
                  <c:v>0.89157316336225612</c:v>
                </c:pt>
                <c:pt idx="132">
                  <c:v>0.18366079796012699</c:v>
                </c:pt>
                <c:pt idx="133">
                  <c:v>-0.50875021038659418</c:v>
                </c:pt>
                <c:pt idx="134">
                  <c:v>-1.1850173835559705</c:v>
                </c:pt>
                <c:pt idx="135">
                  <c:v>0.19033332436920644</c:v>
                </c:pt>
                <c:pt idx="136">
                  <c:v>1.2881791039610122</c:v>
                </c:pt>
                <c:pt idx="137">
                  <c:v>1.1400691588879632</c:v>
                </c:pt>
                <c:pt idx="138">
                  <c:v>-1.0776657854896883</c:v>
                </c:pt>
                <c:pt idx="139">
                  <c:v>0.38417783214063</c:v>
                </c:pt>
                <c:pt idx="140">
                  <c:v>0.72474487245402774</c:v>
                </c:pt>
                <c:pt idx="141">
                  <c:v>1.7635996761445329</c:v>
                </c:pt>
                <c:pt idx="142">
                  <c:v>-0.84089134380657682</c:v>
                </c:pt>
                <c:pt idx="143">
                  <c:v>-0.53764571479279888</c:v>
                </c:pt>
                <c:pt idx="144">
                  <c:v>1.4358903620288654</c:v>
                </c:pt>
                <c:pt idx="145">
                  <c:v>0.6853194508553927</c:v>
                </c:pt>
                <c:pt idx="146">
                  <c:v>0.66806044914122642</c:v>
                </c:pt>
                <c:pt idx="147">
                  <c:v>0.16025831658308493</c:v>
                </c:pt>
                <c:pt idx="148">
                  <c:v>0.77358684342799189</c:v>
                </c:pt>
                <c:pt idx="149">
                  <c:v>0.21189016335214619</c:v>
                </c:pt>
                <c:pt idx="150">
                  <c:v>-0.9909708221190161</c:v>
                </c:pt>
                <c:pt idx="151">
                  <c:v>-0.53913155205986008</c:v>
                </c:pt>
                <c:pt idx="152">
                  <c:v>-0.4066878556901945</c:v>
                </c:pt>
                <c:pt idx="153">
                  <c:v>1.5181987425833331E-2</c:v>
                </c:pt>
                <c:pt idx="154">
                  <c:v>-0.19806707333761941</c:v>
                </c:pt>
                <c:pt idx="155">
                  <c:v>-0.39686089840542649</c:v>
                </c:pt>
                <c:pt idx="156">
                  <c:v>-1.276252748250958</c:v>
                </c:pt>
                <c:pt idx="157">
                  <c:v>-0.47730865044009946</c:v>
                </c:pt>
                <c:pt idx="158">
                  <c:v>-0.71026357932809348</c:v>
                </c:pt>
                <c:pt idx="159">
                  <c:v>1.2993602820999828</c:v>
                </c:pt>
                <c:pt idx="160">
                  <c:v>8.4229367269714361E-2</c:v>
                </c:pt>
                <c:pt idx="161">
                  <c:v>-1.8070178707051012</c:v>
                </c:pt>
                <c:pt idx="162">
                  <c:v>1.1555162430612054</c:v>
                </c:pt>
                <c:pt idx="163">
                  <c:v>0.29299749859589791</c:v>
                </c:pt>
                <c:pt idx="164">
                  <c:v>1.2597932335900399</c:v>
                </c:pt>
                <c:pt idx="165">
                  <c:v>0.6197133303690272</c:v>
                </c:pt>
                <c:pt idx="166">
                  <c:v>0.4403198497809237</c:v>
                </c:pt>
                <c:pt idx="167">
                  <c:v>-0.93252242596800028</c:v>
                </c:pt>
                <c:pt idx="168">
                  <c:v>0.53630035167906054</c:v>
                </c:pt>
                <c:pt idx="169">
                  <c:v>-1.0960486875493842</c:v>
                </c:pt>
                <c:pt idx="170">
                  <c:v>0.20952695174443717</c:v>
                </c:pt>
                <c:pt idx="171">
                  <c:v>-0.27236185272347274</c:v>
                </c:pt>
                <c:pt idx="172">
                  <c:v>-0.234228181669142</c:v>
                </c:pt>
                <c:pt idx="173">
                  <c:v>1.0807621763026176</c:v>
                </c:pt>
                <c:pt idx="174">
                  <c:v>0.63434286962493769</c:v>
                </c:pt>
                <c:pt idx="175">
                  <c:v>-0.9261578922349013</c:v>
                </c:pt>
                <c:pt idx="176">
                  <c:v>-0.54686585852074321</c:v>
                </c:pt>
                <c:pt idx="177">
                  <c:v>-0.69830255188326107</c:v>
                </c:pt>
                <c:pt idx="178">
                  <c:v>0.78844939750802678</c:v>
                </c:pt>
                <c:pt idx="179">
                  <c:v>-0.39412368020840249</c:v>
                </c:pt>
                <c:pt idx="180">
                  <c:v>-1.7410076662609903</c:v>
                </c:pt>
                <c:pt idx="181">
                  <c:v>-1.0108052127339093</c:v>
                </c:pt>
                <c:pt idx="182">
                  <c:v>0.866064594615228</c:v>
                </c:pt>
                <c:pt idx="183">
                  <c:v>-0.97704227834128698</c:v>
                </c:pt>
                <c:pt idx="184">
                  <c:v>1.9577695585603723</c:v>
                </c:pt>
                <c:pt idx="185">
                  <c:v>6.7639605493534358E-2</c:v>
                </c:pt>
                <c:pt idx="186">
                  <c:v>2.5153840545555431E-2</c:v>
                </c:pt>
                <c:pt idx="187">
                  <c:v>-0.10983353387726173</c:v>
                </c:pt>
                <c:pt idx="188">
                  <c:v>-1.8922298577748837</c:v>
                </c:pt>
                <c:pt idx="189">
                  <c:v>0.82629744464772337</c:v>
                </c:pt>
                <c:pt idx="190">
                  <c:v>-1.8871033554304448</c:v>
                </c:pt>
                <c:pt idx="191">
                  <c:v>-0.30550203584164515</c:v>
                </c:pt>
                <c:pt idx="192">
                  <c:v>0.70162217266207805</c:v>
                </c:pt>
                <c:pt idx="193">
                  <c:v>-0.89151237230244518</c:v>
                </c:pt>
                <c:pt idx="194">
                  <c:v>0.49454972929595437</c:v>
                </c:pt>
                <c:pt idx="195">
                  <c:v>7.9429615873100004E-2</c:v>
                </c:pt>
                <c:pt idx="196">
                  <c:v>-0.51740670507493802</c:v>
                </c:pt>
                <c:pt idx="197">
                  <c:v>-1.2374644604724121</c:v>
                </c:pt>
                <c:pt idx="198">
                  <c:v>-0.12903955413781348</c:v>
                </c:pt>
                <c:pt idx="199">
                  <c:v>-0.36194616395107743</c:v>
                </c:pt>
                <c:pt idx="200">
                  <c:v>0.20790428173773873</c:v>
                </c:pt>
                <c:pt idx="201">
                  <c:v>0.17024243018878715</c:v>
                </c:pt>
                <c:pt idx="202">
                  <c:v>-0.60680442745715624</c:v>
                </c:pt>
                <c:pt idx="203">
                  <c:v>0.36081019294675848</c:v>
                </c:pt>
                <c:pt idx="204">
                  <c:v>0.58059864813176787</c:v>
                </c:pt>
                <c:pt idx="205">
                  <c:v>-1.4314460190059952</c:v>
                </c:pt>
                <c:pt idx="206">
                  <c:v>-0.25582877686577599</c:v>
                </c:pt>
                <c:pt idx="207">
                  <c:v>-0.61297934982004354</c:v>
                </c:pt>
                <c:pt idx="208">
                  <c:v>-1.9473668178409635</c:v>
                </c:pt>
                <c:pt idx="209">
                  <c:v>1.3507445846225745</c:v>
                </c:pt>
                <c:pt idx="210">
                  <c:v>-6.3701948114557025E-2</c:v>
                </c:pt>
                <c:pt idx="211">
                  <c:v>-1.1249051523921452</c:v>
                </c:pt>
                <c:pt idx="212">
                  <c:v>-1.1840256134863878</c:v>
                </c:pt>
                <c:pt idx="213">
                  <c:v>-1.0035042519492405</c:v>
                </c:pt>
                <c:pt idx="214">
                  <c:v>-0.86772359529134968</c:v>
                </c:pt>
                <c:pt idx="215">
                  <c:v>-0.15553704036266491</c:v>
                </c:pt>
                <c:pt idx="216">
                  <c:v>-0.27852691665283646</c:v>
                </c:pt>
                <c:pt idx="217">
                  <c:v>-1.5475980305461206</c:v>
                </c:pt>
                <c:pt idx="218">
                  <c:v>0.22968892462559687</c:v>
                </c:pt>
                <c:pt idx="219">
                  <c:v>-0.29978557259319466</c:v>
                </c:pt>
                <c:pt idx="220">
                  <c:v>-1.3396989907364102E-2</c:v>
                </c:pt>
                <c:pt idx="221">
                  <c:v>-0.69849707874870248</c:v>
                </c:pt>
                <c:pt idx="222">
                  <c:v>0.50252314213795046</c:v>
                </c:pt>
                <c:pt idx="223">
                  <c:v>0.38077707173142022</c:v>
                </c:pt>
                <c:pt idx="224">
                  <c:v>-0.92696490390076003</c:v>
                </c:pt>
                <c:pt idx="225">
                  <c:v>0.58269071762610325</c:v>
                </c:pt>
                <c:pt idx="226">
                  <c:v>1.0329308108625854</c:v>
                </c:pt>
                <c:pt idx="227">
                  <c:v>-0.81644007618314096</c:v>
                </c:pt>
                <c:pt idx="228">
                  <c:v>1.5752390760342583</c:v>
                </c:pt>
                <c:pt idx="229">
                  <c:v>-0.12088117713806372</c:v>
                </c:pt>
                <c:pt idx="230">
                  <c:v>1.3163543994911222</c:v>
                </c:pt>
                <c:pt idx="231">
                  <c:v>-0.69082148693665035</c:v>
                </c:pt>
                <c:pt idx="232">
                  <c:v>2.1720686867305848E-2</c:v>
                </c:pt>
                <c:pt idx="233">
                  <c:v>-0.42408105188054329</c:v>
                </c:pt>
                <c:pt idx="234">
                  <c:v>3.0149531509718375E-2</c:v>
                </c:pt>
                <c:pt idx="235">
                  <c:v>0.65973346261841559</c:v>
                </c:pt>
                <c:pt idx="236">
                  <c:v>-2.139947763673216</c:v>
                </c:pt>
                <c:pt idx="237">
                  <c:v>0.98122639762175279</c:v>
                </c:pt>
                <c:pt idx="238">
                  <c:v>-1.5270305678600524</c:v>
                </c:pt>
                <c:pt idx="239">
                  <c:v>0.60002530553330691</c:v>
                </c:pt>
                <c:pt idx="240">
                  <c:v>0.50921982438865177</c:v>
                </c:pt>
                <c:pt idx="241">
                  <c:v>-0.10514229737499296</c:v>
                </c:pt>
                <c:pt idx="242">
                  <c:v>-4.7426927748251697E-2</c:v>
                </c:pt>
                <c:pt idx="243">
                  <c:v>1.264322976136796</c:v>
                </c:pt>
                <c:pt idx="244">
                  <c:v>-2.7972837952314809</c:v>
                </c:pt>
                <c:pt idx="245">
                  <c:v>0.41920509797057987</c:v>
                </c:pt>
                <c:pt idx="246">
                  <c:v>-0.21383384336115963</c:v>
                </c:pt>
                <c:pt idx="247">
                  <c:v>1.7064357642548043</c:v>
                </c:pt>
                <c:pt idx="248">
                  <c:v>1.8768827352794806</c:v>
                </c:pt>
                <c:pt idx="249">
                  <c:v>1.0331530974246044</c:v>
                </c:pt>
                <c:pt idx="250">
                  <c:v>0.42367101100695098</c:v>
                </c:pt>
                <c:pt idx="251">
                  <c:v>-0.97867467133876229</c:v>
                </c:pt>
                <c:pt idx="252">
                  <c:v>-1.4216489348650621</c:v>
                </c:pt>
                <c:pt idx="253">
                  <c:v>0.56954711231694011</c:v>
                </c:pt>
                <c:pt idx="254">
                  <c:v>3.1433854819257121</c:v>
                </c:pt>
                <c:pt idx="255">
                  <c:v>6.3163372664162692E-2</c:v>
                </c:pt>
                <c:pt idx="256">
                  <c:v>1.1740660272725918</c:v>
                </c:pt>
                <c:pt idx="257">
                  <c:v>0.64672688152953173</c:v>
                </c:pt>
                <c:pt idx="258">
                  <c:v>-0.1784907898898728</c:v>
                </c:pt>
                <c:pt idx="259">
                  <c:v>-0.26662161750733443</c:v>
                </c:pt>
                <c:pt idx="260">
                  <c:v>0.21156199280113391</c:v>
                </c:pt>
                <c:pt idx="261">
                  <c:v>-1.9218625118426604</c:v>
                </c:pt>
                <c:pt idx="262">
                  <c:v>1.6267658015798598</c:v>
                </c:pt>
                <c:pt idx="263">
                  <c:v>-0.44992518147082633</c:v>
                </c:pt>
                <c:pt idx="264">
                  <c:v>-0.51369505404982829</c:v>
                </c:pt>
                <c:pt idx="265">
                  <c:v>1.2308444679076902</c:v>
                </c:pt>
                <c:pt idx="266">
                  <c:v>0.6326653525032031</c:v>
                </c:pt>
                <c:pt idx="267">
                  <c:v>1.5802987737181133</c:v>
                </c:pt>
                <c:pt idx="268">
                  <c:v>-6.1593346614289467E-2</c:v>
                </c:pt>
                <c:pt idx="269">
                  <c:v>-1.5563429927136405</c:v>
                </c:pt>
                <c:pt idx="270">
                  <c:v>-0.85193768463259045</c:v>
                </c:pt>
                <c:pt idx="271">
                  <c:v>-0.41190153246033434</c:v>
                </c:pt>
                <c:pt idx="272">
                  <c:v>-1.1429186631625867</c:v>
                </c:pt>
                <c:pt idx="273">
                  <c:v>0.57270640776950543</c:v>
                </c:pt>
                <c:pt idx="274">
                  <c:v>1.277193660216454</c:v>
                </c:pt>
                <c:pt idx="275">
                  <c:v>0.70188377327921148</c:v>
                </c:pt>
                <c:pt idx="276">
                  <c:v>-0.70106858726574905</c:v>
                </c:pt>
                <c:pt idx="277">
                  <c:v>1.6687861069701084</c:v>
                </c:pt>
                <c:pt idx="278">
                  <c:v>-2.5564341481312267</c:v>
                </c:pt>
                <c:pt idx="279">
                  <c:v>0.2940647813198955</c:v>
                </c:pt>
                <c:pt idx="280">
                  <c:v>-1.2677364105955282</c:v>
                </c:pt>
                <c:pt idx="281">
                  <c:v>0.35824816567232998</c:v>
                </c:pt>
                <c:pt idx="282">
                  <c:v>-0.65323160742246378</c:v>
                </c:pt>
                <c:pt idx="283">
                  <c:v>0.87481554631491443</c:v>
                </c:pt>
                <c:pt idx="284">
                  <c:v>1.0797700184582504</c:v>
                </c:pt>
                <c:pt idx="285">
                  <c:v>-1.0043072212093855</c:v>
                </c:pt>
                <c:pt idx="286">
                  <c:v>-1.0809709123952378</c:v>
                </c:pt>
                <c:pt idx="287">
                  <c:v>-4.1812619713616141E-2</c:v>
                </c:pt>
                <c:pt idx="288">
                  <c:v>-0.12584594346284533</c:v>
                </c:pt>
                <c:pt idx="289">
                  <c:v>-0.20371057345306057</c:v>
                </c:pt>
                <c:pt idx="290">
                  <c:v>1.1058510803057524</c:v>
                </c:pt>
                <c:pt idx="291">
                  <c:v>4.6600743243640386E-2</c:v>
                </c:pt>
                <c:pt idx="292">
                  <c:v>0.38848415270234032</c:v>
                </c:pt>
                <c:pt idx="293">
                  <c:v>7.0564473370818325E-4</c:v>
                </c:pt>
                <c:pt idx="294">
                  <c:v>8.7579566227933919E-2</c:v>
                </c:pt>
                <c:pt idx="295">
                  <c:v>-0.40273771128595698</c:v>
                </c:pt>
                <c:pt idx="296">
                  <c:v>0.27871825651575238</c:v>
                </c:pt>
                <c:pt idx="297">
                  <c:v>-1.4393127226528701</c:v>
                </c:pt>
                <c:pt idx="298">
                  <c:v>1.0171441324648913</c:v>
                </c:pt>
                <c:pt idx="299">
                  <c:v>0.70524253604984066</c:v>
                </c:pt>
                <c:pt idx="300">
                  <c:v>-0.25763114841416113</c:v>
                </c:pt>
                <c:pt idx="301">
                  <c:v>1.7066686986853772</c:v>
                </c:pt>
                <c:pt idx="302">
                  <c:v>0.47739974523820272</c:v>
                </c:pt>
                <c:pt idx="303">
                  <c:v>-0.52009592137681104</c:v>
                </c:pt>
                <c:pt idx="304">
                  <c:v>0.32823871852439673</c:v>
                </c:pt>
                <c:pt idx="305">
                  <c:v>2.3494994128671425</c:v>
                </c:pt>
                <c:pt idx="306">
                  <c:v>-1.2145303358865953</c:v>
                </c:pt>
                <c:pt idx="307">
                  <c:v>1.3998036563325857</c:v>
                </c:pt>
                <c:pt idx="308">
                  <c:v>1.7434219852986812</c:v>
                </c:pt>
                <c:pt idx="309">
                  <c:v>-0.60787881194982396</c:v>
                </c:pt>
                <c:pt idx="310">
                  <c:v>1.38146581997704</c:v>
                </c:pt>
                <c:pt idx="311">
                  <c:v>-0.26646382970460275</c:v>
                </c:pt>
                <c:pt idx="312">
                  <c:v>1.1457630050821981</c:v>
                </c:pt>
                <c:pt idx="313">
                  <c:v>0.58141779108782077</c:v>
                </c:pt>
                <c:pt idx="314">
                  <c:v>1.0522001468851794</c:v>
                </c:pt>
                <c:pt idx="315">
                  <c:v>0.32390608586493347</c:v>
                </c:pt>
                <c:pt idx="316">
                  <c:v>0.27534326671681081</c:v>
                </c:pt>
                <c:pt idx="317">
                  <c:v>1.0086849335109387</c:v>
                </c:pt>
                <c:pt idx="318">
                  <c:v>0.94601772402042261</c:v>
                </c:pt>
                <c:pt idx="319">
                  <c:v>0.15001944132699863</c:v>
                </c:pt>
                <c:pt idx="320">
                  <c:v>-1.0247209593615267</c:v>
                </c:pt>
                <c:pt idx="321">
                  <c:v>-0.53715061987448776</c:v>
                </c:pt>
                <c:pt idx="322">
                  <c:v>1.4795878548364505</c:v>
                </c:pt>
                <c:pt idx="323">
                  <c:v>-0.71301312035875808</c:v>
                </c:pt>
                <c:pt idx="324">
                  <c:v>-0.1749268124580956</c:v>
                </c:pt>
                <c:pt idx="325">
                  <c:v>0.38039921491366918</c:v>
                </c:pt>
                <c:pt idx="326">
                  <c:v>-1.2402637931792553</c:v>
                </c:pt>
                <c:pt idx="327">
                  <c:v>1.7705563081052915</c:v>
                </c:pt>
                <c:pt idx="328">
                  <c:v>-0.81103345606118016</c:v>
                </c:pt>
                <c:pt idx="329">
                  <c:v>-0.35315206440898395</c:v>
                </c:pt>
                <c:pt idx="330">
                  <c:v>0.4944155429369802</c:v>
                </c:pt>
                <c:pt idx="331">
                  <c:v>-0.38594493971524463</c:v>
                </c:pt>
                <c:pt idx="332">
                  <c:v>-6.9469584731782039E-2</c:v>
                </c:pt>
                <c:pt idx="333">
                  <c:v>0.41015056742454975</c:v>
                </c:pt>
                <c:pt idx="334">
                  <c:v>0.64556298037911453</c:v>
                </c:pt>
                <c:pt idx="335">
                  <c:v>0.37239529564093926</c:v>
                </c:pt>
                <c:pt idx="336">
                  <c:v>-2.3004589213885462</c:v>
                </c:pt>
                <c:pt idx="337">
                  <c:v>-9.6101631835660613E-3</c:v>
                </c:pt>
                <c:pt idx="338">
                  <c:v>-0.49627106169161028</c:v>
                </c:pt>
                <c:pt idx="339">
                  <c:v>0.32750454645335553</c:v>
                </c:pt>
                <c:pt idx="340">
                  <c:v>-0.51986229223848635</c:v>
                </c:pt>
                <c:pt idx="341">
                  <c:v>-1.8419860000682358</c:v>
                </c:pt>
                <c:pt idx="342">
                  <c:v>-0.91317419904968</c:v>
                </c:pt>
                <c:pt idx="343">
                  <c:v>-0.12429418504494578</c:v>
                </c:pt>
                <c:pt idx="344">
                  <c:v>1.2606402720334038</c:v>
                </c:pt>
                <c:pt idx="345">
                  <c:v>1.0626900403487773</c:v>
                </c:pt>
                <c:pt idx="346">
                  <c:v>-0.28795814281599769</c:v>
                </c:pt>
                <c:pt idx="347">
                  <c:v>0.42244834727824021</c:v>
                </c:pt>
                <c:pt idx="348">
                  <c:v>0.39203643524078208</c:v>
                </c:pt>
                <c:pt idx="349">
                  <c:v>-0.34448188251419137</c:v>
                </c:pt>
                <c:pt idx="350">
                  <c:v>-0.24954774349914369</c:v>
                </c:pt>
                <c:pt idx="351">
                  <c:v>1.0950068721714923</c:v>
                </c:pt>
                <c:pt idx="352">
                  <c:v>-1.0568846513512844</c:v>
                </c:pt>
                <c:pt idx="353">
                  <c:v>-1.0734836112346944</c:v>
                </c:pt>
                <c:pt idx="354">
                  <c:v>-0.37005489229386995</c:v>
                </c:pt>
                <c:pt idx="355">
                  <c:v>-2.1197961500344729E-2</c:v>
                </c:pt>
                <c:pt idx="356">
                  <c:v>-0.41283670365466396</c:v>
                </c:pt>
                <c:pt idx="357">
                  <c:v>-1.2535771279380714</c:v>
                </c:pt>
                <c:pt idx="358">
                  <c:v>0.27585530610875098</c:v>
                </c:pt>
                <c:pt idx="359">
                  <c:v>-0.52130172913531858</c:v>
                </c:pt>
                <c:pt idx="360">
                  <c:v>1.3622842065388039</c:v>
                </c:pt>
                <c:pt idx="361">
                  <c:v>0.71125987575090399</c:v>
                </c:pt>
                <c:pt idx="362">
                  <c:v>0.45559485667519983</c:v>
                </c:pt>
                <c:pt idx="363">
                  <c:v>-0.45008848817278435</c:v>
                </c:pt>
                <c:pt idx="364">
                  <c:v>0.3527595975890947</c:v>
                </c:pt>
                <c:pt idx="365">
                  <c:v>0.50033787002265617</c:v>
                </c:pt>
                <c:pt idx="366">
                  <c:v>-0.16772009992660686</c:v>
                </c:pt>
                <c:pt idx="367">
                  <c:v>-0.30692711227832326</c:v>
                </c:pt>
                <c:pt idx="368">
                  <c:v>0.27010182950804873</c:v>
                </c:pt>
                <c:pt idx="369">
                  <c:v>1.0375362215640627</c:v>
                </c:pt>
                <c:pt idx="370">
                  <c:v>-0.62831170068241182</c:v>
                </c:pt>
                <c:pt idx="371">
                  <c:v>1.7670145330826421</c:v>
                </c:pt>
                <c:pt idx="372">
                  <c:v>-2.1413029078223209</c:v>
                </c:pt>
                <c:pt idx="373">
                  <c:v>-0.49249314581572395</c:v>
                </c:pt>
                <c:pt idx="374">
                  <c:v>1.0263235951735388</c:v>
                </c:pt>
                <c:pt idx="375">
                  <c:v>-0.32295066126947858</c:v>
                </c:pt>
                <c:pt idx="376">
                  <c:v>-2.0710396229836667</c:v>
                </c:pt>
                <c:pt idx="377">
                  <c:v>-0.54886569693201581</c:v>
                </c:pt>
                <c:pt idx="378">
                  <c:v>-0.95333635741306655</c:v>
                </c:pt>
                <c:pt idx="379">
                  <c:v>-2.311780782870843</c:v>
                </c:pt>
                <c:pt idx="380">
                  <c:v>0.31499336516739201</c:v>
                </c:pt>
                <c:pt idx="381">
                  <c:v>-1.4302422673763731</c:v>
                </c:pt>
                <c:pt idx="382">
                  <c:v>-0.37593264496052492</c:v>
                </c:pt>
                <c:pt idx="383">
                  <c:v>0.72964803998207872</c:v>
                </c:pt>
                <c:pt idx="384">
                  <c:v>0.39567693611526183</c:v>
                </c:pt>
                <c:pt idx="385">
                  <c:v>0.10880950778541493</c:v>
                </c:pt>
                <c:pt idx="386">
                  <c:v>-0.89588038853731444</c:v>
                </c:pt>
                <c:pt idx="387">
                  <c:v>0.36963490994404208</c:v>
                </c:pt>
                <c:pt idx="388">
                  <c:v>0.58192581783434616</c:v>
                </c:pt>
                <c:pt idx="389">
                  <c:v>-1.0919155067442321</c:v>
                </c:pt>
                <c:pt idx="390">
                  <c:v>0.68836203494377368</c:v>
                </c:pt>
                <c:pt idx="391">
                  <c:v>-0.22071526285489504</c:v>
                </c:pt>
                <c:pt idx="392">
                  <c:v>2.5269202623860556</c:v>
                </c:pt>
                <c:pt idx="393">
                  <c:v>-1.3299888371477202</c:v>
                </c:pt>
                <c:pt idx="394">
                  <c:v>-1.153348008408196</c:v>
                </c:pt>
                <c:pt idx="395">
                  <c:v>0.29262045793153052</c:v>
                </c:pt>
                <c:pt idx="396">
                  <c:v>0.66419413345535228</c:v>
                </c:pt>
                <c:pt idx="397">
                  <c:v>-1.0581478695462312</c:v>
                </c:pt>
                <c:pt idx="398">
                  <c:v>-1.1386968051065804</c:v>
                </c:pt>
                <c:pt idx="399">
                  <c:v>-1.049259443084023</c:v>
                </c:pt>
                <c:pt idx="400">
                  <c:v>-0.29972075687765565</c:v>
                </c:pt>
                <c:pt idx="401">
                  <c:v>-9.3065680429727002E-2</c:v>
                </c:pt>
                <c:pt idx="402">
                  <c:v>-1.8797846086780294</c:v>
                </c:pt>
                <c:pt idx="403">
                  <c:v>0.92901467442253594</c:v>
                </c:pt>
                <c:pt idx="404">
                  <c:v>-1.2571666027390758</c:v>
                </c:pt>
                <c:pt idx="405">
                  <c:v>-0.20422220157535903</c:v>
                </c:pt>
                <c:pt idx="406">
                  <c:v>1.2068053189007744</c:v>
                </c:pt>
                <c:pt idx="407">
                  <c:v>-1.5561568332928526</c:v>
                </c:pt>
                <c:pt idx="408">
                  <c:v>0.39018066687804998</c:v>
                </c:pt>
                <c:pt idx="409">
                  <c:v>2.0205277985320453</c:v>
                </c:pt>
                <c:pt idx="410">
                  <c:v>0.2602736547679893</c:v>
                </c:pt>
                <c:pt idx="411">
                  <c:v>0.90047883603717938</c:v>
                </c:pt>
                <c:pt idx="412">
                  <c:v>-0.87385803209880775</c:v>
                </c:pt>
                <c:pt idx="413">
                  <c:v>0.8838567818088866</c:v>
                </c:pt>
                <c:pt idx="414">
                  <c:v>0.77684644174380046</c:v>
                </c:pt>
                <c:pt idx="415">
                  <c:v>0.83396301704148157</c:v>
                </c:pt>
                <c:pt idx="416">
                  <c:v>-0.95358732163509408</c:v>
                </c:pt>
                <c:pt idx="417">
                  <c:v>-0.57187736035179215</c:v>
                </c:pt>
                <c:pt idx="418">
                  <c:v>-0.89214977697598663</c:v>
                </c:pt>
                <c:pt idx="419">
                  <c:v>0.61269899425071805</c:v>
                </c:pt>
                <c:pt idx="420">
                  <c:v>-0.70247460448337185</c:v>
                </c:pt>
                <c:pt idx="421">
                  <c:v>-0.34766486883124381</c:v>
                </c:pt>
                <c:pt idx="422">
                  <c:v>1.9696679986322383</c:v>
                </c:pt>
                <c:pt idx="423">
                  <c:v>-0.79485917726842914</c:v>
                </c:pt>
                <c:pt idx="424">
                  <c:v>-0.10295339933366325</c:v>
                </c:pt>
                <c:pt idx="425">
                  <c:v>0.27797695048875121</c:v>
                </c:pt>
                <c:pt idx="426">
                  <c:v>-0.63806911970681646</c:v>
                </c:pt>
                <c:pt idx="427">
                  <c:v>1.8064588782715869</c:v>
                </c:pt>
                <c:pt idx="428">
                  <c:v>-1.2212438761349753</c:v>
                </c:pt>
                <c:pt idx="429">
                  <c:v>-1.3236413721851634</c:v>
                </c:pt>
                <c:pt idx="430">
                  <c:v>0.6532026293343941</c:v>
                </c:pt>
                <c:pt idx="431">
                  <c:v>0.43726166267758881</c:v>
                </c:pt>
                <c:pt idx="432">
                  <c:v>-0.33561772151124059</c:v>
                </c:pt>
                <c:pt idx="433">
                  <c:v>-0.52712855646731116</c:v>
                </c:pt>
                <c:pt idx="434">
                  <c:v>0.33748716051595301</c:v>
                </c:pt>
                <c:pt idx="435">
                  <c:v>1.3535769174356986</c:v>
                </c:pt>
                <c:pt idx="436">
                  <c:v>-0.28855216929550243</c:v>
                </c:pt>
                <c:pt idx="437">
                  <c:v>-0.39269334361795122</c:v>
                </c:pt>
                <c:pt idx="438">
                  <c:v>0.36588219072521755</c:v>
                </c:pt>
                <c:pt idx="439">
                  <c:v>1.0225110852706909</c:v>
                </c:pt>
                <c:pt idx="440">
                  <c:v>-0.40948239086491078</c:v>
                </c:pt>
                <c:pt idx="441">
                  <c:v>0.47785178772097686</c:v>
                </c:pt>
                <c:pt idx="442">
                  <c:v>-0.45892449891215287</c:v>
                </c:pt>
                <c:pt idx="443">
                  <c:v>0.45540394428315606</c:v>
                </c:pt>
                <c:pt idx="444">
                  <c:v>0.16152344357979548</c:v>
                </c:pt>
                <c:pt idx="445">
                  <c:v>1.672389485985021</c:v>
                </c:pt>
                <c:pt idx="446">
                  <c:v>1.9890513181350686</c:v>
                </c:pt>
                <c:pt idx="447">
                  <c:v>0.22793252454688256</c:v>
                </c:pt>
                <c:pt idx="448">
                  <c:v>2.3807584753430592E-2</c:v>
                </c:pt>
                <c:pt idx="449">
                  <c:v>0.33264040601174377</c:v>
                </c:pt>
                <c:pt idx="450">
                  <c:v>-0.89024691502040976</c:v>
                </c:pt>
                <c:pt idx="451">
                  <c:v>-0.6825970441913467</c:v>
                </c:pt>
                <c:pt idx="452">
                  <c:v>0.56506863079231529</c:v>
                </c:pt>
                <c:pt idx="453">
                  <c:v>-0.64193949803098294</c:v>
                </c:pt>
                <c:pt idx="454">
                  <c:v>1.9096534550692734</c:v>
                </c:pt>
                <c:pt idx="455">
                  <c:v>-0.33264830224776104</c:v>
                </c:pt>
                <c:pt idx="456">
                  <c:v>-6.6533190100828699E-2</c:v>
                </c:pt>
                <c:pt idx="457">
                  <c:v>0.26446581349934761</c:v>
                </c:pt>
                <c:pt idx="458">
                  <c:v>0.43931498429586496</c:v>
                </c:pt>
                <c:pt idx="459">
                  <c:v>0.18397024620957805</c:v>
                </c:pt>
                <c:pt idx="460">
                  <c:v>-1.087490796391694</c:v>
                </c:pt>
                <c:pt idx="461">
                  <c:v>2.19368159455651</c:v>
                </c:pt>
                <c:pt idx="462">
                  <c:v>0.28213146985103543</c:v>
                </c:pt>
                <c:pt idx="463">
                  <c:v>1.1760295928528082</c:v>
                </c:pt>
                <c:pt idx="464">
                  <c:v>0.22550812556686303</c:v>
                </c:pt>
                <c:pt idx="465">
                  <c:v>-1.1012262749335444</c:v>
                </c:pt>
                <c:pt idx="466">
                  <c:v>-0.13203150285990053</c:v>
                </c:pt>
                <c:pt idx="467">
                  <c:v>2.6730537616300722</c:v>
                </c:pt>
                <c:pt idx="468">
                  <c:v>0.34171804255571703</c:v>
                </c:pt>
                <c:pt idx="469">
                  <c:v>-0.40784424295737548</c:v>
                </c:pt>
                <c:pt idx="470">
                  <c:v>0.62094392464128423</c:v>
                </c:pt>
                <c:pt idx="471">
                  <c:v>1.0910005966328382</c:v>
                </c:pt>
                <c:pt idx="472">
                  <c:v>-2.2712456618527632</c:v>
                </c:pt>
                <c:pt idx="473">
                  <c:v>-0.47974137194607702</c:v>
                </c:pt>
                <c:pt idx="474">
                  <c:v>0.75268846272422252</c:v>
                </c:pt>
                <c:pt idx="475">
                  <c:v>1.0929950046742667</c:v>
                </c:pt>
                <c:pt idx="476">
                  <c:v>0.89417303348061183</c:v>
                </c:pt>
                <c:pt idx="477">
                  <c:v>1.7292835591254812</c:v>
                </c:pt>
                <c:pt idx="478">
                  <c:v>0.53556792517791629</c:v>
                </c:pt>
                <c:pt idx="479">
                  <c:v>-1.0318227743225177</c:v>
                </c:pt>
                <c:pt idx="480">
                  <c:v>-1.2785300062615392</c:v>
                </c:pt>
                <c:pt idx="481">
                  <c:v>1.1959785047983325</c:v>
                </c:pt>
                <c:pt idx="482">
                  <c:v>0.14864978676754273</c:v>
                </c:pt>
                <c:pt idx="483">
                  <c:v>0.68959661950878726</c:v>
                </c:pt>
                <c:pt idx="484">
                  <c:v>-0.33066657293068097</c:v>
                </c:pt>
                <c:pt idx="485">
                  <c:v>-1.0466589520469134</c:v>
                </c:pt>
                <c:pt idx="486">
                  <c:v>0.37473897538818568</c:v>
                </c:pt>
                <c:pt idx="487">
                  <c:v>0.67145021058544052</c:v>
                </c:pt>
                <c:pt idx="488">
                  <c:v>-2.6529597370600375</c:v>
                </c:pt>
                <c:pt idx="489">
                  <c:v>-0.4906795676709157</c:v>
                </c:pt>
                <c:pt idx="490">
                  <c:v>-2.1318078746832305</c:v>
                </c:pt>
                <c:pt idx="491">
                  <c:v>-0.566931552577839</c:v>
                </c:pt>
                <c:pt idx="492">
                  <c:v>-1.6621162773221898</c:v>
                </c:pt>
                <c:pt idx="493">
                  <c:v>0.59805177920227526</c:v>
                </c:pt>
                <c:pt idx="494">
                  <c:v>1.3029617403914473</c:v>
                </c:pt>
                <c:pt idx="495">
                  <c:v>1.8903151635334778</c:v>
                </c:pt>
                <c:pt idx="496">
                  <c:v>0.20139312325840672</c:v>
                </c:pt>
                <c:pt idx="497">
                  <c:v>0.15139664846615941</c:v>
                </c:pt>
                <c:pt idx="498">
                  <c:v>-0.35597780384606759</c:v>
                </c:pt>
                <c:pt idx="499">
                  <c:v>0.88511273874784646</c:v>
                </c:pt>
                <c:pt idx="500">
                  <c:v>-1.1835527798788217</c:v>
                </c:pt>
                <c:pt idx="501">
                  <c:v>0.79221735437034246</c:v>
                </c:pt>
                <c:pt idx="502">
                  <c:v>-0.60881305258585516</c:v>
                </c:pt>
                <c:pt idx="503">
                  <c:v>-0.99816302303289395</c:v>
                </c:pt>
                <c:pt idx="504">
                  <c:v>6.3545047067849914E-2</c:v>
                </c:pt>
                <c:pt idx="505">
                  <c:v>-0.70344090847413832</c:v>
                </c:pt>
                <c:pt idx="506">
                  <c:v>-0.39382390378496923</c:v>
                </c:pt>
                <c:pt idx="507">
                  <c:v>0.43195320646547741</c:v>
                </c:pt>
                <c:pt idx="508">
                  <c:v>0.30627089868369806</c:v>
                </c:pt>
                <c:pt idx="509">
                  <c:v>9.5162108602124609E-3</c:v>
                </c:pt>
                <c:pt idx="510">
                  <c:v>-0.14749364992145894</c:v>
                </c:pt>
                <c:pt idx="511">
                  <c:v>0.90520202303922914</c:v>
                </c:pt>
                <c:pt idx="512">
                  <c:v>1.8777982288597614</c:v>
                </c:pt>
                <c:pt idx="513">
                  <c:v>-0.79051142959313081</c:v>
                </c:pt>
                <c:pt idx="514">
                  <c:v>-0.59060090090397532</c:v>
                </c:pt>
                <c:pt idx="515">
                  <c:v>-2.0493348849354081</c:v>
                </c:pt>
                <c:pt idx="516">
                  <c:v>-0.57250556252723905</c:v>
                </c:pt>
                <c:pt idx="517">
                  <c:v>-0.44221832508874848</c:v>
                </c:pt>
                <c:pt idx="518">
                  <c:v>-0.46191290500919902</c:v>
                </c:pt>
                <c:pt idx="519">
                  <c:v>0.92704207501470226</c:v>
                </c:pt>
                <c:pt idx="520">
                  <c:v>0.52681739960680729</c:v>
                </c:pt>
                <c:pt idx="521">
                  <c:v>1.2386678152728092E-2</c:v>
                </c:pt>
                <c:pt idx="522">
                  <c:v>-1.5348855252937053</c:v>
                </c:pt>
                <c:pt idx="523">
                  <c:v>0.27480946968170517</c:v>
                </c:pt>
                <c:pt idx="524">
                  <c:v>-0.40076194398010478</c:v>
                </c:pt>
                <c:pt idx="525">
                  <c:v>0.69475686665293512</c:v>
                </c:pt>
                <c:pt idx="526">
                  <c:v>-1.0258261171506786</c:v>
                </c:pt>
                <c:pt idx="527">
                  <c:v>-0.96146617083900809</c:v>
                </c:pt>
                <c:pt idx="528">
                  <c:v>0.58003212466069887</c:v>
                </c:pt>
                <c:pt idx="529">
                  <c:v>-0.21115869864133094</c:v>
                </c:pt>
                <c:pt idx="530">
                  <c:v>-0.25378276031357361</c:v>
                </c:pt>
                <c:pt idx="531">
                  <c:v>1.0707929500359674</c:v>
                </c:pt>
                <c:pt idx="532">
                  <c:v>1.4791205737894004</c:v>
                </c:pt>
                <c:pt idx="533">
                  <c:v>1.0826500336201186</c:v>
                </c:pt>
                <c:pt idx="534">
                  <c:v>0.8287404470011912</c:v>
                </c:pt>
                <c:pt idx="535">
                  <c:v>0.25111238955793108</c:v>
                </c:pt>
                <c:pt idx="536">
                  <c:v>4.187937223109213E-2</c:v>
                </c:pt>
                <c:pt idx="537">
                  <c:v>-0.78178748877750992</c:v>
                </c:pt>
                <c:pt idx="538">
                  <c:v>-0.9658044060509362</c:v>
                </c:pt>
                <c:pt idx="539">
                  <c:v>0.61294227890130326</c:v>
                </c:pt>
                <c:pt idx="540">
                  <c:v>0.11086050497953212</c:v>
                </c:pt>
                <c:pt idx="541">
                  <c:v>0.88530434693956717</c:v>
                </c:pt>
                <c:pt idx="542">
                  <c:v>1.3736189878621179</c:v>
                </c:pt>
                <c:pt idx="543">
                  <c:v>1.655370686823517</c:v>
                </c:pt>
                <c:pt idx="544">
                  <c:v>-1.8428263161796927</c:v>
                </c:pt>
                <c:pt idx="545">
                  <c:v>1.4566106600249653E-2</c:v>
                </c:pt>
                <c:pt idx="546">
                  <c:v>-0.5763246267023121</c:v>
                </c:pt>
                <c:pt idx="547">
                  <c:v>-1.0579224737752047</c:v>
                </c:pt>
                <c:pt idx="548">
                  <c:v>0.42947874055673291</c:v>
                </c:pt>
                <c:pt idx="549">
                  <c:v>0.61162877576946129</c:v>
                </c:pt>
                <c:pt idx="550">
                  <c:v>0.39409821418652419</c:v>
                </c:pt>
                <c:pt idx="551">
                  <c:v>0.53680428328415497</c:v>
                </c:pt>
                <c:pt idx="552">
                  <c:v>1.4996245838762872</c:v>
                </c:pt>
                <c:pt idx="553">
                  <c:v>-0.24601202153397936</c:v>
                </c:pt>
                <c:pt idx="554">
                  <c:v>2.0351755477250668</c:v>
                </c:pt>
                <c:pt idx="555">
                  <c:v>-1.2506594835880112</c:v>
                </c:pt>
                <c:pt idx="556">
                  <c:v>0.21194979720344997</c:v>
                </c:pt>
                <c:pt idx="557">
                  <c:v>-1.6293346017193608</c:v>
                </c:pt>
                <c:pt idx="558">
                  <c:v>1.2724959496701613</c:v>
                </c:pt>
                <c:pt idx="559">
                  <c:v>-0.71876129408192357</c:v>
                </c:pt>
                <c:pt idx="560">
                  <c:v>-0.95586573777744621</c:v>
                </c:pt>
                <c:pt idx="561">
                  <c:v>-0.48625470271223908</c:v>
                </c:pt>
                <c:pt idx="562">
                  <c:v>-0.59526782389957145</c:v>
                </c:pt>
                <c:pt idx="563">
                  <c:v>1.770601433833958</c:v>
                </c:pt>
                <c:pt idx="564">
                  <c:v>0.5798052162535996</c:v>
                </c:pt>
                <c:pt idx="565">
                  <c:v>1.8532380852084187</c:v>
                </c:pt>
                <c:pt idx="566">
                  <c:v>0.19303471293141033</c:v>
                </c:pt>
                <c:pt idx="567">
                  <c:v>-0.22362096027811892</c:v>
                </c:pt>
                <c:pt idx="568">
                  <c:v>0.29382313746236421</c:v>
                </c:pt>
                <c:pt idx="569">
                  <c:v>-1.6466672336576014</c:v>
                </c:pt>
                <c:pt idx="570">
                  <c:v>1.0587214138011463</c:v>
                </c:pt>
                <c:pt idx="571">
                  <c:v>1.9517325238812671</c:v>
                </c:pt>
                <c:pt idx="572">
                  <c:v>0.42077501880162471</c:v>
                </c:pt>
                <c:pt idx="573">
                  <c:v>-1.3133239528691247</c:v>
                </c:pt>
                <c:pt idx="574">
                  <c:v>-2.1313540800962184E-2</c:v>
                </c:pt>
                <c:pt idx="575">
                  <c:v>-0.72681836531264044</c:v>
                </c:pt>
                <c:pt idx="576">
                  <c:v>9.1972352712605371E-2</c:v>
                </c:pt>
                <c:pt idx="577">
                  <c:v>0.63240095961415188</c:v>
                </c:pt>
                <c:pt idx="578">
                  <c:v>0.18931539445560805</c:v>
                </c:pt>
                <c:pt idx="579">
                  <c:v>-0.13392991329254519</c:v>
                </c:pt>
                <c:pt idx="580">
                  <c:v>-2.3066036205523028</c:v>
                </c:pt>
                <c:pt idx="581">
                  <c:v>0.17260391215033991</c:v>
                </c:pt>
                <c:pt idx="582">
                  <c:v>1.8552971603107424</c:v>
                </c:pt>
                <c:pt idx="583">
                  <c:v>1.6911381588018728</c:v>
                </c:pt>
                <c:pt idx="584">
                  <c:v>1.3069113648504336</c:v>
                </c:pt>
                <c:pt idx="585">
                  <c:v>0.1167113695466203</c:v>
                </c:pt>
                <c:pt idx="586">
                  <c:v>-0.52524620943571521</c:v>
                </c:pt>
                <c:pt idx="587">
                  <c:v>0.14183962669193839</c:v>
                </c:pt>
                <c:pt idx="588">
                  <c:v>0.66326728610830987</c:v>
                </c:pt>
                <c:pt idx="589">
                  <c:v>-0.9599808642811728</c:v>
                </c:pt>
                <c:pt idx="590">
                  <c:v>-0.60631431910480427</c:v>
                </c:pt>
                <c:pt idx="591">
                  <c:v>-0.49317874112989429</c:v>
                </c:pt>
                <c:pt idx="592">
                  <c:v>-0.78054866641980136</c:v>
                </c:pt>
                <c:pt idx="593">
                  <c:v>1.0444717991120409</c:v>
                </c:pt>
                <c:pt idx="594">
                  <c:v>-0.95126223381600061</c:v>
                </c:pt>
                <c:pt idx="595">
                  <c:v>-2.8901939123702331E-2</c:v>
                </c:pt>
                <c:pt idx="596">
                  <c:v>1.4770314691630073</c:v>
                </c:pt>
                <c:pt idx="597">
                  <c:v>-1.1432335620255516</c:v>
                </c:pt>
                <c:pt idx="598">
                  <c:v>0.37282264890364802</c:v>
                </c:pt>
                <c:pt idx="599">
                  <c:v>-1.4705060851735707</c:v>
                </c:pt>
                <c:pt idx="600">
                  <c:v>-8.755657521987803E-2</c:v>
                </c:pt>
                <c:pt idx="601">
                  <c:v>0.13557423877471944</c:v>
                </c:pt>
                <c:pt idx="602">
                  <c:v>0.643627460159652</c:v>
                </c:pt>
                <c:pt idx="603">
                  <c:v>-1.1639157523380297</c:v>
                </c:pt>
                <c:pt idx="604">
                  <c:v>0.99288534521675909</c:v>
                </c:pt>
                <c:pt idx="605">
                  <c:v>1.1121841834435051</c:v>
                </c:pt>
                <c:pt idx="606">
                  <c:v>-1.4959789625049205</c:v>
                </c:pt>
                <c:pt idx="607">
                  <c:v>-0.92678876816757605</c:v>
                </c:pt>
                <c:pt idx="608">
                  <c:v>-0.72902442073762741</c:v>
                </c:pt>
                <c:pt idx="609">
                  <c:v>1.3191146987806506</c:v>
                </c:pt>
                <c:pt idx="610">
                  <c:v>0.58714449706509009</c:v>
                </c:pt>
                <c:pt idx="611">
                  <c:v>-0.84273408012768969</c:v>
                </c:pt>
                <c:pt idx="612">
                  <c:v>6.0582088051115784E-2</c:v>
                </c:pt>
                <c:pt idx="613">
                  <c:v>7.9306617341030991E-2</c:v>
                </c:pt>
                <c:pt idx="614">
                  <c:v>0.45797219149492718</c:v>
                </c:pt>
                <c:pt idx="615">
                  <c:v>-0.65505096209063496</c:v>
                </c:pt>
                <c:pt idx="616">
                  <c:v>-0.25258345608395794</c:v>
                </c:pt>
                <c:pt idx="617">
                  <c:v>-0.12153524465567037</c:v>
                </c:pt>
                <c:pt idx="618">
                  <c:v>0.53441655920967412</c:v>
                </c:pt>
                <c:pt idx="619">
                  <c:v>0.46453496970233121</c:v>
                </c:pt>
                <c:pt idx="620">
                  <c:v>-1.1871312138161805</c:v>
                </c:pt>
                <c:pt idx="621">
                  <c:v>-0.48408162417639689</c:v>
                </c:pt>
                <c:pt idx="622">
                  <c:v>-1.142800590175052</c:v>
                </c:pt>
                <c:pt idx="623">
                  <c:v>0.36752762200515232</c:v>
                </c:pt>
                <c:pt idx="624">
                  <c:v>-0.60419143103886197</c:v>
                </c:pt>
                <c:pt idx="625">
                  <c:v>-0.95121266035796681</c:v>
                </c:pt>
                <c:pt idx="626">
                  <c:v>0.2045590947948949</c:v>
                </c:pt>
                <c:pt idx="627">
                  <c:v>0.4390057947331969</c:v>
                </c:pt>
                <c:pt idx="628">
                  <c:v>1.381000505324719</c:v>
                </c:pt>
                <c:pt idx="629">
                  <c:v>0.54976007426919438</c:v>
                </c:pt>
                <c:pt idx="630">
                  <c:v>0.22765493252375604</c:v>
                </c:pt>
                <c:pt idx="631">
                  <c:v>0.25098139287638849</c:v>
                </c:pt>
                <c:pt idx="632">
                  <c:v>-1.3348628711448185</c:v>
                </c:pt>
                <c:pt idx="633">
                  <c:v>-0.23412357192730812</c:v>
                </c:pt>
                <c:pt idx="634">
                  <c:v>-0.15388447429938337</c:v>
                </c:pt>
                <c:pt idx="635">
                  <c:v>-1.9170245791362317</c:v>
                </c:pt>
                <c:pt idx="636">
                  <c:v>-1.3226221102510347</c:v>
                </c:pt>
                <c:pt idx="637">
                  <c:v>-0.82042035287096549</c:v>
                </c:pt>
                <c:pt idx="638">
                  <c:v>-0.82801275603230873</c:v>
                </c:pt>
                <c:pt idx="639">
                  <c:v>0.40272625999231682</c:v>
                </c:pt>
                <c:pt idx="640">
                  <c:v>0.55082740248559769</c:v>
                </c:pt>
                <c:pt idx="641">
                  <c:v>-0.97755974143493818</c:v>
                </c:pt>
                <c:pt idx="642">
                  <c:v>-1.0797768655914655</c:v>
                </c:pt>
                <c:pt idx="643">
                  <c:v>-0.43802261909016998</c:v>
                </c:pt>
                <c:pt idx="644">
                  <c:v>-1.0780699276598205</c:v>
                </c:pt>
                <c:pt idx="645">
                  <c:v>0.49037965336861356</c:v>
                </c:pt>
                <c:pt idx="646">
                  <c:v>0.18444934928076509</c:v>
                </c:pt>
                <c:pt idx="647">
                  <c:v>-0.58497743390554269</c:v>
                </c:pt>
                <c:pt idx="648">
                  <c:v>1.0804530386799157E-2</c:v>
                </c:pt>
                <c:pt idx="649">
                  <c:v>1.079939876802873</c:v>
                </c:pt>
                <c:pt idx="650">
                  <c:v>-5.9077229564114203E-3</c:v>
                </c:pt>
                <c:pt idx="651">
                  <c:v>3.9425172022558755E-2</c:v>
                </c:pt>
                <c:pt idx="652">
                  <c:v>1.292380408523595</c:v>
                </c:pt>
                <c:pt idx="653">
                  <c:v>0.18429893460634456</c:v>
                </c:pt>
                <c:pt idx="654">
                  <c:v>1.3324044835524822</c:v>
                </c:pt>
                <c:pt idx="655">
                  <c:v>-2.3060804155408641</c:v>
                </c:pt>
                <c:pt idx="656">
                  <c:v>0.13075561769122129</c:v>
                </c:pt>
                <c:pt idx="657">
                  <c:v>0.76712789724096975</c:v>
                </c:pt>
                <c:pt idx="658">
                  <c:v>0.56052163951176326</c:v>
                </c:pt>
                <c:pt idx="659">
                  <c:v>0.8198453188743976</c:v>
                </c:pt>
                <c:pt idx="660">
                  <c:v>-0.74353914860981218</c:v>
                </c:pt>
                <c:pt idx="661">
                  <c:v>0.61139196949548935</c:v>
                </c:pt>
                <c:pt idx="662">
                  <c:v>1.5189157601452794</c:v>
                </c:pt>
                <c:pt idx="663">
                  <c:v>1.0402515273091189</c:v>
                </c:pt>
                <c:pt idx="664">
                  <c:v>-0.10891704160930622</c:v>
                </c:pt>
                <c:pt idx="665">
                  <c:v>4.435037388328332E-2</c:v>
                </c:pt>
                <c:pt idx="666">
                  <c:v>-0.29407500832255007</c:v>
                </c:pt>
                <c:pt idx="667">
                  <c:v>-1.520448053834746</c:v>
                </c:pt>
                <c:pt idx="668">
                  <c:v>-0.49695500505909529</c:v>
                </c:pt>
                <c:pt idx="669">
                  <c:v>-0.37887078886446846</c:v>
                </c:pt>
                <c:pt idx="670">
                  <c:v>-1.9905274827107502</c:v>
                </c:pt>
                <c:pt idx="671">
                  <c:v>1.2767587376173031</c:v>
                </c:pt>
                <c:pt idx="672">
                  <c:v>0.91355402435817057</c:v>
                </c:pt>
                <c:pt idx="673">
                  <c:v>-1.3848646144581374</c:v>
                </c:pt>
                <c:pt idx="674">
                  <c:v>-0.48336040303785366</c:v>
                </c:pt>
                <c:pt idx="675">
                  <c:v>-0.66675231680707847</c:v>
                </c:pt>
                <c:pt idx="676">
                  <c:v>-1.3268106241956688</c:v>
                </c:pt>
                <c:pt idx="677">
                  <c:v>2.2198740453683143</c:v>
                </c:pt>
                <c:pt idx="678">
                  <c:v>0.30193251364102014</c:v>
                </c:pt>
                <c:pt idx="679">
                  <c:v>-0.47232546771253692</c:v>
                </c:pt>
                <c:pt idx="680">
                  <c:v>-0.81433325158326497</c:v>
                </c:pt>
                <c:pt idx="681">
                  <c:v>1.0913811337943775</c:v>
                </c:pt>
                <c:pt idx="682">
                  <c:v>0.98796034788037079</c:v>
                </c:pt>
                <c:pt idx="683">
                  <c:v>-1.8081605981237792</c:v>
                </c:pt>
                <c:pt idx="684">
                  <c:v>0.94382036389329238</c:v>
                </c:pt>
                <c:pt idx="685">
                  <c:v>-0.39705622717092909</c:v>
                </c:pt>
                <c:pt idx="686">
                  <c:v>-1.5129269704644634</c:v>
                </c:pt>
                <c:pt idx="687">
                  <c:v>-1.9443594496624836</c:v>
                </c:pt>
                <c:pt idx="688">
                  <c:v>0.89972389756904869</c:v>
                </c:pt>
                <c:pt idx="689">
                  <c:v>1.9798532957737307</c:v>
                </c:pt>
                <c:pt idx="690">
                  <c:v>-0.95276128752332023</c:v>
                </c:pt>
                <c:pt idx="691">
                  <c:v>-0.1623097391925036</c:v>
                </c:pt>
                <c:pt idx="692">
                  <c:v>-0.55399526059869153</c:v>
                </c:pt>
                <c:pt idx="693">
                  <c:v>-0.61387292873716581</c:v>
                </c:pt>
                <c:pt idx="694">
                  <c:v>0.71016881887803329</c:v>
                </c:pt>
                <c:pt idx="695">
                  <c:v>-0.10588369491077147</c:v>
                </c:pt>
                <c:pt idx="696">
                  <c:v>1.5302616397719888</c:v>
                </c:pt>
                <c:pt idx="697">
                  <c:v>-0.41910173667980483</c:v>
                </c:pt>
                <c:pt idx="698">
                  <c:v>-2.6941707916690421</c:v>
                </c:pt>
                <c:pt idx="699">
                  <c:v>0.26862281764573309</c:v>
                </c:pt>
                <c:pt idx="700">
                  <c:v>-0.36440039211551978</c:v>
                </c:pt>
                <c:pt idx="701">
                  <c:v>0.86741659721780151</c:v>
                </c:pt>
                <c:pt idx="702">
                  <c:v>2.4516477650366437</c:v>
                </c:pt>
                <c:pt idx="703">
                  <c:v>0.43959480657421951</c:v>
                </c:pt>
                <c:pt idx="704">
                  <c:v>-1.5753243074513537</c:v>
                </c:pt>
                <c:pt idx="705">
                  <c:v>1.0584884841215543</c:v>
                </c:pt>
                <c:pt idx="706">
                  <c:v>-0.26165219919609189</c:v>
                </c:pt>
                <c:pt idx="707">
                  <c:v>1.3808423199028113</c:v>
                </c:pt>
                <c:pt idx="708">
                  <c:v>-1.0464383194858937</c:v>
                </c:pt>
                <c:pt idx="709">
                  <c:v>0.70480083736824306</c:v>
                </c:pt>
                <c:pt idx="710">
                  <c:v>-0.12480526752438362</c:v>
                </c:pt>
                <c:pt idx="711">
                  <c:v>1.4421490597342281</c:v>
                </c:pt>
                <c:pt idx="712">
                  <c:v>0.36207008208197727</c:v>
                </c:pt>
                <c:pt idx="713">
                  <c:v>-1.0192472727002548</c:v>
                </c:pt>
                <c:pt idx="714">
                  <c:v>-0.57582521101668938</c:v>
                </c:pt>
                <c:pt idx="715">
                  <c:v>-6.3664960332998941E-2</c:v>
                </c:pt>
                <c:pt idx="716">
                  <c:v>-2.6757764928397076</c:v>
                </c:pt>
                <c:pt idx="717">
                  <c:v>0.69515921092587107</c:v>
                </c:pt>
                <c:pt idx="718">
                  <c:v>-1.1010030255940246</c:v>
                </c:pt>
                <c:pt idx="719">
                  <c:v>0.70281077845524387</c:v>
                </c:pt>
                <c:pt idx="720">
                  <c:v>0.6484790306622723</c:v>
                </c:pt>
                <c:pt idx="721">
                  <c:v>0.25659886173484131</c:v>
                </c:pt>
                <c:pt idx="722">
                  <c:v>-0.84870216160102552</c:v>
                </c:pt>
                <c:pt idx="723">
                  <c:v>2.2514228026448651</c:v>
                </c:pt>
                <c:pt idx="724">
                  <c:v>0.68580456119828226</c:v>
                </c:pt>
                <c:pt idx="725">
                  <c:v>0.45420380356395845</c:v>
                </c:pt>
                <c:pt idx="726">
                  <c:v>0.48248162349432722</c:v>
                </c:pt>
                <c:pt idx="727">
                  <c:v>-1.8733801245205772</c:v>
                </c:pt>
                <c:pt idx="728">
                  <c:v>0.85565372426652864</c:v>
                </c:pt>
                <c:pt idx="729">
                  <c:v>-0.70156325631773719</c:v>
                </c:pt>
                <c:pt idx="730">
                  <c:v>0.60504342826217528</c:v>
                </c:pt>
                <c:pt idx="731">
                  <c:v>0.33516672847404744</c:v>
                </c:pt>
                <c:pt idx="732">
                  <c:v>-0.78948182442972847</c:v>
                </c:pt>
                <c:pt idx="733">
                  <c:v>-0.31089569651088933</c:v>
                </c:pt>
                <c:pt idx="734">
                  <c:v>1.3911057116354873E-2</c:v>
                </c:pt>
                <c:pt idx="735">
                  <c:v>-1.104463067525117</c:v>
                </c:pt>
                <c:pt idx="736">
                  <c:v>-3.957122869898221</c:v>
                </c:pt>
                <c:pt idx="737">
                  <c:v>-2.5655950337013675</c:v>
                </c:pt>
                <c:pt idx="738">
                  <c:v>-1.1704628421581149</c:v>
                </c:pt>
                <c:pt idx="739">
                  <c:v>0.59733566750328471</c:v>
                </c:pt>
                <c:pt idx="740">
                  <c:v>-0.75660227127455604</c:v>
                </c:pt>
                <c:pt idx="741">
                  <c:v>-0.13710982450822692</c:v>
                </c:pt>
                <c:pt idx="742">
                  <c:v>1.0259366778128418</c:v>
                </c:pt>
                <c:pt idx="743">
                  <c:v>-1.2049252392748702</c:v>
                </c:pt>
                <c:pt idx="744">
                  <c:v>1.6941487617576445</c:v>
                </c:pt>
                <c:pt idx="745">
                  <c:v>1.7005004987914525</c:v>
                </c:pt>
                <c:pt idx="746">
                  <c:v>1.3937909626689093</c:v>
                </c:pt>
                <c:pt idx="747">
                  <c:v>0.45861011983485028</c:v>
                </c:pt>
                <c:pt idx="748">
                  <c:v>9.1932651949849873E-3</c:v>
                </c:pt>
                <c:pt idx="749">
                  <c:v>-1.7436238588373658</c:v>
                </c:pt>
                <c:pt idx="750">
                  <c:v>-0.71490152315690836</c:v>
                </c:pt>
                <c:pt idx="751">
                  <c:v>1.0334934765243777</c:v>
                </c:pt>
                <c:pt idx="752">
                  <c:v>-0.94861201062819145</c:v>
                </c:pt>
                <c:pt idx="753">
                  <c:v>0.56030916882838377</c:v>
                </c:pt>
                <c:pt idx="754">
                  <c:v>-4.2838629763343149E-2</c:v>
                </c:pt>
                <c:pt idx="755">
                  <c:v>0.69683937325899914</c:v>
                </c:pt>
                <c:pt idx="756">
                  <c:v>-0.67044242113086594</c:v>
                </c:pt>
                <c:pt idx="757">
                  <c:v>1.2787070633151338</c:v>
                </c:pt>
                <c:pt idx="758">
                  <c:v>0.45052090198972738</c:v>
                </c:pt>
                <c:pt idx="759">
                  <c:v>-0.40137792934834904</c:v>
                </c:pt>
                <c:pt idx="760">
                  <c:v>1.5361713790266684</c:v>
                </c:pt>
                <c:pt idx="761">
                  <c:v>-1.1952808095314071</c:v>
                </c:pt>
                <c:pt idx="762">
                  <c:v>-1.1507543626175634</c:v>
                </c:pt>
                <c:pt idx="763">
                  <c:v>-0.59710645365942527</c:v>
                </c:pt>
                <c:pt idx="764">
                  <c:v>-0.2261078658631836</c:v>
                </c:pt>
                <c:pt idx="765">
                  <c:v>-0.39247917678694183</c:v>
                </c:pt>
                <c:pt idx="766">
                  <c:v>-8.8894146868763652E-2</c:v>
                </c:pt>
                <c:pt idx="767">
                  <c:v>-0.5430441115892769</c:v>
                </c:pt>
                <c:pt idx="768">
                  <c:v>-1.0714840966031376</c:v>
                </c:pt>
                <c:pt idx="769">
                  <c:v>0.41264206814223053</c:v>
                </c:pt>
                <c:pt idx="770">
                  <c:v>-1.3110768182353911</c:v>
                </c:pt>
                <c:pt idx="771">
                  <c:v>-0.65378718729453777</c:v>
                </c:pt>
                <c:pt idx="772">
                  <c:v>0.93343530413722187</c:v>
                </c:pt>
                <c:pt idx="773">
                  <c:v>1.0254369546969795</c:v>
                </c:pt>
                <c:pt idx="774">
                  <c:v>-1.1183312651142396</c:v>
                </c:pt>
                <c:pt idx="775">
                  <c:v>8.7538612313209641E-3</c:v>
                </c:pt>
                <c:pt idx="776">
                  <c:v>1.7895458575609868</c:v>
                </c:pt>
                <c:pt idx="777">
                  <c:v>-0.50353658230554021</c:v>
                </c:pt>
                <c:pt idx="778">
                  <c:v>-1.612572445183732</c:v>
                </c:pt>
                <c:pt idx="779">
                  <c:v>-0.32153733530404599</c:v>
                </c:pt>
                <c:pt idx="780">
                  <c:v>1.5942047012321292</c:v>
                </c:pt>
                <c:pt idx="781">
                  <c:v>1.7658114631921422</c:v>
                </c:pt>
                <c:pt idx="782">
                  <c:v>-0.37510488709217804</c:v>
                </c:pt>
                <c:pt idx="783">
                  <c:v>2.1401677622787867</c:v>
                </c:pt>
                <c:pt idx="784">
                  <c:v>-0.57925789332083832</c:v>
                </c:pt>
                <c:pt idx="785">
                  <c:v>6.0555651394895701E-2</c:v>
                </c:pt>
                <c:pt idx="786">
                  <c:v>0.76748173792325902</c:v>
                </c:pt>
                <c:pt idx="787">
                  <c:v>0.58226180726812404</c:v>
                </c:pt>
                <c:pt idx="788">
                  <c:v>-0.21537533620182087</c:v>
                </c:pt>
                <c:pt idx="789">
                  <c:v>-2.1092068887404776</c:v>
                </c:pt>
                <c:pt idx="790">
                  <c:v>-0.66056427210680502</c:v>
                </c:pt>
                <c:pt idx="791">
                  <c:v>-1.2829145046883974</c:v>
                </c:pt>
                <c:pt idx="792">
                  <c:v>1.668534791074096</c:v>
                </c:pt>
                <c:pt idx="793">
                  <c:v>-0.2446907412494444</c:v>
                </c:pt>
                <c:pt idx="794">
                  <c:v>1.0598405746154358</c:v>
                </c:pt>
                <c:pt idx="795">
                  <c:v>0.60608383166094237</c:v>
                </c:pt>
                <c:pt idx="796">
                  <c:v>1.1729226333374181</c:v>
                </c:pt>
                <c:pt idx="797">
                  <c:v>-0.13071947187264918</c:v>
                </c:pt>
                <c:pt idx="798">
                  <c:v>1.8270265277620252</c:v>
                </c:pt>
                <c:pt idx="799">
                  <c:v>-1.8573414178109018</c:v>
                </c:pt>
                <c:pt idx="800">
                  <c:v>-0.20976087128785098</c:v>
                </c:pt>
                <c:pt idx="801">
                  <c:v>-1.3142330277273373</c:v>
                </c:pt>
                <c:pt idx="802">
                  <c:v>-0.77597716330237287</c:v>
                </c:pt>
                <c:pt idx="803">
                  <c:v>-0.67382660716578435</c:v>
                </c:pt>
                <c:pt idx="804">
                  <c:v>-0.11630800030498975</c:v>
                </c:pt>
                <c:pt idx="805">
                  <c:v>0.71982809900969957</c:v>
                </c:pt>
                <c:pt idx="806">
                  <c:v>1.0530487368694692</c:v>
                </c:pt>
                <c:pt idx="807">
                  <c:v>-0.3866354610294982</c:v>
                </c:pt>
                <c:pt idx="808">
                  <c:v>-0.30475235217585211</c:v>
                </c:pt>
                <c:pt idx="809">
                  <c:v>-0.95000871245708129</c:v>
                </c:pt>
                <c:pt idx="810">
                  <c:v>1.5461481091677853</c:v>
                </c:pt>
                <c:pt idx="811">
                  <c:v>-0.59120672901064286</c:v>
                </c:pt>
                <c:pt idx="812">
                  <c:v>1.1902293454466861</c:v>
                </c:pt>
                <c:pt idx="813">
                  <c:v>0.9728224137199577</c:v>
                </c:pt>
                <c:pt idx="814">
                  <c:v>0.24078154096280349</c:v>
                </c:pt>
                <c:pt idx="815">
                  <c:v>-1.32081166937287</c:v>
                </c:pt>
                <c:pt idx="816">
                  <c:v>-0.35842280990658348</c:v>
                </c:pt>
                <c:pt idx="817">
                  <c:v>-0.26130550992509277</c:v>
                </c:pt>
                <c:pt idx="818">
                  <c:v>-0.66002045798993714</c:v>
                </c:pt>
                <c:pt idx="819">
                  <c:v>0.71101499133550716</c:v>
                </c:pt>
                <c:pt idx="820">
                  <c:v>-1.1649530434953532</c:v>
                </c:pt>
                <c:pt idx="821">
                  <c:v>0.1094715449274624</c:v>
                </c:pt>
                <c:pt idx="822">
                  <c:v>-0.90543572115064119</c:v>
                </c:pt>
                <c:pt idx="823">
                  <c:v>-0.75956861720526236</c:v>
                </c:pt>
                <c:pt idx="824">
                  <c:v>-1.1302487075762495</c:v>
                </c:pt>
                <c:pt idx="825">
                  <c:v>1.981548697531571</c:v>
                </c:pt>
                <c:pt idx="826">
                  <c:v>-7.284052449072308E-3</c:v>
                </c:pt>
                <c:pt idx="827">
                  <c:v>-0.18148072256222555</c:v>
                </c:pt>
                <c:pt idx="828">
                  <c:v>-0.79794878770033661</c:v>
                </c:pt>
                <c:pt idx="829">
                  <c:v>1.2844936527136455</c:v>
                </c:pt>
                <c:pt idx="830">
                  <c:v>-0.80940606327144304</c:v>
                </c:pt>
                <c:pt idx="831">
                  <c:v>-1.3478800578248029</c:v>
                </c:pt>
                <c:pt idx="832">
                  <c:v>-0.98221713265477661</c:v>
                </c:pt>
                <c:pt idx="833">
                  <c:v>1.1737695582006922</c:v>
                </c:pt>
                <c:pt idx="834">
                  <c:v>-1.9371510494029009</c:v>
                </c:pt>
                <c:pt idx="835">
                  <c:v>6.1384653895191842E-2</c:v>
                </c:pt>
                <c:pt idx="836">
                  <c:v>-0.19262581503795403</c:v>
                </c:pt>
                <c:pt idx="837">
                  <c:v>-1.6939608328114266</c:v>
                </c:pt>
                <c:pt idx="838">
                  <c:v>0.76726881837312377</c:v>
                </c:pt>
                <c:pt idx="839">
                  <c:v>-0.12823096659972688</c:v>
                </c:pt>
                <c:pt idx="840">
                  <c:v>0.83049779050107908</c:v>
                </c:pt>
                <c:pt idx="841">
                  <c:v>9.1398028199812575E-2</c:v>
                </c:pt>
                <c:pt idx="842">
                  <c:v>-0.94485864266351216</c:v>
                </c:pt>
                <c:pt idx="843">
                  <c:v>-2.006709348695042</c:v>
                </c:pt>
                <c:pt idx="844">
                  <c:v>0.46618707413210753</c:v>
                </c:pt>
                <c:pt idx="845">
                  <c:v>1.4637532027713944</c:v>
                </c:pt>
                <c:pt idx="846">
                  <c:v>0.66620755870474113</c:v>
                </c:pt>
                <c:pt idx="847">
                  <c:v>-0.61984747808486884</c:v>
                </c:pt>
                <c:pt idx="848">
                  <c:v>0.36603060018471556</c:v>
                </c:pt>
                <c:pt idx="849">
                  <c:v>-6.1915148943243223E-2</c:v>
                </c:pt>
                <c:pt idx="850">
                  <c:v>6.3792730485083896E-2</c:v>
                </c:pt>
                <c:pt idx="851">
                  <c:v>0.32342687317697261</c:v>
                </c:pt>
                <c:pt idx="852">
                  <c:v>1.3986342993907006</c:v>
                </c:pt>
                <c:pt idx="853">
                  <c:v>-1.3127971922365527</c:v>
                </c:pt>
                <c:pt idx="854">
                  <c:v>0.20229982241647051</c:v>
                </c:pt>
                <c:pt idx="855">
                  <c:v>1.7921193681457475</c:v>
                </c:pt>
                <c:pt idx="856">
                  <c:v>5.714106329444206E-2</c:v>
                </c:pt>
                <c:pt idx="857">
                  <c:v>0.27577168323635198</c:v>
                </c:pt>
                <c:pt idx="858">
                  <c:v>0.43695564414594068</c:v>
                </c:pt>
                <c:pt idx="859">
                  <c:v>-0.82287666039134755</c:v>
                </c:pt>
                <c:pt idx="860">
                  <c:v>0.15810373756989085</c:v>
                </c:pt>
                <c:pt idx="861">
                  <c:v>0.6989514478418184</c:v>
                </c:pt>
                <c:pt idx="862">
                  <c:v>-0.45378066645100706</c:v>
                </c:pt>
                <c:pt idx="863">
                  <c:v>-2.1332041240174107</c:v>
                </c:pt>
                <c:pt idx="864">
                  <c:v>-0.10219210828916496</c:v>
                </c:pt>
                <c:pt idx="865">
                  <c:v>1.383564933684434</c:v>
                </c:pt>
                <c:pt idx="866">
                  <c:v>-0.74252592396287742</c:v>
                </c:pt>
                <c:pt idx="867">
                  <c:v>-1.3576521700897213</c:v>
                </c:pt>
                <c:pt idx="868">
                  <c:v>-0.57059767671305017</c:v>
                </c:pt>
                <c:pt idx="869">
                  <c:v>2.073318595437278E-2</c:v>
                </c:pt>
                <c:pt idx="870">
                  <c:v>-0.3098167606359209</c:v>
                </c:pt>
                <c:pt idx="871">
                  <c:v>-1.408434749407971</c:v>
                </c:pt>
                <c:pt idx="872">
                  <c:v>-0.15870343158423403</c:v>
                </c:pt>
                <c:pt idx="873">
                  <c:v>-8.840879718013589E-3</c:v>
                </c:pt>
                <c:pt idx="874">
                  <c:v>-0.87998725883470386</c:v>
                </c:pt>
                <c:pt idx="875">
                  <c:v>1.3892491540957224</c:v>
                </c:pt>
                <c:pt idx="876">
                  <c:v>0.1971069869602273</c:v>
                </c:pt>
                <c:pt idx="877">
                  <c:v>-0.4614439945790878</c:v>
                </c:pt>
                <c:pt idx="878">
                  <c:v>0.10650761599359311</c:v>
                </c:pt>
                <c:pt idx="879">
                  <c:v>1.7363558995254833</c:v>
                </c:pt>
                <c:pt idx="880">
                  <c:v>-1.4641413570405826</c:v>
                </c:pt>
                <c:pt idx="881">
                  <c:v>-1.292212807734691</c:v>
                </c:pt>
                <c:pt idx="882">
                  <c:v>-4.9464826322720028E-2</c:v>
                </c:pt>
                <c:pt idx="883">
                  <c:v>-0.20695844809022729</c:v>
                </c:pt>
                <c:pt idx="884">
                  <c:v>0.64465533114267415</c:v>
                </c:pt>
                <c:pt idx="885">
                  <c:v>0.24747912660789007</c:v>
                </c:pt>
                <c:pt idx="886">
                  <c:v>-0.9043075357461795</c:v>
                </c:pt>
                <c:pt idx="887">
                  <c:v>-1.2365396054606617</c:v>
                </c:pt>
                <c:pt idx="888">
                  <c:v>0.9870699926817772</c:v>
                </c:pt>
                <c:pt idx="889">
                  <c:v>-0.57062291381510954</c:v>
                </c:pt>
                <c:pt idx="890">
                  <c:v>1.7259436975083746E-4</c:v>
                </c:pt>
                <c:pt idx="891">
                  <c:v>-0.81826434227534794</c:v>
                </c:pt>
                <c:pt idx="892">
                  <c:v>0.24093262643335669</c:v>
                </c:pt>
                <c:pt idx="893">
                  <c:v>0.32346244150887321</c:v>
                </c:pt>
                <c:pt idx="894">
                  <c:v>0.19603304567628907</c:v>
                </c:pt>
                <c:pt idx="895">
                  <c:v>0.76911265745881552</c:v>
                </c:pt>
                <c:pt idx="896">
                  <c:v>-1.2120006883435597</c:v>
                </c:pt>
                <c:pt idx="897">
                  <c:v>0.26628519988768229</c:v>
                </c:pt>
                <c:pt idx="898">
                  <c:v>-1.167737289349376</c:v>
                </c:pt>
                <c:pt idx="899">
                  <c:v>0.42116289368331533</c:v>
                </c:pt>
                <c:pt idx="900">
                  <c:v>0.98442718861008538</c:v>
                </c:pt>
                <c:pt idx="901">
                  <c:v>-0.47036118323584997</c:v>
                </c:pt>
                <c:pt idx="902">
                  <c:v>-1.5991530913133574</c:v>
                </c:pt>
                <c:pt idx="903">
                  <c:v>-0.4703312545261723</c:v>
                </c:pt>
                <c:pt idx="904">
                  <c:v>1.116201877383622</c:v>
                </c:pt>
                <c:pt idx="905">
                  <c:v>0.5012781715499639</c:v>
                </c:pt>
                <c:pt idx="906">
                  <c:v>0.64830651440622644</c:v>
                </c:pt>
                <c:pt idx="907">
                  <c:v>0.67694979123687027</c:v>
                </c:pt>
                <c:pt idx="908">
                  <c:v>0.43526787944931189</c:v>
                </c:pt>
                <c:pt idx="909">
                  <c:v>-0.69547759243752794</c:v>
                </c:pt>
                <c:pt idx="910">
                  <c:v>0.4616364125119346</c:v>
                </c:pt>
                <c:pt idx="911">
                  <c:v>-0.78860837413651397</c:v>
                </c:pt>
                <c:pt idx="912">
                  <c:v>-1.098952859584017</c:v>
                </c:pt>
                <c:pt idx="913">
                  <c:v>0.49219991825871862</c:v>
                </c:pt>
                <c:pt idx="914">
                  <c:v>4.6295706330442055E-2</c:v>
                </c:pt>
                <c:pt idx="915">
                  <c:v>-0.64545549166139693</c:v>
                </c:pt>
                <c:pt idx="916">
                  <c:v>-0.81885790056171515</c:v>
                </c:pt>
                <c:pt idx="917">
                  <c:v>-1.4039431737553347</c:v>
                </c:pt>
                <c:pt idx="918">
                  <c:v>-0.24017048734619975</c:v>
                </c:pt>
                <c:pt idx="919">
                  <c:v>2.2859002835651019</c:v>
                </c:pt>
                <c:pt idx="920">
                  <c:v>-0.62366594297091194</c:v>
                </c:pt>
                <c:pt idx="921">
                  <c:v>0.10445917478761067</c:v>
                </c:pt>
                <c:pt idx="922">
                  <c:v>0.29956140916177965</c:v>
                </c:pt>
                <c:pt idx="923">
                  <c:v>0.89959275258619043</c:v>
                </c:pt>
                <c:pt idx="924">
                  <c:v>-2.1109311815403657</c:v>
                </c:pt>
                <c:pt idx="925">
                  <c:v>-1.5893643943308506</c:v>
                </c:pt>
                <c:pt idx="926">
                  <c:v>-1.9150591417181821</c:v>
                </c:pt>
                <c:pt idx="927">
                  <c:v>-1.3101452424465834</c:v>
                </c:pt>
                <c:pt idx="928">
                  <c:v>-1.949658489598902</c:v>
                </c:pt>
                <c:pt idx="929">
                  <c:v>-0.2009967898852619</c:v>
                </c:pt>
                <c:pt idx="930">
                  <c:v>1.6161577367692421</c:v>
                </c:pt>
                <c:pt idx="931">
                  <c:v>0.23965936622491557</c:v>
                </c:pt>
                <c:pt idx="932">
                  <c:v>0.49033294562170604</c:v>
                </c:pt>
                <c:pt idx="933">
                  <c:v>-0.15382950572049597</c:v>
                </c:pt>
                <c:pt idx="934">
                  <c:v>-1.0393777756981402</c:v>
                </c:pt>
                <c:pt idx="935">
                  <c:v>2.0749418959403049E-3</c:v>
                </c:pt>
                <c:pt idx="936">
                  <c:v>-0.23855509551719414</c:v>
                </c:pt>
                <c:pt idx="937">
                  <c:v>-1.3615075154697005</c:v>
                </c:pt>
                <c:pt idx="938">
                  <c:v>0.12306495189781946</c:v>
                </c:pt>
                <c:pt idx="939">
                  <c:v>-1.1972523594354352</c:v>
                </c:pt>
                <c:pt idx="940">
                  <c:v>0.5750605579899406</c:v>
                </c:pt>
                <c:pt idx="941">
                  <c:v>1.0311272014252435</c:v>
                </c:pt>
                <c:pt idx="942">
                  <c:v>-0.78920372521480731</c:v>
                </c:pt>
                <c:pt idx="943">
                  <c:v>0.29172395131709405</c:v>
                </c:pt>
                <c:pt idx="944">
                  <c:v>0.77538344784245827</c:v>
                </c:pt>
                <c:pt idx="945">
                  <c:v>0.5393910633367911</c:v>
                </c:pt>
                <c:pt idx="946">
                  <c:v>0.58971635881460527</c:v>
                </c:pt>
                <c:pt idx="947">
                  <c:v>0.31911072797682177</c:v>
                </c:pt>
                <c:pt idx="948">
                  <c:v>-0.55485050389842272</c:v>
                </c:pt>
                <c:pt idx="949">
                  <c:v>1.7684037228272158</c:v>
                </c:pt>
                <c:pt idx="950">
                  <c:v>-1.0642881557354984</c:v>
                </c:pt>
                <c:pt idx="951">
                  <c:v>-1.3672466279808531</c:v>
                </c:pt>
                <c:pt idx="952">
                  <c:v>1.6340508638321153E-2</c:v>
                </c:pt>
                <c:pt idx="953">
                  <c:v>-1.3533928399210136</c:v>
                </c:pt>
                <c:pt idx="954">
                  <c:v>0.8467213085945795</c:v>
                </c:pt>
                <c:pt idx="955">
                  <c:v>-0.7369612198017429</c:v>
                </c:pt>
                <c:pt idx="956">
                  <c:v>-0.92027809823748463</c:v>
                </c:pt>
                <c:pt idx="957">
                  <c:v>-0.79829928675820017</c:v>
                </c:pt>
                <c:pt idx="958">
                  <c:v>0.10318821729111868</c:v>
                </c:pt>
                <c:pt idx="959">
                  <c:v>-1.6691671745940513</c:v>
                </c:pt>
                <c:pt idx="960">
                  <c:v>-0.35697783302455932</c:v>
                </c:pt>
                <c:pt idx="961">
                  <c:v>-0.47674957827431869</c:v>
                </c:pt>
                <c:pt idx="962">
                  <c:v>0.15711034946756836</c:v>
                </c:pt>
                <c:pt idx="963">
                  <c:v>-0.21003883922288344</c:v>
                </c:pt>
                <c:pt idx="964">
                  <c:v>0.88944887570520148</c:v>
                </c:pt>
                <c:pt idx="965">
                  <c:v>-0.7780574727874251</c:v>
                </c:pt>
                <c:pt idx="966">
                  <c:v>-1.0301594749893339</c:v>
                </c:pt>
                <c:pt idx="967">
                  <c:v>-0.62054954322756772</c:v>
                </c:pt>
                <c:pt idx="968">
                  <c:v>0.63894848752974043</c:v>
                </c:pt>
                <c:pt idx="969">
                  <c:v>-0.12614601073881548</c:v>
                </c:pt>
                <c:pt idx="970">
                  <c:v>-1.7096418641021922</c:v>
                </c:pt>
                <c:pt idx="971">
                  <c:v>0.77722140081706159</c:v>
                </c:pt>
                <c:pt idx="972">
                  <c:v>-0.50631184495242931</c:v>
                </c:pt>
                <c:pt idx="973">
                  <c:v>0.40484745334599509</c:v>
                </c:pt>
                <c:pt idx="974">
                  <c:v>-1.5289952683625645</c:v>
                </c:pt>
                <c:pt idx="975">
                  <c:v>-0.74495142046542329</c:v>
                </c:pt>
                <c:pt idx="976">
                  <c:v>-0.95311796266817372</c:v>
                </c:pt>
                <c:pt idx="977">
                  <c:v>2.2768497693862617</c:v>
                </c:pt>
                <c:pt idx="978">
                  <c:v>1.1895903681212681</c:v>
                </c:pt>
                <c:pt idx="979">
                  <c:v>-0.59621155299982598</c:v>
                </c:pt>
                <c:pt idx="980">
                  <c:v>-0.76616143308396067</c:v>
                </c:pt>
                <c:pt idx="981">
                  <c:v>1.362267256020506</c:v>
                </c:pt>
                <c:pt idx="982">
                  <c:v>0.76090580266497054</c:v>
                </c:pt>
                <c:pt idx="983">
                  <c:v>0.31494733169308753</c:v>
                </c:pt>
                <c:pt idx="984">
                  <c:v>6.3969745661716634E-2</c:v>
                </c:pt>
                <c:pt idx="985">
                  <c:v>2.2924876418511846</c:v>
                </c:pt>
                <c:pt idx="986">
                  <c:v>0.18251089521246161</c:v>
                </c:pt>
                <c:pt idx="987">
                  <c:v>-0.52604776537122866</c:v>
                </c:pt>
                <c:pt idx="988">
                  <c:v>-1.793829645477768</c:v>
                </c:pt>
                <c:pt idx="989">
                  <c:v>0.51345023604529727</c:v>
                </c:pt>
                <c:pt idx="990">
                  <c:v>0.20047764547354702</c:v>
                </c:pt>
                <c:pt idx="991">
                  <c:v>0.25017076224812984</c:v>
                </c:pt>
                <c:pt idx="992">
                  <c:v>0.47783528368757189</c:v>
                </c:pt>
                <c:pt idx="993">
                  <c:v>-1.127016707998759</c:v>
                </c:pt>
                <c:pt idx="994">
                  <c:v>0.1891293435013531</c:v>
                </c:pt>
                <c:pt idx="995">
                  <c:v>0.26946072221783213</c:v>
                </c:pt>
                <c:pt idx="996">
                  <c:v>1.0045638712827971</c:v>
                </c:pt>
                <c:pt idx="997">
                  <c:v>0.37380152327045607</c:v>
                </c:pt>
                <c:pt idx="998">
                  <c:v>0.93608267239381593</c:v>
                </c:pt>
                <c:pt idx="999">
                  <c:v>-0.31323309529741694</c:v>
                </c:pt>
              </c:numCache>
            </c:numRef>
          </c:xVal>
          <c:yVal>
            <c:numRef>
              <c:f>MCS_Gaussian_Copula!$E$5:$E$1004</c:f>
              <c:numCache>
                <c:formatCode>General</c:formatCode>
                <c:ptCount val="1000"/>
                <c:pt idx="0">
                  <c:v>-0.543789278538093</c:v>
                </c:pt>
                <c:pt idx="1">
                  <c:v>-1.5915679581123505</c:v>
                </c:pt>
                <c:pt idx="2">
                  <c:v>-0.17233245527031074</c:v>
                </c:pt>
                <c:pt idx="3">
                  <c:v>-1.7903303224527094</c:v>
                </c:pt>
                <c:pt idx="4">
                  <c:v>-0.38376475525425613</c:v>
                </c:pt>
                <c:pt idx="5">
                  <c:v>-0.6613784279501419</c:v>
                </c:pt>
                <c:pt idx="6">
                  <c:v>0.27609165364850113</c:v>
                </c:pt>
                <c:pt idx="7">
                  <c:v>0.257883193716339</c:v>
                </c:pt>
                <c:pt idx="8">
                  <c:v>0.84730043256724219</c:v>
                </c:pt>
                <c:pt idx="9">
                  <c:v>1.1290478480370563</c:v>
                </c:pt>
                <c:pt idx="10">
                  <c:v>1.5332840114969379</c:v>
                </c:pt>
                <c:pt idx="11">
                  <c:v>-0.94987928741907435</c:v>
                </c:pt>
                <c:pt idx="12">
                  <c:v>0.68170398818562283</c:v>
                </c:pt>
                <c:pt idx="13">
                  <c:v>1.5957702009824732</c:v>
                </c:pt>
                <c:pt idx="14">
                  <c:v>-2.6090022534916333</c:v>
                </c:pt>
                <c:pt idx="15">
                  <c:v>0.43573984670505378</c:v>
                </c:pt>
                <c:pt idx="16">
                  <c:v>0.19646650975968144</c:v>
                </c:pt>
                <c:pt idx="17">
                  <c:v>1.2506113105875811</c:v>
                </c:pt>
                <c:pt idx="18">
                  <c:v>-0.50130882233481988</c:v>
                </c:pt>
                <c:pt idx="19">
                  <c:v>-0.38993782056738219</c:v>
                </c:pt>
                <c:pt idx="20">
                  <c:v>0.26681731747173137</c:v>
                </c:pt>
                <c:pt idx="21">
                  <c:v>0.72323704838526759</c:v>
                </c:pt>
                <c:pt idx="22">
                  <c:v>0.33314546264627393</c:v>
                </c:pt>
                <c:pt idx="23">
                  <c:v>2.236614953433596</c:v>
                </c:pt>
                <c:pt idx="24">
                  <c:v>1.5191086862286916</c:v>
                </c:pt>
                <c:pt idx="25">
                  <c:v>-1.5514268133522637</c:v>
                </c:pt>
                <c:pt idx="26">
                  <c:v>0.8740846728675693</c:v>
                </c:pt>
                <c:pt idx="27">
                  <c:v>1.725670972280009</c:v>
                </c:pt>
                <c:pt idx="28">
                  <c:v>-0.39289373933717214</c:v>
                </c:pt>
                <c:pt idx="29">
                  <c:v>-1.2470744841632282</c:v>
                </c:pt>
                <c:pt idx="30">
                  <c:v>0.3314909587837146</c:v>
                </c:pt>
                <c:pt idx="31">
                  <c:v>-0.68336536074180398</c:v>
                </c:pt>
                <c:pt idx="32">
                  <c:v>1.6510274092705157</c:v>
                </c:pt>
                <c:pt idx="33">
                  <c:v>0.97534674560316192</c:v>
                </c:pt>
                <c:pt idx="34">
                  <c:v>-4.7416197508473749E-2</c:v>
                </c:pt>
                <c:pt idx="35">
                  <c:v>0.73248756398920301</c:v>
                </c:pt>
                <c:pt idx="36">
                  <c:v>-1.967153855571924E-2</c:v>
                </c:pt>
                <c:pt idx="37">
                  <c:v>0.96189861462447568</c:v>
                </c:pt>
                <c:pt idx="38">
                  <c:v>-4.9071583636884748E-2</c:v>
                </c:pt>
                <c:pt idx="39">
                  <c:v>0.78702436125026376</c:v>
                </c:pt>
                <c:pt idx="40">
                  <c:v>0.37639766071101888</c:v>
                </c:pt>
                <c:pt idx="41">
                  <c:v>0.4749612190705097</c:v>
                </c:pt>
                <c:pt idx="42">
                  <c:v>-0.94887687828675837</c:v>
                </c:pt>
                <c:pt idx="43">
                  <c:v>-1.0445196264592176</c:v>
                </c:pt>
                <c:pt idx="44">
                  <c:v>1.1479181845811524</c:v>
                </c:pt>
                <c:pt idx="45">
                  <c:v>0.57576730491677552</c:v>
                </c:pt>
                <c:pt idx="46">
                  <c:v>-0.80439222899854346</c:v>
                </c:pt>
                <c:pt idx="47">
                  <c:v>1.4053223460369892</c:v>
                </c:pt>
                <c:pt idx="48">
                  <c:v>2.1341176876116035</c:v>
                </c:pt>
                <c:pt idx="49">
                  <c:v>-1.5815441525925249</c:v>
                </c:pt>
                <c:pt idx="50">
                  <c:v>6.3417333498188705E-2</c:v>
                </c:pt>
                <c:pt idx="51">
                  <c:v>1.7169849645916215</c:v>
                </c:pt>
                <c:pt idx="52">
                  <c:v>-0.23853281183545183</c:v>
                </c:pt>
                <c:pt idx="53">
                  <c:v>-0.10161149715815589</c:v>
                </c:pt>
                <c:pt idx="54">
                  <c:v>-0.2452931500542532</c:v>
                </c:pt>
                <c:pt idx="55">
                  <c:v>0.33543344519002921</c:v>
                </c:pt>
                <c:pt idx="56">
                  <c:v>-0.17905799666457869</c:v>
                </c:pt>
                <c:pt idx="57">
                  <c:v>-1.109662345940726</c:v>
                </c:pt>
                <c:pt idx="58">
                  <c:v>-0.66547044309894665</c:v>
                </c:pt>
                <c:pt idx="59">
                  <c:v>-0.35532699957591835</c:v>
                </c:pt>
                <c:pt idx="60">
                  <c:v>-0.21428698431799623</c:v>
                </c:pt>
                <c:pt idx="61">
                  <c:v>1.4632929339093013</c:v>
                </c:pt>
                <c:pt idx="62">
                  <c:v>-1.0607100876299345</c:v>
                </c:pt>
                <c:pt idx="63">
                  <c:v>-1.202969184854682</c:v>
                </c:pt>
                <c:pt idx="64">
                  <c:v>-0.43531746601402455</c:v>
                </c:pt>
                <c:pt idx="65">
                  <c:v>0.95679735961958456</c:v>
                </c:pt>
                <c:pt idx="66">
                  <c:v>6.3253019123406778E-2</c:v>
                </c:pt>
                <c:pt idx="67">
                  <c:v>-0.49944730320337216</c:v>
                </c:pt>
                <c:pt idx="68">
                  <c:v>-0.13140177045766471</c:v>
                </c:pt>
                <c:pt idx="69">
                  <c:v>6.49552064250636E-3</c:v>
                </c:pt>
                <c:pt idx="70">
                  <c:v>-1.0914445871299534</c:v>
                </c:pt>
                <c:pt idx="71">
                  <c:v>-0.52445624615599429</c:v>
                </c:pt>
                <c:pt idx="72">
                  <c:v>2.018101475841291</c:v>
                </c:pt>
                <c:pt idx="73">
                  <c:v>0.8091378966773719</c:v>
                </c:pt>
                <c:pt idx="74">
                  <c:v>1.2699365350228917</c:v>
                </c:pt>
                <c:pt idx="75">
                  <c:v>-0.11303991756687656</c:v>
                </c:pt>
                <c:pt idx="76">
                  <c:v>1.3381173281328558</c:v>
                </c:pt>
                <c:pt idx="77">
                  <c:v>1.1320526765465408</c:v>
                </c:pt>
                <c:pt idx="78">
                  <c:v>-1.4625002865608583</c:v>
                </c:pt>
                <c:pt idx="79">
                  <c:v>0.8128700808158984</c:v>
                </c:pt>
                <c:pt idx="80">
                  <c:v>1.6842821903302765</c:v>
                </c:pt>
                <c:pt idx="81">
                  <c:v>-0.11946527150181802</c:v>
                </c:pt>
                <c:pt idx="82">
                  <c:v>-2.4589853443060798E-2</c:v>
                </c:pt>
                <c:pt idx="83">
                  <c:v>1.172463292942971</c:v>
                </c:pt>
                <c:pt idx="84">
                  <c:v>0.24981109910795779</c:v>
                </c:pt>
                <c:pt idx="85">
                  <c:v>0.24562539984225304</c:v>
                </c:pt>
                <c:pt idx="86">
                  <c:v>1.4867092068369792</c:v>
                </c:pt>
                <c:pt idx="87">
                  <c:v>-1.0725192452778025</c:v>
                </c:pt>
                <c:pt idx="88">
                  <c:v>-0.11708940391665926</c:v>
                </c:pt>
                <c:pt idx="89">
                  <c:v>1.3132682911234306</c:v>
                </c:pt>
                <c:pt idx="90">
                  <c:v>1.1162835922527772</c:v>
                </c:pt>
                <c:pt idx="91">
                  <c:v>-0.62837091111008703</c:v>
                </c:pt>
                <c:pt idx="92">
                  <c:v>-2.2809244464571767</c:v>
                </c:pt>
                <c:pt idx="93">
                  <c:v>-0.681360745316824</c:v>
                </c:pt>
                <c:pt idx="94">
                  <c:v>-0.93095817586173579</c:v>
                </c:pt>
                <c:pt idx="95">
                  <c:v>-0.3015934552224287</c:v>
                </c:pt>
                <c:pt idx="96">
                  <c:v>0.56034878998227255</c:v>
                </c:pt>
                <c:pt idx="97">
                  <c:v>0.51739244053217293</c:v>
                </c:pt>
                <c:pt idx="98">
                  <c:v>-0.89571940283800111</c:v>
                </c:pt>
                <c:pt idx="99">
                  <c:v>-0.42487749404987663</c:v>
                </c:pt>
                <c:pt idx="100">
                  <c:v>-1.0032797550361872</c:v>
                </c:pt>
                <c:pt idx="101">
                  <c:v>1.1156573693849094</c:v>
                </c:pt>
                <c:pt idx="102">
                  <c:v>0.53981439289988198</c:v>
                </c:pt>
                <c:pt idx="103">
                  <c:v>2.4672930990950199</c:v>
                </c:pt>
                <c:pt idx="104">
                  <c:v>-0.80549326128422527</c:v>
                </c:pt>
                <c:pt idx="105">
                  <c:v>0.90623704869204336</c:v>
                </c:pt>
                <c:pt idx="106">
                  <c:v>-1.1553538949921212</c:v>
                </c:pt>
                <c:pt idx="107">
                  <c:v>0.49023525235739607</c:v>
                </c:pt>
                <c:pt idx="108">
                  <c:v>-1.3900597907752807</c:v>
                </c:pt>
                <c:pt idx="109">
                  <c:v>-0.9625176521854848</c:v>
                </c:pt>
                <c:pt idx="110">
                  <c:v>0.60634875542956979</c:v>
                </c:pt>
                <c:pt idx="111">
                  <c:v>0.61752099624945145</c:v>
                </c:pt>
                <c:pt idx="112">
                  <c:v>0.45006034166211389</c:v>
                </c:pt>
                <c:pt idx="113">
                  <c:v>0.67766027700444809</c:v>
                </c:pt>
                <c:pt idx="114">
                  <c:v>0.43481003306685179</c:v>
                </c:pt>
                <c:pt idx="115">
                  <c:v>-2.8083962115279418E-2</c:v>
                </c:pt>
                <c:pt idx="116">
                  <c:v>-0.21291690063434435</c:v>
                </c:pt>
                <c:pt idx="117">
                  <c:v>-1.3521203789536471</c:v>
                </c:pt>
                <c:pt idx="118">
                  <c:v>-0.15234728019080943</c:v>
                </c:pt>
                <c:pt idx="119">
                  <c:v>-0.60730668164965296</c:v>
                </c:pt>
                <c:pt idx="120">
                  <c:v>0.70189637815899331</c:v>
                </c:pt>
                <c:pt idx="121">
                  <c:v>-5.0560611028341668E-2</c:v>
                </c:pt>
                <c:pt idx="122">
                  <c:v>0.23791343323835701</c:v>
                </c:pt>
                <c:pt idx="123">
                  <c:v>1.571791339566273</c:v>
                </c:pt>
                <c:pt idx="124">
                  <c:v>0.21593753551632294</c:v>
                </c:pt>
                <c:pt idx="125">
                  <c:v>7.8165434450004206E-2</c:v>
                </c:pt>
                <c:pt idx="126">
                  <c:v>1.0230839426918552</c:v>
                </c:pt>
                <c:pt idx="127">
                  <c:v>-0.44199282110998928</c:v>
                </c:pt>
                <c:pt idx="128">
                  <c:v>-1.6061582661292608</c:v>
                </c:pt>
                <c:pt idx="129">
                  <c:v>0.34973382819750853</c:v>
                </c:pt>
                <c:pt idx="130">
                  <c:v>-0.76669813630245509</c:v>
                </c:pt>
                <c:pt idx="131">
                  <c:v>5.6476434044506222E-3</c:v>
                </c:pt>
                <c:pt idx="132">
                  <c:v>-0.40597418530347174</c:v>
                </c:pt>
                <c:pt idx="133">
                  <c:v>-0.70529995330402717</c:v>
                </c:pt>
                <c:pt idx="134">
                  <c:v>-1.3225320819608468</c:v>
                </c:pt>
                <c:pt idx="135">
                  <c:v>-0.89874802182588076</c:v>
                </c:pt>
                <c:pt idx="136">
                  <c:v>-0.14827158497157289</c:v>
                </c:pt>
                <c:pt idx="137">
                  <c:v>1.4679176789997728</c:v>
                </c:pt>
                <c:pt idx="138">
                  <c:v>-0.2646047509646709</c:v>
                </c:pt>
                <c:pt idx="139">
                  <c:v>1.3582876592012263</c:v>
                </c:pt>
                <c:pt idx="140">
                  <c:v>1.7780825545125636</c:v>
                </c:pt>
                <c:pt idx="141">
                  <c:v>1.0845678673521264</c:v>
                </c:pt>
                <c:pt idx="142">
                  <c:v>-0.19940640538458235</c:v>
                </c:pt>
                <c:pt idx="143">
                  <c:v>0.68133738836109115</c:v>
                </c:pt>
                <c:pt idx="144">
                  <c:v>0.54696336007326551</c:v>
                </c:pt>
                <c:pt idx="145">
                  <c:v>-0.25292504260539378</c:v>
                </c:pt>
                <c:pt idx="146">
                  <c:v>6.6693177714592183E-2</c:v>
                </c:pt>
                <c:pt idx="147">
                  <c:v>0.70830820441244402</c:v>
                </c:pt>
                <c:pt idx="148">
                  <c:v>1.3749775158747848</c:v>
                </c:pt>
                <c:pt idx="149">
                  <c:v>3.0291212280433445E-2</c:v>
                </c:pt>
                <c:pt idx="150">
                  <c:v>-1.2386481807676386</c:v>
                </c:pt>
                <c:pt idx="151">
                  <c:v>-1.5796564088788732</c:v>
                </c:pt>
                <c:pt idx="152">
                  <c:v>-1.0239910629088429</c:v>
                </c:pt>
                <c:pt idx="153">
                  <c:v>0.80568980264422196</c:v>
                </c:pt>
                <c:pt idx="154">
                  <c:v>0.19088537583583692</c:v>
                </c:pt>
                <c:pt idx="155">
                  <c:v>0.44183445110759534</c:v>
                </c:pt>
                <c:pt idx="156">
                  <c:v>0.89551854496822281</c:v>
                </c:pt>
                <c:pt idx="157">
                  <c:v>-1.2679612612009317</c:v>
                </c:pt>
                <c:pt idx="158">
                  <c:v>0.57849787384462992</c:v>
                </c:pt>
                <c:pt idx="159">
                  <c:v>-0.44114431631960382</c:v>
                </c:pt>
                <c:pt idx="160">
                  <c:v>0.65727931774670301</c:v>
                </c:pt>
                <c:pt idx="161">
                  <c:v>0.90633984427355185</c:v>
                </c:pt>
                <c:pt idx="162">
                  <c:v>-0.69157278055999527</c:v>
                </c:pt>
                <c:pt idx="163">
                  <c:v>-0.25653381736858311</c:v>
                </c:pt>
                <c:pt idx="164">
                  <c:v>1.6518971380189957</c:v>
                </c:pt>
                <c:pt idx="165">
                  <c:v>0.95925291314177386</c:v>
                </c:pt>
                <c:pt idx="166">
                  <c:v>-0.35580231846748755</c:v>
                </c:pt>
                <c:pt idx="167">
                  <c:v>-1.6112540521914036</c:v>
                </c:pt>
                <c:pt idx="168">
                  <c:v>0.60684024682682081</c:v>
                </c:pt>
                <c:pt idx="169">
                  <c:v>0.32478257567809932</c:v>
                </c:pt>
                <c:pt idx="170">
                  <c:v>0.5630325221441872</c:v>
                </c:pt>
                <c:pt idx="171">
                  <c:v>-7.5482015678318776E-2</c:v>
                </c:pt>
                <c:pt idx="172">
                  <c:v>0.74626754587677124</c:v>
                </c:pt>
                <c:pt idx="173">
                  <c:v>4.3014593716584795E-2</c:v>
                </c:pt>
                <c:pt idx="174">
                  <c:v>-0.73479028407327351</c:v>
                </c:pt>
                <c:pt idx="175">
                  <c:v>-1.3278602963940864</c:v>
                </c:pt>
                <c:pt idx="176">
                  <c:v>2.893170039373389</c:v>
                </c:pt>
                <c:pt idx="177">
                  <c:v>-5.1967633454648582E-2</c:v>
                </c:pt>
                <c:pt idx="178">
                  <c:v>1.8701916790449209</c:v>
                </c:pt>
                <c:pt idx="179">
                  <c:v>0.88768566999388077</c:v>
                </c:pt>
                <c:pt idx="180">
                  <c:v>-0.40353667916100378</c:v>
                </c:pt>
                <c:pt idx="181">
                  <c:v>0.48992747349649463</c:v>
                </c:pt>
                <c:pt idx="182">
                  <c:v>0.80569118601586565</c:v>
                </c:pt>
                <c:pt idx="183">
                  <c:v>-1.4957407609530753</c:v>
                </c:pt>
                <c:pt idx="184">
                  <c:v>0.26196359346012732</c:v>
                </c:pt>
                <c:pt idx="185">
                  <c:v>1.1343538727981775</c:v>
                </c:pt>
                <c:pt idx="186">
                  <c:v>-0.56956792105538634</c:v>
                </c:pt>
                <c:pt idx="187">
                  <c:v>1.3398239902765063</c:v>
                </c:pt>
                <c:pt idx="188">
                  <c:v>1.2638737646938483</c:v>
                </c:pt>
                <c:pt idx="189">
                  <c:v>0.93985926478275572</c:v>
                </c:pt>
                <c:pt idx="190">
                  <c:v>-1.6199172243869175</c:v>
                </c:pt>
                <c:pt idx="191">
                  <c:v>0.51695071132196591</c:v>
                </c:pt>
                <c:pt idx="192">
                  <c:v>-1.3893723642856206</c:v>
                </c:pt>
                <c:pt idx="193">
                  <c:v>0.5652166780399176</c:v>
                </c:pt>
                <c:pt idx="194">
                  <c:v>-0.4345689197211095</c:v>
                </c:pt>
                <c:pt idx="195">
                  <c:v>-1.3038380314357172</c:v>
                </c:pt>
                <c:pt idx="196">
                  <c:v>1.0864726419195134</c:v>
                </c:pt>
                <c:pt idx="197">
                  <c:v>0.33778516123832275</c:v>
                </c:pt>
                <c:pt idx="198">
                  <c:v>-1.5077155128665498</c:v>
                </c:pt>
                <c:pt idx="199">
                  <c:v>0.21514379196675218</c:v>
                </c:pt>
                <c:pt idx="200">
                  <c:v>1.5434870980294335</c:v>
                </c:pt>
                <c:pt idx="201">
                  <c:v>2.1053733684542855</c:v>
                </c:pt>
                <c:pt idx="202">
                  <c:v>1.5970258601748857</c:v>
                </c:pt>
                <c:pt idx="203">
                  <c:v>0.61010207520585835</c:v>
                </c:pt>
                <c:pt idx="204">
                  <c:v>0.95141824238370554</c:v>
                </c:pt>
                <c:pt idx="205">
                  <c:v>0.72295209932409132</c:v>
                </c:pt>
                <c:pt idx="206">
                  <c:v>0.88761283301356897</c:v>
                </c:pt>
                <c:pt idx="207">
                  <c:v>-0.29427386758786861</c:v>
                </c:pt>
                <c:pt idx="208">
                  <c:v>0.87942093357364282</c:v>
                </c:pt>
                <c:pt idx="209">
                  <c:v>-1.357348334567875</c:v>
                </c:pt>
                <c:pt idx="210">
                  <c:v>0.76066969286097341</c:v>
                </c:pt>
                <c:pt idx="211">
                  <c:v>-0.15108549052981191</c:v>
                </c:pt>
                <c:pt idx="212">
                  <c:v>0.35696586261158864</c:v>
                </c:pt>
                <c:pt idx="213">
                  <c:v>-0.33578652911082951</c:v>
                </c:pt>
                <c:pt idx="214">
                  <c:v>0.20157027442903167</c:v>
                </c:pt>
                <c:pt idx="215">
                  <c:v>0.61405726354583112</c:v>
                </c:pt>
                <c:pt idx="216">
                  <c:v>-5.8695010172445564E-2</c:v>
                </c:pt>
                <c:pt idx="217">
                  <c:v>2.3630038845374961</c:v>
                </c:pt>
                <c:pt idx="218">
                  <c:v>1.0790131940513032</c:v>
                </c:pt>
                <c:pt idx="219">
                  <c:v>1.7487141058681581</c:v>
                </c:pt>
                <c:pt idx="220">
                  <c:v>0.27092347537814565</c:v>
                </c:pt>
                <c:pt idx="221">
                  <c:v>-1.2711508066189234</c:v>
                </c:pt>
                <c:pt idx="222">
                  <c:v>-0.34494871316806047</c:v>
                </c:pt>
                <c:pt idx="223">
                  <c:v>-0.28385915350036101</c:v>
                </c:pt>
                <c:pt idx="224">
                  <c:v>0.47623240850219983</c:v>
                </c:pt>
                <c:pt idx="225">
                  <c:v>-0.5038108941799142</c:v>
                </c:pt>
                <c:pt idx="226">
                  <c:v>1.2355508778658795</c:v>
                </c:pt>
                <c:pt idx="227">
                  <c:v>0.76790151060144107</c:v>
                </c:pt>
                <c:pt idx="228">
                  <c:v>0.7962182835164523</c:v>
                </c:pt>
                <c:pt idx="229">
                  <c:v>-0.62226383920816997</c:v>
                </c:pt>
                <c:pt idx="230">
                  <c:v>-0.19171190152082859</c:v>
                </c:pt>
                <c:pt idx="231">
                  <c:v>-0.65897549082946649</c:v>
                </c:pt>
                <c:pt idx="232">
                  <c:v>-1.1798985418155716</c:v>
                </c:pt>
                <c:pt idx="233">
                  <c:v>0.82531292164159997</c:v>
                </c:pt>
                <c:pt idx="234">
                  <c:v>-1.0987672301616473</c:v>
                </c:pt>
                <c:pt idx="235">
                  <c:v>-1.8108016149168176</c:v>
                </c:pt>
                <c:pt idx="236">
                  <c:v>-1.3067459871417604</c:v>
                </c:pt>
                <c:pt idx="237">
                  <c:v>1.4405055574754486</c:v>
                </c:pt>
                <c:pt idx="238">
                  <c:v>-0.93314903454024301</c:v>
                </c:pt>
                <c:pt idx="239">
                  <c:v>-1.2834633616423001</c:v>
                </c:pt>
                <c:pt idx="240">
                  <c:v>-0.36897823521541945</c:v>
                </c:pt>
                <c:pt idx="241">
                  <c:v>-1.4228876612670642</c:v>
                </c:pt>
                <c:pt idx="242">
                  <c:v>0.4796956677830998</c:v>
                </c:pt>
                <c:pt idx="243">
                  <c:v>0.92233422977506729</c:v>
                </c:pt>
                <c:pt idx="244">
                  <c:v>-0.99701595649147789</c:v>
                </c:pt>
                <c:pt idx="245">
                  <c:v>2.0889400842728003</c:v>
                </c:pt>
                <c:pt idx="246">
                  <c:v>-0.49553743259659727</c:v>
                </c:pt>
                <c:pt idx="247">
                  <c:v>-0.72082662640292938</c:v>
                </c:pt>
                <c:pt idx="248">
                  <c:v>1.9304339543260221</c:v>
                </c:pt>
                <c:pt idx="249">
                  <c:v>1.7355186130074982</c:v>
                </c:pt>
                <c:pt idx="250">
                  <c:v>-0.19973439346742036</c:v>
                </c:pt>
                <c:pt idx="251">
                  <c:v>0.67801123709638389</c:v>
                </c:pt>
                <c:pt idx="252">
                  <c:v>-2.9038342826324883</c:v>
                </c:pt>
                <c:pt idx="253">
                  <c:v>-0.65184652561456546</c:v>
                </c:pt>
                <c:pt idx="254">
                  <c:v>-1.7727032851896855E-2</c:v>
                </c:pt>
                <c:pt idx="255">
                  <c:v>-0.25838338757308854</c:v>
                </c:pt>
                <c:pt idx="256">
                  <c:v>0.28129432454840475</c:v>
                </c:pt>
                <c:pt idx="257">
                  <c:v>-1.7397500884771375</c:v>
                </c:pt>
                <c:pt idx="258">
                  <c:v>0.46467467796757772</c:v>
                </c:pt>
                <c:pt idx="259">
                  <c:v>-1.3185876685522999</c:v>
                </c:pt>
                <c:pt idx="260">
                  <c:v>0.4820980729632387</c:v>
                </c:pt>
                <c:pt idx="261">
                  <c:v>1.0555788630352612</c:v>
                </c:pt>
                <c:pt idx="262">
                  <c:v>0.3468802569442877</c:v>
                </c:pt>
                <c:pt idx="263">
                  <c:v>2.5237499590288897</c:v>
                </c:pt>
                <c:pt idx="264">
                  <c:v>-0.10810535871901146</c:v>
                </c:pt>
                <c:pt idx="265">
                  <c:v>-0.57180584076949159</c:v>
                </c:pt>
                <c:pt idx="266">
                  <c:v>1.1986366093796166</c:v>
                </c:pt>
                <c:pt idx="267">
                  <c:v>0.31907291928206322</c:v>
                </c:pt>
                <c:pt idx="268">
                  <c:v>0.14641499724513821</c:v>
                </c:pt>
                <c:pt idx="269">
                  <c:v>-6.4427299024983897E-2</c:v>
                </c:pt>
                <c:pt idx="270">
                  <c:v>-0.75879293752320731</c:v>
                </c:pt>
                <c:pt idx="271">
                  <c:v>-0.29536773139931105</c:v>
                </c:pt>
                <c:pt idx="272">
                  <c:v>-0.20786218492558048</c:v>
                </c:pt>
                <c:pt idx="273">
                  <c:v>-0.31707253752318121</c:v>
                </c:pt>
                <c:pt idx="274">
                  <c:v>-7.8881812068032006E-2</c:v>
                </c:pt>
                <c:pt idx="275">
                  <c:v>-0.86096137859180499</c:v>
                </c:pt>
                <c:pt idx="276">
                  <c:v>0.28282316962874265</c:v>
                </c:pt>
                <c:pt idx="277">
                  <c:v>0.54401430430367326</c:v>
                </c:pt>
                <c:pt idx="278">
                  <c:v>-1.0594195425963731</c:v>
                </c:pt>
                <c:pt idx="279">
                  <c:v>-0.3156396833906932</c:v>
                </c:pt>
                <c:pt idx="280">
                  <c:v>-0.53266004935548783</c:v>
                </c:pt>
                <c:pt idx="281">
                  <c:v>-0.32459098882199744</c:v>
                </c:pt>
                <c:pt idx="282">
                  <c:v>-0.62527759768969893</c:v>
                </c:pt>
                <c:pt idx="283">
                  <c:v>-0.57391886081511689</c:v>
                </c:pt>
                <c:pt idx="284">
                  <c:v>-0.40356059710641384</c:v>
                </c:pt>
                <c:pt idx="285">
                  <c:v>1.075775720150622</c:v>
                </c:pt>
                <c:pt idx="286">
                  <c:v>0.132267408068825</c:v>
                </c:pt>
                <c:pt idx="287">
                  <c:v>-2.4788206582287766</c:v>
                </c:pt>
                <c:pt idx="288">
                  <c:v>0.1715144584960672</c:v>
                </c:pt>
                <c:pt idx="289">
                  <c:v>0.60894352956843201</c:v>
                </c:pt>
                <c:pt idx="290">
                  <c:v>-0.12024489526306613</c:v>
                </c:pt>
                <c:pt idx="291">
                  <c:v>1.5586275790572368</c:v>
                </c:pt>
                <c:pt idx="292">
                  <c:v>-1.3208359843436277</c:v>
                </c:pt>
                <c:pt idx="293">
                  <c:v>0.25190634088697761</c:v>
                </c:pt>
                <c:pt idx="294">
                  <c:v>-0.57495337350342812</c:v>
                </c:pt>
                <c:pt idx="295">
                  <c:v>0.56511352967087225</c:v>
                </c:pt>
                <c:pt idx="296">
                  <c:v>0.25382432838621538</c:v>
                </c:pt>
                <c:pt idx="297">
                  <c:v>-1.0834056098018783</c:v>
                </c:pt>
                <c:pt idx="298">
                  <c:v>1.9061032817833294</c:v>
                </c:pt>
                <c:pt idx="299">
                  <c:v>-0.30645682488910075</c:v>
                </c:pt>
                <c:pt idx="300">
                  <c:v>-0.67219631257379031</c:v>
                </c:pt>
                <c:pt idx="301">
                  <c:v>0.34001879514009276</c:v>
                </c:pt>
                <c:pt idx="302">
                  <c:v>0.15945816639168253</c:v>
                </c:pt>
                <c:pt idx="303">
                  <c:v>0.2852431428096906</c:v>
                </c:pt>
                <c:pt idx="304">
                  <c:v>-0.42210169523825025</c:v>
                </c:pt>
                <c:pt idx="305">
                  <c:v>-1.2789411690805839</c:v>
                </c:pt>
                <c:pt idx="306">
                  <c:v>-0.83504470873550651</c:v>
                </c:pt>
                <c:pt idx="307">
                  <c:v>-0.66641672406097341</c:v>
                </c:pt>
                <c:pt idx="308">
                  <c:v>-1.1124189034054237</c:v>
                </c:pt>
                <c:pt idx="309">
                  <c:v>-0.96395513265305033</c:v>
                </c:pt>
                <c:pt idx="310">
                  <c:v>0.27540377876929095</c:v>
                </c:pt>
                <c:pt idx="311">
                  <c:v>-1.1925287860552873</c:v>
                </c:pt>
                <c:pt idx="312">
                  <c:v>-1.3373372967330075</c:v>
                </c:pt>
                <c:pt idx="313">
                  <c:v>0.18103696996198759</c:v>
                </c:pt>
                <c:pt idx="314">
                  <c:v>-0.85604212155761683</c:v>
                </c:pt>
                <c:pt idx="315">
                  <c:v>1.1108129690232729</c:v>
                </c:pt>
                <c:pt idx="316">
                  <c:v>3.0959893555215976E-2</c:v>
                </c:pt>
                <c:pt idx="317">
                  <c:v>0.84923858037619593</c:v>
                </c:pt>
                <c:pt idx="318">
                  <c:v>-0.28764334037817763</c:v>
                </c:pt>
                <c:pt idx="319">
                  <c:v>-0.73470989174749834</c:v>
                </c:pt>
                <c:pt idx="320">
                  <c:v>-0.27909041117832634</c:v>
                </c:pt>
                <c:pt idx="321">
                  <c:v>-0.75760409366163839</c:v>
                </c:pt>
                <c:pt idx="322">
                  <c:v>-0.16741827740186813</c:v>
                </c:pt>
                <c:pt idx="323">
                  <c:v>1.6316672490542223</c:v>
                </c:pt>
                <c:pt idx="324">
                  <c:v>1.3752387677603504</c:v>
                </c:pt>
                <c:pt idx="325">
                  <c:v>-0.24444818589441403</c:v>
                </c:pt>
                <c:pt idx="326">
                  <c:v>0.40278636617699043</c:v>
                </c:pt>
                <c:pt idx="327">
                  <c:v>2.081987907307417</c:v>
                </c:pt>
                <c:pt idx="328">
                  <c:v>-1.7185350255265168</c:v>
                </c:pt>
                <c:pt idx="329">
                  <c:v>1.3639078330305823</c:v>
                </c:pt>
                <c:pt idx="330">
                  <c:v>-0.30640110189253877</c:v>
                </c:pt>
                <c:pt idx="331">
                  <c:v>0.28171987477232718</c:v>
                </c:pt>
                <c:pt idx="332">
                  <c:v>-0.48923385750659459</c:v>
                </c:pt>
                <c:pt idx="333">
                  <c:v>-1.1960184333862625</c:v>
                </c:pt>
                <c:pt idx="334">
                  <c:v>-2.6827714379218624E-2</c:v>
                </c:pt>
                <c:pt idx="335">
                  <c:v>0.85017889876660657</c:v>
                </c:pt>
                <c:pt idx="336">
                  <c:v>0.44085537303679401</c:v>
                </c:pt>
                <c:pt idx="337">
                  <c:v>1.7971417938862841</c:v>
                </c:pt>
                <c:pt idx="338">
                  <c:v>0.82135470327188553</c:v>
                </c:pt>
                <c:pt idx="339">
                  <c:v>-1.1635271007413654</c:v>
                </c:pt>
                <c:pt idx="340">
                  <c:v>-1.7631706841260133</c:v>
                </c:pt>
                <c:pt idx="341">
                  <c:v>1.0682576193976934</c:v>
                </c:pt>
                <c:pt idx="342">
                  <c:v>0.20769941298395059</c:v>
                </c:pt>
                <c:pt idx="343">
                  <c:v>2.0345917069408426</c:v>
                </c:pt>
                <c:pt idx="344">
                  <c:v>-1.3696868585415047</c:v>
                </c:pt>
                <c:pt idx="345">
                  <c:v>9.2120255494658271E-2</c:v>
                </c:pt>
                <c:pt idx="346">
                  <c:v>4.7327437145384321E-3</c:v>
                </c:pt>
                <c:pt idx="347">
                  <c:v>0.18398539478764309</c:v>
                </c:pt>
                <c:pt idx="348">
                  <c:v>1.4785977860381512</c:v>
                </c:pt>
                <c:pt idx="349">
                  <c:v>0.82356604555308444</c:v>
                </c:pt>
                <c:pt idx="350">
                  <c:v>0.93616064073480576</c:v>
                </c:pt>
                <c:pt idx="351">
                  <c:v>-2.4860999294918353</c:v>
                </c:pt>
                <c:pt idx="352">
                  <c:v>-0.96084913947319739</c:v>
                </c:pt>
                <c:pt idx="353">
                  <c:v>0.83584671373748964</c:v>
                </c:pt>
                <c:pt idx="354">
                  <c:v>0.31035765509482283</c:v>
                </c:pt>
                <c:pt idx="355">
                  <c:v>1.0332134464323228</c:v>
                </c:pt>
                <c:pt idx="356">
                  <c:v>-0.17632812231344897</c:v>
                </c:pt>
                <c:pt idx="357">
                  <c:v>-1.2025194372810784</c:v>
                </c:pt>
                <c:pt idx="358">
                  <c:v>-2.636968328145485</c:v>
                </c:pt>
                <c:pt idx="359">
                  <c:v>0.43272735631685577</c:v>
                </c:pt>
                <c:pt idx="360">
                  <c:v>-0.23790910055802167</c:v>
                </c:pt>
                <c:pt idx="361">
                  <c:v>0.59567696729314068</c:v>
                </c:pt>
                <c:pt idx="362">
                  <c:v>1.0816246644167575</c:v>
                </c:pt>
                <c:pt idx="363">
                  <c:v>-0.18496613724551889</c:v>
                </c:pt>
                <c:pt idx="364">
                  <c:v>-0.96047609163572378</c:v>
                </c:pt>
                <c:pt idx="365">
                  <c:v>-2.5153984368793476</c:v>
                </c:pt>
                <c:pt idx="366">
                  <c:v>0.1048028331629563</c:v>
                </c:pt>
                <c:pt idx="367">
                  <c:v>-1.1899464453406983</c:v>
                </c:pt>
                <c:pt idx="368">
                  <c:v>0.52363848853766648</c:v>
                </c:pt>
                <c:pt idx="369">
                  <c:v>0.22819189848999102</c:v>
                </c:pt>
                <c:pt idx="370">
                  <c:v>2.6419282286594958E-2</c:v>
                </c:pt>
                <c:pt idx="371">
                  <c:v>0.59017099906661397</c:v>
                </c:pt>
                <c:pt idx="372">
                  <c:v>-0.40347715200067513</c:v>
                </c:pt>
                <c:pt idx="373">
                  <c:v>-0.50586914597343069</c:v>
                </c:pt>
                <c:pt idx="374">
                  <c:v>1.1005886340132685</c:v>
                </c:pt>
                <c:pt idx="375">
                  <c:v>0.49743125911276515</c:v>
                </c:pt>
                <c:pt idx="376">
                  <c:v>-1.1794970669184333E-2</c:v>
                </c:pt>
                <c:pt idx="377">
                  <c:v>-2.9229913033023594E-2</c:v>
                </c:pt>
                <c:pt idx="378">
                  <c:v>-0.51086034965690486</c:v>
                </c:pt>
                <c:pt idx="379">
                  <c:v>1.2864642615297208</c:v>
                </c:pt>
                <c:pt idx="380">
                  <c:v>-0.81107574421611661</c:v>
                </c:pt>
                <c:pt idx="381">
                  <c:v>0.57759469258571361</c:v>
                </c:pt>
                <c:pt idx="382">
                  <c:v>1.6034785399607316</c:v>
                </c:pt>
                <c:pt idx="383">
                  <c:v>-0.56093116775856899</c:v>
                </c:pt>
                <c:pt idx="384">
                  <c:v>1.9888560284532297</c:v>
                </c:pt>
                <c:pt idx="385">
                  <c:v>-0.37430629635849288</c:v>
                </c:pt>
                <c:pt idx="386">
                  <c:v>-1.1252587577866699</c:v>
                </c:pt>
                <c:pt idx="387">
                  <c:v>0.8858293646979537</c:v>
                </c:pt>
                <c:pt idx="388">
                  <c:v>-1.9810843087649025E-2</c:v>
                </c:pt>
                <c:pt idx="389">
                  <c:v>-0.70279606012968554</c:v>
                </c:pt>
                <c:pt idx="390">
                  <c:v>-1.9517761369620557</c:v>
                </c:pt>
                <c:pt idx="391">
                  <c:v>-0.54931188501839501</c:v>
                </c:pt>
                <c:pt idx="392">
                  <c:v>8.9528408427329301E-2</c:v>
                </c:pt>
                <c:pt idx="393">
                  <c:v>-1.2305676280021203</c:v>
                </c:pt>
                <c:pt idx="394">
                  <c:v>-0.48102776506427697</c:v>
                </c:pt>
                <c:pt idx="395">
                  <c:v>-0.61701420809925733</c:v>
                </c:pt>
                <c:pt idx="396">
                  <c:v>0.87479445875576589</c:v>
                </c:pt>
                <c:pt idx="397">
                  <c:v>-9.7666498437312288E-2</c:v>
                </c:pt>
                <c:pt idx="398">
                  <c:v>0.4664161783971475</c:v>
                </c:pt>
                <c:pt idx="399">
                  <c:v>-0.54038734410284384</c:v>
                </c:pt>
                <c:pt idx="400">
                  <c:v>0.88377400205509771</c:v>
                </c:pt>
                <c:pt idx="401">
                  <c:v>1.1415535691260439</c:v>
                </c:pt>
                <c:pt idx="402">
                  <c:v>-0.38074299890017943</c:v>
                </c:pt>
                <c:pt idx="403">
                  <c:v>6.4744573218887602E-2</c:v>
                </c:pt>
                <c:pt idx="404">
                  <c:v>-0.51811552524449433</c:v>
                </c:pt>
                <c:pt idx="405">
                  <c:v>0.56214706412263271</c:v>
                </c:pt>
                <c:pt idx="406">
                  <c:v>5.5994880505115384E-2</c:v>
                </c:pt>
                <c:pt idx="407">
                  <c:v>0.27616867843914272</c:v>
                </c:pt>
                <c:pt idx="408">
                  <c:v>1.5300453946120525</c:v>
                </c:pt>
                <c:pt idx="409">
                  <c:v>0.65674026294337806</c:v>
                </c:pt>
                <c:pt idx="410">
                  <c:v>1.4784681280986782</c:v>
                </c:pt>
                <c:pt idx="411">
                  <c:v>-0.95409289789460661</c:v>
                </c:pt>
                <c:pt idx="412">
                  <c:v>-0.24076699282834363</c:v>
                </c:pt>
                <c:pt idx="413">
                  <c:v>-0.90473114296008128</c:v>
                </c:pt>
                <c:pt idx="414">
                  <c:v>0.67233581950244414</c:v>
                </c:pt>
                <c:pt idx="415">
                  <c:v>-1.3424071819057426</c:v>
                </c:pt>
                <c:pt idx="416">
                  <c:v>-0.29834433604622673</c:v>
                </c:pt>
                <c:pt idx="417">
                  <c:v>1.8966552238509891</c:v>
                </c:pt>
                <c:pt idx="418">
                  <c:v>-0.57160621661616284</c:v>
                </c:pt>
                <c:pt idx="419">
                  <c:v>1.1766882612787894</c:v>
                </c:pt>
                <c:pt idx="420">
                  <c:v>1.0341222744215466</c:v>
                </c:pt>
                <c:pt idx="421">
                  <c:v>-8.9539088161633001E-2</c:v>
                </c:pt>
                <c:pt idx="422">
                  <c:v>1.8499392770200342</c:v>
                </c:pt>
                <c:pt idx="423">
                  <c:v>-1.1626082963781805</c:v>
                </c:pt>
                <c:pt idx="424">
                  <c:v>-0.12210281715209149</c:v>
                </c:pt>
                <c:pt idx="425">
                  <c:v>0.55916647800127717</c:v>
                </c:pt>
                <c:pt idx="426">
                  <c:v>-1.6665054229588041</c:v>
                </c:pt>
                <c:pt idx="427">
                  <c:v>0.59243658749623374</c:v>
                </c:pt>
                <c:pt idx="428">
                  <c:v>0.308803730822099</c:v>
                </c:pt>
                <c:pt idx="429">
                  <c:v>-0.60964927980180961</c:v>
                </c:pt>
                <c:pt idx="430">
                  <c:v>1.6793802605541599</c:v>
                </c:pt>
                <c:pt idx="431">
                  <c:v>-0.3603723888618714</c:v>
                </c:pt>
                <c:pt idx="432">
                  <c:v>0.33529483386042958</c:v>
                </c:pt>
                <c:pt idx="433">
                  <c:v>-0.16071668219926841</c:v>
                </c:pt>
                <c:pt idx="434">
                  <c:v>0.86448361094913628</c:v>
                </c:pt>
                <c:pt idx="435">
                  <c:v>-1.0565296939865076</c:v>
                </c:pt>
                <c:pt idx="436">
                  <c:v>0.20951003762218487</c:v>
                </c:pt>
                <c:pt idx="437">
                  <c:v>1.5717901712675681</c:v>
                </c:pt>
                <c:pt idx="438">
                  <c:v>-1.4302073864435203</c:v>
                </c:pt>
                <c:pt idx="439">
                  <c:v>0.46648184100607237</c:v>
                </c:pt>
                <c:pt idx="440">
                  <c:v>-0.32594685485321512</c:v>
                </c:pt>
                <c:pt idx="441">
                  <c:v>1.0166876688338162</c:v>
                </c:pt>
                <c:pt idx="442">
                  <c:v>0.22056350924453846</c:v>
                </c:pt>
                <c:pt idx="443">
                  <c:v>-1.0864723705178641</c:v>
                </c:pt>
                <c:pt idx="444">
                  <c:v>-0.32214223980866397</c:v>
                </c:pt>
                <c:pt idx="445">
                  <c:v>-0.38215730623336891</c:v>
                </c:pt>
                <c:pt idx="446">
                  <c:v>0.32604706634557779</c:v>
                </c:pt>
                <c:pt idx="447">
                  <c:v>0.48838511587050837</c:v>
                </c:pt>
                <c:pt idx="448">
                  <c:v>0.19086612220105892</c:v>
                </c:pt>
                <c:pt idx="449">
                  <c:v>-0.12122072251092468</c:v>
                </c:pt>
                <c:pt idx="450">
                  <c:v>0.85359381316840177</c:v>
                </c:pt>
                <c:pt idx="451">
                  <c:v>-0.30666993257966307</c:v>
                </c:pt>
                <c:pt idx="452">
                  <c:v>-2.6254127297860981</c:v>
                </c:pt>
                <c:pt idx="453">
                  <c:v>1.2290872769747536</c:v>
                </c:pt>
                <c:pt idx="454">
                  <c:v>1.2831876688906632</c:v>
                </c:pt>
                <c:pt idx="455">
                  <c:v>0.41771992420243848</c:v>
                </c:pt>
                <c:pt idx="456">
                  <c:v>0.13193659228472407</c:v>
                </c:pt>
                <c:pt idx="457">
                  <c:v>0.24733961571223559</c:v>
                </c:pt>
                <c:pt idx="458">
                  <c:v>-0.51541207193701644</c:v>
                </c:pt>
                <c:pt idx="459">
                  <c:v>0.29365134227778933</c:v>
                </c:pt>
                <c:pt idx="460">
                  <c:v>1.3324871986441036</c:v>
                </c:pt>
                <c:pt idx="461">
                  <c:v>0.70265194158016764</c:v>
                </c:pt>
                <c:pt idx="462">
                  <c:v>1.2432361897770507</c:v>
                </c:pt>
                <c:pt idx="463">
                  <c:v>-1.1757541430757223</c:v>
                </c:pt>
                <c:pt idx="464">
                  <c:v>-0.96660917717374339</c:v>
                </c:pt>
                <c:pt idx="465">
                  <c:v>0.81372713470362878</c:v>
                </c:pt>
                <c:pt idx="466">
                  <c:v>-1.4700324251032231</c:v>
                </c:pt>
                <c:pt idx="467">
                  <c:v>-0.63043742345629039</c:v>
                </c:pt>
                <c:pt idx="468">
                  <c:v>1.367276627883931</c:v>
                </c:pt>
                <c:pt idx="469">
                  <c:v>-1.030334689863821</c:v>
                </c:pt>
                <c:pt idx="470">
                  <c:v>-0.36827162754868831</c:v>
                </c:pt>
                <c:pt idx="471">
                  <c:v>-1.2541121390526719</c:v>
                </c:pt>
                <c:pt idx="472">
                  <c:v>1.1270298883229128</c:v>
                </c:pt>
                <c:pt idx="473">
                  <c:v>-0.92369182067264666</c:v>
                </c:pt>
                <c:pt idx="474">
                  <c:v>-2.4853339506331E-2</c:v>
                </c:pt>
                <c:pt idx="475">
                  <c:v>0.8718873499665527</c:v>
                </c:pt>
                <c:pt idx="476">
                  <c:v>0.16192252857901399</c:v>
                </c:pt>
                <c:pt idx="477">
                  <c:v>0.39659577819965175</c:v>
                </c:pt>
                <c:pt idx="478">
                  <c:v>1.7496884922031462</c:v>
                </c:pt>
                <c:pt idx="479">
                  <c:v>0.48722683729245142</c:v>
                </c:pt>
                <c:pt idx="480">
                  <c:v>-0.56839391363510039</c:v>
                </c:pt>
                <c:pt idx="481">
                  <c:v>-0.55881386808494682</c:v>
                </c:pt>
                <c:pt idx="482">
                  <c:v>-0.43393261947026052</c:v>
                </c:pt>
                <c:pt idx="483">
                  <c:v>0.1538197332649085</c:v>
                </c:pt>
                <c:pt idx="484">
                  <c:v>-1.4694493529146936E-2</c:v>
                </c:pt>
                <c:pt idx="485">
                  <c:v>1.9518496058679962</c:v>
                </c:pt>
                <c:pt idx="486">
                  <c:v>-0.36057581248196613</c:v>
                </c:pt>
                <c:pt idx="487">
                  <c:v>0.40396975933202839</c:v>
                </c:pt>
                <c:pt idx="488">
                  <c:v>1.2618775762420193</c:v>
                </c:pt>
                <c:pt idx="489">
                  <c:v>-0.30743549891156408</c:v>
                </c:pt>
                <c:pt idx="490">
                  <c:v>-0.94522914633725175</c:v>
                </c:pt>
                <c:pt idx="491">
                  <c:v>0.71696947725434368</c:v>
                </c:pt>
                <c:pt idx="492">
                  <c:v>-0.19300096287390264</c:v>
                </c:pt>
                <c:pt idx="493">
                  <c:v>1.2642297619719183</c:v>
                </c:pt>
                <c:pt idx="494">
                  <c:v>0.9236679130070452</c:v>
                </c:pt>
                <c:pt idx="495">
                  <c:v>0.27078366898059114</c:v>
                </c:pt>
                <c:pt idx="496">
                  <c:v>-0.3281254610503474</c:v>
                </c:pt>
                <c:pt idx="497">
                  <c:v>-2.1062998654120056E-2</c:v>
                </c:pt>
                <c:pt idx="498">
                  <c:v>0.55181445309187849</c:v>
                </c:pt>
                <c:pt idx="499">
                  <c:v>-0.11225402361630474</c:v>
                </c:pt>
                <c:pt idx="500">
                  <c:v>0.96371324708626993</c:v>
                </c:pt>
                <c:pt idx="501">
                  <c:v>0.17706265235785629</c:v>
                </c:pt>
                <c:pt idx="502">
                  <c:v>-1.6914212078602997</c:v>
                </c:pt>
                <c:pt idx="503">
                  <c:v>-0.2309032284968103</c:v>
                </c:pt>
                <c:pt idx="504">
                  <c:v>-0.89838042855426448</c:v>
                </c:pt>
                <c:pt idx="505">
                  <c:v>-5.2746104909167937E-2</c:v>
                </c:pt>
                <c:pt idx="506">
                  <c:v>-1.3709685152499045</c:v>
                </c:pt>
                <c:pt idx="507">
                  <c:v>-0.55347943614539563</c:v>
                </c:pt>
                <c:pt idx="508">
                  <c:v>0.15144207357265749</c:v>
                </c:pt>
                <c:pt idx="509">
                  <c:v>-0.96416457349684292</c:v>
                </c:pt>
                <c:pt idx="510">
                  <c:v>0.98145930439319606</c:v>
                </c:pt>
                <c:pt idx="511">
                  <c:v>-0.52087490961798288</c:v>
                </c:pt>
                <c:pt idx="512">
                  <c:v>-1.2453035459898694</c:v>
                </c:pt>
                <c:pt idx="513">
                  <c:v>-1.2128453587294152</c:v>
                </c:pt>
                <c:pt idx="514">
                  <c:v>-0.17479966956101584</c:v>
                </c:pt>
                <c:pt idx="515">
                  <c:v>0.64676369183761073</c:v>
                </c:pt>
                <c:pt idx="516">
                  <c:v>0.61370627981707426</c:v>
                </c:pt>
                <c:pt idx="517">
                  <c:v>-1.612742129935685</c:v>
                </c:pt>
                <c:pt idx="518">
                  <c:v>9.7536233301096467E-2</c:v>
                </c:pt>
                <c:pt idx="519">
                  <c:v>0.7693265849300468</c:v>
                </c:pt>
                <c:pt idx="520">
                  <c:v>0.55862026946611187</c:v>
                </c:pt>
                <c:pt idx="521">
                  <c:v>1.5931827868561149E-2</c:v>
                </c:pt>
                <c:pt idx="522">
                  <c:v>0.17340667392339307</c:v>
                </c:pt>
                <c:pt idx="523">
                  <c:v>-0.81477425118092051</c:v>
                </c:pt>
                <c:pt idx="524">
                  <c:v>0.59878219459102833</c:v>
                </c:pt>
                <c:pt idx="525">
                  <c:v>-0.29988040068593352</c:v>
                </c:pt>
                <c:pt idx="526">
                  <c:v>-1.1748659504657557</c:v>
                </c:pt>
                <c:pt idx="527">
                  <c:v>0.98323865901841567</c:v>
                </c:pt>
                <c:pt idx="528">
                  <c:v>1.3113086470242608</c:v>
                </c:pt>
                <c:pt idx="529">
                  <c:v>3.5470262891924214</c:v>
                </c:pt>
                <c:pt idx="530">
                  <c:v>0.2207472599252043</c:v>
                </c:pt>
                <c:pt idx="531">
                  <c:v>-0.1707757053436412</c:v>
                </c:pt>
                <c:pt idx="532">
                  <c:v>1.0425627579191947</c:v>
                </c:pt>
                <c:pt idx="533">
                  <c:v>-1.8574268162132457</c:v>
                </c:pt>
                <c:pt idx="534">
                  <c:v>-0.87341436446548992</c:v>
                </c:pt>
                <c:pt idx="535">
                  <c:v>-1.4238009717647349</c:v>
                </c:pt>
                <c:pt idx="536">
                  <c:v>0.40538323614008248</c:v>
                </c:pt>
                <c:pt idx="537">
                  <c:v>0.70411348758036674</c:v>
                </c:pt>
                <c:pt idx="538">
                  <c:v>-0.34922844973377509</c:v>
                </c:pt>
                <c:pt idx="539">
                  <c:v>0.89403754527574575</c:v>
                </c:pt>
                <c:pt idx="540">
                  <c:v>-1.5294212050488218</c:v>
                </c:pt>
                <c:pt idx="541">
                  <c:v>-1.5459360370055311</c:v>
                </c:pt>
                <c:pt idx="542">
                  <c:v>-1.1235014234594825</c:v>
                </c:pt>
                <c:pt idx="543">
                  <c:v>-0.11739205581566584</c:v>
                </c:pt>
                <c:pt idx="544">
                  <c:v>-2.7844330432867168</c:v>
                </c:pt>
                <c:pt idx="545">
                  <c:v>-0.10390034871451485</c:v>
                </c:pt>
                <c:pt idx="546">
                  <c:v>-2.824504714786193E-2</c:v>
                </c:pt>
                <c:pt idx="547">
                  <c:v>-0.97257407590743417</c:v>
                </c:pt>
                <c:pt idx="548">
                  <c:v>-1.5047462355715322</c:v>
                </c:pt>
                <c:pt idx="549">
                  <c:v>1.1268228504738593</c:v>
                </c:pt>
                <c:pt idx="550">
                  <c:v>-2.5767087500198977E-2</c:v>
                </c:pt>
                <c:pt idx="551">
                  <c:v>0.61169470303196183</c:v>
                </c:pt>
                <c:pt idx="552">
                  <c:v>-2.8409023018310817E-2</c:v>
                </c:pt>
                <c:pt idx="553">
                  <c:v>-0.26659544978546346</c:v>
                </c:pt>
                <c:pt idx="554">
                  <c:v>-1.2786037272477997</c:v>
                </c:pt>
                <c:pt idx="555">
                  <c:v>0.43111843104380781</c:v>
                </c:pt>
                <c:pt idx="556">
                  <c:v>-8.3046890768198767E-2</c:v>
                </c:pt>
                <c:pt idx="557">
                  <c:v>0.12982935041414254</c:v>
                </c:pt>
                <c:pt idx="558">
                  <c:v>-0.55622354684819664</c:v>
                </c:pt>
                <c:pt idx="559">
                  <c:v>1.1195238476932075</c:v>
                </c:pt>
                <c:pt idx="560">
                  <c:v>0.4228365127218604</c:v>
                </c:pt>
                <c:pt idx="561">
                  <c:v>-0.1579979761017207</c:v>
                </c:pt>
                <c:pt idx="562">
                  <c:v>-4.3239385829263829E-2</c:v>
                </c:pt>
                <c:pt idx="563">
                  <c:v>0.19495814451411458</c:v>
                </c:pt>
                <c:pt idx="564">
                  <c:v>-0.192683419036215</c:v>
                </c:pt>
                <c:pt idx="565">
                  <c:v>-1.0239934550493728</c:v>
                </c:pt>
                <c:pt idx="566">
                  <c:v>-0.80902570611416103</c:v>
                </c:pt>
                <c:pt idx="567">
                  <c:v>-2.1546312168828217</c:v>
                </c:pt>
                <c:pt idx="568">
                  <c:v>-0.54850315030646546</c:v>
                </c:pt>
                <c:pt idx="569">
                  <c:v>0.73421848416723712</c:v>
                </c:pt>
                <c:pt idx="570">
                  <c:v>0.14533093596227228</c:v>
                </c:pt>
                <c:pt idx="571">
                  <c:v>-0.54602614880918154</c:v>
                </c:pt>
                <c:pt idx="572">
                  <c:v>-2.2356889227637593</c:v>
                </c:pt>
                <c:pt idx="573">
                  <c:v>1.1425144769301576</c:v>
                </c:pt>
                <c:pt idx="574">
                  <c:v>-0.88839471470135523</c:v>
                </c:pt>
                <c:pt idx="575">
                  <c:v>0.73087750354936154</c:v>
                </c:pt>
                <c:pt idx="576">
                  <c:v>-0.99941215827365359</c:v>
                </c:pt>
                <c:pt idx="577">
                  <c:v>-2.4358991065001163</c:v>
                </c:pt>
                <c:pt idx="578">
                  <c:v>0.91563337525198785</c:v>
                </c:pt>
                <c:pt idx="579">
                  <c:v>2.0668167476051442</c:v>
                </c:pt>
                <c:pt idx="580">
                  <c:v>0.56254806191982376</c:v>
                </c:pt>
                <c:pt idx="581">
                  <c:v>1.2170128479086244</c:v>
                </c:pt>
                <c:pt idx="582">
                  <c:v>1.202169583275458</c:v>
                </c:pt>
                <c:pt idx="583">
                  <c:v>0.44183678082727385</c:v>
                </c:pt>
                <c:pt idx="584">
                  <c:v>0.77740827538817503</c:v>
                </c:pt>
                <c:pt idx="585">
                  <c:v>1.349260861298949</c:v>
                </c:pt>
                <c:pt idx="586">
                  <c:v>-1.2203998664442719</c:v>
                </c:pt>
                <c:pt idx="587">
                  <c:v>-0.47233435652044037</c:v>
                </c:pt>
                <c:pt idx="588">
                  <c:v>-0.74769700024533292</c:v>
                </c:pt>
                <c:pt idx="589">
                  <c:v>-0.73809666833899101</c:v>
                </c:pt>
                <c:pt idx="590">
                  <c:v>1.1467207692434596</c:v>
                </c:pt>
                <c:pt idx="591">
                  <c:v>0.41434237317043709</c:v>
                </c:pt>
                <c:pt idx="592">
                  <c:v>-3.6137858521633516E-2</c:v>
                </c:pt>
                <c:pt idx="593">
                  <c:v>-0.62297885519352358</c:v>
                </c:pt>
                <c:pt idx="594">
                  <c:v>0.1692050378372805</c:v>
                </c:pt>
                <c:pt idx="595">
                  <c:v>-0.23016770543496243</c:v>
                </c:pt>
                <c:pt idx="596">
                  <c:v>0.29756776497419479</c:v>
                </c:pt>
                <c:pt idx="597">
                  <c:v>-1.4643826008839644</c:v>
                </c:pt>
                <c:pt idx="598">
                  <c:v>0.82874425996524281</c:v>
                </c:pt>
                <c:pt idx="599">
                  <c:v>0.96336523171278243</c:v>
                </c:pt>
                <c:pt idx="600">
                  <c:v>-1.3429514693937583</c:v>
                </c:pt>
                <c:pt idx="601">
                  <c:v>-2.3036415582416061</c:v>
                </c:pt>
                <c:pt idx="602">
                  <c:v>0.4632700077374608</c:v>
                </c:pt>
                <c:pt idx="603">
                  <c:v>4.1507305721530094E-2</c:v>
                </c:pt>
                <c:pt idx="604">
                  <c:v>-0.51198115244095721</c:v>
                </c:pt>
                <c:pt idx="605">
                  <c:v>-0.98023165923019939</c:v>
                </c:pt>
                <c:pt idx="606">
                  <c:v>3.2228610458457568E-2</c:v>
                </c:pt>
                <c:pt idx="607">
                  <c:v>-1.1297913225021983</c:v>
                </c:pt>
                <c:pt idx="608">
                  <c:v>1.153895531539926</c:v>
                </c:pt>
                <c:pt idx="609">
                  <c:v>-0.37486891556245028</c:v>
                </c:pt>
                <c:pt idx="610">
                  <c:v>0.93588631360374552</c:v>
                </c:pt>
                <c:pt idx="611">
                  <c:v>-0.65335738009355948</c:v>
                </c:pt>
                <c:pt idx="612">
                  <c:v>0.14786205536187877</c:v>
                </c:pt>
                <c:pt idx="613">
                  <c:v>-2.0596280888754812</c:v>
                </c:pt>
                <c:pt idx="614">
                  <c:v>-0.17080995254683931</c:v>
                </c:pt>
                <c:pt idx="615">
                  <c:v>0.54456979555442098</c:v>
                </c:pt>
                <c:pt idx="616">
                  <c:v>-1.3411793451802045E-2</c:v>
                </c:pt>
                <c:pt idx="617">
                  <c:v>1.2276455299818283</c:v>
                </c:pt>
                <c:pt idx="618">
                  <c:v>2.2141994620124796</c:v>
                </c:pt>
                <c:pt idx="619">
                  <c:v>-0.14460351003248897</c:v>
                </c:pt>
                <c:pt idx="620">
                  <c:v>1.5059653343644221</c:v>
                </c:pt>
                <c:pt idx="621">
                  <c:v>0.48282896975437828</c:v>
                </c:pt>
                <c:pt idx="622">
                  <c:v>0.37201535371100114</c:v>
                </c:pt>
                <c:pt idx="623">
                  <c:v>-0.5167778869542361</c:v>
                </c:pt>
                <c:pt idx="624">
                  <c:v>1.0198549665198011</c:v>
                </c:pt>
                <c:pt idx="625">
                  <c:v>-2.650278243977132</c:v>
                </c:pt>
                <c:pt idx="626">
                  <c:v>-1.6745597067224012E-2</c:v>
                </c:pt>
                <c:pt idx="627">
                  <c:v>0.73756391344358596</c:v>
                </c:pt>
                <c:pt idx="628">
                  <c:v>-2.0922357903442386</c:v>
                </c:pt>
                <c:pt idx="629">
                  <c:v>0.59790468095579663</c:v>
                </c:pt>
                <c:pt idx="630">
                  <c:v>-0.7316424061879353</c:v>
                </c:pt>
                <c:pt idx="631">
                  <c:v>1.7985036137086032</c:v>
                </c:pt>
                <c:pt idx="632">
                  <c:v>1.9097955160522682E-2</c:v>
                </c:pt>
                <c:pt idx="633">
                  <c:v>-1.2139717757168003</c:v>
                </c:pt>
                <c:pt idx="634">
                  <c:v>-0.39091147336971482</c:v>
                </c:pt>
                <c:pt idx="635">
                  <c:v>0.17198362316940405</c:v>
                </c:pt>
                <c:pt idx="636">
                  <c:v>-0.60708023853960924</c:v>
                </c:pt>
                <c:pt idx="637">
                  <c:v>-0.79157225955207422</c:v>
                </c:pt>
                <c:pt idx="638">
                  <c:v>0.71429333444573451</c:v>
                </c:pt>
                <c:pt idx="639">
                  <c:v>0.28083547837394229</c:v>
                </c:pt>
                <c:pt idx="640">
                  <c:v>-0.52817489570139486</c:v>
                </c:pt>
                <c:pt idx="641">
                  <c:v>1.9085310869164382</c:v>
                </c:pt>
                <c:pt idx="642">
                  <c:v>1.6280867281431792</c:v>
                </c:pt>
                <c:pt idx="643">
                  <c:v>0.31364803321088475</c:v>
                </c:pt>
                <c:pt idx="644">
                  <c:v>0.65821101787374858</c:v>
                </c:pt>
                <c:pt idx="645">
                  <c:v>0.1325351088761329</c:v>
                </c:pt>
                <c:pt idx="646">
                  <c:v>-0.18323478086889766</c:v>
                </c:pt>
                <c:pt idx="647">
                  <c:v>0.66505467682755215</c:v>
                </c:pt>
                <c:pt idx="648">
                  <c:v>0.99247771358997428</c:v>
                </c:pt>
                <c:pt idx="649">
                  <c:v>0.1884235412126872</c:v>
                </c:pt>
                <c:pt idx="650">
                  <c:v>-1.4648965388586765</c:v>
                </c:pt>
                <c:pt idx="651">
                  <c:v>1.1653211775815988</c:v>
                </c:pt>
                <c:pt idx="652">
                  <c:v>3.0230339793373449</c:v>
                </c:pt>
                <c:pt idx="653">
                  <c:v>0.48236301862113035</c:v>
                </c:pt>
                <c:pt idx="654">
                  <c:v>-0.47724468235271966</c:v>
                </c:pt>
                <c:pt idx="655">
                  <c:v>-5.1399780795871687E-2</c:v>
                </c:pt>
                <c:pt idx="656">
                  <c:v>0.20889123255764536</c:v>
                </c:pt>
                <c:pt idx="657">
                  <c:v>-0.280483430825825</c:v>
                </c:pt>
                <c:pt idx="658">
                  <c:v>-0.38445420088152005</c:v>
                </c:pt>
                <c:pt idx="659">
                  <c:v>1.0778258650551709</c:v>
                </c:pt>
                <c:pt idx="660">
                  <c:v>7.1610875120083517E-2</c:v>
                </c:pt>
                <c:pt idx="661">
                  <c:v>-1.1877727822050266</c:v>
                </c:pt>
                <c:pt idx="662">
                  <c:v>0.46121098198546207</c:v>
                </c:pt>
                <c:pt idx="663">
                  <c:v>0.70076258022087123</c:v>
                </c:pt>
                <c:pt idx="664">
                  <c:v>0.62936849725978472</c:v>
                </c:pt>
                <c:pt idx="665">
                  <c:v>-0.90436308547803634</c:v>
                </c:pt>
                <c:pt idx="666">
                  <c:v>0.93456490877067433</c:v>
                </c:pt>
                <c:pt idx="667">
                  <c:v>0.66223015420504661</c:v>
                </c:pt>
                <c:pt idx="668">
                  <c:v>1.599957381040231</c:v>
                </c:pt>
                <c:pt idx="669">
                  <c:v>0.19206589910241473</c:v>
                </c:pt>
                <c:pt idx="670">
                  <c:v>-0.51432759422070529</c:v>
                </c:pt>
                <c:pt idx="671">
                  <c:v>1.7262291123852234</c:v>
                </c:pt>
                <c:pt idx="672">
                  <c:v>1.4364179860851525</c:v>
                </c:pt>
                <c:pt idx="673">
                  <c:v>-0.68724424999698797</c:v>
                </c:pt>
                <c:pt idx="674">
                  <c:v>0.73141023892855916</c:v>
                </c:pt>
                <c:pt idx="675">
                  <c:v>1.2003936519365632</c:v>
                </c:pt>
                <c:pt idx="676">
                  <c:v>0.79812251998833716</c:v>
                </c:pt>
                <c:pt idx="677">
                  <c:v>-1.8277265723096137</c:v>
                </c:pt>
                <c:pt idx="678">
                  <c:v>-0.47486607570965561</c:v>
                </c:pt>
                <c:pt idx="679">
                  <c:v>0.49752951986575816</c:v>
                </c:pt>
                <c:pt idx="680">
                  <c:v>0.74669259015344203</c:v>
                </c:pt>
                <c:pt idx="681">
                  <c:v>1.1556818213530375</c:v>
                </c:pt>
                <c:pt idx="682">
                  <c:v>-0.58568229205463751</c:v>
                </c:pt>
                <c:pt idx="683">
                  <c:v>1.0295083917906531</c:v>
                </c:pt>
                <c:pt idx="684">
                  <c:v>-1.2640883658979285</c:v>
                </c:pt>
                <c:pt idx="685">
                  <c:v>0.52291698108663742</c:v>
                </c:pt>
                <c:pt idx="686">
                  <c:v>0.65278591575059797</c:v>
                </c:pt>
                <c:pt idx="687">
                  <c:v>-1.1025882807896974</c:v>
                </c:pt>
                <c:pt idx="688">
                  <c:v>0.28987322764978529</c:v>
                </c:pt>
                <c:pt idx="689">
                  <c:v>0.10906464076401891</c:v>
                </c:pt>
                <c:pt idx="690">
                  <c:v>0.10725221616469956</c:v>
                </c:pt>
                <c:pt idx="691">
                  <c:v>-0.99906439336794517</c:v>
                </c:pt>
                <c:pt idx="692">
                  <c:v>0.92012972423427064</c:v>
                </c:pt>
                <c:pt idx="693">
                  <c:v>-0.97062712943855345</c:v>
                </c:pt>
                <c:pt idx="694">
                  <c:v>1.1253379877508261</c:v>
                </c:pt>
                <c:pt idx="695">
                  <c:v>-1.2080921341813065</c:v>
                </c:pt>
                <c:pt idx="696">
                  <c:v>-0.84586192560270934</c:v>
                </c:pt>
                <c:pt idx="697">
                  <c:v>-0.18549910891167884</c:v>
                </c:pt>
                <c:pt idx="698">
                  <c:v>-0.26807684889897321</c:v>
                </c:pt>
                <c:pt idx="699">
                  <c:v>7.2396153589289622E-2</c:v>
                </c:pt>
                <c:pt idx="700">
                  <c:v>1.1739210929028554</c:v>
                </c:pt>
                <c:pt idx="701">
                  <c:v>-0.32921413036653535</c:v>
                </c:pt>
                <c:pt idx="702">
                  <c:v>-0.74843298618102694</c:v>
                </c:pt>
                <c:pt idx="703">
                  <c:v>-0.79297608272696662</c:v>
                </c:pt>
                <c:pt idx="704">
                  <c:v>-0.81423228722389385</c:v>
                </c:pt>
                <c:pt idx="705">
                  <c:v>0.52289997658179377</c:v>
                </c:pt>
                <c:pt idx="706">
                  <c:v>0.89537088233070439</c:v>
                </c:pt>
                <c:pt idx="707">
                  <c:v>-1.4853221914159245</c:v>
                </c:pt>
                <c:pt idx="708">
                  <c:v>0.35822613921919161</c:v>
                </c:pt>
                <c:pt idx="709">
                  <c:v>2.0537667641230324</c:v>
                </c:pt>
                <c:pt idx="710">
                  <c:v>2.4747256973519458</c:v>
                </c:pt>
                <c:pt idx="711">
                  <c:v>-0.43497251002699333</c:v>
                </c:pt>
                <c:pt idx="712">
                  <c:v>-0.48535556588886608</c:v>
                </c:pt>
                <c:pt idx="713">
                  <c:v>0.41083471954547257</c:v>
                </c:pt>
                <c:pt idx="714">
                  <c:v>-0.22465255141651083</c:v>
                </c:pt>
                <c:pt idx="715">
                  <c:v>-2.2305345699333263</c:v>
                </c:pt>
                <c:pt idx="716">
                  <c:v>0.37372196637328881</c:v>
                </c:pt>
                <c:pt idx="717">
                  <c:v>-1.0000887994787935</c:v>
                </c:pt>
                <c:pt idx="718">
                  <c:v>-0.22970161579114859</c:v>
                </c:pt>
                <c:pt idx="719">
                  <c:v>-6.6460267712234858E-2</c:v>
                </c:pt>
                <c:pt idx="720">
                  <c:v>0.54842929944994123</c:v>
                </c:pt>
                <c:pt idx="721">
                  <c:v>4.1007184513731892E-2</c:v>
                </c:pt>
                <c:pt idx="722">
                  <c:v>0.33465914408418901</c:v>
                </c:pt>
                <c:pt idx="723">
                  <c:v>-0.66246744222536935</c:v>
                </c:pt>
                <c:pt idx="724">
                  <c:v>0.14982995840180463</c:v>
                </c:pt>
                <c:pt idx="725">
                  <c:v>-4.9929231770851221E-2</c:v>
                </c:pt>
                <c:pt idx="726">
                  <c:v>0.56040621462955809</c:v>
                </c:pt>
                <c:pt idx="727">
                  <c:v>1.9652728068428995</c:v>
                </c:pt>
                <c:pt idx="728">
                  <c:v>-0.58780692031008874</c:v>
                </c:pt>
                <c:pt idx="729">
                  <c:v>0.65629177985506326</c:v>
                </c:pt>
                <c:pt idx="730">
                  <c:v>-1.3593697856386615</c:v>
                </c:pt>
                <c:pt idx="731">
                  <c:v>0.33235288851329037</c:v>
                </c:pt>
                <c:pt idx="732">
                  <c:v>-0.94482436000197612</c:v>
                </c:pt>
                <c:pt idx="733">
                  <c:v>-2.2045646616941998</c:v>
                </c:pt>
                <c:pt idx="734">
                  <c:v>0.41958446842180286</c:v>
                </c:pt>
                <c:pt idx="735">
                  <c:v>-1.5781954612002185</c:v>
                </c:pt>
                <c:pt idx="736">
                  <c:v>0.41888989185207198</c:v>
                </c:pt>
                <c:pt idx="737">
                  <c:v>0.8990553127032973</c:v>
                </c:pt>
                <c:pt idx="738">
                  <c:v>1.0981423794955449</c:v>
                </c:pt>
                <c:pt idx="739">
                  <c:v>1.2817291892834632</c:v>
                </c:pt>
                <c:pt idx="740">
                  <c:v>0.78607339055216841</c:v>
                </c:pt>
                <c:pt idx="741">
                  <c:v>0.43875577120288339</c:v>
                </c:pt>
                <c:pt idx="742">
                  <c:v>-0.38325214969125104</c:v>
                </c:pt>
                <c:pt idx="743">
                  <c:v>0.47111997255541471</c:v>
                </c:pt>
                <c:pt idx="744">
                  <c:v>-1.2473974458576418</c:v>
                </c:pt>
                <c:pt idx="745">
                  <c:v>-0.29430122935591646</c:v>
                </c:pt>
                <c:pt idx="746">
                  <c:v>1.8142787543682932</c:v>
                </c:pt>
                <c:pt idx="747">
                  <c:v>-1.4294601263136273</c:v>
                </c:pt>
                <c:pt idx="748">
                  <c:v>-1.2066454012134524</c:v>
                </c:pt>
                <c:pt idx="749">
                  <c:v>-0.23557515082553598</c:v>
                </c:pt>
                <c:pt idx="750">
                  <c:v>-0.94245617093895606</c:v>
                </c:pt>
                <c:pt idx="751">
                  <c:v>-0.20519634696075434</c:v>
                </c:pt>
                <c:pt idx="752">
                  <c:v>-3.0138476585153318</c:v>
                </c:pt>
                <c:pt idx="753">
                  <c:v>0.4767415803299655</c:v>
                </c:pt>
                <c:pt idx="754">
                  <c:v>-0.26246246605112056</c:v>
                </c:pt>
                <c:pt idx="755">
                  <c:v>-0.56624283088462313</c:v>
                </c:pt>
                <c:pt idx="756">
                  <c:v>-1.4984955872511143</c:v>
                </c:pt>
                <c:pt idx="757">
                  <c:v>0.21252536939055405</c:v>
                </c:pt>
                <c:pt idx="758">
                  <c:v>0.60643064428452675</c:v>
                </c:pt>
                <c:pt idx="759">
                  <c:v>-0.34416551323150263</c:v>
                </c:pt>
                <c:pt idx="760">
                  <c:v>-0.37989658034528567</c:v>
                </c:pt>
                <c:pt idx="761">
                  <c:v>2.5570417920856396</c:v>
                </c:pt>
                <c:pt idx="762">
                  <c:v>-0.33734109150714825</c:v>
                </c:pt>
                <c:pt idx="763">
                  <c:v>2.2376421628767988</c:v>
                </c:pt>
                <c:pt idx="764">
                  <c:v>8.4417334277592931E-2</c:v>
                </c:pt>
                <c:pt idx="765">
                  <c:v>1.1643401981443771</c:v>
                </c:pt>
                <c:pt idx="766">
                  <c:v>-0.60025283628232129</c:v>
                </c:pt>
                <c:pt idx="767">
                  <c:v>-0.82488407446316792</c:v>
                </c:pt>
                <c:pt idx="768">
                  <c:v>0.84586214351319089</c:v>
                </c:pt>
                <c:pt idx="769">
                  <c:v>0.95761778764001793</c:v>
                </c:pt>
                <c:pt idx="770">
                  <c:v>0.22246112590049547</c:v>
                </c:pt>
                <c:pt idx="771">
                  <c:v>0.37784824697550928</c:v>
                </c:pt>
                <c:pt idx="772">
                  <c:v>-0.17296792497096186</c:v>
                </c:pt>
                <c:pt idx="773">
                  <c:v>-1.7942330658314704E-2</c:v>
                </c:pt>
                <c:pt idx="774">
                  <c:v>-0.53563252809312922</c:v>
                </c:pt>
                <c:pt idx="775">
                  <c:v>0.4080937432092262</c:v>
                </c:pt>
                <c:pt idx="776">
                  <c:v>-0.72826874128819619</c:v>
                </c:pt>
                <c:pt idx="777">
                  <c:v>0.56375818126106569</c:v>
                </c:pt>
                <c:pt idx="778">
                  <c:v>0.28212427834627085</c:v>
                </c:pt>
                <c:pt idx="779">
                  <c:v>-0.5457177745659002</c:v>
                </c:pt>
                <c:pt idx="780">
                  <c:v>1.4494665741440589</c:v>
                </c:pt>
                <c:pt idx="781">
                  <c:v>-0.84262886736580411</c:v>
                </c:pt>
                <c:pt idx="782">
                  <c:v>-9.202416600360859E-2</c:v>
                </c:pt>
                <c:pt idx="783">
                  <c:v>0.71087848794508235</c:v>
                </c:pt>
                <c:pt idx="784">
                  <c:v>-0.18390891384869343</c:v>
                </c:pt>
                <c:pt idx="785">
                  <c:v>1.2538396460207306</c:v>
                </c:pt>
                <c:pt idx="786">
                  <c:v>0.16940044855018407</c:v>
                </c:pt>
                <c:pt idx="787">
                  <c:v>0.51071079192258029</c:v>
                </c:pt>
                <c:pt idx="788">
                  <c:v>0.27431061351010705</c:v>
                </c:pt>
                <c:pt idx="789">
                  <c:v>-2.890258983582868E-2</c:v>
                </c:pt>
                <c:pt idx="790">
                  <c:v>1.5411304951937193</c:v>
                </c:pt>
                <c:pt idx="791">
                  <c:v>0.43654246120666629</c:v>
                </c:pt>
                <c:pt idx="792">
                  <c:v>1.2084773277173533</c:v>
                </c:pt>
                <c:pt idx="793">
                  <c:v>-0.75274694387577523</c:v>
                </c:pt>
                <c:pt idx="794">
                  <c:v>0.56172631648444893</c:v>
                </c:pt>
                <c:pt idx="795">
                  <c:v>-1.233664528124081</c:v>
                </c:pt>
                <c:pt idx="796">
                  <c:v>0.72037243035575915</c:v>
                </c:pt>
                <c:pt idx="797">
                  <c:v>1.0866422910882627</c:v>
                </c:pt>
                <c:pt idx="798">
                  <c:v>0.83811916587310931</c:v>
                </c:pt>
                <c:pt idx="799">
                  <c:v>-0.18545314793875739</c:v>
                </c:pt>
                <c:pt idx="800">
                  <c:v>-1.1889988552204231</c:v>
                </c:pt>
                <c:pt idx="801">
                  <c:v>0.73678870394204266</c:v>
                </c:pt>
                <c:pt idx="802">
                  <c:v>-0.2455543823726975</c:v>
                </c:pt>
                <c:pt idx="803">
                  <c:v>-9.0708712572866002E-2</c:v>
                </c:pt>
                <c:pt idx="804">
                  <c:v>-9.3995781970437342E-2</c:v>
                </c:pt>
                <c:pt idx="805">
                  <c:v>-0.42768617904148371</c:v>
                </c:pt>
                <c:pt idx="806">
                  <c:v>0.85416838309158583</c:v>
                </c:pt>
                <c:pt idx="807">
                  <c:v>0.79552413549254741</c:v>
                </c:pt>
                <c:pt idx="808">
                  <c:v>0.84849275973122751</c:v>
                </c:pt>
                <c:pt idx="809">
                  <c:v>0.85135741531524867</c:v>
                </c:pt>
                <c:pt idx="810">
                  <c:v>-9.6375158626898303E-3</c:v>
                </c:pt>
                <c:pt idx="811">
                  <c:v>-0.78507087778488882</c:v>
                </c:pt>
                <c:pt idx="812">
                  <c:v>-0.71855615462673472</c:v>
                </c:pt>
                <c:pt idx="813">
                  <c:v>1.0969831033751989</c:v>
                </c:pt>
                <c:pt idx="814">
                  <c:v>-0.81899899258338971</c:v>
                </c:pt>
                <c:pt idx="815">
                  <c:v>-0.91737146709617556</c:v>
                </c:pt>
                <c:pt idx="816">
                  <c:v>1.5666107862534551</c:v>
                </c:pt>
                <c:pt idx="817">
                  <c:v>-0.77113563345686775</c:v>
                </c:pt>
                <c:pt idx="818">
                  <c:v>-0.54628443917358926</c:v>
                </c:pt>
                <c:pt idx="819">
                  <c:v>-0.81532385674449837</c:v>
                </c:pt>
                <c:pt idx="820">
                  <c:v>-1.5030496110614067</c:v>
                </c:pt>
                <c:pt idx="821">
                  <c:v>-0.14404067660872991</c:v>
                </c:pt>
                <c:pt idx="822">
                  <c:v>-1.4052309319006773</c:v>
                </c:pt>
                <c:pt idx="823">
                  <c:v>0.95655056759788504</c:v>
                </c:pt>
                <c:pt idx="824">
                  <c:v>-0.40722382986219485</c:v>
                </c:pt>
                <c:pt idx="825">
                  <c:v>-0.86736713259576137</c:v>
                </c:pt>
                <c:pt idx="826">
                  <c:v>0.56151099992068898</c:v>
                </c:pt>
                <c:pt idx="827">
                  <c:v>-2.3407187215287215</c:v>
                </c:pt>
                <c:pt idx="828">
                  <c:v>-0.2482563113424073</c:v>
                </c:pt>
                <c:pt idx="829">
                  <c:v>0.3392688402052646</c:v>
                </c:pt>
                <c:pt idx="830">
                  <c:v>0.96427944253834075</c:v>
                </c:pt>
                <c:pt idx="831">
                  <c:v>0.5319856316402154</c:v>
                </c:pt>
                <c:pt idx="832">
                  <c:v>0.59365243501805598</c:v>
                </c:pt>
                <c:pt idx="833">
                  <c:v>-1.8285638511490077</c:v>
                </c:pt>
                <c:pt idx="834">
                  <c:v>-1.1835687416667431</c:v>
                </c:pt>
                <c:pt idx="835">
                  <c:v>0.18212553814292018</c:v>
                </c:pt>
                <c:pt idx="836">
                  <c:v>-0.12195007232623309</c:v>
                </c:pt>
                <c:pt idx="837">
                  <c:v>0.44737989625116426</c:v>
                </c:pt>
                <c:pt idx="838">
                  <c:v>0.46363049134071088</c:v>
                </c:pt>
                <c:pt idx="839">
                  <c:v>-0.21667755126053964</c:v>
                </c:pt>
                <c:pt idx="840">
                  <c:v>9.5672930908769244E-2</c:v>
                </c:pt>
                <c:pt idx="841">
                  <c:v>-0.44638724661982221</c:v>
                </c:pt>
                <c:pt idx="842">
                  <c:v>1.5979686903127515</c:v>
                </c:pt>
                <c:pt idx="843">
                  <c:v>-0.77349287238252007</c:v>
                </c:pt>
                <c:pt idx="844">
                  <c:v>-1.4884832505963745</c:v>
                </c:pt>
                <c:pt idx="845">
                  <c:v>-0.2348536491667701</c:v>
                </c:pt>
                <c:pt idx="846">
                  <c:v>-0.28106795452413375</c:v>
                </c:pt>
                <c:pt idx="847">
                  <c:v>-0.23582794929112894</c:v>
                </c:pt>
                <c:pt idx="848">
                  <c:v>1.7616558485581371</c:v>
                </c:pt>
                <c:pt idx="849">
                  <c:v>-0.23617307861326381</c:v>
                </c:pt>
                <c:pt idx="850">
                  <c:v>-0.63905322465348036</c:v>
                </c:pt>
                <c:pt idx="851">
                  <c:v>-2.1889629785114084</c:v>
                </c:pt>
                <c:pt idx="852">
                  <c:v>-0.10582234901062339</c:v>
                </c:pt>
                <c:pt idx="853">
                  <c:v>-0.96672208217607714</c:v>
                </c:pt>
                <c:pt idx="854">
                  <c:v>-1.9228343854436192</c:v>
                </c:pt>
                <c:pt idx="855">
                  <c:v>-1.7872721998677956</c:v>
                </c:pt>
                <c:pt idx="856">
                  <c:v>-0.42226572017561959</c:v>
                </c:pt>
                <c:pt idx="857">
                  <c:v>-2.1817872217863656</c:v>
                </c:pt>
                <c:pt idx="858">
                  <c:v>-1.0563055696179311</c:v>
                </c:pt>
                <c:pt idx="859">
                  <c:v>-0.58037695746851647</c:v>
                </c:pt>
                <c:pt idx="860">
                  <c:v>1.2713903947220511</c:v>
                </c:pt>
                <c:pt idx="861">
                  <c:v>0.46351263881069721</c:v>
                </c:pt>
                <c:pt idx="862">
                  <c:v>-0.73951063129959971</c:v>
                </c:pt>
                <c:pt idx="863">
                  <c:v>-0.84325320389860581</c:v>
                </c:pt>
                <c:pt idx="864">
                  <c:v>6.9772329500086532E-3</c:v>
                </c:pt>
                <c:pt idx="865">
                  <c:v>-1.2264362745721029</c:v>
                </c:pt>
                <c:pt idx="866">
                  <c:v>0.29451138200768306</c:v>
                </c:pt>
                <c:pt idx="867">
                  <c:v>-0.5569526070120745</c:v>
                </c:pt>
                <c:pt idx="868">
                  <c:v>7.9870028549843083E-2</c:v>
                </c:pt>
                <c:pt idx="869">
                  <c:v>0.56610962414748078</c:v>
                </c:pt>
                <c:pt idx="870">
                  <c:v>-1.4478254595592883</c:v>
                </c:pt>
                <c:pt idx="871">
                  <c:v>0.3678594185696385</c:v>
                </c:pt>
                <c:pt idx="872">
                  <c:v>0.88669269024946629</c:v>
                </c:pt>
                <c:pt idx="873">
                  <c:v>0.3887695282240613</c:v>
                </c:pt>
                <c:pt idx="874">
                  <c:v>-1.4289848276291708</c:v>
                </c:pt>
                <c:pt idx="875">
                  <c:v>0.68044543304256266</c:v>
                </c:pt>
                <c:pt idx="876">
                  <c:v>0.1697717981531498</c:v>
                </c:pt>
                <c:pt idx="877">
                  <c:v>1.0240735731063553</c:v>
                </c:pt>
                <c:pt idx="878">
                  <c:v>0.54306739485519362</c:v>
                </c:pt>
                <c:pt idx="879">
                  <c:v>0.34963171366607687</c:v>
                </c:pt>
                <c:pt idx="880">
                  <c:v>0.33173147203602182</c:v>
                </c:pt>
                <c:pt idx="881">
                  <c:v>-1.1354432823968628</c:v>
                </c:pt>
                <c:pt idx="882">
                  <c:v>0.51251903509288343</c:v>
                </c:pt>
                <c:pt idx="883">
                  <c:v>-1.4225655496219116</c:v>
                </c:pt>
                <c:pt idx="884">
                  <c:v>-0.29326266102526749</c:v>
                </c:pt>
                <c:pt idx="885">
                  <c:v>0.13603800800407498</c:v>
                </c:pt>
                <c:pt idx="886">
                  <c:v>-4.8014770949254507E-2</c:v>
                </c:pt>
                <c:pt idx="887">
                  <c:v>-2.8323476207207334</c:v>
                </c:pt>
                <c:pt idx="888">
                  <c:v>1.3151362396583752</c:v>
                </c:pt>
                <c:pt idx="889">
                  <c:v>-0.69869689230555898</c:v>
                </c:pt>
                <c:pt idx="890">
                  <c:v>0.52306274453047474</c:v>
                </c:pt>
                <c:pt idx="891">
                  <c:v>-0.14480919550453214</c:v>
                </c:pt>
                <c:pt idx="892">
                  <c:v>-2.7521342504972681</c:v>
                </c:pt>
                <c:pt idx="893">
                  <c:v>0.92440657249301805</c:v>
                </c:pt>
                <c:pt idx="894">
                  <c:v>-0.4847640430011812</c:v>
                </c:pt>
                <c:pt idx="895">
                  <c:v>-0.24418422267355974</c:v>
                </c:pt>
                <c:pt idx="896">
                  <c:v>-0.21720441782722016</c:v>
                </c:pt>
                <c:pt idx="897">
                  <c:v>-1.6110127113534782</c:v>
                </c:pt>
                <c:pt idx="898">
                  <c:v>0.28134139502004479</c:v>
                </c:pt>
                <c:pt idx="899">
                  <c:v>1.5655237157522686</c:v>
                </c:pt>
                <c:pt idx="900">
                  <c:v>0.18319505121497501</c:v>
                </c:pt>
                <c:pt idx="901">
                  <c:v>0.63643826866884712</c:v>
                </c:pt>
                <c:pt idx="902">
                  <c:v>0.95674852191499038</c:v>
                </c:pt>
                <c:pt idx="903">
                  <c:v>0.14709876367207084</c:v>
                </c:pt>
                <c:pt idx="904">
                  <c:v>-1.5338508828775528</c:v>
                </c:pt>
                <c:pt idx="905">
                  <c:v>-0.52879567401687089</c:v>
                </c:pt>
                <c:pt idx="906">
                  <c:v>1.1287968476648305</c:v>
                </c:pt>
                <c:pt idx="907">
                  <c:v>1.833005345868598E-3</c:v>
                </c:pt>
                <c:pt idx="908">
                  <c:v>1.5134592570522962</c:v>
                </c:pt>
                <c:pt idx="909">
                  <c:v>-0.98487520885024438</c:v>
                </c:pt>
                <c:pt idx="910">
                  <c:v>0.11282847946526084</c:v>
                </c:pt>
                <c:pt idx="911">
                  <c:v>5.587740681112361E-2</c:v>
                </c:pt>
                <c:pt idx="912">
                  <c:v>0.94822026843708218</c:v>
                </c:pt>
                <c:pt idx="913">
                  <c:v>-1.2287388880598737</c:v>
                </c:pt>
                <c:pt idx="914">
                  <c:v>2.9564358973052731</c:v>
                </c:pt>
                <c:pt idx="915">
                  <c:v>0.46588837772464625</c:v>
                </c:pt>
                <c:pt idx="916">
                  <c:v>0.61841031620207887</c:v>
                </c:pt>
                <c:pt idx="917">
                  <c:v>2.0188153654212757E-2</c:v>
                </c:pt>
                <c:pt idx="918">
                  <c:v>0.94480213519798828</c:v>
                </c:pt>
                <c:pt idx="919">
                  <c:v>-0.1247367485613297</c:v>
                </c:pt>
                <c:pt idx="920">
                  <c:v>-0.86451590121633493</c:v>
                </c:pt>
                <c:pt idx="921">
                  <c:v>-1.6655159224131377</c:v>
                </c:pt>
                <c:pt idx="922">
                  <c:v>-0.53110414099900827</c:v>
                </c:pt>
                <c:pt idx="923">
                  <c:v>0.83761546132363207</c:v>
                </c:pt>
                <c:pt idx="924">
                  <c:v>0.95915913873185998</c:v>
                </c:pt>
                <c:pt idx="925">
                  <c:v>2.6089781015188498</c:v>
                </c:pt>
                <c:pt idx="926">
                  <c:v>0.5855531077544881</c:v>
                </c:pt>
                <c:pt idx="927">
                  <c:v>1.7549242866595771</c:v>
                </c:pt>
                <c:pt idx="928">
                  <c:v>1.4310824147348609</c:v>
                </c:pt>
                <c:pt idx="929">
                  <c:v>1.0183352470103548</c:v>
                </c:pt>
                <c:pt idx="930">
                  <c:v>1.6560132909102954</c:v>
                </c:pt>
                <c:pt idx="931">
                  <c:v>0.49764512142441086</c:v>
                </c:pt>
                <c:pt idx="932">
                  <c:v>0.45565912035385386</c:v>
                </c:pt>
                <c:pt idx="933">
                  <c:v>-0.22972254758234076</c:v>
                </c:pt>
                <c:pt idx="934">
                  <c:v>-1.770022626612906</c:v>
                </c:pt>
                <c:pt idx="935">
                  <c:v>9.6216282721346524E-2</c:v>
                </c:pt>
                <c:pt idx="936">
                  <c:v>-5.681643861661953E-2</c:v>
                </c:pt>
                <c:pt idx="937">
                  <c:v>-0.28901071381968435</c:v>
                </c:pt>
                <c:pt idx="938">
                  <c:v>-1.1718438317074005</c:v>
                </c:pt>
                <c:pt idx="939">
                  <c:v>1.6003731775263699</c:v>
                </c:pt>
                <c:pt idx="940">
                  <c:v>1.3712806921573442</c:v>
                </c:pt>
                <c:pt idx="941">
                  <c:v>1.3408397558578256</c:v>
                </c:pt>
                <c:pt idx="942">
                  <c:v>-1.7591001382481777</c:v>
                </c:pt>
                <c:pt idx="943">
                  <c:v>-7.7659264506666326E-2</c:v>
                </c:pt>
                <c:pt idx="944">
                  <c:v>-0.63128653601925167</c:v>
                </c:pt>
                <c:pt idx="945">
                  <c:v>-0.91457872860884115</c:v>
                </c:pt>
                <c:pt idx="946">
                  <c:v>1.3540788352762643</c:v>
                </c:pt>
                <c:pt idx="947">
                  <c:v>1.0882173740430467</c:v>
                </c:pt>
                <c:pt idx="948">
                  <c:v>-1.853244188582603</c:v>
                </c:pt>
                <c:pt idx="949">
                  <c:v>-0.57314094144251437</c:v>
                </c:pt>
                <c:pt idx="950">
                  <c:v>-9.8648549354476839E-2</c:v>
                </c:pt>
                <c:pt idx="951">
                  <c:v>0.25238055565713369</c:v>
                </c:pt>
                <c:pt idx="952">
                  <c:v>0.93469956149232092</c:v>
                </c:pt>
                <c:pt idx="953">
                  <c:v>-0.24192793824669959</c:v>
                </c:pt>
                <c:pt idx="954">
                  <c:v>-0.57352561691042647</c:v>
                </c:pt>
                <c:pt idx="955">
                  <c:v>-0.49650624070774052</c:v>
                </c:pt>
                <c:pt idx="956">
                  <c:v>1.0031214357672547</c:v>
                </c:pt>
                <c:pt idx="957">
                  <c:v>-0.45619310897598653</c:v>
                </c:pt>
                <c:pt idx="958">
                  <c:v>-2.2501778505687748</c:v>
                </c:pt>
                <c:pt idx="959">
                  <c:v>1.0415921172036788</c:v>
                </c:pt>
                <c:pt idx="960">
                  <c:v>4.7118489590359643E-2</c:v>
                </c:pt>
                <c:pt idx="961">
                  <c:v>-0.30989813929632221</c:v>
                </c:pt>
                <c:pt idx="962">
                  <c:v>0.12296886662183955</c:v>
                </c:pt>
                <c:pt idx="963">
                  <c:v>0.17238068529017236</c:v>
                </c:pt>
                <c:pt idx="964">
                  <c:v>1.206572956926719</c:v>
                </c:pt>
                <c:pt idx="965">
                  <c:v>2.1777044295934259E-2</c:v>
                </c:pt>
                <c:pt idx="966">
                  <c:v>-1.1097113774724405</c:v>
                </c:pt>
                <c:pt idx="967">
                  <c:v>1.0549063963947178</c:v>
                </c:pt>
                <c:pt idx="968">
                  <c:v>0.14717315234566808</c:v>
                </c:pt>
                <c:pt idx="969">
                  <c:v>0.64369451324280869</c:v>
                </c:pt>
                <c:pt idx="970">
                  <c:v>-0.75374903570251472</c:v>
                </c:pt>
                <c:pt idx="971">
                  <c:v>-0.28885701667558883</c:v>
                </c:pt>
                <c:pt idx="972">
                  <c:v>1.4862807369054629</c:v>
                </c:pt>
                <c:pt idx="973">
                  <c:v>-0.68720801711915225</c:v>
                </c:pt>
                <c:pt idx="974">
                  <c:v>7.6466725960497625E-2</c:v>
                </c:pt>
                <c:pt idx="975">
                  <c:v>-2.872763184273714</c:v>
                </c:pt>
                <c:pt idx="976">
                  <c:v>-0.37745788257038948</c:v>
                </c:pt>
                <c:pt idx="977">
                  <c:v>-0.36127909885807952</c:v>
                </c:pt>
                <c:pt idx="978">
                  <c:v>0.54887974796227357</c:v>
                </c:pt>
                <c:pt idx="979">
                  <c:v>1.6962757783812401</c:v>
                </c:pt>
                <c:pt idx="980">
                  <c:v>0.24426637586453825</c:v>
                </c:pt>
                <c:pt idx="981">
                  <c:v>-1.1387497762175007</c:v>
                </c:pt>
                <c:pt idx="982">
                  <c:v>-0.48584045292041378</c:v>
                </c:pt>
                <c:pt idx="983">
                  <c:v>6.8418450009240225E-2</c:v>
                </c:pt>
                <c:pt idx="984">
                  <c:v>1.256318855863195</c:v>
                </c:pt>
                <c:pt idx="985">
                  <c:v>1.1998872219141707</c:v>
                </c:pt>
                <c:pt idx="986">
                  <c:v>-1.3447622714395744</c:v>
                </c:pt>
                <c:pt idx="987">
                  <c:v>-0.79412464348863432</c:v>
                </c:pt>
                <c:pt idx="988">
                  <c:v>1.2418377032138384</c:v>
                </c:pt>
                <c:pt idx="989">
                  <c:v>-0.25764439541656742</c:v>
                </c:pt>
                <c:pt idx="990">
                  <c:v>-0.24536870554603568</c:v>
                </c:pt>
                <c:pt idx="991">
                  <c:v>-1.0570500308112265</c:v>
                </c:pt>
                <c:pt idx="992">
                  <c:v>0.42467873317823968</c:v>
                </c:pt>
                <c:pt idx="993">
                  <c:v>1.6574766607792795</c:v>
                </c:pt>
                <c:pt idx="994">
                  <c:v>-0.76124297206557923</c:v>
                </c:pt>
                <c:pt idx="995">
                  <c:v>0.31401218763247535</c:v>
                </c:pt>
                <c:pt idx="996">
                  <c:v>0.55488645862597052</c:v>
                </c:pt>
                <c:pt idx="997">
                  <c:v>-0.43095811780075127</c:v>
                </c:pt>
                <c:pt idx="998">
                  <c:v>5.7670961967801526E-2</c:v>
                </c:pt>
                <c:pt idx="999">
                  <c:v>5.9604204701956216E-2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7B-424D-89B8-BCAFA8F9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448928"/>
        <c:axId val="581449408"/>
      </c:scatterChart>
      <c:valAx>
        <c:axId val="58144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49408"/>
        <c:crosses val="autoZero"/>
        <c:crossBetween val="midCat"/>
      </c:valAx>
      <c:valAx>
        <c:axId val="5814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4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198120</xdr:colOff>
      <xdr:row>8</xdr:row>
      <xdr:rowOff>49530</xdr:rowOff>
    </xdr:from>
    <xdr:to>
      <xdr:col>30</xdr:col>
      <xdr:colOff>426720</xdr:colOff>
      <xdr:row>23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7AAA48-3F62-C224-BD41-FF188340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32</xdr:row>
      <xdr:rowOff>0</xdr:rowOff>
    </xdr:from>
    <xdr:to>
      <xdr:col>29</xdr:col>
      <xdr:colOff>222069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4F69DB-72BC-41F2-87D9-6ACD2B372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16A8-4875-43F6-9394-A5850F188963}">
  <dimension ref="A2:D12"/>
  <sheetViews>
    <sheetView tabSelected="1" workbookViewId="0">
      <selection activeCell="B4" sqref="B4"/>
    </sheetView>
  </sheetViews>
  <sheetFormatPr defaultRowHeight="14.4" x14ac:dyDescent="0.3"/>
  <sheetData>
    <row r="2" spans="1:4" ht="19.8" x14ac:dyDescent="0.4">
      <c r="B2" s="26" t="s">
        <v>21</v>
      </c>
    </row>
    <row r="3" spans="1:4" x14ac:dyDescent="0.3">
      <c r="B3">
        <v>1</v>
      </c>
      <c r="C3" t="s">
        <v>18</v>
      </c>
    </row>
    <row r="4" spans="1:4" x14ac:dyDescent="0.3">
      <c r="B4">
        <v>2</v>
      </c>
      <c r="C4" t="s">
        <v>19</v>
      </c>
    </row>
    <row r="5" spans="1:4" x14ac:dyDescent="0.3">
      <c r="B5">
        <v>3</v>
      </c>
      <c r="C5" t="s">
        <v>20</v>
      </c>
    </row>
    <row r="6" spans="1:4" x14ac:dyDescent="0.3">
      <c r="B6">
        <v>4</v>
      </c>
      <c r="C6" t="s">
        <v>22</v>
      </c>
    </row>
    <row r="7" spans="1:4" x14ac:dyDescent="0.3">
      <c r="B7">
        <v>5</v>
      </c>
      <c r="C7" t="s">
        <v>33</v>
      </c>
    </row>
    <row r="8" spans="1:4" x14ac:dyDescent="0.3">
      <c r="C8" t="s">
        <v>32</v>
      </c>
      <c r="D8" t="s">
        <v>24</v>
      </c>
    </row>
    <row r="9" spans="1:4" x14ac:dyDescent="0.3">
      <c r="C9" t="s">
        <v>23</v>
      </c>
      <c r="D9" s="19" t="s">
        <v>25</v>
      </c>
    </row>
    <row r="10" spans="1:4" x14ac:dyDescent="0.3">
      <c r="C10" t="s">
        <v>26</v>
      </c>
      <c r="D10" s="20" t="s">
        <v>27</v>
      </c>
    </row>
    <row r="11" spans="1:4" x14ac:dyDescent="0.3">
      <c r="C11" t="s">
        <v>30</v>
      </c>
      <c r="D11" t="s">
        <v>31</v>
      </c>
    </row>
    <row r="12" spans="1:4" s="31" customFormat="1" x14ac:dyDescent="0.3">
      <c r="A12"/>
      <c r="B12">
        <v>6</v>
      </c>
      <c r="C12" s="3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"/>
  <sheetViews>
    <sheetView topLeftCell="A4" zoomScale="86" zoomScaleNormal="70" workbookViewId="0">
      <selection activeCell="K4" sqref="K4"/>
    </sheetView>
  </sheetViews>
  <sheetFormatPr defaultRowHeight="14.4" x14ac:dyDescent="0.3"/>
  <cols>
    <col min="9" max="10" width="8.21875" bestFit="1" customWidth="1"/>
    <col min="11" max="11" width="12" bestFit="1" customWidth="1"/>
    <col min="12" max="12" width="13" bestFit="1" customWidth="1"/>
    <col min="13" max="13" width="8.33203125" bestFit="1" customWidth="1"/>
    <col min="16" max="20" width="0" hidden="1" customWidth="1"/>
    <col min="21" max="21" width="12.21875" hidden="1" customWidth="1"/>
    <col min="24" max="24" width="18.88671875" bestFit="1" customWidth="1"/>
  </cols>
  <sheetData>
    <row r="1" spans="1:28" ht="15" thickBot="1" x14ac:dyDescent="0.35">
      <c r="A1" t="s">
        <v>5</v>
      </c>
      <c r="B1">
        <v>100</v>
      </c>
    </row>
    <row r="2" spans="1:28" ht="15" thickBot="1" x14ac:dyDescent="0.35">
      <c r="A2" t="s">
        <v>6</v>
      </c>
      <c r="B2" s="1">
        <v>0.4</v>
      </c>
      <c r="L2" s="10" t="s">
        <v>16</v>
      </c>
      <c r="M2" s="11">
        <f ca="1">AVERAGE(K5:K1004)</f>
        <v>3.92</v>
      </c>
    </row>
    <row r="3" spans="1:28" ht="15" thickBot="1" x14ac:dyDescent="0.35">
      <c r="L3" s="9" t="s">
        <v>17</v>
      </c>
      <c r="M3" s="12">
        <f ca="1">_xlfn.VAR.P(K5:K1004)</f>
        <v>151.03360000000001</v>
      </c>
    </row>
    <row r="4" spans="1:28" ht="26.4" thickBot="1" x14ac:dyDescent="0.55000000000000004">
      <c r="B4" s="21" t="s">
        <v>8</v>
      </c>
      <c r="C4" s="22" t="s">
        <v>9</v>
      </c>
      <c r="D4" s="21" t="s">
        <v>10</v>
      </c>
      <c r="E4" s="22" t="s">
        <v>11</v>
      </c>
      <c r="F4" s="23" t="s">
        <v>12</v>
      </c>
      <c r="G4" s="21" t="s">
        <v>8</v>
      </c>
      <c r="H4" s="22" t="s">
        <v>14</v>
      </c>
      <c r="I4" s="27" t="s">
        <v>3</v>
      </c>
      <c r="J4" s="27" t="s">
        <v>4</v>
      </c>
      <c r="K4" s="28" t="s">
        <v>15</v>
      </c>
      <c r="P4" s="21" t="s">
        <v>2</v>
      </c>
      <c r="Q4" s="23" t="s">
        <v>0</v>
      </c>
      <c r="R4" s="23" t="s">
        <v>1</v>
      </c>
      <c r="S4" s="23" t="s">
        <v>3</v>
      </c>
      <c r="T4" s="23" t="s">
        <v>4</v>
      </c>
      <c r="U4" s="24" t="s">
        <v>7</v>
      </c>
      <c r="X4" s="29" t="s">
        <v>28</v>
      </c>
      <c r="Y4" s="25"/>
      <c r="Z4" s="25"/>
      <c r="AA4" s="25"/>
      <c r="AB4" s="25"/>
    </row>
    <row r="5" spans="1:28" ht="25.8" x14ac:dyDescent="0.5">
      <c r="B5" s="13">
        <f ca="1">RAND()</f>
        <v>0.29669541918942188</v>
      </c>
      <c r="C5" s="14">
        <f ca="1">RAND()</f>
        <v>0.29329324377500565</v>
      </c>
      <c r="D5" s="14">
        <f ca="1">_xlfn.NORM.S.INV(B5)</f>
        <v>-0.53392873809964048</v>
      </c>
      <c r="E5" s="14">
        <f ca="1">_xlfn.NORM.S.INV(C5)</f>
        <v>-0.543789278538093</v>
      </c>
      <c r="F5" s="14">
        <f ca="1">($Y$5*D5)+(SQRT(1-$Y$5^2)*E5)</f>
        <v>-0.7175681154625202</v>
      </c>
      <c r="G5" s="14">
        <f ca="1">_xlfn.NORM.S.DIST(D5,TRUE)</f>
        <v>0.29669541918942177</v>
      </c>
      <c r="H5" s="15">
        <f ca="1">_xlfn.NORM.S.DIST(E5,TRUE)</f>
        <v>0.2932932437750056</v>
      </c>
      <c r="I5" s="14">
        <f ca="1">IF(G5&lt;0.05,1,0)*$B$1*$B$2</f>
        <v>0</v>
      </c>
      <c r="J5" s="14">
        <f ca="1">IF(H5&lt;0.05,1,0)*$B$1*$B$2</f>
        <v>0</v>
      </c>
      <c r="K5" s="15">
        <f ca="1">I5+J5</f>
        <v>0</v>
      </c>
      <c r="P5" s="3">
        <v>1</v>
      </c>
      <c r="Q5" s="4">
        <f ca="1">G5</f>
        <v>0.29669541918942177</v>
      </c>
      <c r="R5" s="4">
        <f ca="1">H5</f>
        <v>0.2932932437750056</v>
      </c>
      <c r="S5" s="4">
        <f ca="1">$B$1*Q5*$B$2</f>
        <v>11.867816767576871</v>
      </c>
      <c r="T5" s="4">
        <f ca="1">$B$1*R5*$B$2</f>
        <v>11.731729751000223</v>
      </c>
      <c r="U5" s="7">
        <f ca="1">S5+T5</f>
        <v>23.599546518577093</v>
      </c>
      <c r="X5" s="2" t="s">
        <v>13</v>
      </c>
      <c r="Y5" s="2">
        <v>0.9</v>
      </c>
    </row>
    <row r="6" spans="1:28" x14ac:dyDescent="0.3">
      <c r="B6" s="13">
        <f t="shared" ref="B6:C69" ca="1" si="0">RAND()</f>
        <v>7.4922248977210781E-2</v>
      </c>
      <c r="C6" s="14">
        <f t="shared" ca="1" si="0"/>
        <v>5.5740907214361313E-2</v>
      </c>
      <c r="D6" s="14">
        <f t="shared" ref="D6:D69" ca="1" si="1">_xlfn.NORM.S.INV(B6)</f>
        <v>-1.4400809502851926</v>
      </c>
      <c r="E6" s="14">
        <f t="shared" ref="E6:E69" ca="1" si="2">_xlfn.NORM.S.INV(C6)</f>
        <v>-1.5915679581123505</v>
      </c>
      <c r="F6" s="14">
        <f t="shared" ref="F6:F69" ca="1" si="3">($Y$5*D6)+(SQRT(1-$Y$5^2)*E6)</f>
        <v>-1.9898212443755843</v>
      </c>
      <c r="G6" s="14">
        <f t="shared" ref="G6:G69" ca="1" si="4">_xlfn.NORM.S.DIST(D6,TRUE)</f>
        <v>7.4922248977210865E-2</v>
      </c>
      <c r="H6" s="15">
        <f t="shared" ref="H6:H69" ca="1" si="5">_xlfn.NORM.S.DIST(E6,TRUE)</f>
        <v>5.574090721436134E-2</v>
      </c>
      <c r="I6" s="14">
        <f ca="1">IF(G6&lt;0.05,1,0)*$B$1*$B$2</f>
        <v>0</v>
      </c>
      <c r="J6" s="14">
        <f ca="1">IF(H6&lt;0.05,1,0)*$B$1*$B$2</f>
        <v>0</v>
      </c>
      <c r="K6" s="15">
        <f t="shared" ref="K6:K69" ca="1" si="6">I6+J6</f>
        <v>0</v>
      </c>
      <c r="P6" s="3">
        <v>2</v>
      </c>
      <c r="Q6" s="4">
        <f t="shared" ref="Q6:Q69" ca="1" si="7">G6</f>
        <v>7.4922248977210865E-2</v>
      </c>
      <c r="R6" s="4">
        <f t="shared" ref="R6:R69" ca="1" si="8">H6</f>
        <v>5.574090721436134E-2</v>
      </c>
      <c r="S6" s="4">
        <f ca="1">$B$1*Q6*$B$2</f>
        <v>2.9968899590884348</v>
      </c>
      <c r="T6" s="4">
        <f ca="1">$B$1*R6*$B$2</f>
        <v>2.2296362885744538</v>
      </c>
      <c r="U6" s="7">
        <f t="shared" ref="U6:U69" ca="1" si="9">S6+T6</f>
        <v>5.2265262476628891</v>
      </c>
    </row>
    <row r="7" spans="1:28" x14ac:dyDescent="0.3">
      <c r="B7" s="13">
        <f t="shared" ca="1" si="0"/>
        <v>0.13886302312201249</v>
      </c>
      <c r="C7" s="14">
        <f t="shared" ca="1" si="0"/>
        <v>0.43158808520532776</v>
      </c>
      <c r="D7" s="14">
        <f t="shared" ca="1" si="1"/>
        <v>-1.0854417576460453</v>
      </c>
      <c r="E7" s="14">
        <f t="shared" ca="1" si="2"/>
        <v>-0.17233245527031074</v>
      </c>
      <c r="F7" s="14">
        <f t="shared" ca="1" si="3"/>
        <v>-1.0520155576029937</v>
      </c>
      <c r="G7" s="14">
        <f t="shared" ca="1" si="4"/>
        <v>0.13886302312201246</v>
      </c>
      <c r="H7" s="15">
        <f t="shared" ca="1" si="5"/>
        <v>0.43158808520532776</v>
      </c>
      <c r="I7" s="14">
        <f ca="1">IF(G7&lt;0.05,1,0)*$B$1*$B$2</f>
        <v>0</v>
      </c>
      <c r="J7" s="14">
        <f ca="1">IF(H7&lt;0.05,1,0)*$B$1*$B$2</f>
        <v>0</v>
      </c>
      <c r="K7" s="15">
        <f t="shared" ca="1" si="6"/>
        <v>0</v>
      </c>
      <c r="P7" s="3">
        <v>3</v>
      </c>
      <c r="Q7" s="4">
        <f t="shared" ca="1" si="7"/>
        <v>0.13886302312201246</v>
      </c>
      <c r="R7" s="4">
        <f t="shared" ca="1" si="8"/>
        <v>0.43158808520532776</v>
      </c>
      <c r="S7" s="4">
        <f ca="1">$B$1*Q7*$B$2</f>
        <v>5.5545209248804985</v>
      </c>
      <c r="T7" s="4">
        <f ca="1">$B$1*R7*$B$2</f>
        <v>17.263523408213111</v>
      </c>
      <c r="U7" s="7">
        <f t="shared" ca="1" si="9"/>
        <v>22.81804433309361</v>
      </c>
    </row>
    <row r="8" spans="1:28" x14ac:dyDescent="0.3">
      <c r="B8" s="13">
        <f t="shared" ca="1" si="0"/>
        <v>1.0891646774810693E-2</v>
      </c>
      <c r="C8" s="14">
        <f t="shared" ca="1" si="0"/>
        <v>3.6700412192494758E-2</v>
      </c>
      <c r="D8" s="14">
        <f t="shared" ca="1" si="1"/>
        <v>-2.2941254559881479</v>
      </c>
      <c r="E8" s="14">
        <f t="shared" ca="1" si="2"/>
        <v>-1.7903303224527094</v>
      </c>
      <c r="F8" s="14">
        <f t="shared" ca="1" si="3"/>
        <v>-2.8450998055021279</v>
      </c>
      <c r="G8" s="14">
        <f t="shared" ca="1" si="4"/>
        <v>1.0891646774810705E-2</v>
      </c>
      <c r="H8" s="15">
        <f t="shared" ca="1" si="5"/>
        <v>3.67004121924948E-2</v>
      </c>
      <c r="I8" s="14">
        <f ca="1">IF(G8&lt;0.05,1,0)*$B$1*$B$2</f>
        <v>40</v>
      </c>
      <c r="J8" s="14">
        <f ca="1">IF(H8&lt;0.05,1,0)*$B$1*$B$2</f>
        <v>40</v>
      </c>
      <c r="K8" s="15">
        <f t="shared" ca="1" si="6"/>
        <v>80</v>
      </c>
      <c r="P8" s="3">
        <v>4</v>
      </c>
      <c r="Q8" s="4">
        <f t="shared" ca="1" si="7"/>
        <v>1.0891646774810705E-2</v>
      </c>
      <c r="R8" s="4">
        <f t="shared" ca="1" si="8"/>
        <v>3.67004121924948E-2</v>
      </c>
      <c r="S8" s="4">
        <f ca="1">$B$1*Q8*$B$2</f>
        <v>0.43566587099242815</v>
      </c>
      <c r="T8" s="4">
        <f ca="1">$B$1*R8*$B$2</f>
        <v>1.4680164876997921</v>
      </c>
      <c r="U8" s="7">
        <f t="shared" ca="1" si="9"/>
        <v>1.9036823586922202</v>
      </c>
    </row>
    <row r="9" spans="1:28" x14ac:dyDescent="0.3">
      <c r="B9" s="13">
        <f t="shared" ca="1" si="0"/>
        <v>0.27285764330339146</v>
      </c>
      <c r="C9" s="14">
        <f t="shared" ca="1" si="0"/>
        <v>0.35057640637522336</v>
      </c>
      <c r="D9" s="14">
        <f t="shared" ca="1" si="1"/>
        <v>-0.60419307175910175</v>
      </c>
      <c r="E9" s="14">
        <f t="shared" ca="1" si="2"/>
        <v>-0.38376475525425613</v>
      </c>
      <c r="F9" s="14">
        <f t="shared" ca="1" si="3"/>
        <v>-0.71105294320778378</v>
      </c>
      <c r="G9" s="14">
        <f t="shared" ca="1" si="4"/>
        <v>0.27285764330339141</v>
      </c>
      <c r="H9" s="15">
        <f t="shared" ca="1" si="5"/>
        <v>0.35057640637522325</v>
      </c>
      <c r="I9" s="14">
        <f ca="1">IF(G9&lt;0.05,1,0)*$B$1*$B$2</f>
        <v>0</v>
      </c>
      <c r="J9" s="14">
        <f ca="1">IF(H9&lt;0.05,1,0)*$B$1*$B$2</f>
        <v>0</v>
      </c>
      <c r="K9" s="15">
        <f t="shared" ca="1" si="6"/>
        <v>0</v>
      </c>
      <c r="P9" s="3">
        <v>5</v>
      </c>
      <c r="Q9" s="4">
        <f t="shared" ca="1" si="7"/>
        <v>0.27285764330339141</v>
      </c>
      <c r="R9" s="4">
        <f t="shared" ca="1" si="8"/>
        <v>0.35057640637522325</v>
      </c>
      <c r="S9" s="4">
        <f ca="1">$B$1*Q9*$B$2</f>
        <v>10.914305732135658</v>
      </c>
      <c r="T9" s="4">
        <f ca="1">$B$1*R9*$B$2</f>
        <v>14.023056255008932</v>
      </c>
      <c r="U9" s="7">
        <f t="shared" ca="1" si="9"/>
        <v>24.937361987144591</v>
      </c>
    </row>
    <row r="10" spans="1:28" x14ac:dyDescent="0.3">
      <c r="B10" s="13">
        <f t="shared" ca="1" si="0"/>
        <v>0.43479900908664848</v>
      </c>
      <c r="C10" s="14">
        <f t="shared" ca="1" si="0"/>
        <v>0.25418482830333944</v>
      </c>
      <c r="D10" s="14">
        <f t="shared" ca="1" si="1"/>
        <v>-0.16416910951977287</v>
      </c>
      <c r="E10" s="14">
        <f t="shared" ca="1" si="2"/>
        <v>-0.6613784279501419</v>
      </c>
      <c r="F10" s="14">
        <f t="shared" ca="1" si="3"/>
        <v>-0.43604037165504206</v>
      </c>
      <c r="G10" s="14">
        <f t="shared" ca="1" si="4"/>
        <v>0.43479900908664848</v>
      </c>
      <c r="H10" s="15">
        <f t="shared" ca="1" si="5"/>
        <v>0.25418482830333933</v>
      </c>
      <c r="I10" s="14">
        <f ca="1">IF(G10&lt;0.05,1,0)*$B$1*$B$2</f>
        <v>0</v>
      </c>
      <c r="J10" s="14">
        <f ca="1">IF(H10&lt;0.05,1,0)*$B$1*$B$2</f>
        <v>0</v>
      </c>
      <c r="K10" s="15">
        <f t="shared" ca="1" si="6"/>
        <v>0</v>
      </c>
      <c r="P10" s="3">
        <v>6</v>
      </c>
      <c r="Q10" s="4">
        <f t="shared" ca="1" si="7"/>
        <v>0.43479900908664848</v>
      </c>
      <c r="R10" s="4">
        <f t="shared" ca="1" si="8"/>
        <v>0.25418482830333933</v>
      </c>
      <c r="S10" s="4">
        <f ca="1">$B$1*Q10*$B$2</f>
        <v>17.391960363465937</v>
      </c>
      <c r="T10" s="4">
        <f ca="1">$B$1*R10*$B$2</f>
        <v>10.167393132133574</v>
      </c>
      <c r="U10" s="7">
        <f t="shared" ca="1" si="9"/>
        <v>27.55935349559951</v>
      </c>
    </row>
    <row r="11" spans="1:28" x14ac:dyDescent="0.3">
      <c r="B11" s="13">
        <f t="shared" ca="1" si="0"/>
        <v>0.13850684105169941</v>
      </c>
      <c r="C11" s="14">
        <f t="shared" ca="1" si="0"/>
        <v>0.60876116447291828</v>
      </c>
      <c r="D11" s="14">
        <f t="shared" ca="1" si="1"/>
        <v>-1.087052333180909</v>
      </c>
      <c r="E11" s="14">
        <f t="shared" ca="1" si="2"/>
        <v>0.27609165364850113</v>
      </c>
      <c r="F11" s="14">
        <f t="shared" ca="1" si="3"/>
        <v>-0.85800153812193325</v>
      </c>
      <c r="G11" s="14">
        <f t="shared" ca="1" si="4"/>
        <v>0.13850684105169944</v>
      </c>
      <c r="H11" s="15">
        <f t="shared" ca="1" si="5"/>
        <v>0.60876116447291828</v>
      </c>
      <c r="I11" s="14">
        <f ca="1">IF(G11&lt;0.05,1,0)*$B$1*$B$2</f>
        <v>0</v>
      </c>
      <c r="J11" s="14">
        <f ca="1">IF(H11&lt;0.05,1,0)*$B$1*$B$2</f>
        <v>0</v>
      </c>
      <c r="K11" s="15">
        <f t="shared" ca="1" si="6"/>
        <v>0</v>
      </c>
      <c r="P11" s="3">
        <v>7</v>
      </c>
      <c r="Q11" s="4">
        <f t="shared" ca="1" si="7"/>
        <v>0.13850684105169944</v>
      </c>
      <c r="R11" s="4">
        <f t="shared" ca="1" si="8"/>
        <v>0.60876116447291828</v>
      </c>
      <c r="S11" s="4">
        <f ca="1">$B$1*Q11*$B$2</f>
        <v>5.5402736420679783</v>
      </c>
      <c r="T11" s="4">
        <f ca="1">$B$1*R11*$B$2</f>
        <v>24.350446578916731</v>
      </c>
      <c r="U11" s="7">
        <f t="shared" ca="1" si="9"/>
        <v>29.890720220984711</v>
      </c>
    </row>
    <row r="12" spans="1:28" x14ac:dyDescent="0.3">
      <c r="B12" s="13">
        <f t="shared" ca="1" si="0"/>
        <v>0.33592611439655051</v>
      </c>
      <c r="C12" s="14">
        <f t="shared" ca="1" si="0"/>
        <v>0.60175147212553359</v>
      </c>
      <c r="D12" s="14">
        <f t="shared" ca="1" si="1"/>
        <v>-0.42360730246171663</v>
      </c>
      <c r="E12" s="14">
        <f t="shared" ca="1" si="2"/>
        <v>0.257883193716339</v>
      </c>
      <c r="F12" s="14">
        <f t="shared" ca="1" si="3"/>
        <v>-0.26883789415084047</v>
      </c>
      <c r="G12" s="14">
        <f t="shared" ca="1" si="4"/>
        <v>0.3359261143965504</v>
      </c>
      <c r="H12" s="15">
        <f t="shared" ca="1" si="5"/>
        <v>0.60175147212553359</v>
      </c>
      <c r="I12" s="14">
        <f ca="1">IF(G12&lt;0.05,1,0)*$B$1*$B$2</f>
        <v>0</v>
      </c>
      <c r="J12" s="14">
        <f ca="1">IF(H12&lt;0.05,1,0)*$B$1*$B$2</f>
        <v>0</v>
      </c>
      <c r="K12" s="15">
        <f t="shared" ca="1" si="6"/>
        <v>0</v>
      </c>
      <c r="P12" s="3">
        <v>8</v>
      </c>
      <c r="Q12" s="4">
        <f t="shared" ca="1" si="7"/>
        <v>0.3359261143965504</v>
      </c>
      <c r="R12" s="4">
        <f t="shared" ca="1" si="8"/>
        <v>0.60175147212553359</v>
      </c>
      <c r="S12" s="4">
        <f ca="1">$B$1*Q12*$B$2</f>
        <v>13.437044575862016</v>
      </c>
      <c r="T12" s="4">
        <f ca="1">$B$1*R12*$B$2</f>
        <v>24.070058885021346</v>
      </c>
      <c r="U12" s="7">
        <f t="shared" ca="1" si="9"/>
        <v>37.507103460883364</v>
      </c>
    </row>
    <row r="13" spans="1:28" x14ac:dyDescent="0.3">
      <c r="B13" s="13">
        <f t="shared" ca="1" si="0"/>
        <v>5.5333200680702577E-2</v>
      </c>
      <c r="C13" s="14">
        <f t="shared" ca="1" si="0"/>
        <v>0.80158615719531112</v>
      </c>
      <c r="D13" s="14">
        <f t="shared" ca="1" si="1"/>
        <v>-1.5952049985197359</v>
      </c>
      <c r="E13" s="14">
        <f t="shared" ca="1" si="2"/>
        <v>0.84730043256724219</v>
      </c>
      <c r="F13" s="14">
        <f t="shared" ca="1" si="3"/>
        <v>-1.0663548026298717</v>
      </c>
      <c r="G13" s="14">
        <f t="shared" ca="1" si="4"/>
        <v>5.5333200680702598E-2</v>
      </c>
      <c r="H13" s="15">
        <f t="shared" ca="1" si="5"/>
        <v>0.80158615719531112</v>
      </c>
      <c r="I13" s="14">
        <f ca="1">IF(G13&lt;0.05,1,0)*$B$1*$B$2</f>
        <v>0</v>
      </c>
      <c r="J13" s="14">
        <f ca="1">IF(H13&lt;0.05,1,0)*$B$1*$B$2</f>
        <v>0</v>
      </c>
      <c r="K13" s="15">
        <f t="shared" ca="1" si="6"/>
        <v>0</v>
      </c>
      <c r="P13" s="3">
        <v>9</v>
      </c>
      <c r="Q13" s="4">
        <f t="shared" ca="1" si="7"/>
        <v>5.5333200680702598E-2</v>
      </c>
      <c r="R13" s="4">
        <f t="shared" ca="1" si="8"/>
        <v>0.80158615719531112</v>
      </c>
      <c r="S13" s="4">
        <f ca="1">$B$1*Q13*$B$2</f>
        <v>2.213328027228104</v>
      </c>
      <c r="T13" s="4">
        <f ca="1">$B$1*R13*$B$2</f>
        <v>32.063446287812447</v>
      </c>
      <c r="U13" s="7">
        <f t="shared" ca="1" si="9"/>
        <v>34.276774315040548</v>
      </c>
    </row>
    <row r="14" spans="1:28" x14ac:dyDescent="0.3">
      <c r="B14" s="13">
        <f t="shared" ca="1" si="0"/>
        <v>0.49027904653363474</v>
      </c>
      <c r="C14" s="14">
        <f t="shared" ca="1" si="0"/>
        <v>0.87056117517149456</v>
      </c>
      <c r="D14" s="14">
        <f t="shared" ca="1" si="1"/>
        <v>-2.4369228582500058E-2</v>
      </c>
      <c r="E14" s="14">
        <f t="shared" ca="1" si="2"/>
        <v>1.1290478480370563</v>
      </c>
      <c r="F14" s="14">
        <f t="shared" ca="1" si="3"/>
        <v>0.47020824147730944</v>
      </c>
      <c r="G14" s="14">
        <f t="shared" ca="1" si="4"/>
        <v>0.49027904653363474</v>
      </c>
      <c r="H14" s="15">
        <f t="shared" ca="1" si="5"/>
        <v>0.87056117517149456</v>
      </c>
      <c r="I14" s="14">
        <f ca="1">IF(G14&lt;0.05,1,0)*$B$1*$B$2</f>
        <v>0</v>
      </c>
      <c r="J14" s="14">
        <f ca="1">IF(H14&lt;0.05,1,0)*$B$1*$B$2</f>
        <v>0</v>
      </c>
      <c r="K14" s="15">
        <f t="shared" ca="1" si="6"/>
        <v>0</v>
      </c>
      <c r="P14" s="3">
        <v>10</v>
      </c>
      <c r="Q14" s="4">
        <f t="shared" ca="1" si="7"/>
        <v>0.49027904653363474</v>
      </c>
      <c r="R14" s="4">
        <f t="shared" ca="1" si="8"/>
        <v>0.87056117517149456</v>
      </c>
      <c r="S14" s="4">
        <f ca="1">$B$1*Q14*$B$2</f>
        <v>19.611161861345391</v>
      </c>
      <c r="T14" s="4">
        <f ca="1">$B$1*R14*$B$2</f>
        <v>34.822447006859782</v>
      </c>
      <c r="U14" s="7">
        <f t="shared" ca="1" si="9"/>
        <v>54.43360886820517</v>
      </c>
    </row>
    <row r="15" spans="1:28" x14ac:dyDescent="0.3">
      <c r="B15" s="13">
        <f t="shared" ca="1" si="0"/>
        <v>0.69313174925373255</v>
      </c>
      <c r="C15" s="14">
        <f t="shared" ca="1" si="0"/>
        <v>0.93739705385733807</v>
      </c>
      <c r="D15" s="14">
        <f t="shared" ca="1" si="1"/>
        <v>0.50474706244295153</v>
      </c>
      <c r="E15" s="14">
        <f t="shared" ca="1" si="2"/>
        <v>1.5332840114969379</v>
      </c>
      <c r="F15" s="14">
        <f t="shared" ca="1" si="3"/>
        <v>1.1226153619848371</v>
      </c>
      <c r="G15" s="14">
        <f t="shared" ca="1" si="4"/>
        <v>0.69313174925373255</v>
      </c>
      <c r="H15" s="15">
        <f t="shared" ca="1" si="5"/>
        <v>0.93739705385733807</v>
      </c>
      <c r="I15" s="14">
        <f ca="1">IF(G15&lt;0.05,1,0)*$B$1*$B$2</f>
        <v>0</v>
      </c>
      <c r="J15" s="14">
        <f ca="1">IF(H15&lt;0.05,1,0)*$B$1*$B$2</f>
        <v>0</v>
      </c>
      <c r="K15" s="15">
        <f t="shared" ca="1" si="6"/>
        <v>0</v>
      </c>
      <c r="P15" s="3">
        <v>11</v>
      </c>
      <c r="Q15" s="4">
        <f t="shared" ca="1" si="7"/>
        <v>0.69313174925373255</v>
      </c>
      <c r="R15" s="4">
        <f t="shared" ca="1" si="8"/>
        <v>0.93739705385733807</v>
      </c>
      <c r="S15" s="4">
        <f ca="1">$B$1*Q15*$B$2</f>
        <v>27.725269970149306</v>
      </c>
      <c r="T15" s="4">
        <f ca="1">$B$1*R15*$B$2</f>
        <v>37.495882154293525</v>
      </c>
      <c r="U15" s="7">
        <f t="shared" ca="1" si="9"/>
        <v>65.221152124442824</v>
      </c>
    </row>
    <row r="16" spans="1:28" x14ac:dyDescent="0.3">
      <c r="B16" s="13">
        <f t="shared" ca="1" si="0"/>
        <v>0.8869231120057669</v>
      </c>
      <c r="C16" s="14">
        <f t="shared" ca="1" si="0"/>
        <v>0.17108679619135203</v>
      </c>
      <c r="D16" s="14">
        <f t="shared" ca="1" si="1"/>
        <v>1.2103261270948715</v>
      </c>
      <c r="E16" s="14">
        <f t="shared" ca="1" si="2"/>
        <v>-0.94987928741907435</v>
      </c>
      <c r="F16" s="14">
        <f t="shared" ca="1" si="3"/>
        <v>0.67525073214316733</v>
      </c>
      <c r="G16" s="14">
        <f t="shared" ca="1" si="4"/>
        <v>0.8869231120057669</v>
      </c>
      <c r="H16" s="15">
        <f t="shared" ca="1" si="5"/>
        <v>0.17108679619135198</v>
      </c>
      <c r="I16" s="14">
        <f ca="1">IF(G16&lt;0.05,1,0)*$B$1*$B$2</f>
        <v>0</v>
      </c>
      <c r="J16" s="14">
        <f ca="1">IF(H16&lt;0.05,1,0)*$B$1*$B$2</f>
        <v>0</v>
      </c>
      <c r="K16" s="15">
        <f t="shared" ca="1" si="6"/>
        <v>0</v>
      </c>
      <c r="P16" s="3">
        <v>12</v>
      </c>
      <c r="Q16" s="4">
        <f t="shared" ca="1" si="7"/>
        <v>0.8869231120057669</v>
      </c>
      <c r="R16" s="4">
        <f t="shared" ca="1" si="8"/>
        <v>0.17108679619135198</v>
      </c>
      <c r="S16" s="4">
        <f ca="1">$B$1*Q16*$B$2</f>
        <v>35.476924480230679</v>
      </c>
      <c r="T16" s="4">
        <f ca="1">$B$1*R16*$B$2</f>
        <v>6.8434718476540795</v>
      </c>
      <c r="U16" s="7">
        <f t="shared" ca="1" si="9"/>
        <v>42.320396327884758</v>
      </c>
    </row>
    <row r="17" spans="2:29" x14ac:dyDescent="0.3">
      <c r="B17" s="13">
        <f t="shared" ca="1" si="0"/>
        <v>0.86441363752385669</v>
      </c>
      <c r="C17" s="14">
        <f t="shared" ca="1" si="0"/>
        <v>0.75228692743515879</v>
      </c>
      <c r="D17" s="14">
        <f t="shared" ca="1" si="1"/>
        <v>1.1003659110208661</v>
      </c>
      <c r="E17" s="14">
        <f t="shared" ca="1" si="2"/>
        <v>0.68170398818562283</v>
      </c>
      <c r="F17" s="14">
        <f t="shared" ca="1" si="3"/>
        <v>1.2874771993097569</v>
      </c>
      <c r="G17" s="14">
        <f t="shared" ca="1" si="4"/>
        <v>0.8644136375238568</v>
      </c>
      <c r="H17" s="15">
        <f t="shared" ca="1" si="5"/>
        <v>0.7522869274351589</v>
      </c>
      <c r="I17" s="14">
        <f ca="1">IF(G17&lt;0.05,1,0)*$B$1*$B$2</f>
        <v>0</v>
      </c>
      <c r="J17" s="14">
        <f ca="1">IF(H17&lt;0.05,1,0)*$B$1*$B$2</f>
        <v>0</v>
      </c>
      <c r="K17" s="15">
        <f t="shared" ca="1" si="6"/>
        <v>0</v>
      </c>
      <c r="P17" s="3">
        <v>13</v>
      </c>
      <c r="Q17" s="4">
        <f t="shared" ca="1" si="7"/>
        <v>0.8644136375238568</v>
      </c>
      <c r="R17" s="4">
        <f t="shared" ca="1" si="8"/>
        <v>0.7522869274351589</v>
      </c>
      <c r="S17" s="4">
        <f ca="1">$B$1*Q17*$B$2</f>
        <v>34.576545500954275</v>
      </c>
      <c r="T17" s="4">
        <f ca="1">$B$1*R17*$B$2</f>
        <v>30.091477097406358</v>
      </c>
      <c r="U17" s="7">
        <f t="shared" ca="1" si="9"/>
        <v>64.668022598360636</v>
      </c>
    </row>
    <row r="18" spans="2:29" x14ac:dyDescent="0.3">
      <c r="B18" s="13">
        <f t="shared" ca="1" si="0"/>
        <v>0.23868180713968334</v>
      </c>
      <c r="C18" s="14">
        <f t="shared" ca="1" si="0"/>
        <v>0.94472994567603763</v>
      </c>
      <c r="D18" s="14">
        <f t="shared" ca="1" si="1"/>
        <v>-0.7105492291861043</v>
      </c>
      <c r="E18" s="14">
        <f t="shared" ca="1" si="2"/>
        <v>1.5957702009824732</v>
      </c>
      <c r="F18" s="14">
        <f t="shared" ca="1" si="3"/>
        <v>5.6085798052124991E-2</v>
      </c>
      <c r="G18" s="14">
        <f t="shared" ca="1" si="4"/>
        <v>0.23868180713968326</v>
      </c>
      <c r="H18" s="15">
        <f t="shared" ca="1" si="5"/>
        <v>0.94472994567603763</v>
      </c>
      <c r="I18" s="14">
        <f ca="1">IF(G18&lt;0.05,1,0)*$B$1*$B$2</f>
        <v>0</v>
      </c>
      <c r="J18" s="14">
        <f ca="1">IF(H18&lt;0.05,1,0)*$B$1*$B$2</f>
        <v>0</v>
      </c>
      <c r="K18" s="15">
        <f t="shared" ca="1" si="6"/>
        <v>0</v>
      </c>
      <c r="P18" s="3">
        <v>14</v>
      </c>
      <c r="Q18" s="4">
        <f t="shared" ca="1" si="7"/>
        <v>0.23868180713968326</v>
      </c>
      <c r="R18" s="4">
        <f t="shared" ca="1" si="8"/>
        <v>0.94472994567603763</v>
      </c>
      <c r="S18" s="4">
        <f ca="1">$B$1*Q18*$B$2</f>
        <v>9.5472722855873311</v>
      </c>
      <c r="T18" s="4">
        <f ca="1">$B$1*R18*$B$2</f>
        <v>37.789197827041505</v>
      </c>
      <c r="U18" s="7">
        <f t="shared" ca="1" si="9"/>
        <v>47.336470112628838</v>
      </c>
    </row>
    <row r="19" spans="2:29" x14ac:dyDescent="0.3">
      <c r="B19" s="13">
        <f t="shared" ca="1" si="0"/>
        <v>3.4745066158598292E-2</v>
      </c>
      <c r="C19" s="14">
        <f t="shared" ca="1" si="0"/>
        <v>4.5403322177460792E-3</v>
      </c>
      <c r="D19" s="14">
        <f t="shared" ca="1" si="1"/>
        <v>-1.8152198374613879</v>
      </c>
      <c r="E19" s="14">
        <f t="shared" ca="1" si="2"/>
        <v>-2.6090022534916333</v>
      </c>
      <c r="F19" s="14">
        <f t="shared" ca="1" si="3"/>
        <v>-2.7709355703592404</v>
      </c>
      <c r="G19" s="14">
        <f t="shared" ca="1" si="4"/>
        <v>3.4745066158598285E-2</v>
      </c>
      <c r="H19" s="15">
        <f t="shared" ca="1" si="5"/>
        <v>4.540332217746087E-3</v>
      </c>
      <c r="I19" s="14">
        <f ca="1">IF(G19&lt;0.05,1,0)*$B$1*$B$2</f>
        <v>40</v>
      </c>
      <c r="J19" s="14">
        <f ca="1">IF(H19&lt;0.05,1,0)*$B$1*$B$2</f>
        <v>40</v>
      </c>
      <c r="K19" s="15">
        <f t="shared" ca="1" si="6"/>
        <v>80</v>
      </c>
      <c r="P19" s="3">
        <v>15</v>
      </c>
      <c r="Q19" s="4">
        <f t="shared" ca="1" si="7"/>
        <v>3.4745066158598285E-2</v>
      </c>
      <c r="R19" s="4">
        <f t="shared" ca="1" si="8"/>
        <v>4.540332217746087E-3</v>
      </c>
      <c r="S19" s="4">
        <f ca="1">$B$1*Q19*$B$2</f>
        <v>1.3898026463439315</v>
      </c>
      <c r="T19" s="4">
        <f ca="1">$B$1*R19*$B$2</f>
        <v>0.1816132887098435</v>
      </c>
      <c r="U19" s="7">
        <f t="shared" ca="1" si="9"/>
        <v>1.5714159350537749</v>
      </c>
    </row>
    <row r="20" spans="2:29" x14ac:dyDescent="0.3">
      <c r="B20" s="13">
        <f t="shared" ca="1" si="0"/>
        <v>3.7556453708651905E-2</v>
      </c>
      <c r="C20" s="14">
        <f t="shared" ca="1" si="0"/>
        <v>0.66848725407866993</v>
      </c>
      <c r="D20" s="14">
        <f t="shared" ca="1" si="1"/>
        <v>-1.7797742863069157</v>
      </c>
      <c r="E20" s="14">
        <f t="shared" ca="1" si="2"/>
        <v>0.43573984670505378</v>
      </c>
      <c r="F20" s="14">
        <f t="shared" ca="1" si="3"/>
        <v>-1.4118622619301009</v>
      </c>
      <c r="G20" s="14">
        <f t="shared" ca="1" si="4"/>
        <v>3.7556453708651905E-2</v>
      </c>
      <c r="H20" s="15">
        <f t="shared" ca="1" si="5"/>
        <v>0.66848725407866993</v>
      </c>
      <c r="I20" s="14">
        <f ca="1">IF(G20&lt;0.05,1,0)*$B$1*$B$2</f>
        <v>40</v>
      </c>
      <c r="J20" s="14">
        <f ca="1">IF(H20&lt;0.05,1,0)*$B$1*$B$2</f>
        <v>0</v>
      </c>
      <c r="K20" s="15">
        <f t="shared" ca="1" si="6"/>
        <v>40</v>
      </c>
      <c r="P20" s="3">
        <v>16</v>
      </c>
      <c r="Q20" s="4">
        <f t="shared" ca="1" si="7"/>
        <v>3.7556453708651905E-2</v>
      </c>
      <c r="R20" s="4">
        <f t="shared" ca="1" si="8"/>
        <v>0.66848725407866993</v>
      </c>
      <c r="S20" s="4">
        <f ca="1">$B$1*Q20*$B$2</f>
        <v>1.5022581483460762</v>
      </c>
      <c r="T20" s="4">
        <f ca="1">$B$1*R20*$B$2</f>
        <v>26.739490163146797</v>
      </c>
      <c r="U20" s="7">
        <f t="shared" ca="1" si="9"/>
        <v>28.241748311492874</v>
      </c>
    </row>
    <row r="21" spans="2:29" x14ac:dyDescent="0.3">
      <c r="B21" s="13">
        <f t="shared" ca="1" si="0"/>
        <v>0.43891186971417229</v>
      </c>
      <c r="C21" s="14">
        <f t="shared" ca="1" si="0"/>
        <v>0.57787747841974979</v>
      </c>
      <c r="D21" s="14">
        <f t="shared" ca="1" si="1"/>
        <v>-0.15372859221258015</v>
      </c>
      <c r="E21" s="14">
        <f t="shared" ca="1" si="2"/>
        <v>0.19646650975968144</v>
      </c>
      <c r="F21" s="14">
        <f t="shared" ca="1" si="3"/>
        <v>-5.2717966808062275E-2</v>
      </c>
      <c r="G21" s="14">
        <f t="shared" ca="1" si="4"/>
        <v>0.43891186971417229</v>
      </c>
      <c r="H21" s="15">
        <f t="shared" ca="1" si="5"/>
        <v>0.57787747841974979</v>
      </c>
      <c r="I21" s="14">
        <f ca="1">IF(G21&lt;0.05,1,0)*$B$1*$B$2</f>
        <v>0</v>
      </c>
      <c r="J21" s="14">
        <f ca="1">IF(H21&lt;0.05,1,0)*$B$1*$B$2</f>
        <v>0</v>
      </c>
      <c r="K21" s="15">
        <f t="shared" ca="1" si="6"/>
        <v>0</v>
      </c>
      <c r="P21" s="3">
        <v>17</v>
      </c>
      <c r="Q21" s="4">
        <f t="shared" ca="1" si="7"/>
        <v>0.43891186971417229</v>
      </c>
      <c r="R21" s="4">
        <f t="shared" ca="1" si="8"/>
        <v>0.57787747841974979</v>
      </c>
      <c r="S21" s="4">
        <f ca="1">$B$1*Q21*$B$2</f>
        <v>17.556474788566891</v>
      </c>
      <c r="T21" s="4">
        <f ca="1">$B$1*R21*$B$2</f>
        <v>23.115099136789993</v>
      </c>
      <c r="U21" s="7">
        <f t="shared" ca="1" si="9"/>
        <v>40.671573925356881</v>
      </c>
    </row>
    <row r="22" spans="2:29" x14ac:dyDescent="0.3">
      <c r="B22" s="13">
        <f t="shared" ca="1" si="0"/>
        <v>0.31864423922272067</v>
      </c>
      <c r="C22" s="14">
        <f t="shared" ca="1" si="0"/>
        <v>0.89446183899671927</v>
      </c>
      <c r="D22" s="14">
        <f t="shared" ca="1" si="1"/>
        <v>-0.47149333455528197</v>
      </c>
      <c r="E22" s="14">
        <f t="shared" ca="1" si="2"/>
        <v>1.2506113105875811</v>
      </c>
      <c r="F22" s="14">
        <f t="shared" ca="1" si="3"/>
        <v>0.1207848309502686</v>
      </c>
      <c r="G22" s="14">
        <f t="shared" ca="1" si="4"/>
        <v>0.31864423922272067</v>
      </c>
      <c r="H22" s="15">
        <f t="shared" ca="1" si="5"/>
        <v>0.89446183899671938</v>
      </c>
      <c r="I22" s="14">
        <f ca="1">IF(G22&lt;0.05,1,0)*$B$1*$B$2</f>
        <v>0</v>
      </c>
      <c r="J22" s="14">
        <f ca="1">IF(H22&lt;0.05,1,0)*$B$1*$B$2</f>
        <v>0</v>
      </c>
      <c r="K22" s="15">
        <f t="shared" ca="1" si="6"/>
        <v>0</v>
      </c>
      <c r="P22" s="3">
        <v>18</v>
      </c>
      <c r="Q22" s="4">
        <f t="shared" ca="1" si="7"/>
        <v>0.31864423922272067</v>
      </c>
      <c r="R22" s="4">
        <f t="shared" ca="1" si="8"/>
        <v>0.89446183899671938</v>
      </c>
      <c r="S22" s="4">
        <f ca="1">$B$1*Q22*$B$2</f>
        <v>12.745769568908827</v>
      </c>
      <c r="T22" s="4">
        <f ca="1">$B$1*R22*$B$2</f>
        <v>35.778473559868779</v>
      </c>
      <c r="U22" s="7">
        <f t="shared" ca="1" si="9"/>
        <v>48.524243128777606</v>
      </c>
    </row>
    <row r="23" spans="2:29" x14ac:dyDescent="0.3">
      <c r="B23" s="13">
        <f t="shared" ca="1" si="0"/>
        <v>0.60845403519183006</v>
      </c>
      <c r="C23" s="14">
        <f t="shared" ca="1" si="0"/>
        <v>0.30807689863498677</v>
      </c>
      <c r="D23" s="14">
        <f t="shared" ca="1" si="1"/>
        <v>0.27529197471338412</v>
      </c>
      <c r="E23" s="14">
        <f t="shared" ca="1" si="2"/>
        <v>-0.50130882233481988</v>
      </c>
      <c r="F23" s="14">
        <f t="shared" ca="1" si="3"/>
        <v>2.9247327635759185E-2</v>
      </c>
      <c r="G23" s="14">
        <f t="shared" ca="1" si="4"/>
        <v>0.60845403519183017</v>
      </c>
      <c r="H23" s="15">
        <f t="shared" ca="1" si="5"/>
        <v>0.30807689863498666</v>
      </c>
      <c r="I23" s="14">
        <f ca="1">IF(G23&lt;0.05,1,0)*$B$1*$B$2</f>
        <v>0</v>
      </c>
      <c r="J23" s="14">
        <f ca="1">IF(H23&lt;0.05,1,0)*$B$1*$B$2</f>
        <v>0</v>
      </c>
      <c r="K23" s="15">
        <f t="shared" ca="1" si="6"/>
        <v>0</v>
      </c>
      <c r="P23" s="3">
        <v>19</v>
      </c>
      <c r="Q23" s="4">
        <f t="shared" ca="1" si="7"/>
        <v>0.60845403519183017</v>
      </c>
      <c r="R23" s="4">
        <f t="shared" ca="1" si="8"/>
        <v>0.30807689863498666</v>
      </c>
      <c r="S23" s="4">
        <f ca="1">$B$1*Q23*$B$2</f>
        <v>24.338161407673208</v>
      </c>
      <c r="T23" s="4">
        <f ca="1">$B$1*R23*$B$2</f>
        <v>12.323075945399466</v>
      </c>
      <c r="U23" s="7">
        <f t="shared" ca="1" si="9"/>
        <v>36.661237353072679</v>
      </c>
    </row>
    <row r="24" spans="2:29" x14ac:dyDescent="0.3">
      <c r="B24" s="13">
        <f t="shared" ca="1" si="0"/>
        <v>2.8633041033776729E-2</v>
      </c>
      <c r="C24" s="14">
        <f t="shared" ca="1" si="0"/>
        <v>0.34829126320037318</v>
      </c>
      <c r="D24" s="14">
        <f t="shared" ca="1" si="1"/>
        <v>-1.9012743872715263</v>
      </c>
      <c r="E24" s="14">
        <f t="shared" ca="1" si="2"/>
        <v>-0.38993782056738219</v>
      </c>
      <c r="F24" s="14">
        <f t="shared" ca="1" si="3"/>
        <v>-1.8811169039561453</v>
      </c>
      <c r="G24" s="14">
        <f t="shared" ca="1" si="4"/>
        <v>2.8633041033776743E-2</v>
      </c>
      <c r="H24" s="15">
        <f t="shared" ca="1" si="5"/>
        <v>0.34829126320037307</v>
      </c>
      <c r="I24" s="14">
        <f ca="1">IF(G24&lt;0.05,1,0)*$B$1*$B$2</f>
        <v>40</v>
      </c>
      <c r="J24" s="14">
        <f ca="1">IF(H24&lt;0.05,1,0)*$B$1*$B$2</f>
        <v>0</v>
      </c>
      <c r="K24" s="15">
        <f t="shared" ca="1" si="6"/>
        <v>40</v>
      </c>
      <c r="P24" s="3">
        <v>20</v>
      </c>
      <c r="Q24" s="4">
        <f t="shared" ca="1" si="7"/>
        <v>2.8633041033776743E-2</v>
      </c>
      <c r="R24" s="4">
        <f t="shared" ca="1" si="8"/>
        <v>0.34829126320037307</v>
      </c>
      <c r="S24" s="4">
        <f ca="1">$B$1*Q24*$B$2</f>
        <v>1.1453216413510698</v>
      </c>
      <c r="T24" s="4">
        <f ca="1">$B$1*R24*$B$2</f>
        <v>13.931650528014922</v>
      </c>
      <c r="U24" s="7">
        <f t="shared" ca="1" si="9"/>
        <v>15.076972169365991</v>
      </c>
    </row>
    <row r="25" spans="2:29" x14ac:dyDescent="0.3">
      <c r="B25" s="13">
        <f t="shared" ca="1" si="0"/>
        <v>0.49490978282336129</v>
      </c>
      <c r="C25" s="14">
        <f t="shared" ca="1" si="0"/>
        <v>0.60519508996631943</v>
      </c>
      <c r="D25" s="14">
        <f t="shared" ca="1" si="1"/>
        <v>-1.2759628519041548E-2</v>
      </c>
      <c r="E25" s="14">
        <f t="shared" ca="1" si="2"/>
        <v>0.26681731747173137</v>
      </c>
      <c r="F25" s="14">
        <f t="shared" ca="1" si="3"/>
        <v>0.10481930665745123</v>
      </c>
      <c r="G25" s="14">
        <f t="shared" ca="1" si="4"/>
        <v>0.49490978282336129</v>
      </c>
      <c r="H25" s="15">
        <f t="shared" ca="1" si="5"/>
        <v>0.60519508996631943</v>
      </c>
      <c r="I25" s="14">
        <f ca="1">IF(G25&lt;0.05,1,0)*$B$1*$B$2</f>
        <v>0</v>
      </c>
      <c r="J25" s="14">
        <f ca="1">IF(H25&lt;0.05,1,0)*$B$1*$B$2</f>
        <v>0</v>
      </c>
      <c r="K25" s="15">
        <f t="shared" ca="1" si="6"/>
        <v>0</v>
      </c>
      <c r="P25" s="3">
        <v>21</v>
      </c>
      <c r="Q25" s="4">
        <f t="shared" ca="1" si="7"/>
        <v>0.49490978282336129</v>
      </c>
      <c r="R25" s="4">
        <f t="shared" ca="1" si="8"/>
        <v>0.60519508996631943</v>
      </c>
      <c r="S25" s="4">
        <f ca="1">$B$1*Q25*$B$2</f>
        <v>19.796391312934453</v>
      </c>
      <c r="T25" s="4">
        <f ca="1">$B$1*R25*$B$2</f>
        <v>24.207803598652777</v>
      </c>
      <c r="U25" s="7">
        <f t="shared" ca="1" si="9"/>
        <v>44.004194911587234</v>
      </c>
    </row>
    <row r="26" spans="2:29" x14ac:dyDescent="0.3">
      <c r="B26" s="13">
        <f t="shared" ca="1" si="0"/>
        <v>0.44936081700889829</v>
      </c>
      <c r="C26" s="14">
        <f t="shared" ca="1" si="0"/>
        <v>0.76523286951768954</v>
      </c>
      <c r="D26" s="14">
        <f t="shared" ca="1" si="1"/>
        <v>-0.12727640560540679</v>
      </c>
      <c r="E26" s="14">
        <f t="shared" ca="1" si="2"/>
        <v>0.72323704838526759</v>
      </c>
      <c r="F26" s="14">
        <f t="shared" ca="1" si="3"/>
        <v>0.20070295556873563</v>
      </c>
      <c r="G26" s="14">
        <f t="shared" ca="1" si="4"/>
        <v>0.44936081700889829</v>
      </c>
      <c r="H26" s="15">
        <f t="shared" ca="1" si="5"/>
        <v>0.76523286951768976</v>
      </c>
      <c r="I26" s="14">
        <f ca="1">IF(G26&lt;0.05,1,0)*$B$1*$B$2</f>
        <v>0</v>
      </c>
      <c r="J26" s="14">
        <f ca="1">IF(H26&lt;0.05,1,0)*$B$1*$B$2</f>
        <v>0</v>
      </c>
      <c r="K26" s="15">
        <f t="shared" ca="1" si="6"/>
        <v>0</v>
      </c>
      <c r="P26" s="3">
        <v>22</v>
      </c>
      <c r="Q26" s="4">
        <f t="shared" ca="1" si="7"/>
        <v>0.44936081700889829</v>
      </c>
      <c r="R26" s="4">
        <f t="shared" ca="1" si="8"/>
        <v>0.76523286951768976</v>
      </c>
      <c r="S26" s="4">
        <f ca="1">$B$1*Q26*$B$2</f>
        <v>17.974432680355932</v>
      </c>
      <c r="T26" s="4">
        <f ca="1">$B$1*R26*$B$2</f>
        <v>30.609314780707592</v>
      </c>
      <c r="U26" s="7">
        <f t="shared" ca="1" si="9"/>
        <v>48.583747461063524</v>
      </c>
    </row>
    <row r="27" spans="2:29" x14ac:dyDescent="0.3">
      <c r="B27" s="13">
        <f t="shared" ca="1" si="0"/>
        <v>0.31695329667650407</v>
      </c>
      <c r="C27" s="14">
        <f t="shared" ca="1" si="0"/>
        <v>0.63048775835235404</v>
      </c>
      <c r="D27" s="14">
        <f t="shared" ca="1" si="1"/>
        <v>-0.47623552478037939</v>
      </c>
      <c r="E27" s="14">
        <f t="shared" ca="1" si="2"/>
        <v>0.33314546264627393</v>
      </c>
      <c r="F27" s="14">
        <f t="shared" ca="1" si="3"/>
        <v>-0.28339723178492027</v>
      </c>
      <c r="G27" s="14">
        <f t="shared" ca="1" si="4"/>
        <v>0.31695329667650401</v>
      </c>
      <c r="H27" s="15">
        <f t="shared" ca="1" si="5"/>
        <v>0.63048775835235404</v>
      </c>
      <c r="I27" s="14">
        <f ca="1">IF(G27&lt;0.05,1,0)*$B$1*$B$2</f>
        <v>0</v>
      </c>
      <c r="J27" s="14">
        <f ca="1">IF(H27&lt;0.05,1,0)*$B$1*$B$2</f>
        <v>0</v>
      </c>
      <c r="K27" s="15">
        <f t="shared" ca="1" si="6"/>
        <v>0</v>
      </c>
      <c r="P27" s="3">
        <v>23</v>
      </c>
      <c r="Q27" s="4">
        <f t="shared" ca="1" si="7"/>
        <v>0.31695329667650401</v>
      </c>
      <c r="R27" s="4">
        <f t="shared" ca="1" si="8"/>
        <v>0.63048775835235404</v>
      </c>
      <c r="S27" s="4">
        <f ca="1">$B$1*Q27*$B$2</f>
        <v>12.678131867060161</v>
      </c>
      <c r="T27" s="4">
        <f ca="1">$B$1*R27*$B$2</f>
        <v>25.219510334094164</v>
      </c>
      <c r="U27" s="7">
        <f t="shared" ca="1" si="9"/>
        <v>37.897642201154326</v>
      </c>
    </row>
    <row r="28" spans="2:29" x14ac:dyDescent="0.3">
      <c r="B28" s="13">
        <f t="shared" ca="1" si="0"/>
        <v>0.75308726127655001</v>
      </c>
      <c r="C28" s="14">
        <f t="shared" ca="1" si="0"/>
        <v>0.98734424162849166</v>
      </c>
      <c r="D28" s="14">
        <f t="shared" ca="1" si="1"/>
        <v>0.68423707010429713</v>
      </c>
      <c r="E28" s="14">
        <f t="shared" ca="1" si="2"/>
        <v>2.236614953433596</v>
      </c>
      <c r="F28" s="14">
        <f t="shared" ca="1" si="3"/>
        <v>1.5907312188567646</v>
      </c>
      <c r="G28" s="14">
        <f t="shared" ca="1" si="4"/>
        <v>0.75308726127655001</v>
      </c>
      <c r="H28" s="15">
        <f t="shared" ca="1" si="5"/>
        <v>0.98734424162849166</v>
      </c>
      <c r="I28" s="14">
        <f ca="1">IF(G28&lt;0.05,1,0)*$B$1*$B$2</f>
        <v>0</v>
      </c>
      <c r="J28" s="14">
        <f ca="1">IF(H28&lt;0.05,1,0)*$B$1*$B$2</f>
        <v>0</v>
      </c>
      <c r="K28" s="15">
        <f t="shared" ca="1" si="6"/>
        <v>0</v>
      </c>
      <c r="P28" s="3">
        <v>24</v>
      </c>
      <c r="Q28" s="4">
        <f t="shared" ca="1" si="7"/>
        <v>0.75308726127655001</v>
      </c>
      <c r="R28" s="4">
        <f t="shared" ca="1" si="8"/>
        <v>0.98734424162849166</v>
      </c>
      <c r="S28" s="4">
        <f ca="1">$B$1*Q28*$B$2</f>
        <v>30.123490451062004</v>
      </c>
      <c r="T28" s="4">
        <f ca="1">$B$1*R28*$B$2</f>
        <v>39.493769665139666</v>
      </c>
      <c r="U28" s="7">
        <f t="shared" ca="1" si="9"/>
        <v>69.617260116201663</v>
      </c>
    </row>
    <row r="29" spans="2:29" x14ac:dyDescent="0.3">
      <c r="B29" s="13">
        <f t="shared" ca="1" si="0"/>
        <v>0.51244666542956696</v>
      </c>
      <c r="C29" s="14">
        <f t="shared" ca="1" si="0"/>
        <v>0.93563242966718374</v>
      </c>
      <c r="D29" s="14">
        <f t="shared" ca="1" si="1"/>
        <v>3.1204226696589531E-2</v>
      </c>
      <c r="E29" s="14">
        <f t="shared" ca="1" si="2"/>
        <v>1.5191086862286916</v>
      </c>
      <c r="F29" s="14">
        <f t="shared" ca="1" si="3"/>
        <v>0.69024792877950081</v>
      </c>
      <c r="G29" s="14">
        <f t="shared" ca="1" si="4"/>
        <v>0.51244666542956696</v>
      </c>
      <c r="H29" s="15">
        <f t="shared" ca="1" si="5"/>
        <v>0.93563242966718374</v>
      </c>
      <c r="I29" s="14">
        <f ca="1">IF(G29&lt;0.05,1,0)*$B$1*$B$2</f>
        <v>0</v>
      </c>
      <c r="J29" s="14">
        <f ca="1">IF(H29&lt;0.05,1,0)*$B$1*$B$2</f>
        <v>0</v>
      </c>
      <c r="K29" s="15">
        <f t="shared" ca="1" si="6"/>
        <v>0</v>
      </c>
      <c r="P29" s="3">
        <v>25</v>
      </c>
      <c r="Q29" s="4">
        <f t="shared" ca="1" si="7"/>
        <v>0.51244666542956696</v>
      </c>
      <c r="R29" s="4">
        <f t="shared" ca="1" si="8"/>
        <v>0.93563242966718374</v>
      </c>
      <c r="S29" s="4">
        <f ca="1">$B$1*Q29*$B$2</f>
        <v>20.49786661718268</v>
      </c>
      <c r="T29" s="4">
        <f ca="1">$B$1*R29*$B$2</f>
        <v>37.425297186687352</v>
      </c>
      <c r="U29" s="7">
        <f t="shared" ca="1" si="9"/>
        <v>57.923163803870032</v>
      </c>
    </row>
    <row r="30" spans="2:29" ht="25.8" x14ac:dyDescent="0.5">
      <c r="B30" s="13">
        <f t="shared" ca="1" si="0"/>
        <v>0.77761977499275636</v>
      </c>
      <c r="C30" s="14">
        <f t="shared" ca="1" si="0"/>
        <v>6.0399716819231175E-2</v>
      </c>
      <c r="D30" s="14">
        <f t="shared" ca="1" si="1"/>
        <v>0.76417921681106438</v>
      </c>
      <c r="E30" s="14">
        <f t="shared" ca="1" si="2"/>
        <v>-1.5514268133522637</v>
      </c>
      <c r="F30" s="14">
        <f t="shared" ca="1" si="3"/>
        <v>1.1510025359772524E-2</v>
      </c>
      <c r="G30" s="14">
        <f t="shared" ca="1" si="4"/>
        <v>0.77761977499275658</v>
      </c>
      <c r="H30" s="15">
        <f t="shared" ca="1" si="5"/>
        <v>6.0399716819231154E-2</v>
      </c>
      <c r="I30" s="14">
        <f ca="1">IF(G30&lt;0.05,1,0)*$B$1*$B$2</f>
        <v>0</v>
      </c>
      <c r="J30" s="14">
        <f ca="1">IF(H30&lt;0.05,1,0)*$B$1*$B$2</f>
        <v>0</v>
      </c>
      <c r="K30" s="15">
        <f t="shared" ca="1" si="6"/>
        <v>0</v>
      </c>
      <c r="P30" s="3">
        <v>26</v>
      </c>
      <c r="Q30" s="4">
        <f t="shared" ca="1" si="7"/>
        <v>0.77761977499275658</v>
      </c>
      <c r="R30" s="4">
        <f t="shared" ca="1" si="8"/>
        <v>6.0399716819231154E-2</v>
      </c>
      <c r="S30" s="4">
        <f ca="1">$B$1*Q30*$B$2</f>
        <v>31.104790999710264</v>
      </c>
      <c r="T30" s="4">
        <f ca="1">$B$1*R30*$B$2</f>
        <v>2.4159886727692466</v>
      </c>
      <c r="U30" s="7">
        <f t="shared" ca="1" si="9"/>
        <v>33.520779672479513</v>
      </c>
      <c r="X30" s="29" t="s">
        <v>29</v>
      </c>
      <c r="Y30" s="30"/>
      <c r="Z30" s="30"/>
      <c r="AA30" s="30"/>
      <c r="AB30" s="25"/>
      <c r="AC30" s="25"/>
    </row>
    <row r="31" spans="2:29" x14ac:dyDescent="0.3">
      <c r="B31" s="13">
        <f t="shared" ca="1" si="0"/>
        <v>0.8992634858419738</v>
      </c>
      <c r="C31" s="14">
        <f t="shared" ca="1" si="0"/>
        <v>0.80896392811293849</v>
      </c>
      <c r="D31" s="14">
        <f t="shared" ca="1" si="1"/>
        <v>1.2773660968202722</v>
      </c>
      <c r="E31" s="14">
        <f t="shared" ca="1" si="2"/>
        <v>0.8740846728675693</v>
      </c>
      <c r="F31" s="14">
        <f t="shared" ca="1" si="3"/>
        <v>1.5306341628509994</v>
      </c>
      <c r="G31" s="14">
        <f t="shared" ca="1" si="4"/>
        <v>0.89926348584197391</v>
      </c>
      <c r="H31" s="15">
        <f t="shared" ca="1" si="5"/>
        <v>0.80896392811293849</v>
      </c>
      <c r="I31" s="14">
        <f ca="1">IF(G31&lt;0.05,1,0)*$B$1*$B$2</f>
        <v>0</v>
      </c>
      <c r="J31" s="14">
        <f ca="1">IF(H31&lt;0.05,1,0)*$B$1*$B$2</f>
        <v>0</v>
      </c>
      <c r="K31" s="15">
        <f t="shared" ca="1" si="6"/>
        <v>0</v>
      </c>
      <c r="P31" s="3">
        <v>27</v>
      </c>
      <c r="Q31" s="4">
        <f t="shared" ca="1" si="7"/>
        <v>0.89926348584197391</v>
      </c>
      <c r="R31" s="4">
        <f t="shared" ca="1" si="8"/>
        <v>0.80896392811293849</v>
      </c>
      <c r="S31" s="4">
        <f ca="1">$B$1*Q31*$B$2</f>
        <v>35.970539433678958</v>
      </c>
      <c r="T31" s="4">
        <f ca="1">$B$1*R31*$B$2</f>
        <v>32.358557124517539</v>
      </c>
      <c r="U31" s="7">
        <f t="shared" ca="1" si="9"/>
        <v>68.329096558196497</v>
      </c>
    </row>
    <row r="32" spans="2:29" x14ac:dyDescent="0.3">
      <c r="B32" s="13">
        <f t="shared" ca="1" si="0"/>
        <v>0.6843558617743738</v>
      </c>
      <c r="C32" s="14">
        <f t="shared" ca="1" si="0"/>
        <v>0.957796688447904</v>
      </c>
      <c r="D32" s="14">
        <f t="shared" ca="1" si="1"/>
        <v>0.47991437890641292</v>
      </c>
      <c r="E32" s="14">
        <f t="shared" ca="1" si="2"/>
        <v>1.725670972280009</v>
      </c>
      <c r="F32" s="14">
        <f t="shared" ca="1" si="3"/>
        <v>1.1841254788127853</v>
      </c>
      <c r="G32" s="14">
        <f t="shared" ca="1" si="4"/>
        <v>0.68435586177437391</v>
      </c>
      <c r="H32" s="15">
        <f t="shared" ca="1" si="5"/>
        <v>0.957796688447904</v>
      </c>
      <c r="I32" s="14">
        <f ca="1">IF(G32&lt;0.05,1,0)*$B$1*$B$2</f>
        <v>0</v>
      </c>
      <c r="J32" s="14">
        <f ca="1">IF(H32&lt;0.05,1,0)*$B$1*$B$2</f>
        <v>0</v>
      </c>
      <c r="K32" s="15">
        <f t="shared" ca="1" si="6"/>
        <v>0</v>
      </c>
      <c r="P32" s="3">
        <v>28</v>
      </c>
      <c r="Q32" s="4">
        <f t="shared" ca="1" si="7"/>
        <v>0.68435586177437391</v>
      </c>
      <c r="R32" s="4">
        <f t="shared" ca="1" si="8"/>
        <v>0.957796688447904</v>
      </c>
      <c r="S32" s="4">
        <f ca="1">$B$1*Q32*$B$2</f>
        <v>27.374234470974955</v>
      </c>
      <c r="T32" s="4">
        <f ca="1">$B$1*R32*$B$2</f>
        <v>38.311867537916157</v>
      </c>
      <c r="U32" s="7">
        <f t="shared" ca="1" si="9"/>
        <v>65.686102008891112</v>
      </c>
    </row>
    <row r="33" spans="2:21" x14ac:dyDescent="0.3">
      <c r="B33" s="13">
        <f t="shared" ca="1" si="0"/>
        <v>0.27473623423556803</v>
      </c>
      <c r="C33" s="14">
        <f t="shared" ca="1" si="0"/>
        <v>0.34719898290508977</v>
      </c>
      <c r="D33" s="14">
        <f t="shared" ca="1" si="1"/>
        <v>-0.59855080734690447</v>
      </c>
      <c r="E33" s="14">
        <f t="shared" ca="1" si="2"/>
        <v>-0.39289373933717214</v>
      </c>
      <c r="F33" s="14">
        <f t="shared" ca="1" si="3"/>
        <v>-0.70995413714426836</v>
      </c>
      <c r="G33" s="14">
        <f t="shared" ca="1" si="4"/>
        <v>0.27473623423556792</v>
      </c>
      <c r="H33" s="15">
        <f t="shared" ca="1" si="5"/>
        <v>0.34719898290508971</v>
      </c>
      <c r="I33" s="14">
        <f ca="1">IF(G33&lt;0.05,1,0)*$B$1*$B$2</f>
        <v>0</v>
      </c>
      <c r="J33" s="14">
        <f ca="1">IF(H33&lt;0.05,1,0)*$B$1*$B$2</f>
        <v>0</v>
      </c>
      <c r="K33" s="15">
        <f t="shared" ca="1" si="6"/>
        <v>0</v>
      </c>
      <c r="P33" s="3">
        <v>29</v>
      </c>
      <c r="Q33" s="4">
        <f t="shared" ca="1" si="7"/>
        <v>0.27473623423556792</v>
      </c>
      <c r="R33" s="4">
        <f t="shared" ca="1" si="8"/>
        <v>0.34719898290508971</v>
      </c>
      <c r="S33" s="4">
        <f ca="1">$B$1*Q33*$B$2</f>
        <v>10.989449369422717</v>
      </c>
      <c r="T33" s="4">
        <f ca="1">$B$1*R33*$B$2</f>
        <v>13.88795931620359</v>
      </c>
      <c r="U33" s="7">
        <f t="shared" ca="1" si="9"/>
        <v>24.877408685626307</v>
      </c>
    </row>
    <row r="34" spans="2:21" x14ac:dyDescent="0.3">
      <c r="B34" s="13">
        <f t="shared" ca="1" si="0"/>
        <v>0.11538630823303797</v>
      </c>
      <c r="C34" s="14">
        <f t="shared" ca="1" si="0"/>
        <v>0.10618509390415942</v>
      </c>
      <c r="D34" s="14">
        <f t="shared" ca="1" si="1"/>
        <v>-1.1983710016124902</v>
      </c>
      <c r="E34" s="14">
        <f t="shared" ca="1" si="2"/>
        <v>-1.2470744841632282</v>
      </c>
      <c r="F34" s="14">
        <f t="shared" ca="1" si="3"/>
        <v>-1.6221210666048038</v>
      </c>
      <c r="G34" s="14">
        <f t="shared" ca="1" si="4"/>
        <v>0.1153863082330378</v>
      </c>
      <c r="H34" s="15">
        <f t="shared" ca="1" si="5"/>
        <v>0.10618509390415928</v>
      </c>
      <c r="I34" s="14">
        <f ca="1">IF(G34&lt;0.05,1,0)*$B$1*$B$2</f>
        <v>0</v>
      </c>
      <c r="J34" s="14">
        <f ca="1">IF(H34&lt;0.05,1,0)*$B$1*$B$2</f>
        <v>0</v>
      </c>
      <c r="K34" s="15">
        <f t="shared" ca="1" si="6"/>
        <v>0</v>
      </c>
      <c r="P34" s="3">
        <v>30</v>
      </c>
      <c r="Q34" s="4">
        <f t="shared" ca="1" si="7"/>
        <v>0.1153863082330378</v>
      </c>
      <c r="R34" s="4">
        <f t="shared" ca="1" si="8"/>
        <v>0.10618509390415928</v>
      </c>
      <c r="S34" s="4">
        <f ca="1">$B$1*Q34*$B$2</f>
        <v>4.6154523293215126</v>
      </c>
      <c r="T34" s="4">
        <f ca="1">$B$1*R34*$B$2</f>
        <v>4.2474037561663716</v>
      </c>
      <c r="U34" s="7">
        <f t="shared" ca="1" si="9"/>
        <v>8.8628560854878842</v>
      </c>
    </row>
    <row r="35" spans="2:21" x14ac:dyDescent="0.3">
      <c r="B35" s="13">
        <f t="shared" ca="1" si="0"/>
        <v>0.74735447748807449</v>
      </c>
      <c r="C35" s="14">
        <f t="shared" ca="1" si="0"/>
        <v>0.62986316541914134</v>
      </c>
      <c r="D35" s="14">
        <f t="shared" ca="1" si="1"/>
        <v>0.66618783896485001</v>
      </c>
      <c r="E35" s="14">
        <f t="shared" ca="1" si="2"/>
        <v>0.3314909587837146</v>
      </c>
      <c r="F35" s="14">
        <f t="shared" ca="1" si="3"/>
        <v>0.74406261407192686</v>
      </c>
      <c r="G35" s="14">
        <f t="shared" ca="1" si="4"/>
        <v>0.74735447748807449</v>
      </c>
      <c r="H35" s="15">
        <f t="shared" ca="1" si="5"/>
        <v>0.62986316541914134</v>
      </c>
      <c r="I35" s="14">
        <f ca="1">IF(G35&lt;0.05,1,0)*$B$1*$B$2</f>
        <v>0</v>
      </c>
      <c r="J35" s="14">
        <f ca="1">IF(H35&lt;0.05,1,0)*$B$1*$B$2</f>
        <v>0</v>
      </c>
      <c r="K35" s="15">
        <f t="shared" ca="1" si="6"/>
        <v>0</v>
      </c>
      <c r="P35" s="3">
        <v>31</v>
      </c>
      <c r="Q35" s="4">
        <f t="shared" ca="1" si="7"/>
        <v>0.74735447748807449</v>
      </c>
      <c r="R35" s="4">
        <f t="shared" ca="1" si="8"/>
        <v>0.62986316541914134</v>
      </c>
      <c r="S35" s="4">
        <f ca="1">$B$1*Q35*$B$2</f>
        <v>29.894179099522979</v>
      </c>
      <c r="T35" s="4">
        <f ca="1">$B$1*R35*$B$2</f>
        <v>25.194526616765657</v>
      </c>
      <c r="U35" s="7">
        <f t="shared" ca="1" si="9"/>
        <v>55.088705716288636</v>
      </c>
    </row>
    <row r="36" spans="2:21" x14ac:dyDescent="0.3">
      <c r="B36" s="13">
        <f t="shared" ca="1" si="0"/>
        <v>0.35302533383217738</v>
      </c>
      <c r="C36" s="14">
        <f t="shared" ca="1" si="0"/>
        <v>0.24718800130037433</v>
      </c>
      <c r="D36" s="14">
        <f t="shared" ca="1" si="1"/>
        <v>-0.37716543214246551</v>
      </c>
      <c r="E36" s="14">
        <f t="shared" ca="1" si="2"/>
        <v>-0.68336536074180398</v>
      </c>
      <c r="F36" s="14">
        <f t="shared" ca="1" si="3"/>
        <v>-0.63732094382719295</v>
      </c>
      <c r="G36" s="14">
        <f t="shared" ca="1" si="4"/>
        <v>0.35302533383217732</v>
      </c>
      <c r="H36" s="15">
        <f t="shared" ca="1" si="5"/>
        <v>0.24718800130037422</v>
      </c>
      <c r="I36" s="14">
        <f ca="1">IF(G36&lt;0.05,1,0)*$B$1*$B$2</f>
        <v>0</v>
      </c>
      <c r="J36" s="14">
        <f ca="1">IF(H36&lt;0.05,1,0)*$B$1*$B$2</f>
        <v>0</v>
      </c>
      <c r="K36" s="15">
        <f t="shared" ca="1" si="6"/>
        <v>0</v>
      </c>
      <c r="P36" s="3">
        <v>32</v>
      </c>
      <c r="Q36" s="4">
        <f t="shared" ca="1" si="7"/>
        <v>0.35302533383217732</v>
      </c>
      <c r="R36" s="4">
        <f t="shared" ca="1" si="8"/>
        <v>0.24718800130037422</v>
      </c>
      <c r="S36" s="4">
        <f ca="1">$B$1*Q36*$B$2</f>
        <v>14.121013353287095</v>
      </c>
      <c r="T36" s="4">
        <f ca="1">$B$1*R36*$B$2</f>
        <v>9.8875200520149704</v>
      </c>
      <c r="U36" s="7">
        <f t="shared" ca="1" si="9"/>
        <v>24.008533405302067</v>
      </c>
    </row>
    <row r="37" spans="2:21" x14ac:dyDescent="0.3">
      <c r="B37" s="13">
        <f t="shared" ca="1" si="0"/>
        <v>0.84481961513387493</v>
      </c>
      <c r="C37" s="14">
        <f t="shared" ca="1" si="0"/>
        <v>0.95063351087283143</v>
      </c>
      <c r="D37" s="14">
        <f t="shared" ca="1" si="1"/>
        <v>1.0144653194329079</v>
      </c>
      <c r="E37" s="14">
        <f t="shared" ca="1" si="2"/>
        <v>1.6510274092705157</v>
      </c>
      <c r="F37" s="14">
        <f t="shared" ca="1" si="3"/>
        <v>1.6326849504922114</v>
      </c>
      <c r="G37" s="14">
        <f t="shared" ca="1" si="4"/>
        <v>0.84481961513387471</v>
      </c>
      <c r="H37" s="15">
        <f t="shared" ca="1" si="5"/>
        <v>0.95063351087283143</v>
      </c>
      <c r="I37" s="14">
        <f ca="1">IF(G37&lt;0.05,1,0)*$B$1*$B$2</f>
        <v>0</v>
      </c>
      <c r="J37" s="14">
        <f ca="1">IF(H37&lt;0.05,1,0)*$B$1*$B$2</f>
        <v>0</v>
      </c>
      <c r="K37" s="15">
        <f t="shared" ca="1" si="6"/>
        <v>0</v>
      </c>
      <c r="P37" s="3">
        <v>33</v>
      </c>
      <c r="Q37" s="4">
        <f t="shared" ca="1" si="7"/>
        <v>0.84481961513387471</v>
      </c>
      <c r="R37" s="4">
        <f t="shared" ca="1" si="8"/>
        <v>0.95063351087283143</v>
      </c>
      <c r="S37" s="4">
        <f ca="1">$B$1*Q37*$B$2</f>
        <v>33.792784605354989</v>
      </c>
      <c r="T37" s="4">
        <f ca="1">$B$1*R37*$B$2</f>
        <v>38.025340434913254</v>
      </c>
      <c r="U37" s="7">
        <f t="shared" ca="1" si="9"/>
        <v>71.818125040268242</v>
      </c>
    </row>
    <row r="38" spans="2:21" x14ac:dyDescent="0.3">
      <c r="B38" s="13">
        <f t="shared" ca="1" si="0"/>
        <v>0.27461630927210623</v>
      </c>
      <c r="C38" s="14">
        <f t="shared" ca="1" si="0"/>
        <v>0.83530585488465714</v>
      </c>
      <c r="D38" s="14">
        <f t="shared" ca="1" si="1"/>
        <v>-0.59891042592159593</v>
      </c>
      <c r="E38" s="14">
        <f t="shared" ca="1" si="2"/>
        <v>0.97534674560316192</v>
      </c>
      <c r="F38" s="14">
        <f t="shared" ca="1" si="3"/>
        <v>-0.11387559342989073</v>
      </c>
      <c r="G38" s="14">
        <f t="shared" ca="1" si="4"/>
        <v>0.27461630927210612</v>
      </c>
      <c r="H38" s="15">
        <f t="shared" ca="1" si="5"/>
        <v>0.83530585488465703</v>
      </c>
      <c r="I38" s="14">
        <f ca="1">IF(G38&lt;0.05,1,0)*$B$1*$B$2</f>
        <v>0</v>
      </c>
      <c r="J38" s="14">
        <f ca="1">IF(H38&lt;0.05,1,0)*$B$1*$B$2</f>
        <v>0</v>
      </c>
      <c r="K38" s="15">
        <f t="shared" ca="1" si="6"/>
        <v>0</v>
      </c>
      <c r="P38" s="3">
        <v>34</v>
      </c>
      <c r="Q38" s="4">
        <f t="shared" ca="1" si="7"/>
        <v>0.27461630927210612</v>
      </c>
      <c r="R38" s="4">
        <f t="shared" ca="1" si="8"/>
        <v>0.83530585488465703</v>
      </c>
      <c r="S38" s="4">
        <f ca="1">$B$1*Q38*$B$2</f>
        <v>10.984652370884247</v>
      </c>
      <c r="T38" s="4">
        <f ca="1">$B$1*R38*$B$2</f>
        <v>33.412234195386283</v>
      </c>
      <c r="U38" s="7">
        <f t="shared" ca="1" si="9"/>
        <v>44.396886566270531</v>
      </c>
    </row>
    <row r="39" spans="2:21" x14ac:dyDescent="0.3">
      <c r="B39" s="13">
        <f t="shared" ca="1" si="0"/>
        <v>0.75742872063626898</v>
      </c>
      <c r="C39" s="14">
        <f t="shared" ca="1" si="0"/>
        <v>0.48109075989749728</v>
      </c>
      <c r="D39" s="14">
        <f t="shared" ca="1" si="1"/>
        <v>0.69805538380185317</v>
      </c>
      <c r="E39" s="14">
        <f t="shared" ca="1" si="2"/>
        <v>-4.7416197508473749E-2</v>
      </c>
      <c r="F39" s="14">
        <f t="shared" ca="1" si="3"/>
        <v>0.60758160409902762</v>
      </c>
      <c r="G39" s="14">
        <f t="shared" ca="1" si="4"/>
        <v>0.75742872063626909</v>
      </c>
      <c r="H39" s="15">
        <f t="shared" ca="1" si="5"/>
        <v>0.48109075989749728</v>
      </c>
      <c r="I39" s="14">
        <f ca="1">IF(G39&lt;0.05,1,0)*$B$1*$B$2</f>
        <v>0</v>
      </c>
      <c r="J39" s="14">
        <f ca="1">IF(H39&lt;0.05,1,0)*$B$1*$B$2</f>
        <v>0</v>
      </c>
      <c r="K39" s="15">
        <f t="shared" ca="1" si="6"/>
        <v>0</v>
      </c>
      <c r="P39" s="3">
        <v>35</v>
      </c>
      <c r="Q39" s="4">
        <f t="shared" ca="1" si="7"/>
        <v>0.75742872063626909</v>
      </c>
      <c r="R39" s="4">
        <f t="shared" ca="1" si="8"/>
        <v>0.48109075989749728</v>
      </c>
      <c r="S39" s="4">
        <f ca="1">$B$1*Q39*$B$2</f>
        <v>30.297148825450762</v>
      </c>
      <c r="T39" s="4">
        <f ca="1">$B$1*R39*$B$2</f>
        <v>19.243630395899892</v>
      </c>
      <c r="U39" s="7">
        <f t="shared" ca="1" si="9"/>
        <v>49.540779221350654</v>
      </c>
    </row>
    <row r="40" spans="2:21" x14ac:dyDescent="0.3">
      <c r="B40" s="13">
        <f t="shared" ca="1" si="0"/>
        <v>0.33225162920720541</v>
      </c>
      <c r="C40" s="14">
        <f t="shared" ca="1" si="0"/>
        <v>0.76806448477969125</v>
      </c>
      <c r="D40" s="14">
        <f t="shared" ca="1" si="1"/>
        <v>-0.43370419709699326</v>
      </c>
      <c r="E40" s="14">
        <f t="shared" ca="1" si="2"/>
        <v>0.73248756398920301</v>
      </c>
      <c r="F40" s="14">
        <f t="shared" ca="1" si="3"/>
        <v>-7.1049850504372181E-2</v>
      </c>
      <c r="G40" s="14">
        <f t="shared" ca="1" si="4"/>
        <v>0.33225162920720541</v>
      </c>
      <c r="H40" s="15">
        <f t="shared" ca="1" si="5"/>
        <v>0.76806448477969125</v>
      </c>
      <c r="I40" s="14">
        <f ca="1">IF(G40&lt;0.05,1,0)*$B$1*$B$2</f>
        <v>0</v>
      </c>
      <c r="J40" s="14">
        <f ca="1">IF(H40&lt;0.05,1,0)*$B$1*$B$2</f>
        <v>0</v>
      </c>
      <c r="K40" s="15">
        <f t="shared" ca="1" si="6"/>
        <v>0</v>
      </c>
      <c r="P40" s="3">
        <v>36</v>
      </c>
      <c r="Q40" s="4">
        <f t="shared" ca="1" si="7"/>
        <v>0.33225162920720541</v>
      </c>
      <c r="R40" s="4">
        <f t="shared" ca="1" si="8"/>
        <v>0.76806448477969125</v>
      </c>
      <c r="S40" s="4">
        <f ca="1">$B$1*Q40*$B$2</f>
        <v>13.290065168288217</v>
      </c>
      <c r="T40" s="4">
        <f ca="1">$B$1*R40*$B$2</f>
        <v>30.722579391187651</v>
      </c>
      <c r="U40" s="7">
        <f t="shared" ca="1" si="9"/>
        <v>44.012644559475866</v>
      </c>
    </row>
    <row r="41" spans="2:21" x14ac:dyDescent="0.3">
      <c r="B41" s="13">
        <f t="shared" ca="1" si="0"/>
        <v>0.65061552241901288</v>
      </c>
      <c r="C41" s="14">
        <f t="shared" ca="1" si="0"/>
        <v>0.49215269766385805</v>
      </c>
      <c r="D41" s="14">
        <f t="shared" ca="1" si="1"/>
        <v>0.38698278149134457</v>
      </c>
      <c r="E41" s="14">
        <f t="shared" ca="1" si="2"/>
        <v>-1.967153855571924E-2</v>
      </c>
      <c r="F41" s="14">
        <f t="shared" ca="1" si="3"/>
        <v>0.33970987847937567</v>
      </c>
      <c r="G41" s="14">
        <f t="shared" ca="1" si="4"/>
        <v>0.65061552241901288</v>
      </c>
      <c r="H41" s="15">
        <f t="shared" ca="1" si="5"/>
        <v>0.49215269766385805</v>
      </c>
      <c r="I41" s="14">
        <f ca="1">IF(G41&lt;0.05,1,0)*$B$1*$B$2</f>
        <v>0</v>
      </c>
      <c r="J41" s="14">
        <f ca="1">IF(H41&lt;0.05,1,0)*$B$1*$B$2</f>
        <v>0</v>
      </c>
      <c r="K41" s="15">
        <f t="shared" ca="1" si="6"/>
        <v>0</v>
      </c>
      <c r="P41" s="3">
        <v>37</v>
      </c>
      <c r="Q41" s="4">
        <f t="shared" ca="1" si="7"/>
        <v>0.65061552241901288</v>
      </c>
      <c r="R41" s="4">
        <f t="shared" ca="1" si="8"/>
        <v>0.49215269766385805</v>
      </c>
      <c r="S41" s="4">
        <f ca="1">$B$1*Q41*$B$2</f>
        <v>26.024620896760513</v>
      </c>
      <c r="T41" s="4">
        <f ca="1">$B$1*R41*$B$2</f>
        <v>19.686107906554323</v>
      </c>
      <c r="U41" s="7">
        <f t="shared" ca="1" si="9"/>
        <v>45.710728803314836</v>
      </c>
    </row>
    <row r="42" spans="2:21" x14ac:dyDescent="0.3">
      <c r="B42" s="13">
        <f t="shared" ca="1" si="0"/>
        <v>0.23615666325123097</v>
      </c>
      <c r="C42" s="14">
        <f t="shared" ca="1" si="0"/>
        <v>0.83194973272344575</v>
      </c>
      <c r="D42" s="14">
        <f t="shared" ca="1" si="1"/>
        <v>-0.71872021311320333</v>
      </c>
      <c r="E42" s="14">
        <f t="shared" ca="1" si="2"/>
        <v>0.96189861462447568</v>
      </c>
      <c r="F42" s="14">
        <f t="shared" ca="1" si="3"/>
        <v>-0.22756630629389663</v>
      </c>
      <c r="G42" s="14">
        <f t="shared" ca="1" si="4"/>
        <v>0.23615666325123094</v>
      </c>
      <c r="H42" s="15">
        <f t="shared" ca="1" si="5"/>
        <v>0.83194973272344552</v>
      </c>
      <c r="I42" s="14">
        <f ca="1">IF(G42&lt;0.05,1,0)*$B$1*$B$2</f>
        <v>0</v>
      </c>
      <c r="J42" s="14">
        <f ca="1">IF(H42&lt;0.05,1,0)*$B$1*$B$2</f>
        <v>0</v>
      </c>
      <c r="K42" s="15">
        <f t="shared" ca="1" si="6"/>
        <v>0</v>
      </c>
      <c r="P42" s="3">
        <v>38</v>
      </c>
      <c r="Q42" s="4">
        <f t="shared" ca="1" si="7"/>
        <v>0.23615666325123094</v>
      </c>
      <c r="R42" s="4">
        <f t="shared" ca="1" si="8"/>
        <v>0.83194973272344552</v>
      </c>
      <c r="S42" s="4">
        <f ca="1">$B$1*Q42*$B$2</f>
        <v>9.4462665300492379</v>
      </c>
      <c r="T42" s="4">
        <f ca="1">$B$1*R42*$B$2</f>
        <v>33.277989308937826</v>
      </c>
      <c r="U42" s="7">
        <f t="shared" ca="1" si="9"/>
        <v>42.724255838987062</v>
      </c>
    </row>
    <row r="43" spans="2:21" x14ac:dyDescent="0.3">
      <c r="B43" s="13">
        <f t="shared" ca="1" si="0"/>
        <v>0.33277476637621251</v>
      </c>
      <c r="C43" s="14">
        <f t="shared" ca="1" si="0"/>
        <v>0.4804311245442825</v>
      </c>
      <c r="D43" s="14">
        <f t="shared" ca="1" si="1"/>
        <v>-0.43226402207805353</v>
      </c>
      <c r="E43" s="14">
        <f t="shared" ca="1" si="2"/>
        <v>-4.9071583636884748E-2</v>
      </c>
      <c r="F43" s="14">
        <f t="shared" ca="1" si="3"/>
        <v>-0.41042742727751669</v>
      </c>
      <c r="G43" s="14">
        <f t="shared" ca="1" si="4"/>
        <v>0.33277476637621245</v>
      </c>
      <c r="H43" s="15">
        <f t="shared" ca="1" si="5"/>
        <v>0.4804311245442825</v>
      </c>
      <c r="I43" s="14">
        <f ca="1">IF(G43&lt;0.05,1,0)*$B$1*$B$2</f>
        <v>0</v>
      </c>
      <c r="J43" s="14">
        <f ca="1">IF(H43&lt;0.05,1,0)*$B$1*$B$2</f>
        <v>0</v>
      </c>
      <c r="K43" s="15">
        <f t="shared" ca="1" si="6"/>
        <v>0</v>
      </c>
      <c r="P43" s="3">
        <v>39</v>
      </c>
      <c r="Q43" s="4">
        <f t="shared" ca="1" si="7"/>
        <v>0.33277476637621245</v>
      </c>
      <c r="R43" s="4">
        <f t="shared" ca="1" si="8"/>
        <v>0.4804311245442825</v>
      </c>
      <c r="S43" s="4">
        <f ca="1">$B$1*Q43*$B$2</f>
        <v>13.310990655048499</v>
      </c>
      <c r="T43" s="4">
        <f ca="1">$B$1*R43*$B$2</f>
        <v>19.217244981771302</v>
      </c>
      <c r="U43" s="7">
        <f t="shared" ca="1" si="9"/>
        <v>32.528235636819801</v>
      </c>
    </row>
    <row r="44" spans="2:21" x14ac:dyDescent="0.3">
      <c r="B44" s="13">
        <f t="shared" ca="1" si="0"/>
        <v>0.57492387743759232</v>
      </c>
      <c r="C44" s="14">
        <f t="shared" ca="1" si="0"/>
        <v>0.78436619727601031</v>
      </c>
      <c r="D44" s="14">
        <f t="shared" ca="1" si="1"/>
        <v>0.18892417592776384</v>
      </c>
      <c r="E44" s="14">
        <f t="shared" ca="1" si="2"/>
        <v>0.78702436125026376</v>
      </c>
      <c r="F44" s="14">
        <f t="shared" ca="1" si="3"/>
        <v>0.51308772401444225</v>
      </c>
      <c r="G44" s="14">
        <f t="shared" ca="1" si="4"/>
        <v>0.57492387743759232</v>
      </c>
      <c r="H44" s="15">
        <f t="shared" ca="1" si="5"/>
        <v>0.78436619727601053</v>
      </c>
      <c r="I44" s="14">
        <f ca="1">IF(G44&lt;0.05,1,0)*$B$1*$B$2</f>
        <v>0</v>
      </c>
      <c r="J44" s="14">
        <f ca="1">IF(H44&lt;0.05,1,0)*$B$1*$B$2</f>
        <v>0</v>
      </c>
      <c r="K44" s="15">
        <f t="shared" ca="1" si="6"/>
        <v>0</v>
      </c>
      <c r="P44" s="3">
        <v>40</v>
      </c>
      <c r="Q44" s="4">
        <f t="shared" ca="1" si="7"/>
        <v>0.57492387743759232</v>
      </c>
      <c r="R44" s="4">
        <f t="shared" ca="1" si="8"/>
        <v>0.78436619727601053</v>
      </c>
      <c r="S44" s="4">
        <f ca="1">$B$1*Q44*$B$2</f>
        <v>22.996955097503694</v>
      </c>
      <c r="T44" s="4">
        <f ca="1">$B$1*R44*$B$2</f>
        <v>31.374647891040425</v>
      </c>
      <c r="U44" s="7">
        <f t="shared" ca="1" si="9"/>
        <v>54.371602988544119</v>
      </c>
    </row>
    <row r="45" spans="2:21" x14ac:dyDescent="0.3">
      <c r="B45" s="13">
        <f t="shared" ca="1" si="0"/>
        <v>0.7424609965137644</v>
      </c>
      <c r="C45" s="14">
        <f t="shared" ca="1" si="0"/>
        <v>0.64668935758182244</v>
      </c>
      <c r="D45" s="14">
        <f t="shared" ca="1" si="1"/>
        <v>0.65095117214494624</v>
      </c>
      <c r="E45" s="14">
        <f t="shared" ca="1" si="2"/>
        <v>0.37639766071101888</v>
      </c>
      <c r="F45" s="14">
        <f t="shared" ca="1" si="3"/>
        <v>0.74992399149289579</v>
      </c>
      <c r="G45" s="14">
        <f t="shared" ca="1" si="4"/>
        <v>0.74246099651376452</v>
      </c>
      <c r="H45" s="15">
        <f t="shared" ca="1" si="5"/>
        <v>0.64668935758182244</v>
      </c>
      <c r="I45" s="14">
        <f ca="1">IF(G45&lt;0.05,1,0)*$B$1*$B$2</f>
        <v>0</v>
      </c>
      <c r="J45" s="14">
        <f ca="1">IF(H45&lt;0.05,1,0)*$B$1*$B$2</f>
        <v>0</v>
      </c>
      <c r="K45" s="15">
        <f t="shared" ca="1" si="6"/>
        <v>0</v>
      </c>
      <c r="P45" s="3">
        <v>41</v>
      </c>
      <c r="Q45" s="4">
        <f t="shared" ca="1" si="7"/>
        <v>0.74246099651376452</v>
      </c>
      <c r="R45" s="4">
        <f t="shared" ca="1" si="8"/>
        <v>0.64668935758182244</v>
      </c>
      <c r="S45" s="4">
        <f ca="1">$B$1*Q45*$B$2</f>
        <v>29.698439860550582</v>
      </c>
      <c r="T45" s="4">
        <f ca="1">$B$1*R45*$B$2</f>
        <v>25.8675743032729</v>
      </c>
      <c r="U45" s="7">
        <f t="shared" ca="1" si="9"/>
        <v>55.566014163823482</v>
      </c>
    </row>
    <row r="46" spans="2:21" x14ac:dyDescent="0.3">
      <c r="B46" s="13">
        <f t="shared" ca="1" si="0"/>
        <v>0.88154833331628035</v>
      </c>
      <c r="C46" s="14">
        <f t="shared" ca="1" si="0"/>
        <v>0.68259269239163178</v>
      </c>
      <c r="D46" s="14">
        <f t="shared" ca="1" si="1"/>
        <v>1.1827623815235899</v>
      </c>
      <c r="E46" s="14">
        <f t="shared" ca="1" si="2"/>
        <v>0.4749612190705097</v>
      </c>
      <c r="F46" s="14">
        <f t="shared" ca="1" si="3"/>
        <v>1.2715169389741545</v>
      </c>
      <c r="G46" s="14">
        <f t="shared" ca="1" si="4"/>
        <v>0.88154833331628035</v>
      </c>
      <c r="H46" s="15">
        <f t="shared" ca="1" si="5"/>
        <v>0.68259269239163178</v>
      </c>
      <c r="I46" s="14">
        <f ca="1">IF(G46&lt;0.05,1,0)*$B$1*$B$2</f>
        <v>0</v>
      </c>
      <c r="J46" s="14">
        <f ca="1">IF(H46&lt;0.05,1,0)*$B$1*$B$2</f>
        <v>0</v>
      </c>
      <c r="K46" s="15">
        <f t="shared" ca="1" si="6"/>
        <v>0</v>
      </c>
      <c r="P46" s="3">
        <v>42</v>
      </c>
      <c r="Q46" s="4">
        <f t="shared" ca="1" si="7"/>
        <v>0.88154833331628035</v>
      </c>
      <c r="R46" s="4">
        <f t="shared" ca="1" si="8"/>
        <v>0.68259269239163178</v>
      </c>
      <c r="S46" s="4">
        <f ca="1">$B$1*Q46*$B$2</f>
        <v>35.261933332651218</v>
      </c>
      <c r="T46" s="4">
        <f ca="1">$B$1*R46*$B$2</f>
        <v>27.30370769566527</v>
      </c>
      <c r="U46" s="7">
        <f t="shared" ca="1" si="9"/>
        <v>62.565641028316492</v>
      </c>
    </row>
    <row r="47" spans="2:21" x14ac:dyDescent="0.3">
      <c r="B47" s="13">
        <f t="shared" ca="1" si="0"/>
        <v>0.46057939934204117</v>
      </c>
      <c r="C47" s="14">
        <f t="shared" ca="1" si="0"/>
        <v>0.17134161776894785</v>
      </c>
      <c r="D47" s="14">
        <f t="shared" ca="1" si="1"/>
        <v>-9.8974144881666476E-2</v>
      </c>
      <c r="E47" s="14">
        <f t="shared" ca="1" si="2"/>
        <v>-0.94887687828675837</v>
      </c>
      <c r="F47" s="14">
        <f t="shared" ca="1" si="3"/>
        <v>-0.5026825726249321</v>
      </c>
      <c r="G47" s="14">
        <f t="shared" ca="1" si="4"/>
        <v>0.46057939934204117</v>
      </c>
      <c r="H47" s="15">
        <f t="shared" ca="1" si="5"/>
        <v>0.17134161776894777</v>
      </c>
      <c r="I47" s="14">
        <f ca="1">IF(G47&lt;0.05,1,0)*$B$1*$B$2</f>
        <v>0</v>
      </c>
      <c r="J47" s="14">
        <f ca="1">IF(H47&lt;0.05,1,0)*$B$1*$B$2</f>
        <v>0</v>
      </c>
      <c r="K47" s="15">
        <f t="shared" ca="1" si="6"/>
        <v>0</v>
      </c>
      <c r="P47" s="3">
        <v>43</v>
      </c>
      <c r="Q47" s="4">
        <f t="shared" ca="1" si="7"/>
        <v>0.46057939934204117</v>
      </c>
      <c r="R47" s="4">
        <f t="shared" ca="1" si="8"/>
        <v>0.17134161776894777</v>
      </c>
      <c r="S47" s="4">
        <f ca="1">$B$1*Q47*$B$2</f>
        <v>18.423175973681648</v>
      </c>
      <c r="T47" s="4">
        <f ca="1">$B$1*R47*$B$2</f>
        <v>6.8536647107579114</v>
      </c>
      <c r="U47" s="7">
        <f t="shared" ca="1" si="9"/>
        <v>25.276840684439559</v>
      </c>
    </row>
    <row r="48" spans="2:21" x14ac:dyDescent="0.3">
      <c r="B48" s="13">
        <f t="shared" ca="1" si="0"/>
        <v>0.46356621759043659</v>
      </c>
      <c r="C48" s="14">
        <f t="shared" ca="1" si="0"/>
        <v>0.14812252181312169</v>
      </c>
      <c r="D48" s="14">
        <f t="shared" ca="1" si="1"/>
        <v>-9.1453270663906155E-2</v>
      </c>
      <c r="E48" s="14">
        <f t="shared" ca="1" si="2"/>
        <v>-1.0445196264592176</v>
      </c>
      <c r="F48" s="14">
        <f t="shared" ca="1" si="3"/>
        <v>-0.53760349322557377</v>
      </c>
      <c r="G48" s="14">
        <f t="shared" ca="1" si="4"/>
        <v>0.46356621759043659</v>
      </c>
      <c r="H48" s="15">
        <f t="shared" ca="1" si="5"/>
        <v>0.14812252181312263</v>
      </c>
      <c r="I48" s="14">
        <f ca="1">IF(G48&lt;0.05,1,0)*$B$1*$B$2</f>
        <v>0</v>
      </c>
      <c r="J48" s="14">
        <f ca="1">IF(H48&lt;0.05,1,0)*$B$1*$B$2</f>
        <v>0</v>
      </c>
      <c r="K48" s="15">
        <f t="shared" ca="1" si="6"/>
        <v>0</v>
      </c>
      <c r="P48" s="3">
        <v>44</v>
      </c>
      <c r="Q48" s="4">
        <f t="shared" ca="1" si="7"/>
        <v>0.46356621759043659</v>
      </c>
      <c r="R48" s="4">
        <f t="shared" ca="1" si="8"/>
        <v>0.14812252181312263</v>
      </c>
      <c r="S48" s="4">
        <f ca="1">$B$1*Q48*$B$2</f>
        <v>18.542648703617466</v>
      </c>
      <c r="T48" s="4">
        <f ca="1">$B$1*R48*$B$2</f>
        <v>5.9249008725249057</v>
      </c>
      <c r="U48" s="7">
        <f t="shared" ca="1" si="9"/>
        <v>24.467549576142371</v>
      </c>
    </row>
    <row r="49" spans="2:21" x14ac:dyDescent="0.3">
      <c r="B49" s="13">
        <f t="shared" ca="1" si="0"/>
        <v>0.45300251944915237</v>
      </c>
      <c r="C49" s="14">
        <f t="shared" ca="1" si="0"/>
        <v>0.87449882976556714</v>
      </c>
      <c r="D49" s="14">
        <f t="shared" ca="1" si="1"/>
        <v>-0.11807902992067695</v>
      </c>
      <c r="E49" s="14">
        <f t="shared" ca="1" si="2"/>
        <v>1.1479181845811524</v>
      </c>
      <c r="F49" s="14">
        <f t="shared" ca="1" si="3"/>
        <v>0.39409480927558194</v>
      </c>
      <c r="G49" s="14">
        <f t="shared" ca="1" si="4"/>
        <v>0.45300251944915237</v>
      </c>
      <c r="H49" s="15">
        <f t="shared" ca="1" si="5"/>
        <v>0.87449882976556725</v>
      </c>
      <c r="I49" s="14">
        <f ca="1">IF(G49&lt;0.05,1,0)*$B$1*$B$2</f>
        <v>0</v>
      </c>
      <c r="J49" s="14">
        <f ca="1">IF(H49&lt;0.05,1,0)*$B$1*$B$2</f>
        <v>0</v>
      </c>
      <c r="K49" s="15">
        <f t="shared" ca="1" si="6"/>
        <v>0</v>
      </c>
      <c r="P49" s="3">
        <v>45</v>
      </c>
      <c r="Q49" s="4">
        <f t="shared" ca="1" si="7"/>
        <v>0.45300251944915237</v>
      </c>
      <c r="R49" s="4">
        <f t="shared" ca="1" si="8"/>
        <v>0.87449882976556725</v>
      </c>
      <c r="S49" s="4">
        <f ca="1">$B$1*Q49*$B$2</f>
        <v>18.120100777966098</v>
      </c>
      <c r="T49" s="4">
        <f ca="1">$B$1*R49*$B$2</f>
        <v>34.979953190622687</v>
      </c>
      <c r="U49" s="7">
        <f t="shared" ca="1" si="9"/>
        <v>53.100053968588782</v>
      </c>
    </row>
    <row r="50" spans="2:21" x14ac:dyDescent="0.3">
      <c r="B50" s="13">
        <f t="shared" ca="1" si="0"/>
        <v>4.2387614223885595E-2</v>
      </c>
      <c r="C50" s="14">
        <f t="shared" ca="1" si="0"/>
        <v>0.71761376220892514</v>
      </c>
      <c r="D50" s="14">
        <f t="shared" ca="1" si="1"/>
        <v>-1.7236268485493478</v>
      </c>
      <c r="E50" s="14">
        <f t="shared" ca="1" si="2"/>
        <v>0.57576730491677552</v>
      </c>
      <c r="F50" s="14">
        <f t="shared" ca="1" si="3"/>
        <v>-1.3002930139817137</v>
      </c>
      <c r="G50" s="14">
        <f t="shared" ca="1" si="4"/>
        <v>4.2387614223885609E-2</v>
      </c>
      <c r="H50" s="15">
        <f t="shared" ca="1" si="5"/>
        <v>0.71761376220892525</v>
      </c>
      <c r="I50" s="14">
        <f ca="1">IF(G50&lt;0.05,1,0)*$B$1*$B$2</f>
        <v>40</v>
      </c>
      <c r="J50" s="14">
        <f ca="1">IF(H50&lt;0.05,1,0)*$B$1*$B$2</f>
        <v>0</v>
      </c>
      <c r="K50" s="15">
        <f t="shared" ca="1" si="6"/>
        <v>40</v>
      </c>
      <c r="P50" s="3">
        <v>46</v>
      </c>
      <c r="Q50" s="4">
        <f t="shared" ca="1" si="7"/>
        <v>4.2387614223885609E-2</v>
      </c>
      <c r="R50" s="4">
        <f t="shared" ca="1" si="8"/>
        <v>0.71761376220892525</v>
      </c>
      <c r="S50" s="4">
        <f ca="1">$B$1*Q50*$B$2</f>
        <v>1.6955045689554245</v>
      </c>
      <c r="T50" s="4">
        <f ca="1">$B$1*R50*$B$2</f>
        <v>28.704550488357015</v>
      </c>
      <c r="U50" s="7">
        <f t="shared" ca="1" si="9"/>
        <v>30.400055057312439</v>
      </c>
    </row>
    <row r="51" spans="2:21" x14ac:dyDescent="0.3">
      <c r="B51" s="13">
        <f t="shared" ca="1" si="0"/>
        <v>0.36935650382620766</v>
      </c>
      <c r="C51" s="14">
        <f t="shared" ca="1" si="0"/>
        <v>0.21058524386321997</v>
      </c>
      <c r="D51" s="14">
        <f t="shared" ca="1" si="1"/>
        <v>-0.33355814336399159</v>
      </c>
      <c r="E51" s="14">
        <f t="shared" ca="1" si="2"/>
        <v>-0.80439222899854346</v>
      </c>
      <c r="F51" s="14">
        <f t="shared" ca="1" si="3"/>
        <v>-0.65082877274500017</v>
      </c>
      <c r="G51" s="14">
        <f t="shared" ca="1" si="4"/>
        <v>0.36935650382620766</v>
      </c>
      <c r="H51" s="15">
        <f t="shared" ca="1" si="5"/>
        <v>0.21058524386322011</v>
      </c>
      <c r="I51" s="14">
        <f ca="1">IF(G51&lt;0.05,1,0)*$B$1*$B$2</f>
        <v>0</v>
      </c>
      <c r="J51" s="14">
        <f ca="1">IF(H51&lt;0.05,1,0)*$B$1*$B$2</f>
        <v>0</v>
      </c>
      <c r="K51" s="15">
        <f t="shared" ca="1" si="6"/>
        <v>0</v>
      </c>
      <c r="P51" s="3">
        <v>47</v>
      </c>
      <c r="Q51" s="4">
        <f t="shared" ca="1" si="7"/>
        <v>0.36935650382620766</v>
      </c>
      <c r="R51" s="4">
        <f t="shared" ca="1" si="8"/>
        <v>0.21058524386322011</v>
      </c>
      <c r="S51" s="4">
        <f ca="1">$B$1*Q51*$B$2</f>
        <v>14.774260153048306</v>
      </c>
      <c r="T51" s="4">
        <f ca="1">$B$1*R51*$B$2</f>
        <v>8.4234097545288051</v>
      </c>
      <c r="U51" s="7">
        <f t="shared" ca="1" si="9"/>
        <v>23.197669907577112</v>
      </c>
    </row>
    <row r="52" spans="2:21" x14ac:dyDescent="0.3">
      <c r="B52" s="13">
        <f t="shared" ca="1" si="0"/>
        <v>0.78823451851693116</v>
      </c>
      <c r="C52" s="14">
        <f t="shared" ca="1" si="0"/>
        <v>0.92003727679926162</v>
      </c>
      <c r="D52" s="14">
        <f t="shared" ca="1" si="1"/>
        <v>0.80031042764788451</v>
      </c>
      <c r="E52" s="14">
        <f t="shared" ca="1" si="2"/>
        <v>1.4053223460369892</v>
      </c>
      <c r="F52" s="14">
        <f t="shared" ca="1" si="3"/>
        <v>1.3328451938305692</v>
      </c>
      <c r="G52" s="14">
        <f t="shared" ca="1" si="4"/>
        <v>0.78823451851693116</v>
      </c>
      <c r="H52" s="15">
        <f t="shared" ca="1" si="5"/>
        <v>0.92003727679926173</v>
      </c>
      <c r="I52" s="14">
        <f ca="1">IF(G52&lt;0.05,1,0)*$B$1*$B$2</f>
        <v>0</v>
      </c>
      <c r="J52" s="14">
        <f ca="1">IF(H52&lt;0.05,1,0)*$B$1*$B$2</f>
        <v>0</v>
      </c>
      <c r="K52" s="15">
        <f t="shared" ca="1" si="6"/>
        <v>0</v>
      </c>
      <c r="P52" s="3">
        <v>48</v>
      </c>
      <c r="Q52" s="4">
        <f t="shared" ca="1" si="7"/>
        <v>0.78823451851693116</v>
      </c>
      <c r="R52" s="4">
        <f t="shared" ca="1" si="8"/>
        <v>0.92003727679926173</v>
      </c>
      <c r="S52" s="4">
        <f ca="1">$B$1*Q52*$B$2</f>
        <v>31.529380740677251</v>
      </c>
      <c r="T52" s="4">
        <f ca="1">$B$1*R52*$B$2</f>
        <v>36.801491071970467</v>
      </c>
      <c r="U52" s="7">
        <f t="shared" ca="1" si="9"/>
        <v>68.330871812647715</v>
      </c>
    </row>
    <row r="53" spans="2:21" x14ac:dyDescent="0.3">
      <c r="B53" s="13">
        <f t="shared" ca="1" si="0"/>
        <v>0.88539830189569235</v>
      </c>
      <c r="C53" s="14">
        <f t="shared" ca="1" si="0"/>
        <v>0.98358342582169933</v>
      </c>
      <c r="D53" s="14">
        <f t="shared" ca="1" si="1"/>
        <v>1.2024134098829318</v>
      </c>
      <c r="E53" s="14">
        <f t="shared" ca="1" si="2"/>
        <v>2.1341176876116035</v>
      </c>
      <c r="F53" s="14">
        <f t="shared" ca="1" si="3"/>
        <v>2.0124124022868068</v>
      </c>
      <c r="G53" s="14">
        <f t="shared" ca="1" si="4"/>
        <v>0.88539830189569246</v>
      </c>
      <c r="H53" s="15">
        <f t="shared" ca="1" si="5"/>
        <v>0.98358342582169933</v>
      </c>
      <c r="I53" s="14">
        <f ca="1">IF(G53&lt;0.05,1,0)*$B$1*$B$2</f>
        <v>0</v>
      </c>
      <c r="J53" s="14">
        <f ca="1">IF(H53&lt;0.05,1,0)*$B$1*$B$2</f>
        <v>0</v>
      </c>
      <c r="K53" s="15">
        <f t="shared" ca="1" si="6"/>
        <v>0</v>
      </c>
      <c r="P53" s="3">
        <v>49</v>
      </c>
      <c r="Q53" s="4">
        <f t="shared" ca="1" si="7"/>
        <v>0.88539830189569246</v>
      </c>
      <c r="R53" s="4">
        <f t="shared" ca="1" si="8"/>
        <v>0.98358342582169933</v>
      </c>
      <c r="S53" s="4">
        <f ca="1">$B$1*Q53*$B$2</f>
        <v>35.415932075827698</v>
      </c>
      <c r="T53" s="4">
        <f ca="1">$B$1*R53*$B$2</f>
        <v>39.343337032867979</v>
      </c>
      <c r="U53" s="7">
        <f t="shared" ca="1" si="9"/>
        <v>74.759269108695676</v>
      </c>
    </row>
    <row r="54" spans="2:21" x14ac:dyDescent="0.3">
      <c r="B54" s="13">
        <f t="shared" ca="1" si="0"/>
        <v>0.21085129145735348</v>
      </c>
      <c r="C54" s="14">
        <f t="shared" ca="1" si="0"/>
        <v>5.6876835939008275E-2</v>
      </c>
      <c r="D54" s="14">
        <f t="shared" ca="1" si="1"/>
        <v>-0.80347094646018002</v>
      </c>
      <c r="E54" s="14">
        <f t="shared" ca="1" si="2"/>
        <v>-1.5815441525925249</v>
      </c>
      <c r="F54" s="14">
        <f t="shared" ca="1" si="3"/>
        <v>-1.4125029654040104</v>
      </c>
      <c r="G54" s="14">
        <f t="shared" ca="1" si="4"/>
        <v>0.2108512914573534</v>
      </c>
      <c r="H54" s="15">
        <f t="shared" ca="1" si="5"/>
        <v>5.6876835939008261E-2</v>
      </c>
      <c r="I54" s="14">
        <f ca="1">IF(G54&lt;0.05,1,0)*$B$1*$B$2</f>
        <v>0</v>
      </c>
      <c r="J54" s="14">
        <f ca="1">IF(H54&lt;0.05,1,0)*$B$1*$B$2</f>
        <v>0</v>
      </c>
      <c r="K54" s="15">
        <f t="shared" ca="1" si="6"/>
        <v>0</v>
      </c>
      <c r="P54" s="3">
        <v>50</v>
      </c>
      <c r="Q54" s="4">
        <f t="shared" ca="1" si="7"/>
        <v>0.2108512914573534</v>
      </c>
      <c r="R54" s="4">
        <f t="shared" ca="1" si="8"/>
        <v>5.6876835939008261E-2</v>
      </c>
      <c r="S54" s="4">
        <f ca="1">$B$1*Q54*$B$2</f>
        <v>8.4340516582941358</v>
      </c>
      <c r="T54" s="4">
        <f ca="1">$B$1*R54*$B$2</f>
        <v>2.2750734375603305</v>
      </c>
      <c r="U54" s="7">
        <f t="shared" ca="1" si="9"/>
        <v>10.709125095854466</v>
      </c>
    </row>
    <row r="55" spans="2:21" x14ac:dyDescent="0.3">
      <c r="B55" s="13">
        <f t="shared" ca="1" si="0"/>
        <v>0.14238157478623881</v>
      </c>
      <c r="C55" s="14">
        <f t="shared" ca="1" si="0"/>
        <v>0.52528290755125573</v>
      </c>
      <c r="D55" s="14">
        <f t="shared" ca="1" si="1"/>
        <v>-1.069680493383512</v>
      </c>
      <c r="E55" s="14">
        <f t="shared" ca="1" si="2"/>
        <v>6.3417333498188705E-2</v>
      </c>
      <c r="F55" s="14">
        <f t="shared" ca="1" si="3"/>
        <v>-0.93506946924641876</v>
      </c>
      <c r="G55" s="14">
        <f t="shared" ca="1" si="4"/>
        <v>0.1423815747862387</v>
      </c>
      <c r="H55" s="15">
        <f t="shared" ca="1" si="5"/>
        <v>0.52528290755125573</v>
      </c>
      <c r="I55" s="14">
        <f ca="1">IF(G55&lt;0.05,1,0)*$B$1*$B$2</f>
        <v>0</v>
      </c>
      <c r="J55" s="14">
        <f ca="1">IF(H55&lt;0.05,1,0)*$B$1*$B$2</f>
        <v>0</v>
      </c>
      <c r="K55" s="15">
        <f t="shared" ca="1" si="6"/>
        <v>0</v>
      </c>
      <c r="P55" s="3">
        <v>51</v>
      </c>
      <c r="Q55" s="4">
        <f t="shared" ca="1" si="7"/>
        <v>0.1423815747862387</v>
      </c>
      <c r="R55" s="4">
        <f t="shared" ca="1" si="8"/>
        <v>0.52528290755125573</v>
      </c>
      <c r="S55" s="4">
        <f ca="1">$B$1*Q55*$B$2</f>
        <v>5.6952629914495478</v>
      </c>
      <c r="T55" s="4">
        <f ca="1">$B$1*R55*$B$2</f>
        <v>21.011316302050233</v>
      </c>
      <c r="U55" s="7">
        <f t="shared" ca="1" si="9"/>
        <v>26.706579293499779</v>
      </c>
    </row>
    <row r="56" spans="2:21" x14ac:dyDescent="0.3">
      <c r="B56" s="13">
        <f t="shared" ca="1" si="0"/>
        <v>0.53621311596716348</v>
      </c>
      <c r="C56" s="14">
        <f t="shared" ca="1" si="0"/>
        <v>0.95700904040158263</v>
      </c>
      <c r="D56" s="14">
        <f t="shared" ca="1" si="1"/>
        <v>9.0897838053809923E-2</v>
      </c>
      <c r="E56" s="14">
        <f t="shared" ca="1" si="2"/>
        <v>1.7169849645916215</v>
      </c>
      <c r="F56" s="14">
        <f t="shared" ca="1" si="3"/>
        <v>0.83022444907179282</v>
      </c>
      <c r="G56" s="14">
        <f t="shared" ca="1" si="4"/>
        <v>0.53621311596716348</v>
      </c>
      <c r="H56" s="15">
        <f t="shared" ca="1" si="5"/>
        <v>0.95700904040158263</v>
      </c>
      <c r="I56" s="14">
        <f ca="1">IF(G56&lt;0.05,1,0)*$B$1*$B$2</f>
        <v>0</v>
      </c>
      <c r="J56" s="14">
        <f ca="1">IF(H56&lt;0.05,1,0)*$B$1*$B$2</f>
        <v>0</v>
      </c>
      <c r="K56" s="15">
        <f t="shared" ca="1" si="6"/>
        <v>0</v>
      </c>
      <c r="P56" s="3">
        <v>52</v>
      </c>
      <c r="Q56" s="4">
        <f t="shared" ca="1" si="7"/>
        <v>0.53621311596716348</v>
      </c>
      <c r="R56" s="4">
        <f t="shared" ca="1" si="8"/>
        <v>0.95700904040158263</v>
      </c>
      <c r="S56" s="4">
        <f ca="1">$B$1*Q56*$B$2</f>
        <v>21.448524638686539</v>
      </c>
      <c r="T56" s="4">
        <f ca="1">$B$1*R56*$B$2</f>
        <v>38.28036161606331</v>
      </c>
      <c r="U56" s="7">
        <f t="shared" ca="1" si="9"/>
        <v>59.728886254749852</v>
      </c>
    </row>
    <row r="57" spans="2:21" x14ac:dyDescent="0.3">
      <c r="B57" s="13">
        <f t="shared" ca="1" si="0"/>
        <v>0.80448002528784501</v>
      </c>
      <c r="C57" s="14">
        <f t="shared" ca="1" si="0"/>
        <v>0.40573393474789599</v>
      </c>
      <c r="D57" s="14">
        <f t="shared" ca="1" si="1"/>
        <v>0.85773293501188919</v>
      </c>
      <c r="E57" s="14">
        <f t="shared" ca="1" si="2"/>
        <v>-0.23853281183545183</v>
      </c>
      <c r="F57" s="14">
        <f t="shared" ca="1" si="3"/>
        <v>0.66798559935976654</v>
      </c>
      <c r="G57" s="14">
        <f t="shared" ca="1" si="4"/>
        <v>0.8044800252878449</v>
      </c>
      <c r="H57" s="15">
        <f t="shared" ca="1" si="5"/>
        <v>0.40573393474789599</v>
      </c>
      <c r="I57" s="14">
        <f ca="1">IF(G57&lt;0.05,1,0)*$B$1*$B$2</f>
        <v>0</v>
      </c>
      <c r="J57" s="14">
        <f ca="1">IF(H57&lt;0.05,1,0)*$B$1*$B$2</f>
        <v>0</v>
      </c>
      <c r="K57" s="15">
        <f t="shared" ca="1" si="6"/>
        <v>0</v>
      </c>
      <c r="P57" s="3">
        <v>53</v>
      </c>
      <c r="Q57" s="4">
        <f t="shared" ca="1" si="7"/>
        <v>0.8044800252878449</v>
      </c>
      <c r="R57" s="4">
        <f t="shared" ca="1" si="8"/>
        <v>0.40573393474789599</v>
      </c>
      <c r="S57" s="4">
        <f ca="1">$B$1*Q57*$B$2</f>
        <v>32.179201011513797</v>
      </c>
      <c r="T57" s="4">
        <f ca="1">$B$1*R57*$B$2</f>
        <v>16.22935738991584</v>
      </c>
      <c r="U57" s="7">
        <f t="shared" ca="1" si="9"/>
        <v>48.408558401429637</v>
      </c>
    </row>
    <row r="58" spans="2:21" x14ac:dyDescent="0.3">
      <c r="B58" s="13">
        <f t="shared" ca="1" si="0"/>
        <v>0.35787171195492129</v>
      </c>
      <c r="C58" s="14">
        <f t="shared" ca="1" si="0"/>
        <v>0.45953252663761879</v>
      </c>
      <c r="D58" s="14">
        <f t="shared" ca="1" si="1"/>
        <v>-0.36415345207461425</v>
      </c>
      <c r="E58" s="14">
        <f t="shared" ca="1" si="2"/>
        <v>-0.10161149715815589</v>
      </c>
      <c r="F58" s="14">
        <f t="shared" ca="1" si="3"/>
        <v>-0.37202953162857999</v>
      </c>
      <c r="G58" s="14">
        <f t="shared" ca="1" si="4"/>
        <v>0.35787171195492129</v>
      </c>
      <c r="H58" s="15">
        <f t="shared" ca="1" si="5"/>
        <v>0.45953252663761879</v>
      </c>
      <c r="I58" s="14">
        <f ca="1">IF(G58&lt;0.05,1,0)*$B$1*$B$2</f>
        <v>0</v>
      </c>
      <c r="J58" s="14">
        <f ca="1">IF(H58&lt;0.05,1,0)*$B$1*$B$2</f>
        <v>0</v>
      </c>
      <c r="K58" s="15">
        <f t="shared" ca="1" si="6"/>
        <v>0</v>
      </c>
      <c r="P58" s="3">
        <v>54</v>
      </c>
      <c r="Q58" s="4">
        <f t="shared" ca="1" si="7"/>
        <v>0.35787171195492129</v>
      </c>
      <c r="R58" s="4">
        <f t="shared" ca="1" si="8"/>
        <v>0.45953252663761879</v>
      </c>
      <c r="S58" s="4">
        <f ca="1">$B$1*Q58*$B$2</f>
        <v>14.314868478196852</v>
      </c>
      <c r="T58" s="4">
        <f ca="1">$B$1*R58*$B$2</f>
        <v>18.381301065504754</v>
      </c>
      <c r="U58" s="7">
        <f t="shared" ca="1" si="9"/>
        <v>32.696169543701608</v>
      </c>
    </row>
    <row r="59" spans="2:21" x14ac:dyDescent="0.3">
      <c r="B59" s="13">
        <f t="shared" ca="1" si="0"/>
        <v>0.88774447292381564</v>
      </c>
      <c r="C59" s="14">
        <f t="shared" ca="1" si="0"/>
        <v>0.40311472761753087</v>
      </c>
      <c r="D59" s="14">
        <f t="shared" ca="1" si="1"/>
        <v>1.2146200080846778</v>
      </c>
      <c r="E59" s="14">
        <f t="shared" ca="1" si="2"/>
        <v>-0.2452931500542532</v>
      </c>
      <c r="F59" s="14">
        <f t="shared" ca="1" si="3"/>
        <v>0.98623720201328535</v>
      </c>
      <c r="G59" s="14">
        <f t="shared" ca="1" si="4"/>
        <v>0.88774447292381564</v>
      </c>
      <c r="H59" s="15">
        <f t="shared" ca="1" si="5"/>
        <v>0.40311472761753081</v>
      </c>
      <c r="I59" s="14">
        <f ca="1">IF(G59&lt;0.05,1,0)*$B$1*$B$2</f>
        <v>0</v>
      </c>
      <c r="J59" s="14">
        <f ca="1">IF(H59&lt;0.05,1,0)*$B$1*$B$2</f>
        <v>0</v>
      </c>
      <c r="K59" s="15">
        <f t="shared" ca="1" si="6"/>
        <v>0</v>
      </c>
      <c r="P59" s="3">
        <v>55</v>
      </c>
      <c r="Q59" s="4">
        <f t="shared" ca="1" si="7"/>
        <v>0.88774447292381564</v>
      </c>
      <c r="R59" s="4">
        <f t="shared" ca="1" si="8"/>
        <v>0.40311472761753081</v>
      </c>
      <c r="S59" s="4">
        <f ca="1">$B$1*Q59*$B$2</f>
        <v>35.509778916952627</v>
      </c>
      <c r="T59" s="4">
        <f ca="1">$B$1*R59*$B$2</f>
        <v>16.124589104701233</v>
      </c>
      <c r="U59" s="7">
        <f t="shared" ca="1" si="9"/>
        <v>51.634368021653856</v>
      </c>
    </row>
    <row r="60" spans="2:21" x14ac:dyDescent="0.3">
      <c r="B60" s="13">
        <f t="shared" ca="1" si="0"/>
        <v>0.81868120245775955</v>
      </c>
      <c r="C60" s="14">
        <f t="shared" ca="1" si="0"/>
        <v>0.63135092888545274</v>
      </c>
      <c r="D60" s="14">
        <f t="shared" ca="1" si="1"/>
        <v>0.91035068751791337</v>
      </c>
      <c r="E60" s="14">
        <f t="shared" ca="1" si="2"/>
        <v>0.33543344519002921</v>
      </c>
      <c r="F60" s="14">
        <f t="shared" ca="1" si="3"/>
        <v>0.96552766775282461</v>
      </c>
      <c r="G60" s="14">
        <f t="shared" ca="1" si="4"/>
        <v>0.81868120245775966</v>
      </c>
      <c r="H60" s="15">
        <f t="shared" ca="1" si="5"/>
        <v>0.63135092888545274</v>
      </c>
      <c r="I60" s="14">
        <f ca="1">IF(G60&lt;0.05,1,0)*$B$1*$B$2</f>
        <v>0</v>
      </c>
      <c r="J60" s="14">
        <f ca="1">IF(H60&lt;0.05,1,0)*$B$1*$B$2</f>
        <v>0</v>
      </c>
      <c r="K60" s="15">
        <f t="shared" ca="1" si="6"/>
        <v>0</v>
      </c>
      <c r="P60" s="3">
        <v>56</v>
      </c>
      <c r="Q60" s="4">
        <f t="shared" ca="1" si="7"/>
        <v>0.81868120245775966</v>
      </c>
      <c r="R60" s="4">
        <f t="shared" ca="1" si="8"/>
        <v>0.63135092888545274</v>
      </c>
      <c r="S60" s="4">
        <f ca="1">$B$1*Q60*$B$2</f>
        <v>32.747248098310386</v>
      </c>
      <c r="T60" s="4">
        <f ca="1">$B$1*R60*$B$2</f>
        <v>25.254037155418111</v>
      </c>
      <c r="U60" s="7">
        <f t="shared" ca="1" si="9"/>
        <v>58.001285253728497</v>
      </c>
    </row>
    <row r="61" spans="2:21" x14ac:dyDescent="0.3">
      <c r="B61" s="13">
        <f t="shared" ca="1" si="0"/>
        <v>0.36963912376612285</v>
      </c>
      <c r="C61" s="14">
        <f t="shared" ca="1" si="0"/>
        <v>0.42894608136140466</v>
      </c>
      <c r="D61" s="14">
        <f t="shared" ca="1" si="1"/>
        <v>-0.3328092869402427</v>
      </c>
      <c r="E61" s="14">
        <f t="shared" ca="1" si="2"/>
        <v>-0.17905799666457869</v>
      </c>
      <c r="F61" s="14">
        <f t="shared" ca="1" si="3"/>
        <v>-0.37757792949559255</v>
      </c>
      <c r="G61" s="14">
        <f t="shared" ca="1" si="4"/>
        <v>0.36963912376612279</v>
      </c>
      <c r="H61" s="15">
        <f t="shared" ca="1" si="5"/>
        <v>0.42894608136140461</v>
      </c>
      <c r="I61" s="14">
        <f ca="1">IF(G61&lt;0.05,1,0)*$B$1*$B$2</f>
        <v>0</v>
      </c>
      <c r="J61" s="14">
        <f ca="1">IF(H61&lt;0.05,1,0)*$B$1*$B$2</f>
        <v>0</v>
      </c>
      <c r="K61" s="15">
        <f t="shared" ca="1" si="6"/>
        <v>0</v>
      </c>
      <c r="P61" s="3">
        <v>57</v>
      </c>
      <c r="Q61" s="4">
        <f t="shared" ca="1" si="7"/>
        <v>0.36963912376612279</v>
      </c>
      <c r="R61" s="4">
        <f t="shared" ca="1" si="8"/>
        <v>0.42894608136140461</v>
      </c>
      <c r="S61" s="4">
        <f ca="1">$B$1*Q61*$B$2</f>
        <v>14.785564950644911</v>
      </c>
      <c r="T61" s="4">
        <f ca="1">$B$1*R61*$B$2</f>
        <v>17.157843254456186</v>
      </c>
      <c r="U61" s="7">
        <f t="shared" ca="1" si="9"/>
        <v>31.943408205101097</v>
      </c>
    </row>
    <row r="62" spans="2:21" x14ac:dyDescent="0.3">
      <c r="B62" s="13">
        <f t="shared" ca="1" si="0"/>
        <v>0.58553910508831497</v>
      </c>
      <c r="C62" s="14">
        <f t="shared" ca="1" si="0"/>
        <v>0.13357227719925857</v>
      </c>
      <c r="D62" s="14">
        <f t="shared" ca="1" si="1"/>
        <v>0.21608461763948753</v>
      </c>
      <c r="E62" s="14">
        <f t="shared" ca="1" si="2"/>
        <v>-1.109662345940726</v>
      </c>
      <c r="F62" s="14">
        <f t="shared" ca="1" si="3"/>
        <v>-0.28921444686525077</v>
      </c>
      <c r="G62" s="14">
        <f t="shared" ca="1" si="4"/>
        <v>0.58553910508831497</v>
      </c>
      <c r="H62" s="15">
        <f t="shared" ca="1" si="5"/>
        <v>0.13357227719925849</v>
      </c>
      <c r="I62" s="14">
        <f ca="1">IF(G62&lt;0.05,1,0)*$B$1*$B$2</f>
        <v>0</v>
      </c>
      <c r="J62" s="14">
        <f ca="1">IF(H62&lt;0.05,1,0)*$B$1*$B$2</f>
        <v>0</v>
      </c>
      <c r="K62" s="15">
        <f t="shared" ca="1" si="6"/>
        <v>0</v>
      </c>
      <c r="P62" s="3">
        <v>58</v>
      </c>
      <c r="Q62" s="4">
        <f t="shared" ca="1" si="7"/>
        <v>0.58553910508831497</v>
      </c>
      <c r="R62" s="4">
        <f t="shared" ca="1" si="8"/>
        <v>0.13357227719925849</v>
      </c>
      <c r="S62" s="4">
        <f ca="1">$B$1*Q62*$B$2</f>
        <v>23.421564203532601</v>
      </c>
      <c r="T62" s="4">
        <f ca="1">$B$1*R62*$B$2</f>
        <v>5.3428910879703402</v>
      </c>
      <c r="U62" s="7">
        <f t="shared" ca="1" si="9"/>
        <v>28.764455291502941</v>
      </c>
    </row>
    <row r="63" spans="2:21" x14ac:dyDescent="0.3">
      <c r="B63" s="13">
        <f t="shared" ca="1" si="0"/>
        <v>0.64883067606262945</v>
      </c>
      <c r="C63" s="14">
        <f t="shared" ca="1" si="0"/>
        <v>0.25287482110057502</v>
      </c>
      <c r="D63" s="14">
        <f t="shared" ca="1" si="1"/>
        <v>0.38216544914901912</v>
      </c>
      <c r="E63" s="14">
        <f t="shared" ca="1" si="2"/>
        <v>-0.66547044309894665</v>
      </c>
      <c r="F63" s="14">
        <f t="shared" ca="1" si="3"/>
        <v>5.3877063095963018E-2</v>
      </c>
      <c r="G63" s="14">
        <f t="shared" ca="1" si="4"/>
        <v>0.64883067606262956</v>
      </c>
      <c r="H63" s="15">
        <f t="shared" ca="1" si="5"/>
        <v>0.25287482110057502</v>
      </c>
      <c r="I63" s="14">
        <f ca="1">IF(G63&lt;0.05,1,0)*$B$1*$B$2</f>
        <v>0</v>
      </c>
      <c r="J63" s="14">
        <f ca="1">IF(H63&lt;0.05,1,0)*$B$1*$B$2</f>
        <v>0</v>
      </c>
      <c r="K63" s="15">
        <f t="shared" ca="1" si="6"/>
        <v>0</v>
      </c>
      <c r="P63" s="3">
        <v>59</v>
      </c>
      <c r="Q63" s="4">
        <f t="shared" ca="1" si="7"/>
        <v>0.64883067606262956</v>
      </c>
      <c r="R63" s="4">
        <f t="shared" ca="1" si="8"/>
        <v>0.25287482110057502</v>
      </c>
      <c r="S63" s="4">
        <f ca="1">$B$1*Q63*$B$2</f>
        <v>25.953227042505183</v>
      </c>
      <c r="T63" s="4">
        <f ca="1">$B$1*R63*$B$2</f>
        <v>10.114992844023002</v>
      </c>
      <c r="U63" s="7">
        <f t="shared" ca="1" si="9"/>
        <v>36.068219886528183</v>
      </c>
    </row>
    <row r="64" spans="2:21" x14ac:dyDescent="0.3">
      <c r="B64" s="13">
        <f t="shared" ca="1" si="0"/>
        <v>0.91350254077530535</v>
      </c>
      <c r="C64" s="14">
        <f t="shared" ca="1" si="0"/>
        <v>0.36117231536770611</v>
      </c>
      <c r="D64" s="14">
        <f t="shared" ca="1" si="1"/>
        <v>1.3626434171836836</v>
      </c>
      <c r="E64" s="14">
        <f t="shared" ca="1" si="2"/>
        <v>-0.35532699957591835</v>
      </c>
      <c r="F64" s="14">
        <f t="shared" ca="1" si="3"/>
        <v>1.0714956271590204</v>
      </c>
      <c r="G64" s="14">
        <f t="shared" ca="1" si="4"/>
        <v>0.91350254077530546</v>
      </c>
      <c r="H64" s="15">
        <f t="shared" ca="1" si="5"/>
        <v>0.361172315367706</v>
      </c>
      <c r="I64" s="14">
        <f ca="1">IF(G64&lt;0.05,1,0)*$B$1*$B$2</f>
        <v>0</v>
      </c>
      <c r="J64" s="14">
        <f ca="1">IF(H64&lt;0.05,1,0)*$B$1*$B$2</f>
        <v>0</v>
      </c>
      <c r="K64" s="15">
        <f t="shared" ca="1" si="6"/>
        <v>0</v>
      </c>
      <c r="P64" s="3">
        <v>60</v>
      </c>
      <c r="Q64" s="4">
        <f t="shared" ca="1" si="7"/>
        <v>0.91350254077530546</v>
      </c>
      <c r="R64" s="4">
        <f t="shared" ca="1" si="8"/>
        <v>0.361172315367706</v>
      </c>
      <c r="S64" s="4">
        <f ca="1">$B$1*Q64*$B$2</f>
        <v>36.54010163101222</v>
      </c>
      <c r="T64" s="4">
        <f ca="1">$B$1*R64*$B$2</f>
        <v>14.446892614708242</v>
      </c>
      <c r="U64" s="7">
        <f t="shared" ca="1" si="9"/>
        <v>50.98699424572046</v>
      </c>
    </row>
    <row r="65" spans="2:21" x14ac:dyDescent="0.3">
      <c r="B65" s="13">
        <f t="shared" ca="1" si="0"/>
        <v>7.5450837277072358E-3</v>
      </c>
      <c r="C65" s="14">
        <f t="shared" ca="1" si="0"/>
        <v>0.41516163365858738</v>
      </c>
      <c r="D65" s="14">
        <f t="shared" ca="1" si="1"/>
        <v>-2.4302078204781008</v>
      </c>
      <c r="E65" s="14">
        <f t="shared" ca="1" si="2"/>
        <v>-0.21428698431799623</v>
      </c>
      <c r="F65" s="14">
        <f t="shared" ca="1" si="3"/>
        <v>-2.2805925693861138</v>
      </c>
      <c r="G65" s="14">
        <f t="shared" ca="1" si="4"/>
        <v>7.5450837277072375E-3</v>
      </c>
      <c r="H65" s="15">
        <f t="shared" ca="1" si="5"/>
        <v>0.41516163365858738</v>
      </c>
      <c r="I65" s="14">
        <f ca="1">IF(G65&lt;0.05,1,0)*$B$1*$B$2</f>
        <v>40</v>
      </c>
      <c r="J65" s="14">
        <f ca="1">IF(H65&lt;0.05,1,0)*$B$1*$B$2</f>
        <v>0</v>
      </c>
      <c r="K65" s="15">
        <f t="shared" ca="1" si="6"/>
        <v>40</v>
      </c>
      <c r="P65" s="3">
        <v>61</v>
      </c>
      <c r="Q65" s="4">
        <f t="shared" ca="1" si="7"/>
        <v>7.5450837277072375E-3</v>
      </c>
      <c r="R65" s="4">
        <f t="shared" ca="1" si="8"/>
        <v>0.41516163365858738</v>
      </c>
      <c r="S65" s="4">
        <f ca="1">$B$1*Q65*$B$2</f>
        <v>0.30180334910828954</v>
      </c>
      <c r="T65" s="4">
        <f ca="1">$B$1*R65*$B$2</f>
        <v>16.606465346343494</v>
      </c>
      <c r="U65" s="7">
        <f t="shared" ca="1" si="9"/>
        <v>16.908268695451785</v>
      </c>
    </row>
    <row r="66" spans="2:21" x14ac:dyDescent="0.3">
      <c r="B66" s="13">
        <f t="shared" ca="1" si="0"/>
        <v>0.57304491485351461</v>
      </c>
      <c r="C66" s="14">
        <f t="shared" ca="1" si="0"/>
        <v>0.92830637979525554</v>
      </c>
      <c r="D66" s="14">
        <f t="shared" ca="1" si="1"/>
        <v>0.18413165963041317</v>
      </c>
      <c r="E66" s="14">
        <f t="shared" ca="1" si="2"/>
        <v>1.4632929339093013</v>
      </c>
      <c r="F66" s="14">
        <f t="shared" ca="1" si="3"/>
        <v>0.80355309603815028</v>
      </c>
      <c r="G66" s="14">
        <f t="shared" ca="1" si="4"/>
        <v>0.57304491485351461</v>
      </c>
      <c r="H66" s="15">
        <f t="shared" ca="1" si="5"/>
        <v>0.92830637979525554</v>
      </c>
      <c r="I66" s="14">
        <f ca="1">IF(G66&lt;0.05,1,0)*$B$1*$B$2</f>
        <v>0</v>
      </c>
      <c r="J66" s="14">
        <f ca="1">IF(H66&lt;0.05,1,0)*$B$1*$B$2</f>
        <v>0</v>
      </c>
      <c r="K66" s="15">
        <f t="shared" ca="1" si="6"/>
        <v>0</v>
      </c>
      <c r="P66" s="3">
        <v>62</v>
      </c>
      <c r="Q66" s="4">
        <f t="shared" ca="1" si="7"/>
        <v>0.57304491485351461</v>
      </c>
      <c r="R66" s="4">
        <f t="shared" ca="1" si="8"/>
        <v>0.92830637979525554</v>
      </c>
      <c r="S66" s="4">
        <f ca="1">$B$1*Q66*$B$2</f>
        <v>22.921796594140588</v>
      </c>
      <c r="T66" s="4">
        <f ca="1">$B$1*R66*$B$2</f>
        <v>37.132255191810223</v>
      </c>
      <c r="U66" s="7">
        <f t="shared" ca="1" si="9"/>
        <v>60.054051785950811</v>
      </c>
    </row>
    <row r="67" spans="2:21" x14ac:dyDescent="0.3">
      <c r="B67" s="13">
        <f t="shared" ca="1" si="0"/>
        <v>0.69672116676747198</v>
      </c>
      <c r="C67" s="14">
        <f t="shared" ca="1" si="0"/>
        <v>0.14441083707878011</v>
      </c>
      <c r="D67" s="14">
        <f t="shared" ca="1" si="1"/>
        <v>0.5149933507241965</v>
      </c>
      <c r="E67" s="14">
        <f t="shared" ca="1" si="2"/>
        <v>-1.0607100876299345</v>
      </c>
      <c r="F67" s="14">
        <f t="shared" ca="1" si="3"/>
        <v>1.1412076144712846E-3</v>
      </c>
      <c r="G67" s="14">
        <f t="shared" ca="1" si="4"/>
        <v>0.69672116676747198</v>
      </c>
      <c r="H67" s="15">
        <f t="shared" ca="1" si="5"/>
        <v>0.14441083707878005</v>
      </c>
      <c r="I67" s="14">
        <f ca="1">IF(G67&lt;0.05,1,0)*$B$1*$B$2</f>
        <v>0</v>
      </c>
      <c r="J67" s="14">
        <f ca="1">IF(H67&lt;0.05,1,0)*$B$1*$B$2</f>
        <v>0</v>
      </c>
      <c r="K67" s="15">
        <f t="shared" ca="1" si="6"/>
        <v>0</v>
      </c>
      <c r="P67" s="3">
        <v>63</v>
      </c>
      <c r="Q67" s="4">
        <f t="shared" ca="1" si="7"/>
        <v>0.69672116676747198</v>
      </c>
      <c r="R67" s="4">
        <f t="shared" ca="1" si="8"/>
        <v>0.14441083707878005</v>
      </c>
      <c r="S67" s="4">
        <f ca="1">$B$1*Q67*$B$2</f>
        <v>27.868846670698879</v>
      </c>
      <c r="T67" s="4">
        <f ca="1">$B$1*R67*$B$2</f>
        <v>5.7764334831512025</v>
      </c>
      <c r="U67" s="7">
        <f t="shared" ca="1" si="9"/>
        <v>33.645280153850081</v>
      </c>
    </row>
    <row r="68" spans="2:21" x14ac:dyDescent="0.3">
      <c r="B68" s="13">
        <f t="shared" ca="1" si="0"/>
        <v>0.2398829941933559</v>
      </c>
      <c r="C68" s="14">
        <f t="shared" ca="1" si="0"/>
        <v>0.11449412272772008</v>
      </c>
      <c r="D68" s="14">
        <f t="shared" ca="1" si="1"/>
        <v>-0.70667899080776786</v>
      </c>
      <c r="E68" s="14">
        <f t="shared" ca="1" si="2"/>
        <v>-1.202969184854682</v>
      </c>
      <c r="F68" s="14">
        <f t="shared" ca="1" si="3"/>
        <v>-1.1603732026244968</v>
      </c>
      <c r="G68" s="14">
        <f t="shared" ca="1" si="4"/>
        <v>0.23988299419335585</v>
      </c>
      <c r="H68" s="15">
        <f t="shared" ca="1" si="5"/>
        <v>0.11449412272771999</v>
      </c>
      <c r="I68" s="14">
        <f ca="1">IF(G68&lt;0.05,1,0)*$B$1*$B$2</f>
        <v>0</v>
      </c>
      <c r="J68" s="14">
        <f ca="1">IF(H68&lt;0.05,1,0)*$B$1*$B$2</f>
        <v>0</v>
      </c>
      <c r="K68" s="15">
        <f t="shared" ca="1" si="6"/>
        <v>0</v>
      </c>
      <c r="P68" s="3">
        <v>64</v>
      </c>
      <c r="Q68" s="4">
        <f t="shared" ca="1" si="7"/>
        <v>0.23988299419335585</v>
      </c>
      <c r="R68" s="4">
        <f t="shared" ca="1" si="8"/>
        <v>0.11449412272771999</v>
      </c>
      <c r="S68" s="4">
        <f ca="1">$B$1*Q68*$B$2</f>
        <v>9.5953197677342352</v>
      </c>
      <c r="T68" s="4">
        <f ca="1">$B$1*R68*$B$2</f>
        <v>4.5797649091087997</v>
      </c>
      <c r="U68" s="7">
        <f t="shared" ca="1" si="9"/>
        <v>14.175084676843035</v>
      </c>
    </row>
    <row r="69" spans="2:21" x14ac:dyDescent="0.3">
      <c r="B69" s="13">
        <f t="shared" ca="1" si="0"/>
        <v>0.63511729282218987</v>
      </c>
      <c r="C69" s="14">
        <f t="shared" ca="1" si="0"/>
        <v>0.33166600439621619</v>
      </c>
      <c r="D69" s="14">
        <f t="shared" ca="1" si="1"/>
        <v>0.34543759967819931</v>
      </c>
      <c r="E69" s="14">
        <f t="shared" ca="1" si="2"/>
        <v>-0.43531746601402455</v>
      </c>
      <c r="F69" s="14">
        <f t="shared" ca="1" si="3"/>
        <v>0.12114335543904595</v>
      </c>
      <c r="G69" s="14">
        <f t="shared" ca="1" si="4"/>
        <v>0.63511729282218987</v>
      </c>
      <c r="H69" s="15">
        <f t="shared" ca="1" si="5"/>
        <v>0.33166600439621613</v>
      </c>
      <c r="I69" s="14">
        <f ca="1">IF(G69&lt;0.05,1,0)*$B$1*$B$2</f>
        <v>0</v>
      </c>
      <c r="J69" s="14">
        <f ca="1">IF(H69&lt;0.05,1,0)*$B$1*$B$2</f>
        <v>0</v>
      </c>
      <c r="K69" s="15">
        <f t="shared" ca="1" si="6"/>
        <v>0</v>
      </c>
      <c r="P69" s="3">
        <v>65</v>
      </c>
      <c r="Q69" s="4">
        <f t="shared" ca="1" si="7"/>
        <v>0.63511729282218987</v>
      </c>
      <c r="R69" s="4">
        <f t="shared" ca="1" si="8"/>
        <v>0.33166600439621613</v>
      </c>
      <c r="S69" s="4">
        <f ca="1">$B$1*Q69*$B$2</f>
        <v>25.404691712887598</v>
      </c>
      <c r="T69" s="4">
        <f ca="1">$B$1*R69*$B$2</f>
        <v>13.266640175848645</v>
      </c>
      <c r="U69" s="7">
        <f t="shared" ca="1" si="9"/>
        <v>38.671331888736241</v>
      </c>
    </row>
    <row r="70" spans="2:21" x14ac:dyDescent="0.3">
      <c r="B70" s="13">
        <f t="shared" ref="B70:C133" ca="1" si="10">RAND()</f>
        <v>0.66331201082055424</v>
      </c>
      <c r="C70" s="14">
        <f t="shared" ca="1" si="10"/>
        <v>0.83066522739081639</v>
      </c>
      <c r="D70" s="14">
        <f t="shared" ref="D70:D133" ca="1" si="11">_xlfn.NORM.S.INV(B70)</f>
        <v>0.42151922143763798</v>
      </c>
      <c r="E70" s="14">
        <f t="shared" ref="E70:E133" ca="1" si="12">_xlfn.NORM.S.INV(C70)</f>
        <v>0.95679735961958456</v>
      </c>
      <c r="F70" s="14">
        <f t="shared" ref="F70:F133" ca="1" si="13">($Y$5*D70)+(SQRT(1-$Y$5^2)*E70)</f>
        <v>0.79642559929670542</v>
      </c>
      <c r="G70" s="14">
        <f t="shared" ref="G70:G133" ca="1" si="14">_xlfn.NORM.S.DIST(D70,TRUE)</f>
        <v>0.66331201082055424</v>
      </c>
      <c r="H70" s="15">
        <f t="shared" ref="H70:H133" ca="1" si="15">_xlfn.NORM.S.DIST(E70,TRUE)</f>
        <v>0.83066522739081639</v>
      </c>
      <c r="I70" s="14">
        <f ca="1">IF(G70&lt;0.05,1,0)*$B$1*$B$2</f>
        <v>0</v>
      </c>
      <c r="J70" s="14">
        <f ca="1">IF(H70&lt;0.05,1,0)*$B$1*$B$2</f>
        <v>0</v>
      </c>
      <c r="K70" s="15">
        <f t="shared" ref="K70:K133" ca="1" si="16">I70+J70</f>
        <v>0</v>
      </c>
      <c r="P70" s="3">
        <v>66</v>
      </c>
      <c r="Q70" s="4">
        <f t="shared" ref="Q70:Q133" ca="1" si="17">G70</f>
        <v>0.66331201082055424</v>
      </c>
      <c r="R70" s="4">
        <f t="shared" ref="R70:R133" ca="1" si="18">H70</f>
        <v>0.83066522739081639</v>
      </c>
      <c r="S70" s="4">
        <f ca="1">$B$1*Q70*$B$2</f>
        <v>26.532480432822172</v>
      </c>
      <c r="T70" s="4">
        <f ca="1">$B$1*R70*$B$2</f>
        <v>33.226609095632654</v>
      </c>
      <c r="U70" s="7">
        <f t="shared" ref="U70:U133" ca="1" si="19">S70+T70</f>
        <v>59.759089528454822</v>
      </c>
    </row>
    <row r="71" spans="2:21" x14ac:dyDescent="0.3">
      <c r="B71" s="13">
        <f t="shared" ca="1" si="10"/>
        <v>0.86894504642098569</v>
      </c>
      <c r="C71" s="14">
        <f t="shared" ca="1" si="10"/>
        <v>0.52521748694392201</v>
      </c>
      <c r="D71" s="14">
        <f t="shared" ca="1" si="11"/>
        <v>1.1214181659598874</v>
      </c>
      <c r="E71" s="14">
        <f t="shared" ca="1" si="12"/>
        <v>6.3253019123406778E-2</v>
      </c>
      <c r="F71" s="14">
        <f t="shared" ca="1" si="13"/>
        <v>1.0368477011871764</v>
      </c>
      <c r="G71" s="14">
        <f t="shared" ca="1" si="14"/>
        <v>0.8689450464209858</v>
      </c>
      <c r="H71" s="15">
        <f t="shared" ca="1" si="15"/>
        <v>0.52521748694392201</v>
      </c>
      <c r="I71" s="14">
        <f ca="1">IF(G71&lt;0.05,1,0)*$B$1*$B$2</f>
        <v>0</v>
      </c>
      <c r="J71" s="14">
        <f ca="1">IF(H71&lt;0.05,1,0)*$B$1*$B$2</f>
        <v>0</v>
      </c>
      <c r="K71" s="15">
        <f t="shared" ca="1" si="16"/>
        <v>0</v>
      </c>
      <c r="P71" s="3">
        <v>67</v>
      </c>
      <c r="Q71" s="4">
        <f t="shared" ca="1" si="17"/>
        <v>0.8689450464209858</v>
      </c>
      <c r="R71" s="4">
        <f t="shared" ca="1" si="18"/>
        <v>0.52521748694392201</v>
      </c>
      <c r="S71" s="4">
        <f ca="1">$B$1*Q71*$B$2</f>
        <v>34.757801856839436</v>
      </c>
      <c r="T71" s="4">
        <f ca="1">$B$1*R71*$B$2</f>
        <v>21.008699477756881</v>
      </c>
      <c r="U71" s="7">
        <f t="shared" ca="1" si="19"/>
        <v>55.766501334596313</v>
      </c>
    </row>
    <row r="72" spans="2:21" x14ac:dyDescent="0.3">
      <c r="B72" s="13">
        <f t="shared" ca="1" si="10"/>
        <v>0.72088007101876905</v>
      </c>
      <c r="C72" s="14">
        <f t="shared" ca="1" si="10"/>
        <v>0.30873215098354012</v>
      </c>
      <c r="D72" s="14">
        <f t="shared" ca="1" si="11"/>
        <v>0.58545791293386806</v>
      </c>
      <c r="E72" s="14">
        <f t="shared" ca="1" si="12"/>
        <v>-0.49944730320337216</v>
      </c>
      <c r="F72" s="14">
        <f t="shared" ca="1" si="13"/>
        <v>0.30920808941173961</v>
      </c>
      <c r="G72" s="14">
        <f t="shared" ca="1" si="14"/>
        <v>0.72088007101876916</v>
      </c>
      <c r="H72" s="15">
        <f t="shared" ca="1" si="15"/>
        <v>0.30873215098354007</v>
      </c>
      <c r="I72" s="14">
        <f ca="1">IF(G72&lt;0.05,1,0)*$B$1*$B$2</f>
        <v>0</v>
      </c>
      <c r="J72" s="14">
        <f ca="1">IF(H72&lt;0.05,1,0)*$B$1*$B$2</f>
        <v>0</v>
      </c>
      <c r="K72" s="15">
        <f t="shared" ca="1" si="16"/>
        <v>0</v>
      </c>
      <c r="P72" s="3">
        <v>68</v>
      </c>
      <c r="Q72" s="4">
        <f t="shared" ca="1" si="17"/>
        <v>0.72088007101876916</v>
      </c>
      <c r="R72" s="4">
        <f t="shared" ca="1" si="18"/>
        <v>0.30873215098354007</v>
      </c>
      <c r="S72" s="4">
        <f ca="1">$B$1*Q72*$B$2</f>
        <v>28.835202840750767</v>
      </c>
      <c r="T72" s="4">
        <f ca="1">$B$1*R72*$B$2</f>
        <v>12.349286039341603</v>
      </c>
      <c r="U72" s="7">
        <f t="shared" ca="1" si="19"/>
        <v>41.184488880092374</v>
      </c>
    </row>
    <row r="73" spans="2:21" x14ac:dyDescent="0.3">
      <c r="B73" s="13">
        <f t="shared" ca="1" si="10"/>
        <v>0.19456021125455103</v>
      </c>
      <c r="C73" s="14">
        <f t="shared" ca="1" si="10"/>
        <v>0.44772874409266361</v>
      </c>
      <c r="D73" s="14">
        <f t="shared" ca="1" si="11"/>
        <v>-0.86121357917753993</v>
      </c>
      <c r="E73" s="14">
        <f t="shared" ca="1" si="12"/>
        <v>-0.13140177045766471</v>
      </c>
      <c r="F73" s="14">
        <f t="shared" ca="1" si="13"/>
        <v>-0.83236892510251481</v>
      </c>
      <c r="G73" s="14">
        <f t="shared" ca="1" si="14"/>
        <v>0.19456021125455095</v>
      </c>
      <c r="H73" s="15">
        <f t="shared" ca="1" si="15"/>
        <v>0.44772874409266361</v>
      </c>
      <c r="I73" s="14">
        <f ca="1">IF(G73&lt;0.05,1,0)*$B$1*$B$2</f>
        <v>0</v>
      </c>
      <c r="J73" s="14">
        <f ca="1">IF(H73&lt;0.05,1,0)*$B$1*$B$2</f>
        <v>0</v>
      </c>
      <c r="K73" s="15">
        <f t="shared" ca="1" si="16"/>
        <v>0</v>
      </c>
      <c r="P73" s="3">
        <v>69</v>
      </c>
      <c r="Q73" s="4">
        <f t="shared" ca="1" si="17"/>
        <v>0.19456021125455095</v>
      </c>
      <c r="R73" s="4">
        <f t="shared" ca="1" si="18"/>
        <v>0.44772874409266361</v>
      </c>
      <c r="S73" s="4">
        <f ca="1">$B$1*Q73*$B$2</f>
        <v>7.7824084501820385</v>
      </c>
      <c r="T73" s="4">
        <f ca="1">$B$1*R73*$B$2</f>
        <v>17.909149763706548</v>
      </c>
      <c r="U73" s="7">
        <f t="shared" ca="1" si="19"/>
        <v>25.691558213888587</v>
      </c>
    </row>
    <row r="74" spans="2:21" x14ac:dyDescent="0.3">
      <c r="B74" s="13">
        <f t="shared" ca="1" si="10"/>
        <v>0.95639494413217152</v>
      </c>
      <c r="C74" s="14">
        <f t="shared" ca="1" si="10"/>
        <v>0.50259131959543524</v>
      </c>
      <c r="D74" s="14">
        <f t="shared" ca="1" si="11"/>
        <v>1.7103016234990427</v>
      </c>
      <c r="E74" s="14">
        <f t="shared" ca="1" si="12"/>
        <v>6.49552064250636E-3</v>
      </c>
      <c r="F74" s="14">
        <f t="shared" ca="1" si="13"/>
        <v>1.5421027929557753</v>
      </c>
      <c r="G74" s="14">
        <f t="shared" ca="1" si="14"/>
        <v>0.95639494413217152</v>
      </c>
      <c r="H74" s="15">
        <f t="shared" ca="1" si="15"/>
        <v>0.50259131959543524</v>
      </c>
      <c r="I74" s="14">
        <f ca="1">IF(G74&lt;0.05,1,0)*$B$1*$B$2</f>
        <v>0</v>
      </c>
      <c r="J74" s="14">
        <f ca="1">IF(H74&lt;0.05,1,0)*$B$1*$B$2</f>
        <v>0</v>
      </c>
      <c r="K74" s="15">
        <f t="shared" ca="1" si="16"/>
        <v>0</v>
      </c>
      <c r="P74" s="3">
        <v>70</v>
      </c>
      <c r="Q74" s="4">
        <f t="shared" ca="1" si="17"/>
        <v>0.95639494413217152</v>
      </c>
      <c r="R74" s="4">
        <f t="shared" ca="1" si="18"/>
        <v>0.50259131959543524</v>
      </c>
      <c r="S74" s="4">
        <f ca="1">$B$1*Q74*$B$2</f>
        <v>38.255797765286864</v>
      </c>
      <c r="T74" s="4">
        <f ca="1">$B$1*R74*$B$2</f>
        <v>20.103652783817409</v>
      </c>
      <c r="U74" s="7">
        <f t="shared" ca="1" si="19"/>
        <v>58.359450549104274</v>
      </c>
    </row>
    <row r="75" spans="2:21" x14ac:dyDescent="0.3">
      <c r="B75" s="13">
        <f t="shared" ca="1" si="10"/>
        <v>0.66266179363675193</v>
      </c>
      <c r="C75" s="14">
        <f t="shared" ca="1" si="10"/>
        <v>0.13753865108458518</v>
      </c>
      <c r="D75" s="14">
        <f t="shared" ca="1" si="11"/>
        <v>0.41973861474938157</v>
      </c>
      <c r="E75" s="14">
        <f t="shared" ca="1" si="12"/>
        <v>-1.0914445871299534</v>
      </c>
      <c r="F75" s="14">
        <f t="shared" ca="1" si="13"/>
        <v>-9.798491250295055E-2</v>
      </c>
      <c r="G75" s="14">
        <f t="shared" ca="1" si="14"/>
        <v>0.66266179363675193</v>
      </c>
      <c r="H75" s="15">
        <f t="shared" ca="1" si="15"/>
        <v>0.13753865108458518</v>
      </c>
      <c r="I75" s="14">
        <f ca="1">IF(G75&lt;0.05,1,0)*$B$1*$B$2</f>
        <v>0</v>
      </c>
      <c r="J75" s="14">
        <f ca="1">IF(H75&lt;0.05,1,0)*$B$1*$B$2</f>
        <v>0</v>
      </c>
      <c r="K75" s="15">
        <f t="shared" ca="1" si="16"/>
        <v>0</v>
      </c>
      <c r="P75" s="3">
        <v>71</v>
      </c>
      <c r="Q75" s="4">
        <f t="shared" ca="1" si="17"/>
        <v>0.66266179363675193</v>
      </c>
      <c r="R75" s="4">
        <f t="shared" ca="1" si="18"/>
        <v>0.13753865108458518</v>
      </c>
      <c r="S75" s="4">
        <f ca="1">$B$1*Q75*$B$2</f>
        <v>26.50647174547008</v>
      </c>
      <c r="T75" s="4">
        <f ca="1">$B$1*R75*$B$2</f>
        <v>5.5015460433834074</v>
      </c>
      <c r="U75" s="7">
        <f t="shared" ca="1" si="19"/>
        <v>32.008017788853486</v>
      </c>
    </row>
    <row r="76" spans="2:21" x14ac:dyDescent="0.3">
      <c r="B76" s="13">
        <f t="shared" ca="1" si="10"/>
        <v>7.3436965092291473E-2</v>
      </c>
      <c r="C76" s="14">
        <f t="shared" ca="1" si="10"/>
        <v>0.29998062217496857</v>
      </c>
      <c r="D76" s="14">
        <f t="shared" ca="1" si="11"/>
        <v>-1.4506622568314136</v>
      </c>
      <c r="E76" s="14">
        <f t="shared" ca="1" si="12"/>
        <v>-0.52445624615599429</v>
      </c>
      <c r="F76" s="14">
        <f t="shared" ca="1" si="13"/>
        <v>-1.5342012088785393</v>
      </c>
      <c r="G76" s="14">
        <f t="shared" ca="1" si="14"/>
        <v>7.3436965092291445E-2</v>
      </c>
      <c r="H76" s="15">
        <f t="shared" ca="1" si="15"/>
        <v>0.29998062217496846</v>
      </c>
      <c r="I76" s="14">
        <f ca="1">IF(G76&lt;0.05,1,0)*$B$1*$B$2</f>
        <v>0</v>
      </c>
      <c r="J76" s="14">
        <f ca="1">IF(H76&lt;0.05,1,0)*$B$1*$B$2</f>
        <v>0</v>
      </c>
      <c r="K76" s="15">
        <f t="shared" ca="1" si="16"/>
        <v>0</v>
      </c>
      <c r="P76" s="3">
        <v>72</v>
      </c>
      <c r="Q76" s="4">
        <f t="shared" ca="1" si="17"/>
        <v>7.3436965092291445E-2</v>
      </c>
      <c r="R76" s="4">
        <f t="shared" ca="1" si="18"/>
        <v>0.29998062217496846</v>
      </c>
      <c r="S76" s="4">
        <f ca="1">$B$1*Q76*$B$2</f>
        <v>2.937478603691658</v>
      </c>
      <c r="T76" s="4">
        <f ca="1">$B$1*R76*$B$2</f>
        <v>11.999224886998739</v>
      </c>
      <c r="U76" s="7">
        <f t="shared" ca="1" si="19"/>
        <v>14.936703490690398</v>
      </c>
    </row>
    <row r="77" spans="2:21" x14ac:dyDescent="0.3">
      <c r="B77" s="13">
        <f t="shared" ca="1" si="10"/>
        <v>0.75060578364509467</v>
      </c>
      <c r="C77" s="14">
        <f t="shared" ca="1" si="10"/>
        <v>0.97820965299066365</v>
      </c>
      <c r="D77" s="14">
        <f t="shared" ca="1" si="11"/>
        <v>0.67639729736995369</v>
      </c>
      <c r="E77" s="14">
        <f t="shared" ca="1" si="12"/>
        <v>2.018101475841291</v>
      </c>
      <c r="F77" s="14">
        <f t="shared" ca="1" si="13"/>
        <v>1.4884276067332058</v>
      </c>
      <c r="G77" s="14">
        <f t="shared" ca="1" si="14"/>
        <v>0.75060578364509478</v>
      </c>
      <c r="H77" s="15">
        <f t="shared" ca="1" si="15"/>
        <v>0.97820965299066365</v>
      </c>
      <c r="I77" s="14">
        <f ca="1">IF(G77&lt;0.05,1,0)*$B$1*$B$2</f>
        <v>0</v>
      </c>
      <c r="J77" s="14">
        <f ca="1">IF(H77&lt;0.05,1,0)*$B$1*$B$2</f>
        <v>0</v>
      </c>
      <c r="K77" s="15">
        <f t="shared" ca="1" si="16"/>
        <v>0</v>
      </c>
      <c r="P77" s="3">
        <v>73</v>
      </c>
      <c r="Q77" s="4">
        <f t="shared" ca="1" si="17"/>
        <v>0.75060578364509478</v>
      </c>
      <c r="R77" s="4">
        <f t="shared" ca="1" si="18"/>
        <v>0.97820965299066365</v>
      </c>
      <c r="S77" s="4">
        <f ca="1">$B$1*Q77*$B$2</f>
        <v>30.024231345803795</v>
      </c>
      <c r="T77" s="4">
        <f ca="1">$B$1*R77*$B$2</f>
        <v>39.128386119626548</v>
      </c>
      <c r="U77" s="7">
        <f t="shared" ca="1" si="19"/>
        <v>69.152617465430339</v>
      </c>
    </row>
    <row r="78" spans="2:21" x14ac:dyDescent="0.3">
      <c r="B78" s="13">
        <f t="shared" ca="1" si="10"/>
        <v>0.24202907773942939</v>
      </c>
      <c r="C78" s="14">
        <f t="shared" ca="1" si="10"/>
        <v>0.79078208395858074</v>
      </c>
      <c r="D78" s="14">
        <f t="shared" ca="1" si="11"/>
        <v>-0.6997904887260743</v>
      </c>
      <c r="E78" s="14">
        <f t="shared" ca="1" si="12"/>
        <v>0.8091378966773719</v>
      </c>
      <c r="F78" s="14">
        <f t="shared" ca="1" si="13"/>
        <v>-0.27711640755289502</v>
      </c>
      <c r="G78" s="14">
        <f t="shared" ca="1" si="14"/>
        <v>0.24202907773942928</v>
      </c>
      <c r="H78" s="15">
        <f t="shared" ca="1" si="15"/>
        <v>0.79078208395858096</v>
      </c>
      <c r="I78" s="14">
        <f ca="1">IF(G78&lt;0.05,1,0)*$B$1*$B$2</f>
        <v>0</v>
      </c>
      <c r="J78" s="14">
        <f ca="1">IF(H78&lt;0.05,1,0)*$B$1*$B$2</f>
        <v>0</v>
      </c>
      <c r="K78" s="15">
        <f t="shared" ca="1" si="16"/>
        <v>0</v>
      </c>
      <c r="P78" s="3">
        <v>74</v>
      </c>
      <c r="Q78" s="4">
        <f t="shared" ca="1" si="17"/>
        <v>0.24202907773942928</v>
      </c>
      <c r="R78" s="4">
        <f t="shared" ca="1" si="18"/>
        <v>0.79078208395858096</v>
      </c>
      <c r="S78" s="4">
        <f ca="1">$B$1*Q78*$B$2</f>
        <v>9.681163109577172</v>
      </c>
      <c r="T78" s="4">
        <f ca="1">$B$1*R78*$B$2</f>
        <v>31.631283358343239</v>
      </c>
      <c r="U78" s="7">
        <f t="shared" ca="1" si="19"/>
        <v>41.31244646792041</v>
      </c>
    </row>
    <row r="79" spans="2:21" x14ac:dyDescent="0.3">
      <c r="B79" s="13">
        <f t="shared" ca="1" si="10"/>
        <v>0.79949195792586925</v>
      </c>
      <c r="C79" s="14">
        <f t="shared" ca="1" si="10"/>
        <v>0.89794638111357816</v>
      </c>
      <c r="D79" s="14">
        <f t="shared" ca="1" si="11"/>
        <v>0.83980793415731081</v>
      </c>
      <c r="E79" s="14">
        <f t="shared" ca="1" si="12"/>
        <v>1.2699365350228917</v>
      </c>
      <c r="F79" s="14">
        <f t="shared" ca="1" si="13"/>
        <v>1.3093796428290783</v>
      </c>
      <c r="G79" s="14">
        <f t="shared" ca="1" si="14"/>
        <v>0.79949195792586913</v>
      </c>
      <c r="H79" s="15">
        <f t="shared" ca="1" si="15"/>
        <v>0.89794638111357838</v>
      </c>
      <c r="I79" s="14">
        <f ca="1">IF(G79&lt;0.05,1,0)*$B$1*$B$2</f>
        <v>0</v>
      </c>
      <c r="J79" s="14">
        <f ca="1">IF(H79&lt;0.05,1,0)*$B$1*$B$2</f>
        <v>0</v>
      </c>
      <c r="K79" s="15">
        <f t="shared" ca="1" si="16"/>
        <v>0</v>
      </c>
      <c r="P79" s="3">
        <v>75</v>
      </c>
      <c r="Q79" s="4">
        <f t="shared" ca="1" si="17"/>
        <v>0.79949195792586913</v>
      </c>
      <c r="R79" s="4">
        <f t="shared" ca="1" si="18"/>
        <v>0.89794638111357838</v>
      </c>
      <c r="S79" s="4">
        <f ca="1">$B$1*Q79*$B$2</f>
        <v>31.979678317034768</v>
      </c>
      <c r="T79" s="4">
        <f ca="1">$B$1*R79*$B$2</f>
        <v>35.917855244543141</v>
      </c>
      <c r="U79" s="7">
        <f t="shared" ca="1" si="19"/>
        <v>67.897533561577916</v>
      </c>
    </row>
    <row r="80" spans="2:21" x14ac:dyDescent="0.3">
      <c r="B80" s="13">
        <f t="shared" ca="1" si="10"/>
        <v>0.33405830875353038</v>
      </c>
      <c r="C80" s="14">
        <f t="shared" ca="1" si="10"/>
        <v>0.45499945418580723</v>
      </c>
      <c r="D80" s="14">
        <f t="shared" ca="1" si="11"/>
        <v>-0.42873427065023156</v>
      </c>
      <c r="E80" s="14">
        <f t="shared" ca="1" si="12"/>
        <v>-0.11303991756687656</v>
      </c>
      <c r="F80" s="14">
        <f t="shared" ca="1" si="13"/>
        <v>-0.4351338013112267</v>
      </c>
      <c r="G80" s="14">
        <f t="shared" ca="1" si="14"/>
        <v>0.33405830875353026</v>
      </c>
      <c r="H80" s="15">
        <f t="shared" ca="1" si="15"/>
        <v>0.45499945418580723</v>
      </c>
      <c r="I80" s="14">
        <f ca="1">IF(G80&lt;0.05,1,0)*$B$1*$B$2</f>
        <v>0</v>
      </c>
      <c r="J80" s="14">
        <f ca="1">IF(H80&lt;0.05,1,0)*$B$1*$B$2</f>
        <v>0</v>
      </c>
      <c r="K80" s="15">
        <f t="shared" ca="1" si="16"/>
        <v>0</v>
      </c>
      <c r="P80" s="3">
        <v>76</v>
      </c>
      <c r="Q80" s="4">
        <f t="shared" ca="1" si="17"/>
        <v>0.33405830875353026</v>
      </c>
      <c r="R80" s="4">
        <f t="shared" ca="1" si="18"/>
        <v>0.45499945418580723</v>
      </c>
      <c r="S80" s="4">
        <f ca="1">$B$1*Q80*$B$2</f>
        <v>13.362332350141211</v>
      </c>
      <c r="T80" s="4">
        <f ca="1">$B$1*R80*$B$2</f>
        <v>18.199978167432288</v>
      </c>
      <c r="U80" s="7">
        <f t="shared" ca="1" si="19"/>
        <v>31.562310517573501</v>
      </c>
    </row>
    <row r="81" spans="2:21" x14ac:dyDescent="0.3">
      <c r="B81" s="13">
        <f t="shared" ca="1" si="10"/>
        <v>6.6517739288341926E-2</v>
      </c>
      <c r="C81" s="14">
        <f t="shared" ca="1" si="10"/>
        <v>0.90957090352940984</v>
      </c>
      <c r="D81" s="14">
        <f t="shared" ca="1" si="11"/>
        <v>-1.5022386804099048</v>
      </c>
      <c r="E81" s="14">
        <f t="shared" ca="1" si="12"/>
        <v>1.3381173281328558</v>
      </c>
      <c r="F81" s="14">
        <f t="shared" ca="1" si="13"/>
        <v>-0.76874299157573711</v>
      </c>
      <c r="G81" s="14">
        <f t="shared" ca="1" si="14"/>
        <v>6.6517739288341968E-2</v>
      </c>
      <c r="H81" s="15">
        <f t="shared" ca="1" si="15"/>
        <v>0.90957090352940995</v>
      </c>
      <c r="I81" s="14">
        <f ca="1">IF(G81&lt;0.05,1,0)*$B$1*$B$2</f>
        <v>0</v>
      </c>
      <c r="J81" s="14">
        <f ca="1">IF(H81&lt;0.05,1,0)*$B$1*$B$2</f>
        <v>0</v>
      </c>
      <c r="K81" s="15">
        <f t="shared" ca="1" si="16"/>
        <v>0</v>
      </c>
      <c r="P81" s="3">
        <v>77</v>
      </c>
      <c r="Q81" s="4">
        <f t="shared" ca="1" si="17"/>
        <v>6.6517739288341968E-2</v>
      </c>
      <c r="R81" s="4">
        <f t="shared" ca="1" si="18"/>
        <v>0.90957090352940995</v>
      </c>
      <c r="S81" s="4">
        <f ca="1">$B$1*Q81*$B$2</f>
        <v>2.6607095715336788</v>
      </c>
      <c r="T81" s="4">
        <f ca="1">$B$1*R81*$B$2</f>
        <v>36.382836141176398</v>
      </c>
      <c r="U81" s="7">
        <f t="shared" ca="1" si="19"/>
        <v>39.043545712710078</v>
      </c>
    </row>
    <row r="82" spans="2:21" x14ac:dyDescent="0.3">
      <c r="B82" s="13">
        <f t="shared" ca="1" si="10"/>
        <v>0.23621956209862671</v>
      </c>
      <c r="C82" s="14">
        <f t="shared" ca="1" si="10"/>
        <v>0.87119385557356632</v>
      </c>
      <c r="D82" s="14">
        <f t="shared" ca="1" si="11"/>
        <v>-0.71851610039105385</v>
      </c>
      <c r="E82" s="14">
        <f t="shared" ca="1" si="12"/>
        <v>1.1320526765465408</v>
      </c>
      <c r="F82" s="14">
        <f t="shared" ca="1" si="13"/>
        <v>-0.1532141687688377</v>
      </c>
      <c r="G82" s="14">
        <f t="shared" ca="1" si="14"/>
        <v>0.23621956209862657</v>
      </c>
      <c r="H82" s="15">
        <f t="shared" ca="1" si="15"/>
        <v>0.87119385557356643</v>
      </c>
      <c r="I82" s="14">
        <f ca="1">IF(G82&lt;0.05,1,0)*$B$1*$B$2</f>
        <v>0</v>
      </c>
      <c r="J82" s="14">
        <f ca="1">IF(H82&lt;0.05,1,0)*$B$1*$B$2</f>
        <v>0</v>
      </c>
      <c r="K82" s="15">
        <f t="shared" ca="1" si="16"/>
        <v>0</v>
      </c>
      <c r="P82" s="3">
        <v>78</v>
      </c>
      <c r="Q82" s="4">
        <f t="shared" ca="1" si="17"/>
        <v>0.23621956209862657</v>
      </c>
      <c r="R82" s="4">
        <f t="shared" ca="1" si="18"/>
        <v>0.87119385557356643</v>
      </c>
      <c r="S82" s="4">
        <f ca="1">$B$1*Q82*$B$2</f>
        <v>9.4487824839450631</v>
      </c>
      <c r="T82" s="4">
        <f ca="1">$B$1*R82*$B$2</f>
        <v>34.847754222942655</v>
      </c>
      <c r="U82" s="7">
        <f t="shared" ca="1" si="19"/>
        <v>44.296536706887721</v>
      </c>
    </row>
    <row r="83" spans="2:21" x14ac:dyDescent="0.3">
      <c r="B83" s="13">
        <f t="shared" ca="1" si="10"/>
        <v>0.95798813248266446</v>
      </c>
      <c r="C83" s="14">
        <f t="shared" ca="1" si="10"/>
        <v>7.1802082940814027E-2</v>
      </c>
      <c r="D83" s="14">
        <f t="shared" ca="1" si="11"/>
        <v>1.72780196473889</v>
      </c>
      <c r="E83" s="14">
        <f t="shared" ca="1" si="12"/>
        <v>-1.4625002865608583</v>
      </c>
      <c r="F83" s="14">
        <f t="shared" ca="1" si="13"/>
        <v>0.91753267286319551</v>
      </c>
      <c r="G83" s="14">
        <f t="shared" ca="1" si="14"/>
        <v>0.95798813248266446</v>
      </c>
      <c r="H83" s="15">
        <f t="shared" ca="1" si="15"/>
        <v>7.1802082940814027E-2</v>
      </c>
      <c r="I83" s="14">
        <f ca="1">IF(G83&lt;0.05,1,0)*$B$1*$B$2</f>
        <v>0</v>
      </c>
      <c r="J83" s="14">
        <f ca="1">IF(H83&lt;0.05,1,0)*$B$1*$B$2</f>
        <v>0</v>
      </c>
      <c r="K83" s="15">
        <f t="shared" ca="1" si="16"/>
        <v>0</v>
      </c>
      <c r="P83" s="3">
        <v>79</v>
      </c>
      <c r="Q83" s="4">
        <f t="shared" ca="1" si="17"/>
        <v>0.95798813248266446</v>
      </c>
      <c r="R83" s="4">
        <f t="shared" ca="1" si="18"/>
        <v>7.1802082940814027E-2</v>
      </c>
      <c r="S83" s="4">
        <f ca="1">$B$1*Q83*$B$2</f>
        <v>38.319525299306576</v>
      </c>
      <c r="T83" s="4">
        <f ca="1">$B$1*R83*$B$2</f>
        <v>2.8720833176325615</v>
      </c>
      <c r="U83" s="7">
        <f t="shared" ca="1" si="19"/>
        <v>41.191608616939135</v>
      </c>
    </row>
    <row r="84" spans="2:21" x14ac:dyDescent="0.3">
      <c r="B84" s="13">
        <f t="shared" ca="1" si="10"/>
        <v>0.2334770524933355</v>
      </c>
      <c r="C84" s="14">
        <f t="shared" ca="1" si="10"/>
        <v>0.79185372499820172</v>
      </c>
      <c r="D84" s="14">
        <f t="shared" ca="1" si="11"/>
        <v>-0.72744384280324614</v>
      </c>
      <c r="E84" s="14">
        <f t="shared" ca="1" si="12"/>
        <v>0.8128700808158984</v>
      </c>
      <c r="F84" s="14">
        <f t="shared" ca="1" si="13"/>
        <v>-0.30037760487249748</v>
      </c>
      <c r="G84" s="14">
        <f t="shared" ca="1" si="14"/>
        <v>0.23347705249333556</v>
      </c>
      <c r="H84" s="15">
        <f t="shared" ca="1" si="15"/>
        <v>0.79185372499820184</v>
      </c>
      <c r="I84" s="14">
        <f ca="1">IF(G84&lt;0.05,1,0)*$B$1*$B$2</f>
        <v>0</v>
      </c>
      <c r="J84" s="14">
        <f ca="1">IF(H84&lt;0.05,1,0)*$B$1*$B$2</f>
        <v>0</v>
      </c>
      <c r="K84" s="15">
        <f t="shared" ca="1" si="16"/>
        <v>0</v>
      </c>
      <c r="P84" s="3">
        <v>80</v>
      </c>
      <c r="Q84" s="4">
        <f t="shared" ca="1" si="17"/>
        <v>0.23347705249333556</v>
      </c>
      <c r="R84" s="4">
        <f t="shared" ca="1" si="18"/>
        <v>0.79185372499820184</v>
      </c>
      <c r="S84" s="4">
        <f ca="1">$B$1*Q84*$B$2</f>
        <v>9.3390820997334227</v>
      </c>
      <c r="T84" s="4">
        <f ca="1">$B$1*R84*$B$2</f>
        <v>31.674148999928079</v>
      </c>
      <c r="U84" s="7">
        <f t="shared" ca="1" si="19"/>
        <v>41.013231099661503</v>
      </c>
    </row>
    <row r="85" spans="2:21" x14ac:dyDescent="0.3">
      <c r="B85" s="13">
        <f t="shared" ca="1" si="10"/>
        <v>0.47533022283287119</v>
      </c>
      <c r="C85" s="14">
        <f t="shared" ca="1" si="10"/>
        <v>0.95393642719074734</v>
      </c>
      <c r="D85" s="14">
        <f t="shared" ca="1" si="11"/>
        <v>-6.1877424517207832E-2</v>
      </c>
      <c r="E85" s="14">
        <f t="shared" ca="1" si="12"/>
        <v>1.6842821903302765</v>
      </c>
      <c r="F85" s="14">
        <f t="shared" ca="1" si="13"/>
        <v>0.67847190394001422</v>
      </c>
      <c r="G85" s="14">
        <f t="shared" ca="1" si="14"/>
        <v>0.47533022283287119</v>
      </c>
      <c r="H85" s="15">
        <f t="shared" ca="1" si="15"/>
        <v>0.95393642719074734</v>
      </c>
      <c r="I85" s="14">
        <f ca="1">IF(G85&lt;0.05,1,0)*$B$1*$B$2</f>
        <v>0</v>
      </c>
      <c r="J85" s="14">
        <f ca="1">IF(H85&lt;0.05,1,0)*$B$1*$B$2</f>
        <v>0</v>
      </c>
      <c r="K85" s="15">
        <f t="shared" ca="1" si="16"/>
        <v>0</v>
      </c>
      <c r="P85" s="3">
        <v>81</v>
      </c>
      <c r="Q85" s="4">
        <f t="shared" ca="1" si="17"/>
        <v>0.47533022283287119</v>
      </c>
      <c r="R85" s="4">
        <f t="shared" ca="1" si="18"/>
        <v>0.95393642719074734</v>
      </c>
      <c r="S85" s="4">
        <f ca="1">$B$1*Q85*$B$2</f>
        <v>19.013208913314848</v>
      </c>
      <c r="T85" s="4">
        <f ca="1">$B$1*R85*$B$2</f>
        <v>38.157457087629894</v>
      </c>
      <c r="U85" s="7">
        <f t="shared" ca="1" si="19"/>
        <v>57.170666000944742</v>
      </c>
    </row>
    <row r="86" spans="2:21" x14ac:dyDescent="0.3">
      <c r="B86" s="13">
        <f t="shared" ca="1" si="10"/>
        <v>4.7302422879588524E-2</v>
      </c>
      <c r="C86" s="14">
        <f t="shared" ca="1" si="10"/>
        <v>0.45245337614146119</v>
      </c>
      <c r="D86" s="14">
        <f t="shared" ca="1" si="11"/>
        <v>-1.6715917852144073</v>
      </c>
      <c r="E86" s="14">
        <f t="shared" ca="1" si="12"/>
        <v>-0.11946527150181802</v>
      </c>
      <c r="F86" s="14">
        <f t="shared" ca="1" si="13"/>
        <v>-1.556506311266874</v>
      </c>
      <c r="G86" s="14">
        <f t="shared" ca="1" si="14"/>
        <v>4.7302422879588552E-2</v>
      </c>
      <c r="H86" s="15">
        <f t="shared" ca="1" si="15"/>
        <v>0.45245337614146119</v>
      </c>
      <c r="I86" s="14">
        <f ca="1">IF(G86&lt;0.05,1,0)*$B$1*$B$2</f>
        <v>40</v>
      </c>
      <c r="J86" s="14">
        <f ca="1">IF(H86&lt;0.05,1,0)*$B$1*$B$2</f>
        <v>0</v>
      </c>
      <c r="K86" s="15">
        <f t="shared" ca="1" si="16"/>
        <v>40</v>
      </c>
      <c r="P86" s="3">
        <v>82</v>
      </c>
      <c r="Q86" s="4">
        <f t="shared" ca="1" si="17"/>
        <v>4.7302422879588552E-2</v>
      </c>
      <c r="R86" s="4">
        <f t="shared" ca="1" si="18"/>
        <v>0.45245337614146119</v>
      </c>
      <c r="S86" s="4">
        <f ca="1">$B$1*Q86*$B$2</f>
        <v>1.8920969151835423</v>
      </c>
      <c r="T86" s="4">
        <f ca="1">$B$1*R86*$B$2</f>
        <v>18.098135045658449</v>
      </c>
      <c r="U86" s="7">
        <f t="shared" ca="1" si="19"/>
        <v>19.990231960841992</v>
      </c>
    </row>
    <row r="87" spans="2:21" x14ac:dyDescent="0.3">
      <c r="B87" s="13">
        <f t="shared" ca="1" si="10"/>
        <v>0.10026903563934875</v>
      </c>
      <c r="C87" s="14">
        <f t="shared" ca="1" si="10"/>
        <v>0.49019105631675541</v>
      </c>
      <c r="D87" s="14">
        <f t="shared" ca="1" si="11"/>
        <v>-1.2800200876435868</v>
      </c>
      <c r="E87" s="14">
        <f t="shared" ca="1" si="12"/>
        <v>-2.4589853443060798E-2</v>
      </c>
      <c r="F87" s="14">
        <f t="shared" ca="1" si="13"/>
        <v>-1.1627365474987057</v>
      </c>
      <c r="G87" s="14">
        <f t="shared" ca="1" si="14"/>
        <v>0.10026903563934882</v>
      </c>
      <c r="H87" s="15">
        <f t="shared" ca="1" si="15"/>
        <v>0.49019105631675541</v>
      </c>
      <c r="I87" s="14">
        <f ca="1">IF(G87&lt;0.05,1,0)*$B$1*$B$2</f>
        <v>0</v>
      </c>
      <c r="J87" s="14">
        <f ca="1">IF(H87&lt;0.05,1,0)*$B$1*$B$2</f>
        <v>0</v>
      </c>
      <c r="K87" s="15">
        <f t="shared" ca="1" si="16"/>
        <v>0</v>
      </c>
      <c r="P87" s="3">
        <v>83</v>
      </c>
      <c r="Q87" s="4">
        <f t="shared" ca="1" si="17"/>
        <v>0.10026903563934882</v>
      </c>
      <c r="R87" s="4">
        <f t="shared" ca="1" si="18"/>
        <v>0.49019105631675541</v>
      </c>
      <c r="S87" s="4">
        <f ca="1">$B$1*Q87*$B$2</f>
        <v>4.0107614255739525</v>
      </c>
      <c r="T87" s="4">
        <f ca="1">$B$1*R87*$B$2</f>
        <v>19.607642252670217</v>
      </c>
      <c r="U87" s="7">
        <f t="shared" ca="1" si="19"/>
        <v>23.618403678244171</v>
      </c>
    </row>
    <row r="88" spans="2:21" x14ac:dyDescent="0.3">
      <c r="B88" s="13">
        <f t="shared" ca="1" si="10"/>
        <v>0.51215301780541234</v>
      </c>
      <c r="C88" s="14">
        <f t="shared" ca="1" si="10"/>
        <v>0.87949444942263655</v>
      </c>
      <c r="D88" s="14">
        <f t="shared" ca="1" si="11"/>
        <v>3.0467811211665162E-2</v>
      </c>
      <c r="E88" s="14">
        <f t="shared" ca="1" si="12"/>
        <v>1.172463292942971</v>
      </c>
      <c r="F88" s="14">
        <f t="shared" ca="1" si="13"/>
        <v>0.53848593098543218</v>
      </c>
      <c r="G88" s="14">
        <f t="shared" ca="1" si="14"/>
        <v>0.51215301780541234</v>
      </c>
      <c r="H88" s="15">
        <f t="shared" ca="1" si="15"/>
        <v>0.87949444942263655</v>
      </c>
      <c r="I88" s="14">
        <f ca="1">IF(G88&lt;0.05,1,0)*$B$1*$B$2</f>
        <v>0</v>
      </c>
      <c r="J88" s="14">
        <f ca="1">IF(H88&lt;0.05,1,0)*$B$1*$B$2</f>
        <v>0</v>
      </c>
      <c r="K88" s="15">
        <f t="shared" ca="1" si="16"/>
        <v>0</v>
      </c>
      <c r="P88" s="3">
        <v>84</v>
      </c>
      <c r="Q88" s="4">
        <f t="shared" ca="1" si="17"/>
        <v>0.51215301780541234</v>
      </c>
      <c r="R88" s="4">
        <f t="shared" ca="1" si="18"/>
        <v>0.87949444942263655</v>
      </c>
      <c r="S88" s="4">
        <f ca="1">$B$1*Q88*$B$2</f>
        <v>20.486120712216493</v>
      </c>
      <c r="T88" s="4">
        <f ca="1">$B$1*R88*$B$2</f>
        <v>35.179777976905463</v>
      </c>
      <c r="U88" s="7">
        <f t="shared" ca="1" si="19"/>
        <v>55.66589868912196</v>
      </c>
    </row>
    <row r="89" spans="2:21" x14ac:dyDescent="0.3">
      <c r="B89" s="13">
        <f t="shared" ca="1" si="10"/>
        <v>0.36801319280569389</v>
      </c>
      <c r="C89" s="14">
        <f t="shared" ca="1" si="10"/>
        <v>0.5986332820064314</v>
      </c>
      <c r="D89" s="14">
        <f t="shared" ca="1" si="11"/>
        <v>-0.33712007374005781</v>
      </c>
      <c r="E89" s="14">
        <f t="shared" ca="1" si="12"/>
        <v>0.24981109910795779</v>
      </c>
      <c r="F89" s="14">
        <f t="shared" ca="1" si="13"/>
        <v>-0.19451793276741092</v>
      </c>
      <c r="G89" s="14">
        <f t="shared" ca="1" si="14"/>
        <v>0.36801319280569389</v>
      </c>
      <c r="H89" s="15">
        <f t="shared" ca="1" si="15"/>
        <v>0.5986332820064314</v>
      </c>
      <c r="I89" s="14">
        <f ca="1">IF(G89&lt;0.05,1,0)*$B$1*$B$2</f>
        <v>0</v>
      </c>
      <c r="J89" s="14">
        <f ca="1">IF(H89&lt;0.05,1,0)*$B$1*$B$2</f>
        <v>0</v>
      </c>
      <c r="K89" s="15">
        <f t="shared" ca="1" si="16"/>
        <v>0</v>
      </c>
      <c r="P89" s="3">
        <v>85</v>
      </c>
      <c r="Q89" s="4">
        <f t="shared" ca="1" si="17"/>
        <v>0.36801319280569389</v>
      </c>
      <c r="R89" s="4">
        <f t="shared" ca="1" si="18"/>
        <v>0.5986332820064314</v>
      </c>
      <c r="S89" s="4">
        <f ca="1">$B$1*Q89*$B$2</f>
        <v>14.720527712227756</v>
      </c>
      <c r="T89" s="4">
        <f ca="1">$B$1*R89*$B$2</f>
        <v>23.945331280257257</v>
      </c>
      <c r="U89" s="7">
        <f t="shared" ca="1" si="19"/>
        <v>38.665858992485013</v>
      </c>
    </row>
    <row r="90" spans="2:21" x14ac:dyDescent="0.3">
      <c r="B90" s="13">
        <f t="shared" ca="1" si="10"/>
        <v>0.40769357423986885</v>
      </c>
      <c r="C90" s="14">
        <f t="shared" ca="1" si="10"/>
        <v>0.5970138873758345</v>
      </c>
      <c r="D90" s="14">
        <f t="shared" ca="1" si="11"/>
        <v>-0.23348199586803925</v>
      </c>
      <c r="E90" s="14">
        <f t="shared" ca="1" si="12"/>
        <v>0.24562539984225304</v>
      </c>
      <c r="F90" s="14">
        <f t="shared" ca="1" si="13"/>
        <v>-0.10306816669332011</v>
      </c>
      <c r="G90" s="14">
        <f t="shared" ca="1" si="14"/>
        <v>0.40769357423986879</v>
      </c>
      <c r="H90" s="15">
        <f t="shared" ca="1" si="15"/>
        <v>0.5970138873758345</v>
      </c>
      <c r="I90" s="14">
        <f ca="1">IF(G90&lt;0.05,1,0)*$B$1*$B$2</f>
        <v>0</v>
      </c>
      <c r="J90" s="14">
        <f ca="1">IF(H90&lt;0.05,1,0)*$B$1*$B$2</f>
        <v>0</v>
      </c>
      <c r="K90" s="15">
        <f t="shared" ca="1" si="16"/>
        <v>0</v>
      </c>
      <c r="P90" s="3">
        <v>86</v>
      </c>
      <c r="Q90" s="4">
        <f t="shared" ca="1" si="17"/>
        <v>0.40769357423986879</v>
      </c>
      <c r="R90" s="4">
        <f t="shared" ca="1" si="18"/>
        <v>0.5970138873758345</v>
      </c>
      <c r="S90" s="4">
        <f ca="1">$B$1*Q90*$B$2</f>
        <v>16.307742969594752</v>
      </c>
      <c r="T90" s="4">
        <f ca="1">$B$1*R90*$B$2</f>
        <v>23.880555495033381</v>
      </c>
      <c r="U90" s="7">
        <f t="shared" ca="1" si="19"/>
        <v>40.188298464628133</v>
      </c>
    </row>
    <row r="91" spans="2:21" x14ac:dyDescent="0.3">
      <c r="B91" s="13">
        <f t="shared" ca="1" si="10"/>
        <v>0.87814466110567746</v>
      </c>
      <c r="C91" s="14">
        <f t="shared" ca="1" si="10"/>
        <v>0.93145418500445287</v>
      </c>
      <c r="D91" s="14">
        <f t="shared" ca="1" si="11"/>
        <v>1.1657620178195192</v>
      </c>
      <c r="E91" s="14">
        <f t="shared" ca="1" si="12"/>
        <v>1.4867092068369792</v>
      </c>
      <c r="F91" s="14">
        <f t="shared" ca="1" si="13"/>
        <v>1.6972273351409575</v>
      </c>
      <c r="G91" s="14">
        <f t="shared" ca="1" si="14"/>
        <v>0.87814466110567746</v>
      </c>
      <c r="H91" s="15">
        <f t="shared" ca="1" si="15"/>
        <v>0.93145418500445287</v>
      </c>
      <c r="I91" s="14">
        <f ca="1">IF(G91&lt;0.05,1,0)*$B$1*$B$2</f>
        <v>0</v>
      </c>
      <c r="J91" s="14">
        <f ca="1">IF(H91&lt;0.05,1,0)*$B$1*$B$2</f>
        <v>0</v>
      </c>
      <c r="K91" s="15">
        <f t="shared" ca="1" si="16"/>
        <v>0</v>
      </c>
      <c r="P91" s="3">
        <v>87</v>
      </c>
      <c r="Q91" s="4">
        <f t="shared" ca="1" si="17"/>
        <v>0.87814466110567746</v>
      </c>
      <c r="R91" s="4">
        <f t="shared" ca="1" si="18"/>
        <v>0.93145418500445287</v>
      </c>
      <c r="S91" s="4">
        <f ca="1">$B$1*Q91*$B$2</f>
        <v>35.125786444227103</v>
      </c>
      <c r="T91" s="4">
        <f ca="1">$B$1*R91*$B$2</f>
        <v>37.258167400178117</v>
      </c>
      <c r="U91" s="7">
        <f t="shared" ca="1" si="19"/>
        <v>72.383953844405227</v>
      </c>
    </row>
    <row r="92" spans="2:21" x14ac:dyDescent="0.3">
      <c r="B92" s="13">
        <f t="shared" ca="1" si="10"/>
        <v>0.20475678200629632</v>
      </c>
      <c r="C92" s="14">
        <f t="shared" ca="1" si="10"/>
        <v>0.14174343726419092</v>
      </c>
      <c r="D92" s="14">
        <f t="shared" ca="1" si="11"/>
        <v>-0.8247499552612142</v>
      </c>
      <c r="E92" s="14">
        <f t="shared" ca="1" si="12"/>
        <v>-1.0725192452778025</v>
      </c>
      <c r="F92" s="14">
        <f t="shared" ca="1" si="13"/>
        <v>-1.2097752602519383</v>
      </c>
      <c r="G92" s="14">
        <f t="shared" ca="1" si="14"/>
        <v>0.20475678200629663</v>
      </c>
      <c r="H92" s="15">
        <f t="shared" ca="1" si="15"/>
        <v>0.14174343726419081</v>
      </c>
      <c r="I92" s="14">
        <f ca="1">IF(G92&lt;0.05,1,0)*$B$1*$B$2</f>
        <v>0</v>
      </c>
      <c r="J92" s="14">
        <f ca="1">IF(H92&lt;0.05,1,0)*$B$1*$B$2</f>
        <v>0</v>
      </c>
      <c r="K92" s="15">
        <f t="shared" ca="1" si="16"/>
        <v>0</v>
      </c>
      <c r="P92" s="3">
        <v>88</v>
      </c>
      <c r="Q92" s="4">
        <f t="shared" ca="1" si="17"/>
        <v>0.20475678200629663</v>
      </c>
      <c r="R92" s="4">
        <f t="shared" ca="1" si="18"/>
        <v>0.14174343726419081</v>
      </c>
      <c r="S92" s="4">
        <f ca="1">$B$1*Q92*$B$2</f>
        <v>8.1902712802518653</v>
      </c>
      <c r="T92" s="4">
        <f ca="1">$B$1*R92*$B$2</f>
        <v>5.6697374905676332</v>
      </c>
      <c r="U92" s="7">
        <f t="shared" ca="1" si="19"/>
        <v>13.860008770819498</v>
      </c>
    </row>
    <row r="93" spans="2:21" x14ac:dyDescent="0.3">
      <c r="B93" s="13">
        <f t="shared" ca="1" si="10"/>
        <v>0.85747640600221986</v>
      </c>
      <c r="C93" s="14">
        <f t="shared" ca="1" si="10"/>
        <v>0.45339460321311964</v>
      </c>
      <c r="D93" s="14">
        <f t="shared" ca="1" si="11"/>
        <v>1.0690498933311141</v>
      </c>
      <c r="E93" s="14">
        <f t="shared" ca="1" si="12"/>
        <v>-0.11708940391665926</v>
      </c>
      <c r="F93" s="14">
        <f t="shared" ca="1" si="13"/>
        <v>0.91110681609478938</v>
      </c>
      <c r="G93" s="14">
        <f t="shared" ca="1" si="14"/>
        <v>0.85747640600221997</v>
      </c>
      <c r="H93" s="15">
        <f t="shared" ca="1" si="15"/>
        <v>0.45339460321311964</v>
      </c>
      <c r="I93" s="14">
        <f ca="1">IF(G93&lt;0.05,1,0)*$B$1*$B$2</f>
        <v>0</v>
      </c>
      <c r="J93" s="14">
        <f ca="1">IF(H93&lt;0.05,1,0)*$B$1*$B$2</f>
        <v>0</v>
      </c>
      <c r="K93" s="15">
        <f t="shared" ca="1" si="16"/>
        <v>0</v>
      </c>
      <c r="P93" s="3">
        <v>89</v>
      </c>
      <c r="Q93" s="4">
        <f t="shared" ca="1" si="17"/>
        <v>0.85747640600221997</v>
      </c>
      <c r="R93" s="4">
        <f t="shared" ca="1" si="18"/>
        <v>0.45339460321311964</v>
      </c>
      <c r="S93" s="4">
        <f ca="1">$B$1*Q93*$B$2</f>
        <v>34.299056240088802</v>
      </c>
      <c r="T93" s="4">
        <f ca="1">$B$1*R93*$B$2</f>
        <v>18.135784128524786</v>
      </c>
      <c r="U93" s="7">
        <f t="shared" ca="1" si="19"/>
        <v>52.434840368613592</v>
      </c>
    </row>
    <row r="94" spans="2:21" x14ac:dyDescent="0.3">
      <c r="B94" s="13">
        <f t="shared" ca="1" si="10"/>
        <v>0.71436388961527053</v>
      </c>
      <c r="C94" s="14">
        <f t="shared" ca="1" si="10"/>
        <v>0.9054537203275218</v>
      </c>
      <c r="D94" s="14">
        <f t="shared" ca="1" si="11"/>
        <v>0.56617882825145815</v>
      </c>
      <c r="E94" s="14">
        <f t="shared" ca="1" si="12"/>
        <v>1.3132682911234306</v>
      </c>
      <c r="F94" s="14">
        <f t="shared" ca="1" si="13"/>
        <v>1.082001322102651</v>
      </c>
      <c r="G94" s="14">
        <f t="shared" ca="1" si="14"/>
        <v>0.71436388961527053</v>
      </c>
      <c r="H94" s="15">
        <f t="shared" ca="1" si="15"/>
        <v>0.9054537203275218</v>
      </c>
      <c r="I94" s="14">
        <f ca="1">IF(G94&lt;0.05,1,0)*$B$1*$B$2</f>
        <v>0</v>
      </c>
      <c r="J94" s="14">
        <f ca="1">IF(H94&lt;0.05,1,0)*$B$1*$B$2</f>
        <v>0</v>
      </c>
      <c r="K94" s="15">
        <f t="shared" ca="1" si="16"/>
        <v>0</v>
      </c>
      <c r="P94" s="3">
        <v>90</v>
      </c>
      <c r="Q94" s="4">
        <f t="shared" ca="1" si="17"/>
        <v>0.71436388961527053</v>
      </c>
      <c r="R94" s="4">
        <f t="shared" ca="1" si="18"/>
        <v>0.9054537203275218</v>
      </c>
      <c r="S94" s="4">
        <f ca="1">$B$1*Q94*$B$2</f>
        <v>28.574555584610824</v>
      </c>
      <c r="T94" s="4">
        <f ca="1">$B$1*R94*$B$2</f>
        <v>36.218148813100875</v>
      </c>
      <c r="U94" s="7">
        <f t="shared" ca="1" si="19"/>
        <v>64.792704397711702</v>
      </c>
    </row>
    <row r="95" spans="2:21" x14ac:dyDescent="0.3">
      <c r="B95" s="13">
        <f t="shared" ca="1" si="10"/>
        <v>0.48004647049566607</v>
      </c>
      <c r="C95" s="14">
        <f t="shared" ca="1" si="10"/>
        <v>0.86784961867630206</v>
      </c>
      <c r="D95" s="14">
        <f t="shared" ca="1" si="11"/>
        <v>-5.0036952953843833E-2</v>
      </c>
      <c r="E95" s="14">
        <f t="shared" ca="1" si="12"/>
        <v>1.1162835922527772</v>
      </c>
      <c r="F95" s="14">
        <f t="shared" ca="1" si="13"/>
        <v>0.44154347943778233</v>
      </c>
      <c r="G95" s="14">
        <f t="shared" ca="1" si="14"/>
        <v>0.48004647049566607</v>
      </c>
      <c r="H95" s="15">
        <f t="shared" ca="1" si="15"/>
        <v>0.86784961867630217</v>
      </c>
      <c r="I95" s="14">
        <f ca="1">IF(G95&lt;0.05,1,0)*$B$1*$B$2</f>
        <v>0</v>
      </c>
      <c r="J95" s="14">
        <f ca="1">IF(H95&lt;0.05,1,0)*$B$1*$B$2</f>
        <v>0</v>
      </c>
      <c r="K95" s="15">
        <f t="shared" ca="1" si="16"/>
        <v>0</v>
      </c>
      <c r="P95" s="3">
        <v>91</v>
      </c>
      <c r="Q95" s="4">
        <f t="shared" ca="1" si="17"/>
        <v>0.48004647049566607</v>
      </c>
      <c r="R95" s="4">
        <f t="shared" ca="1" si="18"/>
        <v>0.86784961867630217</v>
      </c>
      <c r="S95" s="4">
        <f ca="1">$B$1*Q95*$B$2</f>
        <v>19.201858819826644</v>
      </c>
      <c r="T95" s="4">
        <f ca="1">$B$1*R95*$B$2</f>
        <v>34.713984747052088</v>
      </c>
      <c r="U95" s="7">
        <f t="shared" ca="1" si="19"/>
        <v>53.915843566878735</v>
      </c>
    </row>
    <row r="96" spans="2:21" x14ac:dyDescent="0.3">
      <c r="B96" s="13">
        <f t="shared" ca="1" si="10"/>
        <v>0.66340735217774605</v>
      </c>
      <c r="C96" s="14">
        <f t="shared" ca="1" si="10"/>
        <v>0.26488049415102555</v>
      </c>
      <c r="D96" s="14">
        <f t="shared" ca="1" si="11"/>
        <v>0.42178042407828231</v>
      </c>
      <c r="E96" s="14">
        <f t="shared" ca="1" si="12"/>
        <v>-0.62837091111008703</v>
      </c>
      <c r="F96" s="14">
        <f t="shared" ca="1" si="13"/>
        <v>0.10570185161150925</v>
      </c>
      <c r="G96" s="14">
        <f t="shared" ca="1" si="14"/>
        <v>0.66340735217774616</v>
      </c>
      <c r="H96" s="15">
        <f t="shared" ca="1" si="15"/>
        <v>0.26488049415102544</v>
      </c>
      <c r="I96" s="14">
        <f ca="1">IF(G96&lt;0.05,1,0)*$B$1*$B$2</f>
        <v>0</v>
      </c>
      <c r="J96" s="14">
        <f ca="1">IF(H96&lt;0.05,1,0)*$B$1*$B$2</f>
        <v>0</v>
      </c>
      <c r="K96" s="15">
        <f t="shared" ca="1" si="16"/>
        <v>0</v>
      </c>
      <c r="P96" s="3">
        <v>92</v>
      </c>
      <c r="Q96" s="4">
        <f t="shared" ca="1" si="17"/>
        <v>0.66340735217774616</v>
      </c>
      <c r="R96" s="4">
        <f t="shared" ca="1" si="18"/>
        <v>0.26488049415102544</v>
      </c>
      <c r="S96" s="4">
        <f ca="1">$B$1*Q96*$B$2</f>
        <v>26.536294087109852</v>
      </c>
      <c r="T96" s="4">
        <f ca="1">$B$1*R96*$B$2</f>
        <v>10.595219766041019</v>
      </c>
      <c r="U96" s="7">
        <f t="shared" ca="1" si="19"/>
        <v>37.131513853150871</v>
      </c>
    </row>
    <row r="97" spans="2:21" x14ac:dyDescent="0.3">
      <c r="B97" s="13">
        <f t="shared" ca="1" si="10"/>
        <v>0.41698109440141706</v>
      </c>
      <c r="C97" s="14">
        <f t="shared" ca="1" si="10"/>
        <v>1.127645903710639E-2</v>
      </c>
      <c r="D97" s="14">
        <f t="shared" ca="1" si="11"/>
        <v>-0.20962266465618895</v>
      </c>
      <c r="E97" s="14">
        <f t="shared" ca="1" si="12"/>
        <v>-2.2809244464571767</v>
      </c>
      <c r="F97" s="14">
        <f t="shared" ca="1" si="13"/>
        <v>-1.1828923141863983</v>
      </c>
      <c r="G97" s="14">
        <f t="shared" ca="1" si="14"/>
        <v>0.41698109440141701</v>
      </c>
      <c r="H97" s="15">
        <f t="shared" ca="1" si="15"/>
        <v>1.1276459037106406E-2</v>
      </c>
      <c r="I97" s="14">
        <f ca="1">IF(G97&lt;0.05,1,0)*$B$1*$B$2</f>
        <v>0</v>
      </c>
      <c r="J97" s="14">
        <f ca="1">IF(H97&lt;0.05,1,0)*$B$1*$B$2</f>
        <v>40</v>
      </c>
      <c r="K97" s="15">
        <f t="shared" ca="1" si="16"/>
        <v>40</v>
      </c>
      <c r="P97" s="3">
        <v>93</v>
      </c>
      <c r="Q97" s="4">
        <f t="shared" ca="1" si="17"/>
        <v>0.41698109440141701</v>
      </c>
      <c r="R97" s="4">
        <f t="shared" ca="1" si="18"/>
        <v>1.1276459037106406E-2</v>
      </c>
      <c r="S97" s="4">
        <f ca="1">$B$1*Q97*$B$2</f>
        <v>16.67924377605668</v>
      </c>
      <c r="T97" s="4">
        <f ca="1">$B$1*R97*$B$2</f>
        <v>0.45105836148425626</v>
      </c>
      <c r="U97" s="7">
        <f t="shared" ca="1" si="19"/>
        <v>17.130302137540937</v>
      </c>
    </row>
    <row r="98" spans="2:21" x14ac:dyDescent="0.3">
      <c r="B98" s="13">
        <f t="shared" ca="1" si="10"/>
        <v>0.49619777671666498</v>
      </c>
      <c r="C98" s="14">
        <f t="shared" ca="1" si="10"/>
        <v>0.24782162752061765</v>
      </c>
      <c r="D98" s="14">
        <f t="shared" ca="1" si="11"/>
        <v>-9.530904681450493E-3</v>
      </c>
      <c r="E98" s="14">
        <f t="shared" ca="1" si="12"/>
        <v>-0.681360745316824</v>
      </c>
      <c r="F98" s="14">
        <f t="shared" ca="1" si="13"/>
        <v>-0.30557607750646437</v>
      </c>
      <c r="G98" s="14">
        <f t="shared" ca="1" si="14"/>
        <v>0.49619777671666498</v>
      </c>
      <c r="H98" s="15">
        <f t="shared" ca="1" si="15"/>
        <v>0.24782162752061754</v>
      </c>
      <c r="I98" s="14">
        <f ca="1">IF(G98&lt;0.05,1,0)*$B$1*$B$2</f>
        <v>0</v>
      </c>
      <c r="J98" s="14">
        <f ca="1">IF(H98&lt;0.05,1,0)*$B$1*$B$2</f>
        <v>0</v>
      </c>
      <c r="K98" s="15">
        <f t="shared" ca="1" si="16"/>
        <v>0</v>
      </c>
      <c r="P98" s="3">
        <v>94</v>
      </c>
      <c r="Q98" s="4">
        <f t="shared" ca="1" si="17"/>
        <v>0.49619777671666498</v>
      </c>
      <c r="R98" s="4">
        <f t="shared" ca="1" si="18"/>
        <v>0.24782162752061754</v>
      </c>
      <c r="S98" s="4">
        <f ca="1">$B$1*Q98*$B$2</f>
        <v>19.847911068666601</v>
      </c>
      <c r="T98" s="4">
        <f ca="1">$B$1*R98*$B$2</f>
        <v>9.9128651008247033</v>
      </c>
      <c r="U98" s="7">
        <f t="shared" ca="1" si="19"/>
        <v>29.760776169491304</v>
      </c>
    </row>
    <row r="99" spans="2:21" x14ac:dyDescent="0.3">
      <c r="B99" s="13">
        <f t="shared" ca="1" si="10"/>
        <v>0.68004083665022741</v>
      </c>
      <c r="C99" s="14">
        <f t="shared" ca="1" si="10"/>
        <v>0.17593759967991207</v>
      </c>
      <c r="D99" s="14">
        <f t="shared" ca="1" si="11"/>
        <v>0.46781299511690755</v>
      </c>
      <c r="E99" s="14">
        <f t="shared" ca="1" si="12"/>
        <v>-0.93095817586173579</v>
      </c>
      <c r="F99" s="14">
        <f t="shared" ca="1" si="13"/>
        <v>1.5236434680789612E-2</v>
      </c>
      <c r="G99" s="14">
        <f t="shared" ca="1" si="14"/>
        <v>0.68004083665022752</v>
      </c>
      <c r="H99" s="15">
        <f t="shared" ca="1" si="15"/>
        <v>0.17593759967991215</v>
      </c>
      <c r="I99" s="14">
        <f ca="1">IF(G99&lt;0.05,1,0)*$B$1*$B$2</f>
        <v>0</v>
      </c>
      <c r="J99" s="14">
        <f ca="1">IF(H99&lt;0.05,1,0)*$B$1*$B$2</f>
        <v>0</v>
      </c>
      <c r="K99" s="15">
        <f t="shared" ca="1" si="16"/>
        <v>0</v>
      </c>
      <c r="P99" s="3">
        <v>95</v>
      </c>
      <c r="Q99" s="4">
        <f t="shared" ca="1" si="17"/>
        <v>0.68004083665022752</v>
      </c>
      <c r="R99" s="4">
        <f t="shared" ca="1" si="18"/>
        <v>0.17593759967991215</v>
      </c>
      <c r="S99" s="4">
        <f ca="1">$B$1*Q99*$B$2</f>
        <v>27.201633466009099</v>
      </c>
      <c r="T99" s="4">
        <f ca="1">$B$1*R99*$B$2</f>
        <v>7.0375039871964864</v>
      </c>
      <c r="U99" s="7">
        <f t="shared" ca="1" si="19"/>
        <v>34.239137453205586</v>
      </c>
    </row>
    <row r="100" spans="2:21" x14ac:dyDescent="0.3">
      <c r="B100" s="13">
        <f t="shared" ca="1" si="10"/>
        <v>0.52106423548300251</v>
      </c>
      <c r="C100" s="14">
        <f t="shared" ca="1" si="10"/>
        <v>0.38148099889591869</v>
      </c>
      <c r="D100" s="14">
        <f t="shared" ca="1" si="11"/>
        <v>5.282476549471677E-2</v>
      </c>
      <c r="E100" s="14">
        <f t="shared" ca="1" si="12"/>
        <v>-0.3015934552224287</v>
      </c>
      <c r="F100" s="14">
        <f t="shared" ca="1" si="13"/>
        <v>-8.3919250389537459E-2</v>
      </c>
      <c r="G100" s="14">
        <f t="shared" ca="1" si="14"/>
        <v>0.52106423548300251</v>
      </c>
      <c r="H100" s="15">
        <f t="shared" ca="1" si="15"/>
        <v>0.38148099889591863</v>
      </c>
      <c r="I100" s="14">
        <f ca="1">IF(G100&lt;0.05,1,0)*$B$1*$B$2</f>
        <v>0</v>
      </c>
      <c r="J100" s="14">
        <f ca="1">IF(H100&lt;0.05,1,0)*$B$1*$B$2</f>
        <v>0</v>
      </c>
      <c r="K100" s="15">
        <f t="shared" ca="1" si="16"/>
        <v>0</v>
      </c>
      <c r="P100" s="3">
        <v>96</v>
      </c>
      <c r="Q100" s="4">
        <f t="shared" ca="1" si="17"/>
        <v>0.52106423548300251</v>
      </c>
      <c r="R100" s="4">
        <f t="shared" ca="1" si="18"/>
        <v>0.38148099889591863</v>
      </c>
      <c r="S100" s="4">
        <f ca="1">$B$1*Q100*$B$2</f>
        <v>20.8425694193201</v>
      </c>
      <c r="T100" s="4">
        <f ca="1">$B$1*R100*$B$2</f>
        <v>15.259239955836746</v>
      </c>
      <c r="U100" s="7">
        <f t="shared" ca="1" si="19"/>
        <v>36.101809375156847</v>
      </c>
    </row>
    <row r="101" spans="2:21" x14ac:dyDescent="0.3">
      <c r="B101" s="13">
        <f t="shared" ca="1" si="10"/>
        <v>0.75165805441237088</v>
      </c>
      <c r="C101" s="14">
        <f t="shared" ca="1" si="10"/>
        <v>0.71237922288676148</v>
      </c>
      <c r="D101" s="14">
        <f t="shared" ca="1" si="11"/>
        <v>0.6797166503408768</v>
      </c>
      <c r="E101" s="14">
        <f t="shared" ca="1" si="12"/>
        <v>0.56034878998227255</v>
      </c>
      <c r="F101" s="14">
        <f t="shared" ca="1" si="13"/>
        <v>0.85599536017359135</v>
      </c>
      <c r="G101" s="14">
        <f t="shared" ca="1" si="14"/>
        <v>0.75165805441237099</v>
      </c>
      <c r="H101" s="15">
        <f t="shared" ca="1" si="15"/>
        <v>0.71237922288676159</v>
      </c>
      <c r="I101" s="14">
        <f ca="1">IF(G101&lt;0.05,1,0)*$B$1*$B$2</f>
        <v>0</v>
      </c>
      <c r="J101" s="14">
        <f ca="1">IF(H101&lt;0.05,1,0)*$B$1*$B$2</f>
        <v>0</v>
      </c>
      <c r="K101" s="15">
        <f t="shared" ca="1" si="16"/>
        <v>0</v>
      </c>
      <c r="P101" s="3">
        <v>97</v>
      </c>
      <c r="Q101" s="4">
        <f t="shared" ca="1" si="17"/>
        <v>0.75165805441237099</v>
      </c>
      <c r="R101" s="4">
        <f t="shared" ca="1" si="18"/>
        <v>0.71237922288676159</v>
      </c>
      <c r="S101" s="4">
        <f ca="1">$B$1*Q101*$B$2</f>
        <v>30.06632217649484</v>
      </c>
      <c r="T101" s="4">
        <f ca="1">$B$1*R101*$B$2</f>
        <v>28.495168915470465</v>
      </c>
      <c r="U101" s="7">
        <f t="shared" ca="1" si="19"/>
        <v>58.561491091965308</v>
      </c>
    </row>
    <row r="102" spans="2:21" x14ac:dyDescent="0.3">
      <c r="B102" s="13">
        <f t="shared" ca="1" si="10"/>
        <v>0.64023626960947377</v>
      </c>
      <c r="C102" s="14">
        <f t="shared" ca="1" si="10"/>
        <v>0.69755888217685147</v>
      </c>
      <c r="D102" s="14">
        <f t="shared" ca="1" si="11"/>
        <v>0.35909040300154921</v>
      </c>
      <c r="E102" s="14">
        <f t="shared" ca="1" si="12"/>
        <v>0.51739244053217293</v>
      </c>
      <c r="F102" s="14">
        <f t="shared" ca="1" si="13"/>
        <v>0.54870749894455617</v>
      </c>
      <c r="G102" s="14">
        <f t="shared" ca="1" si="14"/>
        <v>0.64023626960947388</v>
      </c>
      <c r="H102" s="15">
        <f t="shared" ca="1" si="15"/>
        <v>0.69755888217685147</v>
      </c>
      <c r="I102" s="14">
        <f ca="1">IF(G102&lt;0.05,1,0)*$B$1*$B$2</f>
        <v>0</v>
      </c>
      <c r="J102" s="14">
        <f ca="1">IF(H102&lt;0.05,1,0)*$B$1*$B$2</f>
        <v>0</v>
      </c>
      <c r="K102" s="15">
        <f t="shared" ca="1" si="16"/>
        <v>0</v>
      </c>
      <c r="P102" s="3">
        <v>98</v>
      </c>
      <c r="Q102" s="4">
        <f t="shared" ca="1" si="17"/>
        <v>0.64023626960947388</v>
      </c>
      <c r="R102" s="4">
        <f t="shared" ca="1" si="18"/>
        <v>0.69755888217685147</v>
      </c>
      <c r="S102" s="4">
        <f ca="1">$B$1*Q102*$B$2</f>
        <v>25.609450784378954</v>
      </c>
      <c r="T102" s="4">
        <f ca="1">$B$1*R102*$B$2</f>
        <v>27.902355287074059</v>
      </c>
      <c r="U102" s="7">
        <f t="shared" ca="1" si="19"/>
        <v>53.511806071453009</v>
      </c>
    </row>
    <row r="103" spans="2:21" x14ac:dyDescent="0.3">
      <c r="B103" s="13">
        <f t="shared" ca="1" si="10"/>
        <v>0.27268885471954951</v>
      </c>
      <c r="C103" s="14">
        <f t="shared" ca="1" si="10"/>
        <v>0.18520132247141297</v>
      </c>
      <c r="D103" s="14">
        <f t="shared" ca="1" si="11"/>
        <v>-0.60470096109771188</v>
      </c>
      <c r="E103" s="14">
        <f t="shared" ca="1" si="12"/>
        <v>-0.89571940283800111</v>
      </c>
      <c r="F103" s="14">
        <f t="shared" ca="1" si="13"/>
        <v>-0.93466590086188517</v>
      </c>
      <c r="G103" s="14">
        <f t="shared" ca="1" si="14"/>
        <v>0.27268885471954951</v>
      </c>
      <c r="H103" s="15">
        <f t="shared" ca="1" si="15"/>
        <v>0.18520132247141324</v>
      </c>
      <c r="I103" s="14">
        <f ca="1">IF(G103&lt;0.05,1,0)*$B$1*$B$2</f>
        <v>0</v>
      </c>
      <c r="J103" s="14">
        <f ca="1">IF(H103&lt;0.05,1,0)*$B$1*$B$2</f>
        <v>0</v>
      </c>
      <c r="K103" s="15">
        <f t="shared" ca="1" si="16"/>
        <v>0</v>
      </c>
      <c r="P103" s="3">
        <v>99</v>
      </c>
      <c r="Q103" s="4">
        <f t="shared" ca="1" si="17"/>
        <v>0.27268885471954951</v>
      </c>
      <c r="R103" s="4">
        <f t="shared" ca="1" si="18"/>
        <v>0.18520132247141324</v>
      </c>
      <c r="S103" s="4">
        <f ca="1">$B$1*Q103*$B$2</f>
        <v>10.907554188781981</v>
      </c>
      <c r="T103" s="4">
        <f ca="1">$B$1*R103*$B$2</f>
        <v>7.4080528988565293</v>
      </c>
      <c r="U103" s="7">
        <f t="shared" ca="1" si="19"/>
        <v>18.315607087638512</v>
      </c>
    </row>
    <row r="104" spans="2:21" x14ac:dyDescent="0.3">
      <c r="B104" s="13">
        <f t="shared" ca="1" si="10"/>
        <v>0.48445066404870896</v>
      </c>
      <c r="C104" s="14">
        <f t="shared" ca="1" si="10"/>
        <v>0.33546299095529941</v>
      </c>
      <c r="D104" s="14">
        <f t="shared" ca="1" si="11"/>
        <v>-3.8986278964833435E-2</v>
      </c>
      <c r="E104" s="14">
        <f t="shared" ca="1" si="12"/>
        <v>-0.42487749404987663</v>
      </c>
      <c r="F104" s="14">
        <f t="shared" ca="1" si="13"/>
        <v>-0.22028745706317168</v>
      </c>
      <c r="G104" s="14">
        <f t="shared" ca="1" si="14"/>
        <v>0.48445066404870896</v>
      </c>
      <c r="H104" s="15">
        <f t="shared" ca="1" si="15"/>
        <v>0.33546299095529941</v>
      </c>
      <c r="I104" s="14">
        <f ca="1">IF(G104&lt;0.05,1,0)*$B$1*$B$2</f>
        <v>0</v>
      </c>
      <c r="J104" s="14">
        <f ca="1">IF(H104&lt;0.05,1,0)*$B$1*$B$2</f>
        <v>0</v>
      </c>
      <c r="K104" s="15">
        <f t="shared" ca="1" si="16"/>
        <v>0</v>
      </c>
      <c r="P104" s="3">
        <v>100</v>
      </c>
      <c r="Q104" s="4">
        <f t="shared" ca="1" si="17"/>
        <v>0.48445066404870896</v>
      </c>
      <c r="R104" s="4">
        <f t="shared" ca="1" si="18"/>
        <v>0.33546299095529941</v>
      </c>
      <c r="S104" s="4">
        <f ca="1">$B$1*Q104*$B$2</f>
        <v>19.37802656194836</v>
      </c>
      <c r="T104" s="4">
        <f ca="1">$B$1*R104*$B$2</f>
        <v>13.418519638211976</v>
      </c>
      <c r="U104" s="7">
        <f t="shared" ca="1" si="19"/>
        <v>32.796546200160336</v>
      </c>
    </row>
    <row r="105" spans="2:21" x14ac:dyDescent="0.3">
      <c r="B105" s="13">
        <f t="shared" ca="1" si="10"/>
        <v>0.44668194489527024</v>
      </c>
      <c r="C105" s="14">
        <f t="shared" ca="1" si="10"/>
        <v>0.15786295064128353</v>
      </c>
      <c r="D105" s="14">
        <f t="shared" ca="1" si="11"/>
        <v>-0.13404892142161978</v>
      </c>
      <c r="E105" s="14">
        <f t="shared" ca="1" si="12"/>
        <v>-1.0032797550361872</v>
      </c>
      <c r="F105" s="14">
        <f t="shared" ca="1" si="13"/>
        <v>-0.55796353570975588</v>
      </c>
      <c r="G105" s="14">
        <f t="shared" ca="1" si="14"/>
        <v>0.44668194489527024</v>
      </c>
      <c r="H105" s="15">
        <f t="shared" ca="1" si="15"/>
        <v>0.1578629506412835</v>
      </c>
      <c r="I105" s="14">
        <f ca="1">IF(G105&lt;0.05,1,0)*$B$1*$B$2</f>
        <v>0</v>
      </c>
      <c r="J105" s="14">
        <f ca="1">IF(H105&lt;0.05,1,0)*$B$1*$B$2</f>
        <v>0</v>
      </c>
      <c r="K105" s="15">
        <f t="shared" ca="1" si="16"/>
        <v>0</v>
      </c>
      <c r="P105" s="3">
        <v>101</v>
      </c>
      <c r="Q105" s="4">
        <f t="shared" ca="1" si="17"/>
        <v>0.44668194489527024</v>
      </c>
      <c r="R105" s="4">
        <f t="shared" ca="1" si="18"/>
        <v>0.1578629506412835</v>
      </c>
      <c r="S105" s="4">
        <f ca="1">$B$1*Q105*$B$2</f>
        <v>17.867277795810811</v>
      </c>
      <c r="T105" s="4">
        <f ca="1">$B$1*R105*$B$2</f>
        <v>6.3145180256513402</v>
      </c>
      <c r="U105" s="7">
        <f t="shared" ca="1" si="19"/>
        <v>24.181795821462153</v>
      </c>
    </row>
    <row r="106" spans="2:21" x14ac:dyDescent="0.3">
      <c r="B106" s="13">
        <f t="shared" ca="1" si="10"/>
        <v>0.79248923895094858</v>
      </c>
      <c r="C106" s="14">
        <f t="shared" ca="1" si="10"/>
        <v>0.86771558745863631</v>
      </c>
      <c r="D106" s="14">
        <f t="shared" ca="1" si="11"/>
        <v>0.81508873015659533</v>
      </c>
      <c r="E106" s="14">
        <f t="shared" ca="1" si="12"/>
        <v>1.1156573693849094</v>
      </c>
      <c r="F106" s="14">
        <f t="shared" ca="1" si="13"/>
        <v>1.2198836300174605</v>
      </c>
      <c r="G106" s="14">
        <f t="shared" ca="1" si="14"/>
        <v>0.79248923895094869</v>
      </c>
      <c r="H106" s="15">
        <f t="shared" ca="1" si="15"/>
        <v>0.86771558745863631</v>
      </c>
      <c r="I106" s="14">
        <f ca="1">IF(G106&lt;0.05,1,0)*$B$1*$B$2</f>
        <v>0</v>
      </c>
      <c r="J106" s="14">
        <f ca="1">IF(H106&lt;0.05,1,0)*$B$1*$B$2</f>
        <v>0</v>
      </c>
      <c r="K106" s="15">
        <f t="shared" ca="1" si="16"/>
        <v>0</v>
      </c>
      <c r="P106" s="3">
        <v>102</v>
      </c>
      <c r="Q106" s="4">
        <f t="shared" ca="1" si="17"/>
        <v>0.79248923895094869</v>
      </c>
      <c r="R106" s="4">
        <f t="shared" ca="1" si="18"/>
        <v>0.86771558745863631</v>
      </c>
      <c r="S106" s="4">
        <f ca="1">$B$1*Q106*$B$2</f>
        <v>31.69956955803795</v>
      </c>
      <c r="T106" s="4">
        <f ca="1">$B$1*R106*$B$2</f>
        <v>34.708623498345453</v>
      </c>
      <c r="U106" s="7">
        <f t="shared" ca="1" si="19"/>
        <v>66.408193056383396</v>
      </c>
    </row>
    <row r="107" spans="2:21" x14ac:dyDescent="0.3">
      <c r="B107" s="13">
        <f t="shared" ca="1" si="10"/>
        <v>0.35659098669477274</v>
      </c>
      <c r="C107" s="14">
        <f t="shared" ca="1" si="10"/>
        <v>0.70533747990792239</v>
      </c>
      <c r="D107" s="14">
        <f t="shared" ca="1" si="11"/>
        <v>-0.36758597593238229</v>
      </c>
      <c r="E107" s="14">
        <f t="shared" ca="1" si="12"/>
        <v>0.53981439289988198</v>
      </c>
      <c r="F107" s="14">
        <f t="shared" ca="1" si="13"/>
        <v>-9.5527739647209536E-2</v>
      </c>
      <c r="G107" s="14">
        <f t="shared" ca="1" si="14"/>
        <v>0.35659098669477274</v>
      </c>
      <c r="H107" s="15">
        <f t="shared" ca="1" si="15"/>
        <v>0.70533747990792239</v>
      </c>
      <c r="I107" s="14">
        <f ca="1">IF(G107&lt;0.05,1,0)*$B$1*$B$2</f>
        <v>0</v>
      </c>
      <c r="J107" s="14">
        <f ca="1">IF(H107&lt;0.05,1,0)*$B$1*$B$2</f>
        <v>0</v>
      </c>
      <c r="K107" s="15">
        <f t="shared" ca="1" si="16"/>
        <v>0</v>
      </c>
      <c r="P107" s="3">
        <v>103</v>
      </c>
      <c r="Q107" s="4">
        <f t="shared" ca="1" si="17"/>
        <v>0.35659098669477274</v>
      </c>
      <c r="R107" s="4">
        <f t="shared" ca="1" si="18"/>
        <v>0.70533747990792239</v>
      </c>
      <c r="S107" s="4">
        <f ca="1">$B$1*Q107*$B$2</f>
        <v>14.26363946779091</v>
      </c>
      <c r="T107" s="4">
        <f ca="1">$B$1*R107*$B$2</f>
        <v>28.213499196316896</v>
      </c>
      <c r="U107" s="7">
        <f t="shared" ca="1" si="19"/>
        <v>42.477138664107805</v>
      </c>
    </row>
    <row r="108" spans="2:21" x14ac:dyDescent="0.3">
      <c r="B108" s="13">
        <f t="shared" ca="1" si="10"/>
        <v>0.64971945577049295</v>
      </c>
      <c r="C108" s="14">
        <f t="shared" ca="1" si="10"/>
        <v>0.99319305641785915</v>
      </c>
      <c r="D108" s="14">
        <f t="shared" ca="1" si="11"/>
        <v>0.38456316597450507</v>
      </c>
      <c r="E108" s="14">
        <f t="shared" ca="1" si="12"/>
        <v>2.4672930990950199</v>
      </c>
      <c r="F108" s="14">
        <f t="shared" ca="1" si="13"/>
        <v>1.4215749776821021</v>
      </c>
      <c r="G108" s="14">
        <f t="shared" ca="1" si="14"/>
        <v>0.64971945577049306</v>
      </c>
      <c r="H108" s="15">
        <f t="shared" ca="1" si="15"/>
        <v>0.99319305641785915</v>
      </c>
      <c r="I108" s="14">
        <f ca="1">IF(G108&lt;0.05,1,0)*$B$1*$B$2</f>
        <v>0</v>
      </c>
      <c r="J108" s="14">
        <f ca="1">IF(H108&lt;0.05,1,0)*$B$1*$B$2</f>
        <v>0</v>
      </c>
      <c r="K108" s="15">
        <f t="shared" ca="1" si="16"/>
        <v>0</v>
      </c>
      <c r="P108" s="3">
        <v>104</v>
      </c>
      <c r="Q108" s="4">
        <f t="shared" ca="1" si="17"/>
        <v>0.64971945577049306</v>
      </c>
      <c r="R108" s="4">
        <f t="shared" ca="1" si="18"/>
        <v>0.99319305641785915</v>
      </c>
      <c r="S108" s="4">
        <f ca="1">$B$1*Q108*$B$2</f>
        <v>25.988778230819726</v>
      </c>
      <c r="T108" s="4">
        <f ca="1">$B$1*R108*$B$2</f>
        <v>39.727722256714372</v>
      </c>
      <c r="U108" s="7">
        <f t="shared" ca="1" si="19"/>
        <v>65.716500487534091</v>
      </c>
    </row>
    <row r="109" spans="2:21" x14ac:dyDescent="0.3">
      <c r="B109" s="13">
        <f t="shared" ca="1" si="10"/>
        <v>0.84356453029428968</v>
      </c>
      <c r="C109" s="14">
        <f t="shared" ca="1" si="10"/>
        <v>0.21026754673632309</v>
      </c>
      <c r="D109" s="14">
        <f t="shared" ca="1" si="11"/>
        <v>1.0092162408164176</v>
      </c>
      <c r="E109" s="14">
        <f t="shared" ca="1" si="12"/>
        <v>-0.80549326128422527</v>
      </c>
      <c r="F109" s="14">
        <f t="shared" ca="1" si="13"/>
        <v>0.5571882441706818</v>
      </c>
      <c r="G109" s="14">
        <f t="shared" ca="1" si="14"/>
        <v>0.84356453029429013</v>
      </c>
      <c r="H109" s="15">
        <f t="shared" ca="1" si="15"/>
        <v>0.21026754673632295</v>
      </c>
      <c r="I109" s="14">
        <f ca="1">IF(G109&lt;0.05,1,0)*$B$1*$B$2</f>
        <v>0</v>
      </c>
      <c r="J109" s="14">
        <f ca="1">IF(H109&lt;0.05,1,0)*$B$1*$B$2</f>
        <v>0</v>
      </c>
      <c r="K109" s="15">
        <f t="shared" ca="1" si="16"/>
        <v>0</v>
      </c>
      <c r="P109" s="3">
        <v>105</v>
      </c>
      <c r="Q109" s="4">
        <f t="shared" ca="1" si="17"/>
        <v>0.84356453029429013</v>
      </c>
      <c r="R109" s="4">
        <f t="shared" ca="1" si="18"/>
        <v>0.21026754673632295</v>
      </c>
      <c r="S109" s="4">
        <f ca="1">$B$1*Q109*$B$2</f>
        <v>33.742581211771608</v>
      </c>
      <c r="T109" s="4">
        <f ca="1">$B$1*R109*$B$2</f>
        <v>8.4107018694529181</v>
      </c>
      <c r="U109" s="7">
        <f t="shared" ca="1" si="19"/>
        <v>42.153283081224529</v>
      </c>
    </row>
    <row r="110" spans="2:21" x14ac:dyDescent="0.3">
      <c r="B110" s="13">
        <f t="shared" ca="1" si="10"/>
        <v>0.460382896878895</v>
      </c>
      <c r="C110" s="14">
        <f t="shared" ca="1" si="10"/>
        <v>0.81759480138649898</v>
      </c>
      <c r="D110" s="14">
        <f t="shared" ca="1" si="11"/>
        <v>-9.9469134097685111E-2</v>
      </c>
      <c r="E110" s="14">
        <f t="shared" ca="1" si="12"/>
        <v>0.90623704869204336</v>
      </c>
      <c r="F110" s="14">
        <f t="shared" ca="1" si="13"/>
        <v>0.30549735072619988</v>
      </c>
      <c r="G110" s="14">
        <f t="shared" ca="1" si="14"/>
        <v>0.460382896878895</v>
      </c>
      <c r="H110" s="15">
        <f t="shared" ca="1" si="15"/>
        <v>0.81759480138649887</v>
      </c>
      <c r="I110" s="14">
        <f ca="1">IF(G110&lt;0.05,1,0)*$B$1*$B$2</f>
        <v>0</v>
      </c>
      <c r="J110" s="14">
        <f ca="1">IF(H110&lt;0.05,1,0)*$B$1*$B$2</f>
        <v>0</v>
      </c>
      <c r="K110" s="15">
        <f t="shared" ca="1" si="16"/>
        <v>0</v>
      </c>
      <c r="P110" s="3">
        <v>106</v>
      </c>
      <c r="Q110" s="4">
        <f t="shared" ca="1" si="17"/>
        <v>0.460382896878895</v>
      </c>
      <c r="R110" s="4">
        <f t="shared" ca="1" si="18"/>
        <v>0.81759480138649887</v>
      </c>
      <c r="S110" s="4">
        <f ca="1">$B$1*Q110*$B$2</f>
        <v>18.415315875155802</v>
      </c>
      <c r="T110" s="4">
        <f ca="1">$B$1*R110*$B$2</f>
        <v>32.703792055459957</v>
      </c>
      <c r="U110" s="7">
        <f t="shared" ca="1" si="19"/>
        <v>51.119107930615755</v>
      </c>
    </row>
    <row r="111" spans="2:21" x14ac:dyDescent="0.3">
      <c r="B111" s="13">
        <f t="shared" ca="1" si="10"/>
        <v>0.34244609400768233</v>
      </c>
      <c r="C111" s="14">
        <f t="shared" ca="1" si="10"/>
        <v>0.12397276699014159</v>
      </c>
      <c r="D111" s="14">
        <f t="shared" ca="1" si="11"/>
        <v>-0.40579642179715386</v>
      </c>
      <c r="E111" s="14">
        <f t="shared" ca="1" si="12"/>
        <v>-1.1553538949921212</v>
      </c>
      <c r="F111" s="14">
        <f t="shared" ca="1" si="13"/>
        <v>-0.86882386684711432</v>
      </c>
      <c r="G111" s="14">
        <f t="shared" ca="1" si="14"/>
        <v>0.34244609400768233</v>
      </c>
      <c r="H111" s="15">
        <f t="shared" ca="1" si="15"/>
        <v>0.12397276699014148</v>
      </c>
      <c r="I111" s="14">
        <f ca="1">IF(G111&lt;0.05,1,0)*$B$1*$B$2</f>
        <v>0</v>
      </c>
      <c r="J111" s="14">
        <f ca="1">IF(H111&lt;0.05,1,0)*$B$1*$B$2</f>
        <v>0</v>
      </c>
      <c r="K111" s="15">
        <f t="shared" ca="1" si="16"/>
        <v>0</v>
      </c>
      <c r="P111" s="3">
        <v>107</v>
      </c>
      <c r="Q111" s="4">
        <f t="shared" ca="1" si="17"/>
        <v>0.34244609400768233</v>
      </c>
      <c r="R111" s="4">
        <f t="shared" ca="1" si="18"/>
        <v>0.12397276699014148</v>
      </c>
      <c r="S111" s="4">
        <f ca="1">$B$1*Q111*$B$2</f>
        <v>13.697843760307293</v>
      </c>
      <c r="T111" s="4">
        <f ca="1">$B$1*R111*$B$2</f>
        <v>4.9589106796056592</v>
      </c>
      <c r="U111" s="7">
        <f t="shared" ca="1" si="19"/>
        <v>18.656754439912952</v>
      </c>
    </row>
    <row r="112" spans="2:21" x14ac:dyDescent="0.3">
      <c r="B112" s="13">
        <f t="shared" ca="1" si="10"/>
        <v>0.4943641020505376</v>
      </c>
      <c r="C112" s="14">
        <f t="shared" ca="1" si="10"/>
        <v>0.68801628097884904</v>
      </c>
      <c r="D112" s="14">
        <f t="shared" ca="1" si="11"/>
        <v>-1.4127571088554912E-2</v>
      </c>
      <c r="E112" s="14">
        <f t="shared" ca="1" si="12"/>
        <v>0.49023525235739607</v>
      </c>
      <c r="F112" s="14">
        <f t="shared" ca="1" si="13"/>
        <v>0.20097377837900546</v>
      </c>
      <c r="G112" s="14">
        <f t="shared" ca="1" si="14"/>
        <v>0.4943641020505376</v>
      </c>
      <c r="H112" s="15">
        <f t="shared" ca="1" si="15"/>
        <v>0.68801628097884904</v>
      </c>
      <c r="I112" s="14">
        <f ca="1">IF(G112&lt;0.05,1,0)*$B$1*$B$2</f>
        <v>0</v>
      </c>
      <c r="J112" s="14">
        <f ca="1">IF(H112&lt;0.05,1,0)*$B$1*$B$2</f>
        <v>0</v>
      </c>
      <c r="K112" s="15">
        <f t="shared" ca="1" si="16"/>
        <v>0</v>
      </c>
      <c r="P112" s="3">
        <v>108</v>
      </c>
      <c r="Q112" s="4">
        <f t="shared" ca="1" si="17"/>
        <v>0.4943641020505376</v>
      </c>
      <c r="R112" s="4">
        <f t="shared" ca="1" si="18"/>
        <v>0.68801628097884904</v>
      </c>
      <c r="S112" s="4">
        <f ca="1">$B$1*Q112*$B$2</f>
        <v>19.774564082021506</v>
      </c>
      <c r="T112" s="4">
        <f ca="1">$B$1*R112*$B$2</f>
        <v>27.520651239153963</v>
      </c>
      <c r="U112" s="7">
        <f t="shared" ca="1" si="19"/>
        <v>47.295215321175469</v>
      </c>
    </row>
    <row r="113" spans="2:21" x14ac:dyDescent="0.3">
      <c r="B113" s="13">
        <f t="shared" ca="1" si="10"/>
        <v>0.58719193682466642</v>
      </c>
      <c r="C113" s="14">
        <f t="shared" ca="1" si="10"/>
        <v>8.225536097363062E-2</v>
      </c>
      <c r="D113" s="14">
        <f t="shared" ca="1" si="11"/>
        <v>0.22032747185715779</v>
      </c>
      <c r="E113" s="14">
        <f t="shared" ca="1" si="12"/>
        <v>-1.3900597907752807</v>
      </c>
      <c r="F113" s="14">
        <f t="shared" ca="1" si="13"/>
        <v>-0.40761829067543198</v>
      </c>
      <c r="G113" s="14">
        <f t="shared" ca="1" si="14"/>
        <v>0.58719193682466642</v>
      </c>
      <c r="H113" s="15">
        <f t="shared" ca="1" si="15"/>
        <v>8.2255360973630481E-2</v>
      </c>
      <c r="I113" s="14">
        <f ca="1">IF(G113&lt;0.05,1,0)*$B$1*$B$2</f>
        <v>0</v>
      </c>
      <c r="J113" s="14">
        <f ca="1">IF(H113&lt;0.05,1,0)*$B$1*$B$2</f>
        <v>0</v>
      </c>
      <c r="K113" s="15">
        <f t="shared" ca="1" si="16"/>
        <v>0</v>
      </c>
      <c r="P113" s="3">
        <v>109</v>
      </c>
      <c r="Q113" s="4">
        <f t="shared" ca="1" si="17"/>
        <v>0.58719193682466642</v>
      </c>
      <c r="R113" s="4">
        <f t="shared" ca="1" si="18"/>
        <v>8.2255360973630481E-2</v>
      </c>
      <c r="S113" s="4">
        <f ca="1">$B$1*Q113*$B$2</f>
        <v>23.487677472986658</v>
      </c>
      <c r="T113" s="4">
        <f ca="1">$B$1*R113*$B$2</f>
        <v>3.290214438945219</v>
      </c>
      <c r="U113" s="7">
        <f t="shared" ca="1" si="19"/>
        <v>26.777891911931878</v>
      </c>
    </row>
    <row r="114" spans="2:21" x14ac:dyDescent="0.3">
      <c r="B114" s="13">
        <f t="shared" ca="1" si="10"/>
        <v>0.77193151668627336</v>
      </c>
      <c r="C114" s="14">
        <f t="shared" ca="1" si="10"/>
        <v>0.16789482022477542</v>
      </c>
      <c r="D114" s="14">
        <f t="shared" ca="1" si="11"/>
        <v>0.74522292430530568</v>
      </c>
      <c r="E114" s="14">
        <f t="shared" ca="1" si="12"/>
        <v>-0.9625176521854848</v>
      </c>
      <c r="F114" s="14">
        <f t="shared" ca="1" si="13"/>
        <v>0.25114891414971929</v>
      </c>
      <c r="G114" s="14">
        <f t="shared" ca="1" si="14"/>
        <v>0.77193151668627336</v>
      </c>
      <c r="H114" s="15">
        <f t="shared" ca="1" si="15"/>
        <v>0.16789482022477584</v>
      </c>
      <c r="I114" s="14">
        <f ca="1">IF(G114&lt;0.05,1,0)*$B$1*$B$2</f>
        <v>0</v>
      </c>
      <c r="J114" s="14">
        <f ca="1">IF(H114&lt;0.05,1,0)*$B$1*$B$2</f>
        <v>0</v>
      </c>
      <c r="K114" s="15">
        <f t="shared" ca="1" si="16"/>
        <v>0</v>
      </c>
      <c r="P114" s="3">
        <v>110</v>
      </c>
      <c r="Q114" s="4">
        <f t="shared" ca="1" si="17"/>
        <v>0.77193151668627336</v>
      </c>
      <c r="R114" s="4">
        <f t="shared" ca="1" si="18"/>
        <v>0.16789482022477584</v>
      </c>
      <c r="S114" s="4">
        <f ca="1">$B$1*Q114*$B$2</f>
        <v>30.877260667450937</v>
      </c>
      <c r="T114" s="4">
        <f ca="1">$B$1*R114*$B$2</f>
        <v>6.7157928089910328</v>
      </c>
      <c r="U114" s="7">
        <f t="shared" ca="1" si="19"/>
        <v>37.593053476441966</v>
      </c>
    </row>
    <row r="115" spans="2:21" x14ac:dyDescent="0.3">
      <c r="B115" s="13">
        <f t="shared" ca="1" si="10"/>
        <v>0.22936039498389482</v>
      </c>
      <c r="C115" s="14">
        <f t="shared" ca="1" si="10"/>
        <v>0.72785840534217405</v>
      </c>
      <c r="D115" s="14">
        <f t="shared" ca="1" si="11"/>
        <v>-0.74095489383452318</v>
      </c>
      <c r="E115" s="14">
        <f t="shared" ca="1" si="12"/>
        <v>0.60634875542956979</v>
      </c>
      <c r="F115" s="14">
        <f t="shared" ca="1" si="13"/>
        <v>-0.40255810950515547</v>
      </c>
      <c r="G115" s="14">
        <f t="shared" ca="1" si="14"/>
        <v>0.22936039498389493</v>
      </c>
      <c r="H115" s="15">
        <f t="shared" ca="1" si="15"/>
        <v>0.72785840534217416</v>
      </c>
      <c r="I115" s="14">
        <f ca="1">IF(G115&lt;0.05,1,0)*$B$1*$B$2</f>
        <v>0</v>
      </c>
      <c r="J115" s="14">
        <f ca="1">IF(H115&lt;0.05,1,0)*$B$1*$B$2</f>
        <v>0</v>
      </c>
      <c r="K115" s="15">
        <f t="shared" ca="1" si="16"/>
        <v>0</v>
      </c>
      <c r="P115" s="3">
        <v>111</v>
      </c>
      <c r="Q115" s="4">
        <f t="shared" ca="1" si="17"/>
        <v>0.22936039498389493</v>
      </c>
      <c r="R115" s="4">
        <f t="shared" ca="1" si="18"/>
        <v>0.72785840534217416</v>
      </c>
      <c r="S115" s="4">
        <f ca="1">$B$1*Q115*$B$2</f>
        <v>9.1744157993557973</v>
      </c>
      <c r="T115" s="4">
        <f ca="1">$B$1*R115*$B$2</f>
        <v>29.114336213686968</v>
      </c>
      <c r="U115" s="7">
        <f t="shared" ca="1" si="19"/>
        <v>38.288752013042767</v>
      </c>
    </row>
    <row r="116" spans="2:21" x14ac:dyDescent="0.3">
      <c r="B116" s="13">
        <f t="shared" ca="1" si="10"/>
        <v>0.90709710471432925</v>
      </c>
      <c r="C116" s="14">
        <f t="shared" ca="1" si="10"/>
        <v>0.7315544316471374</v>
      </c>
      <c r="D116" s="14">
        <f t="shared" ca="1" si="11"/>
        <v>1.3230889752793984</v>
      </c>
      <c r="E116" s="14">
        <f t="shared" ca="1" si="12"/>
        <v>0.61752099624945145</v>
      </c>
      <c r="F116" s="14">
        <f t="shared" ca="1" si="13"/>
        <v>1.4599512395680503</v>
      </c>
      <c r="G116" s="14">
        <f t="shared" ca="1" si="14"/>
        <v>0.90709710471432947</v>
      </c>
      <c r="H116" s="15">
        <f t="shared" ca="1" si="15"/>
        <v>0.7315544316471374</v>
      </c>
      <c r="I116" s="14">
        <f ca="1">IF(G116&lt;0.05,1,0)*$B$1*$B$2</f>
        <v>0</v>
      </c>
      <c r="J116" s="14">
        <f ca="1">IF(H116&lt;0.05,1,0)*$B$1*$B$2</f>
        <v>0</v>
      </c>
      <c r="K116" s="15">
        <f t="shared" ca="1" si="16"/>
        <v>0</v>
      </c>
      <c r="P116" s="3">
        <v>112</v>
      </c>
      <c r="Q116" s="4">
        <f t="shared" ca="1" si="17"/>
        <v>0.90709710471432947</v>
      </c>
      <c r="R116" s="4">
        <f t="shared" ca="1" si="18"/>
        <v>0.7315544316471374</v>
      </c>
      <c r="S116" s="4">
        <f ca="1">$B$1*Q116*$B$2</f>
        <v>36.283884188573175</v>
      </c>
      <c r="T116" s="4">
        <f ca="1">$B$1*R116*$B$2</f>
        <v>29.262177265885498</v>
      </c>
      <c r="U116" s="7">
        <f t="shared" ca="1" si="19"/>
        <v>65.54606145445868</v>
      </c>
    </row>
    <row r="117" spans="2:21" x14ac:dyDescent="0.3">
      <c r="B117" s="13">
        <f t="shared" ca="1" si="10"/>
        <v>0.89262826659072492</v>
      </c>
      <c r="C117" s="14">
        <f t="shared" ca="1" si="10"/>
        <v>0.67366653421285916</v>
      </c>
      <c r="D117" s="14">
        <f t="shared" ca="1" si="11"/>
        <v>1.2406272871457897</v>
      </c>
      <c r="E117" s="14">
        <f t="shared" ca="1" si="12"/>
        <v>0.45006034166211389</v>
      </c>
      <c r="F117" s="14">
        <f t="shared" ca="1" si="13"/>
        <v>1.3127413132112649</v>
      </c>
      <c r="G117" s="14">
        <f t="shared" ca="1" si="14"/>
        <v>0.89262826659072503</v>
      </c>
      <c r="H117" s="15">
        <f t="shared" ca="1" si="15"/>
        <v>0.67366653421285916</v>
      </c>
      <c r="I117" s="14">
        <f ca="1">IF(G117&lt;0.05,1,0)*$B$1*$B$2</f>
        <v>0</v>
      </c>
      <c r="J117" s="14">
        <f ca="1">IF(H117&lt;0.05,1,0)*$B$1*$B$2</f>
        <v>0</v>
      </c>
      <c r="K117" s="15">
        <f t="shared" ca="1" si="16"/>
        <v>0</v>
      </c>
      <c r="P117" s="3">
        <v>113</v>
      </c>
      <c r="Q117" s="4">
        <f t="shared" ca="1" si="17"/>
        <v>0.89262826659072503</v>
      </c>
      <c r="R117" s="4">
        <f t="shared" ca="1" si="18"/>
        <v>0.67366653421285916</v>
      </c>
      <c r="S117" s="4">
        <f ca="1">$B$1*Q117*$B$2</f>
        <v>35.705130663628999</v>
      </c>
      <c r="T117" s="4">
        <f ca="1">$B$1*R117*$B$2</f>
        <v>26.94666136851437</v>
      </c>
      <c r="U117" s="7">
        <f t="shared" ca="1" si="19"/>
        <v>62.651792032143369</v>
      </c>
    </row>
    <row r="118" spans="2:21" x14ac:dyDescent="0.3">
      <c r="B118" s="13">
        <f t="shared" ca="1" si="10"/>
        <v>0.33257270150514062</v>
      </c>
      <c r="C118" s="14">
        <f t="shared" ca="1" si="10"/>
        <v>0.75100644094129632</v>
      </c>
      <c r="D118" s="14">
        <f t="shared" ca="1" si="11"/>
        <v>-0.43282019189323429</v>
      </c>
      <c r="E118" s="14">
        <f t="shared" ca="1" si="12"/>
        <v>0.67766027700444809</v>
      </c>
      <c r="F118" s="14">
        <f t="shared" ca="1" si="13"/>
        <v>-9.4152906152494054E-2</v>
      </c>
      <c r="G118" s="14">
        <f t="shared" ca="1" si="14"/>
        <v>0.33257270150514057</v>
      </c>
      <c r="H118" s="15">
        <f t="shared" ca="1" si="15"/>
        <v>0.75100644094129643</v>
      </c>
      <c r="I118" s="14">
        <f ca="1">IF(G118&lt;0.05,1,0)*$B$1*$B$2</f>
        <v>0</v>
      </c>
      <c r="J118" s="14">
        <f ca="1">IF(H118&lt;0.05,1,0)*$B$1*$B$2</f>
        <v>0</v>
      </c>
      <c r="K118" s="15">
        <f t="shared" ca="1" si="16"/>
        <v>0</v>
      </c>
      <c r="P118" s="3">
        <v>114</v>
      </c>
      <c r="Q118" s="4">
        <f t="shared" ca="1" si="17"/>
        <v>0.33257270150514057</v>
      </c>
      <c r="R118" s="4">
        <f t="shared" ca="1" si="18"/>
        <v>0.75100644094129643</v>
      </c>
      <c r="S118" s="4">
        <f ca="1">$B$1*Q118*$B$2</f>
        <v>13.302908060205624</v>
      </c>
      <c r="T118" s="4">
        <f ca="1">$B$1*R118*$B$2</f>
        <v>30.040257637651862</v>
      </c>
      <c r="U118" s="7">
        <f t="shared" ca="1" si="19"/>
        <v>43.343165697857486</v>
      </c>
    </row>
    <row r="119" spans="2:21" x14ac:dyDescent="0.3">
      <c r="B119" s="13">
        <f t="shared" ca="1" si="10"/>
        <v>0.81488726831567626</v>
      </c>
      <c r="C119" s="14">
        <f t="shared" ca="1" si="10"/>
        <v>0.66814983912886139</v>
      </c>
      <c r="D119" s="14">
        <f t="shared" ca="1" si="11"/>
        <v>0.89605111632398327</v>
      </c>
      <c r="E119" s="14">
        <f t="shared" ca="1" si="12"/>
        <v>0.43481003306685179</v>
      </c>
      <c r="F119" s="14">
        <f t="shared" ca="1" si="13"/>
        <v>0.99597530406918355</v>
      </c>
      <c r="G119" s="14">
        <f t="shared" ca="1" si="14"/>
        <v>0.81488726831567626</v>
      </c>
      <c r="H119" s="15">
        <f t="shared" ca="1" si="15"/>
        <v>0.6681498391288615</v>
      </c>
      <c r="I119" s="14">
        <f ca="1">IF(G119&lt;0.05,1,0)*$B$1*$B$2</f>
        <v>0</v>
      </c>
      <c r="J119" s="14">
        <f ca="1">IF(H119&lt;0.05,1,0)*$B$1*$B$2</f>
        <v>0</v>
      </c>
      <c r="K119" s="15">
        <f t="shared" ca="1" si="16"/>
        <v>0</v>
      </c>
      <c r="P119" s="3">
        <v>115</v>
      </c>
      <c r="Q119" s="4">
        <f t="shared" ca="1" si="17"/>
        <v>0.81488726831567626</v>
      </c>
      <c r="R119" s="4">
        <f t="shared" ca="1" si="18"/>
        <v>0.6681498391288615</v>
      </c>
      <c r="S119" s="4">
        <f ca="1">$B$1*Q119*$B$2</f>
        <v>32.595490732627056</v>
      </c>
      <c r="T119" s="4">
        <f ca="1">$B$1*R119*$B$2</f>
        <v>26.725993565154461</v>
      </c>
      <c r="U119" s="7">
        <f t="shared" ca="1" si="19"/>
        <v>59.321484297781517</v>
      </c>
    </row>
    <row r="120" spans="2:21" x14ac:dyDescent="0.3">
      <c r="B120" s="13">
        <f t="shared" ca="1" si="10"/>
        <v>0.38882049169481414</v>
      </c>
      <c r="C120" s="14">
        <f t="shared" ca="1" si="10"/>
        <v>0.48879759270348466</v>
      </c>
      <c r="D120" s="14">
        <f t="shared" ca="1" si="11"/>
        <v>-0.28239456316785455</v>
      </c>
      <c r="E120" s="14">
        <f t="shared" ca="1" si="12"/>
        <v>-2.8083962115279418E-2</v>
      </c>
      <c r="F120" s="14">
        <f t="shared" ca="1" si="13"/>
        <v>-0.26639662213054188</v>
      </c>
      <c r="G120" s="14">
        <f t="shared" ca="1" si="14"/>
        <v>0.38882049169481414</v>
      </c>
      <c r="H120" s="15">
        <f t="shared" ca="1" si="15"/>
        <v>0.48879759270348466</v>
      </c>
      <c r="I120" s="14">
        <f ca="1">IF(G120&lt;0.05,1,0)*$B$1*$B$2</f>
        <v>0</v>
      </c>
      <c r="J120" s="14">
        <f ca="1">IF(H120&lt;0.05,1,0)*$B$1*$B$2</f>
        <v>0</v>
      </c>
      <c r="K120" s="15">
        <f t="shared" ca="1" si="16"/>
        <v>0</v>
      </c>
      <c r="P120" s="3">
        <v>116</v>
      </c>
      <c r="Q120" s="4">
        <f t="shared" ca="1" si="17"/>
        <v>0.38882049169481414</v>
      </c>
      <c r="R120" s="4">
        <f t="shared" ca="1" si="18"/>
        <v>0.48879759270348466</v>
      </c>
      <c r="S120" s="4">
        <f ca="1">$B$1*Q120*$B$2</f>
        <v>15.552819667792566</v>
      </c>
      <c r="T120" s="4">
        <f ca="1">$B$1*R120*$B$2</f>
        <v>19.551903708139388</v>
      </c>
      <c r="U120" s="7">
        <f t="shared" ca="1" si="19"/>
        <v>35.104723375931954</v>
      </c>
    </row>
    <row r="121" spans="2:21" x14ac:dyDescent="0.3">
      <c r="B121" s="13">
        <f t="shared" ca="1" si="10"/>
        <v>0.44762189596826774</v>
      </c>
      <c r="C121" s="14">
        <f t="shared" ca="1" si="10"/>
        <v>0.41569588991092521</v>
      </c>
      <c r="D121" s="14">
        <f t="shared" ca="1" si="11"/>
        <v>-0.13167192601608996</v>
      </c>
      <c r="E121" s="14">
        <f t="shared" ca="1" si="12"/>
        <v>-0.21291690063434435</v>
      </c>
      <c r="F121" s="14">
        <f t="shared" ca="1" si="13"/>
        <v>-0.21131305873818076</v>
      </c>
      <c r="G121" s="14">
        <f t="shared" ca="1" si="14"/>
        <v>0.44762189596826774</v>
      </c>
      <c r="H121" s="15">
        <f t="shared" ca="1" si="15"/>
        <v>0.41569588991092521</v>
      </c>
      <c r="I121" s="14">
        <f ca="1">IF(G121&lt;0.05,1,0)*$B$1*$B$2</f>
        <v>0</v>
      </c>
      <c r="J121" s="14">
        <f ca="1">IF(H121&lt;0.05,1,0)*$B$1*$B$2</f>
        <v>0</v>
      </c>
      <c r="K121" s="15">
        <f t="shared" ca="1" si="16"/>
        <v>0</v>
      </c>
      <c r="P121" s="3">
        <v>117</v>
      </c>
      <c r="Q121" s="4">
        <f t="shared" ca="1" si="17"/>
        <v>0.44762189596826774</v>
      </c>
      <c r="R121" s="4">
        <f t="shared" ca="1" si="18"/>
        <v>0.41569588991092521</v>
      </c>
      <c r="S121" s="4">
        <f ca="1">$B$1*Q121*$B$2</f>
        <v>17.90487583873071</v>
      </c>
      <c r="T121" s="4">
        <f ca="1">$B$1*R121*$B$2</f>
        <v>16.627835596437009</v>
      </c>
      <c r="U121" s="7">
        <f t="shared" ca="1" si="19"/>
        <v>34.53271143516772</v>
      </c>
    </row>
    <row r="122" spans="2:21" x14ac:dyDescent="0.3">
      <c r="B122" s="13">
        <f t="shared" ca="1" si="10"/>
        <v>0.8969818676749769</v>
      </c>
      <c r="C122" s="14">
        <f t="shared" ca="1" si="10"/>
        <v>8.8168404527848798E-2</v>
      </c>
      <c r="D122" s="14">
        <f t="shared" ca="1" si="11"/>
        <v>1.2645400235958679</v>
      </c>
      <c r="E122" s="14">
        <f t="shared" ca="1" si="12"/>
        <v>-1.3521203789536471</v>
      </c>
      <c r="F122" s="14">
        <f t="shared" ca="1" si="13"/>
        <v>0.54871041210019444</v>
      </c>
      <c r="G122" s="14">
        <f t="shared" ca="1" si="14"/>
        <v>0.89698186767497701</v>
      </c>
      <c r="H122" s="15">
        <f t="shared" ca="1" si="15"/>
        <v>8.816840452784877E-2</v>
      </c>
      <c r="I122" s="14">
        <f ca="1">IF(G122&lt;0.05,1,0)*$B$1*$B$2</f>
        <v>0</v>
      </c>
      <c r="J122" s="14">
        <f ca="1">IF(H122&lt;0.05,1,0)*$B$1*$B$2</f>
        <v>0</v>
      </c>
      <c r="K122" s="15">
        <f t="shared" ca="1" si="16"/>
        <v>0</v>
      </c>
      <c r="P122" s="3">
        <v>118</v>
      </c>
      <c r="Q122" s="4">
        <f t="shared" ca="1" si="17"/>
        <v>0.89698186767497701</v>
      </c>
      <c r="R122" s="4">
        <f t="shared" ca="1" si="18"/>
        <v>8.816840452784877E-2</v>
      </c>
      <c r="S122" s="4">
        <f ca="1">$B$1*Q122*$B$2</f>
        <v>35.879274706999084</v>
      </c>
      <c r="T122" s="4">
        <f ca="1">$B$1*R122*$B$2</f>
        <v>3.526736181113951</v>
      </c>
      <c r="U122" s="7">
        <f t="shared" ca="1" si="19"/>
        <v>39.406010888113038</v>
      </c>
    </row>
    <row r="123" spans="2:21" x14ac:dyDescent="0.3">
      <c r="B123" s="13">
        <f t="shared" ca="1" si="10"/>
        <v>0.27734380395591685</v>
      </c>
      <c r="C123" s="14">
        <f t="shared" ca="1" si="10"/>
        <v>0.43945651795199647</v>
      </c>
      <c r="D123" s="14">
        <f t="shared" ca="1" si="11"/>
        <v>-0.59075049703147742</v>
      </c>
      <c r="E123" s="14">
        <f t="shared" ca="1" si="12"/>
        <v>-0.15234728019080943</v>
      </c>
      <c r="F123" s="14">
        <f t="shared" ca="1" si="13"/>
        <v>-0.59808208719583111</v>
      </c>
      <c r="G123" s="14">
        <f t="shared" ca="1" si="14"/>
        <v>0.27734380395591673</v>
      </c>
      <c r="H123" s="15">
        <f t="shared" ca="1" si="15"/>
        <v>0.43945651795199647</v>
      </c>
      <c r="I123" s="14">
        <f ca="1">IF(G123&lt;0.05,1,0)*$B$1*$B$2</f>
        <v>0</v>
      </c>
      <c r="J123" s="14">
        <f ca="1">IF(H123&lt;0.05,1,0)*$B$1*$B$2</f>
        <v>0</v>
      </c>
      <c r="K123" s="15">
        <f t="shared" ca="1" si="16"/>
        <v>0</v>
      </c>
      <c r="P123" s="3">
        <v>119</v>
      </c>
      <c r="Q123" s="4">
        <f t="shared" ca="1" si="17"/>
        <v>0.27734380395591673</v>
      </c>
      <c r="R123" s="4">
        <f t="shared" ca="1" si="18"/>
        <v>0.43945651795199647</v>
      </c>
      <c r="S123" s="4">
        <f ca="1">$B$1*Q123*$B$2</f>
        <v>11.09375215823667</v>
      </c>
      <c r="T123" s="4">
        <f ca="1">$B$1*R123*$B$2</f>
        <v>17.578260718079857</v>
      </c>
      <c r="U123" s="7">
        <f t="shared" ca="1" si="19"/>
        <v>28.672012876316529</v>
      </c>
    </row>
    <row r="124" spans="2:21" x14ac:dyDescent="0.3">
      <c r="B124" s="13">
        <f t="shared" ca="1" si="10"/>
        <v>0.9181503109512027</v>
      </c>
      <c r="C124" s="14">
        <f t="shared" ca="1" si="10"/>
        <v>0.2718237024795932</v>
      </c>
      <c r="D124" s="14">
        <f t="shared" ca="1" si="11"/>
        <v>1.3927368593762262</v>
      </c>
      <c r="E124" s="14">
        <f t="shared" ca="1" si="12"/>
        <v>-0.60730668164965296</v>
      </c>
      <c r="F124" s="14">
        <f t="shared" ca="1" si="13"/>
        <v>0.98874432813381707</v>
      </c>
      <c r="G124" s="14">
        <f t="shared" ca="1" si="14"/>
        <v>0.91815031095120292</v>
      </c>
      <c r="H124" s="15">
        <f t="shared" ca="1" si="15"/>
        <v>0.27182370247959309</v>
      </c>
      <c r="I124" s="14">
        <f ca="1">IF(G124&lt;0.05,1,0)*$B$1*$B$2</f>
        <v>0</v>
      </c>
      <c r="J124" s="14">
        <f ca="1">IF(H124&lt;0.05,1,0)*$B$1*$B$2</f>
        <v>0</v>
      </c>
      <c r="K124" s="15">
        <f t="shared" ca="1" si="16"/>
        <v>0</v>
      </c>
      <c r="P124" s="3">
        <v>120</v>
      </c>
      <c r="Q124" s="4">
        <f t="shared" ca="1" si="17"/>
        <v>0.91815031095120292</v>
      </c>
      <c r="R124" s="4">
        <f t="shared" ca="1" si="18"/>
        <v>0.27182370247959309</v>
      </c>
      <c r="S124" s="4">
        <f ca="1">$B$1*Q124*$B$2</f>
        <v>36.726012438048116</v>
      </c>
      <c r="T124" s="4">
        <f ca="1">$B$1*R124*$B$2</f>
        <v>10.872948099183724</v>
      </c>
      <c r="U124" s="7">
        <f t="shared" ca="1" si="19"/>
        <v>47.598960537231839</v>
      </c>
    </row>
    <row r="125" spans="2:21" x14ac:dyDescent="0.3">
      <c r="B125" s="13">
        <f t="shared" ca="1" si="10"/>
        <v>0.85629294699910397</v>
      </c>
      <c r="C125" s="14">
        <f t="shared" ca="1" si="10"/>
        <v>0.75862810610537335</v>
      </c>
      <c r="D125" s="14">
        <f t="shared" ca="1" si="11"/>
        <v>1.0638114881653318</v>
      </c>
      <c r="E125" s="14">
        <f t="shared" ca="1" si="12"/>
        <v>0.70189637815899331</v>
      </c>
      <c r="F125" s="14">
        <f t="shared" ca="1" si="13"/>
        <v>1.2633798774720246</v>
      </c>
      <c r="G125" s="14">
        <f t="shared" ca="1" si="14"/>
        <v>0.85629294699910408</v>
      </c>
      <c r="H125" s="15">
        <f t="shared" ca="1" si="15"/>
        <v>0.75862810610537346</v>
      </c>
      <c r="I125" s="14">
        <f ca="1">IF(G125&lt;0.05,1,0)*$B$1*$B$2</f>
        <v>0</v>
      </c>
      <c r="J125" s="14">
        <f ca="1">IF(H125&lt;0.05,1,0)*$B$1*$B$2</f>
        <v>0</v>
      </c>
      <c r="K125" s="15">
        <f t="shared" ca="1" si="16"/>
        <v>0</v>
      </c>
      <c r="P125" s="3">
        <v>121</v>
      </c>
      <c r="Q125" s="4">
        <f t="shared" ca="1" si="17"/>
        <v>0.85629294699910408</v>
      </c>
      <c r="R125" s="4">
        <f t="shared" ca="1" si="18"/>
        <v>0.75862810610537346</v>
      </c>
      <c r="S125" s="4">
        <f ca="1">$B$1*Q125*$B$2</f>
        <v>34.251717879964161</v>
      </c>
      <c r="T125" s="4">
        <f ca="1">$B$1*R125*$B$2</f>
        <v>30.345124244214944</v>
      </c>
      <c r="U125" s="7">
        <f t="shared" ca="1" si="19"/>
        <v>64.596842124179105</v>
      </c>
    </row>
    <row r="126" spans="2:21" x14ac:dyDescent="0.3">
      <c r="B126" s="13">
        <f t="shared" ca="1" si="10"/>
        <v>0.15032942964164664</v>
      </c>
      <c r="C126" s="14">
        <f t="shared" ca="1" si="10"/>
        <v>0.4798378252515022</v>
      </c>
      <c r="D126" s="14">
        <f t="shared" ca="1" si="11"/>
        <v>-1.0350215242034253</v>
      </c>
      <c r="E126" s="14">
        <f t="shared" ca="1" si="12"/>
        <v>-5.0560611028341668E-2</v>
      </c>
      <c r="F126" s="14">
        <f t="shared" ca="1" si="13"/>
        <v>-0.95355823118270366</v>
      </c>
      <c r="G126" s="14">
        <f t="shared" ca="1" si="14"/>
        <v>0.15032942964164647</v>
      </c>
      <c r="H126" s="15">
        <f t="shared" ca="1" si="15"/>
        <v>0.4798378252515022</v>
      </c>
      <c r="I126" s="14">
        <f ca="1">IF(G126&lt;0.05,1,0)*$B$1*$B$2</f>
        <v>0</v>
      </c>
      <c r="J126" s="14">
        <f ca="1">IF(H126&lt;0.05,1,0)*$B$1*$B$2</f>
        <v>0</v>
      </c>
      <c r="K126" s="15">
        <f t="shared" ca="1" si="16"/>
        <v>0</v>
      </c>
      <c r="P126" s="3">
        <v>122</v>
      </c>
      <c r="Q126" s="4">
        <f t="shared" ca="1" si="17"/>
        <v>0.15032942964164647</v>
      </c>
      <c r="R126" s="4">
        <f t="shared" ca="1" si="18"/>
        <v>0.4798378252515022</v>
      </c>
      <c r="S126" s="4">
        <f ca="1">$B$1*Q126*$B$2</f>
        <v>6.0131771856658593</v>
      </c>
      <c r="T126" s="4">
        <f ca="1">$B$1*R126*$B$2</f>
        <v>19.193513010060087</v>
      </c>
      <c r="U126" s="7">
        <f t="shared" ca="1" si="19"/>
        <v>25.206690195725947</v>
      </c>
    </row>
    <row r="127" spans="2:21" x14ac:dyDescent="0.3">
      <c r="B127" s="13">
        <f t="shared" ca="1" si="10"/>
        <v>0.11506656847571028</v>
      </c>
      <c r="C127" s="14">
        <f t="shared" ca="1" si="10"/>
        <v>0.59402588179490001</v>
      </c>
      <c r="D127" s="14">
        <f t="shared" ca="1" si="11"/>
        <v>-1.2000159732156119</v>
      </c>
      <c r="E127" s="14">
        <f t="shared" ca="1" si="12"/>
        <v>0.23791343323835701</v>
      </c>
      <c r="F127" s="14">
        <f t="shared" ca="1" si="13"/>
        <v>-0.9763103146143699</v>
      </c>
      <c r="G127" s="14">
        <f t="shared" ca="1" si="14"/>
        <v>0.11506656847571033</v>
      </c>
      <c r="H127" s="15">
        <f t="shared" ca="1" si="15"/>
        <v>0.59402588179490001</v>
      </c>
      <c r="I127" s="14">
        <f ca="1">IF(G127&lt;0.05,1,0)*$B$1*$B$2</f>
        <v>0</v>
      </c>
      <c r="J127" s="14">
        <f ca="1">IF(H127&lt;0.05,1,0)*$B$1*$B$2</f>
        <v>0</v>
      </c>
      <c r="K127" s="15">
        <f t="shared" ca="1" si="16"/>
        <v>0</v>
      </c>
      <c r="P127" s="3">
        <v>123</v>
      </c>
      <c r="Q127" s="4">
        <f t="shared" ca="1" si="17"/>
        <v>0.11506656847571033</v>
      </c>
      <c r="R127" s="4">
        <f t="shared" ca="1" si="18"/>
        <v>0.59402588179490001</v>
      </c>
      <c r="S127" s="4">
        <f ca="1">$B$1*Q127*$B$2</f>
        <v>4.6026627390284132</v>
      </c>
      <c r="T127" s="4">
        <f ca="1">$B$1*R127*$B$2</f>
        <v>23.761035271796004</v>
      </c>
      <c r="U127" s="7">
        <f t="shared" ca="1" si="19"/>
        <v>28.363698010824418</v>
      </c>
    </row>
    <row r="128" spans="2:21" x14ac:dyDescent="0.3">
      <c r="B128" s="13">
        <f t="shared" ca="1" si="10"/>
        <v>3.7758500915813897E-2</v>
      </c>
      <c r="C128" s="14">
        <f t="shared" ca="1" si="10"/>
        <v>0.94200052465675876</v>
      </c>
      <c r="D128" s="14">
        <f t="shared" ca="1" si="11"/>
        <v>-1.7773115045860692</v>
      </c>
      <c r="E128" s="14">
        <f t="shared" ca="1" si="12"/>
        <v>1.571791339566273</v>
      </c>
      <c r="F128" s="14">
        <f t="shared" ca="1" si="13"/>
        <v>-0.91445239317728155</v>
      </c>
      <c r="G128" s="14">
        <f t="shared" ca="1" si="14"/>
        <v>3.7758500915813904E-2</v>
      </c>
      <c r="H128" s="15">
        <f t="shared" ca="1" si="15"/>
        <v>0.94200052465675876</v>
      </c>
      <c r="I128" s="14">
        <f ca="1">IF(G128&lt;0.05,1,0)*$B$1*$B$2</f>
        <v>40</v>
      </c>
      <c r="J128" s="14">
        <f ca="1">IF(H128&lt;0.05,1,0)*$B$1*$B$2</f>
        <v>0</v>
      </c>
      <c r="K128" s="15">
        <f t="shared" ca="1" si="16"/>
        <v>40</v>
      </c>
      <c r="P128" s="3">
        <v>124</v>
      </c>
      <c r="Q128" s="4">
        <f t="shared" ca="1" si="17"/>
        <v>3.7758500915813904E-2</v>
      </c>
      <c r="R128" s="4">
        <f t="shared" ca="1" si="18"/>
        <v>0.94200052465675876</v>
      </c>
      <c r="S128" s="4">
        <f ca="1">$B$1*Q128*$B$2</f>
        <v>1.5103400366325563</v>
      </c>
      <c r="T128" s="4">
        <f ca="1">$B$1*R128*$B$2</f>
        <v>37.680020986270357</v>
      </c>
      <c r="U128" s="7">
        <f t="shared" ca="1" si="19"/>
        <v>39.190361022902913</v>
      </c>
    </row>
    <row r="129" spans="2:21" x14ac:dyDescent="0.3">
      <c r="B129" s="13">
        <f t="shared" ca="1" si="10"/>
        <v>0.67472594761231441</v>
      </c>
      <c r="C129" s="14">
        <f t="shared" ca="1" si="10"/>
        <v>0.58548178092890202</v>
      </c>
      <c r="D129" s="14">
        <f t="shared" ca="1" si="11"/>
        <v>0.4530008842718603</v>
      </c>
      <c r="E129" s="14">
        <f t="shared" ca="1" si="12"/>
        <v>0.21593753551632294</v>
      </c>
      <c r="F129" s="14">
        <f t="shared" ca="1" si="13"/>
        <v>0.50182578538796196</v>
      </c>
      <c r="G129" s="14">
        <f t="shared" ca="1" si="14"/>
        <v>0.67472594761231441</v>
      </c>
      <c r="H129" s="15">
        <f t="shared" ca="1" si="15"/>
        <v>0.58548178092890202</v>
      </c>
      <c r="I129" s="14">
        <f ca="1">IF(G129&lt;0.05,1,0)*$B$1*$B$2</f>
        <v>0</v>
      </c>
      <c r="J129" s="14">
        <f ca="1">IF(H129&lt;0.05,1,0)*$B$1*$B$2</f>
        <v>0</v>
      </c>
      <c r="K129" s="15">
        <f t="shared" ca="1" si="16"/>
        <v>0</v>
      </c>
      <c r="P129" s="3">
        <v>125</v>
      </c>
      <c r="Q129" s="4">
        <f t="shared" ca="1" si="17"/>
        <v>0.67472594761231441</v>
      </c>
      <c r="R129" s="4">
        <f t="shared" ca="1" si="18"/>
        <v>0.58548178092890202</v>
      </c>
      <c r="S129" s="4">
        <f ca="1">$B$1*Q129*$B$2</f>
        <v>26.98903790449258</v>
      </c>
      <c r="T129" s="4">
        <f ca="1">$B$1*R129*$B$2</f>
        <v>23.419271237156082</v>
      </c>
      <c r="U129" s="7">
        <f t="shared" ca="1" si="19"/>
        <v>50.408309141648658</v>
      </c>
    </row>
    <row r="130" spans="2:21" x14ac:dyDescent="0.3">
      <c r="B130" s="13">
        <f t="shared" ca="1" si="10"/>
        <v>0.80997939593520885</v>
      </c>
      <c r="C130" s="14">
        <f t="shared" ca="1" si="10"/>
        <v>0.53115177141166037</v>
      </c>
      <c r="D130" s="14">
        <f t="shared" ca="1" si="11"/>
        <v>0.87782037016324255</v>
      </c>
      <c r="E130" s="14">
        <f t="shared" ca="1" si="12"/>
        <v>7.8165434450004206E-2</v>
      </c>
      <c r="F130" s="14">
        <f t="shared" ca="1" si="13"/>
        <v>0.82410985611147036</v>
      </c>
      <c r="G130" s="14">
        <f t="shared" ca="1" si="14"/>
        <v>0.80997939593520907</v>
      </c>
      <c r="H130" s="15">
        <f t="shared" ca="1" si="15"/>
        <v>0.53115177141166037</v>
      </c>
      <c r="I130" s="14">
        <f ca="1">IF(G130&lt;0.05,1,0)*$B$1*$B$2</f>
        <v>0</v>
      </c>
      <c r="J130" s="14">
        <f ca="1">IF(H130&lt;0.05,1,0)*$B$1*$B$2</f>
        <v>0</v>
      </c>
      <c r="K130" s="15">
        <f t="shared" ca="1" si="16"/>
        <v>0</v>
      </c>
      <c r="P130" s="3">
        <v>126</v>
      </c>
      <c r="Q130" s="4">
        <f t="shared" ca="1" si="17"/>
        <v>0.80997939593520907</v>
      </c>
      <c r="R130" s="4">
        <f t="shared" ca="1" si="18"/>
        <v>0.53115177141166037</v>
      </c>
      <c r="S130" s="4">
        <f ca="1">$B$1*Q130*$B$2</f>
        <v>32.399175837408364</v>
      </c>
      <c r="T130" s="4">
        <f ca="1">$B$1*R130*$B$2</f>
        <v>21.246070856466417</v>
      </c>
      <c r="U130" s="7">
        <f t="shared" ca="1" si="19"/>
        <v>53.645246693874782</v>
      </c>
    </row>
    <row r="131" spans="2:21" x14ac:dyDescent="0.3">
      <c r="B131" s="13">
        <f t="shared" ca="1" si="10"/>
        <v>0.43588565253054246</v>
      </c>
      <c r="C131" s="14">
        <f t="shared" ca="1" si="10"/>
        <v>0.84686592082767542</v>
      </c>
      <c r="D131" s="14">
        <f t="shared" ca="1" si="11"/>
        <v>-0.16140896645485084</v>
      </c>
      <c r="E131" s="14">
        <f t="shared" ca="1" si="12"/>
        <v>1.0230839426918552</v>
      </c>
      <c r="F131" s="14">
        <f t="shared" ca="1" si="13"/>
        <v>0.30068388188592965</v>
      </c>
      <c r="G131" s="14">
        <f t="shared" ca="1" si="14"/>
        <v>0.43588565253054246</v>
      </c>
      <c r="H131" s="15">
        <f t="shared" ca="1" si="15"/>
        <v>0.84686592082767531</v>
      </c>
      <c r="I131" s="14">
        <f ca="1">IF(G131&lt;0.05,1,0)*$B$1*$B$2</f>
        <v>0</v>
      </c>
      <c r="J131" s="14">
        <f ca="1">IF(H131&lt;0.05,1,0)*$B$1*$B$2</f>
        <v>0</v>
      </c>
      <c r="K131" s="15">
        <f t="shared" ca="1" si="16"/>
        <v>0</v>
      </c>
      <c r="P131" s="3">
        <v>127</v>
      </c>
      <c r="Q131" s="4">
        <f t="shared" ca="1" si="17"/>
        <v>0.43588565253054246</v>
      </c>
      <c r="R131" s="4">
        <f t="shared" ca="1" si="18"/>
        <v>0.84686592082767531</v>
      </c>
      <c r="S131" s="4">
        <f ca="1">$B$1*Q131*$B$2</f>
        <v>17.435426101221701</v>
      </c>
      <c r="T131" s="4">
        <f ca="1">$B$1*R131*$B$2</f>
        <v>33.874636833107012</v>
      </c>
      <c r="U131" s="7">
        <f t="shared" ca="1" si="19"/>
        <v>51.310062934328712</v>
      </c>
    </row>
    <row r="132" spans="2:21" x14ac:dyDescent="0.3">
      <c r="B132" s="13">
        <f t="shared" ca="1" si="10"/>
        <v>0.57423925792249508</v>
      </c>
      <c r="C132" s="14">
        <f t="shared" ca="1" si="10"/>
        <v>0.32924720040219613</v>
      </c>
      <c r="D132" s="14">
        <f t="shared" ca="1" si="11"/>
        <v>0.18717747615219038</v>
      </c>
      <c r="E132" s="14">
        <f t="shared" ca="1" si="12"/>
        <v>-0.44199282110998928</v>
      </c>
      <c r="F132" s="14">
        <f t="shared" ca="1" si="13"/>
        <v>-2.4200475561918011E-2</v>
      </c>
      <c r="G132" s="14">
        <f t="shared" ca="1" si="14"/>
        <v>0.57423925792249508</v>
      </c>
      <c r="H132" s="15">
        <f t="shared" ca="1" si="15"/>
        <v>0.32924720040219602</v>
      </c>
      <c r="I132" s="14">
        <f ca="1">IF(G132&lt;0.05,1,0)*$B$1*$B$2</f>
        <v>0</v>
      </c>
      <c r="J132" s="14">
        <f ca="1">IF(H132&lt;0.05,1,0)*$B$1*$B$2</f>
        <v>0</v>
      </c>
      <c r="K132" s="15">
        <f t="shared" ca="1" si="16"/>
        <v>0</v>
      </c>
      <c r="P132" s="3">
        <v>128</v>
      </c>
      <c r="Q132" s="4">
        <f t="shared" ca="1" si="17"/>
        <v>0.57423925792249508</v>
      </c>
      <c r="R132" s="4">
        <f t="shared" ca="1" si="18"/>
        <v>0.32924720040219602</v>
      </c>
      <c r="S132" s="4">
        <f ca="1">$B$1*Q132*$B$2</f>
        <v>22.969570316899805</v>
      </c>
      <c r="T132" s="4">
        <f ca="1">$B$1*R132*$B$2</f>
        <v>13.169888016087842</v>
      </c>
      <c r="U132" s="7">
        <f t="shared" ca="1" si="19"/>
        <v>36.139458332987644</v>
      </c>
    </row>
    <row r="133" spans="2:21" x14ac:dyDescent="0.3">
      <c r="B133" s="13">
        <f t="shared" ca="1" si="10"/>
        <v>0.85004887724255063</v>
      </c>
      <c r="C133" s="14">
        <f t="shared" ca="1" si="10"/>
        <v>5.4119570211150991E-2</v>
      </c>
      <c r="D133" s="14">
        <f t="shared" ca="1" si="11"/>
        <v>1.0366430429943363</v>
      </c>
      <c r="E133" s="14">
        <f t="shared" ca="1" si="12"/>
        <v>-1.6061582661292608</v>
      </c>
      <c r="F133" s="14">
        <f t="shared" ca="1" si="13"/>
        <v>0.23287058175590725</v>
      </c>
      <c r="G133" s="14">
        <f t="shared" ca="1" si="14"/>
        <v>0.85004887724255052</v>
      </c>
      <c r="H133" s="15">
        <f t="shared" ca="1" si="15"/>
        <v>5.4119570211151012E-2</v>
      </c>
      <c r="I133" s="14">
        <f ca="1">IF(G133&lt;0.05,1,0)*$B$1*$B$2</f>
        <v>0</v>
      </c>
      <c r="J133" s="14">
        <f ca="1">IF(H133&lt;0.05,1,0)*$B$1*$B$2</f>
        <v>0</v>
      </c>
      <c r="K133" s="15">
        <f t="shared" ca="1" si="16"/>
        <v>0</v>
      </c>
      <c r="P133" s="3">
        <v>129</v>
      </c>
      <c r="Q133" s="4">
        <f t="shared" ca="1" si="17"/>
        <v>0.85004887724255052</v>
      </c>
      <c r="R133" s="4">
        <f t="shared" ca="1" si="18"/>
        <v>5.4119570211151012E-2</v>
      </c>
      <c r="S133" s="4">
        <f ca="1">$B$1*Q133*$B$2</f>
        <v>34.001955089702022</v>
      </c>
      <c r="T133" s="4">
        <f ca="1">$B$1*R133*$B$2</f>
        <v>2.1647828084460405</v>
      </c>
      <c r="U133" s="7">
        <f t="shared" ca="1" si="19"/>
        <v>36.166737898148064</v>
      </c>
    </row>
    <row r="134" spans="2:21" x14ac:dyDescent="0.3">
      <c r="B134" s="13">
        <f t="shared" ref="B134:C197" ca="1" si="20">RAND()</f>
        <v>4.4132022318238651E-2</v>
      </c>
      <c r="C134" s="14">
        <f t="shared" ca="1" si="20"/>
        <v>0.63673076812480522</v>
      </c>
      <c r="D134" s="14">
        <f t="shared" ref="D134:D197" ca="1" si="21">_xlfn.NORM.S.INV(B134)</f>
        <v>-1.704626827531573</v>
      </c>
      <c r="E134" s="14">
        <f t="shared" ref="E134:E197" ca="1" si="22">_xlfn.NORM.S.INV(C134)</f>
        <v>0.34973382819750853</v>
      </c>
      <c r="F134" s="14">
        <f t="shared" ref="F134:F197" ca="1" si="23">($Y$5*D134)+(SQRT(1-$Y$5^2)*E134)</f>
        <v>-1.3817187033533602</v>
      </c>
      <c r="G134" s="14">
        <f t="shared" ref="G134:G197" ca="1" si="24">_xlfn.NORM.S.DIST(D134,TRUE)</f>
        <v>4.4132022318238671E-2</v>
      </c>
      <c r="H134" s="15">
        <f t="shared" ref="H134:H197" ca="1" si="25">_xlfn.NORM.S.DIST(E134,TRUE)</f>
        <v>0.63673076812480522</v>
      </c>
      <c r="I134" s="14">
        <f ca="1">IF(G134&lt;0.05,1,0)*$B$1*$B$2</f>
        <v>40</v>
      </c>
      <c r="J134" s="14">
        <f ca="1">IF(H134&lt;0.05,1,0)*$B$1*$B$2</f>
        <v>0</v>
      </c>
      <c r="K134" s="15">
        <f t="shared" ref="K134:K197" ca="1" si="26">I134+J134</f>
        <v>40</v>
      </c>
      <c r="P134" s="3">
        <v>130</v>
      </c>
      <c r="Q134" s="4">
        <f t="shared" ref="Q134:Q197" ca="1" si="27">G134</f>
        <v>4.4132022318238671E-2</v>
      </c>
      <c r="R134" s="4">
        <f t="shared" ref="R134:R197" ca="1" si="28">H134</f>
        <v>0.63673076812480522</v>
      </c>
      <c r="S134" s="4">
        <f ca="1">$B$1*Q134*$B$2</f>
        <v>1.7652808927295469</v>
      </c>
      <c r="T134" s="4">
        <f ca="1">$B$1*R134*$B$2</f>
        <v>25.469230724992212</v>
      </c>
      <c r="U134" s="7">
        <f t="shared" ref="U134:U197" ca="1" si="29">S134+T134</f>
        <v>27.234511617721758</v>
      </c>
    </row>
    <row r="135" spans="2:21" x14ac:dyDescent="0.3">
      <c r="B135" s="13">
        <f t="shared" ca="1" si="20"/>
        <v>0.78064122783164658</v>
      </c>
      <c r="C135" s="14">
        <f t="shared" ca="1" si="20"/>
        <v>0.22163050599286938</v>
      </c>
      <c r="D135" s="14">
        <f t="shared" ca="1" si="21"/>
        <v>0.77436065423016254</v>
      </c>
      <c r="E135" s="14">
        <f t="shared" ca="1" si="22"/>
        <v>-0.76669813630245509</v>
      </c>
      <c r="F135" s="14">
        <f t="shared" ca="1" si="23"/>
        <v>0.36272861917280885</v>
      </c>
      <c r="G135" s="14">
        <f t="shared" ca="1" si="24"/>
        <v>0.78064122783164691</v>
      </c>
      <c r="H135" s="15">
        <f t="shared" ca="1" si="25"/>
        <v>0.22163050599286935</v>
      </c>
      <c r="I135" s="14">
        <f ca="1">IF(G135&lt;0.05,1,0)*$B$1*$B$2</f>
        <v>0</v>
      </c>
      <c r="J135" s="14">
        <f ca="1">IF(H135&lt;0.05,1,0)*$B$1*$B$2</f>
        <v>0</v>
      </c>
      <c r="K135" s="15">
        <f t="shared" ca="1" si="26"/>
        <v>0</v>
      </c>
      <c r="P135" s="3">
        <v>131</v>
      </c>
      <c r="Q135" s="4">
        <f t="shared" ca="1" si="27"/>
        <v>0.78064122783164691</v>
      </c>
      <c r="R135" s="4">
        <f t="shared" ca="1" si="28"/>
        <v>0.22163050599286935</v>
      </c>
      <c r="S135" s="4">
        <f ca="1">$B$1*Q135*$B$2</f>
        <v>31.225649113265877</v>
      </c>
      <c r="T135" s="4">
        <f ca="1">$B$1*R135*$B$2</f>
        <v>8.8652202397147732</v>
      </c>
      <c r="U135" s="7">
        <f t="shared" ca="1" si="29"/>
        <v>40.090869352980647</v>
      </c>
    </row>
    <row r="136" spans="2:21" x14ac:dyDescent="0.3">
      <c r="B136" s="13">
        <f t="shared" ca="1" si="20"/>
        <v>0.81368912006330718</v>
      </c>
      <c r="C136" s="14">
        <f t="shared" ca="1" si="20"/>
        <v>0.50225307176137635</v>
      </c>
      <c r="D136" s="14">
        <f t="shared" ca="1" si="21"/>
        <v>0.89157316336225612</v>
      </c>
      <c r="E136" s="14">
        <f t="shared" ca="1" si="22"/>
        <v>5.6476434044506222E-3</v>
      </c>
      <c r="F136" s="14">
        <f t="shared" ca="1" si="23"/>
        <v>0.80487759771294598</v>
      </c>
      <c r="G136" s="14">
        <f t="shared" ca="1" si="24"/>
        <v>0.81368912006330718</v>
      </c>
      <c r="H136" s="15">
        <f t="shared" ca="1" si="25"/>
        <v>0.50225307176137635</v>
      </c>
      <c r="I136" s="14">
        <f ca="1">IF(G136&lt;0.05,1,0)*$B$1*$B$2</f>
        <v>0</v>
      </c>
      <c r="J136" s="14">
        <f ca="1">IF(H136&lt;0.05,1,0)*$B$1*$B$2</f>
        <v>0</v>
      </c>
      <c r="K136" s="15">
        <f t="shared" ca="1" si="26"/>
        <v>0</v>
      </c>
      <c r="P136" s="3">
        <v>132</v>
      </c>
      <c r="Q136" s="4">
        <f t="shared" ca="1" si="27"/>
        <v>0.81368912006330718</v>
      </c>
      <c r="R136" s="4">
        <f t="shared" ca="1" si="28"/>
        <v>0.50225307176137635</v>
      </c>
      <c r="S136" s="4">
        <f ca="1">$B$1*Q136*$B$2</f>
        <v>32.547564802532285</v>
      </c>
      <c r="T136" s="4">
        <f ca="1">$B$1*R136*$B$2</f>
        <v>20.090122870455055</v>
      </c>
      <c r="U136" s="7">
        <f t="shared" ca="1" si="29"/>
        <v>52.63768767298734</v>
      </c>
    </row>
    <row r="137" spans="2:21" x14ac:dyDescent="0.3">
      <c r="B137" s="13">
        <f t="shared" ca="1" si="20"/>
        <v>0.57286021780566154</v>
      </c>
      <c r="C137" s="14">
        <f t="shared" ca="1" si="20"/>
        <v>0.34238078407869588</v>
      </c>
      <c r="D137" s="14">
        <f t="shared" ca="1" si="21"/>
        <v>0.18366079796012699</v>
      </c>
      <c r="E137" s="14">
        <f t="shared" ca="1" si="22"/>
        <v>-0.40597418530347174</v>
      </c>
      <c r="F137" s="14">
        <f t="shared" ca="1" si="23"/>
        <v>-1.1665326578294555E-2</v>
      </c>
      <c r="G137" s="14">
        <f t="shared" ca="1" si="24"/>
        <v>0.57286021780566154</v>
      </c>
      <c r="H137" s="15">
        <f t="shared" ca="1" si="25"/>
        <v>0.34238078407869582</v>
      </c>
      <c r="I137" s="14">
        <f ca="1">IF(G137&lt;0.05,1,0)*$B$1*$B$2</f>
        <v>0</v>
      </c>
      <c r="J137" s="14">
        <f ca="1">IF(H137&lt;0.05,1,0)*$B$1*$B$2</f>
        <v>0</v>
      </c>
      <c r="K137" s="15">
        <f t="shared" ca="1" si="26"/>
        <v>0</v>
      </c>
      <c r="P137" s="3">
        <v>133</v>
      </c>
      <c r="Q137" s="4">
        <f t="shared" ca="1" si="27"/>
        <v>0.57286021780566154</v>
      </c>
      <c r="R137" s="4">
        <f t="shared" ca="1" si="28"/>
        <v>0.34238078407869582</v>
      </c>
      <c r="S137" s="4">
        <f ca="1">$B$1*Q137*$B$2</f>
        <v>22.914408712226461</v>
      </c>
      <c r="T137" s="4">
        <f ca="1">$B$1*R137*$B$2</f>
        <v>13.695231363147833</v>
      </c>
      <c r="U137" s="7">
        <f t="shared" ca="1" si="29"/>
        <v>36.609640075374294</v>
      </c>
    </row>
    <row r="138" spans="2:21" x14ac:dyDescent="0.3">
      <c r="B138" s="13">
        <f t="shared" ca="1" si="20"/>
        <v>0.30546366148710802</v>
      </c>
      <c r="C138" s="14">
        <f t="shared" ca="1" si="20"/>
        <v>0.2403117947609682</v>
      </c>
      <c r="D138" s="14">
        <f t="shared" ca="1" si="21"/>
        <v>-0.50875021038659418</v>
      </c>
      <c r="E138" s="14">
        <f t="shared" ca="1" si="22"/>
        <v>-0.70529995330402717</v>
      </c>
      <c r="F138" s="14">
        <f t="shared" ca="1" si="23"/>
        <v>-0.76530831148155576</v>
      </c>
      <c r="G138" s="14">
        <f t="shared" ca="1" si="24"/>
        <v>0.30546366148710791</v>
      </c>
      <c r="H138" s="15">
        <f t="shared" ca="1" si="25"/>
        <v>0.24031179476096809</v>
      </c>
      <c r="I138" s="14">
        <f ca="1">IF(G138&lt;0.05,1,0)*$B$1*$B$2</f>
        <v>0</v>
      </c>
      <c r="J138" s="14">
        <f ca="1">IF(H138&lt;0.05,1,0)*$B$1*$B$2</f>
        <v>0</v>
      </c>
      <c r="K138" s="15">
        <f t="shared" ca="1" si="26"/>
        <v>0</v>
      </c>
      <c r="P138" s="3">
        <v>134</v>
      </c>
      <c r="Q138" s="4">
        <f t="shared" ca="1" si="27"/>
        <v>0.30546366148710791</v>
      </c>
      <c r="R138" s="4">
        <f t="shared" ca="1" si="28"/>
        <v>0.24031179476096809</v>
      </c>
      <c r="S138" s="4">
        <f ca="1">$B$1*Q138*$B$2</f>
        <v>12.218546459484317</v>
      </c>
      <c r="T138" s="4">
        <f ca="1">$B$1*R138*$B$2</f>
        <v>9.6124717904387253</v>
      </c>
      <c r="U138" s="7">
        <f t="shared" ca="1" si="29"/>
        <v>21.831018249923041</v>
      </c>
    </row>
    <row r="139" spans="2:21" x14ac:dyDescent="0.3">
      <c r="B139" s="13">
        <f t="shared" ca="1" si="20"/>
        <v>0.11800528691989409</v>
      </c>
      <c r="C139" s="14">
        <f t="shared" ca="1" si="20"/>
        <v>9.2995516788078048E-2</v>
      </c>
      <c r="D139" s="14">
        <f t="shared" ca="1" si="21"/>
        <v>-1.1850173835559705</v>
      </c>
      <c r="E139" s="14">
        <f t="shared" ca="1" si="22"/>
        <v>-1.3225320819608468</v>
      </c>
      <c r="F139" s="14">
        <f t="shared" ca="1" si="23"/>
        <v>-1.6429940146861517</v>
      </c>
      <c r="G139" s="14">
        <f t="shared" ca="1" si="24"/>
        <v>0.11800528691989402</v>
      </c>
      <c r="H139" s="15">
        <f t="shared" ca="1" si="25"/>
        <v>9.2995516788078034E-2</v>
      </c>
      <c r="I139" s="14">
        <f ca="1">IF(G139&lt;0.05,1,0)*$B$1*$B$2</f>
        <v>0</v>
      </c>
      <c r="J139" s="14">
        <f ca="1">IF(H139&lt;0.05,1,0)*$B$1*$B$2</f>
        <v>0</v>
      </c>
      <c r="K139" s="15">
        <f t="shared" ca="1" si="26"/>
        <v>0</v>
      </c>
      <c r="P139" s="3">
        <v>135</v>
      </c>
      <c r="Q139" s="4">
        <f t="shared" ca="1" si="27"/>
        <v>0.11800528691989402</v>
      </c>
      <c r="R139" s="4">
        <f t="shared" ca="1" si="28"/>
        <v>9.2995516788078034E-2</v>
      </c>
      <c r="S139" s="4">
        <f ca="1">$B$1*Q139*$B$2</f>
        <v>4.720211476795761</v>
      </c>
      <c r="T139" s="4">
        <f ca="1">$B$1*R139*$B$2</f>
        <v>3.7198206715231219</v>
      </c>
      <c r="U139" s="7">
        <f t="shared" ca="1" si="29"/>
        <v>8.4400321483188829</v>
      </c>
    </row>
    <row r="140" spans="2:21" x14ac:dyDescent="0.3">
      <c r="B140" s="13">
        <f t="shared" ca="1" si="20"/>
        <v>0.57547602907515283</v>
      </c>
      <c r="C140" s="14">
        <f t="shared" ca="1" si="20"/>
        <v>0.18439344593931717</v>
      </c>
      <c r="D140" s="14">
        <f t="shared" ca="1" si="21"/>
        <v>0.19033332436920644</v>
      </c>
      <c r="E140" s="14">
        <f t="shared" ca="1" si="22"/>
        <v>-0.89874802182588076</v>
      </c>
      <c r="F140" s="14">
        <f t="shared" ca="1" si="23"/>
        <v>-0.2204551883523243</v>
      </c>
      <c r="G140" s="14">
        <f t="shared" ca="1" si="24"/>
        <v>0.57547602907515283</v>
      </c>
      <c r="H140" s="15">
        <f t="shared" ca="1" si="25"/>
        <v>0.18439344593931695</v>
      </c>
      <c r="I140" s="14">
        <f ca="1">IF(G140&lt;0.05,1,0)*$B$1*$B$2</f>
        <v>0</v>
      </c>
      <c r="J140" s="14">
        <f ca="1">IF(H140&lt;0.05,1,0)*$B$1*$B$2</f>
        <v>0</v>
      </c>
      <c r="K140" s="15">
        <f t="shared" ca="1" si="26"/>
        <v>0</v>
      </c>
      <c r="P140" s="3">
        <v>136</v>
      </c>
      <c r="Q140" s="4">
        <f t="shared" ca="1" si="27"/>
        <v>0.57547602907515283</v>
      </c>
      <c r="R140" s="4">
        <f t="shared" ca="1" si="28"/>
        <v>0.18439344593931695</v>
      </c>
      <c r="S140" s="4">
        <f ca="1">$B$1*Q140*$B$2</f>
        <v>23.019041163006115</v>
      </c>
      <c r="T140" s="4">
        <f ca="1">$B$1*R140*$B$2</f>
        <v>7.3757378375726779</v>
      </c>
      <c r="U140" s="7">
        <f t="shared" ca="1" si="29"/>
        <v>30.394779000578794</v>
      </c>
    </row>
    <row r="141" spans="2:21" x14ac:dyDescent="0.3">
      <c r="B141" s="13">
        <f t="shared" ca="1" si="20"/>
        <v>0.90115818792427682</v>
      </c>
      <c r="C141" s="14">
        <f t="shared" ca="1" si="20"/>
        <v>0.44106421968740739</v>
      </c>
      <c r="D141" s="14">
        <f t="shared" ca="1" si="21"/>
        <v>1.2881791039610122</v>
      </c>
      <c r="E141" s="14">
        <f t="shared" ca="1" si="22"/>
        <v>-0.14827158497157289</v>
      </c>
      <c r="F141" s="14">
        <f t="shared" ca="1" si="23"/>
        <v>1.0947311080559421</v>
      </c>
      <c r="G141" s="14">
        <f t="shared" ca="1" si="24"/>
        <v>0.90115818792427693</v>
      </c>
      <c r="H141" s="15">
        <f t="shared" ca="1" si="25"/>
        <v>0.44106421968740739</v>
      </c>
      <c r="I141" s="14">
        <f ca="1">IF(G141&lt;0.05,1,0)*$B$1*$B$2</f>
        <v>0</v>
      </c>
      <c r="J141" s="14">
        <f ca="1">IF(H141&lt;0.05,1,0)*$B$1*$B$2</f>
        <v>0</v>
      </c>
      <c r="K141" s="15">
        <f t="shared" ca="1" si="26"/>
        <v>0</v>
      </c>
      <c r="P141" s="3">
        <v>137</v>
      </c>
      <c r="Q141" s="4">
        <f t="shared" ca="1" si="27"/>
        <v>0.90115818792427693</v>
      </c>
      <c r="R141" s="4">
        <f t="shared" ca="1" si="28"/>
        <v>0.44106421968740739</v>
      </c>
      <c r="S141" s="4">
        <f ca="1">$B$1*Q141*$B$2</f>
        <v>36.046327516971076</v>
      </c>
      <c r="T141" s="4">
        <f ca="1">$B$1*R141*$B$2</f>
        <v>17.642568787496298</v>
      </c>
      <c r="U141" s="7">
        <f t="shared" ca="1" si="29"/>
        <v>53.688896304467377</v>
      </c>
    </row>
    <row r="142" spans="2:21" x14ac:dyDescent="0.3">
      <c r="B142" s="13">
        <f t="shared" ca="1" si="20"/>
        <v>0.872871255204413</v>
      </c>
      <c r="C142" s="14">
        <f t="shared" ca="1" si="20"/>
        <v>0.92893670732045597</v>
      </c>
      <c r="D142" s="14">
        <f t="shared" ca="1" si="21"/>
        <v>1.1400691588879632</v>
      </c>
      <c r="E142" s="14">
        <f t="shared" ca="1" si="22"/>
        <v>1.4679176789997728</v>
      </c>
      <c r="F142" s="14">
        <f t="shared" ca="1" si="23"/>
        <v>1.6659127250188457</v>
      </c>
      <c r="G142" s="14">
        <f t="shared" ca="1" si="24"/>
        <v>0.87287125520441311</v>
      </c>
      <c r="H142" s="15">
        <f t="shared" ca="1" si="25"/>
        <v>0.92893670732045597</v>
      </c>
      <c r="I142" s="14">
        <f ca="1">IF(G142&lt;0.05,1,0)*$B$1*$B$2</f>
        <v>0</v>
      </c>
      <c r="J142" s="14">
        <f ca="1">IF(H142&lt;0.05,1,0)*$B$1*$B$2</f>
        <v>0</v>
      </c>
      <c r="K142" s="15">
        <f t="shared" ca="1" si="26"/>
        <v>0</v>
      </c>
      <c r="P142" s="3">
        <v>138</v>
      </c>
      <c r="Q142" s="4">
        <f t="shared" ca="1" si="27"/>
        <v>0.87287125520441311</v>
      </c>
      <c r="R142" s="4">
        <f t="shared" ca="1" si="28"/>
        <v>0.92893670732045597</v>
      </c>
      <c r="S142" s="4">
        <f ca="1">$B$1*Q142*$B$2</f>
        <v>34.914850208176524</v>
      </c>
      <c r="T142" s="4">
        <f ca="1">$B$1*R142*$B$2</f>
        <v>37.157468292818237</v>
      </c>
      <c r="U142" s="7">
        <f t="shared" ca="1" si="29"/>
        <v>72.072318500994754</v>
      </c>
    </row>
    <row r="143" spans="2:21" x14ac:dyDescent="0.3">
      <c r="B143" s="13">
        <f t="shared" ca="1" si="20"/>
        <v>0.14059146629011121</v>
      </c>
      <c r="C143" s="14">
        <f t="shared" ca="1" si="20"/>
        <v>0.3956569799087728</v>
      </c>
      <c r="D143" s="14">
        <f t="shared" ca="1" si="21"/>
        <v>-1.0776657854896883</v>
      </c>
      <c r="E143" s="14">
        <f t="shared" ca="1" si="22"/>
        <v>-0.2646047509646709</v>
      </c>
      <c r="F143" s="14">
        <f t="shared" ca="1" si="23"/>
        <v>-1.0852377438842942</v>
      </c>
      <c r="G143" s="14">
        <f t="shared" ca="1" si="24"/>
        <v>0.14059146629011113</v>
      </c>
      <c r="H143" s="15">
        <f t="shared" ca="1" si="25"/>
        <v>0.3956569799087728</v>
      </c>
      <c r="I143" s="14">
        <f ca="1">IF(G143&lt;0.05,1,0)*$B$1*$B$2</f>
        <v>0</v>
      </c>
      <c r="J143" s="14">
        <f ca="1">IF(H143&lt;0.05,1,0)*$B$1*$B$2</f>
        <v>0</v>
      </c>
      <c r="K143" s="15">
        <f t="shared" ca="1" si="26"/>
        <v>0</v>
      </c>
      <c r="P143" s="3">
        <v>139</v>
      </c>
      <c r="Q143" s="4">
        <f t="shared" ca="1" si="27"/>
        <v>0.14059146629011113</v>
      </c>
      <c r="R143" s="4">
        <f t="shared" ca="1" si="28"/>
        <v>0.3956569799087728</v>
      </c>
      <c r="S143" s="4">
        <f ca="1">$B$1*Q143*$B$2</f>
        <v>5.6236586516044458</v>
      </c>
      <c r="T143" s="4">
        <f ca="1">$B$1*R143*$B$2</f>
        <v>15.826279196350914</v>
      </c>
      <c r="U143" s="7">
        <f t="shared" ca="1" si="29"/>
        <v>21.449937847955361</v>
      </c>
    </row>
    <row r="144" spans="2:21" x14ac:dyDescent="0.3">
      <c r="B144" s="13">
        <f t="shared" ca="1" si="20"/>
        <v>0.64957667631352389</v>
      </c>
      <c r="C144" s="14">
        <f t="shared" ca="1" si="20"/>
        <v>0.91281378770238442</v>
      </c>
      <c r="D144" s="14">
        <f t="shared" ca="1" si="21"/>
        <v>0.38417783214063</v>
      </c>
      <c r="E144" s="14">
        <f t="shared" ca="1" si="22"/>
        <v>1.3582876592012263</v>
      </c>
      <c r="F144" s="14">
        <f t="shared" ca="1" si="23"/>
        <v>0.93782391319822289</v>
      </c>
      <c r="G144" s="14">
        <f t="shared" ca="1" si="24"/>
        <v>0.649576676313524</v>
      </c>
      <c r="H144" s="15">
        <f t="shared" ca="1" si="25"/>
        <v>0.91281378770238453</v>
      </c>
      <c r="I144" s="14">
        <f ca="1">IF(G144&lt;0.05,1,0)*$B$1*$B$2</f>
        <v>0</v>
      </c>
      <c r="J144" s="14">
        <f ca="1">IF(H144&lt;0.05,1,0)*$B$1*$B$2</f>
        <v>0</v>
      </c>
      <c r="K144" s="15">
        <f t="shared" ca="1" si="26"/>
        <v>0</v>
      </c>
      <c r="P144" s="3">
        <v>140</v>
      </c>
      <c r="Q144" s="4">
        <f t="shared" ca="1" si="27"/>
        <v>0.649576676313524</v>
      </c>
      <c r="R144" s="4">
        <f t="shared" ca="1" si="28"/>
        <v>0.91281378770238453</v>
      </c>
      <c r="S144" s="4">
        <f ca="1">$B$1*Q144*$B$2</f>
        <v>25.98306705254096</v>
      </c>
      <c r="T144" s="4">
        <f ca="1">$B$1*R144*$B$2</f>
        <v>36.512551508095378</v>
      </c>
      <c r="U144" s="7">
        <f t="shared" ca="1" si="29"/>
        <v>62.495618560636338</v>
      </c>
    </row>
    <row r="145" spans="2:21" x14ac:dyDescent="0.3">
      <c r="B145" s="13">
        <f t="shared" ca="1" si="20"/>
        <v>0.76569571943220338</v>
      </c>
      <c r="C145" s="14">
        <f t="shared" ca="1" si="20"/>
        <v>0.96230485138865252</v>
      </c>
      <c r="D145" s="14">
        <f t="shared" ca="1" si="21"/>
        <v>0.72474487245402774</v>
      </c>
      <c r="E145" s="14">
        <f t="shared" ca="1" si="22"/>
        <v>1.7780825545125636</v>
      </c>
      <c r="F145" s="14">
        <f t="shared" ca="1" si="23"/>
        <v>1.4273186020479165</v>
      </c>
      <c r="G145" s="14">
        <f t="shared" ca="1" si="24"/>
        <v>0.76569571943220338</v>
      </c>
      <c r="H145" s="15">
        <f t="shared" ca="1" si="25"/>
        <v>0.96230485138865252</v>
      </c>
      <c r="I145" s="14">
        <f ca="1">IF(G145&lt;0.05,1,0)*$B$1*$B$2</f>
        <v>0</v>
      </c>
      <c r="J145" s="14">
        <f ca="1">IF(H145&lt;0.05,1,0)*$B$1*$B$2</f>
        <v>0</v>
      </c>
      <c r="K145" s="15">
        <f t="shared" ca="1" si="26"/>
        <v>0</v>
      </c>
      <c r="P145" s="3">
        <v>141</v>
      </c>
      <c r="Q145" s="4">
        <f t="shared" ca="1" si="27"/>
        <v>0.76569571943220338</v>
      </c>
      <c r="R145" s="4">
        <f t="shared" ca="1" si="28"/>
        <v>0.96230485138865252</v>
      </c>
      <c r="S145" s="4">
        <f ca="1">$B$1*Q145*$B$2</f>
        <v>30.627828777288137</v>
      </c>
      <c r="T145" s="4">
        <f ca="1">$B$1*R145*$B$2</f>
        <v>38.492194055546101</v>
      </c>
      <c r="U145" s="7">
        <f t="shared" ca="1" si="29"/>
        <v>69.120022832834238</v>
      </c>
    </row>
    <row r="146" spans="2:21" x14ac:dyDescent="0.3">
      <c r="B146" s="13">
        <f t="shared" ca="1" si="20"/>
        <v>0.96110029885674597</v>
      </c>
      <c r="C146" s="14">
        <f t="shared" ca="1" si="20"/>
        <v>0.86094345344674972</v>
      </c>
      <c r="D146" s="14">
        <f t="shared" ca="1" si="21"/>
        <v>1.7635996761445329</v>
      </c>
      <c r="E146" s="14">
        <f t="shared" ca="1" si="22"/>
        <v>1.0845678673521264</v>
      </c>
      <c r="F146" s="14">
        <f t="shared" ca="1" si="23"/>
        <v>2.0599918816500145</v>
      </c>
      <c r="G146" s="14">
        <f t="shared" ca="1" si="24"/>
        <v>0.96110029885674597</v>
      </c>
      <c r="H146" s="15">
        <f t="shared" ca="1" si="25"/>
        <v>0.86094345344674972</v>
      </c>
      <c r="I146" s="14">
        <f ca="1">IF(G146&lt;0.05,1,0)*$B$1*$B$2</f>
        <v>0</v>
      </c>
      <c r="J146" s="14">
        <f ca="1">IF(H146&lt;0.05,1,0)*$B$1*$B$2</f>
        <v>0</v>
      </c>
      <c r="K146" s="15">
        <f t="shared" ca="1" si="26"/>
        <v>0</v>
      </c>
      <c r="P146" s="3">
        <v>142</v>
      </c>
      <c r="Q146" s="4">
        <f t="shared" ca="1" si="27"/>
        <v>0.96110029885674597</v>
      </c>
      <c r="R146" s="4">
        <f t="shared" ca="1" si="28"/>
        <v>0.86094345344674972</v>
      </c>
      <c r="S146" s="4">
        <f ca="1">$B$1*Q146*$B$2</f>
        <v>38.44401195426984</v>
      </c>
      <c r="T146" s="4">
        <f ca="1">$B$1*R146*$B$2</f>
        <v>34.437738137869992</v>
      </c>
      <c r="U146" s="7">
        <f t="shared" ca="1" si="29"/>
        <v>72.881750092139839</v>
      </c>
    </row>
    <row r="147" spans="2:21" x14ac:dyDescent="0.3">
      <c r="B147" s="13">
        <f t="shared" ca="1" si="20"/>
        <v>0.20020440409786677</v>
      </c>
      <c r="C147" s="14">
        <f t="shared" ca="1" si="20"/>
        <v>0.42097242516391975</v>
      </c>
      <c r="D147" s="14">
        <f t="shared" ca="1" si="21"/>
        <v>-0.84089134380657682</v>
      </c>
      <c r="E147" s="14">
        <f t="shared" ca="1" si="22"/>
        <v>-0.19940640538458235</v>
      </c>
      <c r="F147" s="14">
        <f t="shared" ca="1" si="23"/>
        <v>-0.84372144640252911</v>
      </c>
      <c r="G147" s="14">
        <f t="shared" ca="1" si="24"/>
        <v>0.20020440409786669</v>
      </c>
      <c r="H147" s="15">
        <f t="shared" ca="1" si="25"/>
        <v>0.42097242516391975</v>
      </c>
      <c r="I147" s="14">
        <f ca="1">IF(G147&lt;0.05,1,0)*$B$1*$B$2</f>
        <v>0</v>
      </c>
      <c r="J147" s="14">
        <f ca="1">IF(H147&lt;0.05,1,0)*$B$1*$B$2</f>
        <v>0</v>
      </c>
      <c r="K147" s="15">
        <f t="shared" ca="1" si="26"/>
        <v>0</v>
      </c>
      <c r="P147" s="3">
        <v>143</v>
      </c>
      <c r="Q147" s="4">
        <f t="shared" ca="1" si="27"/>
        <v>0.20020440409786669</v>
      </c>
      <c r="R147" s="4">
        <f t="shared" ca="1" si="28"/>
        <v>0.42097242516391975</v>
      </c>
      <c r="S147" s="4">
        <f ca="1">$B$1*Q147*$B$2</f>
        <v>8.0081761639146674</v>
      </c>
      <c r="T147" s="4">
        <f ca="1">$B$1*R147*$B$2</f>
        <v>16.838897006556788</v>
      </c>
      <c r="U147" s="7">
        <f t="shared" ca="1" si="29"/>
        <v>24.847073170471454</v>
      </c>
    </row>
    <row r="148" spans="2:21" x14ac:dyDescent="0.3">
      <c r="B148" s="13">
        <f t="shared" ca="1" si="20"/>
        <v>0.29541083163008008</v>
      </c>
      <c r="C148" s="14">
        <f t="shared" ca="1" si="20"/>
        <v>0.75217098462005727</v>
      </c>
      <c r="D148" s="14">
        <f t="shared" ca="1" si="21"/>
        <v>-0.53764571479279888</v>
      </c>
      <c r="E148" s="14">
        <f t="shared" ca="1" si="22"/>
        <v>0.68133738836109115</v>
      </c>
      <c r="F148" s="14">
        <f t="shared" ca="1" si="23"/>
        <v>-0.18689306108132686</v>
      </c>
      <c r="G148" s="14">
        <f t="shared" ca="1" si="24"/>
        <v>0.29541083163008003</v>
      </c>
      <c r="H148" s="15">
        <f t="shared" ca="1" si="25"/>
        <v>0.75217098462005727</v>
      </c>
      <c r="I148" s="14">
        <f ca="1">IF(G148&lt;0.05,1,0)*$B$1*$B$2</f>
        <v>0</v>
      </c>
      <c r="J148" s="14">
        <f ca="1">IF(H148&lt;0.05,1,0)*$B$1*$B$2</f>
        <v>0</v>
      </c>
      <c r="K148" s="15">
        <f t="shared" ca="1" si="26"/>
        <v>0</v>
      </c>
      <c r="P148" s="3">
        <v>144</v>
      </c>
      <c r="Q148" s="4">
        <f t="shared" ca="1" si="27"/>
        <v>0.29541083163008003</v>
      </c>
      <c r="R148" s="4">
        <f t="shared" ca="1" si="28"/>
        <v>0.75217098462005727</v>
      </c>
      <c r="S148" s="4">
        <f ca="1">$B$1*Q148*$B$2</f>
        <v>11.816433265203202</v>
      </c>
      <c r="T148" s="4">
        <f ca="1">$B$1*R148*$B$2</f>
        <v>30.086839384802289</v>
      </c>
      <c r="U148" s="7">
        <f t="shared" ca="1" si="29"/>
        <v>41.903272650005491</v>
      </c>
    </row>
    <row r="149" spans="2:21" x14ac:dyDescent="0.3">
      <c r="B149" s="13">
        <f t="shared" ca="1" si="20"/>
        <v>0.92448322928943694</v>
      </c>
      <c r="C149" s="14">
        <f t="shared" ca="1" si="20"/>
        <v>0.7077980476813911</v>
      </c>
      <c r="D149" s="14">
        <f t="shared" ca="1" si="21"/>
        <v>1.4358903620288654</v>
      </c>
      <c r="E149" s="14">
        <f t="shared" ca="1" si="22"/>
        <v>0.54696336007326551</v>
      </c>
      <c r="F149" s="14">
        <f t="shared" ca="1" si="23"/>
        <v>1.5307171270638604</v>
      </c>
      <c r="G149" s="14">
        <f t="shared" ca="1" si="24"/>
        <v>0.92448322928943694</v>
      </c>
      <c r="H149" s="15">
        <f t="shared" ca="1" si="25"/>
        <v>0.70779804768139121</v>
      </c>
      <c r="I149" s="14">
        <f ca="1">IF(G149&lt;0.05,1,0)*$B$1*$B$2</f>
        <v>0</v>
      </c>
      <c r="J149" s="14">
        <f ca="1">IF(H149&lt;0.05,1,0)*$B$1*$B$2</f>
        <v>0</v>
      </c>
      <c r="K149" s="15">
        <f t="shared" ca="1" si="26"/>
        <v>0</v>
      </c>
      <c r="P149" s="3">
        <v>145</v>
      </c>
      <c r="Q149" s="4">
        <f t="shared" ca="1" si="27"/>
        <v>0.92448322928943694</v>
      </c>
      <c r="R149" s="4">
        <f t="shared" ca="1" si="28"/>
        <v>0.70779804768139121</v>
      </c>
      <c r="S149" s="4">
        <f ca="1">$B$1*Q149*$B$2</f>
        <v>36.979329171577483</v>
      </c>
      <c r="T149" s="4">
        <f ca="1">$B$1*R149*$B$2</f>
        <v>28.311921907255648</v>
      </c>
      <c r="U149" s="7">
        <f t="shared" ca="1" si="29"/>
        <v>65.291251078833128</v>
      </c>
    </row>
    <row r="150" spans="2:21" x14ac:dyDescent="0.3">
      <c r="B150" s="13">
        <f t="shared" ca="1" si="20"/>
        <v>0.75342881982218257</v>
      </c>
      <c r="C150" s="14">
        <f t="shared" ca="1" si="20"/>
        <v>0.40016306864789641</v>
      </c>
      <c r="D150" s="14">
        <f t="shared" ca="1" si="21"/>
        <v>0.6853194508553927</v>
      </c>
      <c r="E150" s="14">
        <f t="shared" ca="1" si="22"/>
        <v>-0.25292504260539378</v>
      </c>
      <c r="F150" s="14">
        <f t="shared" ca="1" si="23"/>
        <v>0.50654003566909034</v>
      </c>
      <c r="G150" s="14">
        <f t="shared" ca="1" si="24"/>
        <v>0.75342881982218257</v>
      </c>
      <c r="H150" s="15">
        <f t="shared" ca="1" si="25"/>
        <v>0.40016306864789636</v>
      </c>
      <c r="I150" s="14">
        <f ca="1">IF(G150&lt;0.05,1,0)*$B$1*$B$2</f>
        <v>0</v>
      </c>
      <c r="J150" s="14">
        <f ca="1">IF(H150&lt;0.05,1,0)*$B$1*$B$2</f>
        <v>0</v>
      </c>
      <c r="K150" s="15">
        <f t="shared" ca="1" si="26"/>
        <v>0</v>
      </c>
      <c r="P150" s="3">
        <v>146</v>
      </c>
      <c r="Q150" s="4">
        <f t="shared" ca="1" si="27"/>
        <v>0.75342881982218257</v>
      </c>
      <c r="R150" s="4">
        <f t="shared" ca="1" si="28"/>
        <v>0.40016306864789636</v>
      </c>
      <c r="S150" s="4">
        <f ca="1">$B$1*Q150*$B$2</f>
        <v>30.137152792887306</v>
      </c>
      <c r="T150" s="4">
        <f ca="1">$B$1*R150*$B$2</f>
        <v>16.006522745915856</v>
      </c>
      <c r="U150" s="7">
        <f t="shared" ca="1" si="29"/>
        <v>46.143675538803166</v>
      </c>
    </row>
    <row r="151" spans="2:21" x14ac:dyDescent="0.3">
      <c r="B151" s="13">
        <f t="shared" ca="1" si="20"/>
        <v>0.74795249654832352</v>
      </c>
      <c r="C151" s="14">
        <f t="shared" ca="1" si="20"/>
        <v>0.52658701719198664</v>
      </c>
      <c r="D151" s="14">
        <f t="shared" ca="1" si="21"/>
        <v>0.66806044914122642</v>
      </c>
      <c r="E151" s="14">
        <f t="shared" ca="1" si="22"/>
        <v>6.6693177714592183E-2</v>
      </c>
      <c r="F151" s="14">
        <f t="shared" ca="1" si="23"/>
        <v>0.63032528641525432</v>
      </c>
      <c r="G151" s="14">
        <f t="shared" ca="1" si="24"/>
        <v>0.74795249654832363</v>
      </c>
      <c r="H151" s="15">
        <f t="shared" ca="1" si="25"/>
        <v>0.52658701719198664</v>
      </c>
      <c r="I151" s="14">
        <f ca="1">IF(G151&lt;0.05,1,0)*$B$1*$B$2</f>
        <v>0</v>
      </c>
      <c r="J151" s="14">
        <f ca="1">IF(H151&lt;0.05,1,0)*$B$1*$B$2</f>
        <v>0</v>
      </c>
      <c r="K151" s="15">
        <f t="shared" ca="1" si="26"/>
        <v>0</v>
      </c>
      <c r="P151" s="3">
        <v>147</v>
      </c>
      <c r="Q151" s="4">
        <f t="shared" ca="1" si="27"/>
        <v>0.74795249654832363</v>
      </c>
      <c r="R151" s="4">
        <f t="shared" ca="1" si="28"/>
        <v>0.52658701719198664</v>
      </c>
      <c r="S151" s="4">
        <f ca="1">$B$1*Q151*$B$2</f>
        <v>29.918099861932944</v>
      </c>
      <c r="T151" s="4">
        <f ca="1">$B$1*R151*$B$2</f>
        <v>21.063480687679466</v>
      </c>
      <c r="U151" s="7">
        <f t="shared" ca="1" si="29"/>
        <v>50.98158054961241</v>
      </c>
    </row>
    <row r="152" spans="2:21" x14ac:dyDescent="0.3">
      <c r="B152" s="13">
        <f t="shared" ca="1" si="20"/>
        <v>0.56366120351712923</v>
      </c>
      <c r="C152" s="14">
        <f t="shared" ca="1" si="20"/>
        <v>0.76062305836921573</v>
      </c>
      <c r="D152" s="14">
        <f t="shared" ca="1" si="21"/>
        <v>0.16025831658308493</v>
      </c>
      <c r="E152" s="14">
        <f t="shared" ca="1" si="22"/>
        <v>0.70830820441244402</v>
      </c>
      <c r="F152" s="14">
        <f t="shared" ca="1" si="23"/>
        <v>0.45297687331623571</v>
      </c>
      <c r="G152" s="14">
        <f t="shared" ca="1" si="24"/>
        <v>0.56366120351712923</v>
      </c>
      <c r="H152" s="15">
        <f t="shared" ca="1" si="25"/>
        <v>0.76062305836921573</v>
      </c>
      <c r="I152" s="14">
        <f ca="1">IF(G152&lt;0.05,1,0)*$B$1*$B$2</f>
        <v>0</v>
      </c>
      <c r="J152" s="14">
        <f ca="1">IF(H152&lt;0.05,1,0)*$B$1*$B$2</f>
        <v>0</v>
      </c>
      <c r="K152" s="15">
        <f t="shared" ca="1" si="26"/>
        <v>0</v>
      </c>
      <c r="P152" s="3">
        <v>148</v>
      </c>
      <c r="Q152" s="4">
        <f t="shared" ca="1" si="27"/>
        <v>0.56366120351712923</v>
      </c>
      <c r="R152" s="4">
        <f t="shared" ca="1" si="28"/>
        <v>0.76062305836921573</v>
      </c>
      <c r="S152" s="4">
        <f ca="1">$B$1*Q152*$B$2</f>
        <v>22.546448140685172</v>
      </c>
      <c r="T152" s="4">
        <f ca="1">$B$1*R152*$B$2</f>
        <v>30.424922334768628</v>
      </c>
      <c r="U152" s="7">
        <f t="shared" ca="1" si="29"/>
        <v>52.971370475453796</v>
      </c>
    </row>
    <row r="153" spans="2:21" x14ac:dyDescent="0.3">
      <c r="B153" s="13">
        <f t="shared" ca="1" si="20"/>
        <v>0.78041242258808186</v>
      </c>
      <c r="C153" s="14">
        <f t="shared" ca="1" si="20"/>
        <v>0.91543079227960211</v>
      </c>
      <c r="D153" s="14">
        <f t="shared" ca="1" si="21"/>
        <v>0.77358684342799189</v>
      </c>
      <c r="E153" s="14">
        <f t="shared" ca="1" si="22"/>
        <v>1.3749775158747848</v>
      </c>
      <c r="F153" s="14">
        <f t="shared" ca="1" si="23"/>
        <v>1.2955669632190705</v>
      </c>
      <c r="G153" s="14">
        <f t="shared" ca="1" si="24"/>
        <v>0.78041242258808186</v>
      </c>
      <c r="H153" s="15">
        <f t="shared" ca="1" si="25"/>
        <v>0.91543079227960211</v>
      </c>
      <c r="I153" s="14">
        <f ca="1">IF(G153&lt;0.05,1,0)*$B$1*$B$2</f>
        <v>0</v>
      </c>
      <c r="J153" s="14">
        <f ca="1">IF(H153&lt;0.05,1,0)*$B$1*$B$2</f>
        <v>0</v>
      </c>
      <c r="K153" s="15">
        <f t="shared" ca="1" si="26"/>
        <v>0</v>
      </c>
      <c r="P153" s="3">
        <v>149</v>
      </c>
      <c r="Q153" s="4">
        <f t="shared" ca="1" si="27"/>
        <v>0.78041242258808186</v>
      </c>
      <c r="R153" s="4">
        <f t="shared" ca="1" si="28"/>
        <v>0.91543079227960211</v>
      </c>
      <c r="S153" s="4">
        <f ca="1">$B$1*Q153*$B$2</f>
        <v>31.216496903523275</v>
      </c>
      <c r="T153" s="4">
        <f ca="1">$B$1*R153*$B$2</f>
        <v>36.617231691184081</v>
      </c>
      <c r="U153" s="7">
        <f t="shared" ca="1" si="29"/>
        <v>67.833728594707352</v>
      </c>
    </row>
    <row r="154" spans="2:21" x14ac:dyDescent="0.3">
      <c r="B154" s="13">
        <f t="shared" ca="1" si="20"/>
        <v>0.58390363756465968</v>
      </c>
      <c r="C154" s="14">
        <f t="shared" ca="1" si="20"/>
        <v>0.51208259752861618</v>
      </c>
      <c r="D154" s="14">
        <f t="shared" ca="1" si="21"/>
        <v>0.21189016335214619</v>
      </c>
      <c r="E154" s="14">
        <f t="shared" ca="1" si="22"/>
        <v>3.0291212280433445E-2</v>
      </c>
      <c r="F154" s="14">
        <f t="shared" ca="1" si="23"/>
        <v>0.20390478033770634</v>
      </c>
      <c r="G154" s="14">
        <f t="shared" ca="1" si="24"/>
        <v>0.58390363756465968</v>
      </c>
      <c r="H154" s="15">
        <f t="shared" ca="1" si="25"/>
        <v>0.51208259752861618</v>
      </c>
      <c r="I154" s="14">
        <f ca="1">IF(G154&lt;0.05,1,0)*$B$1*$B$2</f>
        <v>0</v>
      </c>
      <c r="J154" s="14">
        <f ca="1">IF(H154&lt;0.05,1,0)*$B$1*$B$2</f>
        <v>0</v>
      </c>
      <c r="K154" s="15">
        <f t="shared" ca="1" si="26"/>
        <v>0</v>
      </c>
      <c r="P154" s="3">
        <v>150</v>
      </c>
      <c r="Q154" s="4">
        <f t="shared" ca="1" si="27"/>
        <v>0.58390363756465968</v>
      </c>
      <c r="R154" s="4">
        <f t="shared" ca="1" si="28"/>
        <v>0.51208259752861618</v>
      </c>
      <c r="S154" s="4">
        <f ca="1">$B$1*Q154*$B$2</f>
        <v>23.356145502586386</v>
      </c>
      <c r="T154" s="4">
        <f ca="1">$B$1*R154*$B$2</f>
        <v>20.483303901144648</v>
      </c>
      <c r="U154" s="7">
        <f t="shared" ca="1" si="29"/>
        <v>43.839449403731038</v>
      </c>
    </row>
    <row r="155" spans="2:21" x14ac:dyDescent="0.3">
      <c r="B155" s="13">
        <f t="shared" ca="1" si="20"/>
        <v>0.16084991396994885</v>
      </c>
      <c r="C155" s="14">
        <f t="shared" ca="1" si="20"/>
        <v>0.1077379084221286</v>
      </c>
      <c r="D155" s="14">
        <f t="shared" ca="1" si="21"/>
        <v>-0.9909708221190161</v>
      </c>
      <c r="E155" s="14">
        <f t="shared" ca="1" si="22"/>
        <v>-1.2386481807676386</v>
      </c>
      <c r="F155" s="14">
        <f t="shared" ca="1" si="23"/>
        <v>-1.4317879645637781</v>
      </c>
      <c r="G155" s="14">
        <f t="shared" ca="1" si="24"/>
        <v>0.1608499139699493</v>
      </c>
      <c r="H155" s="15">
        <f t="shared" ca="1" si="25"/>
        <v>0.10773790842212858</v>
      </c>
      <c r="I155" s="14">
        <f ca="1">IF(G155&lt;0.05,1,0)*$B$1*$B$2</f>
        <v>0</v>
      </c>
      <c r="J155" s="14">
        <f ca="1">IF(H155&lt;0.05,1,0)*$B$1*$B$2</f>
        <v>0</v>
      </c>
      <c r="K155" s="15">
        <f t="shared" ca="1" si="26"/>
        <v>0</v>
      </c>
      <c r="P155" s="3">
        <v>151</v>
      </c>
      <c r="Q155" s="4">
        <f t="shared" ca="1" si="27"/>
        <v>0.1608499139699493</v>
      </c>
      <c r="R155" s="4">
        <f t="shared" ca="1" si="28"/>
        <v>0.10773790842212858</v>
      </c>
      <c r="S155" s="4">
        <f ca="1">$B$1*Q155*$B$2</f>
        <v>6.4339965587979719</v>
      </c>
      <c r="T155" s="4">
        <f ca="1">$B$1*R155*$B$2</f>
        <v>4.3095163368851432</v>
      </c>
      <c r="U155" s="7">
        <f t="shared" ca="1" si="29"/>
        <v>10.743512895683114</v>
      </c>
    </row>
    <row r="156" spans="2:21" x14ac:dyDescent="0.3">
      <c r="B156" s="13">
        <f t="shared" ca="1" si="20"/>
        <v>0.29489804288893262</v>
      </c>
      <c r="C156" s="14">
        <f t="shared" ca="1" si="20"/>
        <v>5.7092786750707947E-2</v>
      </c>
      <c r="D156" s="14">
        <f t="shared" ca="1" si="21"/>
        <v>-0.53913155205986008</v>
      </c>
      <c r="E156" s="14">
        <f t="shared" ca="1" si="22"/>
        <v>-1.5796564088788732</v>
      </c>
      <c r="F156" s="14">
        <f t="shared" ca="1" si="23"/>
        <v>-1.1737746620358114</v>
      </c>
      <c r="G156" s="14">
        <f t="shared" ca="1" si="24"/>
        <v>0.29489804288893262</v>
      </c>
      <c r="H156" s="15">
        <f t="shared" ca="1" si="25"/>
        <v>5.7092786750707919E-2</v>
      </c>
      <c r="I156" s="14">
        <f ca="1">IF(G156&lt;0.05,1,0)*$B$1*$B$2</f>
        <v>0</v>
      </c>
      <c r="J156" s="14">
        <f ca="1">IF(H156&lt;0.05,1,0)*$B$1*$B$2</f>
        <v>0</v>
      </c>
      <c r="K156" s="15">
        <f t="shared" ca="1" si="26"/>
        <v>0</v>
      </c>
      <c r="P156" s="3">
        <v>152</v>
      </c>
      <c r="Q156" s="4">
        <f t="shared" ca="1" si="27"/>
        <v>0.29489804288893262</v>
      </c>
      <c r="R156" s="4">
        <f t="shared" ca="1" si="28"/>
        <v>5.7092786750707919E-2</v>
      </c>
      <c r="S156" s="4">
        <f ca="1">$B$1*Q156*$B$2</f>
        <v>11.795921715557306</v>
      </c>
      <c r="T156" s="4">
        <f ca="1">$B$1*R156*$B$2</f>
        <v>2.2837114700283165</v>
      </c>
      <c r="U156" s="7">
        <f t="shared" ca="1" si="29"/>
        <v>14.079633185585623</v>
      </c>
    </row>
    <row r="157" spans="2:21" x14ac:dyDescent="0.3">
      <c r="B157" s="13">
        <f t="shared" ca="1" si="20"/>
        <v>0.34211863057806458</v>
      </c>
      <c r="C157" s="14">
        <f t="shared" ca="1" si="20"/>
        <v>0.15291974808778486</v>
      </c>
      <c r="D157" s="14">
        <f t="shared" ca="1" si="21"/>
        <v>-0.4066878556901945</v>
      </c>
      <c r="E157" s="14">
        <f t="shared" ca="1" si="22"/>
        <v>-1.0239910629088429</v>
      </c>
      <c r="F157" s="14">
        <f t="shared" ca="1" si="23"/>
        <v>-0.81236642635201961</v>
      </c>
      <c r="G157" s="14">
        <f t="shared" ca="1" si="24"/>
        <v>0.34211863057806452</v>
      </c>
      <c r="H157" s="15">
        <f t="shared" ca="1" si="25"/>
        <v>0.15291974808778458</v>
      </c>
      <c r="I157" s="14">
        <f ca="1">IF(G157&lt;0.05,1,0)*$B$1*$B$2</f>
        <v>0</v>
      </c>
      <c r="J157" s="14">
        <f ca="1">IF(H157&lt;0.05,1,0)*$B$1*$B$2</f>
        <v>0</v>
      </c>
      <c r="K157" s="15">
        <f t="shared" ca="1" si="26"/>
        <v>0</v>
      </c>
      <c r="P157" s="3">
        <v>153</v>
      </c>
      <c r="Q157" s="4">
        <f t="shared" ca="1" si="27"/>
        <v>0.34211863057806452</v>
      </c>
      <c r="R157" s="4">
        <f t="shared" ca="1" si="28"/>
        <v>0.15291974808778458</v>
      </c>
      <c r="S157" s="4">
        <f ca="1">$B$1*Q157*$B$2</f>
        <v>13.684745223122583</v>
      </c>
      <c r="T157" s="4">
        <f ca="1">$B$1*R157*$B$2</f>
        <v>6.1167899235113836</v>
      </c>
      <c r="U157" s="7">
        <f t="shared" ca="1" si="29"/>
        <v>19.801535146633967</v>
      </c>
    </row>
    <row r="158" spans="2:21" x14ac:dyDescent="0.3">
      <c r="B158" s="13">
        <f t="shared" ca="1" si="20"/>
        <v>0.50605650402042412</v>
      </c>
      <c r="C158" s="14">
        <f t="shared" ca="1" si="20"/>
        <v>0.78978913462887812</v>
      </c>
      <c r="D158" s="14">
        <f t="shared" ca="1" si="21"/>
        <v>1.5181987425833331E-2</v>
      </c>
      <c r="E158" s="14">
        <f t="shared" ca="1" si="22"/>
        <v>0.80568980264422196</v>
      </c>
      <c r="F158" s="14">
        <f t="shared" ca="1" si="23"/>
        <v>0.36485583163998925</v>
      </c>
      <c r="G158" s="14">
        <f t="shared" ca="1" si="24"/>
        <v>0.50605650402042412</v>
      </c>
      <c r="H158" s="15">
        <f t="shared" ca="1" si="25"/>
        <v>0.78978913462887812</v>
      </c>
      <c r="I158" s="14">
        <f ca="1">IF(G158&lt;0.05,1,0)*$B$1*$B$2</f>
        <v>0</v>
      </c>
      <c r="J158" s="14">
        <f ca="1">IF(H158&lt;0.05,1,0)*$B$1*$B$2</f>
        <v>0</v>
      </c>
      <c r="K158" s="15">
        <f t="shared" ca="1" si="26"/>
        <v>0</v>
      </c>
      <c r="P158" s="3">
        <v>154</v>
      </c>
      <c r="Q158" s="4">
        <f t="shared" ca="1" si="27"/>
        <v>0.50605650402042412</v>
      </c>
      <c r="R158" s="4">
        <f t="shared" ca="1" si="28"/>
        <v>0.78978913462887812</v>
      </c>
      <c r="S158" s="4">
        <f ca="1">$B$1*Q158*$B$2</f>
        <v>20.242260160816969</v>
      </c>
      <c r="T158" s="4">
        <f ca="1">$B$1*R158*$B$2</f>
        <v>31.591565385155128</v>
      </c>
      <c r="U158" s="7">
        <f t="shared" ca="1" si="29"/>
        <v>51.833825545972097</v>
      </c>
    </row>
    <row r="159" spans="2:21" x14ac:dyDescent="0.3">
      <c r="B159" s="13">
        <f t="shared" ca="1" si="20"/>
        <v>0.42149629305981673</v>
      </c>
      <c r="C159" s="14">
        <f t="shared" ca="1" si="20"/>
        <v>0.57569230105270897</v>
      </c>
      <c r="D159" s="14">
        <f t="shared" ca="1" si="21"/>
        <v>-0.19806707333761941</v>
      </c>
      <c r="E159" s="14">
        <f t="shared" ca="1" si="22"/>
        <v>0.19088537583583692</v>
      </c>
      <c r="F159" s="14">
        <f t="shared" ca="1" si="23"/>
        <v>-9.5055359697038086E-2</v>
      </c>
      <c r="G159" s="14">
        <f t="shared" ca="1" si="24"/>
        <v>0.42149629305981673</v>
      </c>
      <c r="H159" s="15">
        <f t="shared" ca="1" si="25"/>
        <v>0.57569230105270897</v>
      </c>
      <c r="I159" s="14">
        <f ca="1">IF(G159&lt;0.05,1,0)*$B$1*$B$2</f>
        <v>0</v>
      </c>
      <c r="J159" s="14">
        <f ca="1">IF(H159&lt;0.05,1,0)*$B$1*$B$2</f>
        <v>0</v>
      </c>
      <c r="K159" s="15">
        <f t="shared" ca="1" si="26"/>
        <v>0</v>
      </c>
      <c r="P159" s="3">
        <v>155</v>
      </c>
      <c r="Q159" s="4">
        <f t="shared" ca="1" si="27"/>
        <v>0.42149629305981673</v>
      </c>
      <c r="R159" s="4">
        <f t="shared" ca="1" si="28"/>
        <v>0.57569230105270897</v>
      </c>
      <c r="S159" s="4">
        <f ca="1">$B$1*Q159*$B$2</f>
        <v>16.859851722392673</v>
      </c>
      <c r="T159" s="4">
        <f ca="1">$B$1*R159*$B$2</f>
        <v>23.02769204210836</v>
      </c>
      <c r="U159" s="7">
        <f t="shared" ca="1" si="29"/>
        <v>39.887543764501032</v>
      </c>
    </row>
    <row r="160" spans="2:21" x14ac:dyDescent="0.3">
      <c r="B160" s="13">
        <f t="shared" ca="1" si="20"/>
        <v>0.3457350199615884</v>
      </c>
      <c r="C160" s="14">
        <f t="shared" ca="1" si="20"/>
        <v>0.67069549667004502</v>
      </c>
      <c r="D160" s="14">
        <f t="shared" ca="1" si="21"/>
        <v>-0.39686089840542649</v>
      </c>
      <c r="E160" s="14">
        <f t="shared" ca="1" si="22"/>
        <v>0.44183445110759534</v>
      </c>
      <c r="F160" s="14">
        <f t="shared" ca="1" si="23"/>
        <v>-0.16458363634960685</v>
      </c>
      <c r="G160" s="14">
        <f t="shared" ca="1" si="24"/>
        <v>0.3457350199615884</v>
      </c>
      <c r="H160" s="15">
        <f t="shared" ca="1" si="25"/>
        <v>0.67069549667004502</v>
      </c>
      <c r="I160" s="14">
        <f ca="1">IF(G160&lt;0.05,1,0)*$B$1*$B$2</f>
        <v>0</v>
      </c>
      <c r="J160" s="14">
        <f ca="1">IF(H160&lt;0.05,1,0)*$B$1*$B$2</f>
        <v>0</v>
      </c>
      <c r="K160" s="15">
        <f t="shared" ca="1" si="26"/>
        <v>0</v>
      </c>
      <c r="P160" s="3">
        <v>156</v>
      </c>
      <c r="Q160" s="4">
        <f t="shared" ca="1" si="27"/>
        <v>0.3457350199615884</v>
      </c>
      <c r="R160" s="4">
        <f t="shared" ca="1" si="28"/>
        <v>0.67069549667004502</v>
      </c>
      <c r="S160" s="4">
        <f ca="1">$B$1*Q160*$B$2</f>
        <v>13.829400798463537</v>
      </c>
      <c r="T160" s="4">
        <f ca="1">$B$1*R160*$B$2</f>
        <v>26.827819866801804</v>
      </c>
      <c r="U160" s="7">
        <f t="shared" ca="1" si="29"/>
        <v>40.657220665265342</v>
      </c>
    </row>
    <row r="161" spans="2:21" x14ac:dyDescent="0.3">
      <c r="B161" s="13">
        <f t="shared" ca="1" si="20"/>
        <v>0.10093309383518134</v>
      </c>
      <c r="C161" s="14">
        <f t="shared" ca="1" si="20"/>
        <v>0.81474502158026463</v>
      </c>
      <c r="D161" s="14">
        <f t="shared" ca="1" si="21"/>
        <v>-1.276252748250958</v>
      </c>
      <c r="E161" s="14">
        <f t="shared" ca="1" si="22"/>
        <v>0.89551854496822281</v>
      </c>
      <c r="F161" s="14">
        <f t="shared" ca="1" si="23"/>
        <v>-0.75827998946755559</v>
      </c>
      <c r="G161" s="14">
        <f t="shared" ca="1" si="24"/>
        <v>0.10093309383518129</v>
      </c>
      <c r="H161" s="15">
        <f t="shared" ca="1" si="25"/>
        <v>0.81474502158026485</v>
      </c>
      <c r="I161" s="14">
        <f ca="1">IF(G161&lt;0.05,1,0)*$B$1*$B$2</f>
        <v>0</v>
      </c>
      <c r="J161" s="14">
        <f ca="1">IF(H161&lt;0.05,1,0)*$B$1*$B$2</f>
        <v>0</v>
      </c>
      <c r="K161" s="15">
        <f t="shared" ca="1" si="26"/>
        <v>0</v>
      </c>
      <c r="P161" s="3">
        <v>157</v>
      </c>
      <c r="Q161" s="4">
        <f t="shared" ca="1" si="27"/>
        <v>0.10093309383518129</v>
      </c>
      <c r="R161" s="4">
        <f t="shared" ca="1" si="28"/>
        <v>0.81474502158026485</v>
      </c>
      <c r="S161" s="4">
        <f ca="1">$B$1*Q161*$B$2</f>
        <v>4.0373237534072519</v>
      </c>
      <c r="T161" s="4">
        <f ca="1">$B$1*R161*$B$2</f>
        <v>32.589800863210591</v>
      </c>
      <c r="U161" s="7">
        <f t="shared" ca="1" si="29"/>
        <v>36.627124616617841</v>
      </c>
    </row>
    <row r="162" spans="2:21" x14ac:dyDescent="0.3">
      <c r="B162" s="13">
        <f t="shared" ca="1" si="20"/>
        <v>0.31657117600054385</v>
      </c>
      <c r="C162" s="14">
        <f t="shared" ca="1" si="20"/>
        <v>0.10240589251401944</v>
      </c>
      <c r="D162" s="14">
        <f t="shared" ca="1" si="21"/>
        <v>-0.47730865044009946</v>
      </c>
      <c r="E162" s="14">
        <f t="shared" ca="1" si="22"/>
        <v>-1.2679612612009317</v>
      </c>
      <c r="F162" s="14">
        <f t="shared" ca="1" si="23"/>
        <v>-0.98226928558601356</v>
      </c>
      <c r="G162" s="14">
        <f t="shared" ca="1" si="24"/>
        <v>0.31657117600054374</v>
      </c>
      <c r="H162" s="15">
        <f t="shared" ca="1" si="25"/>
        <v>0.10240589251401931</v>
      </c>
      <c r="I162" s="14">
        <f ca="1">IF(G162&lt;0.05,1,0)*$B$1*$B$2</f>
        <v>0</v>
      </c>
      <c r="J162" s="14">
        <f ca="1">IF(H162&lt;0.05,1,0)*$B$1*$B$2</f>
        <v>0</v>
      </c>
      <c r="K162" s="15">
        <f t="shared" ca="1" si="26"/>
        <v>0</v>
      </c>
      <c r="P162" s="3">
        <v>158</v>
      </c>
      <c r="Q162" s="4">
        <f t="shared" ca="1" si="27"/>
        <v>0.31657117600054374</v>
      </c>
      <c r="R162" s="4">
        <f t="shared" ca="1" si="28"/>
        <v>0.10240589251401931</v>
      </c>
      <c r="S162" s="4">
        <f ca="1">$B$1*Q162*$B$2</f>
        <v>12.662847040021751</v>
      </c>
      <c r="T162" s="4">
        <f ca="1">$B$1*R162*$B$2</f>
        <v>4.0962357005607721</v>
      </c>
      <c r="U162" s="7">
        <f t="shared" ca="1" si="29"/>
        <v>16.759082740582521</v>
      </c>
    </row>
    <row r="163" spans="2:21" x14ac:dyDescent="0.3">
      <c r="B163" s="13">
        <f t="shared" ca="1" si="20"/>
        <v>0.23877035025601845</v>
      </c>
      <c r="C163" s="14">
        <f t="shared" ca="1" si="20"/>
        <v>0.71853598378120542</v>
      </c>
      <c r="D163" s="14">
        <f t="shared" ca="1" si="21"/>
        <v>-0.71026357932809348</v>
      </c>
      <c r="E163" s="14">
        <f t="shared" ca="1" si="22"/>
        <v>0.57849787384462992</v>
      </c>
      <c r="F163" s="14">
        <f t="shared" ca="1" si="23"/>
        <v>-0.38707584428109587</v>
      </c>
      <c r="G163" s="14">
        <f t="shared" ca="1" si="24"/>
        <v>0.23877035025601837</v>
      </c>
      <c r="H163" s="15">
        <f t="shared" ca="1" si="25"/>
        <v>0.71853598378120542</v>
      </c>
      <c r="I163" s="14">
        <f ca="1">IF(G163&lt;0.05,1,0)*$B$1*$B$2</f>
        <v>0</v>
      </c>
      <c r="J163" s="14">
        <f ca="1">IF(H163&lt;0.05,1,0)*$B$1*$B$2</f>
        <v>0</v>
      </c>
      <c r="K163" s="15">
        <f t="shared" ca="1" si="26"/>
        <v>0</v>
      </c>
      <c r="P163" s="3">
        <v>159</v>
      </c>
      <c r="Q163" s="4">
        <f t="shared" ca="1" si="27"/>
        <v>0.23877035025601837</v>
      </c>
      <c r="R163" s="4">
        <f t="shared" ca="1" si="28"/>
        <v>0.71853598378120542</v>
      </c>
      <c r="S163" s="4">
        <f ca="1">$B$1*Q163*$B$2</f>
        <v>9.5508140102407353</v>
      </c>
      <c r="T163" s="4">
        <f ca="1">$B$1*R163*$B$2</f>
        <v>28.741439351248218</v>
      </c>
      <c r="U163" s="7">
        <f t="shared" ca="1" si="29"/>
        <v>38.292253361488953</v>
      </c>
    </row>
    <row r="164" spans="2:21" x14ac:dyDescent="0.3">
      <c r="B164" s="13">
        <f t="shared" ca="1" si="20"/>
        <v>0.90308984226843714</v>
      </c>
      <c r="C164" s="14">
        <f t="shared" ca="1" si="20"/>
        <v>0.32955426120188758</v>
      </c>
      <c r="D164" s="14">
        <f t="shared" ca="1" si="21"/>
        <v>1.2993602820999828</v>
      </c>
      <c r="E164" s="14">
        <f t="shared" ca="1" si="22"/>
        <v>-0.44114431631960382</v>
      </c>
      <c r="F164" s="14">
        <f t="shared" ca="1" si="23"/>
        <v>0.9771339044545353</v>
      </c>
      <c r="G164" s="14">
        <f t="shared" ca="1" si="24"/>
        <v>0.90308984226843725</v>
      </c>
      <c r="H164" s="15">
        <f t="shared" ca="1" si="25"/>
        <v>0.32955426120188752</v>
      </c>
      <c r="I164" s="14">
        <f ca="1">IF(G164&lt;0.05,1,0)*$B$1*$B$2</f>
        <v>0</v>
      </c>
      <c r="J164" s="14">
        <f ca="1">IF(H164&lt;0.05,1,0)*$B$1*$B$2</f>
        <v>0</v>
      </c>
      <c r="K164" s="15">
        <f t="shared" ca="1" si="26"/>
        <v>0</v>
      </c>
      <c r="P164" s="3">
        <v>160</v>
      </c>
      <c r="Q164" s="4">
        <f t="shared" ca="1" si="27"/>
        <v>0.90308984226843725</v>
      </c>
      <c r="R164" s="4">
        <f t="shared" ca="1" si="28"/>
        <v>0.32955426120188752</v>
      </c>
      <c r="S164" s="4">
        <f ca="1">$B$1*Q164*$B$2</f>
        <v>36.123593690737486</v>
      </c>
      <c r="T164" s="4">
        <f ca="1">$B$1*R164*$B$2</f>
        <v>13.182170448075503</v>
      </c>
      <c r="U164" s="7">
        <f t="shared" ca="1" si="29"/>
        <v>49.305764138812989</v>
      </c>
    </row>
    <row r="165" spans="2:21" x14ac:dyDescent="0.3">
      <c r="B165" s="13">
        <f t="shared" ca="1" si="20"/>
        <v>0.5335629652791487</v>
      </c>
      <c r="C165" s="14">
        <f t="shared" ca="1" si="20"/>
        <v>0.74449933370806887</v>
      </c>
      <c r="D165" s="14">
        <f t="shared" ca="1" si="21"/>
        <v>8.4229367269714361E-2</v>
      </c>
      <c r="E165" s="14">
        <f t="shared" ca="1" si="22"/>
        <v>0.65727931774670301</v>
      </c>
      <c r="F165" s="14">
        <f t="shared" ca="1" si="23"/>
        <v>0.36230784291646673</v>
      </c>
      <c r="G165" s="14">
        <f t="shared" ca="1" si="24"/>
        <v>0.5335629652791487</v>
      </c>
      <c r="H165" s="15">
        <f t="shared" ca="1" si="25"/>
        <v>0.74449933370806887</v>
      </c>
      <c r="I165" s="14">
        <f ca="1">IF(G165&lt;0.05,1,0)*$B$1*$B$2</f>
        <v>0</v>
      </c>
      <c r="J165" s="14">
        <f ca="1">IF(H165&lt;0.05,1,0)*$B$1*$B$2</f>
        <v>0</v>
      </c>
      <c r="K165" s="15">
        <f t="shared" ca="1" si="26"/>
        <v>0</v>
      </c>
      <c r="P165" s="3">
        <v>161</v>
      </c>
      <c r="Q165" s="4">
        <f t="shared" ca="1" si="27"/>
        <v>0.5335629652791487</v>
      </c>
      <c r="R165" s="4">
        <f t="shared" ca="1" si="28"/>
        <v>0.74449933370806887</v>
      </c>
      <c r="S165" s="4">
        <f ca="1">$B$1*Q165*$B$2</f>
        <v>21.34251861116595</v>
      </c>
      <c r="T165" s="4">
        <f ca="1">$B$1*R165*$B$2</f>
        <v>29.779973348322756</v>
      </c>
      <c r="U165" s="7">
        <f t="shared" ca="1" si="29"/>
        <v>51.122491959488706</v>
      </c>
    </row>
    <row r="166" spans="2:21" x14ac:dyDescent="0.3">
      <c r="B166" s="13">
        <f t="shared" ca="1" si="20"/>
        <v>3.5379746427827929E-2</v>
      </c>
      <c r="C166" s="14">
        <f t="shared" ca="1" si="20"/>
        <v>0.81762199887034248</v>
      </c>
      <c r="D166" s="14">
        <f t="shared" ca="1" si="21"/>
        <v>-1.8070178707051012</v>
      </c>
      <c r="E166" s="14">
        <f t="shared" ca="1" si="22"/>
        <v>0.90633984427355185</v>
      </c>
      <c r="F166" s="14">
        <f t="shared" ca="1" si="23"/>
        <v>-1.2312517046653109</v>
      </c>
      <c r="G166" s="14">
        <f t="shared" ca="1" si="24"/>
        <v>3.5379746427827943E-2</v>
      </c>
      <c r="H166" s="15">
        <f t="shared" ca="1" si="25"/>
        <v>0.81762199887034226</v>
      </c>
      <c r="I166" s="14">
        <f ca="1">IF(G166&lt;0.05,1,0)*$B$1*$B$2</f>
        <v>40</v>
      </c>
      <c r="J166" s="14">
        <f ca="1">IF(H166&lt;0.05,1,0)*$B$1*$B$2</f>
        <v>0</v>
      </c>
      <c r="K166" s="15">
        <f t="shared" ca="1" si="26"/>
        <v>40</v>
      </c>
      <c r="P166" s="3">
        <v>162</v>
      </c>
      <c r="Q166" s="4">
        <f t="shared" ca="1" si="27"/>
        <v>3.5379746427827943E-2</v>
      </c>
      <c r="R166" s="4">
        <f t="shared" ca="1" si="28"/>
        <v>0.81762199887034226</v>
      </c>
      <c r="S166" s="4">
        <f ca="1">$B$1*Q166*$B$2</f>
        <v>1.4151898571131178</v>
      </c>
      <c r="T166" s="4">
        <f ca="1">$B$1*R166*$B$2</f>
        <v>32.704879954813691</v>
      </c>
      <c r="U166" s="7">
        <f t="shared" ca="1" si="29"/>
        <v>34.120069811926811</v>
      </c>
    </row>
    <row r="167" spans="2:21" x14ac:dyDescent="0.3">
      <c r="B167" s="13">
        <f t="shared" ca="1" si="20"/>
        <v>0.87606045755694284</v>
      </c>
      <c r="C167" s="14">
        <f t="shared" ca="1" si="20"/>
        <v>0.24460283012102135</v>
      </c>
      <c r="D167" s="14">
        <f t="shared" ca="1" si="21"/>
        <v>1.1555162430612054</v>
      </c>
      <c r="E167" s="14">
        <f t="shared" ca="1" si="22"/>
        <v>-0.69157278055999527</v>
      </c>
      <c r="F167" s="14">
        <f t="shared" ca="1" si="23"/>
        <v>0.73851503249863992</v>
      </c>
      <c r="G167" s="14">
        <f t="shared" ca="1" si="24"/>
        <v>0.87606045755694284</v>
      </c>
      <c r="H167" s="15">
        <f t="shared" ca="1" si="25"/>
        <v>0.24460283012102135</v>
      </c>
      <c r="I167" s="14">
        <f ca="1">IF(G167&lt;0.05,1,0)*$B$1*$B$2</f>
        <v>0</v>
      </c>
      <c r="J167" s="14">
        <f ca="1">IF(H167&lt;0.05,1,0)*$B$1*$B$2</f>
        <v>0</v>
      </c>
      <c r="K167" s="15">
        <f t="shared" ca="1" si="26"/>
        <v>0</v>
      </c>
      <c r="P167" s="3">
        <v>163</v>
      </c>
      <c r="Q167" s="4">
        <f t="shared" ca="1" si="27"/>
        <v>0.87606045755694284</v>
      </c>
      <c r="R167" s="4">
        <f t="shared" ca="1" si="28"/>
        <v>0.24460283012102135</v>
      </c>
      <c r="S167" s="4">
        <f ca="1">$B$1*Q167*$B$2</f>
        <v>35.042418302277717</v>
      </c>
      <c r="T167" s="4">
        <f ca="1">$B$1*R167*$B$2</f>
        <v>9.784113204840855</v>
      </c>
      <c r="U167" s="7">
        <f t="shared" ca="1" si="29"/>
        <v>44.826531507118574</v>
      </c>
    </row>
    <row r="168" spans="2:21" x14ac:dyDescent="0.3">
      <c r="B168" s="13">
        <f t="shared" ca="1" si="20"/>
        <v>0.61523796816640197</v>
      </c>
      <c r="C168" s="14">
        <f t="shared" ca="1" si="20"/>
        <v>0.39876933568520201</v>
      </c>
      <c r="D168" s="14">
        <f t="shared" ca="1" si="21"/>
        <v>0.29299749859589791</v>
      </c>
      <c r="E168" s="14">
        <f t="shared" ca="1" si="22"/>
        <v>-0.25653381736858311</v>
      </c>
      <c r="F168" s="14">
        <f t="shared" ca="1" si="23"/>
        <v>0.15187725018527087</v>
      </c>
      <c r="G168" s="14">
        <f t="shared" ca="1" si="24"/>
        <v>0.61523796816640197</v>
      </c>
      <c r="H168" s="15">
        <f t="shared" ca="1" si="25"/>
        <v>0.39876933568520195</v>
      </c>
      <c r="I168" s="14">
        <f ca="1">IF(G168&lt;0.05,1,0)*$B$1*$B$2</f>
        <v>0</v>
      </c>
      <c r="J168" s="14">
        <f ca="1">IF(H168&lt;0.05,1,0)*$B$1*$B$2</f>
        <v>0</v>
      </c>
      <c r="K168" s="15">
        <f t="shared" ca="1" si="26"/>
        <v>0</v>
      </c>
      <c r="P168" s="3">
        <v>164</v>
      </c>
      <c r="Q168" s="4">
        <f t="shared" ca="1" si="27"/>
        <v>0.61523796816640197</v>
      </c>
      <c r="R168" s="4">
        <f t="shared" ca="1" si="28"/>
        <v>0.39876933568520195</v>
      </c>
      <c r="S168" s="4">
        <f ca="1">$B$1*Q168*$B$2</f>
        <v>24.609518726656081</v>
      </c>
      <c r="T168" s="4">
        <f ca="1">$B$1*R168*$B$2</f>
        <v>15.950773427408079</v>
      </c>
      <c r="U168" s="7">
        <f t="shared" ca="1" si="29"/>
        <v>40.560292154064157</v>
      </c>
    </row>
    <row r="169" spans="2:21" x14ac:dyDescent="0.3">
      <c r="B169" s="13">
        <f t="shared" ca="1" si="20"/>
        <v>0.89612801932254971</v>
      </c>
      <c r="C169" s="14">
        <f t="shared" ca="1" si="20"/>
        <v>0.95072223918958887</v>
      </c>
      <c r="D169" s="14">
        <f t="shared" ca="1" si="21"/>
        <v>1.2597932335900399</v>
      </c>
      <c r="E169" s="14">
        <f t="shared" ca="1" si="22"/>
        <v>1.6518971380189957</v>
      </c>
      <c r="F169" s="14">
        <f t="shared" ca="1" si="23"/>
        <v>1.8538591792059222</v>
      </c>
      <c r="G169" s="14">
        <f t="shared" ca="1" si="24"/>
        <v>0.89612801932254949</v>
      </c>
      <c r="H169" s="15">
        <f t="shared" ca="1" si="25"/>
        <v>0.95072223918958887</v>
      </c>
      <c r="I169" s="14">
        <f ca="1">IF(G169&lt;0.05,1,0)*$B$1*$B$2</f>
        <v>0</v>
      </c>
      <c r="J169" s="14">
        <f ca="1">IF(H169&lt;0.05,1,0)*$B$1*$B$2</f>
        <v>0</v>
      </c>
      <c r="K169" s="15">
        <f t="shared" ca="1" si="26"/>
        <v>0</v>
      </c>
      <c r="P169" s="3">
        <v>165</v>
      </c>
      <c r="Q169" s="4">
        <f t="shared" ca="1" si="27"/>
        <v>0.89612801932254949</v>
      </c>
      <c r="R169" s="4">
        <f t="shared" ca="1" si="28"/>
        <v>0.95072223918958887</v>
      </c>
      <c r="S169" s="4">
        <f ca="1">$B$1*Q169*$B$2</f>
        <v>35.845120772901986</v>
      </c>
      <c r="T169" s="4">
        <f ca="1">$B$1*R169*$B$2</f>
        <v>38.028889567583555</v>
      </c>
      <c r="U169" s="7">
        <f t="shared" ca="1" si="29"/>
        <v>73.87401034048554</v>
      </c>
    </row>
    <row r="170" spans="2:21" x14ac:dyDescent="0.3">
      <c r="B170" s="13">
        <f t="shared" ca="1" si="20"/>
        <v>0.73227673110108504</v>
      </c>
      <c r="C170" s="14">
        <f t="shared" ca="1" si="20"/>
        <v>0.83128432493717574</v>
      </c>
      <c r="D170" s="14">
        <f t="shared" ca="1" si="21"/>
        <v>0.6197133303690272</v>
      </c>
      <c r="E170" s="14">
        <f t="shared" ca="1" si="22"/>
        <v>0.95925291314177386</v>
      </c>
      <c r="F170" s="14">
        <f t="shared" ca="1" si="23"/>
        <v>0.97587064830032355</v>
      </c>
      <c r="G170" s="14">
        <f t="shared" ca="1" si="24"/>
        <v>0.73227673110108504</v>
      </c>
      <c r="H170" s="15">
        <f t="shared" ca="1" si="25"/>
        <v>0.83128432493717574</v>
      </c>
      <c r="I170" s="14">
        <f ca="1">IF(G170&lt;0.05,1,0)*$B$1*$B$2</f>
        <v>0</v>
      </c>
      <c r="J170" s="14">
        <f ca="1">IF(H170&lt;0.05,1,0)*$B$1*$B$2</f>
        <v>0</v>
      </c>
      <c r="K170" s="15">
        <f t="shared" ca="1" si="26"/>
        <v>0</v>
      </c>
      <c r="P170" s="3">
        <v>166</v>
      </c>
      <c r="Q170" s="4">
        <f t="shared" ca="1" si="27"/>
        <v>0.73227673110108504</v>
      </c>
      <c r="R170" s="4">
        <f t="shared" ca="1" si="28"/>
        <v>0.83128432493717574</v>
      </c>
      <c r="S170" s="4">
        <f ca="1">$B$1*Q170*$B$2</f>
        <v>29.291069244043399</v>
      </c>
      <c r="T170" s="4">
        <f ca="1">$B$1*R170*$B$2</f>
        <v>33.251372997487032</v>
      </c>
      <c r="U170" s="7">
        <f t="shared" ca="1" si="29"/>
        <v>62.542442241530431</v>
      </c>
    </row>
    <row r="171" spans="2:21" x14ac:dyDescent="0.3">
      <c r="B171" s="13">
        <f t="shared" ca="1" si="20"/>
        <v>0.67014726695010163</v>
      </c>
      <c r="C171" s="14">
        <f t="shared" ca="1" si="20"/>
        <v>0.36099430633854124</v>
      </c>
      <c r="D171" s="14">
        <f t="shared" ca="1" si="21"/>
        <v>0.4403198497809237</v>
      </c>
      <c r="E171" s="14">
        <f t="shared" ca="1" si="22"/>
        <v>-0.35580231846748755</v>
      </c>
      <c r="F171" s="14">
        <f t="shared" ca="1" si="23"/>
        <v>0.24119722979510599</v>
      </c>
      <c r="G171" s="14">
        <f t="shared" ca="1" si="24"/>
        <v>0.67014726695010163</v>
      </c>
      <c r="H171" s="15">
        <f t="shared" ca="1" si="25"/>
        <v>0.36099430633854118</v>
      </c>
      <c r="I171" s="14">
        <f ca="1">IF(G171&lt;0.05,1,0)*$B$1*$B$2</f>
        <v>0</v>
      </c>
      <c r="J171" s="14">
        <f ca="1">IF(H171&lt;0.05,1,0)*$B$1*$B$2</f>
        <v>0</v>
      </c>
      <c r="K171" s="15">
        <f t="shared" ca="1" si="26"/>
        <v>0</v>
      </c>
      <c r="P171" s="3">
        <v>167</v>
      </c>
      <c r="Q171" s="4">
        <f t="shared" ca="1" si="27"/>
        <v>0.67014726695010163</v>
      </c>
      <c r="R171" s="4">
        <f t="shared" ca="1" si="28"/>
        <v>0.36099430633854118</v>
      </c>
      <c r="S171" s="4">
        <f ca="1">$B$1*Q171*$B$2</f>
        <v>26.805890678004069</v>
      </c>
      <c r="T171" s="4">
        <f ca="1">$B$1*R171*$B$2</f>
        <v>14.439772253541648</v>
      </c>
      <c r="U171" s="7">
        <f t="shared" ca="1" si="29"/>
        <v>41.245662931545716</v>
      </c>
    </row>
    <row r="172" spans="2:21" x14ac:dyDescent="0.3">
      <c r="B172" s="13">
        <f t="shared" ca="1" si="20"/>
        <v>0.17553330125451938</v>
      </c>
      <c r="C172" s="14">
        <f t="shared" ca="1" si="20"/>
        <v>5.3562180505447587E-2</v>
      </c>
      <c r="D172" s="14">
        <f t="shared" ca="1" si="21"/>
        <v>-0.93252242596800028</v>
      </c>
      <c r="E172" s="14">
        <f t="shared" ca="1" si="22"/>
        <v>-1.6112540521914036</v>
      </c>
      <c r="F172" s="14">
        <f t="shared" ca="1" si="23"/>
        <v>-1.541599541958474</v>
      </c>
      <c r="G172" s="14">
        <f t="shared" ca="1" si="24"/>
        <v>0.17553330125451921</v>
      </c>
      <c r="H172" s="15">
        <f t="shared" ca="1" si="25"/>
        <v>5.3562180505447581E-2</v>
      </c>
      <c r="I172" s="14">
        <f ca="1">IF(G172&lt;0.05,1,0)*$B$1*$B$2</f>
        <v>0</v>
      </c>
      <c r="J172" s="14">
        <f ca="1">IF(H172&lt;0.05,1,0)*$B$1*$B$2</f>
        <v>0</v>
      </c>
      <c r="K172" s="15">
        <f t="shared" ca="1" si="26"/>
        <v>0</v>
      </c>
      <c r="P172" s="3">
        <v>168</v>
      </c>
      <c r="Q172" s="4">
        <f t="shared" ca="1" si="27"/>
        <v>0.17553330125451921</v>
      </c>
      <c r="R172" s="4">
        <f t="shared" ca="1" si="28"/>
        <v>5.3562180505447581E-2</v>
      </c>
      <c r="S172" s="4">
        <f ca="1">$B$1*Q172*$B$2</f>
        <v>7.021332050180769</v>
      </c>
      <c r="T172" s="4">
        <f ca="1">$B$1*R172*$B$2</f>
        <v>2.1424872202179031</v>
      </c>
      <c r="U172" s="7">
        <f t="shared" ca="1" si="29"/>
        <v>9.1638192703986725</v>
      </c>
    </row>
    <row r="173" spans="2:21" x14ac:dyDescent="0.3">
      <c r="B173" s="13">
        <f t="shared" ca="1" si="20"/>
        <v>0.70412450620125122</v>
      </c>
      <c r="C173" s="14">
        <f t="shared" ca="1" si="20"/>
        <v>0.72802153208343523</v>
      </c>
      <c r="D173" s="14">
        <f t="shared" ca="1" si="21"/>
        <v>0.53630035167906054</v>
      </c>
      <c r="E173" s="14">
        <f t="shared" ca="1" si="22"/>
        <v>0.60684024682682081</v>
      </c>
      <c r="F173" s="14">
        <f t="shared" ca="1" si="23"/>
        <v>0.74718584759029349</v>
      </c>
      <c r="G173" s="14">
        <f t="shared" ca="1" si="24"/>
        <v>0.70412450620125133</v>
      </c>
      <c r="H173" s="15">
        <f t="shared" ca="1" si="25"/>
        <v>0.72802153208343534</v>
      </c>
      <c r="I173" s="14">
        <f ca="1">IF(G173&lt;0.05,1,0)*$B$1*$B$2</f>
        <v>0</v>
      </c>
      <c r="J173" s="14">
        <f ca="1">IF(H173&lt;0.05,1,0)*$B$1*$B$2</f>
        <v>0</v>
      </c>
      <c r="K173" s="15">
        <f t="shared" ca="1" si="26"/>
        <v>0</v>
      </c>
      <c r="P173" s="3">
        <v>169</v>
      </c>
      <c r="Q173" s="4">
        <f t="shared" ca="1" si="27"/>
        <v>0.70412450620125133</v>
      </c>
      <c r="R173" s="4">
        <f t="shared" ca="1" si="28"/>
        <v>0.72802153208343534</v>
      </c>
      <c r="S173" s="4">
        <f ca="1">$B$1*Q173*$B$2</f>
        <v>28.164980248050053</v>
      </c>
      <c r="T173" s="4">
        <f ca="1">$B$1*R173*$B$2</f>
        <v>29.120861283337419</v>
      </c>
      <c r="U173" s="7">
        <f t="shared" ca="1" si="29"/>
        <v>57.285841531387476</v>
      </c>
    </row>
    <row r="174" spans="2:21" x14ac:dyDescent="0.3">
      <c r="B174" s="13">
        <f t="shared" ca="1" si="20"/>
        <v>0.13652873414566458</v>
      </c>
      <c r="C174" s="14">
        <f t="shared" ca="1" si="20"/>
        <v>0.62732718357152206</v>
      </c>
      <c r="D174" s="14">
        <f t="shared" ca="1" si="21"/>
        <v>-1.0960486875493842</v>
      </c>
      <c r="E174" s="14">
        <f t="shared" ca="1" si="22"/>
        <v>0.32478257567809932</v>
      </c>
      <c r="F174" s="14">
        <f t="shared" ca="1" si="23"/>
        <v>-0.84487437619407735</v>
      </c>
      <c r="G174" s="14">
        <f t="shared" ca="1" si="24"/>
        <v>0.1365287341456646</v>
      </c>
      <c r="H174" s="15">
        <f t="shared" ca="1" si="25"/>
        <v>0.62732718357152217</v>
      </c>
      <c r="I174" s="14">
        <f ca="1">IF(G174&lt;0.05,1,0)*$B$1*$B$2</f>
        <v>0</v>
      </c>
      <c r="J174" s="14">
        <f ca="1">IF(H174&lt;0.05,1,0)*$B$1*$B$2</f>
        <v>0</v>
      </c>
      <c r="K174" s="15">
        <f t="shared" ca="1" si="26"/>
        <v>0</v>
      </c>
      <c r="P174" s="3">
        <v>170</v>
      </c>
      <c r="Q174" s="4">
        <f t="shared" ca="1" si="27"/>
        <v>0.1365287341456646</v>
      </c>
      <c r="R174" s="4">
        <f t="shared" ca="1" si="28"/>
        <v>0.62732718357152217</v>
      </c>
      <c r="S174" s="4">
        <f ca="1">$B$1*Q174*$B$2</f>
        <v>5.4611493658265848</v>
      </c>
      <c r="T174" s="4">
        <f ca="1">$B$1*R174*$B$2</f>
        <v>25.093087342860887</v>
      </c>
      <c r="U174" s="7">
        <f t="shared" ca="1" si="29"/>
        <v>30.554236708687473</v>
      </c>
    </row>
    <row r="175" spans="2:21" x14ac:dyDescent="0.3">
      <c r="B175" s="13">
        <f t="shared" ca="1" si="20"/>
        <v>0.58298155108033678</v>
      </c>
      <c r="C175" s="14">
        <f t="shared" ca="1" si="20"/>
        <v>0.7132936308007537</v>
      </c>
      <c r="D175" s="14">
        <f t="shared" ca="1" si="21"/>
        <v>0.20952695174443717</v>
      </c>
      <c r="E175" s="14">
        <f t="shared" ca="1" si="22"/>
        <v>0.5630325221441872</v>
      </c>
      <c r="F175" s="14">
        <f t="shared" ca="1" si="23"/>
        <v>0.43399444316532726</v>
      </c>
      <c r="G175" s="14">
        <f t="shared" ca="1" si="24"/>
        <v>0.58298155108033678</v>
      </c>
      <c r="H175" s="15">
        <f t="shared" ca="1" si="25"/>
        <v>0.71329363080075381</v>
      </c>
      <c r="I175" s="14">
        <f ca="1">IF(G175&lt;0.05,1,0)*$B$1*$B$2</f>
        <v>0</v>
      </c>
      <c r="J175" s="14">
        <f ca="1">IF(H175&lt;0.05,1,0)*$B$1*$B$2</f>
        <v>0</v>
      </c>
      <c r="K175" s="15">
        <f t="shared" ca="1" si="26"/>
        <v>0</v>
      </c>
      <c r="P175" s="3">
        <v>171</v>
      </c>
      <c r="Q175" s="4">
        <f t="shared" ca="1" si="27"/>
        <v>0.58298155108033678</v>
      </c>
      <c r="R175" s="4">
        <f t="shared" ca="1" si="28"/>
        <v>0.71329363080075381</v>
      </c>
      <c r="S175" s="4">
        <f ca="1">$B$1*Q175*$B$2</f>
        <v>23.31926204321347</v>
      </c>
      <c r="T175" s="4">
        <f ca="1">$B$1*R175*$B$2</f>
        <v>28.531745232030154</v>
      </c>
      <c r="U175" s="7">
        <f t="shared" ca="1" si="29"/>
        <v>51.851007275243624</v>
      </c>
    </row>
    <row r="176" spans="2:21" x14ac:dyDescent="0.3">
      <c r="B176" s="13">
        <f t="shared" ca="1" si="20"/>
        <v>0.39267190071106306</v>
      </c>
      <c r="C176" s="14">
        <f t="shared" ca="1" si="20"/>
        <v>0.46991560306058533</v>
      </c>
      <c r="D176" s="14">
        <f t="shared" ca="1" si="21"/>
        <v>-0.27236185272347274</v>
      </c>
      <c r="E176" s="14">
        <f t="shared" ca="1" si="22"/>
        <v>-7.5482015678318776E-2</v>
      </c>
      <c r="F176" s="14">
        <f t="shared" ca="1" si="23"/>
        <v>-0.2780275152907799</v>
      </c>
      <c r="G176" s="14">
        <f t="shared" ca="1" si="24"/>
        <v>0.39267190071106306</v>
      </c>
      <c r="H176" s="15">
        <f t="shared" ca="1" si="25"/>
        <v>0.46991560306058533</v>
      </c>
      <c r="I176" s="14">
        <f ca="1">IF(G176&lt;0.05,1,0)*$B$1*$B$2</f>
        <v>0</v>
      </c>
      <c r="J176" s="14">
        <f ca="1">IF(H176&lt;0.05,1,0)*$B$1*$B$2</f>
        <v>0</v>
      </c>
      <c r="K176" s="15">
        <f t="shared" ca="1" si="26"/>
        <v>0</v>
      </c>
      <c r="P176" s="3">
        <v>172</v>
      </c>
      <c r="Q176" s="4">
        <f t="shared" ca="1" si="27"/>
        <v>0.39267190071106306</v>
      </c>
      <c r="R176" s="4">
        <f t="shared" ca="1" si="28"/>
        <v>0.46991560306058533</v>
      </c>
      <c r="S176" s="4">
        <f ca="1">$B$1*Q176*$B$2</f>
        <v>15.706876028442522</v>
      </c>
      <c r="T176" s="4">
        <f ca="1">$B$1*R176*$B$2</f>
        <v>18.796624122423413</v>
      </c>
      <c r="U176" s="7">
        <f t="shared" ca="1" si="29"/>
        <v>34.503500150865932</v>
      </c>
    </row>
    <row r="177" spans="2:21" x14ac:dyDescent="0.3">
      <c r="B177" s="13">
        <f t="shared" ca="1" si="20"/>
        <v>0.40740391882962457</v>
      </c>
      <c r="C177" s="14">
        <f t="shared" ca="1" si="20"/>
        <v>0.77224709391530988</v>
      </c>
      <c r="D177" s="14">
        <f t="shared" ca="1" si="21"/>
        <v>-0.234228181669142</v>
      </c>
      <c r="E177" s="14">
        <f t="shared" ca="1" si="22"/>
        <v>0.74626754587677124</v>
      </c>
      <c r="F177" s="14">
        <f t="shared" ca="1" si="23"/>
        <v>0.11448511822986704</v>
      </c>
      <c r="G177" s="14">
        <f t="shared" ca="1" si="24"/>
        <v>0.40740391882962457</v>
      </c>
      <c r="H177" s="15">
        <f t="shared" ca="1" si="25"/>
        <v>0.7722470939153101</v>
      </c>
      <c r="I177" s="14">
        <f ca="1">IF(G177&lt;0.05,1,0)*$B$1*$B$2</f>
        <v>0</v>
      </c>
      <c r="J177" s="14">
        <f ca="1">IF(H177&lt;0.05,1,0)*$B$1*$B$2</f>
        <v>0</v>
      </c>
      <c r="K177" s="15">
        <f t="shared" ca="1" si="26"/>
        <v>0</v>
      </c>
      <c r="P177" s="3">
        <v>173</v>
      </c>
      <c r="Q177" s="4">
        <f t="shared" ca="1" si="27"/>
        <v>0.40740391882962457</v>
      </c>
      <c r="R177" s="4">
        <f t="shared" ca="1" si="28"/>
        <v>0.7722470939153101</v>
      </c>
      <c r="S177" s="4">
        <f ca="1">$B$1*Q177*$B$2</f>
        <v>16.296156753184984</v>
      </c>
      <c r="T177" s="4">
        <f ca="1">$B$1*R177*$B$2</f>
        <v>30.889883756612406</v>
      </c>
      <c r="U177" s="7">
        <f t="shared" ca="1" si="29"/>
        <v>47.186040509797394</v>
      </c>
    </row>
    <row r="178" spans="2:21" x14ac:dyDescent="0.3">
      <c r="B178" s="13">
        <f t="shared" ca="1" si="20"/>
        <v>0.86009854128960028</v>
      </c>
      <c r="C178" s="14">
        <f t="shared" ca="1" si="20"/>
        <v>0.51715504974123816</v>
      </c>
      <c r="D178" s="14">
        <f t="shared" ca="1" si="21"/>
        <v>1.0807621763026176</v>
      </c>
      <c r="E178" s="14">
        <f t="shared" ca="1" si="22"/>
        <v>4.3014593716584795E-2</v>
      </c>
      <c r="F178" s="14">
        <f t="shared" ca="1" si="23"/>
        <v>0.99143558538316112</v>
      </c>
      <c r="G178" s="14">
        <f t="shared" ca="1" si="24"/>
        <v>0.86009854128960028</v>
      </c>
      <c r="H178" s="15">
        <f t="shared" ca="1" si="25"/>
        <v>0.51715504974123816</v>
      </c>
      <c r="I178" s="14">
        <f ca="1">IF(G178&lt;0.05,1,0)*$B$1*$B$2</f>
        <v>0</v>
      </c>
      <c r="J178" s="14">
        <f ca="1">IF(H178&lt;0.05,1,0)*$B$1*$B$2</f>
        <v>0</v>
      </c>
      <c r="K178" s="15">
        <f t="shared" ca="1" si="26"/>
        <v>0</v>
      </c>
      <c r="P178" s="3">
        <v>174</v>
      </c>
      <c r="Q178" s="4">
        <f t="shared" ca="1" si="27"/>
        <v>0.86009854128960028</v>
      </c>
      <c r="R178" s="4">
        <f t="shared" ca="1" si="28"/>
        <v>0.51715504974123816</v>
      </c>
      <c r="S178" s="4">
        <f ca="1">$B$1*Q178*$B$2</f>
        <v>34.403941651584013</v>
      </c>
      <c r="T178" s="4">
        <f ca="1">$B$1*R178*$B$2</f>
        <v>20.686201989649529</v>
      </c>
      <c r="U178" s="7">
        <f t="shared" ca="1" si="29"/>
        <v>55.090143641233539</v>
      </c>
    </row>
    <row r="179" spans="2:21" x14ac:dyDescent="0.3">
      <c r="B179" s="13">
        <f t="shared" ca="1" si="20"/>
        <v>0.737071457550593</v>
      </c>
      <c r="C179" s="14">
        <f t="shared" ca="1" si="20"/>
        <v>0.23123361259940955</v>
      </c>
      <c r="D179" s="14">
        <f t="shared" ca="1" si="21"/>
        <v>0.63434286962493769</v>
      </c>
      <c r="E179" s="14">
        <f t="shared" ca="1" si="22"/>
        <v>-0.73479028407327351</v>
      </c>
      <c r="F179" s="14">
        <f t="shared" ca="1" si="23"/>
        <v>0.25062092336534963</v>
      </c>
      <c r="G179" s="14">
        <f t="shared" ca="1" si="24"/>
        <v>0.737071457550593</v>
      </c>
      <c r="H179" s="15">
        <f t="shared" ca="1" si="25"/>
        <v>0.23123361259940939</v>
      </c>
      <c r="I179" s="14">
        <f ca="1">IF(G179&lt;0.05,1,0)*$B$1*$B$2</f>
        <v>0</v>
      </c>
      <c r="J179" s="14">
        <f ca="1">IF(H179&lt;0.05,1,0)*$B$1*$B$2</f>
        <v>0</v>
      </c>
      <c r="K179" s="15">
        <f t="shared" ca="1" si="26"/>
        <v>0</v>
      </c>
      <c r="P179" s="3">
        <v>175</v>
      </c>
      <c r="Q179" s="4">
        <f t="shared" ca="1" si="27"/>
        <v>0.737071457550593</v>
      </c>
      <c r="R179" s="4">
        <f t="shared" ca="1" si="28"/>
        <v>0.23123361259940939</v>
      </c>
      <c r="S179" s="4">
        <f ca="1">$B$1*Q179*$B$2</f>
        <v>29.482858302023722</v>
      </c>
      <c r="T179" s="4">
        <f ca="1">$B$1*R179*$B$2</f>
        <v>9.249344503976376</v>
      </c>
      <c r="U179" s="7">
        <f t="shared" ca="1" si="29"/>
        <v>38.732202806000096</v>
      </c>
    </row>
    <row r="180" spans="2:21" x14ac:dyDescent="0.3">
      <c r="B180" s="13">
        <f t="shared" ca="1" si="20"/>
        <v>0.17718196588528345</v>
      </c>
      <c r="C180" s="14">
        <f t="shared" ca="1" si="20"/>
        <v>9.2112131584845103E-2</v>
      </c>
      <c r="D180" s="14">
        <f t="shared" ca="1" si="21"/>
        <v>-0.9261578922349013</v>
      </c>
      <c r="E180" s="14">
        <f t="shared" ca="1" si="22"/>
        <v>-1.3278602963940864</v>
      </c>
      <c r="F180" s="14">
        <f t="shared" ca="1" si="23"/>
        <v>-1.41234298732359</v>
      </c>
      <c r="G180" s="14">
        <f t="shared" ca="1" si="24"/>
        <v>0.17718196588528357</v>
      </c>
      <c r="H180" s="15">
        <f t="shared" ca="1" si="25"/>
        <v>9.2112131584844936E-2</v>
      </c>
      <c r="I180" s="14">
        <f ca="1">IF(G180&lt;0.05,1,0)*$B$1*$B$2</f>
        <v>0</v>
      </c>
      <c r="J180" s="14">
        <f ca="1">IF(H180&lt;0.05,1,0)*$B$1*$B$2</f>
        <v>0</v>
      </c>
      <c r="K180" s="15">
        <f t="shared" ca="1" si="26"/>
        <v>0</v>
      </c>
      <c r="P180" s="3">
        <v>176</v>
      </c>
      <c r="Q180" s="4">
        <f t="shared" ca="1" si="27"/>
        <v>0.17718196588528357</v>
      </c>
      <c r="R180" s="4">
        <f t="shared" ca="1" si="28"/>
        <v>9.2112131584844936E-2</v>
      </c>
      <c r="S180" s="4">
        <f ca="1">$B$1*Q180*$B$2</f>
        <v>7.0872786354113435</v>
      </c>
      <c r="T180" s="4">
        <f ca="1">$B$1*R180*$B$2</f>
        <v>3.6844852633937979</v>
      </c>
      <c r="U180" s="7">
        <f t="shared" ca="1" si="29"/>
        <v>10.771763898805141</v>
      </c>
    </row>
    <row r="181" spans="2:21" x14ac:dyDescent="0.3">
      <c r="B181" s="13">
        <f t="shared" ca="1" si="20"/>
        <v>0.29223544650799982</v>
      </c>
      <c r="C181" s="14">
        <f t="shared" ca="1" si="20"/>
        <v>0.99809312615684131</v>
      </c>
      <c r="D181" s="14">
        <f t="shared" ca="1" si="21"/>
        <v>-0.54686585852074321</v>
      </c>
      <c r="E181" s="14">
        <f t="shared" ca="1" si="22"/>
        <v>2.893170039373389</v>
      </c>
      <c r="F181" s="14">
        <f t="shared" ca="1" si="23"/>
        <v>0.76892431014215035</v>
      </c>
      <c r="G181" s="14">
        <f t="shared" ca="1" si="24"/>
        <v>0.29223544650799971</v>
      </c>
      <c r="H181" s="15">
        <f t="shared" ca="1" si="25"/>
        <v>0.99809312615684131</v>
      </c>
      <c r="I181" s="14">
        <f ca="1">IF(G181&lt;0.05,1,0)*$B$1*$B$2</f>
        <v>0</v>
      </c>
      <c r="J181" s="14">
        <f ca="1">IF(H181&lt;0.05,1,0)*$B$1*$B$2</f>
        <v>0</v>
      </c>
      <c r="K181" s="15">
        <f t="shared" ca="1" si="26"/>
        <v>0</v>
      </c>
      <c r="P181" s="3">
        <v>177</v>
      </c>
      <c r="Q181" s="4">
        <f t="shared" ca="1" si="27"/>
        <v>0.29223544650799971</v>
      </c>
      <c r="R181" s="4">
        <f t="shared" ca="1" si="28"/>
        <v>0.99809312615684131</v>
      </c>
      <c r="S181" s="4">
        <f ca="1">$B$1*Q181*$B$2</f>
        <v>11.68941786031999</v>
      </c>
      <c r="T181" s="4">
        <f ca="1">$B$1*R181*$B$2</f>
        <v>39.92372504627366</v>
      </c>
      <c r="U181" s="7">
        <f t="shared" ca="1" si="29"/>
        <v>51.613142906593652</v>
      </c>
    </row>
    <row r="182" spans="2:21" x14ac:dyDescent="0.3">
      <c r="B182" s="13">
        <f t="shared" ca="1" si="20"/>
        <v>0.24249400184153957</v>
      </c>
      <c r="C182" s="14">
        <f t="shared" ca="1" si="20"/>
        <v>0.47927724165623375</v>
      </c>
      <c r="D182" s="14">
        <f t="shared" ca="1" si="21"/>
        <v>-0.69830255188326107</v>
      </c>
      <c r="E182" s="14">
        <f t="shared" ca="1" si="22"/>
        <v>-5.1967633454648582E-2</v>
      </c>
      <c r="F182" s="14">
        <f t="shared" ca="1" si="23"/>
        <v>-0.65112446295131265</v>
      </c>
      <c r="G182" s="14">
        <f t="shared" ca="1" si="24"/>
        <v>0.24249400184153941</v>
      </c>
      <c r="H182" s="15">
        <f t="shared" ca="1" si="25"/>
        <v>0.47927724165623375</v>
      </c>
      <c r="I182" s="14">
        <f ca="1">IF(G182&lt;0.05,1,0)*$B$1*$B$2</f>
        <v>0</v>
      </c>
      <c r="J182" s="14">
        <f ca="1">IF(H182&lt;0.05,1,0)*$B$1*$B$2</f>
        <v>0</v>
      </c>
      <c r="K182" s="15">
        <f t="shared" ca="1" si="26"/>
        <v>0</v>
      </c>
      <c r="P182" s="3">
        <v>178</v>
      </c>
      <c r="Q182" s="4">
        <f t="shared" ca="1" si="27"/>
        <v>0.24249400184153941</v>
      </c>
      <c r="R182" s="4">
        <f t="shared" ca="1" si="28"/>
        <v>0.47927724165623375</v>
      </c>
      <c r="S182" s="4">
        <f ca="1">$B$1*Q182*$B$2</f>
        <v>9.6997600736615777</v>
      </c>
      <c r="T182" s="4">
        <f ca="1">$B$1*R182*$B$2</f>
        <v>19.171089666249351</v>
      </c>
      <c r="U182" s="7">
        <f t="shared" ca="1" si="29"/>
        <v>28.870849739910931</v>
      </c>
    </row>
    <row r="183" spans="2:21" x14ac:dyDescent="0.3">
      <c r="B183" s="13">
        <f t="shared" ca="1" si="20"/>
        <v>0.78478305679309068</v>
      </c>
      <c r="C183" s="14">
        <f t="shared" ca="1" si="20"/>
        <v>0.96927139759635816</v>
      </c>
      <c r="D183" s="14">
        <f t="shared" ca="1" si="21"/>
        <v>0.78844939750802678</v>
      </c>
      <c r="E183" s="14">
        <f t="shared" ca="1" si="22"/>
        <v>1.8701916790449209</v>
      </c>
      <c r="F183" s="14">
        <f t="shared" ca="1" si="23"/>
        <v>1.5248021111579704</v>
      </c>
      <c r="G183" s="14">
        <f t="shared" ca="1" si="24"/>
        <v>0.78478305679309079</v>
      </c>
      <c r="H183" s="15">
        <f t="shared" ca="1" si="25"/>
        <v>0.96927139759635816</v>
      </c>
      <c r="I183" s="14">
        <f ca="1">IF(G183&lt;0.05,1,0)*$B$1*$B$2</f>
        <v>0</v>
      </c>
      <c r="J183" s="14">
        <f ca="1">IF(H183&lt;0.05,1,0)*$B$1*$B$2</f>
        <v>0</v>
      </c>
      <c r="K183" s="15">
        <f t="shared" ca="1" si="26"/>
        <v>0</v>
      </c>
      <c r="P183" s="3">
        <v>179</v>
      </c>
      <c r="Q183" s="4">
        <f t="shared" ca="1" si="27"/>
        <v>0.78478305679309079</v>
      </c>
      <c r="R183" s="4">
        <f t="shared" ca="1" si="28"/>
        <v>0.96927139759635816</v>
      </c>
      <c r="S183" s="4">
        <f ca="1">$B$1*Q183*$B$2</f>
        <v>31.391322271723631</v>
      </c>
      <c r="T183" s="4">
        <f ca="1">$B$1*R183*$B$2</f>
        <v>38.770855903854333</v>
      </c>
      <c r="U183" s="7">
        <f t="shared" ca="1" si="29"/>
        <v>70.162178175577964</v>
      </c>
    </row>
    <row r="184" spans="2:21" x14ac:dyDescent="0.3">
      <c r="B184" s="13">
        <f t="shared" ca="1" si="20"/>
        <v>0.34674486437828222</v>
      </c>
      <c r="C184" s="14">
        <f t="shared" ca="1" si="20"/>
        <v>0.81264507186268042</v>
      </c>
      <c r="D184" s="14">
        <f t="shared" ca="1" si="21"/>
        <v>-0.39412368020840249</v>
      </c>
      <c r="E184" s="14">
        <f t="shared" ca="1" si="22"/>
        <v>0.88768566999388077</v>
      </c>
      <c r="F184" s="14">
        <f t="shared" ca="1" si="23"/>
        <v>3.2221900725689867E-2</v>
      </c>
      <c r="G184" s="14">
        <f t="shared" ca="1" si="24"/>
        <v>0.34674486437828222</v>
      </c>
      <c r="H184" s="15">
        <f t="shared" ca="1" si="25"/>
        <v>0.81264507186268053</v>
      </c>
      <c r="I184" s="14">
        <f ca="1">IF(G184&lt;0.05,1,0)*$B$1*$B$2</f>
        <v>0</v>
      </c>
      <c r="J184" s="14">
        <f ca="1">IF(H184&lt;0.05,1,0)*$B$1*$B$2</f>
        <v>0</v>
      </c>
      <c r="K184" s="15">
        <f t="shared" ca="1" si="26"/>
        <v>0</v>
      </c>
      <c r="P184" s="3">
        <v>180</v>
      </c>
      <c r="Q184" s="4">
        <f t="shared" ca="1" si="27"/>
        <v>0.34674486437828222</v>
      </c>
      <c r="R184" s="4">
        <f t="shared" ca="1" si="28"/>
        <v>0.81264507186268053</v>
      </c>
      <c r="S184" s="4">
        <f ca="1">$B$1*Q184*$B$2</f>
        <v>13.869794575131289</v>
      </c>
      <c r="T184" s="4">
        <f ca="1">$B$1*R184*$B$2</f>
        <v>32.505802874507218</v>
      </c>
      <c r="U184" s="7">
        <f t="shared" ca="1" si="29"/>
        <v>46.375597449638505</v>
      </c>
    </row>
    <row r="185" spans="2:21" x14ac:dyDescent="0.3">
      <c r="B185" s="13">
        <f t="shared" ca="1" si="20"/>
        <v>4.0841117368456747E-2</v>
      </c>
      <c r="C185" s="14">
        <f t="shared" ca="1" si="20"/>
        <v>0.34327672860879532</v>
      </c>
      <c r="D185" s="14">
        <f t="shared" ca="1" si="21"/>
        <v>-1.7410076662609903</v>
      </c>
      <c r="E185" s="14">
        <f t="shared" ca="1" si="22"/>
        <v>-0.40353667916100378</v>
      </c>
      <c r="F185" s="14">
        <f t="shared" ca="1" si="23"/>
        <v>-1.7428044600823724</v>
      </c>
      <c r="G185" s="14">
        <f t="shared" ca="1" si="24"/>
        <v>4.0841117368456741E-2</v>
      </c>
      <c r="H185" s="15">
        <f t="shared" ca="1" si="25"/>
        <v>0.34327672860879532</v>
      </c>
      <c r="I185" s="14">
        <f ca="1">IF(G185&lt;0.05,1,0)*$B$1*$B$2</f>
        <v>40</v>
      </c>
      <c r="J185" s="14">
        <f ca="1">IF(H185&lt;0.05,1,0)*$B$1*$B$2</f>
        <v>0</v>
      </c>
      <c r="K185" s="15">
        <f t="shared" ca="1" si="26"/>
        <v>40</v>
      </c>
      <c r="P185" s="3">
        <v>181</v>
      </c>
      <c r="Q185" s="4">
        <f t="shared" ca="1" si="27"/>
        <v>4.0841117368456741E-2</v>
      </c>
      <c r="R185" s="4">
        <f t="shared" ca="1" si="28"/>
        <v>0.34327672860879532</v>
      </c>
      <c r="S185" s="4">
        <f ca="1">$B$1*Q185*$B$2</f>
        <v>1.6336446947382699</v>
      </c>
      <c r="T185" s="4">
        <f ca="1">$B$1*R185*$B$2</f>
        <v>13.731069144351814</v>
      </c>
      <c r="U185" s="7">
        <f t="shared" ca="1" si="29"/>
        <v>15.364713839090083</v>
      </c>
    </row>
    <row r="186" spans="2:21" x14ac:dyDescent="0.3">
      <c r="B186" s="13">
        <f t="shared" ca="1" si="20"/>
        <v>0.1560548338616794</v>
      </c>
      <c r="C186" s="14">
        <f t="shared" ca="1" si="20"/>
        <v>0.68790738935253126</v>
      </c>
      <c r="D186" s="14">
        <f t="shared" ca="1" si="21"/>
        <v>-1.0108052127339093</v>
      </c>
      <c r="E186" s="14">
        <f t="shared" ca="1" si="22"/>
        <v>0.48992747349649463</v>
      </c>
      <c r="F186" s="14">
        <f t="shared" ca="1" si="23"/>
        <v>-0.69617025679697631</v>
      </c>
      <c r="G186" s="14">
        <f t="shared" ca="1" si="24"/>
        <v>0.15605483386167926</v>
      </c>
      <c r="H186" s="15">
        <f t="shared" ca="1" si="25"/>
        <v>0.68790738935253137</v>
      </c>
      <c r="I186" s="14">
        <f ca="1">IF(G186&lt;0.05,1,0)*$B$1*$B$2</f>
        <v>0</v>
      </c>
      <c r="J186" s="14">
        <f ca="1">IF(H186&lt;0.05,1,0)*$B$1*$B$2</f>
        <v>0</v>
      </c>
      <c r="K186" s="15">
        <f t="shared" ca="1" si="26"/>
        <v>0</v>
      </c>
      <c r="P186" s="3">
        <v>182</v>
      </c>
      <c r="Q186" s="4">
        <f t="shared" ca="1" si="27"/>
        <v>0.15605483386167926</v>
      </c>
      <c r="R186" s="4">
        <f t="shared" ca="1" si="28"/>
        <v>0.68790738935253137</v>
      </c>
      <c r="S186" s="4">
        <f ca="1">$B$1*Q186*$B$2</f>
        <v>6.2421933544671706</v>
      </c>
      <c r="T186" s="4">
        <f ca="1">$B$1*R186*$B$2</f>
        <v>27.516295574101253</v>
      </c>
      <c r="U186" s="7">
        <f t="shared" ca="1" si="29"/>
        <v>33.758488928568426</v>
      </c>
    </row>
    <row r="187" spans="2:21" x14ac:dyDescent="0.3">
      <c r="B187" s="13">
        <f t="shared" ca="1" si="20"/>
        <v>0.80677263011701816</v>
      </c>
      <c r="C187" s="14">
        <f t="shared" ca="1" si="20"/>
        <v>0.78978953355326764</v>
      </c>
      <c r="D187" s="14">
        <f t="shared" ca="1" si="21"/>
        <v>0.866064594615228</v>
      </c>
      <c r="E187" s="14">
        <f t="shared" ca="1" si="22"/>
        <v>0.80569118601586565</v>
      </c>
      <c r="F187" s="14">
        <f t="shared" ca="1" si="23"/>
        <v>1.1306507811081641</v>
      </c>
      <c r="G187" s="14">
        <f t="shared" ca="1" si="24"/>
        <v>0.80677263011701816</v>
      </c>
      <c r="H187" s="15">
        <f t="shared" ca="1" si="25"/>
        <v>0.78978953355326764</v>
      </c>
      <c r="I187" s="14">
        <f ca="1">IF(G187&lt;0.05,1,0)*$B$1*$B$2</f>
        <v>0</v>
      </c>
      <c r="J187" s="14">
        <f ca="1">IF(H187&lt;0.05,1,0)*$B$1*$B$2</f>
        <v>0</v>
      </c>
      <c r="K187" s="15">
        <f t="shared" ca="1" si="26"/>
        <v>0</v>
      </c>
      <c r="P187" s="3">
        <v>183</v>
      </c>
      <c r="Q187" s="4">
        <f t="shared" ca="1" si="27"/>
        <v>0.80677263011701816</v>
      </c>
      <c r="R187" s="4">
        <f t="shared" ca="1" si="28"/>
        <v>0.78978953355326764</v>
      </c>
      <c r="S187" s="4">
        <f ca="1">$B$1*Q187*$B$2</f>
        <v>32.270905204680723</v>
      </c>
      <c r="T187" s="4">
        <f ca="1">$B$1*R187*$B$2</f>
        <v>31.591581342130709</v>
      </c>
      <c r="U187" s="7">
        <f t="shared" ca="1" si="29"/>
        <v>63.862486546811432</v>
      </c>
    </row>
    <row r="188" spans="2:21" x14ac:dyDescent="0.3">
      <c r="B188" s="13">
        <f t="shared" ca="1" si="20"/>
        <v>0.16427411102781331</v>
      </c>
      <c r="C188" s="14">
        <f t="shared" ca="1" si="20"/>
        <v>6.7360611947885451E-2</v>
      </c>
      <c r="D188" s="14">
        <f t="shared" ca="1" si="21"/>
        <v>-0.97704227834128698</v>
      </c>
      <c r="E188" s="14">
        <f t="shared" ca="1" si="22"/>
        <v>-1.4957407609530753</v>
      </c>
      <c r="F188" s="14">
        <f t="shared" ca="1" si="23"/>
        <v>-1.5313163327800665</v>
      </c>
      <c r="G188" s="14">
        <f t="shared" ca="1" si="24"/>
        <v>0.16427411102781311</v>
      </c>
      <c r="H188" s="15">
        <f t="shared" ca="1" si="25"/>
        <v>6.7360611947885424E-2</v>
      </c>
      <c r="I188" s="14">
        <f ca="1">IF(G188&lt;0.05,1,0)*$B$1*$B$2</f>
        <v>0</v>
      </c>
      <c r="J188" s="14">
        <f ca="1">IF(H188&lt;0.05,1,0)*$B$1*$B$2</f>
        <v>0</v>
      </c>
      <c r="K188" s="15">
        <f t="shared" ca="1" si="26"/>
        <v>0</v>
      </c>
      <c r="P188" s="3">
        <v>184</v>
      </c>
      <c r="Q188" s="4">
        <f t="shared" ca="1" si="27"/>
        <v>0.16427411102781311</v>
      </c>
      <c r="R188" s="4">
        <f t="shared" ca="1" si="28"/>
        <v>6.7360611947885424E-2</v>
      </c>
      <c r="S188" s="4">
        <f ca="1">$B$1*Q188*$B$2</f>
        <v>6.5709644411125243</v>
      </c>
      <c r="T188" s="4">
        <f ca="1">$B$1*R188*$B$2</f>
        <v>2.6944244779154172</v>
      </c>
      <c r="U188" s="7">
        <f t="shared" ca="1" si="29"/>
        <v>9.2653889190279415</v>
      </c>
    </row>
    <row r="189" spans="2:21" x14ac:dyDescent="0.3">
      <c r="B189" s="13">
        <f t="shared" ca="1" si="20"/>
        <v>0.9748714705192304</v>
      </c>
      <c r="C189" s="14">
        <f t="shared" ca="1" si="20"/>
        <v>0.60332524476931548</v>
      </c>
      <c r="D189" s="14">
        <f t="shared" ca="1" si="21"/>
        <v>1.9577695585603723</v>
      </c>
      <c r="E189" s="14">
        <f t="shared" ca="1" si="22"/>
        <v>0.26196359346012732</v>
      </c>
      <c r="F189" s="14">
        <f t="shared" ca="1" si="23"/>
        <v>1.8761798857822818</v>
      </c>
      <c r="G189" s="14">
        <f t="shared" ca="1" si="24"/>
        <v>0.9748714705192304</v>
      </c>
      <c r="H189" s="15">
        <f t="shared" ca="1" si="25"/>
        <v>0.60332524476931559</v>
      </c>
      <c r="I189" s="14">
        <f ca="1">IF(G189&lt;0.05,1,0)*$B$1*$B$2</f>
        <v>0</v>
      </c>
      <c r="J189" s="14">
        <f ca="1">IF(H189&lt;0.05,1,0)*$B$1*$B$2</f>
        <v>0</v>
      </c>
      <c r="K189" s="15">
        <f t="shared" ca="1" si="26"/>
        <v>0</v>
      </c>
      <c r="P189" s="3">
        <v>185</v>
      </c>
      <c r="Q189" s="4">
        <f t="shared" ca="1" si="27"/>
        <v>0.9748714705192304</v>
      </c>
      <c r="R189" s="4">
        <f t="shared" ca="1" si="28"/>
        <v>0.60332524476931559</v>
      </c>
      <c r="S189" s="4">
        <f ca="1">$B$1*Q189*$B$2</f>
        <v>38.994858820769224</v>
      </c>
      <c r="T189" s="4">
        <f ca="1">$B$1*R189*$B$2</f>
        <v>24.133009790772626</v>
      </c>
      <c r="U189" s="7">
        <f t="shared" ca="1" si="29"/>
        <v>63.127868611541849</v>
      </c>
    </row>
    <row r="190" spans="2:21" x14ac:dyDescent="0.3">
      <c r="B190" s="13">
        <f t="shared" ca="1" si="20"/>
        <v>0.52696373652371631</v>
      </c>
      <c r="C190" s="14">
        <f t="shared" ca="1" si="20"/>
        <v>0.87167693016471171</v>
      </c>
      <c r="D190" s="14">
        <f t="shared" ca="1" si="21"/>
        <v>6.7639605493534358E-2</v>
      </c>
      <c r="E190" s="14">
        <f t="shared" ca="1" si="22"/>
        <v>1.1343538727981775</v>
      </c>
      <c r="F190" s="14">
        <f t="shared" ca="1" si="23"/>
        <v>0.55532903471830553</v>
      </c>
      <c r="G190" s="14">
        <f t="shared" ca="1" si="24"/>
        <v>0.52696373652371631</v>
      </c>
      <c r="H190" s="15">
        <f t="shared" ca="1" si="25"/>
        <v>0.87167693016471182</v>
      </c>
      <c r="I190" s="14">
        <f ca="1">IF(G190&lt;0.05,1,0)*$B$1*$B$2</f>
        <v>0</v>
      </c>
      <c r="J190" s="14">
        <f ca="1">IF(H190&lt;0.05,1,0)*$B$1*$B$2</f>
        <v>0</v>
      </c>
      <c r="K190" s="15">
        <f t="shared" ca="1" si="26"/>
        <v>0</v>
      </c>
      <c r="P190" s="3">
        <v>186</v>
      </c>
      <c r="Q190" s="4">
        <f t="shared" ca="1" si="27"/>
        <v>0.52696373652371631</v>
      </c>
      <c r="R190" s="4">
        <f t="shared" ca="1" si="28"/>
        <v>0.87167693016471182</v>
      </c>
      <c r="S190" s="4">
        <f ca="1">$B$1*Q190*$B$2</f>
        <v>21.078549460948654</v>
      </c>
      <c r="T190" s="4">
        <f ca="1">$B$1*R190*$B$2</f>
        <v>34.867077206588469</v>
      </c>
      <c r="U190" s="7">
        <f t="shared" ca="1" si="29"/>
        <v>55.945626667537127</v>
      </c>
    </row>
    <row r="191" spans="2:21" x14ac:dyDescent="0.3">
      <c r="B191" s="13">
        <f t="shared" ca="1" si="20"/>
        <v>0.51003387239885178</v>
      </c>
      <c r="C191" s="14">
        <f t="shared" ca="1" si="20"/>
        <v>0.28448539556247021</v>
      </c>
      <c r="D191" s="14">
        <f t="shared" ca="1" si="21"/>
        <v>2.5153840545555431E-2</v>
      </c>
      <c r="E191" s="14">
        <f t="shared" ca="1" si="22"/>
        <v>-0.56956792105538634</v>
      </c>
      <c r="F191" s="14">
        <f t="shared" ca="1" si="23"/>
        <v>-0.2256304444452982</v>
      </c>
      <c r="G191" s="14">
        <f t="shared" ca="1" si="24"/>
        <v>0.51003387239885178</v>
      </c>
      <c r="H191" s="15">
        <f t="shared" ca="1" si="25"/>
        <v>0.28448539556247016</v>
      </c>
      <c r="I191" s="14">
        <f ca="1">IF(G191&lt;0.05,1,0)*$B$1*$B$2</f>
        <v>0</v>
      </c>
      <c r="J191" s="14">
        <f ca="1">IF(H191&lt;0.05,1,0)*$B$1*$B$2</f>
        <v>0</v>
      </c>
      <c r="K191" s="15">
        <f t="shared" ca="1" si="26"/>
        <v>0</v>
      </c>
      <c r="P191" s="3">
        <v>187</v>
      </c>
      <c r="Q191" s="4">
        <f t="shared" ca="1" si="27"/>
        <v>0.51003387239885178</v>
      </c>
      <c r="R191" s="4">
        <f t="shared" ca="1" si="28"/>
        <v>0.28448539556247016</v>
      </c>
      <c r="S191" s="4">
        <f ca="1">$B$1*Q191*$B$2</f>
        <v>20.401354895954071</v>
      </c>
      <c r="T191" s="4">
        <f ca="1">$B$1*R191*$B$2</f>
        <v>11.379415822498807</v>
      </c>
      <c r="U191" s="7">
        <f t="shared" ca="1" si="29"/>
        <v>31.780770718452878</v>
      </c>
    </row>
    <row r="192" spans="2:21" x14ac:dyDescent="0.3">
      <c r="B192" s="13">
        <f t="shared" ca="1" si="20"/>
        <v>0.45627069786653773</v>
      </c>
      <c r="C192" s="14">
        <f t="shared" ca="1" si="20"/>
        <v>0.90984871289108005</v>
      </c>
      <c r="D192" s="14">
        <f t="shared" ca="1" si="21"/>
        <v>-0.10983353387726173</v>
      </c>
      <c r="E192" s="14">
        <f t="shared" ca="1" si="22"/>
        <v>1.3398239902765063</v>
      </c>
      <c r="F192" s="14">
        <f t="shared" ca="1" si="23"/>
        <v>0.48516555708513565</v>
      </c>
      <c r="G192" s="14">
        <f t="shared" ca="1" si="24"/>
        <v>0.45627069786653773</v>
      </c>
      <c r="H192" s="15">
        <f t="shared" ca="1" si="25"/>
        <v>0.90984871289107994</v>
      </c>
      <c r="I192" s="14">
        <f ca="1">IF(G192&lt;0.05,1,0)*$B$1*$B$2</f>
        <v>0</v>
      </c>
      <c r="J192" s="14">
        <f ca="1">IF(H192&lt;0.05,1,0)*$B$1*$B$2</f>
        <v>0</v>
      </c>
      <c r="K192" s="15">
        <f t="shared" ca="1" si="26"/>
        <v>0</v>
      </c>
      <c r="P192" s="3">
        <v>188</v>
      </c>
      <c r="Q192" s="4">
        <f t="shared" ca="1" si="27"/>
        <v>0.45627069786653773</v>
      </c>
      <c r="R192" s="4">
        <f t="shared" ca="1" si="28"/>
        <v>0.90984871289107994</v>
      </c>
      <c r="S192" s="4">
        <f ca="1">$B$1*Q192*$B$2</f>
        <v>18.25082791466151</v>
      </c>
      <c r="T192" s="4">
        <f ca="1">$B$1*R192*$B$2</f>
        <v>36.393948515643203</v>
      </c>
      <c r="U192" s="7">
        <f t="shared" ca="1" si="29"/>
        <v>54.644776430304717</v>
      </c>
    </row>
    <row r="193" spans="2:21" x14ac:dyDescent="0.3">
      <c r="B193" s="13">
        <f t="shared" ca="1" si="20"/>
        <v>2.9230180914552983E-2</v>
      </c>
      <c r="C193" s="14">
        <f t="shared" ca="1" si="20"/>
        <v>0.89686233015712358</v>
      </c>
      <c r="D193" s="14">
        <f t="shared" ca="1" si="21"/>
        <v>-1.8922298577748837</v>
      </c>
      <c r="E193" s="14">
        <f t="shared" ca="1" si="22"/>
        <v>1.2638737646938483</v>
      </c>
      <c r="F193" s="14">
        <f t="shared" ca="1" si="23"/>
        <v>-1.1520970702281166</v>
      </c>
      <c r="G193" s="14">
        <f t="shared" ca="1" si="24"/>
        <v>2.9230180914552976E-2</v>
      </c>
      <c r="H193" s="15">
        <f t="shared" ca="1" si="25"/>
        <v>0.89686233015712358</v>
      </c>
      <c r="I193" s="14">
        <f ca="1">IF(G193&lt;0.05,1,0)*$B$1*$B$2</f>
        <v>40</v>
      </c>
      <c r="J193" s="14">
        <f ca="1">IF(H193&lt;0.05,1,0)*$B$1*$B$2</f>
        <v>0</v>
      </c>
      <c r="K193" s="15">
        <f t="shared" ca="1" si="26"/>
        <v>40</v>
      </c>
      <c r="P193" s="3">
        <v>189</v>
      </c>
      <c r="Q193" s="4">
        <f t="shared" ca="1" si="27"/>
        <v>2.9230180914552976E-2</v>
      </c>
      <c r="R193" s="4">
        <f t="shared" ca="1" si="28"/>
        <v>0.89686233015712358</v>
      </c>
      <c r="S193" s="4">
        <f ca="1">$B$1*Q193*$B$2</f>
        <v>1.1692072365821191</v>
      </c>
      <c r="T193" s="4">
        <f ca="1">$B$1*R193*$B$2</f>
        <v>35.874493206284946</v>
      </c>
      <c r="U193" s="7">
        <f t="shared" ca="1" si="29"/>
        <v>37.043700442867063</v>
      </c>
    </row>
    <row r="194" spans="2:21" x14ac:dyDescent="0.3">
      <c r="B194" s="13">
        <f t="shared" ca="1" si="20"/>
        <v>0.795682308647082</v>
      </c>
      <c r="C194" s="14">
        <f t="shared" ca="1" si="20"/>
        <v>0.82635512273055822</v>
      </c>
      <c r="D194" s="14">
        <f t="shared" ca="1" si="21"/>
        <v>0.82629744464772337</v>
      </c>
      <c r="E194" s="14">
        <f t="shared" ca="1" si="22"/>
        <v>0.93985926478275572</v>
      </c>
      <c r="F194" s="14">
        <f t="shared" ca="1" si="23"/>
        <v>1.1533428558167977</v>
      </c>
      <c r="G194" s="14">
        <f t="shared" ca="1" si="24"/>
        <v>0.79568230864708211</v>
      </c>
      <c r="H194" s="15">
        <f t="shared" ca="1" si="25"/>
        <v>0.826355122730558</v>
      </c>
      <c r="I194" s="14">
        <f ca="1">IF(G194&lt;0.05,1,0)*$B$1*$B$2</f>
        <v>0</v>
      </c>
      <c r="J194" s="14">
        <f ca="1">IF(H194&lt;0.05,1,0)*$B$1*$B$2</f>
        <v>0</v>
      </c>
      <c r="K194" s="15">
        <f t="shared" ca="1" si="26"/>
        <v>0</v>
      </c>
      <c r="P194" s="3">
        <v>190</v>
      </c>
      <c r="Q194" s="4">
        <f t="shared" ca="1" si="27"/>
        <v>0.79568230864708211</v>
      </c>
      <c r="R194" s="4">
        <f t="shared" ca="1" si="28"/>
        <v>0.826355122730558</v>
      </c>
      <c r="S194" s="4">
        <f ca="1">$B$1*Q194*$B$2</f>
        <v>31.827292345883286</v>
      </c>
      <c r="T194" s="4">
        <f ca="1">$B$1*R194*$B$2</f>
        <v>33.054204909222321</v>
      </c>
      <c r="U194" s="7">
        <f t="shared" ca="1" si="29"/>
        <v>64.881497255105614</v>
      </c>
    </row>
    <row r="195" spans="2:21" x14ac:dyDescent="0.3">
      <c r="B195" s="13">
        <f t="shared" ca="1" si="20"/>
        <v>2.9573212744432142E-2</v>
      </c>
      <c r="C195" s="14">
        <f t="shared" ca="1" si="20"/>
        <v>5.2625029654084221E-2</v>
      </c>
      <c r="D195" s="14">
        <f t="shared" ca="1" si="21"/>
        <v>-1.8871033554304448</v>
      </c>
      <c r="E195" s="14">
        <f t="shared" ca="1" si="22"/>
        <v>-1.6199172243869175</v>
      </c>
      <c r="F195" s="14">
        <f t="shared" ca="1" si="23"/>
        <v>-2.4044985676877477</v>
      </c>
      <c r="G195" s="14">
        <f t="shared" ca="1" si="24"/>
        <v>2.9573212744432163E-2</v>
      </c>
      <c r="H195" s="15">
        <f t="shared" ca="1" si="25"/>
        <v>5.2625029654084214E-2</v>
      </c>
      <c r="I195" s="14">
        <f ca="1">IF(G195&lt;0.05,1,0)*$B$1*$B$2</f>
        <v>40</v>
      </c>
      <c r="J195" s="14">
        <f ca="1">IF(H195&lt;0.05,1,0)*$B$1*$B$2</f>
        <v>0</v>
      </c>
      <c r="K195" s="15">
        <f t="shared" ca="1" si="26"/>
        <v>40</v>
      </c>
      <c r="P195" s="3">
        <v>191</v>
      </c>
      <c r="Q195" s="4">
        <f t="shared" ca="1" si="27"/>
        <v>2.9573212744432163E-2</v>
      </c>
      <c r="R195" s="4">
        <f t="shared" ca="1" si="28"/>
        <v>5.2625029654084214E-2</v>
      </c>
      <c r="S195" s="4">
        <f ca="1">$B$1*Q195*$B$2</f>
        <v>1.1829285097772866</v>
      </c>
      <c r="T195" s="4">
        <f ca="1">$B$1*R195*$B$2</f>
        <v>2.1050011861633684</v>
      </c>
      <c r="U195" s="7">
        <f t="shared" ca="1" si="29"/>
        <v>3.287929695940655</v>
      </c>
    </row>
    <row r="196" spans="2:21" x14ac:dyDescent="0.3">
      <c r="B196" s="13">
        <f t="shared" ca="1" si="20"/>
        <v>0.37999190983110431</v>
      </c>
      <c r="C196" s="14">
        <f t="shared" ca="1" si="20"/>
        <v>0.69740471689446815</v>
      </c>
      <c r="D196" s="14">
        <f t="shared" ca="1" si="21"/>
        <v>-0.30550203584164515</v>
      </c>
      <c r="E196" s="14">
        <f t="shared" ca="1" si="22"/>
        <v>0.51695071132196591</v>
      </c>
      <c r="F196" s="14">
        <f t="shared" ca="1" si="23"/>
        <v>-4.9618241313089007E-2</v>
      </c>
      <c r="G196" s="14">
        <f t="shared" ca="1" si="24"/>
        <v>0.37999190983110426</v>
      </c>
      <c r="H196" s="15">
        <f t="shared" ca="1" si="25"/>
        <v>0.69740471689446815</v>
      </c>
      <c r="I196" s="14">
        <f ca="1">IF(G196&lt;0.05,1,0)*$B$1*$B$2</f>
        <v>0</v>
      </c>
      <c r="J196" s="14">
        <f ca="1">IF(H196&lt;0.05,1,0)*$B$1*$B$2</f>
        <v>0</v>
      </c>
      <c r="K196" s="15">
        <f t="shared" ca="1" si="26"/>
        <v>0</v>
      </c>
      <c r="P196" s="3">
        <v>192</v>
      </c>
      <c r="Q196" s="4">
        <f t="shared" ca="1" si="27"/>
        <v>0.37999190983110426</v>
      </c>
      <c r="R196" s="4">
        <f t="shared" ca="1" si="28"/>
        <v>0.69740471689446815</v>
      </c>
      <c r="S196" s="4">
        <f ca="1">$B$1*Q196*$B$2</f>
        <v>15.19967639324417</v>
      </c>
      <c r="T196" s="4">
        <f ca="1">$B$1*R196*$B$2</f>
        <v>27.896188675778731</v>
      </c>
      <c r="U196" s="7">
        <f t="shared" ca="1" si="29"/>
        <v>43.095865069022899</v>
      </c>
    </row>
    <row r="197" spans="2:21" x14ac:dyDescent="0.3">
      <c r="B197" s="13">
        <f t="shared" ca="1" si="20"/>
        <v>0.75854258987054757</v>
      </c>
      <c r="C197" s="14">
        <f t="shared" ca="1" si="20"/>
        <v>8.2359774684474751E-2</v>
      </c>
      <c r="D197" s="14">
        <f t="shared" ca="1" si="21"/>
        <v>0.70162217266207805</v>
      </c>
      <c r="E197" s="14">
        <f t="shared" ca="1" si="22"/>
        <v>-1.3893723642856206</v>
      </c>
      <c r="F197" s="14">
        <f t="shared" ca="1" si="23"/>
        <v>2.5846582308950428E-2</v>
      </c>
      <c r="G197" s="14">
        <f t="shared" ca="1" si="24"/>
        <v>0.75854258987054757</v>
      </c>
      <c r="H197" s="15">
        <f t="shared" ca="1" si="25"/>
        <v>8.2359774684474862E-2</v>
      </c>
      <c r="I197" s="14">
        <f ca="1">IF(G197&lt;0.05,1,0)*$B$1*$B$2</f>
        <v>0</v>
      </c>
      <c r="J197" s="14">
        <f ca="1">IF(H197&lt;0.05,1,0)*$B$1*$B$2</f>
        <v>0</v>
      </c>
      <c r="K197" s="15">
        <f t="shared" ca="1" si="26"/>
        <v>0</v>
      </c>
      <c r="P197" s="3">
        <v>193</v>
      </c>
      <c r="Q197" s="4">
        <f t="shared" ca="1" si="27"/>
        <v>0.75854258987054757</v>
      </c>
      <c r="R197" s="4">
        <f t="shared" ca="1" si="28"/>
        <v>8.2359774684474862E-2</v>
      </c>
      <c r="S197" s="4">
        <f ca="1">$B$1*Q197*$B$2</f>
        <v>30.341703594821908</v>
      </c>
      <c r="T197" s="4">
        <f ca="1">$B$1*R197*$B$2</f>
        <v>3.2943909873789949</v>
      </c>
      <c r="U197" s="7">
        <f t="shared" ca="1" si="29"/>
        <v>33.636094582200904</v>
      </c>
    </row>
    <row r="198" spans="2:21" x14ac:dyDescent="0.3">
      <c r="B198" s="13">
        <f t="shared" ref="B198:C261" ca="1" si="30">RAND()</f>
        <v>0.18632717854866176</v>
      </c>
      <c r="C198" s="14">
        <f t="shared" ca="1" si="30"/>
        <v>0.7140368029882862</v>
      </c>
      <c r="D198" s="14">
        <f t="shared" ref="D198:D261" ca="1" si="31">_xlfn.NORM.S.INV(B198)</f>
        <v>-0.89151237230244518</v>
      </c>
      <c r="E198" s="14">
        <f t="shared" ref="E198:E261" ca="1" si="32">_xlfn.NORM.S.INV(C198)</f>
        <v>0.5652166780399176</v>
      </c>
      <c r="F198" s="14">
        <f t="shared" ref="F198:F261" ca="1" si="33">($Y$5*D198)+(SQRT(1-$Y$5^2)*E198)</f>
        <v>-0.55598889699422416</v>
      </c>
      <c r="G198" s="14">
        <f t="shared" ref="G198:G261" ca="1" si="34">_xlfn.NORM.S.DIST(D198,TRUE)</f>
        <v>0.18632717854866174</v>
      </c>
      <c r="H198" s="15">
        <f t="shared" ref="H198:H261" ca="1" si="35">_xlfn.NORM.S.DIST(E198,TRUE)</f>
        <v>0.7140368029882862</v>
      </c>
      <c r="I198" s="14">
        <f ca="1">IF(G198&lt;0.05,1,0)*$B$1*$B$2</f>
        <v>0</v>
      </c>
      <c r="J198" s="14">
        <f ca="1">IF(H198&lt;0.05,1,0)*$B$1*$B$2</f>
        <v>0</v>
      </c>
      <c r="K198" s="15">
        <f t="shared" ref="K198:K261" ca="1" si="36">I198+J198</f>
        <v>0</v>
      </c>
      <c r="P198" s="3">
        <v>194</v>
      </c>
      <c r="Q198" s="4">
        <f t="shared" ref="Q198:Q261" ca="1" si="37">G198</f>
        <v>0.18632717854866174</v>
      </c>
      <c r="R198" s="4">
        <f t="shared" ref="R198:R261" ca="1" si="38">H198</f>
        <v>0.7140368029882862</v>
      </c>
      <c r="S198" s="4">
        <f ca="1">$B$1*Q198*$B$2</f>
        <v>7.4530871419464688</v>
      </c>
      <c r="T198" s="4">
        <f ca="1">$B$1*R198*$B$2</f>
        <v>28.561472119531448</v>
      </c>
      <c r="U198" s="7">
        <f t="shared" ref="U198:U261" ca="1" si="39">S198+T198</f>
        <v>36.014559261477913</v>
      </c>
    </row>
    <row r="199" spans="2:21" x14ac:dyDescent="0.3">
      <c r="B199" s="13">
        <f t="shared" ca="1" si="30"/>
        <v>0.68954100251565287</v>
      </c>
      <c r="C199" s="14">
        <f t="shared" ca="1" si="30"/>
        <v>0.3319376794527068</v>
      </c>
      <c r="D199" s="14">
        <f t="shared" ca="1" si="31"/>
        <v>0.49454972929595437</v>
      </c>
      <c r="E199" s="14">
        <f t="shared" ca="1" si="32"/>
        <v>-0.4345689197211095</v>
      </c>
      <c r="F199" s="14">
        <f t="shared" ca="1" si="33"/>
        <v>0.25567055585956333</v>
      </c>
      <c r="G199" s="14">
        <f t="shared" ca="1" si="34"/>
        <v>0.68954100251565287</v>
      </c>
      <c r="H199" s="15">
        <f t="shared" ca="1" si="35"/>
        <v>0.33193767945270669</v>
      </c>
      <c r="I199" s="14">
        <f ca="1">IF(G199&lt;0.05,1,0)*$B$1*$B$2</f>
        <v>0</v>
      </c>
      <c r="J199" s="14">
        <f ca="1">IF(H199&lt;0.05,1,0)*$B$1*$B$2</f>
        <v>0</v>
      </c>
      <c r="K199" s="15">
        <f t="shared" ca="1" si="36"/>
        <v>0</v>
      </c>
      <c r="P199" s="3">
        <v>195</v>
      </c>
      <c r="Q199" s="4">
        <f t="shared" ca="1" si="37"/>
        <v>0.68954100251565287</v>
      </c>
      <c r="R199" s="4">
        <f t="shared" ca="1" si="38"/>
        <v>0.33193767945270669</v>
      </c>
      <c r="S199" s="4">
        <f ca="1">$B$1*Q199*$B$2</f>
        <v>27.581640100626117</v>
      </c>
      <c r="T199" s="4">
        <f ca="1">$B$1*R199*$B$2</f>
        <v>13.277507178108269</v>
      </c>
      <c r="U199" s="7">
        <f t="shared" ca="1" si="39"/>
        <v>40.859147278734383</v>
      </c>
    </row>
    <row r="200" spans="2:21" x14ac:dyDescent="0.3">
      <c r="B200" s="13">
        <f t="shared" ca="1" si="30"/>
        <v>0.53165454350414609</v>
      </c>
      <c r="C200" s="14">
        <f t="shared" ca="1" si="30"/>
        <v>9.6144406248066749E-2</v>
      </c>
      <c r="D200" s="14">
        <f t="shared" ca="1" si="31"/>
        <v>7.9429615873100004E-2</v>
      </c>
      <c r="E200" s="14">
        <f t="shared" ca="1" si="32"/>
        <v>-1.3038380314357172</v>
      </c>
      <c r="F200" s="14">
        <f t="shared" ca="1" si="33"/>
        <v>-0.49684316749153984</v>
      </c>
      <c r="G200" s="14">
        <f t="shared" ca="1" si="34"/>
        <v>0.53165454350414609</v>
      </c>
      <c r="H200" s="15">
        <f t="shared" ca="1" si="35"/>
        <v>9.6144406248066666E-2</v>
      </c>
      <c r="I200" s="14">
        <f ca="1">IF(G200&lt;0.05,1,0)*$B$1*$B$2</f>
        <v>0</v>
      </c>
      <c r="J200" s="14">
        <f ca="1">IF(H200&lt;0.05,1,0)*$B$1*$B$2</f>
        <v>0</v>
      </c>
      <c r="K200" s="15">
        <f t="shared" ca="1" si="36"/>
        <v>0</v>
      </c>
      <c r="P200" s="3">
        <v>196</v>
      </c>
      <c r="Q200" s="4">
        <f t="shared" ca="1" si="37"/>
        <v>0.53165454350414609</v>
      </c>
      <c r="R200" s="4">
        <f t="shared" ca="1" si="38"/>
        <v>9.6144406248066666E-2</v>
      </c>
      <c r="S200" s="4">
        <f ca="1">$B$1*Q200*$B$2</f>
        <v>21.266181740165845</v>
      </c>
      <c r="T200" s="4">
        <f ca="1">$B$1*R200*$B$2</f>
        <v>3.8457762499226669</v>
      </c>
      <c r="U200" s="7">
        <f t="shared" ca="1" si="39"/>
        <v>25.111957990088513</v>
      </c>
    </row>
    <row r="201" spans="2:21" x14ac:dyDescent="0.3">
      <c r="B201" s="13">
        <f t="shared" ca="1" si="30"/>
        <v>0.30243614002706765</v>
      </c>
      <c r="C201" s="14">
        <f t="shared" ca="1" si="30"/>
        <v>0.86136503081930371</v>
      </c>
      <c r="D201" s="14">
        <f t="shared" ca="1" si="31"/>
        <v>-0.51740670507493802</v>
      </c>
      <c r="E201" s="14">
        <f t="shared" ca="1" si="32"/>
        <v>1.0864726419195134</v>
      </c>
      <c r="F201" s="14">
        <f t="shared" ca="1" si="33"/>
        <v>7.9164105374368576E-3</v>
      </c>
      <c r="G201" s="14">
        <f t="shared" ca="1" si="34"/>
        <v>0.30243614002706753</v>
      </c>
      <c r="H201" s="15">
        <f t="shared" ca="1" si="35"/>
        <v>0.86136503081930371</v>
      </c>
      <c r="I201" s="14">
        <f ca="1">IF(G201&lt;0.05,1,0)*$B$1*$B$2</f>
        <v>0</v>
      </c>
      <c r="J201" s="14">
        <f ca="1">IF(H201&lt;0.05,1,0)*$B$1*$B$2</f>
        <v>0</v>
      </c>
      <c r="K201" s="15">
        <f t="shared" ca="1" si="36"/>
        <v>0</v>
      </c>
      <c r="P201" s="3">
        <v>197</v>
      </c>
      <c r="Q201" s="4">
        <f t="shared" ca="1" si="37"/>
        <v>0.30243614002706753</v>
      </c>
      <c r="R201" s="4">
        <f t="shared" ca="1" si="38"/>
        <v>0.86136503081930371</v>
      </c>
      <c r="S201" s="4">
        <f ca="1">$B$1*Q201*$B$2</f>
        <v>12.097445601082702</v>
      </c>
      <c r="T201" s="4">
        <f ca="1">$B$1*R201*$B$2</f>
        <v>34.454601232772148</v>
      </c>
      <c r="U201" s="7">
        <f t="shared" ca="1" si="39"/>
        <v>46.552046833854853</v>
      </c>
    </row>
    <row r="202" spans="2:21" x14ac:dyDescent="0.3">
      <c r="B202" s="13">
        <f t="shared" ca="1" si="30"/>
        <v>0.10795735028192432</v>
      </c>
      <c r="C202" s="14">
        <f t="shared" ca="1" si="30"/>
        <v>0.63223745352997207</v>
      </c>
      <c r="D202" s="14">
        <f t="shared" ca="1" si="31"/>
        <v>-1.2374644604724121</v>
      </c>
      <c r="E202" s="14">
        <f t="shared" ca="1" si="32"/>
        <v>0.33778516123832275</v>
      </c>
      <c r="F202" s="14">
        <f t="shared" ca="1" si="33"/>
        <v>-0.96648087617862677</v>
      </c>
      <c r="G202" s="14">
        <f t="shared" ca="1" si="34"/>
        <v>0.1079573502819242</v>
      </c>
      <c r="H202" s="15">
        <f t="shared" ca="1" si="35"/>
        <v>0.63223745352997207</v>
      </c>
      <c r="I202" s="14">
        <f ca="1">IF(G202&lt;0.05,1,0)*$B$1*$B$2</f>
        <v>0</v>
      </c>
      <c r="J202" s="14">
        <f ca="1">IF(H202&lt;0.05,1,0)*$B$1*$B$2</f>
        <v>0</v>
      </c>
      <c r="K202" s="15">
        <f t="shared" ca="1" si="36"/>
        <v>0</v>
      </c>
      <c r="P202" s="3">
        <v>198</v>
      </c>
      <c r="Q202" s="4">
        <f t="shared" ca="1" si="37"/>
        <v>0.1079573502819242</v>
      </c>
      <c r="R202" s="4">
        <f t="shared" ca="1" si="38"/>
        <v>0.63223745352997207</v>
      </c>
      <c r="S202" s="4">
        <f ca="1">$B$1*Q202*$B$2</f>
        <v>4.3182940112769677</v>
      </c>
      <c r="T202" s="4">
        <f ca="1">$B$1*R202*$B$2</f>
        <v>25.289498141198884</v>
      </c>
      <c r="U202" s="7">
        <f t="shared" ca="1" si="39"/>
        <v>29.607792152475852</v>
      </c>
    </row>
    <row r="203" spans="2:21" x14ac:dyDescent="0.3">
      <c r="B203" s="13">
        <f t="shared" ca="1" si="30"/>
        <v>0.44866317538775868</v>
      </c>
      <c r="C203" s="14">
        <f t="shared" ca="1" si="30"/>
        <v>6.5813676731739101E-2</v>
      </c>
      <c r="D203" s="14">
        <f t="shared" ca="1" si="31"/>
        <v>-0.12903955413781348</v>
      </c>
      <c r="E203" s="14">
        <f t="shared" ca="1" si="32"/>
        <v>-1.5077155128665498</v>
      </c>
      <c r="F203" s="14">
        <f t="shared" ca="1" si="33"/>
        <v>-0.77333355434342088</v>
      </c>
      <c r="G203" s="14">
        <f t="shared" ca="1" si="34"/>
        <v>0.44866317538775868</v>
      </c>
      <c r="H203" s="15">
        <f t="shared" ca="1" si="35"/>
        <v>6.5813676731739129E-2</v>
      </c>
      <c r="I203" s="14">
        <f ca="1">IF(G203&lt;0.05,1,0)*$B$1*$B$2</f>
        <v>0</v>
      </c>
      <c r="J203" s="14">
        <f ca="1">IF(H203&lt;0.05,1,0)*$B$1*$B$2</f>
        <v>0</v>
      </c>
      <c r="K203" s="15">
        <f t="shared" ca="1" si="36"/>
        <v>0</v>
      </c>
      <c r="P203" s="3">
        <v>199</v>
      </c>
      <c r="Q203" s="4">
        <f t="shared" ca="1" si="37"/>
        <v>0.44866317538775868</v>
      </c>
      <c r="R203" s="4">
        <f t="shared" ca="1" si="38"/>
        <v>6.5813676731739129E-2</v>
      </c>
      <c r="S203" s="4">
        <f ca="1">$B$1*Q203*$B$2</f>
        <v>17.946527015510348</v>
      </c>
      <c r="T203" s="4">
        <f ca="1">$B$1*R203*$B$2</f>
        <v>2.6325470692695654</v>
      </c>
      <c r="U203" s="7">
        <f t="shared" ca="1" si="39"/>
        <v>20.579074084779915</v>
      </c>
    </row>
    <row r="204" spans="2:21" x14ac:dyDescent="0.3">
      <c r="B204" s="13">
        <f t="shared" ca="1" si="30"/>
        <v>0.35869613075770135</v>
      </c>
      <c r="C204" s="14">
        <f t="shared" ca="1" si="30"/>
        <v>0.58517239391154541</v>
      </c>
      <c r="D204" s="14">
        <f t="shared" ca="1" si="31"/>
        <v>-0.36194616395107743</v>
      </c>
      <c r="E204" s="14">
        <f t="shared" ca="1" si="32"/>
        <v>0.21514379196675218</v>
      </c>
      <c r="F204" s="14">
        <f t="shared" ca="1" si="33"/>
        <v>-0.23197254280464866</v>
      </c>
      <c r="G204" s="14">
        <f t="shared" ca="1" si="34"/>
        <v>0.35869613075770129</v>
      </c>
      <c r="H204" s="15">
        <f t="shared" ca="1" si="35"/>
        <v>0.58517239391154541</v>
      </c>
      <c r="I204" s="14">
        <f ca="1">IF(G204&lt;0.05,1,0)*$B$1*$B$2</f>
        <v>0</v>
      </c>
      <c r="J204" s="14">
        <f ca="1">IF(H204&lt;0.05,1,0)*$B$1*$B$2</f>
        <v>0</v>
      </c>
      <c r="K204" s="15">
        <f t="shared" ca="1" si="36"/>
        <v>0</v>
      </c>
      <c r="P204" s="3">
        <v>200</v>
      </c>
      <c r="Q204" s="4">
        <f t="shared" ca="1" si="37"/>
        <v>0.35869613075770129</v>
      </c>
      <c r="R204" s="4">
        <f t="shared" ca="1" si="38"/>
        <v>0.58517239391154541</v>
      </c>
      <c r="S204" s="4">
        <f ca="1">$B$1*Q204*$B$2</f>
        <v>14.347845230308053</v>
      </c>
      <c r="T204" s="4">
        <f ca="1">$B$1*R204*$B$2</f>
        <v>23.406895756461818</v>
      </c>
      <c r="U204" s="7">
        <f t="shared" ca="1" si="39"/>
        <v>37.754740986769875</v>
      </c>
    </row>
    <row r="205" spans="2:21" x14ac:dyDescent="0.3">
      <c r="B205" s="13">
        <f t="shared" ca="1" si="30"/>
        <v>0.5823481470599946</v>
      </c>
      <c r="C205" s="14">
        <f t="shared" ca="1" si="30"/>
        <v>0.93864368223958905</v>
      </c>
      <c r="D205" s="14">
        <f t="shared" ca="1" si="31"/>
        <v>0.20790428173773873</v>
      </c>
      <c r="E205" s="14">
        <f t="shared" ca="1" si="32"/>
        <v>1.5434870980294335</v>
      </c>
      <c r="F205" s="14">
        <f t="shared" ca="1" si="33"/>
        <v>0.85990428166088062</v>
      </c>
      <c r="G205" s="14">
        <f t="shared" ca="1" si="34"/>
        <v>0.5823481470599946</v>
      </c>
      <c r="H205" s="15">
        <f t="shared" ca="1" si="35"/>
        <v>0.93864368223958905</v>
      </c>
      <c r="I205" s="14">
        <f ca="1">IF(G205&lt;0.05,1,0)*$B$1*$B$2</f>
        <v>0</v>
      </c>
      <c r="J205" s="14">
        <f ca="1">IF(H205&lt;0.05,1,0)*$B$1*$B$2</f>
        <v>0</v>
      </c>
      <c r="K205" s="15">
        <f t="shared" ca="1" si="36"/>
        <v>0</v>
      </c>
      <c r="P205" s="3">
        <v>201</v>
      </c>
      <c r="Q205" s="4">
        <f t="shared" ca="1" si="37"/>
        <v>0.5823481470599946</v>
      </c>
      <c r="R205" s="4">
        <f t="shared" ca="1" si="38"/>
        <v>0.93864368223958905</v>
      </c>
      <c r="S205" s="4">
        <f ca="1">$B$1*Q205*$B$2</f>
        <v>23.293925882399787</v>
      </c>
      <c r="T205" s="4">
        <f ca="1">$B$1*R205*$B$2</f>
        <v>37.545747289583566</v>
      </c>
      <c r="U205" s="7">
        <f t="shared" ca="1" si="39"/>
        <v>60.83967317198335</v>
      </c>
    </row>
    <row r="206" spans="2:21" x14ac:dyDescent="0.3">
      <c r="B206" s="13">
        <f t="shared" ca="1" si="30"/>
        <v>0.56759025786969719</v>
      </c>
      <c r="C206" s="14">
        <f t="shared" ca="1" si="30"/>
        <v>0.98237058993865745</v>
      </c>
      <c r="D206" s="14">
        <f t="shared" ca="1" si="31"/>
        <v>0.17024243018878715</v>
      </c>
      <c r="E206" s="14">
        <f t="shared" ca="1" si="32"/>
        <v>2.1053733684542855</v>
      </c>
      <c r="F206" s="14">
        <f t="shared" ca="1" si="33"/>
        <v>1.0709291623213137</v>
      </c>
      <c r="G206" s="14">
        <f t="shared" ca="1" si="34"/>
        <v>0.56759025786969719</v>
      </c>
      <c r="H206" s="15">
        <f t="shared" ca="1" si="35"/>
        <v>0.98237058993865745</v>
      </c>
      <c r="I206" s="14">
        <f ca="1">IF(G206&lt;0.05,1,0)*$B$1*$B$2</f>
        <v>0</v>
      </c>
      <c r="J206" s="14">
        <f ca="1">IF(H206&lt;0.05,1,0)*$B$1*$B$2</f>
        <v>0</v>
      </c>
      <c r="K206" s="15">
        <f t="shared" ca="1" si="36"/>
        <v>0</v>
      </c>
      <c r="P206" s="3">
        <v>202</v>
      </c>
      <c r="Q206" s="4">
        <f t="shared" ca="1" si="37"/>
        <v>0.56759025786969719</v>
      </c>
      <c r="R206" s="4">
        <f t="shared" ca="1" si="38"/>
        <v>0.98237058993865745</v>
      </c>
      <c r="S206" s="4">
        <f ca="1">$B$1*Q206*$B$2</f>
        <v>22.703610314787888</v>
      </c>
      <c r="T206" s="4">
        <f ca="1">$B$1*R206*$B$2</f>
        <v>39.294823597546298</v>
      </c>
      <c r="U206" s="7">
        <f t="shared" ca="1" si="39"/>
        <v>61.998433912334185</v>
      </c>
    </row>
    <row r="207" spans="2:21" x14ac:dyDescent="0.3">
      <c r="B207" s="13">
        <f t="shared" ca="1" si="30"/>
        <v>0.27199035477660216</v>
      </c>
      <c r="C207" s="14">
        <f t="shared" ca="1" si="30"/>
        <v>0.94487002854926405</v>
      </c>
      <c r="D207" s="14">
        <f t="shared" ca="1" si="31"/>
        <v>-0.60680442745715624</v>
      </c>
      <c r="E207" s="14">
        <f t="shared" ca="1" si="32"/>
        <v>1.5970258601748857</v>
      </c>
      <c r="F207" s="14">
        <f t="shared" ca="1" si="33"/>
        <v>0.15000344876090366</v>
      </c>
      <c r="G207" s="14">
        <f t="shared" ca="1" si="34"/>
        <v>0.27199035477660211</v>
      </c>
      <c r="H207" s="15">
        <f t="shared" ca="1" si="35"/>
        <v>0.94487002854926405</v>
      </c>
      <c r="I207" s="14">
        <f ca="1">IF(G207&lt;0.05,1,0)*$B$1*$B$2</f>
        <v>0</v>
      </c>
      <c r="J207" s="14">
        <f ca="1">IF(H207&lt;0.05,1,0)*$B$1*$B$2</f>
        <v>0</v>
      </c>
      <c r="K207" s="15">
        <f t="shared" ca="1" si="36"/>
        <v>0</v>
      </c>
      <c r="P207" s="3">
        <v>203</v>
      </c>
      <c r="Q207" s="4">
        <f t="shared" ca="1" si="37"/>
        <v>0.27199035477660211</v>
      </c>
      <c r="R207" s="4">
        <f t="shared" ca="1" si="38"/>
        <v>0.94487002854926405</v>
      </c>
      <c r="S207" s="4">
        <f ca="1">$B$1*Q207*$B$2</f>
        <v>10.879614191064086</v>
      </c>
      <c r="T207" s="4">
        <f ca="1">$B$1*R207*$B$2</f>
        <v>37.794801141970559</v>
      </c>
      <c r="U207" s="7">
        <f t="shared" ca="1" si="39"/>
        <v>48.674415333034645</v>
      </c>
    </row>
    <row r="208" spans="2:21" x14ac:dyDescent="0.3">
      <c r="B208" s="13">
        <f t="shared" ca="1" si="30"/>
        <v>0.64087932874520803</v>
      </c>
      <c r="C208" s="14">
        <f t="shared" ca="1" si="30"/>
        <v>0.72910290397105371</v>
      </c>
      <c r="D208" s="14">
        <f t="shared" ca="1" si="31"/>
        <v>0.36081019294675848</v>
      </c>
      <c r="E208" s="14">
        <f t="shared" ca="1" si="32"/>
        <v>0.61010207520585835</v>
      </c>
      <c r="F208" s="14">
        <f t="shared" ca="1" si="33"/>
        <v>0.59066650275876142</v>
      </c>
      <c r="G208" s="14">
        <f t="shared" ca="1" si="34"/>
        <v>0.64087932874520814</v>
      </c>
      <c r="H208" s="15">
        <f t="shared" ca="1" si="35"/>
        <v>0.72910290397105382</v>
      </c>
      <c r="I208" s="14">
        <f ca="1">IF(G208&lt;0.05,1,0)*$B$1*$B$2</f>
        <v>0</v>
      </c>
      <c r="J208" s="14">
        <f ca="1">IF(H208&lt;0.05,1,0)*$B$1*$B$2</f>
        <v>0</v>
      </c>
      <c r="K208" s="15">
        <f t="shared" ca="1" si="36"/>
        <v>0</v>
      </c>
      <c r="P208" s="3">
        <v>204</v>
      </c>
      <c r="Q208" s="4">
        <f t="shared" ca="1" si="37"/>
        <v>0.64087932874520814</v>
      </c>
      <c r="R208" s="4">
        <f t="shared" ca="1" si="38"/>
        <v>0.72910290397105382</v>
      </c>
      <c r="S208" s="4">
        <f ca="1">$B$1*Q208*$B$2</f>
        <v>25.635173149808328</v>
      </c>
      <c r="T208" s="4">
        <f ca="1">$B$1*R208*$B$2</f>
        <v>29.164116158842155</v>
      </c>
      <c r="U208" s="7">
        <f t="shared" ca="1" si="39"/>
        <v>54.799289308650486</v>
      </c>
    </row>
    <row r="209" spans="2:21" x14ac:dyDescent="0.3">
      <c r="B209" s="13">
        <f t="shared" ca="1" si="30"/>
        <v>0.71924450819373809</v>
      </c>
      <c r="C209" s="14">
        <f t="shared" ca="1" si="30"/>
        <v>0.8293039482684591</v>
      </c>
      <c r="D209" s="14">
        <f t="shared" ca="1" si="31"/>
        <v>0.58059864813176787</v>
      </c>
      <c r="E209" s="14">
        <f t="shared" ca="1" si="32"/>
        <v>0.95141824238370554</v>
      </c>
      <c r="F209" s="14">
        <f t="shared" ca="1" si="33"/>
        <v>0.93725238047775683</v>
      </c>
      <c r="G209" s="14">
        <f t="shared" ca="1" si="34"/>
        <v>0.71924450819373809</v>
      </c>
      <c r="H209" s="15">
        <f t="shared" ca="1" si="35"/>
        <v>0.82930394826845899</v>
      </c>
      <c r="I209" s="14">
        <f ca="1">IF(G209&lt;0.05,1,0)*$B$1*$B$2</f>
        <v>0</v>
      </c>
      <c r="J209" s="14">
        <f ca="1">IF(H209&lt;0.05,1,0)*$B$1*$B$2</f>
        <v>0</v>
      </c>
      <c r="K209" s="15">
        <f t="shared" ca="1" si="36"/>
        <v>0</v>
      </c>
      <c r="P209" s="3">
        <v>205</v>
      </c>
      <c r="Q209" s="4">
        <f t="shared" ca="1" si="37"/>
        <v>0.71924450819373809</v>
      </c>
      <c r="R209" s="4">
        <f t="shared" ca="1" si="38"/>
        <v>0.82930394826845899</v>
      </c>
      <c r="S209" s="4">
        <f ca="1">$B$1*Q209*$B$2</f>
        <v>28.769780327749523</v>
      </c>
      <c r="T209" s="4">
        <f ca="1">$B$1*R209*$B$2</f>
        <v>33.172157930738358</v>
      </c>
      <c r="U209" s="7">
        <f t="shared" ca="1" si="39"/>
        <v>61.94193825848788</v>
      </c>
    </row>
    <row r="210" spans="2:21" x14ac:dyDescent="0.3">
      <c r="B210" s="13">
        <f t="shared" ca="1" si="30"/>
        <v>7.615121369926392E-2</v>
      </c>
      <c r="C210" s="14">
        <f t="shared" ca="1" si="30"/>
        <v>0.76514534324431849</v>
      </c>
      <c r="D210" s="14">
        <f t="shared" ca="1" si="31"/>
        <v>-1.4314460190059952</v>
      </c>
      <c r="E210" s="14">
        <f t="shared" ca="1" si="32"/>
        <v>0.72295209932409132</v>
      </c>
      <c r="F210" s="14">
        <f t="shared" ca="1" si="33"/>
        <v>-0.97317390290796646</v>
      </c>
      <c r="G210" s="14">
        <f t="shared" ca="1" si="34"/>
        <v>7.61512136992641E-2</v>
      </c>
      <c r="H210" s="15">
        <f t="shared" ca="1" si="35"/>
        <v>0.76514534324431849</v>
      </c>
      <c r="I210" s="14">
        <f ca="1">IF(G210&lt;0.05,1,0)*$B$1*$B$2</f>
        <v>0</v>
      </c>
      <c r="J210" s="14">
        <f ca="1">IF(H210&lt;0.05,1,0)*$B$1*$B$2</f>
        <v>0</v>
      </c>
      <c r="K210" s="15">
        <f t="shared" ca="1" si="36"/>
        <v>0</v>
      </c>
      <c r="P210" s="3">
        <v>206</v>
      </c>
      <c r="Q210" s="4">
        <f t="shared" ca="1" si="37"/>
        <v>7.61512136992641E-2</v>
      </c>
      <c r="R210" s="4">
        <f t="shared" ca="1" si="38"/>
        <v>0.76514534324431849</v>
      </c>
      <c r="S210" s="4">
        <f ca="1">$B$1*Q210*$B$2</f>
        <v>3.0460485479705639</v>
      </c>
      <c r="T210" s="4">
        <f ca="1">$B$1*R210*$B$2</f>
        <v>30.605813729772741</v>
      </c>
      <c r="U210" s="7">
        <f t="shared" ca="1" si="39"/>
        <v>33.651862277743305</v>
      </c>
    </row>
    <row r="211" spans="2:21" x14ac:dyDescent="0.3">
      <c r="B211" s="13">
        <f t="shared" ca="1" si="30"/>
        <v>0.39904152620754851</v>
      </c>
      <c r="C211" s="14">
        <f t="shared" ca="1" si="30"/>
        <v>0.81262547587828537</v>
      </c>
      <c r="D211" s="14">
        <f t="shared" ca="1" si="31"/>
        <v>-0.25582877686577599</v>
      </c>
      <c r="E211" s="14">
        <f t="shared" ca="1" si="32"/>
        <v>0.88761283301356897</v>
      </c>
      <c r="F211" s="14">
        <f t="shared" ca="1" si="33"/>
        <v>0.15665556483040058</v>
      </c>
      <c r="G211" s="14">
        <f t="shared" ca="1" si="34"/>
        <v>0.39904152620754846</v>
      </c>
      <c r="H211" s="15">
        <f t="shared" ca="1" si="35"/>
        <v>0.81262547587828537</v>
      </c>
      <c r="I211" s="14">
        <f ca="1">IF(G211&lt;0.05,1,0)*$B$1*$B$2</f>
        <v>0</v>
      </c>
      <c r="J211" s="14">
        <f ca="1">IF(H211&lt;0.05,1,0)*$B$1*$B$2</f>
        <v>0</v>
      </c>
      <c r="K211" s="15">
        <f t="shared" ca="1" si="36"/>
        <v>0</v>
      </c>
      <c r="P211" s="3">
        <v>207</v>
      </c>
      <c r="Q211" s="4">
        <f t="shared" ca="1" si="37"/>
        <v>0.39904152620754846</v>
      </c>
      <c r="R211" s="4">
        <f t="shared" ca="1" si="38"/>
        <v>0.81262547587828537</v>
      </c>
      <c r="S211" s="4">
        <f ca="1">$B$1*Q211*$B$2</f>
        <v>15.961661048301938</v>
      </c>
      <c r="T211" s="4">
        <f ca="1">$B$1*R211*$B$2</f>
        <v>32.505019035131419</v>
      </c>
      <c r="U211" s="7">
        <f t="shared" ca="1" si="39"/>
        <v>48.46668008343336</v>
      </c>
    </row>
    <row r="212" spans="2:21" x14ac:dyDescent="0.3">
      <c r="B212" s="13">
        <f t="shared" ca="1" si="30"/>
        <v>0.26994499701093844</v>
      </c>
      <c r="C212" s="14">
        <f t="shared" ca="1" si="30"/>
        <v>0.38427431984304339</v>
      </c>
      <c r="D212" s="14">
        <f t="shared" ca="1" si="31"/>
        <v>-0.61297934982004354</v>
      </c>
      <c r="E212" s="14">
        <f t="shared" ca="1" si="32"/>
        <v>-0.29427386758786861</v>
      </c>
      <c r="F212" s="14">
        <f t="shared" ca="1" si="33"/>
        <v>-0.67995241989207811</v>
      </c>
      <c r="G212" s="14">
        <f t="shared" ca="1" si="34"/>
        <v>0.26994499701093833</v>
      </c>
      <c r="H212" s="15">
        <f t="shared" ca="1" si="35"/>
        <v>0.38427431984304333</v>
      </c>
      <c r="I212" s="14">
        <f ca="1">IF(G212&lt;0.05,1,0)*$B$1*$B$2</f>
        <v>0</v>
      </c>
      <c r="J212" s="14">
        <f ca="1">IF(H212&lt;0.05,1,0)*$B$1*$B$2</f>
        <v>0</v>
      </c>
      <c r="K212" s="15">
        <f t="shared" ca="1" si="36"/>
        <v>0</v>
      </c>
      <c r="P212" s="3">
        <v>208</v>
      </c>
      <c r="Q212" s="4">
        <f t="shared" ca="1" si="37"/>
        <v>0.26994499701093833</v>
      </c>
      <c r="R212" s="4">
        <f t="shared" ca="1" si="38"/>
        <v>0.38427431984304333</v>
      </c>
      <c r="S212" s="4">
        <f ca="1">$B$1*Q212*$B$2</f>
        <v>10.797799880437534</v>
      </c>
      <c r="T212" s="4">
        <f ca="1">$B$1*R212*$B$2</f>
        <v>15.370972793721734</v>
      </c>
      <c r="U212" s="7">
        <f t="shared" ca="1" si="39"/>
        <v>26.168772674159268</v>
      </c>
    </row>
    <row r="213" spans="2:21" x14ac:dyDescent="0.3">
      <c r="B213" s="13">
        <f t="shared" ca="1" si="30"/>
        <v>2.5745386625343425E-2</v>
      </c>
      <c r="C213" s="14">
        <f t="shared" ca="1" si="30"/>
        <v>0.81041345702985013</v>
      </c>
      <c r="D213" s="14">
        <f t="shared" ca="1" si="31"/>
        <v>-1.9473668178409635</v>
      </c>
      <c r="E213" s="14">
        <f t="shared" ca="1" si="32"/>
        <v>0.87942093357364282</v>
      </c>
      <c r="F213" s="14">
        <f t="shared" ca="1" si="33"/>
        <v>-1.3692994382286969</v>
      </c>
      <c r="G213" s="14">
        <f t="shared" ca="1" si="34"/>
        <v>2.5745386625343446E-2</v>
      </c>
      <c r="H213" s="15">
        <f t="shared" ca="1" si="35"/>
        <v>0.81041345702984979</v>
      </c>
      <c r="I213" s="14">
        <f ca="1">IF(G213&lt;0.05,1,0)*$B$1*$B$2</f>
        <v>40</v>
      </c>
      <c r="J213" s="14">
        <f ca="1">IF(H213&lt;0.05,1,0)*$B$1*$B$2</f>
        <v>0</v>
      </c>
      <c r="K213" s="15">
        <f t="shared" ca="1" si="36"/>
        <v>40</v>
      </c>
      <c r="P213" s="3">
        <v>209</v>
      </c>
      <c r="Q213" s="4">
        <f t="shared" ca="1" si="37"/>
        <v>2.5745386625343446E-2</v>
      </c>
      <c r="R213" s="4">
        <f t="shared" ca="1" si="38"/>
        <v>0.81041345702984979</v>
      </c>
      <c r="S213" s="4">
        <f ca="1">$B$1*Q213*$B$2</f>
        <v>1.0298154650137379</v>
      </c>
      <c r="T213" s="4">
        <f ca="1">$B$1*R213*$B$2</f>
        <v>32.416538281193993</v>
      </c>
      <c r="U213" s="7">
        <f t="shared" ca="1" si="39"/>
        <v>33.446353746207734</v>
      </c>
    </row>
    <row r="214" spans="2:21" x14ac:dyDescent="0.3">
      <c r="B214" s="13">
        <f t="shared" ca="1" si="30"/>
        <v>0.91161136751160687</v>
      </c>
      <c r="C214" s="14">
        <f t="shared" ca="1" si="30"/>
        <v>8.7335278092272595E-2</v>
      </c>
      <c r="D214" s="14">
        <f t="shared" ca="1" si="31"/>
        <v>1.3507445846225745</v>
      </c>
      <c r="E214" s="14">
        <f t="shared" ca="1" si="32"/>
        <v>-1.357348334567875</v>
      </c>
      <c r="F214" s="14">
        <f t="shared" ca="1" si="33"/>
        <v>0.62401570400385697</v>
      </c>
      <c r="G214" s="14">
        <f t="shared" ca="1" si="34"/>
        <v>0.91161136751160665</v>
      </c>
      <c r="H214" s="15">
        <f t="shared" ca="1" si="35"/>
        <v>8.733527809227247E-2</v>
      </c>
      <c r="I214" s="14">
        <f ca="1">IF(G214&lt;0.05,1,0)*$B$1*$B$2</f>
        <v>0</v>
      </c>
      <c r="J214" s="14">
        <f ca="1">IF(H214&lt;0.05,1,0)*$B$1*$B$2</f>
        <v>0</v>
      </c>
      <c r="K214" s="15">
        <f t="shared" ca="1" si="36"/>
        <v>0</v>
      </c>
      <c r="P214" s="3">
        <v>210</v>
      </c>
      <c r="Q214" s="4">
        <f t="shared" ca="1" si="37"/>
        <v>0.91161136751160665</v>
      </c>
      <c r="R214" s="4">
        <f t="shared" ca="1" si="38"/>
        <v>8.733527809227247E-2</v>
      </c>
      <c r="S214" s="4">
        <f ca="1">$B$1*Q214*$B$2</f>
        <v>36.464454700464266</v>
      </c>
      <c r="T214" s="4">
        <f ca="1">$B$1*R214*$B$2</f>
        <v>3.4934111236908993</v>
      </c>
      <c r="U214" s="7">
        <f t="shared" ca="1" si="39"/>
        <v>39.957865824155164</v>
      </c>
    </row>
    <row r="215" spans="2:21" x14ac:dyDescent="0.3">
      <c r="B215" s="13">
        <f t="shared" ca="1" si="30"/>
        <v>0.47460377676429311</v>
      </c>
      <c r="C215" s="14">
        <f t="shared" ca="1" si="30"/>
        <v>0.77657280933705464</v>
      </c>
      <c r="D215" s="14">
        <f t="shared" ca="1" si="31"/>
        <v>-6.3701948114557025E-2</v>
      </c>
      <c r="E215" s="14">
        <f t="shared" ca="1" si="32"/>
        <v>0.76066969286097341</v>
      </c>
      <c r="F215" s="14">
        <f t="shared" ca="1" si="33"/>
        <v>0.27423647875640922</v>
      </c>
      <c r="G215" s="14">
        <f t="shared" ca="1" si="34"/>
        <v>0.47460377676429311</v>
      </c>
      <c r="H215" s="15">
        <f t="shared" ca="1" si="35"/>
        <v>0.77657280933705453</v>
      </c>
      <c r="I215" s="14">
        <f ca="1">IF(G215&lt;0.05,1,0)*$B$1*$B$2</f>
        <v>0</v>
      </c>
      <c r="J215" s="14">
        <f ca="1">IF(H215&lt;0.05,1,0)*$B$1*$B$2</f>
        <v>0</v>
      </c>
      <c r="K215" s="15">
        <f t="shared" ca="1" si="36"/>
        <v>0</v>
      </c>
      <c r="P215" s="3">
        <v>211</v>
      </c>
      <c r="Q215" s="4">
        <f t="shared" ca="1" si="37"/>
        <v>0.47460377676429311</v>
      </c>
      <c r="R215" s="4">
        <f t="shared" ca="1" si="38"/>
        <v>0.77657280933705453</v>
      </c>
      <c r="S215" s="4">
        <f ca="1">$B$1*Q215*$B$2</f>
        <v>18.984151070571723</v>
      </c>
      <c r="T215" s="4">
        <f ca="1">$B$1*R215*$B$2</f>
        <v>31.062912373482181</v>
      </c>
      <c r="U215" s="7">
        <f t="shared" ca="1" si="39"/>
        <v>50.047063444053904</v>
      </c>
    </row>
    <row r="216" spans="2:21" x14ac:dyDescent="0.3">
      <c r="B216" s="13">
        <f t="shared" ca="1" si="30"/>
        <v>0.13031461420198609</v>
      </c>
      <c r="C216" s="14">
        <f t="shared" ca="1" si="30"/>
        <v>0.43995413899485913</v>
      </c>
      <c r="D216" s="14">
        <f t="shared" ca="1" si="31"/>
        <v>-1.1249051523921452</v>
      </c>
      <c r="E216" s="14">
        <f t="shared" ca="1" si="32"/>
        <v>-0.15108549052981191</v>
      </c>
      <c r="F216" s="14">
        <f t="shared" ca="1" si="33"/>
        <v>-1.078271275658403</v>
      </c>
      <c r="G216" s="14">
        <f t="shared" ca="1" si="34"/>
        <v>0.13031461420198592</v>
      </c>
      <c r="H216" s="15">
        <f t="shared" ca="1" si="35"/>
        <v>0.43995413899485913</v>
      </c>
      <c r="I216" s="14">
        <f ca="1">IF(G216&lt;0.05,1,0)*$B$1*$B$2</f>
        <v>0</v>
      </c>
      <c r="J216" s="14">
        <f ca="1">IF(H216&lt;0.05,1,0)*$B$1*$B$2</f>
        <v>0</v>
      </c>
      <c r="K216" s="15">
        <f t="shared" ca="1" si="36"/>
        <v>0</v>
      </c>
      <c r="P216" s="3">
        <v>212</v>
      </c>
      <c r="Q216" s="4">
        <f t="shared" ca="1" si="37"/>
        <v>0.13031461420198592</v>
      </c>
      <c r="R216" s="4">
        <f t="shared" ca="1" si="38"/>
        <v>0.43995413899485913</v>
      </c>
      <c r="S216" s="4">
        <f ca="1">$B$1*Q216*$B$2</f>
        <v>5.2125845680794374</v>
      </c>
      <c r="T216" s="4">
        <f ca="1">$B$1*R216*$B$2</f>
        <v>17.598165559794364</v>
      </c>
      <c r="U216" s="7">
        <f t="shared" ca="1" si="39"/>
        <v>22.810750127873803</v>
      </c>
    </row>
    <row r="217" spans="2:21" x14ac:dyDescent="0.3">
      <c r="B217" s="13">
        <f t="shared" ca="1" si="30"/>
        <v>0.11820146193378256</v>
      </c>
      <c r="C217" s="14">
        <f t="shared" ca="1" si="30"/>
        <v>0.63944131898767498</v>
      </c>
      <c r="D217" s="14">
        <f t="shared" ca="1" si="31"/>
        <v>-1.1840256134863878</v>
      </c>
      <c r="E217" s="14">
        <f t="shared" ca="1" si="32"/>
        <v>0.35696586261158864</v>
      </c>
      <c r="F217" s="14">
        <f t="shared" ca="1" si="33"/>
        <v>-0.91002523999597518</v>
      </c>
      <c r="G217" s="14">
        <f t="shared" ca="1" si="34"/>
        <v>0.11820146193378249</v>
      </c>
      <c r="H217" s="15">
        <f t="shared" ca="1" si="35"/>
        <v>0.63944131898767509</v>
      </c>
      <c r="I217" s="14">
        <f ca="1">IF(G217&lt;0.05,1,0)*$B$1*$B$2</f>
        <v>0</v>
      </c>
      <c r="J217" s="14">
        <f ca="1">IF(H217&lt;0.05,1,0)*$B$1*$B$2</f>
        <v>0</v>
      </c>
      <c r="K217" s="15">
        <f t="shared" ca="1" si="36"/>
        <v>0</v>
      </c>
      <c r="P217" s="3">
        <v>213</v>
      </c>
      <c r="Q217" s="4">
        <f t="shared" ca="1" si="37"/>
        <v>0.11820146193378249</v>
      </c>
      <c r="R217" s="4">
        <f t="shared" ca="1" si="38"/>
        <v>0.63944131898767509</v>
      </c>
      <c r="S217" s="4">
        <f ca="1">$B$1*Q217*$B$2</f>
        <v>4.7280584773512997</v>
      </c>
      <c r="T217" s="4">
        <f ca="1">$B$1*R217*$B$2</f>
        <v>25.577652759507004</v>
      </c>
      <c r="U217" s="7">
        <f t="shared" ca="1" si="39"/>
        <v>30.305711236858304</v>
      </c>
    </row>
    <row r="218" spans="2:21" x14ac:dyDescent="0.3">
      <c r="B218" s="13">
        <f t="shared" ca="1" si="30"/>
        <v>0.15780881321920326</v>
      </c>
      <c r="C218" s="14">
        <f t="shared" ca="1" si="30"/>
        <v>0.368515924592001</v>
      </c>
      <c r="D218" s="14">
        <f t="shared" ca="1" si="31"/>
        <v>-1.0035042519492405</v>
      </c>
      <c r="E218" s="14">
        <f t="shared" ca="1" si="32"/>
        <v>-0.33578652911082951</v>
      </c>
      <c r="F218" s="14">
        <f t="shared" ca="1" si="33"/>
        <v>-1.049519781453955</v>
      </c>
      <c r="G218" s="14">
        <f t="shared" ca="1" si="34"/>
        <v>0.15780881321920356</v>
      </c>
      <c r="H218" s="15">
        <f t="shared" ca="1" si="35"/>
        <v>0.368515924592001</v>
      </c>
      <c r="I218" s="14">
        <f ca="1">IF(G218&lt;0.05,1,0)*$B$1*$B$2</f>
        <v>0</v>
      </c>
      <c r="J218" s="14">
        <f ca="1">IF(H218&lt;0.05,1,0)*$B$1*$B$2</f>
        <v>0</v>
      </c>
      <c r="K218" s="15">
        <f t="shared" ca="1" si="36"/>
        <v>0</v>
      </c>
      <c r="P218" s="3">
        <v>214</v>
      </c>
      <c r="Q218" s="4">
        <f t="shared" ca="1" si="37"/>
        <v>0.15780881321920356</v>
      </c>
      <c r="R218" s="4">
        <f t="shared" ca="1" si="38"/>
        <v>0.368515924592001</v>
      </c>
      <c r="S218" s="4">
        <f ca="1">$B$1*Q218*$B$2</f>
        <v>6.3123525287681428</v>
      </c>
      <c r="T218" s="4">
        <f ca="1">$B$1*R218*$B$2</f>
        <v>14.740636983680041</v>
      </c>
      <c r="U218" s="7">
        <f t="shared" ca="1" si="39"/>
        <v>21.052989512448185</v>
      </c>
    </row>
    <row r="219" spans="2:21" x14ac:dyDescent="0.3">
      <c r="B219" s="13">
        <f t="shared" ca="1" si="30"/>
        <v>0.19277283282313784</v>
      </c>
      <c r="C219" s="14">
        <f t="shared" ca="1" si="30"/>
        <v>0.57987365711810412</v>
      </c>
      <c r="D219" s="14">
        <f t="shared" ca="1" si="31"/>
        <v>-0.86772359529134968</v>
      </c>
      <c r="E219" s="14">
        <f t="shared" ca="1" si="32"/>
        <v>0.20157027442903167</v>
      </c>
      <c r="F219" s="14">
        <f t="shared" ca="1" si="33"/>
        <v>-0.69308879013642377</v>
      </c>
      <c r="G219" s="14">
        <f t="shared" ca="1" si="34"/>
        <v>0.19277283282313776</v>
      </c>
      <c r="H219" s="15">
        <f t="shared" ca="1" si="35"/>
        <v>0.57987365711810412</v>
      </c>
      <c r="I219" s="14">
        <f ca="1">IF(G219&lt;0.05,1,0)*$B$1*$B$2</f>
        <v>0</v>
      </c>
      <c r="J219" s="14">
        <f ca="1">IF(H219&lt;0.05,1,0)*$B$1*$B$2</f>
        <v>0</v>
      </c>
      <c r="K219" s="15">
        <f t="shared" ca="1" si="36"/>
        <v>0</v>
      </c>
      <c r="P219" s="3">
        <v>215</v>
      </c>
      <c r="Q219" s="4">
        <f t="shared" ca="1" si="37"/>
        <v>0.19277283282313776</v>
      </c>
      <c r="R219" s="4">
        <f t="shared" ca="1" si="38"/>
        <v>0.57987365711810412</v>
      </c>
      <c r="S219" s="4">
        <f ca="1">$B$1*Q219*$B$2</f>
        <v>7.7109133129255101</v>
      </c>
      <c r="T219" s="4">
        <f ca="1">$B$1*R219*$B$2</f>
        <v>23.194946284724168</v>
      </c>
      <c r="U219" s="7">
        <f t="shared" ca="1" si="39"/>
        <v>30.905859597649677</v>
      </c>
    </row>
    <row r="220" spans="2:21" x14ac:dyDescent="0.3">
      <c r="B220" s="13">
        <f t="shared" ca="1" si="30"/>
        <v>0.4381989776254771</v>
      </c>
      <c r="C220" s="14">
        <f t="shared" ca="1" si="30"/>
        <v>0.73041125621856606</v>
      </c>
      <c r="D220" s="14">
        <f t="shared" ca="1" si="31"/>
        <v>-0.15553704036266491</v>
      </c>
      <c r="E220" s="14">
        <f t="shared" ca="1" si="32"/>
        <v>0.61405726354583112</v>
      </c>
      <c r="F220" s="14">
        <f t="shared" ca="1" si="33"/>
        <v>0.12767801940794155</v>
      </c>
      <c r="G220" s="14">
        <f t="shared" ca="1" si="34"/>
        <v>0.4381989776254771</v>
      </c>
      <c r="H220" s="15">
        <f t="shared" ca="1" si="35"/>
        <v>0.73041125621856606</v>
      </c>
      <c r="I220" s="14">
        <f ca="1">IF(G220&lt;0.05,1,0)*$B$1*$B$2</f>
        <v>0</v>
      </c>
      <c r="J220" s="14">
        <f ca="1">IF(H220&lt;0.05,1,0)*$B$1*$B$2</f>
        <v>0</v>
      </c>
      <c r="K220" s="15">
        <f t="shared" ca="1" si="36"/>
        <v>0</v>
      </c>
      <c r="P220" s="3">
        <v>216</v>
      </c>
      <c r="Q220" s="4">
        <f t="shared" ca="1" si="37"/>
        <v>0.4381989776254771</v>
      </c>
      <c r="R220" s="4">
        <f t="shared" ca="1" si="38"/>
        <v>0.73041125621856606</v>
      </c>
      <c r="S220" s="4">
        <f ca="1">$B$1*Q220*$B$2</f>
        <v>17.527959105019086</v>
      </c>
      <c r="T220" s="4">
        <f ca="1">$B$1*R220*$B$2</f>
        <v>29.216450248742646</v>
      </c>
      <c r="U220" s="7">
        <f t="shared" ca="1" si="39"/>
        <v>46.744409353761732</v>
      </c>
    </row>
    <row r="221" spans="2:21" x14ac:dyDescent="0.3">
      <c r="B221" s="13">
        <f t="shared" ca="1" si="30"/>
        <v>0.3903039528348573</v>
      </c>
      <c r="C221" s="14">
        <f t="shared" ca="1" si="30"/>
        <v>0.47659751689668628</v>
      </c>
      <c r="D221" s="14">
        <f t="shared" ca="1" si="31"/>
        <v>-0.27852691665283646</v>
      </c>
      <c r="E221" s="14">
        <f t="shared" ca="1" si="32"/>
        <v>-5.8695010172445564E-2</v>
      </c>
      <c r="F221" s="14">
        <f t="shared" ca="1" si="33"/>
        <v>-0.27625878677073101</v>
      </c>
      <c r="G221" s="14">
        <f t="shared" ca="1" si="34"/>
        <v>0.39030395283485725</v>
      </c>
      <c r="H221" s="15">
        <f t="shared" ca="1" si="35"/>
        <v>0.47659751689668628</v>
      </c>
      <c r="I221" s="14">
        <f ca="1">IF(G221&lt;0.05,1,0)*$B$1*$B$2</f>
        <v>0</v>
      </c>
      <c r="J221" s="14">
        <f ca="1">IF(H221&lt;0.05,1,0)*$B$1*$B$2</f>
        <v>0</v>
      </c>
      <c r="K221" s="15">
        <f t="shared" ca="1" si="36"/>
        <v>0</v>
      </c>
      <c r="P221" s="3">
        <v>217</v>
      </c>
      <c r="Q221" s="4">
        <f t="shared" ca="1" si="37"/>
        <v>0.39030395283485725</v>
      </c>
      <c r="R221" s="4">
        <f t="shared" ca="1" si="38"/>
        <v>0.47659751689668628</v>
      </c>
      <c r="S221" s="4">
        <f ca="1">$B$1*Q221*$B$2</f>
        <v>15.61215811339429</v>
      </c>
      <c r="T221" s="4">
        <f ca="1">$B$1*R221*$B$2</f>
        <v>19.063900675867451</v>
      </c>
      <c r="U221" s="7">
        <f t="shared" ca="1" si="39"/>
        <v>34.676058789261745</v>
      </c>
    </row>
    <row r="222" spans="2:21" x14ac:dyDescent="0.3">
      <c r="B222" s="13">
        <f t="shared" ca="1" si="30"/>
        <v>6.085955294428691E-2</v>
      </c>
      <c r="C222" s="14">
        <f t="shared" ca="1" si="30"/>
        <v>0.99093626020445602</v>
      </c>
      <c r="D222" s="14">
        <f t="shared" ca="1" si="31"/>
        <v>-1.5475980305461206</v>
      </c>
      <c r="E222" s="14">
        <f t="shared" ca="1" si="32"/>
        <v>2.3630038845374961</v>
      </c>
      <c r="F222" s="14">
        <f t="shared" ca="1" si="33"/>
        <v>-0.36282871390220883</v>
      </c>
      <c r="G222" s="14">
        <f t="shared" ca="1" si="34"/>
        <v>6.0859552944286903E-2</v>
      </c>
      <c r="H222" s="15">
        <f t="shared" ca="1" si="35"/>
        <v>0.99093626020445602</v>
      </c>
      <c r="I222" s="14">
        <f ca="1">IF(G222&lt;0.05,1,0)*$B$1*$B$2</f>
        <v>0</v>
      </c>
      <c r="J222" s="14">
        <f ca="1">IF(H222&lt;0.05,1,0)*$B$1*$B$2</f>
        <v>0</v>
      </c>
      <c r="K222" s="15">
        <f t="shared" ca="1" si="36"/>
        <v>0</v>
      </c>
      <c r="P222" s="3">
        <v>218</v>
      </c>
      <c r="Q222" s="4">
        <f t="shared" ca="1" si="37"/>
        <v>6.0859552944286903E-2</v>
      </c>
      <c r="R222" s="4">
        <f t="shared" ca="1" si="38"/>
        <v>0.99093626020445602</v>
      </c>
      <c r="S222" s="4">
        <f ca="1">$B$1*Q222*$B$2</f>
        <v>2.4343821177714764</v>
      </c>
      <c r="T222" s="4">
        <f ca="1">$B$1*R222*$B$2</f>
        <v>39.637450408178239</v>
      </c>
      <c r="U222" s="7">
        <f t="shared" ca="1" si="39"/>
        <v>42.071832525949716</v>
      </c>
    </row>
    <row r="223" spans="2:21" x14ac:dyDescent="0.3">
      <c r="B223" s="13">
        <f t="shared" ca="1" si="30"/>
        <v>0.5908332491450432</v>
      </c>
      <c r="C223" s="14">
        <f t="shared" ca="1" si="30"/>
        <v>0.85970907702714627</v>
      </c>
      <c r="D223" s="14">
        <f t="shared" ca="1" si="31"/>
        <v>0.22968892462559687</v>
      </c>
      <c r="E223" s="14">
        <f t="shared" ca="1" si="32"/>
        <v>1.0790131940513032</v>
      </c>
      <c r="F223" s="14">
        <f t="shared" ca="1" si="33"/>
        <v>0.67705097932470448</v>
      </c>
      <c r="G223" s="14">
        <f t="shared" ca="1" si="34"/>
        <v>0.5908332491450432</v>
      </c>
      <c r="H223" s="15">
        <f t="shared" ca="1" si="35"/>
        <v>0.85970907702714627</v>
      </c>
      <c r="I223" s="14">
        <f ca="1">IF(G223&lt;0.05,1,0)*$B$1*$B$2</f>
        <v>0</v>
      </c>
      <c r="J223" s="14">
        <f ca="1">IF(H223&lt;0.05,1,0)*$B$1*$B$2</f>
        <v>0</v>
      </c>
      <c r="K223" s="15">
        <f t="shared" ca="1" si="36"/>
        <v>0</v>
      </c>
      <c r="P223" s="3">
        <v>219</v>
      </c>
      <c r="Q223" s="4">
        <f t="shared" ca="1" si="37"/>
        <v>0.5908332491450432</v>
      </c>
      <c r="R223" s="4">
        <f t="shared" ca="1" si="38"/>
        <v>0.85970907702714627</v>
      </c>
      <c r="S223" s="4">
        <f ca="1">$B$1*Q223*$B$2</f>
        <v>23.633329965801728</v>
      </c>
      <c r="T223" s="4">
        <f ca="1">$B$1*R223*$B$2</f>
        <v>34.388363081085849</v>
      </c>
      <c r="U223" s="7">
        <f t="shared" ca="1" si="39"/>
        <v>58.021693046887577</v>
      </c>
    </row>
    <row r="224" spans="2:21" x14ac:dyDescent="0.3">
      <c r="B224" s="13">
        <f t="shared" ca="1" si="30"/>
        <v>0.38217036044111441</v>
      </c>
      <c r="C224" s="14">
        <f t="shared" ca="1" si="30"/>
        <v>0.95982977474623776</v>
      </c>
      <c r="D224" s="14">
        <f t="shared" ca="1" si="31"/>
        <v>-0.29978557259319466</v>
      </c>
      <c r="E224" s="14">
        <f t="shared" ca="1" si="32"/>
        <v>1.7487141058681581</v>
      </c>
      <c r="F224" s="14">
        <f t="shared" ca="1" si="33"/>
        <v>0.49243979152846351</v>
      </c>
      <c r="G224" s="14">
        <f t="shared" ca="1" si="34"/>
        <v>0.38217036044111441</v>
      </c>
      <c r="H224" s="15">
        <f t="shared" ca="1" si="35"/>
        <v>0.95982977474623776</v>
      </c>
      <c r="I224" s="14">
        <f ca="1">IF(G224&lt;0.05,1,0)*$B$1*$B$2</f>
        <v>0</v>
      </c>
      <c r="J224" s="14">
        <f ca="1">IF(H224&lt;0.05,1,0)*$B$1*$B$2</f>
        <v>0</v>
      </c>
      <c r="K224" s="15">
        <f t="shared" ca="1" si="36"/>
        <v>0</v>
      </c>
      <c r="P224" s="3">
        <v>220</v>
      </c>
      <c r="Q224" s="4">
        <f t="shared" ca="1" si="37"/>
        <v>0.38217036044111441</v>
      </c>
      <c r="R224" s="4">
        <f t="shared" ca="1" si="38"/>
        <v>0.95982977474623776</v>
      </c>
      <c r="S224" s="4">
        <f ca="1">$B$1*Q224*$B$2</f>
        <v>15.286814417644576</v>
      </c>
      <c r="T224" s="4">
        <f ca="1">$B$1*R224*$B$2</f>
        <v>38.393190989849515</v>
      </c>
      <c r="U224" s="7">
        <f t="shared" ca="1" si="39"/>
        <v>53.680005407494093</v>
      </c>
    </row>
    <row r="225" spans="2:21" x14ac:dyDescent="0.3">
      <c r="B225" s="13">
        <f t="shared" ca="1" si="30"/>
        <v>0.4946555341665182</v>
      </c>
      <c r="C225" s="14">
        <f t="shared" ca="1" si="30"/>
        <v>0.60677505536204623</v>
      </c>
      <c r="D225" s="14">
        <f t="shared" ca="1" si="31"/>
        <v>-1.3396989907364102E-2</v>
      </c>
      <c r="E225" s="14">
        <f t="shared" ca="1" si="32"/>
        <v>0.27092347537814565</v>
      </c>
      <c r="F225" s="14">
        <f t="shared" ca="1" si="33"/>
        <v>0.10603551414398897</v>
      </c>
      <c r="G225" s="14">
        <f t="shared" ca="1" si="34"/>
        <v>0.4946555341665182</v>
      </c>
      <c r="H225" s="15">
        <f t="shared" ca="1" si="35"/>
        <v>0.60677505536204634</v>
      </c>
      <c r="I225" s="14">
        <f ca="1">IF(G225&lt;0.05,1,0)*$B$1*$B$2</f>
        <v>0</v>
      </c>
      <c r="J225" s="14">
        <f ca="1">IF(H225&lt;0.05,1,0)*$B$1*$B$2</f>
        <v>0</v>
      </c>
      <c r="K225" s="15">
        <f t="shared" ca="1" si="36"/>
        <v>0</v>
      </c>
      <c r="P225" s="3">
        <v>221</v>
      </c>
      <c r="Q225" s="4">
        <f t="shared" ca="1" si="37"/>
        <v>0.4946555341665182</v>
      </c>
      <c r="R225" s="4">
        <f t="shared" ca="1" si="38"/>
        <v>0.60677505536204634</v>
      </c>
      <c r="S225" s="4">
        <f ca="1">$B$1*Q225*$B$2</f>
        <v>19.78622136666073</v>
      </c>
      <c r="T225" s="4">
        <f ca="1">$B$1*R225*$B$2</f>
        <v>24.271002214481854</v>
      </c>
      <c r="U225" s="7">
        <f t="shared" ca="1" si="39"/>
        <v>44.05722358114258</v>
      </c>
    </row>
    <row r="226" spans="2:21" x14ac:dyDescent="0.3">
      <c r="B226" s="13">
        <f t="shared" ca="1" si="30"/>
        <v>0.24243319206379832</v>
      </c>
      <c r="C226" s="14">
        <f t="shared" ca="1" si="30"/>
        <v>0.10183750174947737</v>
      </c>
      <c r="D226" s="14">
        <f t="shared" ca="1" si="31"/>
        <v>-0.69849707874870248</v>
      </c>
      <c r="E226" s="14">
        <f t="shared" ca="1" si="32"/>
        <v>-1.2711508066189234</v>
      </c>
      <c r="F226" s="14">
        <f t="shared" ca="1" si="33"/>
        <v>-1.1827291616790423</v>
      </c>
      <c r="G226" s="14">
        <f t="shared" ca="1" si="34"/>
        <v>0.24243319206379826</v>
      </c>
      <c r="H226" s="15">
        <f t="shared" ca="1" si="35"/>
        <v>0.10183750174947724</v>
      </c>
      <c r="I226" s="14">
        <f ca="1">IF(G226&lt;0.05,1,0)*$B$1*$B$2</f>
        <v>0</v>
      </c>
      <c r="J226" s="14">
        <f ca="1">IF(H226&lt;0.05,1,0)*$B$1*$B$2</f>
        <v>0</v>
      </c>
      <c r="K226" s="15">
        <f t="shared" ca="1" si="36"/>
        <v>0</v>
      </c>
      <c r="P226" s="3">
        <v>222</v>
      </c>
      <c r="Q226" s="4">
        <f t="shared" ca="1" si="37"/>
        <v>0.24243319206379826</v>
      </c>
      <c r="R226" s="4">
        <f t="shared" ca="1" si="38"/>
        <v>0.10183750174947724</v>
      </c>
      <c r="S226" s="4">
        <f ca="1">$B$1*Q226*$B$2</f>
        <v>9.697327682551931</v>
      </c>
      <c r="T226" s="4">
        <f ca="1">$B$1*R226*$B$2</f>
        <v>4.0735000699790893</v>
      </c>
      <c r="U226" s="7">
        <f t="shared" ca="1" si="39"/>
        <v>13.770827752531019</v>
      </c>
    </row>
    <row r="227" spans="2:21" x14ac:dyDescent="0.3">
      <c r="B227" s="13">
        <f t="shared" ca="1" si="30"/>
        <v>0.69235021109555916</v>
      </c>
      <c r="C227" s="14">
        <f t="shared" ca="1" si="30"/>
        <v>0.36506646389201869</v>
      </c>
      <c r="D227" s="14">
        <f t="shared" ca="1" si="31"/>
        <v>0.50252314213795046</v>
      </c>
      <c r="E227" s="14">
        <f t="shared" ca="1" si="32"/>
        <v>-0.34494871316806047</v>
      </c>
      <c r="F227" s="14">
        <f t="shared" ca="1" si="33"/>
        <v>0.30191116978375809</v>
      </c>
      <c r="G227" s="14">
        <f t="shared" ca="1" si="34"/>
        <v>0.69235021109555928</v>
      </c>
      <c r="H227" s="15">
        <f t="shared" ca="1" si="35"/>
        <v>0.36506646389201858</v>
      </c>
      <c r="I227" s="14">
        <f ca="1">IF(G227&lt;0.05,1,0)*$B$1*$B$2</f>
        <v>0</v>
      </c>
      <c r="J227" s="14">
        <f ca="1">IF(H227&lt;0.05,1,0)*$B$1*$B$2</f>
        <v>0</v>
      </c>
      <c r="K227" s="15">
        <f t="shared" ca="1" si="36"/>
        <v>0</v>
      </c>
      <c r="P227" s="3">
        <v>223</v>
      </c>
      <c r="Q227" s="4">
        <f t="shared" ca="1" si="37"/>
        <v>0.69235021109555928</v>
      </c>
      <c r="R227" s="4">
        <f t="shared" ca="1" si="38"/>
        <v>0.36506646389201858</v>
      </c>
      <c r="S227" s="4">
        <f ca="1">$B$1*Q227*$B$2</f>
        <v>27.694008443822373</v>
      </c>
      <c r="T227" s="4">
        <f ca="1">$B$1*R227*$B$2</f>
        <v>14.602658555680742</v>
      </c>
      <c r="U227" s="7">
        <f t="shared" ca="1" si="39"/>
        <v>42.296666999503117</v>
      </c>
    </row>
    <row r="228" spans="2:21" x14ac:dyDescent="0.3">
      <c r="B228" s="13">
        <f t="shared" ca="1" si="30"/>
        <v>0.64831566300462184</v>
      </c>
      <c r="C228" s="14">
        <f t="shared" ca="1" si="30"/>
        <v>0.38825916009300865</v>
      </c>
      <c r="D228" s="14">
        <f t="shared" ca="1" si="31"/>
        <v>0.38077707173142022</v>
      </c>
      <c r="E228" s="14">
        <f t="shared" ca="1" si="32"/>
        <v>-0.28385915350036101</v>
      </c>
      <c r="F228" s="14">
        <f t="shared" ca="1" si="33"/>
        <v>0.21896802812757088</v>
      </c>
      <c r="G228" s="14">
        <f t="shared" ca="1" si="34"/>
        <v>0.64831566300462184</v>
      </c>
      <c r="H228" s="15">
        <f t="shared" ca="1" si="35"/>
        <v>0.38825916009300865</v>
      </c>
      <c r="I228" s="14">
        <f ca="1">IF(G228&lt;0.05,1,0)*$B$1*$B$2</f>
        <v>0</v>
      </c>
      <c r="J228" s="14">
        <f ca="1">IF(H228&lt;0.05,1,0)*$B$1*$B$2</f>
        <v>0</v>
      </c>
      <c r="K228" s="15">
        <f t="shared" ca="1" si="36"/>
        <v>0</v>
      </c>
      <c r="P228" s="3">
        <v>224</v>
      </c>
      <c r="Q228" s="4">
        <f t="shared" ca="1" si="37"/>
        <v>0.64831566300462184</v>
      </c>
      <c r="R228" s="4">
        <f t="shared" ca="1" si="38"/>
        <v>0.38825916009300865</v>
      </c>
      <c r="S228" s="4">
        <f ca="1">$B$1*Q228*$B$2</f>
        <v>25.932626520184876</v>
      </c>
      <c r="T228" s="4">
        <f ca="1">$B$1*R228*$B$2</f>
        <v>15.530366403720345</v>
      </c>
      <c r="U228" s="7">
        <f t="shared" ca="1" si="39"/>
        <v>41.462992923905219</v>
      </c>
    </row>
    <row r="229" spans="2:21" x14ac:dyDescent="0.3">
      <c r="B229" s="13">
        <f t="shared" ca="1" si="30"/>
        <v>0.17697237833047685</v>
      </c>
      <c r="C229" s="14">
        <f t="shared" ca="1" si="30"/>
        <v>0.68304559338847948</v>
      </c>
      <c r="D229" s="14">
        <f t="shared" ca="1" si="31"/>
        <v>-0.92696490390076003</v>
      </c>
      <c r="E229" s="14">
        <f t="shared" ca="1" si="32"/>
        <v>0.47623240850219983</v>
      </c>
      <c r="F229" s="14">
        <f t="shared" ca="1" si="33"/>
        <v>-0.62668351928067711</v>
      </c>
      <c r="G229" s="14">
        <f t="shared" ca="1" si="34"/>
        <v>0.17697237833047691</v>
      </c>
      <c r="H229" s="15">
        <f t="shared" ca="1" si="35"/>
        <v>0.68304559338847959</v>
      </c>
      <c r="I229" s="14">
        <f ca="1">IF(G229&lt;0.05,1,0)*$B$1*$B$2</f>
        <v>0</v>
      </c>
      <c r="J229" s="14">
        <f ca="1">IF(H229&lt;0.05,1,0)*$B$1*$B$2</f>
        <v>0</v>
      </c>
      <c r="K229" s="15">
        <f t="shared" ca="1" si="36"/>
        <v>0</v>
      </c>
      <c r="P229" s="3">
        <v>225</v>
      </c>
      <c r="Q229" s="4">
        <f t="shared" ca="1" si="37"/>
        <v>0.17697237833047691</v>
      </c>
      <c r="R229" s="4">
        <f t="shared" ca="1" si="38"/>
        <v>0.68304559338847959</v>
      </c>
      <c r="S229" s="4">
        <f ca="1">$B$1*Q229*$B$2</f>
        <v>7.0788951332190768</v>
      </c>
      <c r="T229" s="4">
        <f ca="1">$B$1*R229*$B$2</f>
        <v>27.321823735539184</v>
      </c>
      <c r="U229" s="7">
        <f t="shared" ca="1" si="39"/>
        <v>34.400718868758261</v>
      </c>
    </row>
    <row r="230" spans="2:21" x14ac:dyDescent="0.3">
      <c r="B230" s="13">
        <f t="shared" ca="1" si="30"/>
        <v>0.71994923845487913</v>
      </c>
      <c r="C230" s="14">
        <f t="shared" ca="1" si="30"/>
        <v>0.30719713570631346</v>
      </c>
      <c r="D230" s="14">
        <f t="shared" ca="1" si="31"/>
        <v>0.58269071762610325</v>
      </c>
      <c r="E230" s="14">
        <f t="shared" ca="1" si="32"/>
        <v>-0.5038108941799142</v>
      </c>
      <c r="F230" s="14">
        <f t="shared" ca="1" si="33"/>
        <v>0.30481556842498198</v>
      </c>
      <c r="G230" s="14">
        <f t="shared" ca="1" si="34"/>
        <v>0.71994923845487913</v>
      </c>
      <c r="H230" s="15">
        <f t="shared" ca="1" si="35"/>
        <v>0.30719713570631335</v>
      </c>
      <c r="I230" s="14">
        <f ca="1">IF(G230&lt;0.05,1,0)*$B$1*$B$2</f>
        <v>0</v>
      </c>
      <c r="J230" s="14">
        <f ca="1">IF(H230&lt;0.05,1,0)*$B$1*$B$2</f>
        <v>0</v>
      </c>
      <c r="K230" s="15">
        <f t="shared" ca="1" si="36"/>
        <v>0</v>
      </c>
      <c r="P230" s="3">
        <v>226</v>
      </c>
      <c r="Q230" s="4">
        <f t="shared" ca="1" si="37"/>
        <v>0.71994923845487913</v>
      </c>
      <c r="R230" s="4">
        <f t="shared" ca="1" si="38"/>
        <v>0.30719713570631335</v>
      </c>
      <c r="S230" s="4">
        <f ca="1">$B$1*Q230*$B$2</f>
        <v>28.797969538195169</v>
      </c>
      <c r="T230" s="4">
        <f ca="1">$B$1*R230*$B$2</f>
        <v>12.287885428252535</v>
      </c>
      <c r="U230" s="7">
        <f t="shared" ca="1" si="39"/>
        <v>41.085854966447705</v>
      </c>
    </row>
    <row r="231" spans="2:21" x14ac:dyDescent="0.3">
      <c r="B231" s="13">
        <f t="shared" ca="1" si="30"/>
        <v>0.84918186062544232</v>
      </c>
      <c r="C231" s="14">
        <f t="shared" ca="1" si="30"/>
        <v>0.89168722324044969</v>
      </c>
      <c r="D231" s="14">
        <f t="shared" ca="1" si="31"/>
        <v>1.0329308108625854</v>
      </c>
      <c r="E231" s="14">
        <f t="shared" ca="1" si="32"/>
        <v>1.2355508778658795</v>
      </c>
      <c r="F231" s="14">
        <f t="shared" ca="1" si="33"/>
        <v>1.4682018713983602</v>
      </c>
      <c r="G231" s="14">
        <f t="shared" ca="1" si="34"/>
        <v>0.84918186062544221</v>
      </c>
      <c r="H231" s="15">
        <f t="shared" ca="1" si="35"/>
        <v>0.89168722324045002</v>
      </c>
      <c r="I231" s="14">
        <f ca="1">IF(G231&lt;0.05,1,0)*$B$1*$B$2</f>
        <v>0</v>
      </c>
      <c r="J231" s="14">
        <f ca="1">IF(H231&lt;0.05,1,0)*$B$1*$B$2</f>
        <v>0</v>
      </c>
      <c r="K231" s="15">
        <f t="shared" ca="1" si="36"/>
        <v>0</v>
      </c>
      <c r="P231" s="3">
        <v>227</v>
      </c>
      <c r="Q231" s="4">
        <f t="shared" ca="1" si="37"/>
        <v>0.84918186062544221</v>
      </c>
      <c r="R231" s="4">
        <f t="shared" ca="1" si="38"/>
        <v>0.89168722324045002</v>
      </c>
      <c r="S231" s="4">
        <f ca="1">$B$1*Q231*$B$2</f>
        <v>33.967274425017692</v>
      </c>
      <c r="T231" s="4">
        <f ca="1">$B$1*R231*$B$2</f>
        <v>35.667488929618003</v>
      </c>
      <c r="U231" s="7">
        <f t="shared" ca="1" si="39"/>
        <v>69.634763354635695</v>
      </c>
    </row>
    <row r="232" spans="2:21" x14ac:dyDescent="0.3">
      <c r="B232" s="13">
        <f t="shared" ca="1" si="30"/>
        <v>0.20712424163699716</v>
      </c>
      <c r="C232" s="14">
        <f t="shared" ca="1" si="30"/>
        <v>0.77872715004554749</v>
      </c>
      <c r="D232" s="14">
        <f t="shared" ca="1" si="31"/>
        <v>-0.81644007618314096</v>
      </c>
      <c r="E232" s="14">
        <f t="shared" ca="1" si="32"/>
        <v>0.76790151060144107</v>
      </c>
      <c r="F232" s="14">
        <f t="shared" ca="1" si="33"/>
        <v>-0.40007556023443613</v>
      </c>
      <c r="G232" s="14">
        <f t="shared" ca="1" si="34"/>
        <v>0.20712424163699703</v>
      </c>
      <c r="H232" s="15">
        <f t="shared" ca="1" si="35"/>
        <v>0.7787271500455476</v>
      </c>
      <c r="I232" s="14">
        <f ca="1">IF(G232&lt;0.05,1,0)*$B$1*$B$2</f>
        <v>0</v>
      </c>
      <c r="J232" s="14">
        <f ca="1">IF(H232&lt;0.05,1,0)*$B$1*$B$2</f>
        <v>0</v>
      </c>
      <c r="K232" s="15">
        <f t="shared" ca="1" si="36"/>
        <v>0</v>
      </c>
      <c r="P232" s="3">
        <v>228</v>
      </c>
      <c r="Q232" s="4">
        <f t="shared" ca="1" si="37"/>
        <v>0.20712424163699703</v>
      </c>
      <c r="R232" s="4">
        <f t="shared" ca="1" si="38"/>
        <v>0.7787271500455476</v>
      </c>
      <c r="S232" s="4">
        <f ca="1">$B$1*Q232*$B$2</f>
        <v>8.2849696654798812</v>
      </c>
      <c r="T232" s="4">
        <f ca="1">$B$1*R232*$B$2</f>
        <v>31.149086001821907</v>
      </c>
      <c r="U232" s="7">
        <f t="shared" ca="1" si="39"/>
        <v>39.434055667301791</v>
      </c>
    </row>
    <row r="233" spans="2:21" x14ac:dyDescent="0.3">
      <c r="B233" s="13">
        <f t="shared" ca="1" si="30"/>
        <v>0.94239936465984075</v>
      </c>
      <c r="C233" s="14">
        <f t="shared" ca="1" si="30"/>
        <v>0.78704741384555832</v>
      </c>
      <c r="D233" s="14">
        <f t="shared" ca="1" si="31"/>
        <v>1.5752390760342583</v>
      </c>
      <c r="E233" s="14">
        <f t="shared" ca="1" si="32"/>
        <v>0.7962182835164523</v>
      </c>
      <c r="F233" s="14">
        <f t="shared" ca="1" si="33"/>
        <v>1.7647786719155956</v>
      </c>
      <c r="G233" s="14">
        <f t="shared" ca="1" si="34"/>
        <v>0.94239936465984075</v>
      </c>
      <c r="H233" s="15">
        <f t="shared" ca="1" si="35"/>
        <v>0.78704741384555832</v>
      </c>
      <c r="I233" s="14">
        <f ca="1">IF(G233&lt;0.05,1,0)*$B$1*$B$2</f>
        <v>0</v>
      </c>
      <c r="J233" s="14">
        <f ca="1">IF(H233&lt;0.05,1,0)*$B$1*$B$2</f>
        <v>0</v>
      </c>
      <c r="K233" s="15">
        <f t="shared" ca="1" si="36"/>
        <v>0</v>
      </c>
      <c r="P233" s="3">
        <v>229</v>
      </c>
      <c r="Q233" s="4">
        <f t="shared" ca="1" si="37"/>
        <v>0.94239936465984075</v>
      </c>
      <c r="R233" s="4">
        <f t="shared" ca="1" si="38"/>
        <v>0.78704741384555832</v>
      </c>
      <c r="S233" s="4">
        <f ca="1">$B$1*Q233*$B$2</f>
        <v>37.695974586393632</v>
      </c>
      <c r="T233" s="4">
        <f ca="1">$B$1*R233*$B$2</f>
        <v>31.481896553822335</v>
      </c>
      <c r="U233" s="7">
        <f t="shared" ca="1" si="39"/>
        <v>69.17787114021597</v>
      </c>
    </row>
    <row r="234" spans="2:21" x14ac:dyDescent="0.3">
      <c r="B234" s="13">
        <f t="shared" ca="1" si="30"/>
        <v>0.45189257564919616</v>
      </c>
      <c r="C234" s="14">
        <f t="shared" ca="1" si="30"/>
        <v>0.26688419729090596</v>
      </c>
      <c r="D234" s="14">
        <f t="shared" ca="1" si="31"/>
        <v>-0.12088117713806372</v>
      </c>
      <c r="E234" s="14">
        <f t="shared" ca="1" si="32"/>
        <v>-0.62226383920816997</v>
      </c>
      <c r="F234" s="14">
        <f t="shared" ca="1" si="33"/>
        <v>-0.38003157855706282</v>
      </c>
      <c r="G234" s="14">
        <f t="shared" ca="1" si="34"/>
        <v>0.45189257564919616</v>
      </c>
      <c r="H234" s="15">
        <f t="shared" ca="1" si="35"/>
        <v>0.26688419729090584</v>
      </c>
      <c r="I234" s="14">
        <f ca="1">IF(G234&lt;0.05,1,0)*$B$1*$B$2</f>
        <v>0</v>
      </c>
      <c r="J234" s="14">
        <f ca="1">IF(H234&lt;0.05,1,0)*$B$1*$B$2</f>
        <v>0</v>
      </c>
      <c r="K234" s="15">
        <f t="shared" ca="1" si="36"/>
        <v>0</v>
      </c>
      <c r="P234" s="3">
        <v>230</v>
      </c>
      <c r="Q234" s="4">
        <f t="shared" ca="1" si="37"/>
        <v>0.45189257564919616</v>
      </c>
      <c r="R234" s="4">
        <f t="shared" ca="1" si="38"/>
        <v>0.26688419729090584</v>
      </c>
      <c r="S234" s="4">
        <f ca="1">$B$1*Q234*$B$2</f>
        <v>18.075703025967847</v>
      </c>
      <c r="T234" s="4">
        <f ca="1">$B$1*R234*$B$2</f>
        <v>10.675367891636235</v>
      </c>
      <c r="U234" s="7">
        <f t="shared" ca="1" si="39"/>
        <v>28.751070917604082</v>
      </c>
    </row>
    <row r="235" spans="2:21" x14ac:dyDescent="0.3">
      <c r="B235" s="13">
        <f t="shared" ca="1" si="30"/>
        <v>0.90597243992747123</v>
      </c>
      <c r="C235" s="14">
        <f t="shared" ca="1" si="30"/>
        <v>0.42398394142475038</v>
      </c>
      <c r="D235" s="14">
        <f t="shared" ca="1" si="31"/>
        <v>1.3163543994911222</v>
      </c>
      <c r="E235" s="14">
        <f t="shared" ca="1" si="32"/>
        <v>-0.19171190152082859</v>
      </c>
      <c r="F235" s="14">
        <f t="shared" ca="1" si="33"/>
        <v>1.1011536790416787</v>
      </c>
      <c r="G235" s="14">
        <f t="shared" ca="1" si="34"/>
        <v>0.90597243992747145</v>
      </c>
      <c r="H235" s="15">
        <f t="shared" ca="1" si="35"/>
        <v>0.42398394142475032</v>
      </c>
      <c r="I235" s="14">
        <f ca="1">IF(G235&lt;0.05,1,0)*$B$1*$B$2</f>
        <v>0</v>
      </c>
      <c r="J235" s="14">
        <f ca="1">IF(H235&lt;0.05,1,0)*$B$1*$B$2</f>
        <v>0</v>
      </c>
      <c r="K235" s="15">
        <f t="shared" ca="1" si="36"/>
        <v>0</v>
      </c>
      <c r="P235" s="3">
        <v>231</v>
      </c>
      <c r="Q235" s="4">
        <f t="shared" ca="1" si="37"/>
        <v>0.90597243992747145</v>
      </c>
      <c r="R235" s="4">
        <f t="shared" ca="1" si="38"/>
        <v>0.42398394142475032</v>
      </c>
      <c r="S235" s="4">
        <f ca="1">$B$1*Q235*$B$2</f>
        <v>36.238897597098855</v>
      </c>
      <c r="T235" s="4">
        <f ca="1">$B$1*R235*$B$2</f>
        <v>16.959357656990015</v>
      </c>
      <c r="U235" s="7">
        <f t="shared" ca="1" si="39"/>
        <v>53.19825525408887</v>
      </c>
    </row>
    <row r="236" spans="2:21" x14ac:dyDescent="0.3">
      <c r="B236" s="13">
        <f t="shared" ca="1" si="30"/>
        <v>0.24483886539680277</v>
      </c>
      <c r="C236" s="14">
        <f t="shared" ca="1" si="30"/>
        <v>0.25495575368728041</v>
      </c>
      <c r="D236" s="14">
        <f t="shared" ca="1" si="31"/>
        <v>-0.69082148693665035</v>
      </c>
      <c r="E236" s="14">
        <f t="shared" ca="1" si="32"/>
        <v>-0.65897549082946649</v>
      </c>
      <c r="F236" s="14">
        <f t="shared" ca="1" si="33"/>
        <v>-0.90898009532256108</v>
      </c>
      <c r="G236" s="14">
        <f t="shared" ca="1" si="34"/>
        <v>0.24483886539680277</v>
      </c>
      <c r="H236" s="15">
        <f t="shared" ca="1" si="35"/>
        <v>0.25495575368728041</v>
      </c>
      <c r="I236" s="14">
        <f ca="1">IF(G236&lt;0.05,1,0)*$B$1*$B$2</f>
        <v>0</v>
      </c>
      <c r="J236" s="14">
        <f ca="1">IF(H236&lt;0.05,1,0)*$B$1*$B$2</f>
        <v>0</v>
      </c>
      <c r="K236" s="15">
        <f t="shared" ca="1" si="36"/>
        <v>0</v>
      </c>
      <c r="P236" s="3">
        <v>232</v>
      </c>
      <c r="Q236" s="4">
        <f t="shared" ca="1" si="37"/>
        <v>0.24483886539680277</v>
      </c>
      <c r="R236" s="4">
        <f t="shared" ca="1" si="38"/>
        <v>0.25495575368728041</v>
      </c>
      <c r="S236" s="4">
        <f ca="1">$B$1*Q236*$B$2</f>
        <v>9.793554615872111</v>
      </c>
      <c r="T236" s="4">
        <f ca="1">$B$1*R236*$B$2</f>
        <v>10.198230147491216</v>
      </c>
      <c r="U236" s="7">
        <f t="shared" ca="1" si="39"/>
        <v>19.991784763363327</v>
      </c>
    </row>
    <row r="237" spans="2:21" x14ac:dyDescent="0.3">
      <c r="B237" s="13">
        <f t="shared" ca="1" si="30"/>
        <v>0.50866461903448068</v>
      </c>
      <c r="C237" s="14">
        <f t="shared" ca="1" si="30"/>
        <v>0.11902028495401651</v>
      </c>
      <c r="D237" s="14">
        <f t="shared" ca="1" si="31"/>
        <v>2.1720686867305848E-2</v>
      </c>
      <c r="E237" s="14">
        <f t="shared" ca="1" si="32"/>
        <v>-1.1798985418155716</v>
      </c>
      <c r="F237" s="14">
        <f t="shared" ca="1" si="33"/>
        <v>-0.49475723255993226</v>
      </c>
      <c r="G237" s="14">
        <f t="shared" ca="1" si="34"/>
        <v>0.50866461903448068</v>
      </c>
      <c r="H237" s="15">
        <f t="shared" ca="1" si="35"/>
        <v>0.11902028495401651</v>
      </c>
      <c r="I237" s="14">
        <f ca="1">IF(G237&lt;0.05,1,0)*$B$1*$B$2</f>
        <v>0</v>
      </c>
      <c r="J237" s="14">
        <f ca="1">IF(H237&lt;0.05,1,0)*$B$1*$B$2</f>
        <v>0</v>
      </c>
      <c r="K237" s="15">
        <f t="shared" ca="1" si="36"/>
        <v>0</v>
      </c>
      <c r="P237" s="3">
        <v>233</v>
      </c>
      <c r="Q237" s="4">
        <f t="shared" ca="1" si="37"/>
        <v>0.50866461903448068</v>
      </c>
      <c r="R237" s="4">
        <f t="shared" ca="1" si="38"/>
        <v>0.11902028495401651</v>
      </c>
      <c r="S237" s="4">
        <f ca="1">$B$1*Q237*$B$2</f>
        <v>20.34658476137923</v>
      </c>
      <c r="T237" s="4">
        <f ca="1">$B$1*R237*$B$2</f>
        <v>4.7608113981606612</v>
      </c>
      <c r="U237" s="7">
        <f t="shared" ca="1" si="39"/>
        <v>25.107396159539892</v>
      </c>
    </row>
    <row r="238" spans="2:21" x14ac:dyDescent="0.3">
      <c r="B238" s="13">
        <f t="shared" ca="1" si="30"/>
        <v>0.3357533518574064</v>
      </c>
      <c r="C238" s="14">
        <f t="shared" ca="1" si="30"/>
        <v>0.79540302117427664</v>
      </c>
      <c r="D238" s="14">
        <f t="shared" ca="1" si="31"/>
        <v>-0.42408105188054329</v>
      </c>
      <c r="E238" s="14">
        <f t="shared" ca="1" si="32"/>
        <v>0.82531292164159997</v>
      </c>
      <c r="F238" s="14">
        <f t="shared" ca="1" si="33"/>
        <v>-2.1927384469085376E-2</v>
      </c>
      <c r="G238" s="14">
        <f t="shared" ca="1" si="34"/>
        <v>0.33575335185740635</v>
      </c>
      <c r="H238" s="15">
        <f t="shared" ca="1" si="35"/>
        <v>0.79540302117427653</v>
      </c>
      <c r="I238" s="14">
        <f ca="1">IF(G238&lt;0.05,1,0)*$B$1*$B$2</f>
        <v>0</v>
      </c>
      <c r="J238" s="14">
        <f ca="1">IF(H238&lt;0.05,1,0)*$B$1*$B$2</f>
        <v>0</v>
      </c>
      <c r="K238" s="15">
        <f t="shared" ca="1" si="36"/>
        <v>0</v>
      </c>
      <c r="P238" s="3">
        <v>234</v>
      </c>
      <c r="Q238" s="4">
        <f t="shared" ca="1" si="37"/>
        <v>0.33575335185740635</v>
      </c>
      <c r="R238" s="4">
        <f t="shared" ca="1" si="38"/>
        <v>0.79540302117427653</v>
      </c>
      <c r="S238" s="4">
        <f ca="1">$B$1*Q238*$B$2</f>
        <v>13.430134074296255</v>
      </c>
      <c r="T238" s="4">
        <f ca="1">$B$1*R238*$B$2</f>
        <v>31.816120846971064</v>
      </c>
      <c r="U238" s="7">
        <f t="shared" ca="1" si="39"/>
        <v>45.246254921267322</v>
      </c>
    </row>
    <row r="239" spans="2:21" x14ac:dyDescent="0.3">
      <c r="B239" s="13">
        <f t="shared" ca="1" si="30"/>
        <v>0.51202610088316691</v>
      </c>
      <c r="C239" s="14">
        <f t="shared" ca="1" si="30"/>
        <v>0.13593480464473884</v>
      </c>
      <c r="D239" s="14">
        <f t="shared" ca="1" si="31"/>
        <v>3.0149531509718375E-2</v>
      </c>
      <c r="E239" s="14">
        <f t="shared" ca="1" si="32"/>
        <v>-1.0987672301616473</v>
      </c>
      <c r="F239" s="14">
        <f t="shared" ca="1" si="33"/>
        <v>-0.45180695351612504</v>
      </c>
      <c r="G239" s="14">
        <f t="shared" ca="1" si="34"/>
        <v>0.51202610088316691</v>
      </c>
      <c r="H239" s="15">
        <f t="shared" ca="1" si="35"/>
        <v>0.13593480464473881</v>
      </c>
      <c r="I239" s="14">
        <f ca="1">IF(G239&lt;0.05,1,0)*$B$1*$B$2</f>
        <v>0</v>
      </c>
      <c r="J239" s="14">
        <f ca="1">IF(H239&lt;0.05,1,0)*$B$1*$B$2</f>
        <v>0</v>
      </c>
      <c r="K239" s="15">
        <f t="shared" ca="1" si="36"/>
        <v>0</v>
      </c>
      <c r="P239" s="3">
        <v>235</v>
      </c>
      <c r="Q239" s="4">
        <f t="shared" ca="1" si="37"/>
        <v>0.51202610088316691</v>
      </c>
      <c r="R239" s="4">
        <f t="shared" ca="1" si="38"/>
        <v>0.13593480464473881</v>
      </c>
      <c r="S239" s="4">
        <f ca="1">$B$1*Q239*$B$2</f>
        <v>20.481044035326676</v>
      </c>
      <c r="T239" s="4">
        <f ca="1">$B$1*R239*$B$2</f>
        <v>5.4373921857895526</v>
      </c>
      <c r="U239" s="7">
        <f t="shared" ca="1" si="39"/>
        <v>25.918436221116227</v>
      </c>
    </row>
    <row r="240" spans="2:21" x14ac:dyDescent="0.3">
      <c r="B240" s="13">
        <f t="shared" ca="1" si="30"/>
        <v>0.74528755560882831</v>
      </c>
      <c r="C240" s="14">
        <f t="shared" ca="1" si="30"/>
        <v>3.5085783129494841E-2</v>
      </c>
      <c r="D240" s="14">
        <f t="shared" ca="1" si="31"/>
        <v>0.65973346261841559</v>
      </c>
      <c r="E240" s="14">
        <f t="shared" ca="1" si="32"/>
        <v>-1.8108016149168176</v>
      </c>
      <c r="F240" s="14">
        <f t="shared" ca="1" si="33"/>
        <v>-0.19555000826569202</v>
      </c>
      <c r="G240" s="14">
        <f t="shared" ca="1" si="34"/>
        <v>0.74528755560882853</v>
      </c>
      <c r="H240" s="15">
        <f t="shared" ca="1" si="35"/>
        <v>3.5085783129494834E-2</v>
      </c>
      <c r="I240" s="14">
        <f ca="1">IF(G240&lt;0.05,1,0)*$B$1*$B$2</f>
        <v>0</v>
      </c>
      <c r="J240" s="14">
        <f ca="1">IF(H240&lt;0.05,1,0)*$B$1*$B$2</f>
        <v>40</v>
      </c>
      <c r="K240" s="15">
        <f t="shared" ca="1" si="36"/>
        <v>40</v>
      </c>
      <c r="P240" s="3">
        <v>236</v>
      </c>
      <c r="Q240" s="4">
        <f t="shared" ca="1" si="37"/>
        <v>0.74528755560882853</v>
      </c>
      <c r="R240" s="4">
        <f t="shared" ca="1" si="38"/>
        <v>3.5085783129494834E-2</v>
      </c>
      <c r="S240" s="4">
        <f ca="1">$B$1*Q240*$B$2</f>
        <v>29.811502224353145</v>
      </c>
      <c r="T240" s="4">
        <f ca="1">$B$1*R240*$B$2</f>
        <v>1.4034313251797934</v>
      </c>
      <c r="U240" s="7">
        <f t="shared" ca="1" si="39"/>
        <v>31.214933549532937</v>
      </c>
    </row>
    <row r="241" spans="2:21" x14ac:dyDescent="0.3">
      <c r="B241" s="13">
        <f t="shared" ca="1" si="30"/>
        <v>1.6179494232336222E-2</v>
      </c>
      <c r="C241" s="14">
        <f t="shared" ca="1" si="30"/>
        <v>9.5649497347293111E-2</v>
      </c>
      <c r="D241" s="14">
        <f t="shared" ca="1" si="31"/>
        <v>-2.139947763673216</v>
      </c>
      <c r="E241" s="14">
        <f t="shared" ca="1" si="32"/>
        <v>-1.3067459871417604</v>
      </c>
      <c r="F241" s="14">
        <f t="shared" ca="1" si="33"/>
        <v>-2.4955503575887179</v>
      </c>
      <c r="G241" s="14">
        <f t="shared" ca="1" si="34"/>
        <v>1.6179494232336219E-2</v>
      </c>
      <c r="H241" s="15">
        <f t="shared" ca="1" si="35"/>
        <v>9.5649497347293111E-2</v>
      </c>
      <c r="I241" s="14">
        <f ca="1">IF(G241&lt;0.05,1,0)*$B$1*$B$2</f>
        <v>40</v>
      </c>
      <c r="J241" s="14">
        <f ca="1">IF(H241&lt;0.05,1,0)*$B$1*$B$2</f>
        <v>0</v>
      </c>
      <c r="K241" s="15">
        <f t="shared" ca="1" si="36"/>
        <v>40</v>
      </c>
      <c r="P241" s="3">
        <v>237</v>
      </c>
      <c r="Q241" s="4">
        <f t="shared" ca="1" si="37"/>
        <v>1.6179494232336219E-2</v>
      </c>
      <c r="R241" s="4">
        <f t="shared" ca="1" si="38"/>
        <v>9.5649497347293111E-2</v>
      </c>
      <c r="S241" s="4">
        <f ca="1">$B$1*Q241*$B$2</f>
        <v>0.64717976929344878</v>
      </c>
      <c r="T241" s="4">
        <f ca="1">$B$1*R241*$B$2</f>
        <v>3.8259798938917244</v>
      </c>
      <c r="U241" s="7">
        <f t="shared" ca="1" si="39"/>
        <v>4.4731596631851733</v>
      </c>
    </row>
    <row r="242" spans="2:21" x14ac:dyDescent="0.3">
      <c r="B242" s="13">
        <f t="shared" ca="1" si="30"/>
        <v>0.83675944534670166</v>
      </c>
      <c r="C242" s="14">
        <f t="shared" ca="1" si="30"/>
        <v>0.92513779057986534</v>
      </c>
      <c r="D242" s="14">
        <f t="shared" ca="1" si="31"/>
        <v>0.98122639762175279</v>
      </c>
      <c r="E242" s="14">
        <f t="shared" ca="1" si="32"/>
        <v>1.4405055574754486</v>
      </c>
      <c r="F242" s="14">
        <f t="shared" ca="1" si="33"/>
        <v>1.5110055731239975</v>
      </c>
      <c r="G242" s="14">
        <f t="shared" ca="1" si="34"/>
        <v>0.83675944534670166</v>
      </c>
      <c r="H242" s="15">
        <f t="shared" ca="1" si="35"/>
        <v>0.92513779057986545</v>
      </c>
      <c r="I242" s="14">
        <f ca="1">IF(G242&lt;0.05,1,0)*$B$1*$B$2</f>
        <v>0</v>
      </c>
      <c r="J242" s="14">
        <f ca="1">IF(H242&lt;0.05,1,0)*$B$1*$B$2</f>
        <v>0</v>
      </c>
      <c r="K242" s="15">
        <f t="shared" ca="1" si="36"/>
        <v>0</v>
      </c>
      <c r="P242" s="3">
        <v>238</v>
      </c>
      <c r="Q242" s="4">
        <f t="shared" ca="1" si="37"/>
        <v>0.83675944534670166</v>
      </c>
      <c r="R242" s="4">
        <f t="shared" ca="1" si="38"/>
        <v>0.92513779057986545</v>
      </c>
      <c r="S242" s="4">
        <f ca="1">$B$1*Q242*$B$2</f>
        <v>33.470377813868069</v>
      </c>
      <c r="T242" s="4">
        <f ca="1">$B$1*R242*$B$2</f>
        <v>37.005511623194614</v>
      </c>
      <c r="U242" s="7">
        <f t="shared" ca="1" si="39"/>
        <v>70.475889437062676</v>
      </c>
    </row>
    <row r="243" spans="2:21" x14ac:dyDescent="0.3">
      <c r="B243" s="13">
        <f t="shared" ca="1" si="30"/>
        <v>6.3376705223254226E-2</v>
      </c>
      <c r="C243" s="14">
        <f t="shared" ca="1" si="30"/>
        <v>0.17537151237477722</v>
      </c>
      <c r="D243" s="14">
        <f t="shared" ca="1" si="31"/>
        <v>-1.5270305678600524</v>
      </c>
      <c r="E243" s="14">
        <f t="shared" ca="1" si="32"/>
        <v>-0.93314903454024301</v>
      </c>
      <c r="F243" s="14">
        <f t="shared" ca="1" si="33"/>
        <v>-1.7810777451563935</v>
      </c>
      <c r="G243" s="14">
        <f t="shared" ca="1" si="34"/>
        <v>6.3376705223254268E-2</v>
      </c>
      <c r="H243" s="15">
        <f t="shared" ca="1" si="35"/>
        <v>0.17537151237477752</v>
      </c>
      <c r="I243" s="14">
        <f ca="1">IF(G243&lt;0.05,1,0)*$B$1*$B$2</f>
        <v>0</v>
      </c>
      <c r="J243" s="14">
        <f ca="1">IF(H243&lt;0.05,1,0)*$B$1*$B$2</f>
        <v>0</v>
      </c>
      <c r="K243" s="15">
        <f t="shared" ca="1" si="36"/>
        <v>0</v>
      </c>
      <c r="P243" s="3">
        <v>239</v>
      </c>
      <c r="Q243" s="4">
        <f t="shared" ca="1" si="37"/>
        <v>6.3376705223254268E-2</v>
      </c>
      <c r="R243" s="4">
        <f t="shared" ca="1" si="38"/>
        <v>0.17537151237477752</v>
      </c>
      <c r="S243" s="4">
        <f ca="1">$B$1*Q243*$B$2</f>
        <v>2.5350682089301708</v>
      </c>
      <c r="T243" s="4">
        <f ca="1">$B$1*R243*$B$2</f>
        <v>7.0148604949911011</v>
      </c>
      <c r="U243" s="7">
        <f t="shared" ca="1" si="39"/>
        <v>9.549928703921271</v>
      </c>
    </row>
    <row r="244" spans="2:21" x14ac:dyDescent="0.3">
      <c r="B244" s="13">
        <f t="shared" ca="1" si="30"/>
        <v>0.72575531461219678</v>
      </c>
      <c r="C244" s="14">
        <f t="shared" ca="1" si="30"/>
        <v>9.9664893861706516E-2</v>
      </c>
      <c r="D244" s="14">
        <f t="shared" ca="1" si="31"/>
        <v>0.60002530553330691</v>
      </c>
      <c r="E244" s="14">
        <f t="shared" ca="1" si="32"/>
        <v>-1.2834633616423001</v>
      </c>
      <c r="F244" s="14">
        <f t="shared" ca="1" si="33"/>
        <v>-1.9425934133602052E-2</v>
      </c>
      <c r="G244" s="14">
        <f t="shared" ca="1" si="34"/>
        <v>0.72575531461219689</v>
      </c>
      <c r="H244" s="15">
        <f t="shared" ca="1" si="35"/>
        <v>9.9664893861706544E-2</v>
      </c>
      <c r="I244" s="14">
        <f ca="1">IF(G244&lt;0.05,1,0)*$B$1*$B$2</f>
        <v>0</v>
      </c>
      <c r="J244" s="14">
        <f ca="1">IF(H244&lt;0.05,1,0)*$B$1*$B$2</f>
        <v>0</v>
      </c>
      <c r="K244" s="15">
        <f t="shared" ca="1" si="36"/>
        <v>0</v>
      </c>
      <c r="P244" s="3">
        <v>240</v>
      </c>
      <c r="Q244" s="4">
        <f t="shared" ca="1" si="37"/>
        <v>0.72575531461219689</v>
      </c>
      <c r="R244" s="4">
        <f t="shared" ca="1" si="38"/>
        <v>9.9664893861706544E-2</v>
      </c>
      <c r="S244" s="4">
        <f ca="1">$B$1*Q244*$B$2</f>
        <v>29.030212584487874</v>
      </c>
      <c r="T244" s="4">
        <f ca="1">$B$1*R244*$B$2</f>
        <v>3.9865957544682615</v>
      </c>
      <c r="U244" s="7">
        <f t="shared" ca="1" si="39"/>
        <v>33.016808338956139</v>
      </c>
    </row>
    <row r="245" spans="2:21" x14ac:dyDescent="0.3">
      <c r="B245" s="13">
        <f t="shared" ca="1" si="30"/>
        <v>0.69470092557301588</v>
      </c>
      <c r="C245" s="14">
        <f t="shared" ca="1" si="30"/>
        <v>0.35607197384974087</v>
      </c>
      <c r="D245" s="14">
        <f t="shared" ca="1" si="31"/>
        <v>0.50921982438865177</v>
      </c>
      <c r="E245" s="14">
        <f t="shared" ca="1" si="32"/>
        <v>-0.36897823521541945</v>
      </c>
      <c r="F245" s="14">
        <f t="shared" ca="1" si="33"/>
        <v>0.29746395798278724</v>
      </c>
      <c r="G245" s="14">
        <f t="shared" ca="1" si="34"/>
        <v>0.69470092557301588</v>
      </c>
      <c r="H245" s="15">
        <f t="shared" ca="1" si="35"/>
        <v>0.35607197384974076</v>
      </c>
      <c r="I245" s="14">
        <f ca="1">IF(G245&lt;0.05,1,0)*$B$1*$B$2</f>
        <v>0</v>
      </c>
      <c r="J245" s="14">
        <f ca="1">IF(H245&lt;0.05,1,0)*$B$1*$B$2</f>
        <v>0</v>
      </c>
      <c r="K245" s="15">
        <f t="shared" ca="1" si="36"/>
        <v>0</v>
      </c>
      <c r="P245" s="3">
        <v>241</v>
      </c>
      <c r="Q245" s="4">
        <f t="shared" ca="1" si="37"/>
        <v>0.69470092557301588</v>
      </c>
      <c r="R245" s="4">
        <f t="shared" ca="1" si="38"/>
        <v>0.35607197384974076</v>
      </c>
      <c r="S245" s="4">
        <f ca="1">$B$1*Q245*$B$2</f>
        <v>27.788037022920633</v>
      </c>
      <c r="T245" s="4">
        <f ca="1">$B$1*R245*$B$2</f>
        <v>14.242878953989631</v>
      </c>
      <c r="U245" s="7">
        <f t="shared" ca="1" si="39"/>
        <v>42.030915976910265</v>
      </c>
    </row>
    <row r="246" spans="2:21" x14ac:dyDescent="0.3">
      <c r="B246" s="13">
        <f t="shared" ca="1" si="30"/>
        <v>0.45813144841804687</v>
      </c>
      <c r="C246" s="14">
        <f t="shared" ca="1" si="30"/>
        <v>7.7384361829488491E-2</v>
      </c>
      <c r="D246" s="14">
        <f t="shared" ca="1" si="31"/>
        <v>-0.10514229737499296</v>
      </c>
      <c r="E246" s="14">
        <f t="shared" ca="1" si="32"/>
        <v>-1.4228876612670642</v>
      </c>
      <c r="F246" s="14">
        <f t="shared" ca="1" si="33"/>
        <v>-0.71485041998490018</v>
      </c>
      <c r="G246" s="14">
        <f t="shared" ca="1" si="34"/>
        <v>0.45813144841804687</v>
      </c>
      <c r="H246" s="15">
        <f t="shared" ca="1" si="35"/>
        <v>7.7384361829488518E-2</v>
      </c>
      <c r="I246" s="14">
        <f ca="1">IF(G246&lt;0.05,1,0)*$B$1*$B$2</f>
        <v>0</v>
      </c>
      <c r="J246" s="14">
        <f ca="1">IF(H246&lt;0.05,1,0)*$B$1*$B$2</f>
        <v>0</v>
      </c>
      <c r="K246" s="15">
        <f t="shared" ca="1" si="36"/>
        <v>0</v>
      </c>
      <c r="P246" s="3">
        <v>242</v>
      </c>
      <c r="Q246" s="4">
        <f t="shared" ca="1" si="37"/>
        <v>0.45813144841804687</v>
      </c>
      <c r="R246" s="4">
        <f t="shared" ca="1" si="38"/>
        <v>7.7384361829488518E-2</v>
      </c>
      <c r="S246" s="4">
        <f ca="1">$B$1*Q246*$B$2</f>
        <v>18.325257936721876</v>
      </c>
      <c r="T246" s="4">
        <f ca="1">$B$1*R246*$B$2</f>
        <v>3.095374473179541</v>
      </c>
      <c r="U246" s="7">
        <f t="shared" ca="1" si="39"/>
        <v>21.420632409901415</v>
      </c>
    </row>
    <row r="247" spans="2:21" x14ac:dyDescent="0.3">
      <c r="B247" s="13">
        <f t="shared" ca="1" si="30"/>
        <v>0.48108648396174702</v>
      </c>
      <c r="C247" s="14">
        <f t="shared" ca="1" si="30"/>
        <v>0.68427809557958341</v>
      </c>
      <c r="D247" s="14">
        <f t="shared" ca="1" si="31"/>
        <v>-4.7426927748251697E-2</v>
      </c>
      <c r="E247" s="14">
        <f t="shared" ca="1" si="32"/>
        <v>0.4796956677830998</v>
      </c>
      <c r="F247" s="14">
        <f t="shared" ca="1" si="33"/>
        <v>0.16641025897865261</v>
      </c>
      <c r="G247" s="14">
        <f t="shared" ca="1" si="34"/>
        <v>0.48108648396174702</v>
      </c>
      <c r="H247" s="15">
        <f t="shared" ca="1" si="35"/>
        <v>0.68427809557958341</v>
      </c>
      <c r="I247" s="14">
        <f ca="1">IF(G247&lt;0.05,1,0)*$B$1*$B$2</f>
        <v>0</v>
      </c>
      <c r="J247" s="14">
        <f ca="1">IF(H247&lt;0.05,1,0)*$B$1*$B$2</f>
        <v>0</v>
      </c>
      <c r="K247" s="15">
        <f t="shared" ca="1" si="36"/>
        <v>0</v>
      </c>
      <c r="P247" s="3">
        <v>243</v>
      </c>
      <c r="Q247" s="4">
        <f t="shared" ca="1" si="37"/>
        <v>0.48108648396174702</v>
      </c>
      <c r="R247" s="4">
        <f t="shared" ca="1" si="38"/>
        <v>0.68427809557958341</v>
      </c>
      <c r="S247" s="4">
        <f ca="1">$B$1*Q247*$B$2</f>
        <v>19.243459358469881</v>
      </c>
      <c r="T247" s="4">
        <f ca="1">$B$1*R247*$B$2</f>
        <v>27.371123823183339</v>
      </c>
      <c r="U247" s="7">
        <f t="shared" ca="1" si="39"/>
        <v>46.614583181653217</v>
      </c>
    </row>
    <row r="248" spans="2:21" x14ac:dyDescent="0.3">
      <c r="B248" s="13">
        <f t="shared" ca="1" si="30"/>
        <v>0.89694293694182281</v>
      </c>
      <c r="C248" s="14">
        <f t="shared" ca="1" si="30"/>
        <v>0.82182286768545887</v>
      </c>
      <c r="D248" s="14">
        <f t="shared" ca="1" si="31"/>
        <v>1.264322976136796</v>
      </c>
      <c r="E248" s="14">
        <f t="shared" ca="1" si="32"/>
        <v>0.92233422977506729</v>
      </c>
      <c r="F248" s="14">
        <f t="shared" ca="1" si="33"/>
        <v>1.5399268484989106</v>
      </c>
      <c r="G248" s="14">
        <f t="shared" ca="1" si="34"/>
        <v>0.89694293694182281</v>
      </c>
      <c r="H248" s="15">
        <f t="shared" ca="1" si="35"/>
        <v>0.82182286768545876</v>
      </c>
      <c r="I248" s="14">
        <f ca="1">IF(G248&lt;0.05,1,0)*$B$1*$B$2</f>
        <v>0</v>
      </c>
      <c r="J248" s="14">
        <f ca="1">IF(H248&lt;0.05,1,0)*$B$1*$B$2</f>
        <v>0</v>
      </c>
      <c r="K248" s="15">
        <f t="shared" ca="1" si="36"/>
        <v>0</v>
      </c>
      <c r="P248" s="3">
        <v>244</v>
      </c>
      <c r="Q248" s="4">
        <f t="shared" ca="1" si="37"/>
        <v>0.89694293694182281</v>
      </c>
      <c r="R248" s="4">
        <f t="shared" ca="1" si="38"/>
        <v>0.82182286768545876</v>
      </c>
      <c r="S248" s="4">
        <f ca="1">$B$1*Q248*$B$2</f>
        <v>35.87771747767291</v>
      </c>
      <c r="T248" s="4">
        <f ca="1">$B$1*R248*$B$2</f>
        <v>32.872914707418353</v>
      </c>
      <c r="U248" s="7">
        <f t="shared" ca="1" si="39"/>
        <v>68.750632185091263</v>
      </c>
    </row>
    <row r="249" spans="2:21" x14ac:dyDescent="0.3">
      <c r="B249" s="13">
        <f t="shared" ca="1" si="30"/>
        <v>2.5767122565504286E-3</v>
      </c>
      <c r="C249" s="14">
        <f t="shared" ca="1" si="30"/>
        <v>0.15937838241566393</v>
      </c>
      <c r="D249" s="14">
        <f t="shared" ca="1" si="31"/>
        <v>-2.7972837952314809</v>
      </c>
      <c r="E249" s="14">
        <f t="shared" ca="1" si="32"/>
        <v>-0.99701595649147789</v>
      </c>
      <c r="F249" s="14">
        <f t="shared" ca="1" si="33"/>
        <v>-2.9521445956527224</v>
      </c>
      <c r="G249" s="14">
        <f t="shared" ca="1" si="34"/>
        <v>2.5767122565504251E-3</v>
      </c>
      <c r="H249" s="15">
        <f t="shared" ca="1" si="35"/>
        <v>0.15937838241566393</v>
      </c>
      <c r="I249" s="14">
        <f ca="1">IF(G249&lt;0.05,1,0)*$B$1*$B$2</f>
        <v>40</v>
      </c>
      <c r="J249" s="14">
        <f ca="1">IF(H249&lt;0.05,1,0)*$B$1*$B$2</f>
        <v>0</v>
      </c>
      <c r="K249" s="15">
        <f t="shared" ca="1" si="36"/>
        <v>40</v>
      </c>
      <c r="P249" s="3">
        <v>245</v>
      </c>
      <c r="Q249" s="4">
        <f t="shared" ca="1" si="37"/>
        <v>2.5767122565504251E-3</v>
      </c>
      <c r="R249" s="4">
        <f t="shared" ca="1" si="38"/>
        <v>0.15937838241566393</v>
      </c>
      <c r="S249" s="4">
        <f ca="1">$B$1*Q249*$B$2</f>
        <v>0.10306849026201702</v>
      </c>
      <c r="T249" s="4">
        <f ca="1">$B$1*R249*$B$2</f>
        <v>6.3751352966265573</v>
      </c>
      <c r="U249" s="7">
        <f t="shared" ca="1" si="39"/>
        <v>6.4782037868885745</v>
      </c>
    </row>
    <row r="250" spans="2:21" x14ac:dyDescent="0.3">
      <c r="B250" s="13">
        <f t="shared" ca="1" si="30"/>
        <v>0.66246687666957049</v>
      </c>
      <c r="C250" s="14">
        <f t="shared" ca="1" si="30"/>
        <v>0.98164344151590177</v>
      </c>
      <c r="D250" s="14">
        <f t="shared" ca="1" si="31"/>
        <v>0.41920509797057987</v>
      </c>
      <c r="E250" s="14">
        <f t="shared" ca="1" si="32"/>
        <v>2.0889400842728003</v>
      </c>
      <c r="F250" s="14">
        <f t="shared" ca="1" si="33"/>
        <v>1.2878324608191691</v>
      </c>
      <c r="G250" s="14">
        <f t="shared" ca="1" si="34"/>
        <v>0.66246687666957049</v>
      </c>
      <c r="H250" s="15">
        <f t="shared" ca="1" si="35"/>
        <v>0.98164344151590177</v>
      </c>
      <c r="I250" s="14">
        <f ca="1">IF(G250&lt;0.05,1,0)*$B$1*$B$2</f>
        <v>0</v>
      </c>
      <c r="J250" s="14">
        <f ca="1">IF(H250&lt;0.05,1,0)*$B$1*$B$2</f>
        <v>0</v>
      </c>
      <c r="K250" s="15">
        <f t="shared" ca="1" si="36"/>
        <v>0</v>
      </c>
      <c r="P250" s="3">
        <v>246</v>
      </c>
      <c r="Q250" s="4">
        <f t="shared" ca="1" si="37"/>
        <v>0.66246687666957049</v>
      </c>
      <c r="R250" s="4">
        <f t="shared" ca="1" si="38"/>
        <v>0.98164344151590177</v>
      </c>
      <c r="S250" s="4">
        <f ca="1">$B$1*Q250*$B$2</f>
        <v>26.49867506678282</v>
      </c>
      <c r="T250" s="4">
        <f ca="1">$B$1*R250*$B$2</f>
        <v>39.26573766063607</v>
      </c>
      <c r="U250" s="7">
        <f t="shared" ca="1" si="39"/>
        <v>65.764412727418886</v>
      </c>
    </row>
    <row r="251" spans="2:21" x14ac:dyDescent="0.3">
      <c r="B251" s="13">
        <f t="shared" ca="1" si="30"/>
        <v>0.4153383160581996</v>
      </c>
      <c r="C251" s="14">
        <f t="shared" ca="1" si="30"/>
        <v>0.31011040286001068</v>
      </c>
      <c r="D251" s="14">
        <f t="shared" ca="1" si="31"/>
        <v>-0.21383384336115963</v>
      </c>
      <c r="E251" s="14">
        <f t="shared" ca="1" si="32"/>
        <v>-0.49553743259659727</v>
      </c>
      <c r="F251" s="14">
        <f t="shared" ca="1" si="33"/>
        <v>-0.40845021816806021</v>
      </c>
      <c r="G251" s="14">
        <f t="shared" ca="1" si="34"/>
        <v>0.4153383160581996</v>
      </c>
      <c r="H251" s="15">
        <f t="shared" ca="1" si="35"/>
        <v>0.31011040286001057</v>
      </c>
      <c r="I251" s="14">
        <f ca="1">IF(G251&lt;0.05,1,0)*$B$1*$B$2</f>
        <v>0</v>
      </c>
      <c r="J251" s="14">
        <f ca="1">IF(H251&lt;0.05,1,0)*$B$1*$B$2</f>
        <v>0</v>
      </c>
      <c r="K251" s="15">
        <f t="shared" ca="1" si="36"/>
        <v>0</v>
      </c>
      <c r="P251" s="3">
        <v>247</v>
      </c>
      <c r="Q251" s="4">
        <f t="shared" ca="1" si="37"/>
        <v>0.4153383160581996</v>
      </c>
      <c r="R251" s="4">
        <f t="shared" ca="1" si="38"/>
        <v>0.31011040286001057</v>
      </c>
      <c r="S251" s="4">
        <f ca="1">$B$1*Q251*$B$2</f>
        <v>16.613532642327986</v>
      </c>
      <c r="T251" s="4">
        <f ca="1">$B$1*R251*$B$2</f>
        <v>12.404416114400423</v>
      </c>
      <c r="U251" s="7">
        <f t="shared" ca="1" si="39"/>
        <v>29.017948756728408</v>
      </c>
    </row>
    <row r="252" spans="2:21" x14ac:dyDescent="0.3">
      <c r="B252" s="13">
        <f t="shared" ca="1" si="30"/>
        <v>0.95603651171925719</v>
      </c>
      <c r="C252" s="14">
        <f t="shared" ca="1" si="30"/>
        <v>0.23550809554207663</v>
      </c>
      <c r="D252" s="14">
        <f t="shared" ca="1" si="31"/>
        <v>1.7064357642548043</v>
      </c>
      <c r="E252" s="14">
        <f t="shared" ca="1" si="32"/>
        <v>-0.72082662640292938</v>
      </c>
      <c r="F252" s="14">
        <f t="shared" ca="1" si="33"/>
        <v>1.2215911457989523</v>
      </c>
      <c r="G252" s="14">
        <f t="shared" ca="1" si="34"/>
        <v>0.95603651171925719</v>
      </c>
      <c r="H252" s="15">
        <f t="shared" ca="1" si="35"/>
        <v>0.23550809554207658</v>
      </c>
      <c r="I252" s="14">
        <f ca="1">IF(G252&lt;0.05,1,0)*$B$1*$B$2</f>
        <v>0</v>
      </c>
      <c r="J252" s="14">
        <f ca="1">IF(H252&lt;0.05,1,0)*$B$1*$B$2</f>
        <v>0</v>
      </c>
      <c r="K252" s="15">
        <f t="shared" ca="1" si="36"/>
        <v>0</v>
      </c>
      <c r="P252" s="3">
        <v>248</v>
      </c>
      <c r="Q252" s="4">
        <f t="shared" ca="1" si="37"/>
        <v>0.95603651171925719</v>
      </c>
      <c r="R252" s="4">
        <f t="shared" ca="1" si="38"/>
        <v>0.23550809554207658</v>
      </c>
      <c r="S252" s="4">
        <f ca="1">$B$1*Q252*$B$2</f>
        <v>38.241460468770292</v>
      </c>
      <c r="T252" s="4">
        <f ca="1">$B$1*R252*$B$2</f>
        <v>9.4203238216830627</v>
      </c>
      <c r="U252" s="7">
        <f t="shared" ca="1" si="39"/>
        <v>47.661784290453355</v>
      </c>
    </row>
    <row r="253" spans="2:21" x14ac:dyDescent="0.3">
      <c r="B253" s="13">
        <f t="shared" ca="1" si="30"/>
        <v>0.9697329161883822</v>
      </c>
      <c r="C253" s="14">
        <f t="shared" ca="1" si="30"/>
        <v>0.97322345438959712</v>
      </c>
      <c r="D253" s="14">
        <f t="shared" ca="1" si="31"/>
        <v>1.8768827352794806</v>
      </c>
      <c r="E253" s="14">
        <f t="shared" ca="1" si="32"/>
        <v>1.9304339543260221</v>
      </c>
      <c r="F253" s="14">
        <f t="shared" ca="1" si="33"/>
        <v>2.5306511141602068</v>
      </c>
      <c r="G253" s="14">
        <f t="shared" ca="1" si="34"/>
        <v>0.9697329161883822</v>
      </c>
      <c r="H253" s="15">
        <f t="shared" ca="1" si="35"/>
        <v>0.97322345438959712</v>
      </c>
      <c r="I253" s="14">
        <f ca="1">IF(G253&lt;0.05,1,0)*$B$1*$B$2</f>
        <v>0</v>
      </c>
      <c r="J253" s="14">
        <f ca="1">IF(H253&lt;0.05,1,0)*$B$1*$B$2</f>
        <v>0</v>
      </c>
      <c r="K253" s="15">
        <f t="shared" ca="1" si="36"/>
        <v>0</v>
      </c>
      <c r="P253" s="3">
        <v>249</v>
      </c>
      <c r="Q253" s="4">
        <f t="shared" ca="1" si="37"/>
        <v>0.9697329161883822</v>
      </c>
      <c r="R253" s="4">
        <f t="shared" ca="1" si="38"/>
        <v>0.97322345438959712</v>
      </c>
      <c r="S253" s="4">
        <f ca="1">$B$1*Q253*$B$2</f>
        <v>38.789316647535287</v>
      </c>
      <c r="T253" s="4">
        <f ca="1">$B$1*R253*$B$2</f>
        <v>38.928938175583887</v>
      </c>
      <c r="U253" s="7">
        <f t="shared" ca="1" si="39"/>
        <v>77.718254823119167</v>
      </c>
    </row>
    <row r="254" spans="2:21" x14ac:dyDescent="0.3">
      <c r="B254" s="13">
        <f t="shared" ca="1" si="30"/>
        <v>0.84923387088492197</v>
      </c>
      <c r="C254" s="14">
        <f t="shared" ca="1" si="30"/>
        <v>0.95867550620375308</v>
      </c>
      <c r="D254" s="14">
        <f t="shared" ca="1" si="31"/>
        <v>1.0331530974246044</v>
      </c>
      <c r="E254" s="14">
        <f t="shared" ca="1" si="32"/>
        <v>1.7355186130074982</v>
      </c>
      <c r="F254" s="14">
        <f t="shared" ca="1" si="33"/>
        <v>1.6863328125554997</v>
      </c>
      <c r="G254" s="14">
        <f t="shared" ca="1" si="34"/>
        <v>0.84923387088492186</v>
      </c>
      <c r="H254" s="15">
        <f t="shared" ca="1" si="35"/>
        <v>0.95867550620375308</v>
      </c>
      <c r="I254" s="14">
        <f ca="1">IF(G254&lt;0.05,1,0)*$B$1*$B$2</f>
        <v>0</v>
      </c>
      <c r="J254" s="14">
        <f ca="1">IF(H254&lt;0.05,1,0)*$B$1*$B$2</f>
        <v>0</v>
      </c>
      <c r="K254" s="15">
        <f t="shared" ca="1" si="36"/>
        <v>0</v>
      </c>
      <c r="P254" s="3">
        <v>250</v>
      </c>
      <c r="Q254" s="4">
        <f t="shared" ca="1" si="37"/>
        <v>0.84923387088492186</v>
      </c>
      <c r="R254" s="4">
        <f t="shared" ca="1" si="38"/>
        <v>0.95867550620375308</v>
      </c>
      <c r="S254" s="4">
        <f ca="1">$B$1*Q254*$B$2</f>
        <v>33.969354835396878</v>
      </c>
      <c r="T254" s="4">
        <f ca="1">$B$1*R254*$B$2</f>
        <v>38.347020248150123</v>
      </c>
      <c r="U254" s="7">
        <f t="shared" ca="1" si="39"/>
        <v>72.316375083547001</v>
      </c>
    </row>
    <row r="255" spans="2:21" x14ac:dyDescent="0.3">
      <c r="B255" s="13">
        <f t="shared" ca="1" si="30"/>
        <v>0.66409712026278622</v>
      </c>
      <c r="C255" s="14">
        <f t="shared" ca="1" si="30"/>
        <v>0.42084415681244425</v>
      </c>
      <c r="D255" s="14">
        <f t="shared" ca="1" si="31"/>
        <v>0.42367101100695098</v>
      </c>
      <c r="E255" s="14">
        <f t="shared" ca="1" si="32"/>
        <v>-0.19973439346742036</v>
      </c>
      <c r="F255" s="14">
        <f t="shared" ca="1" si="33"/>
        <v>0.29424170623886836</v>
      </c>
      <c r="G255" s="14">
        <f t="shared" ca="1" si="34"/>
        <v>0.66409712026278622</v>
      </c>
      <c r="H255" s="15">
        <f t="shared" ca="1" si="35"/>
        <v>0.42084415681244425</v>
      </c>
      <c r="I255" s="14">
        <f ca="1">IF(G255&lt;0.05,1,0)*$B$1*$B$2</f>
        <v>0</v>
      </c>
      <c r="J255" s="14">
        <f ca="1">IF(H255&lt;0.05,1,0)*$B$1*$B$2</f>
        <v>0</v>
      </c>
      <c r="K255" s="15">
        <f t="shared" ca="1" si="36"/>
        <v>0</v>
      </c>
      <c r="P255" s="3">
        <v>251</v>
      </c>
      <c r="Q255" s="4">
        <f t="shared" ca="1" si="37"/>
        <v>0.66409712026278622</v>
      </c>
      <c r="R255" s="4">
        <f t="shared" ca="1" si="38"/>
        <v>0.42084415681244425</v>
      </c>
      <c r="S255" s="4">
        <f ca="1">$B$1*Q255*$B$2</f>
        <v>26.563884810511453</v>
      </c>
      <c r="T255" s="4">
        <f ca="1">$B$1*R255*$B$2</f>
        <v>16.833766272497769</v>
      </c>
      <c r="U255" s="7">
        <f t="shared" ca="1" si="39"/>
        <v>43.397651083009222</v>
      </c>
    </row>
    <row r="256" spans="2:21" x14ac:dyDescent="0.3">
      <c r="B256" s="13">
        <f t="shared" ca="1" si="30"/>
        <v>0.16387037544030025</v>
      </c>
      <c r="C256" s="14">
        <f t="shared" ca="1" si="30"/>
        <v>0.75111771579788122</v>
      </c>
      <c r="D256" s="14">
        <f t="shared" ca="1" si="31"/>
        <v>-0.97867467133876229</v>
      </c>
      <c r="E256" s="14">
        <f t="shared" ca="1" si="32"/>
        <v>0.67801123709638389</v>
      </c>
      <c r="F256" s="14">
        <f t="shared" ca="1" si="33"/>
        <v>-0.5852689576960729</v>
      </c>
      <c r="G256" s="14">
        <f t="shared" ca="1" si="34"/>
        <v>0.16387037544030073</v>
      </c>
      <c r="H256" s="15">
        <f t="shared" ca="1" si="35"/>
        <v>0.75111771579788122</v>
      </c>
      <c r="I256" s="14">
        <f ca="1">IF(G256&lt;0.05,1,0)*$B$1*$B$2</f>
        <v>0</v>
      </c>
      <c r="J256" s="14">
        <f ca="1">IF(H256&lt;0.05,1,0)*$B$1*$B$2</f>
        <v>0</v>
      </c>
      <c r="K256" s="15">
        <f t="shared" ca="1" si="36"/>
        <v>0</v>
      </c>
      <c r="P256" s="3">
        <v>252</v>
      </c>
      <c r="Q256" s="4">
        <f t="shared" ca="1" si="37"/>
        <v>0.16387037544030073</v>
      </c>
      <c r="R256" s="4">
        <f t="shared" ca="1" si="38"/>
        <v>0.75111771579788122</v>
      </c>
      <c r="S256" s="4">
        <f ca="1">$B$1*Q256*$B$2</f>
        <v>6.5548150176120288</v>
      </c>
      <c r="T256" s="4">
        <f ca="1">$B$1*R256*$B$2</f>
        <v>30.044708631915253</v>
      </c>
      <c r="U256" s="7">
        <f t="shared" ca="1" si="39"/>
        <v>36.599523649527285</v>
      </c>
    </row>
    <row r="257" spans="2:21" x14ac:dyDescent="0.3">
      <c r="B257" s="13">
        <f t="shared" ca="1" si="30"/>
        <v>7.7564095655477949E-2</v>
      </c>
      <c r="C257" s="14">
        <f t="shared" ca="1" si="30"/>
        <v>1.8431160882490527E-3</v>
      </c>
      <c r="D257" s="14">
        <f t="shared" ca="1" si="31"/>
        <v>-1.4216489348650621</v>
      </c>
      <c r="E257" s="14">
        <f t="shared" ca="1" si="32"/>
        <v>-2.9038342826324883</v>
      </c>
      <c r="F257" s="14">
        <f t="shared" ca="1" si="33"/>
        <v>-2.5452360600569501</v>
      </c>
      <c r="G257" s="14">
        <f t="shared" ca="1" si="34"/>
        <v>7.7564095655477866E-2</v>
      </c>
      <c r="H257" s="15">
        <f t="shared" ca="1" si="35"/>
        <v>1.8431160882490508E-3</v>
      </c>
      <c r="I257" s="14">
        <f ca="1">IF(G257&lt;0.05,1,0)*$B$1*$B$2</f>
        <v>0</v>
      </c>
      <c r="J257" s="14">
        <f ca="1">IF(H257&lt;0.05,1,0)*$B$1*$B$2</f>
        <v>40</v>
      </c>
      <c r="K257" s="15">
        <f t="shared" ca="1" si="36"/>
        <v>40</v>
      </c>
      <c r="P257" s="3">
        <v>253</v>
      </c>
      <c r="Q257" s="4">
        <f t="shared" ca="1" si="37"/>
        <v>7.7564095655477866E-2</v>
      </c>
      <c r="R257" s="4">
        <f t="shared" ca="1" si="38"/>
        <v>1.8431160882490508E-3</v>
      </c>
      <c r="S257" s="4">
        <f ca="1">$B$1*Q257*$B$2</f>
        <v>3.1025638262191149</v>
      </c>
      <c r="T257" s="4">
        <f ca="1">$B$1*R257*$B$2</f>
        <v>7.3724643529962039E-2</v>
      </c>
      <c r="U257" s="7">
        <f t="shared" ca="1" si="39"/>
        <v>3.176288469749077</v>
      </c>
    </row>
    <row r="258" spans="2:21" x14ac:dyDescent="0.3">
      <c r="B258" s="13">
        <f t="shared" ca="1" si="30"/>
        <v>0.71550754590904075</v>
      </c>
      <c r="C258" s="14">
        <f t="shared" ca="1" si="30"/>
        <v>0.25725009216449579</v>
      </c>
      <c r="D258" s="14">
        <f t="shared" ca="1" si="31"/>
        <v>0.56954711231694011</v>
      </c>
      <c r="E258" s="14">
        <f t="shared" ca="1" si="32"/>
        <v>-0.65184652561456546</v>
      </c>
      <c r="F258" s="14">
        <f t="shared" ca="1" si="33"/>
        <v>0.22845908790004732</v>
      </c>
      <c r="G258" s="14">
        <f t="shared" ca="1" si="34"/>
        <v>0.71550754590904075</v>
      </c>
      <c r="H258" s="15">
        <f t="shared" ca="1" si="35"/>
        <v>0.25725009216449568</v>
      </c>
      <c r="I258" s="14">
        <f ca="1">IF(G258&lt;0.05,1,0)*$B$1*$B$2</f>
        <v>0</v>
      </c>
      <c r="J258" s="14">
        <f ca="1">IF(H258&lt;0.05,1,0)*$B$1*$B$2</f>
        <v>0</v>
      </c>
      <c r="K258" s="15">
        <f t="shared" ca="1" si="36"/>
        <v>0</v>
      </c>
      <c r="P258" s="3">
        <v>254</v>
      </c>
      <c r="Q258" s="4">
        <f t="shared" ca="1" si="37"/>
        <v>0.71550754590904075</v>
      </c>
      <c r="R258" s="4">
        <f t="shared" ca="1" si="38"/>
        <v>0.25725009216449568</v>
      </c>
      <c r="S258" s="4">
        <f ca="1">$B$1*Q258*$B$2</f>
        <v>28.620301836361634</v>
      </c>
      <c r="T258" s="4">
        <f ca="1">$B$1*R258*$B$2</f>
        <v>10.290003686579828</v>
      </c>
      <c r="U258" s="7">
        <f t="shared" ca="1" si="39"/>
        <v>38.910305522941464</v>
      </c>
    </row>
    <row r="259" spans="2:21" x14ac:dyDescent="0.3">
      <c r="B259" s="13">
        <f t="shared" ca="1" si="30"/>
        <v>0.99916497125697035</v>
      </c>
      <c r="C259" s="14">
        <f t="shared" ca="1" si="30"/>
        <v>0.49292830746843097</v>
      </c>
      <c r="D259" s="14">
        <f t="shared" ca="1" si="31"/>
        <v>3.1433854819257121</v>
      </c>
      <c r="E259" s="14">
        <f t="shared" ca="1" si="32"/>
        <v>-1.7727032851896855E-2</v>
      </c>
      <c r="F259" s="14">
        <f t="shared" ca="1" si="33"/>
        <v>2.8213198992561166</v>
      </c>
      <c r="G259" s="14">
        <f t="shared" ca="1" si="34"/>
        <v>0.99916497125697035</v>
      </c>
      <c r="H259" s="15">
        <f t="shared" ca="1" si="35"/>
        <v>0.49292830746843097</v>
      </c>
      <c r="I259" s="14">
        <f ca="1">IF(G259&lt;0.05,1,0)*$B$1*$B$2</f>
        <v>0</v>
      </c>
      <c r="J259" s="14">
        <f ca="1">IF(H259&lt;0.05,1,0)*$B$1*$B$2</f>
        <v>0</v>
      </c>
      <c r="K259" s="15">
        <f t="shared" ca="1" si="36"/>
        <v>0</v>
      </c>
      <c r="P259" s="3">
        <v>255</v>
      </c>
      <c r="Q259" s="4">
        <f t="shared" ca="1" si="37"/>
        <v>0.99916497125697035</v>
      </c>
      <c r="R259" s="4">
        <f t="shared" ca="1" si="38"/>
        <v>0.49292830746843097</v>
      </c>
      <c r="S259" s="4">
        <f ca="1">$B$1*Q259*$B$2</f>
        <v>39.966598850278814</v>
      </c>
      <c r="T259" s="4">
        <f ca="1">$B$1*R259*$B$2</f>
        <v>19.717132298737241</v>
      </c>
      <c r="U259" s="7">
        <f t="shared" ca="1" si="39"/>
        <v>59.683731149016054</v>
      </c>
    </row>
    <row r="260" spans="2:21" x14ac:dyDescent="0.3">
      <c r="B260" s="13">
        <f t="shared" ca="1" si="30"/>
        <v>0.52518179455279423</v>
      </c>
      <c r="C260" s="14">
        <f t="shared" ca="1" si="30"/>
        <v>0.39805551810705464</v>
      </c>
      <c r="D260" s="14">
        <f t="shared" ca="1" si="31"/>
        <v>6.3163372664162692E-2</v>
      </c>
      <c r="E260" s="14">
        <f t="shared" ca="1" si="32"/>
        <v>-0.25838338757308854</v>
      </c>
      <c r="F260" s="14">
        <f t="shared" ca="1" si="33"/>
        <v>-5.5779672114333156E-2</v>
      </c>
      <c r="G260" s="14">
        <f t="shared" ca="1" si="34"/>
        <v>0.52518179455279423</v>
      </c>
      <c r="H260" s="15">
        <f t="shared" ca="1" si="35"/>
        <v>0.39805551810705464</v>
      </c>
      <c r="I260" s="14">
        <f ca="1">IF(G260&lt;0.05,1,0)*$B$1*$B$2</f>
        <v>0</v>
      </c>
      <c r="J260" s="14">
        <f ca="1">IF(H260&lt;0.05,1,0)*$B$1*$B$2</f>
        <v>0</v>
      </c>
      <c r="K260" s="15">
        <f t="shared" ca="1" si="36"/>
        <v>0</v>
      </c>
      <c r="P260" s="3">
        <v>256</v>
      </c>
      <c r="Q260" s="4">
        <f t="shared" ca="1" si="37"/>
        <v>0.52518179455279423</v>
      </c>
      <c r="R260" s="4">
        <f t="shared" ca="1" si="38"/>
        <v>0.39805551810705464</v>
      </c>
      <c r="S260" s="4">
        <f ca="1">$B$1*Q260*$B$2</f>
        <v>21.007271782111772</v>
      </c>
      <c r="T260" s="4">
        <f ca="1">$B$1*R260*$B$2</f>
        <v>15.922220724282187</v>
      </c>
      <c r="U260" s="7">
        <f t="shared" ca="1" si="39"/>
        <v>36.929492506393956</v>
      </c>
    </row>
    <row r="261" spans="2:21" x14ac:dyDescent="0.3">
      <c r="B261" s="13">
        <f t="shared" ca="1" si="30"/>
        <v>0.87981571011889648</v>
      </c>
      <c r="C261" s="14">
        <f t="shared" ca="1" si="30"/>
        <v>0.61075766849842728</v>
      </c>
      <c r="D261" s="14">
        <f t="shared" ca="1" si="31"/>
        <v>1.1740660272725918</v>
      </c>
      <c r="E261" s="14">
        <f t="shared" ca="1" si="32"/>
        <v>0.28129432454840475</v>
      </c>
      <c r="F261" s="14">
        <f t="shared" ca="1" si="33"/>
        <v>1.1792727779551355</v>
      </c>
      <c r="G261" s="14">
        <f t="shared" ca="1" si="34"/>
        <v>0.87981571011889659</v>
      </c>
      <c r="H261" s="15">
        <f t="shared" ca="1" si="35"/>
        <v>0.61075766849842728</v>
      </c>
      <c r="I261" s="14">
        <f ca="1">IF(G261&lt;0.05,1,0)*$B$1*$B$2</f>
        <v>0</v>
      </c>
      <c r="J261" s="14">
        <f ca="1">IF(H261&lt;0.05,1,0)*$B$1*$B$2</f>
        <v>0</v>
      </c>
      <c r="K261" s="15">
        <f t="shared" ca="1" si="36"/>
        <v>0</v>
      </c>
      <c r="P261" s="3">
        <v>257</v>
      </c>
      <c r="Q261" s="4">
        <f t="shared" ca="1" si="37"/>
        <v>0.87981571011889659</v>
      </c>
      <c r="R261" s="4">
        <f t="shared" ca="1" si="38"/>
        <v>0.61075766849842728</v>
      </c>
      <c r="S261" s="4">
        <f ca="1">$B$1*Q261*$B$2</f>
        <v>35.192628404755865</v>
      </c>
      <c r="T261" s="4">
        <f ca="1">$B$1*R261*$B$2</f>
        <v>24.430306739937095</v>
      </c>
      <c r="U261" s="7">
        <f t="shared" ca="1" si="39"/>
        <v>59.62293514469296</v>
      </c>
    </row>
    <row r="262" spans="2:21" x14ac:dyDescent="0.3">
      <c r="B262" s="13">
        <f t="shared" ref="B262:C325" ca="1" si="40">RAND()</f>
        <v>0.74109563895800123</v>
      </c>
      <c r="C262" s="14">
        <f t="shared" ca="1" si="40"/>
        <v>4.0951454999511028E-2</v>
      </c>
      <c r="D262" s="14">
        <f t="shared" ref="D262:D325" ca="1" si="41">_xlfn.NORM.S.INV(B262)</f>
        <v>0.64672688152953173</v>
      </c>
      <c r="E262" s="14">
        <f t="shared" ref="E262:E325" ca="1" si="42">_xlfn.NORM.S.INV(C262)</f>
        <v>-1.7397500884771375</v>
      </c>
      <c r="F262" s="14">
        <f t="shared" ref="F262:F325" ca="1" si="43">($Y$5*D262)+(SQRT(1-$Y$5^2)*E262)</f>
        <v>-0.17628528889220008</v>
      </c>
      <c r="G262" s="14">
        <f t="shared" ref="G262:G325" ca="1" si="44">_xlfn.NORM.S.DIST(D262,TRUE)</f>
        <v>0.74109563895800135</v>
      </c>
      <c r="H262" s="15">
        <f t="shared" ref="H262:H325" ca="1" si="45">_xlfn.NORM.S.DIST(E262,TRUE)</f>
        <v>4.0951454999511049E-2</v>
      </c>
      <c r="I262" s="14">
        <f ca="1">IF(G262&lt;0.05,1,0)*$B$1*$B$2</f>
        <v>0</v>
      </c>
      <c r="J262" s="14">
        <f ca="1">IF(H262&lt;0.05,1,0)*$B$1*$B$2</f>
        <v>40</v>
      </c>
      <c r="K262" s="15">
        <f t="shared" ref="K262:K325" ca="1" si="46">I262+J262</f>
        <v>40</v>
      </c>
      <c r="P262" s="3">
        <v>258</v>
      </c>
      <c r="Q262" s="4">
        <f t="shared" ref="Q262:Q325" ca="1" si="47">G262</f>
        <v>0.74109563895800135</v>
      </c>
      <c r="R262" s="4">
        <f t="shared" ref="R262:R325" ca="1" si="48">H262</f>
        <v>4.0951454999511049E-2</v>
      </c>
      <c r="S262" s="4">
        <f ca="1">$B$1*Q262*$B$2</f>
        <v>29.643825558320057</v>
      </c>
      <c r="T262" s="4">
        <f ca="1">$B$1*R262*$B$2</f>
        <v>1.638058199980442</v>
      </c>
      <c r="U262" s="7">
        <f t="shared" ref="U262:U325" ca="1" si="49">S262+T262</f>
        <v>31.281883758300498</v>
      </c>
    </row>
    <row r="263" spans="2:21" x14ac:dyDescent="0.3">
      <c r="B263" s="13">
        <f t="shared" ca="1" si="40"/>
        <v>0.4291687768310597</v>
      </c>
      <c r="C263" s="14">
        <f t="shared" ca="1" si="40"/>
        <v>0.67891777765876371</v>
      </c>
      <c r="D263" s="14">
        <f t="shared" ca="1" si="41"/>
        <v>-0.1784907898898728</v>
      </c>
      <c r="E263" s="14">
        <f t="shared" ca="1" si="42"/>
        <v>0.46467467796757772</v>
      </c>
      <c r="F263" s="14">
        <f t="shared" ca="1" si="43"/>
        <v>4.1905285387412172E-2</v>
      </c>
      <c r="G263" s="14">
        <f t="shared" ca="1" si="44"/>
        <v>0.4291687768310597</v>
      </c>
      <c r="H263" s="15">
        <f t="shared" ca="1" si="45"/>
        <v>0.67891777765876371</v>
      </c>
      <c r="I263" s="14">
        <f ca="1">IF(G263&lt;0.05,1,0)*$B$1*$B$2</f>
        <v>0</v>
      </c>
      <c r="J263" s="14">
        <f ca="1">IF(H263&lt;0.05,1,0)*$B$1*$B$2</f>
        <v>0</v>
      </c>
      <c r="K263" s="15">
        <f t="shared" ca="1" si="46"/>
        <v>0</v>
      </c>
      <c r="P263" s="3">
        <v>259</v>
      </c>
      <c r="Q263" s="4">
        <f t="shared" ca="1" si="47"/>
        <v>0.4291687768310597</v>
      </c>
      <c r="R263" s="4">
        <f t="shared" ca="1" si="48"/>
        <v>0.67891777765876371</v>
      </c>
      <c r="S263" s="4">
        <f ca="1">$B$1*Q263*$B$2</f>
        <v>17.166751073242388</v>
      </c>
      <c r="T263" s="4">
        <f ca="1">$B$1*R263*$B$2</f>
        <v>27.156711106350549</v>
      </c>
      <c r="U263" s="7">
        <f t="shared" ca="1" si="49"/>
        <v>44.323462179592937</v>
      </c>
    </row>
    <row r="264" spans="2:21" x14ac:dyDescent="0.3">
      <c r="B264" s="13">
        <f t="shared" ca="1" si="40"/>
        <v>0.3948802548042365</v>
      </c>
      <c r="C264" s="14">
        <f t="shared" ca="1" si="40"/>
        <v>9.3653499256212469E-2</v>
      </c>
      <c r="D264" s="14">
        <f t="shared" ca="1" si="41"/>
        <v>-0.26662161750733443</v>
      </c>
      <c r="E264" s="14">
        <f t="shared" ca="1" si="42"/>
        <v>-1.3185876685522999</v>
      </c>
      <c r="F264" s="14">
        <f t="shared" ca="1" si="43"/>
        <v>-0.81471849529843898</v>
      </c>
      <c r="G264" s="14">
        <f t="shared" ca="1" si="44"/>
        <v>0.3948802548042365</v>
      </c>
      <c r="H264" s="15">
        <f t="shared" ca="1" si="45"/>
        <v>9.3653499256212566E-2</v>
      </c>
      <c r="I264" s="14">
        <f ca="1">IF(G264&lt;0.05,1,0)*$B$1*$B$2</f>
        <v>0</v>
      </c>
      <c r="J264" s="14">
        <f ca="1">IF(H264&lt;0.05,1,0)*$B$1*$B$2</f>
        <v>0</v>
      </c>
      <c r="K264" s="15">
        <f t="shared" ca="1" si="46"/>
        <v>0</v>
      </c>
      <c r="P264" s="3">
        <v>260</v>
      </c>
      <c r="Q264" s="4">
        <f t="shared" ca="1" si="47"/>
        <v>0.3948802548042365</v>
      </c>
      <c r="R264" s="4">
        <f t="shared" ca="1" si="48"/>
        <v>9.3653499256212566E-2</v>
      </c>
      <c r="S264" s="4">
        <f ca="1">$B$1*Q264*$B$2</f>
        <v>15.795210192169462</v>
      </c>
      <c r="T264" s="4">
        <f ca="1">$B$1*R264*$B$2</f>
        <v>3.7461399702485028</v>
      </c>
      <c r="U264" s="7">
        <f t="shared" ca="1" si="49"/>
        <v>19.541350162417963</v>
      </c>
    </row>
    <row r="265" spans="2:21" x14ac:dyDescent="0.3">
      <c r="B265" s="13">
        <f t="shared" ca="1" si="40"/>
        <v>0.58377561827637592</v>
      </c>
      <c r="C265" s="14">
        <f t="shared" ca="1" si="40"/>
        <v>0.68513186064326215</v>
      </c>
      <c r="D265" s="14">
        <f t="shared" ca="1" si="41"/>
        <v>0.21156199280113391</v>
      </c>
      <c r="E265" s="14">
        <f t="shared" ca="1" si="42"/>
        <v>0.4820980729632387</v>
      </c>
      <c r="F265" s="14">
        <f t="shared" ca="1" si="43"/>
        <v>0.40054747161326609</v>
      </c>
      <c r="G265" s="14">
        <f t="shared" ca="1" si="44"/>
        <v>0.58377561827637603</v>
      </c>
      <c r="H265" s="15">
        <f t="shared" ca="1" si="45"/>
        <v>0.68513186064326226</v>
      </c>
      <c r="I265" s="14">
        <f ca="1">IF(G265&lt;0.05,1,0)*$B$1*$B$2</f>
        <v>0</v>
      </c>
      <c r="J265" s="14">
        <f ca="1">IF(H265&lt;0.05,1,0)*$B$1*$B$2</f>
        <v>0</v>
      </c>
      <c r="K265" s="15">
        <f t="shared" ca="1" si="46"/>
        <v>0</v>
      </c>
      <c r="P265" s="3">
        <v>261</v>
      </c>
      <c r="Q265" s="4">
        <f t="shared" ca="1" si="47"/>
        <v>0.58377561827637603</v>
      </c>
      <c r="R265" s="4">
        <f t="shared" ca="1" si="48"/>
        <v>0.68513186064326226</v>
      </c>
      <c r="S265" s="4">
        <f ca="1">$B$1*Q265*$B$2</f>
        <v>23.351024731055045</v>
      </c>
      <c r="T265" s="4">
        <f ca="1">$B$1*R265*$B$2</f>
        <v>27.405274425730489</v>
      </c>
      <c r="U265" s="7">
        <f t="shared" ca="1" si="49"/>
        <v>50.756299156785531</v>
      </c>
    </row>
    <row r="266" spans="2:21" x14ac:dyDescent="0.3">
      <c r="B266" s="13">
        <f t="shared" ca="1" si="40"/>
        <v>2.7311530001063011E-2</v>
      </c>
      <c r="C266" s="14">
        <f t="shared" ca="1" si="40"/>
        <v>0.85441966903908506</v>
      </c>
      <c r="D266" s="14">
        <f t="shared" ca="1" si="41"/>
        <v>-1.9218625118426604</v>
      </c>
      <c r="E266" s="14">
        <f t="shared" ca="1" si="42"/>
        <v>1.0555788630352612</v>
      </c>
      <c r="F266" s="14">
        <f t="shared" ca="1" si="43"/>
        <v>-1.2695601015675679</v>
      </c>
      <c r="G266" s="14">
        <f t="shared" ca="1" si="44"/>
        <v>2.7311530001063029E-2</v>
      </c>
      <c r="H266" s="15">
        <f t="shared" ca="1" si="45"/>
        <v>0.85441966903908506</v>
      </c>
      <c r="I266" s="14">
        <f ca="1">IF(G266&lt;0.05,1,0)*$B$1*$B$2</f>
        <v>40</v>
      </c>
      <c r="J266" s="14">
        <f ca="1">IF(H266&lt;0.05,1,0)*$B$1*$B$2</f>
        <v>0</v>
      </c>
      <c r="K266" s="15">
        <f t="shared" ca="1" si="46"/>
        <v>40</v>
      </c>
      <c r="P266" s="3">
        <v>262</v>
      </c>
      <c r="Q266" s="4">
        <f t="shared" ca="1" si="47"/>
        <v>2.7311530001063029E-2</v>
      </c>
      <c r="R266" s="4">
        <f t="shared" ca="1" si="48"/>
        <v>0.85441966903908506</v>
      </c>
      <c r="S266" s="4">
        <f ca="1">$B$1*Q266*$B$2</f>
        <v>1.0924612000425211</v>
      </c>
      <c r="T266" s="4">
        <f ca="1">$B$1*R266*$B$2</f>
        <v>34.176786761563406</v>
      </c>
      <c r="U266" s="7">
        <f t="shared" ca="1" si="49"/>
        <v>35.269247961605927</v>
      </c>
    </row>
    <row r="267" spans="2:21" x14ac:dyDescent="0.3">
      <c r="B267" s="13">
        <f t="shared" ca="1" si="40"/>
        <v>0.94810657628121564</v>
      </c>
      <c r="C267" s="14">
        <f t="shared" ca="1" si="40"/>
        <v>0.6356593602527707</v>
      </c>
      <c r="D267" s="14">
        <f t="shared" ca="1" si="41"/>
        <v>1.6267658015798598</v>
      </c>
      <c r="E267" s="14">
        <f t="shared" ca="1" si="42"/>
        <v>0.3468802569442877</v>
      </c>
      <c r="F267" s="14">
        <f t="shared" ca="1" si="43"/>
        <v>1.6152908199748313</v>
      </c>
      <c r="G267" s="14">
        <f t="shared" ca="1" si="44"/>
        <v>0.94810657628121564</v>
      </c>
      <c r="H267" s="15">
        <f t="shared" ca="1" si="45"/>
        <v>0.6356593602527707</v>
      </c>
      <c r="I267" s="14">
        <f ca="1">IF(G267&lt;0.05,1,0)*$B$1*$B$2</f>
        <v>0</v>
      </c>
      <c r="J267" s="14">
        <f ca="1">IF(H267&lt;0.05,1,0)*$B$1*$B$2</f>
        <v>0</v>
      </c>
      <c r="K267" s="15">
        <f t="shared" ca="1" si="46"/>
        <v>0</v>
      </c>
      <c r="P267" s="3">
        <v>263</v>
      </c>
      <c r="Q267" s="4">
        <f t="shared" ca="1" si="47"/>
        <v>0.94810657628121564</v>
      </c>
      <c r="R267" s="4">
        <f t="shared" ca="1" si="48"/>
        <v>0.6356593602527707</v>
      </c>
      <c r="S267" s="4">
        <f ca="1">$B$1*Q267*$B$2</f>
        <v>37.924263051248623</v>
      </c>
      <c r="T267" s="4">
        <f ca="1">$B$1*R267*$B$2</f>
        <v>25.426374410110828</v>
      </c>
      <c r="U267" s="7">
        <f t="shared" ca="1" si="49"/>
        <v>63.350637461359455</v>
      </c>
    </row>
    <row r="268" spans="2:21" x14ac:dyDescent="0.3">
      <c r="B268" s="13">
        <f t="shared" ca="1" si="40"/>
        <v>0.32638219483904529</v>
      </c>
      <c r="C268" s="14">
        <f t="shared" ca="1" si="40"/>
        <v>0.9941944758956468</v>
      </c>
      <c r="D268" s="14">
        <f t="shared" ca="1" si="41"/>
        <v>-0.44992518147082633</v>
      </c>
      <c r="E268" s="14">
        <f t="shared" ca="1" si="42"/>
        <v>2.5237499590288897</v>
      </c>
      <c r="F268" s="14">
        <f t="shared" ca="1" si="43"/>
        <v>0.69514443969344053</v>
      </c>
      <c r="G268" s="14">
        <f t="shared" ca="1" si="44"/>
        <v>0.32638219483904529</v>
      </c>
      <c r="H268" s="15">
        <f t="shared" ca="1" si="45"/>
        <v>0.9941944758956468</v>
      </c>
      <c r="I268" s="14">
        <f ca="1">IF(G268&lt;0.05,1,0)*$B$1*$B$2</f>
        <v>0</v>
      </c>
      <c r="J268" s="14">
        <f ca="1">IF(H268&lt;0.05,1,0)*$B$1*$B$2</f>
        <v>0</v>
      </c>
      <c r="K268" s="15">
        <f t="shared" ca="1" si="46"/>
        <v>0</v>
      </c>
      <c r="P268" s="3">
        <v>264</v>
      </c>
      <c r="Q268" s="4">
        <f t="shared" ca="1" si="47"/>
        <v>0.32638219483904529</v>
      </c>
      <c r="R268" s="4">
        <f t="shared" ca="1" si="48"/>
        <v>0.9941944758956468</v>
      </c>
      <c r="S268" s="4">
        <f ca="1">$B$1*Q268*$B$2</f>
        <v>13.055287793561812</v>
      </c>
      <c r="T268" s="4">
        <f ca="1">$B$1*R268*$B$2</f>
        <v>39.767779035825875</v>
      </c>
      <c r="U268" s="7">
        <f t="shared" ca="1" si="49"/>
        <v>52.823066829387685</v>
      </c>
    </row>
    <row r="269" spans="2:21" x14ac:dyDescent="0.3">
      <c r="B269" s="13">
        <f t="shared" ca="1" si="40"/>
        <v>0.30373260523273726</v>
      </c>
      <c r="C269" s="14">
        <f t="shared" ca="1" si="40"/>
        <v>0.45695605871297007</v>
      </c>
      <c r="D269" s="14">
        <f t="shared" ca="1" si="41"/>
        <v>-0.51369505404982829</v>
      </c>
      <c r="E269" s="14">
        <f t="shared" ca="1" si="42"/>
        <v>-0.10810535871901146</v>
      </c>
      <c r="F269" s="14">
        <f t="shared" ca="1" si="43"/>
        <v>-0.50944758203598395</v>
      </c>
      <c r="G269" s="14">
        <f t="shared" ca="1" si="44"/>
        <v>0.30373260523273726</v>
      </c>
      <c r="H269" s="15">
        <f t="shared" ca="1" si="45"/>
        <v>0.45695605871297007</v>
      </c>
      <c r="I269" s="14">
        <f ca="1">IF(G269&lt;0.05,1,0)*$B$1*$B$2</f>
        <v>0</v>
      </c>
      <c r="J269" s="14">
        <f ca="1">IF(H269&lt;0.05,1,0)*$B$1*$B$2</f>
        <v>0</v>
      </c>
      <c r="K269" s="15">
        <f t="shared" ca="1" si="46"/>
        <v>0</v>
      </c>
      <c r="P269" s="3">
        <v>265</v>
      </c>
      <c r="Q269" s="4">
        <f t="shared" ca="1" si="47"/>
        <v>0.30373260523273726</v>
      </c>
      <c r="R269" s="4">
        <f t="shared" ca="1" si="48"/>
        <v>0.45695605871297007</v>
      </c>
      <c r="S269" s="4">
        <f ca="1">$B$1*Q269*$B$2</f>
        <v>12.149304209309491</v>
      </c>
      <c r="T269" s="4">
        <f ca="1">$B$1*R269*$B$2</f>
        <v>18.278242348518802</v>
      </c>
      <c r="U269" s="7">
        <f t="shared" ca="1" si="49"/>
        <v>30.427546557828293</v>
      </c>
    </row>
    <row r="270" spans="2:21" x14ac:dyDescent="0.3">
      <c r="B270" s="13">
        <f t="shared" ca="1" si="40"/>
        <v>0.89080947976947311</v>
      </c>
      <c r="C270" s="14">
        <f t="shared" ca="1" si="40"/>
        <v>0.2837267599430251</v>
      </c>
      <c r="D270" s="14">
        <f t="shared" ca="1" si="41"/>
        <v>1.2308444679076902</v>
      </c>
      <c r="E270" s="14">
        <f t="shared" ca="1" si="42"/>
        <v>-0.57180584076949159</v>
      </c>
      <c r="F270" s="14">
        <f t="shared" ca="1" si="43"/>
        <v>0.85851563359286887</v>
      </c>
      <c r="G270" s="14">
        <f t="shared" ca="1" si="44"/>
        <v>0.89080947976947322</v>
      </c>
      <c r="H270" s="15">
        <f t="shared" ca="1" si="45"/>
        <v>0.28372675994302499</v>
      </c>
      <c r="I270" s="14">
        <f ca="1">IF(G270&lt;0.05,1,0)*$B$1*$B$2</f>
        <v>0</v>
      </c>
      <c r="J270" s="14">
        <f ca="1">IF(H270&lt;0.05,1,0)*$B$1*$B$2</f>
        <v>0</v>
      </c>
      <c r="K270" s="15">
        <f t="shared" ca="1" si="46"/>
        <v>0</v>
      </c>
      <c r="P270" s="3">
        <v>266</v>
      </c>
      <c r="Q270" s="4">
        <f t="shared" ca="1" si="47"/>
        <v>0.89080947976947322</v>
      </c>
      <c r="R270" s="4">
        <f t="shared" ca="1" si="48"/>
        <v>0.28372675994302499</v>
      </c>
      <c r="S270" s="4">
        <f ca="1">$B$1*Q270*$B$2</f>
        <v>35.632379190778934</v>
      </c>
      <c r="T270" s="4">
        <f ca="1">$B$1*R270*$B$2</f>
        <v>11.349070397721</v>
      </c>
      <c r="U270" s="7">
        <f t="shared" ca="1" si="49"/>
        <v>46.981449588499935</v>
      </c>
    </row>
    <row r="271" spans="2:21" x14ac:dyDescent="0.3">
      <c r="B271" s="13">
        <f t="shared" ca="1" si="40"/>
        <v>0.73652389990619338</v>
      </c>
      <c r="C271" s="14">
        <f t="shared" ca="1" si="40"/>
        <v>0.88466536172049837</v>
      </c>
      <c r="D271" s="14">
        <f t="shared" ca="1" si="41"/>
        <v>0.6326653525032031</v>
      </c>
      <c r="E271" s="14">
        <f t="shared" ca="1" si="42"/>
        <v>1.1986366093796166</v>
      </c>
      <c r="F271" s="14">
        <f t="shared" ca="1" si="43"/>
        <v>1.0918724022842814</v>
      </c>
      <c r="G271" s="14">
        <f t="shared" ca="1" si="44"/>
        <v>0.73652389990619349</v>
      </c>
      <c r="H271" s="15">
        <f t="shared" ca="1" si="45"/>
        <v>0.88466536172049837</v>
      </c>
      <c r="I271" s="14">
        <f ca="1">IF(G271&lt;0.05,1,0)*$B$1*$B$2</f>
        <v>0</v>
      </c>
      <c r="J271" s="14">
        <f ca="1">IF(H271&lt;0.05,1,0)*$B$1*$B$2</f>
        <v>0</v>
      </c>
      <c r="K271" s="15">
        <f t="shared" ca="1" si="46"/>
        <v>0</v>
      </c>
      <c r="P271" s="3">
        <v>267</v>
      </c>
      <c r="Q271" s="4">
        <f t="shared" ca="1" si="47"/>
        <v>0.73652389990619349</v>
      </c>
      <c r="R271" s="4">
        <f t="shared" ca="1" si="48"/>
        <v>0.88466536172049837</v>
      </c>
      <c r="S271" s="4">
        <f ca="1">$B$1*Q271*$B$2</f>
        <v>29.460955996247744</v>
      </c>
      <c r="T271" s="4">
        <f ca="1">$B$1*R271*$B$2</f>
        <v>35.386614468819936</v>
      </c>
      <c r="U271" s="7">
        <f t="shared" ca="1" si="49"/>
        <v>64.847570465067676</v>
      </c>
    </row>
    <row r="272" spans="2:21" x14ac:dyDescent="0.3">
      <c r="B272" s="13">
        <f t="shared" ca="1" si="40"/>
        <v>0.94298076971305222</v>
      </c>
      <c r="C272" s="14">
        <f t="shared" ca="1" si="40"/>
        <v>0.62516439075322283</v>
      </c>
      <c r="D272" s="14">
        <f t="shared" ca="1" si="41"/>
        <v>1.5802987737181133</v>
      </c>
      <c r="E272" s="14">
        <f t="shared" ca="1" si="42"/>
        <v>0.31907291928206322</v>
      </c>
      <c r="F272" s="14">
        <f t="shared" ca="1" si="43"/>
        <v>1.5613495574234042</v>
      </c>
      <c r="G272" s="14">
        <f t="shared" ca="1" si="44"/>
        <v>0.94298076971305222</v>
      </c>
      <c r="H272" s="15">
        <f t="shared" ca="1" si="45"/>
        <v>0.62516439075322283</v>
      </c>
      <c r="I272" s="14">
        <f ca="1">IF(G272&lt;0.05,1,0)*$B$1*$B$2</f>
        <v>0</v>
      </c>
      <c r="J272" s="14">
        <f ca="1">IF(H272&lt;0.05,1,0)*$B$1*$B$2</f>
        <v>0</v>
      </c>
      <c r="K272" s="15">
        <f t="shared" ca="1" si="46"/>
        <v>0</v>
      </c>
      <c r="P272" s="3">
        <v>268</v>
      </c>
      <c r="Q272" s="4">
        <f t="shared" ca="1" si="47"/>
        <v>0.94298076971305222</v>
      </c>
      <c r="R272" s="4">
        <f t="shared" ca="1" si="48"/>
        <v>0.62516439075322283</v>
      </c>
      <c r="S272" s="4">
        <f ca="1">$B$1*Q272*$B$2</f>
        <v>37.71923078852209</v>
      </c>
      <c r="T272" s="4">
        <f ca="1">$B$1*R272*$B$2</f>
        <v>25.006575630128914</v>
      </c>
      <c r="U272" s="7">
        <f t="shared" ca="1" si="49"/>
        <v>62.725806418651004</v>
      </c>
    </row>
    <row r="273" spans="2:21" x14ac:dyDescent="0.3">
      <c r="B273" s="13">
        <f t="shared" ca="1" si="40"/>
        <v>0.47544333775830627</v>
      </c>
      <c r="C273" s="14">
        <f t="shared" ca="1" si="40"/>
        <v>0.5582031055986757</v>
      </c>
      <c r="D273" s="14">
        <f t="shared" ca="1" si="41"/>
        <v>-6.1593346614289467E-2</v>
      </c>
      <c r="E273" s="14">
        <f t="shared" ca="1" si="42"/>
        <v>0.14641499724513821</v>
      </c>
      <c r="F273" s="14">
        <f t="shared" ca="1" si="43"/>
        <v>8.386805728173824E-3</v>
      </c>
      <c r="G273" s="14">
        <f t="shared" ca="1" si="44"/>
        <v>0.47544333775830627</v>
      </c>
      <c r="H273" s="15">
        <f t="shared" ca="1" si="45"/>
        <v>0.5582031055986757</v>
      </c>
      <c r="I273" s="14">
        <f ca="1">IF(G273&lt;0.05,1,0)*$B$1*$B$2</f>
        <v>0</v>
      </c>
      <c r="J273" s="14">
        <f ca="1">IF(H273&lt;0.05,1,0)*$B$1*$B$2</f>
        <v>0</v>
      </c>
      <c r="K273" s="15">
        <f t="shared" ca="1" si="46"/>
        <v>0</v>
      </c>
      <c r="P273" s="3">
        <v>269</v>
      </c>
      <c r="Q273" s="4">
        <f t="shared" ca="1" si="47"/>
        <v>0.47544333775830627</v>
      </c>
      <c r="R273" s="4">
        <f t="shared" ca="1" si="48"/>
        <v>0.5582031055986757</v>
      </c>
      <c r="S273" s="4">
        <f ca="1">$B$1*Q273*$B$2</f>
        <v>19.017733510332253</v>
      </c>
      <c r="T273" s="4">
        <f ca="1">$B$1*R273*$B$2</f>
        <v>22.328124223947029</v>
      </c>
      <c r="U273" s="7">
        <f t="shared" ca="1" si="49"/>
        <v>41.345857734279278</v>
      </c>
    </row>
    <row r="274" spans="2:21" x14ac:dyDescent="0.3">
      <c r="B274" s="13">
        <f t="shared" ca="1" si="40"/>
        <v>5.9813276620110267E-2</v>
      </c>
      <c r="C274" s="14">
        <f t="shared" ca="1" si="40"/>
        <v>0.47431499684903189</v>
      </c>
      <c r="D274" s="14">
        <f t="shared" ca="1" si="41"/>
        <v>-1.5563429927136405</v>
      </c>
      <c r="E274" s="14">
        <f t="shared" ca="1" si="42"/>
        <v>-6.4427299024983897E-2</v>
      </c>
      <c r="F274" s="14">
        <f t="shared" ca="1" si="43"/>
        <v>-1.4287919020077946</v>
      </c>
      <c r="G274" s="14">
        <f t="shared" ca="1" si="44"/>
        <v>5.9813276620110288E-2</v>
      </c>
      <c r="H274" s="15">
        <f t="shared" ca="1" si="45"/>
        <v>0.47431499684903189</v>
      </c>
      <c r="I274" s="14">
        <f ca="1">IF(G274&lt;0.05,1,0)*$B$1*$B$2</f>
        <v>0</v>
      </c>
      <c r="J274" s="14">
        <f ca="1">IF(H274&lt;0.05,1,0)*$B$1*$B$2</f>
        <v>0</v>
      </c>
      <c r="K274" s="15">
        <f t="shared" ca="1" si="46"/>
        <v>0</v>
      </c>
      <c r="P274" s="3">
        <v>270</v>
      </c>
      <c r="Q274" s="4">
        <f t="shared" ca="1" si="47"/>
        <v>5.9813276620110288E-2</v>
      </c>
      <c r="R274" s="4">
        <f t="shared" ca="1" si="48"/>
        <v>0.47431499684903189</v>
      </c>
      <c r="S274" s="4">
        <f ca="1">$B$1*Q274*$B$2</f>
        <v>2.3925310648044116</v>
      </c>
      <c r="T274" s="4">
        <f ca="1">$B$1*R274*$B$2</f>
        <v>18.972599873961276</v>
      </c>
      <c r="U274" s="7">
        <f t="shared" ca="1" si="49"/>
        <v>21.365130938765688</v>
      </c>
    </row>
    <row r="275" spans="2:21" x14ac:dyDescent="0.3">
      <c r="B275" s="13">
        <f t="shared" ca="1" si="40"/>
        <v>0.19712433975840526</v>
      </c>
      <c r="C275" s="14">
        <f t="shared" ca="1" si="40"/>
        <v>0.2239882155405839</v>
      </c>
      <c r="D275" s="14">
        <f t="shared" ca="1" si="41"/>
        <v>-0.85193768463259045</v>
      </c>
      <c r="E275" s="14">
        <f t="shared" ca="1" si="42"/>
        <v>-0.75879293752320731</v>
      </c>
      <c r="F275" s="14">
        <f t="shared" ca="1" si="43"/>
        <v>-1.0974940895429346</v>
      </c>
      <c r="G275" s="14">
        <f t="shared" ca="1" si="44"/>
        <v>0.19712433975840524</v>
      </c>
      <c r="H275" s="15">
        <f t="shared" ca="1" si="45"/>
        <v>0.22398821554058385</v>
      </c>
      <c r="I275" s="14">
        <f ca="1">IF(G275&lt;0.05,1,0)*$B$1*$B$2</f>
        <v>0</v>
      </c>
      <c r="J275" s="14">
        <f ca="1">IF(H275&lt;0.05,1,0)*$B$1*$B$2</f>
        <v>0</v>
      </c>
      <c r="K275" s="15">
        <f t="shared" ca="1" si="46"/>
        <v>0</v>
      </c>
      <c r="P275" s="3">
        <v>271</v>
      </c>
      <c r="Q275" s="4">
        <f t="shared" ca="1" si="47"/>
        <v>0.19712433975840524</v>
      </c>
      <c r="R275" s="4">
        <f t="shared" ca="1" si="48"/>
        <v>0.22398821554058385</v>
      </c>
      <c r="S275" s="4">
        <f ca="1">$B$1*Q275*$B$2</f>
        <v>7.8849735903362088</v>
      </c>
      <c r="T275" s="4">
        <f ca="1">$B$1*R275*$B$2</f>
        <v>8.9595286216233543</v>
      </c>
      <c r="U275" s="7">
        <f t="shared" ca="1" si="49"/>
        <v>16.844502211959565</v>
      </c>
    </row>
    <row r="276" spans="2:21" x14ac:dyDescent="0.3">
      <c r="B276" s="13">
        <f t="shared" ca="1" si="40"/>
        <v>0.34020579875956958</v>
      </c>
      <c r="C276" s="14">
        <f t="shared" ca="1" si="40"/>
        <v>0.38385649042526215</v>
      </c>
      <c r="D276" s="14">
        <f t="shared" ca="1" si="41"/>
        <v>-0.41190153246033434</v>
      </c>
      <c r="E276" s="14">
        <f t="shared" ca="1" si="42"/>
        <v>-0.29536773139931105</v>
      </c>
      <c r="F276" s="14">
        <f t="shared" ca="1" si="43"/>
        <v>-0.49945918844954712</v>
      </c>
      <c r="G276" s="14">
        <f t="shared" ca="1" si="44"/>
        <v>0.34020579875956958</v>
      </c>
      <c r="H276" s="15">
        <f t="shared" ca="1" si="45"/>
        <v>0.3838564904252621</v>
      </c>
      <c r="I276" s="14">
        <f ca="1">IF(G276&lt;0.05,1,0)*$B$1*$B$2</f>
        <v>0</v>
      </c>
      <c r="J276" s="14">
        <f ca="1">IF(H276&lt;0.05,1,0)*$B$1*$B$2</f>
        <v>0</v>
      </c>
      <c r="K276" s="15">
        <f t="shared" ca="1" si="46"/>
        <v>0</v>
      </c>
      <c r="P276" s="3">
        <v>272</v>
      </c>
      <c r="Q276" s="4">
        <f t="shared" ca="1" si="47"/>
        <v>0.34020579875956958</v>
      </c>
      <c r="R276" s="4">
        <f t="shared" ca="1" si="48"/>
        <v>0.3838564904252621</v>
      </c>
      <c r="S276" s="4">
        <f ca="1">$B$1*Q276*$B$2</f>
        <v>13.608231950382782</v>
      </c>
      <c r="T276" s="4">
        <f ca="1">$B$1*R276*$B$2</f>
        <v>15.354259617010484</v>
      </c>
      <c r="U276" s="7">
        <f t="shared" ca="1" si="49"/>
        <v>28.962491567393265</v>
      </c>
    </row>
    <row r="277" spans="2:21" x14ac:dyDescent="0.3">
      <c r="B277" s="13">
        <f t="shared" ca="1" si="40"/>
        <v>0.12653618148876411</v>
      </c>
      <c r="C277" s="14">
        <f t="shared" ca="1" si="40"/>
        <v>0.41766828814638712</v>
      </c>
      <c r="D277" s="14">
        <f t="shared" ca="1" si="41"/>
        <v>-1.1429186631625867</v>
      </c>
      <c r="E277" s="14">
        <f t="shared" ca="1" si="42"/>
        <v>-0.20786218492558048</v>
      </c>
      <c r="F277" s="14">
        <f t="shared" ca="1" si="43"/>
        <v>-1.119231822673745</v>
      </c>
      <c r="G277" s="14">
        <f t="shared" ca="1" si="44"/>
        <v>0.12653618148876403</v>
      </c>
      <c r="H277" s="15">
        <f t="shared" ca="1" si="45"/>
        <v>0.41766828814638712</v>
      </c>
      <c r="I277" s="14">
        <f ca="1">IF(G277&lt;0.05,1,0)*$B$1*$B$2</f>
        <v>0</v>
      </c>
      <c r="J277" s="14">
        <f ca="1">IF(H277&lt;0.05,1,0)*$B$1*$B$2</f>
        <v>0</v>
      </c>
      <c r="K277" s="15">
        <f t="shared" ca="1" si="46"/>
        <v>0</v>
      </c>
      <c r="P277" s="3">
        <v>273</v>
      </c>
      <c r="Q277" s="4">
        <f t="shared" ca="1" si="47"/>
        <v>0.12653618148876403</v>
      </c>
      <c r="R277" s="4">
        <f t="shared" ca="1" si="48"/>
        <v>0.41766828814638712</v>
      </c>
      <c r="S277" s="4">
        <f ca="1">$B$1*Q277*$B$2</f>
        <v>5.0614472595505617</v>
      </c>
      <c r="T277" s="4">
        <f ca="1">$B$1*R277*$B$2</f>
        <v>16.706731525855485</v>
      </c>
      <c r="U277" s="7">
        <f t="shared" ca="1" si="49"/>
        <v>21.768178785406047</v>
      </c>
    </row>
    <row r="278" spans="2:21" x14ac:dyDescent="0.3">
      <c r="B278" s="13">
        <f t="shared" ca="1" si="40"/>
        <v>0.7165782509446178</v>
      </c>
      <c r="C278" s="14">
        <f t="shared" ca="1" si="40"/>
        <v>0.37559428122477112</v>
      </c>
      <c r="D278" s="14">
        <f t="shared" ca="1" si="41"/>
        <v>0.57270640776950543</v>
      </c>
      <c r="E278" s="14">
        <f t="shared" ca="1" si="42"/>
        <v>-0.31707253752318121</v>
      </c>
      <c r="F278" s="14">
        <f t="shared" ca="1" si="43"/>
        <v>0.37722705210899943</v>
      </c>
      <c r="G278" s="14">
        <f t="shared" ca="1" si="44"/>
        <v>0.7165782509446178</v>
      </c>
      <c r="H278" s="15">
        <f t="shared" ca="1" si="45"/>
        <v>0.37559428122477112</v>
      </c>
      <c r="I278" s="14">
        <f ca="1">IF(G278&lt;0.05,1,0)*$B$1*$B$2</f>
        <v>0</v>
      </c>
      <c r="J278" s="14">
        <f ca="1">IF(H278&lt;0.05,1,0)*$B$1*$B$2</f>
        <v>0</v>
      </c>
      <c r="K278" s="15">
        <f t="shared" ca="1" si="46"/>
        <v>0</v>
      </c>
      <c r="P278" s="3">
        <v>274</v>
      </c>
      <c r="Q278" s="4">
        <f t="shared" ca="1" si="47"/>
        <v>0.7165782509446178</v>
      </c>
      <c r="R278" s="4">
        <f t="shared" ca="1" si="48"/>
        <v>0.37559428122477112</v>
      </c>
      <c r="S278" s="4">
        <f ca="1">$B$1*Q278*$B$2</f>
        <v>28.663130037784715</v>
      </c>
      <c r="T278" s="4">
        <f ca="1">$B$1*R278*$B$2</f>
        <v>15.023771248990847</v>
      </c>
      <c r="U278" s="7">
        <f t="shared" ca="1" si="49"/>
        <v>43.686901286775566</v>
      </c>
    </row>
    <row r="279" spans="2:21" x14ac:dyDescent="0.3">
      <c r="B279" s="13">
        <f t="shared" ca="1" si="40"/>
        <v>0.89923305766119332</v>
      </c>
      <c r="C279" s="14">
        <f t="shared" ca="1" si="40"/>
        <v>0.46856331501203263</v>
      </c>
      <c r="D279" s="14">
        <f t="shared" ca="1" si="41"/>
        <v>1.277193660216454</v>
      </c>
      <c r="E279" s="14">
        <f t="shared" ca="1" si="42"/>
        <v>-7.8881812068032006E-2</v>
      </c>
      <c r="F279" s="14">
        <f t="shared" ca="1" si="43"/>
        <v>1.1150905094660168</v>
      </c>
      <c r="G279" s="14">
        <f t="shared" ca="1" si="44"/>
        <v>0.89923305766119355</v>
      </c>
      <c r="H279" s="15">
        <f t="shared" ca="1" si="45"/>
        <v>0.46856331501203263</v>
      </c>
      <c r="I279" s="14">
        <f ca="1">IF(G279&lt;0.05,1,0)*$B$1*$B$2</f>
        <v>0</v>
      </c>
      <c r="J279" s="14">
        <f ca="1">IF(H279&lt;0.05,1,0)*$B$1*$B$2</f>
        <v>0</v>
      </c>
      <c r="K279" s="15">
        <f t="shared" ca="1" si="46"/>
        <v>0</v>
      </c>
      <c r="P279" s="3">
        <v>275</v>
      </c>
      <c r="Q279" s="4">
        <f t="shared" ca="1" si="47"/>
        <v>0.89923305766119355</v>
      </c>
      <c r="R279" s="4">
        <f t="shared" ca="1" si="48"/>
        <v>0.46856331501203263</v>
      </c>
      <c r="S279" s="4">
        <f ca="1">$B$1*Q279*$B$2</f>
        <v>35.969322306447744</v>
      </c>
      <c r="T279" s="4">
        <f ca="1">$B$1*R279*$B$2</f>
        <v>18.742532600481308</v>
      </c>
      <c r="U279" s="7">
        <f t="shared" ca="1" si="49"/>
        <v>54.711854906929048</v>
      </c>
    </row>
    <row r="280" spans="2:21" x14ac:dyDescent="0.3">
      <c r="B280" s="13">
        <f t="shared" ca="1" si="40"/>
        <v>0.75862417539309468</v>
      </c>
      <c r="C280" s="14">
        <f t="shared" ca="1" si="40"/>
        <v>0.19462965731822224</v>
      </c>
      <c r="D280" s="14">
        <f t="shared" ca="1" si="41"/>
        <v>0.70188377327921148</v>
      </c>
      <c r="E280" s="14">
        <f t="shared" ca="1" si="42"/>
        <v>-0.86096137859180499</v>
      </c>
      <c r="F280" s="14">
        <f t="shared" ca="1" si="43"/>
        <v>0.25641103159397632</v>
      </c>
      <c r="G280" s="14">
        <f t="shared" ca="1" si="44"/>
        <v>0.75862417539309479</v>
      </c>
      <c r="H280" s="15">
        <f t="shared" ca="1" si="45"/>
        <v>0.19462965731822215</v>
      </c>
      <c r="I280" s="14">
        <f ca="1">IF(G280&lt;0.05,1,0)*$B$1*$B$2</f>
        <v>0</v>
      </c>
      <c r="J280" s="14">
        <f ca="1">IF(H280&lt;0.05,1,0)*$B$1*$B$2</f>
        <v>0</v>
      </c>
      <c r="K280" s="15">
        <f t="shared" ca="1" si="46"/>
        <v>0</v>
      </c>
      <c r="P280" s="3">
        <v>276</v>
      </c>
      <c r="Q280" s="4">
        <f t="shared" ca="1" si="47"/>
        <v>0.75862417539309479</v>
      </c>
      <c r="R280" s="4">
        <f t="shared" ca="1" si="48"/>
        <v>0.19462965731822215</v>
      </c>
      <c r="S280" s="4">
        <f ca="1">$B$1*Q280*$B$2</f>
        <v>30.344967015723793</v>
      </c>
      <c r="T280" s="4">
        <f ca="1">$B$1*R280*$B$2</f>
        <v>7.7851862927288868</v>
      </c>
      <c r="U280" s="7">
        <f t="shared" ca="1" si="49"/>
        <v>38.130153308452677</v>
      </c>
    </row>
    <row r="281" spans="2:21" x14ac:dyDescent="0.3">
      <c r="B281" s="13">
        <f t="shared" ca="1" si="40"/>
        <v>0.24163010647319871</v>
      </c>
      <c r="C281" s="14">
        <f t="shared" ca="1" si="40"/>
        <v>0.6113438038209007</v>
      </c>
      <c r="D281" s="14">
        <f t="shared" ca="1" si="41"/>
        <v>-0.70106858726574905</v>
      </c>
      <c r="E281" s="14">
        <f t="shared" ca="1" si="42"/>
        <v>0.28282316962874265</v>
      </c>
      <c r="F281" s="14">
        <f t="shared" ca="1" si="43"/>
        <v>-0.50768196700881907</v>
      </c>
      <c r="G281" s="14">
        <f t="shared" ca="1" si="44"/>
        <v>0.24163010647319866</v>
      </c>
      <c r="H281" s="15">
        <f t="shared" ca="1" si="45"/>
        <v>0.6113438038209007</v>
      </c>
      <c r="I281" s="14">
        <f ca="1">IF(G281&lt;0.05,1,0)*$B$1*$B$2</f>
        <v>0</v>
      </c>
      <c r="J281" s="14">
        <f ca="1">IF(H281&lt;0.05,1,0)*$B$1*$B$2</f>
        <v>0</v>
      </c>
      <c r="K281" s="15">
        <f t="shared" ca="1" si="46"/>
        <v>0</v>
      </c>
      <c r="P281" s="3">
        <v>277</v>
      </c>
      <c r="Q281" s="4">
        <f t="shared" ca="1" si="47"/>
        <v>0.24163010647319866</v>
      </c>
      <c r="R281" s="4">
        <f t="shared" ca="1" si="48"/>
        <v>0.6113438038209007</v>
      </c>
      <c r="S281" s="4">
        <f ca="1">$B$1*Q281*$B$2</f>
        <v>9.6652042589279468</v>
      </c>
      <c r="T281" s="4">
        <f ca="1">$B$1*R281*$B$2</f>
        <v>24.453752152836032</v>
      </c>
      <c r="U281" s="7">
        <f t="shared" ca="1" si="49"/>
        <v>34.118956411763975</v>
      </c>
    </row>
    <row r="282" spans="2:21" x14ac:dyDescent="0.3">
      <c r="B282" s="13">
        <f t="shared" ca="1" si="40"/>
        <v>0.95242011148671657</v>
      </c>
      <c r="C282" s="14">
        <f t="shared" ca="1" si="40"/>
        <v>0.70678418525657516</v>
      </c>
      <c r="D282" s="14">
        <f t="shared" ca="1" si="41"/>
        <v>1.6687861069701084</v>
      </c>
      <c r="E282" s="14">
        <f t="shared" ca="1" si="42"/>
        <v>0.54401430430367326</v>
      </c>
      <c r="F282" s="14">
        <f t="shared" ca="1" si="43"/>
        <v>1.7390378339031272</v>
      </c>
      <c r="G282" s="14">
        <f t="shared" ca="1" si="44"/>
        <v>0.95242011148671657</v>
      </c>
      <c r="H282" s="15">
        <f t="shared" ca="1" si="45"/>
        <v>0.70678418525657516</v>
      </c>
      <c r="I282" s="14">
        <f ca="1">IF(G282&lt;0.05,1,0)*$B$1*$B$2</f>
        <v>0</v>
      </c>
      <c r="J282" s="14">
        <f ca="1">IF(H282&lt;0.05,1,0)*$B$1*$B$2</f>
        <v>0</v>
      </c>
      <c r="K282" s="15">
        <f t="shared" ca="1" si="46"/>
        <v>0</v>
      </c>
      <c r="P282" s="3">
        <v>278</v>
      </c>
      <c r="Q282" s="4">
        <f t="shared" ca="1" si="47"/>
        <v>0.95242011148671657</v>
      </c>
      <c r="R282" s="4">
        <f t="shared" ca="1" si="48"/>
        <v>0.70678418525657516</v>
      </c>
      <c r="S282" s="4">
        <f ca="1">$B$1*Q282*$B$2</f>
        <v>38.096804459468665</v>
      </c>
      <c r="T282" s="4">
        <f ca="1">$B$1*R282*$B$2</f>
        <v>28.271367410263011</v>
      </c>
      <c r="U282" s="7">
        <f t="shared" ca="1" si="49"/>
        <v>66.368171869731668</v>
      </c>
    </row>
    <row r="283" spans="2:21" x14ac:dyDescent="0.3">
      <c r="B283" s="13">
        <f t="shared" ca="1" si="40"/>
        <v>5.2875542615596904E-3</v>
      </c>
      <c r="C283" s="14">
        <f t="shared" ca="1" si="40"/>
        <v>0.14470437671709213</v>
      </c>
      <c r="D283" s="14">
        <f t="shared" ca="1" si="41"/>
        <v>-2.5564341481312267</v>
      </c>
      <c r="E283" s="14">
        <f t="shared" ca="1" si="42"/>
        <v>-1.0594195425963731</v>
      </c>
      <c r="F283" s="14">
        <f t="shared" ca="1" si="43"/>
        <v>-2.7625810058170712</v>
      </c>
      <c r="G283" s="14">
        <f t="shared" ca="1" si="44"/>
        <v>5.2875542615596948E-3</v>
      </c>
      <c r="H283" s="15">
        <f t="shared" ca="1" si="45"/>
        <v>0.14470437671709216</v>
      </c>
      <c r="I283" s="14">
        <f ca="1">IF(G283&lt;0.05,1,0)*$B$1*$B$2</f>
        <v>40</v>
      </c>
      <c r="J283" s="14">
        <f ca="1">IF(H283&lt;0.05,1,0)*$B$1*$B$2</f>
        <v>0</v>
      </c>
      <c r="K283" s="15">
        <f t="shared" ca="1" si="46"/>
        <v>40</v>
      </c>
      <c r="P283" s="3">
        <v>279</v>
      </c>
      <c r="Q283" s="4">
        <f t="shared" ca="1" si="47"/>
        <v>5.2875542615596948E-3</v>
      </c>
      <c r="R283" s="4">
        <f t="shared" ca="1" si="48"/>
        <v>0.14470437671709216</v>
      </c>
      <c r="S283" s="4">
        <f ca="1">$B$1*Q283*$B$2</f>
        <v>0.21150217046238781</v>
      </c>
      <c r="T283" s="4">
        <f ca="1">$B$1*R283*$B$2</f>
        <v>5.788175068683687</v>
      </c>
      <c r="U283" s="7">
        <f t="shared" ca="1" si="49"/>
        <v>5.9996772391460746</v>
      </c>
    </row>
    <row r="284" spans="2:21" x14ac:dyDescent="0.3">
      <c r="B284" s="13">
        <f t="shared" ca="1" si="40"/>
        <v>0.61564579895131222</v>
      </c>
      <c r="C284" s="14">
        <f t="shared" ca="1" si="40"/>
        <v>0.37613800667177244</v>
      </c>
      <c r="D284" s="14">
        <f t="shared" ca="1" si="41"/>
        <v>0.2940647813198955</v>
      </c>
      <c r="E284" s="14">
        <f t="shared" ca="1" si="42"/>
        <v>-0.3156396833906932</v>
      </c>
      <c r="F284" s="14">
        <f t="shared" ca="1" si="43"/>
        <v>0.12707415494078544</v>
      </c>
      <c r="G284" s="14">
        <f t="shared" ca="1" si="44"/>
        <v>0.61564579895131222</v>
      </c>
      <c r="H284" s="15">
        <f t="shared" ca="1" si="45"/>
        <v>0.37613800667177244</v>
      </c>
      <c r="I284" s="14">
        <f ca="1">IF(G284&lt;0.05,1,0)*$B$1*$B$2</f>
        <v>0</v>
      </c>
      <c r="J284" s="14">
        <f ca="1">IF(H284&lt;0.05,1,0)*$B$1*$B$2</f>
        <v>0</v>
      </c>
      <c r="K284" s="15">
        <f t="shared" ca="1" si="46"/>
        <v>0</v>
      </c>
      <c r="P284" s="3">
        <v>280</v>
      </c>
      <c r="Q284" s="4">
        <f t="shared" ca="1" si="47"/>
        <v>0.61564579895131222</v>
      </c>
      <c r="R284" s="4">
        <f t="shared" ca="1" si="48"/>
        <v>0.37613800667177244</v>
      </c>
      <c r="S284" s="4">
        <f ca="1">$B$1*Q284*$B$2</f>
        <v>24.62583195805249</v>
      </c>
      <c r="T284" s="4">
        <f ca="1">$B$1*R284*$B$2</f>
        <v>15.045520266870898</v>
      </c>
      <c r="U284" s="7">
        <f t="shared" ca="1" si="49"/>
        <v>39.671352224923389</v>
      </c>
    </row>
    <row r="285" spans="2:21" x14ac:dyDescent="0.3">
      <c r="B285" s="13">
        <f t="shared" ca="1" si="40"/>
        <v>0.10244604873365681</v>
      </c>
      <c r="C285" s="14">
        <f t="shared" ca="1" si="40"/>
        <v>0.29713446296503687</v>
      </c>
      <c r="D285" s="14">
        <f t="shared" ca="1" si="41"/>
        <v>-1.2677364105955282</v>
      </c>
      <c r="E285" s="14">
        <f t="shared" ca="1" si="42"/>
        <v>-0.53266004935548783</v>
      </c>
      <c r="F285" s="14">
        <f t="shared" ca="1" si="43"/>
        <v>-1.3731439021761713</v>
      </c>
      <c r="G285" s="14">
        <f t="shared" ca="1" si="44"/>
        <v>0.10244604873365681</v>
      </c>
      <c r="H285" s="15">
        <f t="shared" ca="1" si="45"/>
        <v>0.29713446296503676</v>
      </c>
      <c r="I285" s="14">
        <f ca="1">IF(G285&lt;0.05,1,0)*$B$1*$B$2</f>
        <v>0</v>
      </c>
      <c r="J285" s="14">
        <f ca="1">IF(H285&lt;0.05,1,0)*$B$1*$B$2</f>
        <v>0</v>
      </c>
      <c r="K285" s="15">
        <f t="shared" ca="1" si="46"/>
        <v>0</v>
      </c>
      <c r="P285" s="3">
        <v>281</v>
      </c>
      <c r="Q285" s="4">
        <f t="shared" ca="1" si="47"/>
        <v>0.10244604873365681</v>
      </c>
      <c r="R285" s="4">
        <f t="shared" ca="1" si="48"/>
        <v>0.29713446296503676</v>
      </c>
      <c r="S285" s="4">
        <f ca="1">$B$1*Q285*$B$2</f>
        <v>4.0978419493462725</v>
      </c>
      <c r="T285" s="4">
        <f ca="1">$B$1*R285*$B$2</f>
        <v>11.88537851860147</v>
      </c>
      <c r="U285" s="7">
        <f t="shared" ca="1" si="49"/>
        <v>15.983220467947742</v>
      </c>
    </row>
    <row r="286" spans="2:21" x14ac:dyDescent="0.3">
      <c r="B286" s="13">
        <f t="shared" ca="1" si="40"/>
        <v>0.63992119752523968</v>
      </c>
      <c r="C286" s="14">
        <f t="shared" ca="1" si="40"/>
        <v>0.37274532407130478</v>
      </c>
      <c r="D286" s="14">
        <f t="shared" ca="1" si="41"/>
        <v>0.35824816567232998</v>
      </c>
      <c r="E286" s="14">
        <f t="shared" ca="1" si="42"/>
        <v>-0.32459098882199744</v>
      </c>
      <c r="F286" s="14">
        <f t="shared" ca="1" si="43"/>
        <v>0.18093741727919432</v>
      </c>
      <c r="G286" s="14">
        <f t="shared" ca="1" si="44"/>
        <v>0.63992119752523968</v>
      </c>
      <c r="H286" s="15">
        <f t="shared" ca="1" si="45"/>
        <v>0.37274532407130478</v>
      </c>
      <c r="I286" s="14">
        <f ca="1">IF(G286&lt;0.05,1,0)*$B$1*$B$2</f>
        <v>0</v>
      </c>
      <c r="J286" s="14">
        <f ca="1">IF(H286&lt;0.05,1,0)*$B$1*$B$2</f>
        <v>0</v>
      </c>
      <c r="K286" s="15">
        <f t="shared" ca="1" si="46"/>
        <v>0</v>
      </c>
      <c r="P286" s="3">
        <v>282</v>
      </c>
      <c r="Q286" s="4">
        <f t="shared" ca="1" si="47"/>
        <v>0.63992119752523968</v>
      </c>
      <c r="R286" s="4">
        <f t="shared" ca="1" si="48"/>
        <v>0.37274532407130478</v>
      </c>
      <c r="S286" s="4">
        <f ca="1">$B$1*Q286*$B$2</f>
        <v>25.596847901009589</v>
      </c>
      <c r="T286" s="4">
        <f ca="1">$B$1*R286*$B$2</f>
        <v>14.909812962852193</v>
      </c>
      <c r="U286" s="7">
        <f t="shared" ca="1" si="49"/>
        <v>40.506660863861782</v>
      </c>
    </row>
    <row r="287" spans="2:21" x14ac:dyDescent="0.3">
      <c r="B287" s="13">
        <f t="shared" ca="1" si="40"/>
        <v>0.25680348816795451</v>
      </c>
      <c r="C287" s="14">
        <f t="shared" ca="1" si="40"/>
        <v>0.26589444022526965</v>
      </c>
      <c r="D287" s="14">
        <f t="shared" ca="1" si="41"/>
        <v>-0.65323160742246378</v>
      </c>
      <c r="E287" s="14">
        <f t="shared" ca="1" si="42"/>
        <v>-0.62527759768969893</v>
      </c>
      <c r="F287" s="14">
        <f t="shared" ca="1" si="43"/>
        <v>-0.8604606326791453</v>
      </c>
      <c r="G287" s="14">
        <f t="shared" ca="1" si="44"/>
        <v>0.2568034881679544</v>
      </c>
      <c r="H287" s="15">
        <f t="shared" ca="1" si="45"/>
        <v>0.26589444022526965</v>
      </c>
      <c r="I287" s="14">
        <f ca="1">IF(G287&lt;0.05,1,0)*$B$1*$B$2</f>
        <v>0</v>
      </c>
      <c r="J287" s="14">
        <f ca="1">IF(H287&lt;0.05,1,0)*$B$1*$B$2</f>
        <v>0</v>
      </c>
      <c r="K287" s="15">
        <f t="shared" ca="1" si="46"/>
        <v>0</v>
      </c>
      <c r="P287" s="3">
        <v>283</v>
      </c>
      <c r="Q287" s="4">
        <f t="shared" ca="1" si="47"/>
        <v>0.2568034881679544</v>
      </c>
      <c r="R287" s="4">
        <f t="shared" ca="1" si="48"/>
        <v>0.26589444022526965</v>
      </c>
      <c r="S287" s="4">
        <f ca="1">$B$1*Q287*$B$2</f>
        <v>10.272139526718178</v>
      </c>
      <c r="T287" s="4">
        <f ca="1">$B$1*R287*$B$2</f>
        <v>10.635777609010788</v>
      </c>
      <c r="U287" s="7">
        <f t="shared" ca="1" si="49"/>
        <v>20.907917135728965</v>
      </c>
    </row>
    <row r="288" spans="2:21" x14ac:dyDescent="0.3">
      <c r="B288" s="13">
        <f t="shared" ca="1" si="40"/>
        <v>0.80916286155098449</v>
      </c>
      <c r="C288" s="14">
        <f t="shared" ca="1" si="40"/>
        <v>0.28301135466128768</v>
      </c>
      <c r="D288" s="14">
        <f t="shared" ca="1" si="41"/>
        <v>0.87481554631491443</v>
      </c>
      <c r="E288" s="14">
        <f t="shared" ca="1" si="42"/>
        <v>-0.57391886081511689</v>
      </c>
      <c r="F288" s="14">
        <f t="shared" ca="1" si="43"/>
        <v>0.53716856007491498</v>
      </c>
      <c r="G288" s="14">
        <f t="shared" ca="1" si="44"/>
        <v>0.80916286155098427</v>
      </c>
      <c r="H288" s="15">
        <f t="shared" ca="1" si="45"/>
        <v>0.28301135466128763</v>
      </c>
      <c r="I288" s="14">
        <f ca="1">IF(G288&lt;0.05,1,0)*$B$1*$B$2</f>
        <v>0</v>
      </c>
      <c r="J288" s="14">
        <f ca="1">IF(H288&lt;0.05,1,0)*$B$1*$B$2</f>
        <v>0</v>
      </c>
      <c r="K288" s="15">
        <f t="shared" ca="1" si="46"/>
        <v>0</v>
      </c>
      <c r="P288" s="3">
        <v>284</v>
      </c>
      <c r="Q288" s="4">
        <f t="shared" ca="1" si="47"/>
        <v>0.80916286155098427</v>
      </c>
      <c r="R288" s="4">
        <f t="shared" ca="1" si="48"/>
        <v>0.28301135466128763</v>
      </c>
      <c r="S288" s="4">
        <f ca="1">$B$1*Q288*$B$2</f>
        <v>32.366514462039376</v>
      </c>
      <c r="T288" s="4">
        <f ca="1">$B$1*R288*$B$2</f>
        <v>11.320454186451506</v>
      </c>
      <c r="U288" s="7">
        <f t="shared" ca="1" si="49"/>
        <v>43.686968648490883</v>
      </c>
    </row>
    <row r="289" spans="2:21" x14ac:dyDescent="0.3">
      <c r="B289" s="13">
        <f t="shared" ca="1" si="40"/>
        <v>0.85987769735693798</v>
      </c>
      <c r="C289" s="14">
        <f t="shared" ca="1" si="40"/>
        <v>0.34326793289313395</v>
      </c>
      <c r="D289" s="14">
        <f t="shared" ca="1" si="41"/>
        <v>1.0797700184582504</v>
      </c>
      <c r="E289" s="14">
        <f t="shared" ca="1" si="42"/>
        <v>-0.40356059710641384</v>
      </c>
      <c r="F289" s="14">
        <f t="shared" ca="1" si="43"/>
        <v>0.79588503057424631</v>
      </c>
      <c r="G289" s="14">
        <f t="shared" ca="1" si="44"/>
        <v>0.85987769735693798</v>
      </c>
      <c r="H289" s="15">
        <f t="shared" ca="1" si="45"/>
        <v>0.34326793289313395</v>
      </c>
      <c r="I289" s="14">
        <f ca="1">IF(G289&lt;0.05,1,0)*$B$1*$B$2</f>
        <v>0</v>
      </c>
      <c r="J289" s="14">
        <f ca="1">IF(H289&lt;0.05,1,0)*$B$1*$B$2</f>
        <v>0</v>
      </c>
      <c r="K289" s="15">
        <f t="shared" ca="1" si="46"/>
        <v>0</v>
      </c>
      <c r="P289" s="3">
        <v>285</v>
      </c>
      <c r="Q289" s="4">
        <f t="shared" ca="1" si="47"/>
        <v>0.85987769735693798</v>
      </c>
      <c r="R289" s="4">
        <f t="shared" ca="1" si="48"/>
        <v>0.34326793289313395</v>
      </c>
      <c r="S289" s="4">
        <f ca="1">$B$1*Q289*$B$2</f>
        <v>34.395107894277523</v>
      </c>
      <c r="T289" s="4">
        <f ca="1">$B$1*R289*$B$2</f>
        <v>13.730717315725357</v>
      </c>
      <c r="U289" s="7">
        <f t="shared" ca="1" si="49"/>
        <v>48.12582521000288</v>
      </c>
    </row>
    <row r="290" spans="2:21" x14ac:dyDescent="0.3">
      <c r="B290" s="13">
        <f t="shared" ca="1" si="40"/>
        <v>0.15761527702696154</v>
      </c>
      <c r="C290" s="14">
        <f t="shared" ca="1" si="40"/>
        <v>0.85898621326281666</v>
      </c>
      <c r="D290" s="14">
        <f t="shared" ca="1" si="41"/>
        <v>-1.0043072212093855</v>
      </c>
      <c r="E290" s="14">
        <f t="shared" ca="1" si="42"/>
        <v>1.075775720150622</v>
      </c>
      <c r="F290" s="14">
        <f t="shared" ca="1" si="43"/>
        <v>-0.43495673408332181</v>
      </c>
      <c r="G290" s="14">
        <f t="shared" ca="1" si="44"/>
        <v>0.15761527702696218</v>
      </c>
      <c r="H290" s="15">
        <f t="shared" ca="1" si="45"/>
        <v>0.85898621326281677</v>
      </c>
      <c r="I290" s="14">
        <f ca="1">IF(G290&lt;0.05,1,0)*$B$1*$B$2</f>
        <v>0</v>
      </c>
      <c r="J290" s="14">
        <f ca="1">IF(H290&lt;0.05,1,0)*$B$1*$B$2</f>
        <v>0</v>
      </c>
      <c r="K290" s="15">
        <f t="shared" ca="1" si="46"/>
        <v>0</v>
      </c>
      <c r="P290" s="3">
        <v>286</v>
      </c>
      <c r="Q290" s="4">
        <f t="shared" ca="1" si="47"/>
        <v>0.15761527702696218</v>
      </c>
      <c r="R290" s="4">
        <f t="shared" ca="1" si="48"/>
        <v>0.85898621326281677</v>
      </c>
      <c r="S290" s="4">
        <f ca="1">$B$1*Q290*$B$2</f>
        <v>6.3046110810784874</v>
      </c>
      <c r="T290" s="4">
        <f ca="1">$B$1*R290*$B$2</f>
        <v>34.359448530512672</v>
      </c>
      <c r="U290" s="7">
        <f t="shared" ca="1" si="49"/>
        <v>40.664059611591156</v>
      </c>
    </row>
    <row r="291" spans="2:21" x14ac:dyDescent="0.3">
      <c r="B291" s="13">
        <f t="shared" ca="1" si="40"/>
        <v>0.13985502638136349</v>
      </c>
      <c r="C291" s="14">
        <f t="shared" ca="1" si="40"/>
        <v>0.5526136072798904</v>
      </c>
      <c r="D291" s="14">
        <f t="shared" ca="1" si="41"/>
        <v>-1.0809709123952378</v>
      </c>
      <c r="E291" s="14">
        <f t="shared" ca="1" si="42"/>
        <v>0.132267408068825</v>
      </c>
      <c r="F291" s="14">
        <f t="shared" ca="1" si="43"/>
        <v>-0.91521979462610759</v>
      </c>
      <c r="G291" s="14">
        <f t="shared" ca="1" si="44"/>
        <v>0.13985502638136341</v>
      </c>
      <c r="H291" s="15">
        <f t="shared" ca="1" si="45"/>
        <v>0.5526136072798904</v>
      </c>
      <c r="I291" s="14">
        <f ca="1">IF(G291&lt;0.05,1,0)*$B$1*$B$2</f>
        <v>0</v>
      </c>
      <c r="J291" s="14">
        <f ca="1">IF(H291&lt;0.05,1,0)*$B$1*$B$2</f>
        <v>0</v>
      </c>
      <c r="K291" s="15">
        <f t="shared" ca="1" si="46"/>
        <v>0</v>
      </c>
      <c r="P291" s="3">
        <v>287</v>
      </c>
      <c r="Q291" s="4">
        <f t="shared" ca="1" si="47"/>
        <v>0.13985502638136341</v>
      </c>
      <c r="R291" s="4">
        <f t="shared" ca="1" si="48"/>
        <v>0.5526136072798904</v>
      </c>
      <c r="S291" s="4">
        <f ca="1">$B$1*Q291*$B$2</f>
        <v>5.5942010552545369</v>
      </c>
      <c r="T291" s="4">
        <f ca="1">$B$1*R291*$B$2</f>
        <v>22.104544291195619</v>
      </c>
      <c r="U291" s="7">
        <f t="shared" ca="1" si="49"/>
        <v>27.698745346450156</v>
      </c>
    </row>
    <row r="292" spans="2:21" x14ac:dyDescent="0.3">
      <c r="B292" s="13">
        <f t="shared" ca="1" si="40"/>
        <v>0.48332403736755924</v>
      </c>
      <c r="C292" s="14">
        <f t="shared" ca="1" si="40"/>
        <v>6.5908783150769867E-3</v>
      </c>
      <c r="D292" s="14">
        <f t="shared" ca="1" si="41"/>
        <v>-4.1812619713616141E-2</v>
      </c>
      <c r="E292" s="14">
        <f t="shared" ca="1" si="42"/>
        <v>-2.4788206582287766</v>
      </c>
      <c r="F292" s="14">
        <f t="shared" ca="1" si="43"/>
        <v>-1.1181242325802754</v>
      </c>
      <c r="G292" s="14">
        <f t="shared" ca="1" si="44"/>
        <v>0.48332403736755924</v>
      </c>
      <c r="H292" s="15">
        <f t="shared" ca="1" si="45"/>
        <v>6.590878315076985E-3</v>
      </c>
      <c r="I292" s="14">
        <f ca="1">IF(G292&lt;0.05,1,0)*$B$1*$B$2</f>
        <v>0</v>
      </c>
      <c r="J292" s="14">
        <f ca="1">IF(H292&lt;0.05,1,0)*$B$1*$B$2</f>
        <v>40</v>
      </c>
      <c r="K292" s="15">
        <f t="shared" ca="1" si="46"/>
        <v>40</v>
      </c>
      <c r="P292" s="3">
        <v>288</v>
      </c>
      <c r="Q292" s="4">
        <f t="shared" ca="1" si="47"/>
        <v>0.48332403736755924</v>
      </c>
      <c r="R292" s="4">
        <f t="shared" ca="1" si="48"/>
        <v>6.590878315076985E-3</v>
      </c>
      <c r="S292" s="4">
        <f ca="1">$B$1*Q292*$B$2</f>
        <v>19.332961494702371</v>
      </c>
      <c r="T292" s="4">
        <f ca="1">$B$1*R292*$B$2</f>
        <v>0.26363513260307941</v>
      </c>
      <c r="U292" s="7">
        <f t="shared" ca="1" si="49"/>
        <v>19.596596627305448</v>
      </c>
    </row>
    <row r="293" spans="2:21" x14ac:dyDescent="0.3">
      <c r="B293" s="13">
        <f t="shared" ca="1" si="40"/>
        <v>0.44992693660992333</v>
      </c>
      <c r="C293" s="14">
        <f t="shared" ca="1" si="40"/>
        <v>0.5680903686716503</v>
      </c>
      <c r="D293" s="14">
        <f t="shared" ca="1" si="41"/>
        <v>-0.12584594346284533</v>
      </c>
      <c r="E293" s="14">
        <f t="shared" ca="1" si="42"/>
        <v>0.1715144584960672</v>
      </c>
      <c r="F293" s="14">
        <f t="shared" ca="1" si="43"/>
        <v>-3.8499929922515011E-2</v>
      </c>
      <c r="G293" s="14">
        <f t="shared" ca="1" si="44"/>
        <v>0.44992693660992333</v>
      </c>
      <c r="H293" s="15">
        <f t="shared" ca="1" si="45"/>
        <v>0.5680903686716503</v>
      </c>
      <c r="I293" s="14">
        <f ca="1">IF(G293&lt;0.05,1,0)*$B$1*$B$2</f>
        <v>0</v>
      </c>
      <c r="J293" s="14">
        <f ca="1">IF(H293&lt;0.05,1,0)*$B$1*$B$2</f>
        <v>0</v>
      </c>
      <c r="K293" s="15">
        <f t="shared" ca="1" si="46"/>
        <v>0</v>
      </c>
      <c r="P293" s="3">
        <v>289</v>
      </c>
      <c r="Q293" s="4">
        <f t="shared" ca="1" si="47"/>
        <v>0.44992693660992333</v>
      </c>
      <c r="R293" s="4">
        <f t="shared" ca="1" si="48"/>
        <v>0.5680903686716503</v>
      </c>
      <c r="S293" s="4">
        <f ca="1">$B$1*Q293*$B$2</f>
        <v>17.997077464396934</v>
      </c>
      <c r="T293" s="4">
        <f ca="1">$B$1*R293*$B$2</f>
        <v>22.723614746866016</v>
      </c>
      <c r="U293" s="7">
        <f t="shared" ca="1" si="49"/>
        <v>40.72069221126295</v>
      </c>
    </row>
    <row r="294" spans="2:21" x14ac:dyDescent="0.3">
      <c r="B294" s="13">
        <f t="shared" ca="1" si="40"/>
        <v>0.41928983951770549</v>
      </c>
      <c r="C294" s="14">
        <f t="shared" ca="1" si="40"/>
        <v>0.72871906498980765</v>
      </c>
      <c r="D294" s="14">
        <f t="shared" ca="1" si="41"/>
        <v>-0.20371057345306057</v>
      </c>
      <c r="E294" s="14">
        <f t="shared" ca="1" si="42"/>
        <v>0.60894352956843201</v>
      </c>
      <c r="F294" s="14">
        <f t="shared" ca="1" si="43"/>
        <v>8.2092814663422164E-2</v>
      </c>
      <c r="G294" s="14">
        <f t="shared" ca="1" si="44"/>
        <v>0.41928983951770549</v>
      </c>
      <c r="H294" s="15">
        <f t="shared" ca="1" si="45"/>
        <v>0.72871906498980765</v>
      </c>
      <c r="I294" s="14">
        <f ca="1">IF(G294&lt;0.05,1,0)*$B$1*$B$2</f>
        <v>0</v>
      </c>
      <c r="J294" s="14">
        <f ca="1">IF(H294&lt;0.05,1,0)*$B$1*$B$2</f>
        <v>0</v>
      </c>
      <c r="K294" s="15">
        <f t="shared" ca="1" si="46"/>
        <v>0</v>
      </c>
      <c r="P294" s="3">
        <v>290</v>
      </c>
      <c r="Q294" s="4">
        <f t="shared" ca="1" si="47"/>
        <v>0.41928983951770549</v>
      </c>
      <c r="R294" s="4">
        <f t="shared" ca="1" si="48"/>
        <v>0.72871906498980765</v>
      </c>
      <c r="S294" s="4">
        <f ca="1">$B$1*Q294*$B$2</f>
        <v>16.77159358070822</v>
      </c>
      <c r="T294" s="4">
        <f ca="1">$B$1*R294*$B$2</f>
        <v>29.148762599592306</v>
      </c>
      <c r="U294" s="7">
        <f t="shared" ca="1" si="49"/>
        <v>45.92035618030053</v>
      </c>
    </row>
    <row r="295" spans="2:21" x14ac:dyDescent="0.3">
      <c r="B295" s="13">
        <f t="shared" ca="1" si="40"/>
        <v>0.86560450917451104</v>
      </c>
      <c r="C295" s="14">
        <f t="shared" ca="1" si="40"/>
        <v>0.45214457723797274</v>
      </c>
      <c r="D295" s="14">
        <f t="shared" ca="1" si="41"/>
        <v>1.1058510803057524</v>
      </c>
      <c r="E295" s="14">
        <f t="shared" ca="1" si="42"/>
        <v>-0.12024489526306613</v>
      </c>
      <c r="F295" s="14">
        <f t="shared" ca="1" si="43"/>
        <v>0.94285243758234338</v>
      </c>
      <c r="G295" s="14">
        <f t="shared" ca="1" si="44"/>
        <v>0.86560450917451104</v>
      </c>
      <c r="H295" s="15">
        <f t="shared" ca="1" si="45"/>
        <v>0.45214457723797274</v>
      </c>
      <c r="I295" s="14">
        <f ca="1">IF(G295&lt;0.05,1,0)*$B$1*$B$2</f>
        <v>0</v>
      </c>
      <c r="J295" s="14">
        <f ca="1">IF(H295&lt;0.05,1,0)*$B$1*$B$2</f>
        <v>0</v>
      </c>
      <c r="K295" s="15">
        <f t="shared" ca="1" si="46"/>
        <v>0</v>
      </c>
      <c r="P295" s="3">
        <v>291</v>
      </c>
      <c r="Q295" s="4">
        <f t="shared" ca="1" si="47"/>
        <v>0.86560450917451104</v>
      </c>
      <c r="R295" s="4">
        <f t="shared" ca="1" si="48"/>
        <v>0.45214457723797274</v>
      </c>
      <c r="S295" s="4">
        <f ca="1">$B$1*Q295*$B$2</f>
        <v>34.624180366980447</v>
      </c>
      <c r="T295" s="4">
        <f ca="1">$B$1*R295*$B$2</f>
        <v>18.085783089518909</v>
      </c>
      <c r="U295" s="7">
        <f t="shared" ca="1" si="49"/>
        <v>52.709963456499352</v>
      </c>
    </row>
    <row r="296" spans="2:21" x14ac:dyDescent="0.3">
      <c r="B296" s="13">
        <f t="shared" ca="1" si="40"/>
        <v>0.5185842801735715</v>
      </c>
      <c r="C296" s="14">
        <f t="shared" ca="1" si="40"/>
        <v>0.94045772419391949</v>
      </c>
      <c r="D296" s="14">
        <f t="shared" ca="1" si="41"/>
        <v>4.6600743243640386E-2</v>
      </c>
      <c r="E296" s="14">
        <f t="shared" ca="1" si="42"/>
        <v>1.5586275790572368</v>
      </c>
      <c r="F296" s="14">
        <f t="shared" ca="1" si="43"/>
        <v>0.72133067969187104</v>
      </c>
      <c r="G296" s="14">
        <f t="shared" ca="1" si="44"/>
        <v>0.5185842801735715</v>
      </c>
      <c r="H296" s="15">
        <f t="shared" ca="1" si="45"/>
        <v>0.94045772419391949</v>
      </c>
      <c r="I296" s="14">
        <f ca="1">IF(G296&lt;0.05,1,0)*$B$1*$B$2</f>
        <v>0</v>
      </c>
      <c r="J296" s="14">
        <f ca="1">IF(H296&lt;0.05,1,0)*$B$1*$B$2</f>
        <v>0</v>
      </c>
      <c r="K296" s="15">
        <f t="shared" ca="1" si="46"/>
        <v>0</v>
      </c>
      <c r="P296" s="3">
        <v>292</v>
      </c>
      <c r="Q296" s="4">
        <f t="shared" ca="1" si="47"/>
        <v>0.5185842801735715</v>
      </c>
      <c r="R296" s="4">
        <f t="shared" ca="1" si="48"/>
        <v>0.94045772419391949</v>
      </c>
      <c r="S296" s="4">
        <f ca="1">$B$1*Q296*$B$2</f>
        <v>20.743371206942861</v>
      </c>
      <c r="T296" s="4">
        <f ca="1">$B$1*R296*$B$2</f>
        <v>37.618308967756782</v>
      </c>
      <c r="U296" s="7">
        <f t="shared" ca="1" si="49"/>
        <v>58.361680174699643</v>
      </c>
    </row>
    <row r="297" spans="2:21" x14ac:dyDescent="0.3">
      <c r="B297" s="13">
        <f t="shared" ca="1" si="40"/>
        <v>0.6511711103434793</v>
      </c>
      <c r="C297" s="14">
        <f t="shared" ca="1" si="40"/>
        <v>9.3278029228522796E-2</v>
      </c>
      <c r="D297" s="14">
        <f t="shared" ca="1" si="41"/>
        <v>0.38848415270234032</v>
      </c>
      <c r="E297" s="14">
        <f t="shared" ca="1" si="42"/>
        <v>-1.3208359843436277</v>
      </c>
      <c r="F297" s="14">
        <f t="shared" ca="1" si="43"/>
        <v>-0.22610332024248803</v>
      </c>
      <c r="G297" s="14">
        <f t="shared" ca="1" si="44"/>
        <v>0.65117111034347941</v>
      </c>
      <c r="H297" s="15">
        <f t="shared" ca="1" si="45"/>
        <v>9.3278029228522713E-2</v>
      </c>
      <c r="I297" s="14">
        <f ca="1">IF(G297&lt;0.05,1,0)*$B$1*$B$2</f>
        <v>0</v>
      </c>
      <c r="J297" s="14">
        <f ca="1">IF(H297&lt;0.05,1,0)*$B$1*$B$2</f>
        <v>0</v>
      </c>
      <c r="K297" s="15">
        <f t="shared" ca="1" si="46"/>
        <v>0</v>
      </c>
      <c r="P297" s="3">
        <v>293</v>
      </c>
      <c r="Q297" s="4">
        <f t="shared" ca="1" si="47"/>
        <v>0.65117111034347941</v>
      </c>
      <c r="R297" s="4">
        <f t="shared" ca="1" si="48"/>
        <v>9.3278029228522713E-2</v>
      </c>
      <c r="S297" s="4">
        <f ca="1">$B$1*Q297*$B$2</f>
        <v>26.04684441373918</v>
      </c>
      <c r="T297" s="4">
        <f ca="1">$B$1*R297*$B$2</f>
        <v>3.7311211691409087</v>
      </c>
      <c r="U297" s="7">
        <f t="shared" ca="1" si="49"/>
        <v>29.777965582880089</v>
      </c>
    </row>
    <row r="298" spans="2:21" x14ac:dyDescent="0.3">
      <c r="B298" s="13">
        <f t="shared" ca="1" si="40"/>
        <v>0.50028151149585642</v>
      </c>
      <c r="C298" s="14">
        <f t="shared" ca="1" si="40"/>
        <v>0.59944327085472482</v>
      </c>
      <c r="D298" s="14">
        <f t="shared" ca="1" si="41"/>
        <v>7.0564473370818325E-4</v>
      </c>
      <c r="E298" s="14">
        <f t="shared" ca="1" si="42"/>
        <v>0.25190634088697761</v>
      </c>
      <c r="F298" s="14">
        <f t="shared" ca="1" si="43"/>
        <v>0.11043850857668169</v>
      </c>
      <c r="G298" s="14">
        <f t="shared" ca="1" si="44"/>
        <v>0.50028151149585642</v>
      </c>
      <c r="H298" s="15">
        <f t="shared" ca="1" si="45"/>
        <v>0.59944327085472482</v>
      </c>
      <c r="I298" s="14">
        <f ca="1">IF(G298&lt;0.05,1,0)*$B$1*$B$2</f>
        <v>0</v>
      </c>
      <c r="J298" s="14">
        <f ca="1">IF(H298&lt;0.05,1,0)*$B$1*$B$2</f>
        <v>0</v>
      </c>
      <c r="K298" s="15">
        <f t="shared" ca="1" si="46"/>
        <v>0</v>
      </c>
      <c r="P298" s="3">
        <v>294</v>
      </c>
      <c r="Q298" s="4">
        <f t="shared" ca="1" si="47"/>
        <v>0.50028151149585642</v>
      </c>
      <c r="R298" s="4">
        <f t="shared" ca="1" si="48"/>
        <v>0.59944327085472482</v>
      </c>
      <c r="S298" s="4">
        <f ca="1">$B$1*Q298*$B$2</f>
        <v>20.011260459834258</v>
      </c>
      <c r="T298" s="4">
        <f ca="1">$B$1*R298*$B$2</f>
        <v>23.977730834188993</v>
      </c>
      <c r="U298" s="7">
        <f t="shared" ca="1" si="49"/>
        <v>43.988991294023251</v>
      </c>
    </row>
    <row r="299" spans="2:21" x14ac:dyDescent="0.3">
      <c r="B299" s="13">
        <f t="shared" ca="1" si="40"/>
        <v>0.53489457822469544</v>
      </c>
      <c r="C299" s="14">
        <f t="shared" ca="1" si="40"/>
        <v>0.28266141568954084</v>
      </c>
      <c r="D299" s="14">
        <f t="shared" ca="1" si="41"/>
        <v>8.7579566227933919E-2</v>
      </c>
      <c r="E299" s="14">
        <f t="shared" ca="1" si="42"/>
        <v>-0.57495337350342812</v>
      </c>
      <c r="F299" s="14">
        <f t="shared" ca="1" si="43"/>
        <v>-0.17179475562978333</v>
      </c>
      <c r="G299" s="14">
        <f t="shared" ca="1" si="44"/>
        <v>0.53489457822469544</v>
      </c>
      <c r="H299" s="15">
        <f t="shared" ca="1" si="45"/>
        <v>0.28266141568954073</v>
      </c>
      <c r="I299" s="14">
        <f ca="1">IF(G299&lt;0.05,1,0)*$B$1*$B$2</f>
        <v>0</v>
      </c>
      <c r="J299" s="14">
        <f ca="1">IF(H299&lt;0.05,1,0)*$B$1*$B$2</f>
        <v>0</v>
      </c>
      <c r="K299" s="15">
        <f t="shared" ca="1" si="46"/>
        <v>0</v>
      </c>
      <c r="P299" s="3">
        <v>295</v>
      </c>
      <c r="Q299" s="4">
        <f t="shared" ca="1" si="47"/>
        <v>0.53489457822469544</v>
      </c>
      <c r="R299" s="4">
        <f t="shared" ca="1" si="48"/>
        <v>0.28266141568954073</v>
      </c>
      <c r="S299" s="4">
        <f ca="1">$B$1*Q299*$B$2</f>
        <v>21.395783128987819</v>
      </c>
      <c r="T299" s="4">
        <f ca="1">$B$1*R299*$B$2</f>
        <v>11.30645662758163</v>
      </c>
      <c r="U299" s="7">
        <f t="shared" ca="1" si="49"/>
        <v>32.702239756569448</v>
      </c>
    </row>
    <row r="300" spans="2:21" x14ac:dyDescent="0.3">
      <c r="B300" s="13">
        <f t="shared" ca="1" si="40"/>
        <v>0.34357059416882441</v>
      </c>
      <c r="C300" s="14">
        <f t="shared" ca="1" si="40"/>
        <v>0.71400172674411511</v>
      </c>
      <c r="D300" s="14">
        <f t="shared" ca="1" si="41"/>
        <v>-0.40273771128595698</v>
      </c>
      <c r="E300" s="14">
        <f t="shared" ca="1" si="42"/>
        <v>0.56511352967087225</v>
      </c>
      <c r="F300" s="14">
        <f t="shared" ca="1" si="43"/>
        <v>-0.11613666341107071</v>
      </c>
      <c r="G300" s="14">
        <f t="shared" ca="1" si="44"/>
        <v>0.34357059416882435</v>
      </c>
      <c r="H300" s="15">
        <f t="shared" ca="1" si="45"/>
        <v>0.71400172674411522</v>
      </c>
      <c r="I300" s="14">
        <f ca="1">IF(G300&lt;0.05,1,0)*$B$1*$B$2</f>
        <v>0</v>
      </c>
      <c r="J300" s="14">
        <f ca="1">IF(H300&lt;0.05,1,0)*$B$1*$B$2</f>
        <v>0</v>
      </c>
      <c r="K300" s="15">
        <f t="shared" ca="1" si="46"/>
        <v>0</v>
      </c>
      <c r="P300" s="3">
        <v>296</v>
      </c>
      <c r="Q300" s="4">
        <f t="shared" ca="1" si="47"/>
        <v>0.34357059416882435</v>
      </c>
      <c r="R300" s="4">
        <f t="shared" ca="1" si="48"/>
        <v>0.71400172674411522</v>
      </c>
      <c r="S300" s="4">
        <f ca="1">$B$1*Q300*$B$2</f>
        <v>13.742823766752975</v>
      </c>
      <c r="T300" s="4">
        <f ca="1">$B$1*R300*$B$2</f>
        <v>28.560069069764609</v>
      </c>
      <c r="U300" s="7">
        <f t="shared" ca="1" si="49"/>
        <v>42.302892836517586</v>
      </c>
    </row>
    <row r="301" spans="2:21" x14ac:dyDescent="0.3">
      <c r="B301" s="13">
        <f t="shared" ca="1" si="40"/>
        <v>0.60976947458448005</v>
      </c>
      <c r="C301" s="14">
        <f t="shared" ca="1" si="40"/>
        <v>0.60018436126009833</v>
      </c>
      <c r="D301" s="14">
        <f t="shared" ca="1" si="41"/>
        <v>0.27871825651575238</v>
      </c>
      <c r="E301" s="14">
        <f t="shared" ca="1" si="42"/>
        <v>0.25382432838621538</v>
      </c>
      <c r="F301" s="14">
        <f t="shared" ca="1" si="43"/>
        <v>0.36148589054893665</v>
      </c>
      <c r="G301" s="14">
        <f t="shared" ca="1" si="44"/>
        <v>0.60976947458448005</v>
      </c>
      <c r="H301" s="15">
        <f t="shared" ca="1" si="45"/>
        <v>0.60018436126009833</v>
      </c>
      <c r="I301" s="14">
        <f ca="1">IF(G301&lt;0.05,1,0)*$B$1*$B$2</f>
        <v>0</v>
      </c>
      <c r="J301" s="14">
        <f ca="1">IF(H301&lt;0.05,1,0)*$B$1*$B$2</f>
        <v>0</v>
      </c>
      <c r="K301" s="15">
        <f t="shared" ca="1" si="46"/>
        <v>0</v>
      </c>
      <c r="P301" s="3">
        <v>297</v>
      </c>
      <c r="Q301" s="4">
        <f t="shared" ca="1" si="47"/>
        <v>0.60976947458448005</v>
      </c>
      <c r="R301" s="4">
        <f t="shared" ca="1" si="48"/>
        <v>0.60018436126009833</v>
      </c>
      <c r="S301" s="4">
        <f ca="1">$B$1*Q301*$B$2</f>
        <v>24.390778983379203</v>
      </c>
      <c r="T301" s="4">
        <f ca="1">$B$1*R301*$B$2</f>
        <v>24.007374450403933</v>
      </c>
      <c r="U301" s="7">
        <f t="shared" ca="1" si="49"/>
        <v>48.398153433783136</v>
      </c>
    </row>
    <row r="302" spans="2:21" x14ac:dyDescent="0.3">
      <c r="B302" s="13">
        <f t="shared" ca="1" si="40"/>
        <v>7.5030969881585308E-2</v>
      </c>
      <c r="C302" s="14">
        <f t="shared" ca="1" si="40"/>
        <v>0.13931421338709271</v>
      </c>
      <c r="D302" s="14">
        <f t="shared" ca="1" si="41"/>
        <v>-1.4393127226528701</v>
      </c>
      <c r="E302" s="14">
        <f t="shared" ca="1" si="42"/>
        <v>-1.0834056098018783</v>
      </c>
      <c r="F302" s="14">
        <f t="shared" ca="1" si="43"/>
        <v>-1.7676270071867277</v>
      </c>
      <c r="G302" s="14">
        <f t="shared" ca="1" si="44"/>
        <v>7.5030969881585211E-2</v>
      </c>
      <c r="H302" s="15">
        <f t="shared" ca="1" si="45"/>
        <v>0.1393142133870926</v>
      </c>
      <c r="I302" s="14">
        <f ca="1">IF(G302&lt;0.05,1,0)*$B$1*$B$2</f>
        <v>0</v>
      </c>
      <c r="J302" s="14">
        <f ca="1">IF(H302&lt;0.05,1,0)*$B$1*$B$2</f>
        <v>0</v>
      </c>
      <c r="K302" s="15">
        <f t="shared" ca="1" si="46"/>
        <v>0</v>
      </c>
      <c r="P302" s="3">
        <v>298</v>
      </c>
      <c r="Q302" s="4">
        <f t="shared" ca="1" si="47"/>
        <v>7.5030969881585211E-2</v>
      </c>
      <c r="R302" s="4">
        <f t="shared" ca="1" si="48"/>
        <v>0.1393142133870926</v>
      </c>
      <c r="S302" s="4">
        <f ca="1">$B$1*Q302*$B$2</f>
        <v>3.0012387952634088</v>
      </c>
      <c r="T302" s="4">
        <f ca="1">$B$1*R302*$B$2</f>
        <v>5.572568535483704</v>
      </c>
      <c r="U302" s="7">
        <f t="shared" ca="1" si="49"/>
        <v>8.5738073307471119</v>
      </c>
    </row>
    <row r="303" spans="2:21" x14ac:dyDescent="0.3">
      <c r="B303" s="13">
        <f t="shared" ca="1" si="40"/>
        <v>0.84545756578599174</v>
      </c>
      <c r="C303" s="14">
        <f t="shared" ca="1" si="40"/>
        <v>0.97168159649307129</v>
      </c>
      <c r="D303" s="14">
        <f t="shared" ca="1" si="41"/>
        <v>1.0171441324648913</v>
      </c>
      <c r="E303" s="14">
        <f t="shared" ca="1" si="42"/>
        <v>1.9061032817833294</v>
      </c>
      <c r="F303" s="14">
        <f t="shared" ca="1" si="43"/>
        <v>1.7462808773428786</v>
      </c>
      <c r="G303" s="14">
        <f t="shared" ca="1" si="44"/>
        <v>0.84545756578599152</v>
      </c>
      <c r="H303" s="15">
        <f t="shared" ca="1" si="45"/>
        <v>0.97168159649307129</v>
      </c>
      <c r="I303" s="14">
        <f ca="1">IF(G303&lt;0.05,1,0)*$B$1*$B$2</f>
        <v>0</v>
      </c>
      <c r="J303" s="14">
        <f ca="1">IF(H303&lt;0.05,1,0)*$B$1*$B$2</f>
        <v>0</v>
      </c>
      <c r="K303" s="15">
        <f t="shared" ca="1" si="46"/>
        <v>0</v>
      </c>
      <c r="P303" s="3">
        <v>299</v>
      </c>
      <c r="Q303" s="4">
        <f t="shared" ca="1" si="47"/>
        <v>0.84545756578599152</v>
      </c>
      <c r="R303" s="4">
        <f t="shared" ca="1" si="48"/>
        <v>0.97168159649307129</v>
      </c>
      <c r="S303" s="4">
        <f ca="1">$B$1*Q303*$B$2</f>
        <v>33.818302631439664</v>
      </c>
      <c r="T303" s="4">
        <f ca="1">$B$1*R303*$B$2</f>
        <v>38.867263859722854</v>
      </c>
      <c r="U303" s="7">
        <f t="shared" ca="1" si="49"/>
        <v>72.685566491162518</v>
      </c>
    </row>
    <row r="304" spans="2:21" x14ac:dyDescent="0.3">
      <c r="B304" s="13">
        <f t="shared" ca="1" si="40"/>
        <v>0.75967034275666345</v>
      </c>
      <c r="C304" s="14">
        <f t="shared" ca="1" si="40"/>
        <v>0.37962842406081332</v>
      </c>
      <c r="D304" s="14">
        <f t="shared" ca="1" si="41"/>
        <v>0.70524253604984066</v>
      </c>
      <c r="E304" s="14">
        <f t="shared" ca="1" si="42"/>
        <v>-0.30645682488910075</v>
      </c>
      <c r="F304" s="14">
        <f t="shared" ca="1" si="43"/>
        <v>0.50113684941986358</v>
      </c>
      <c r="G304" s="14">
        <f t="shared" ca="1" si="44"/>
        <v>0.75967034275666356</v>
      </c>
      <c r="H304" s="15">
        <f t="shared" ca="1" si="45"/>
        <v>0.37962842406081332</v>
      </c>
      <c r="I304" s="14">
        <f ca="1">IF(G304&lt;0.05,1,0)*$B$1*$B$2</f>
        <v>0</v>
      </c>
      <c r="J304" s="14">
        <f ca="1">IF(H304&lt;0.05,1,0)*$B$1*$B$2</f>
        <v>0</v>
      </c>
      <c r="K304" s="15">
        <f t="shared" ca="1" si="46"/>
        <v>0</v>
      </c>
      <c r="P304" s="3">
        <v>300</v>
      </c>
      <c r="Q304" s="4">
        <f t="shared" ca="1" si="47"/>
        <v>0.75967034275666356</v>
      </c>
      <c r="R304" s="4">
        <f t="shared" ca="1" si="48"/>
        <v>0.37962842406081332</v>
      </c>
      <c r="S304" s="4">
        <f ca="1">$B$1*Q304*$B$2</f>
        <v>30.386813710266541</v>
      </c>
      <c r="T304" s="4">
        <f ca="1">$B$1*R304*$B$2</f>
        <v>15.185136962432532</v>
      </c>
      <c r="U304" s="7">
        <f t="shared" ca="1" si="49"/>
        <v>45.571950672699074</v>
      </c>
    </row>
    <row r="305" spans="2:21" x14ac:dyDescent="0.3">
      <c r="B305" s="13">
        <f t="shared" ca="1" si="40"/>
        <v>0.39834579401387016</v>
      </c>
      <c r="C305" s="14">
        <f t="shared" ca="1" si="40"/>
        <v>0.25072936408940749</v>
      </c>
      <c r="D305" s="14">
        <f t="shared" ca="1" si="41"/>
        <v>-0.25763114841416113</v>
      </c>
      <c r="E305" s="14">
        <f t="shared" ca="1" si="42"/>
        <v>-0.67219631257379031</v>
      </c>
      <c r="F305" s="14">
        <f t="shared" ca="1" si="43"/>
        <v>-0.52487161324572806</v>
      </c>
      <c r="G305" s="14">
        <f t="shared" ca="1" si="44"/>
        <v>0.39834579401387016</v>
      </c>
      <c r="H305" s="15">
        <f t="shared" ca="1" si="45"/>
        <v>0.25072936408940738</v>
      </c>
      <c r="I305" s="14">
        <f ca="1">IF(G305&lt;0.05,1,0)*$B$1*$B$2</f>
        <v>0</v>
      </c>
      <c r="J305" s="14">
        <f ca="1">IF(H305&lt;0.05,1,0)*$B$1*$B$2</f>
        <v>0</v>
      </c>
      <c r="K305" s="15">
        <f t="shared" ca="1" si="46"/>
        <v>0</v>
      </c>
      <c r="P305" s="3">
        <v>301</v>
      </c>
      <c r="Q305" s="4">
        <f t="shared" ca="1" si="47"/>
        <v>0.39834579401387016</v>
      </c>
      <c r="R305" s="4">
        <f t="shared" ca="1" si="48"/>
        <v>0.25072936408940738</v>
      </c>
      <c r="S305" s="4">
        <f ca="1">$B$1*Q305*$B$2</f>
        <v>15.933831760554808</v>
      </c>
      <c r="T305" s="4">
        <f ca="1">$B$1*R305*$B$2</f>
        <v>10.029174563576296</v>
      </c>
      <c r="U305" s="7">
        <f t="shared" ca="1" si="49"/>
        <v>25.963006324131104</v>
      </c>
    </row>
    <row r="306" spans="2:21" x14ac:dyDescent="0.3">
      <c r="B306" s="13">
        <f t="shared" ca="1" si="40"/>
        <v>0.95605817585606867</v>
      </c>
      <c r="C306" s="14">
        <f t="shared" ca="1" si="40"/>
        <v>0.63307881308212199</v>
      </c>
      <c r="D306" s="14">
        <f t="shared" ca="1" si="41"/>
        <v>1.7066686986853772</v>
      </c>
      <c r="E306" s="14">
        <f t="shared" ca="1" si="42"/>
        <v>0.34001879514009276</v>
      </c>
      <c r="F306" s="14">
        <f t="shared" ca="1" si="43"/>
        <v>1.6842125855088519</v>
      </c>
      <c r="G306" s="14">
        <f t="shared" ca="1" si="44"/>
        <v>0.95605817585606867</v>
      </c>
      <c r="H306" s="15">
        <f t="shared" ca="1" si="45"/>
        <v>0.63307881308212199</v>
      </c>
      <c r="I306" s="14">
        <f ca="1">IF(G306&lt;0.05,1,0)*$B$1*$B$2</f>
        <v>0</v>
      </c>
      <c r="J306" s="14">
        <f ca="1">IF(H306&lt;0.05,1,0)*$B$1*$B$2</f>
        <v>0</v>
      </c>
      <c r="K306" s="15">
        <f t="shared" ca="1" si="46"/>
        <v>0</v>
      </c>
      <c r="P306" s="3">
        <v>302</v>
      </c>
      <c r="Q306" s="4">
        <f t="shared" ca="1" si="47"/>
        <v>0.95605817585606867</v>
      </c>
      <c r="R306" s="4">
        <f t="shared" ca="1" si="48"/>
        <v>0.63307881308212199</v>
      </c>
      <c r="S306" s="4">
        <f ca="1">$B$1*Q306*$B$2</f>
        <v>38.242327034242749</v>
      </c>
      <c r="T306" s="4">
        <f ca="1">$B$1*R306*$B$2</f>
        <v>25.323152523284882</v>
      </c>
      <c r="U306" s="7">
        <f t="shared" ca="1" si="49"/>
        <v>63.565479557527631</v>
      </c>
    </row>
    <row r="307" spans="2:21" x14ac:dyDescent="0.3">
      <c r="B307" s="13">
        <f t="shared" ca="1" si="40"/>
        <v>0.68346125220719023</v>
      </c>
      <c r="C307" s="14">
        <f t="shared" ca="1" si="40"/>
        <v>0.56334604253539255</v>
      </c>
      <c r="D307" s="14">
        <f t="shared" ca="1" si="41"/>
        <v>0.47739974523820272</v>
      </c>
      <c r="E307" s="14">
        <f t="shared" ca="1" si="42"/>
        <v>0.15945816639168253</v>
      </c>
      <c r="F307" s="14">
        <f t="shared" ca="1" si="43"/>
        <v>0.49916597401674623</v>
      </c>
      <c r="G307" s="14">
        <f t="shared" ca="1" si="44"/>
        <v>0.68346125220719034</v>
      </c>
      <c r="H307" s="15">
        <f t="shared" ca="1" si="45"/>
        <v>0.56334604253539255</v>
      </c>
      <c r="I307" s="14">
        <f ca="1">IF(G307&lt;0.05,1,0)*$B$1*$B$2</f>
        <v>0</v>
      </c>
      <c r="J307" s="14">
        <f ca="1">IF(H307&lt;0.05,1,0)*$B$1*$B$2</f>
        <v>0</v>
      </c>
      <c r="K307" s="15">
        <f t="shared" ca="1" si="46"/>
        <v>0</v>
      </c>
      <c r="P307" s="3">
        <v>303</v>
      </c>
      <c r="Q307" s="4">
        <f t="shared" ca="1" si="47"/>
        <v>0.68346125220719034</v>
      </c>
      <c r="R307" s="4">
        <f t="shared" ca="1" si="48"/>
        <v>0.56334604253539255</v>
      </c>
      <c r="S307" s="4">
        <f ca="1">$B$1*Q307*$B$2</f>
        <v>27.338450088287615</v>
      </c>
      <c r="T307" s="4">
        <f ca="1">$B$1*R307*$B$2</f>
        <v>22.533841701415703</v>
      </c>
      <c r="U307" s="7">
        <f t="shared" ca="1" si="49"/>
        <v>49.872291789703318</v>
      </c>
    </row>
    <row r="308" spans="2:21" x14ac:dyDescent="0.3">
      <c r="B308" s="13">
        <f t="shared" ca="1" si="40"/>
        <v>0.30149836049904799</v>
      </c>
      <c r="C308" s="14">
        <f t="shared" ca="1" si="40"/>
        <v>0.6122710652688188</v>
      </c>
      <c r="D308" s="14">
        <f t="shared" ca="1" si="41"/>
        <v>-0.52009592137681104</v>
      </c>
      <c r="E308" s="14">
        <f t="shared" ca="1" si="42"/>
        <v>0.2852431428096906</v>
      </c>
      <c r="F308" s="14">
        <f t="shared" ca="1" si="43"/>
        <v>-0.34375172585459179</v>
      </c>
      <c r="G308" s="14">
        <f t="shared" ca="1" si="44"/>
        <v>0.30149836049904799</v>
      </c>
      <c r="H308" s="15">
        <f t="shared" ca="1" si="45"/>
        <v>0.6122710652688188</v>
      </c>
      <c r="I308" s="14">
        <f ca="1">IF(G308&lt;0.05,1,0)*$B$1*$B$2</f>
        <v>0</v>
      </c>
      <c r="J308" s="14">
        <f ca="1">IF(H308&lt;0.05,1,0)*$B$1*$B$2</f>
        <v>0</v>
      </c>
      <c r="K308" s="15">
        <f t="shared" ca="1" si="46"/>
        <v>0</v>
      </c>
      <c r="P308" s="3">
        <v>304</v>
      </c>
      <c r="Q308" s="4">
        <f t="shared" ca="1" si="47"/>
        <v>0.30149836049904799</v>
      </c>
      <c r="R308" s="4">
        <f t="shared" ca="1" si="48"/>
        <v>0.6122710652688188</v>
      </c>
      <c r="S308" s="4">
        <f ca="1">$B$1*Q308*$B$2</f>
        <v>12.05993441996192</v>
      </c>
      <c r="T308" s="4">
        <f ca="1">$B$1*R308*$B$2</f>
        <v>24.490842610752754</v>
      </c>
      <c r="U308" s="7">
        <f t="shared" ca="1" si="49"/>
        <v>36.55077703071467</v>
      </c>
    </row>
    <row r="309" spans="2:21" x14ac:dyDescent="0.3">
      <c r="B309" s="13">
        <f t="shared" ca="1" si="40"/>
        <v>0.62863441253759067</v>
      </c>
      <c r="C309" s="14">
        <f t="shared" ca="1" si="40"/>
        <v>0.33647539530971593</v>
      </c>
      <c r="D309" s="14">
        <f t="shared" ca="1" si="41"/>
        <v>0.32823871852439673</v>
      </c>
      <c r="E309" s="14">
        <f t="shared" ca="1" si="42"/>
        <v>-0.42210169523825025</v>
      </c>
      <c r="F309" s="14">
        <f t="shared" ca="1" si="43"/>
        <v>0.11142498332788345</v>
      </c>
      <c r="G309" s="14">
        <f t="shared" ca="1" si="44"/>
        <v>0.62863441253759067</v>
      </c>
      <c r="H309" s="15">
        <f t="shared" ca="1" si="45"/>
        <v>0.33647539530971593</v>
      </c>
      <c r="I309" s="14">
        <f ca="1">IF(G309&lt;0.05,1,0)*$B$1*$B$2</f>
        <v>0</v>
      </c>
      <c r="J309" s="14">
        <f ca="1">IF(H309&lt;0.05,1,0)*$B$1*$B$2</f>
        <v>0</v>
      </c>
      <c r="K309" s="15">
        <f t="shared" ca="1" si="46"/>
        <v>0</v>
      </c>
      <c r="P309" s="3">
        <v>305</v>
      </c>
      <c r="Q309" s="4">
        <f t="shared" ca="1" si="47"/>
        <v>0.62863441253759067</v>
      </c>
      <c r="R309" s="4">
        <f t="shared" ca="1" si="48"/>
        <v>0.33647539530971593</v>
      </c>
      <c r="S309" s="4">
        <f ca="1">$B$1*Q309*$B$2</f>
        <v>25.145376501503627</v>
      </c>
      <c r="T309" s="4">
        <f ca="1">$B$1*R309*$B$2</f>
        <v>13.459015812388637</v>
      </c>
      <c r="U309" s="7">
        <f t="shared" ca="1" si="49"/>
        <v>38.604392313892262</v>
      </c>
    </row>
    <row r="310" spans="2:21" x14ac:dyDescent="0.3">
      <c r="B310" s="13">
        <f t="shared" ca="1" si="40"/>
        <v>0.99060066312111361</v>
      </c>
      <c r="C310" s="14">
        <f t="shared" ca="1" si="40"/>
        <v>0.10045888684674931</v>
      </c>
      <c r="D310" s="14">
        <f t="shared" ca="1" si="41"/>
        <v>2.3494994128671425</v>
      </c>
      <c r="E310" s="14">
        <f t="shared" ca="1" si="42"/>
        <v>-1.2789411690805839</v>
      </c>
      <c r="F310" s="14">
        <f t="shared" ca="1" si="43"/>
        <v>1.5570719405048252</v>
      </c>
      <c r="G310" s="14">
        <f t="shared" ca="1" si="44"/>
        <v>0.99060066312111361</v>
      </c>
      <c r="H310" s="15">
        <f t="shared" ca="1" si="45"/>
        <v>0.10045888684674914</v>
      </c>
      <c r="I310" s="14">
        <f ca="1">IF(G310&lt;0.05,1,0)*$B$1*$B$2</f>
        <v>0</v>
      </c>
      <c r="J310" s="14">
        <f ca="1">IF(H310&lt;0.05,1,0)*$B$1*$B$2</f>
        <v>0</v>
      </c>
      <c r="K310" s="15">
        <f t="shared" ca="1" si="46"/>
        <v>0</v>
      </c>
      <c r="P310" s="3">
        <v>306</v>
      </c>
      <c r="Q310" s="4">
        <f t="shared" ca="1" si="47"/>
        <v>0.99060066312111361</v>
      </c>
      <c r="R310" s="4">
        <f t="shared" ca="1" si="48"/>
        <v>0.10045888684674914</v>
      </c>
      <c r="S310" s="4">
        <f ca="1">$B$1*Q310*$B$2</f>
        <v>39.624026524844545</v>
      </c>
      <c r="T310" s="4">
        <f ca="1">$B$1*R310*$B$2</f>
        <v>4.0183554738699661</v>
      </c>
      <c r="U310" s="7">
        <f t="shared" ca="1" si="49"/>
        <v>43.642381998714512</v>
      </c>
    </row>
    <row r="311" spans="2:21" x14ac:dyDescent="0.3">
      <c r="B311" s="13">
        <f t="shared" ca="1" si="40"/>
        <v>0.1122726364385499</v>
      </c>
      <c r="C311" s="14">
        <f t="shared" ca="1" si="40"/>
        <v>0.20184626801338745</v>
      </c>
      <c r="D311" s="14">
        <f t="shared" ca="1" si="41"/>
        <v>-1.2145303358865953</v>
      </c>
      <c r="E311" s="14">
        <f t="shared" ca="1" si="42"/>
        <v>-0.83504470873550651</v>
      </c>
      <c r="F311" s="14">
        <f t="shared" ca="1" si="43"/>
        <v>-1.4570648521695788</v>
      </c>
      <c r="G311" s="14">
        <f t="shared" ca="1" si="44"/>
        <v>0.1122726364385499</v>
      </c>
      <c r="H311" s="15">
        <f t="shared" ca="1" si="45"/>
        <v>0.20184626801338731</v>
      </c>
      <c r="I311" s="14">
        <f ca="1">IF(G311&lt;0.05,1,0)*$B$1*$B$2</f>
        <v>0</v>
      </c>
      <c r="J311" s="14">
        <f ca="1">IF(H311&lt;0.05,1,0)*$B$1*$B$2</f>
        <v>0</v>
      </c>
      <c r="K311" s="15">
        <f t="shared" ca="1" si="46"/>
        <v>0</v>
      </c>
      <c r="P311" s="3">
        <v>307</v>
      </c>
      <c r="Q311" s="4">
        <f t="shared" ca="1" si="47"/>
        <v>0.1122726364385499</v>
      </c>
      <c r="R311" s="4">
        <f t="shared" ca="1" si="48"/>
        <v>0.20184626801338731</v>
      </c>
      <c r="S311" s="4">
        <f ca="1">$B$1*Q311*$B$2</f>
        <v>4.490905457541996</v>
      </c>
      <c r="T311" s="4">
        <f ca="1">$B$1*R311*$B$2</f>
        <v>8.0738507205354928</v>
      </c>
      <c r="U311" s="7">
        <f t="shared" ca="1" si="49"/>
        <v>12.564756178077488</v>
      </c>
    </row>
    <row r="312" spans="2:21" x14ac:dyDescent="0.3">
      <c r="B312" s="13">
        <f t="shared" ca="1" si="40"/>
        <v>0.91921393868584877</v>
      </c>
      <c r="C312" s="14">
        <f t="shared" ca="1" si="40"/>
        <v>0.2525723878654561</v>
      </c>
      <c r="D312" s="14">
        <f t="shared" ca="1" si="41"/>
        <v>1.3998036563325857</v>
      </c>
      <c r="E312" s="14">
        <f t="shared" ca="1" si="42"/>
        <v>-0.66641672406097341</v>
      </c>
      <c r="F312" s="14">
        <f t="shared" ca="1" si="43"/>
        <v>0.96933897525260582</v>
      </c>
      <c r="G312" s="14">
        <f t="shared" ca="1" si="44"/>
        <v>0.91921393868584889</v>
      </c>
      <c r="H312" s="15">
        <f t="shared" ca="1" si="45"/>
        <v>0.2525723878654561</v>
      </c>
      <c r="I312" s="14">
        <f ca="1">IF(G312&lt;0.05,1,0)*$B$1*$B$2</f>
        <v>0</v>
      </c>
      <c r="J312" s="14">
        <f ca="1">IF(H312&lt;0.05,1,0)*$B$1*$B$2</f>
        <v>0</v>
      </c>
      <c r="K312" s="15">
        <f t="shared" ca="1" si="46"/>
        <v>0</v>
      </c>
      <c r="P312" s="3">
        <v>308</v>
      </c>
      <c r="Q312" s="4">
        <f t="shared" ca="1" si="47"/>
        <v>0.91921393868584889</v>
      </c>
      <c r="R312" s="4">
        <f t="shared" ca="1" si="48"/>
        <v>0.2525723878654561</v>
      </c>
      <c r="S312" s="4">
        <f ca="1">$B$1*Q312*$B$2</f>
        <v>36.768557547433957</v>
      </c>
      <c r="T312" s="4">
        <f ca="1">$B$1*R312*$B$2</f>
        <v>10.102895514618245</v>
      </c>
      <c r="U312" s="7">
        <f t="shared" ca="1" si="49"/>
        <v>46.871453062052204</v>
      </c>
    </row>
    <row r="313" spans="2:21" x14ac:dyDescent="0.3">
      <c r="B313" s="13">
        <f t="shared" ca="1" si="40"/>
        <v>0.95937003463420645</v>
      </c>
      <c r="C313" s="14">
        <f t="shared" ca="1" si="40"/>
        <v>0.13297904031251895</v>
      </c>
      <c r="D313" s="14">
        <f t="shared" ca="1" si="41"/>
        <v>1.7434219852986812</v>
      </c>
      <c r="E313" s="14">
        <f t="shared" ca="1" si="42"/>
        <v>-1.1124189034054237</v>
      </c>
      <c r="F313" s="14">
        <f t="shared" ca="1" si="43"/>
        <v>1.0841876284859555</v>
      </c>
      <c r="G313" s="14">
        <f t="shared" ca="1" si="44"/>
        <v>0.95937003463420645</v>
      </c>
      <c r="H313" s="15">
        <f t="shared" ca="1" si="45"/>
        <v>0.13297904031251889</v>
      </c>
      <c r="I313" s="14">
        <f ca="1">IF(G313&lt;0.05,1,0)*$B$1*$B$2</f>
        <v>0</v>
      </c>
      <c r="J313" s="14">
        <f ca="1">IF(H313&lt;0.05,1,0)*$B$1*$B$2</f>
        <v>0</v>
      </c>
      <c r="K313" s="15">
        <f t="shared" ca="1" si="46"/>
        <v>0</v>
      </c>
      <c r="P313" s="3">
        <v>309</v>
      </c>
      <c r="Q313" s="4">
        <f t="shared" ca="1" si="47"/>
        <v>0.95937003463420645</v>
      </c>
      <c r="R313" s="4">
        <f t="shared" ca="1" si="48"/>
        <v>0.13297904031251889</v>
      </c>
      <c r="S313" s="4">
        <f ca="1">$B$1*Q313*$B$2</f>
        <v>38.374801385368258</v>
      </c>
      <c r="T313" s="4">
        <f ca="1">$B$1*R313*$B$2</f>
        <v>5.3191616125007561</v>
      </c>
      <c r="U313" s="7">
        <f t="shared" ca="1" si="49"/>
        <v>43.693962997869015</v>
      </c>
    </row>
    <row r="314" spans="2:21" x14ac:dyDescent="0.3">
      <c r="B314" s="13">
        <f t="shared" ca="1" si="40"/>
        <v>0.27163392660885666</v>
      </c>
      <c r="C314" s="14">
        <f t="shared" ca="1" si="40"/>
        <v>0.16753421043046901</v>
      </c>
      <c r="D314" s="14">
        <f t="shared" ca="1" si="41"/>
        <v>-0.60787881194982396</v>
      </c>
      <c r="E314" s="14">
        <f t="shared" ca="1" si="42"/>
        <v>-0.96395513265305033</v>
      </c>
      <c r="F314" s="14">
        <f t="shared" ca="1" si="43"/>
        <v>-0.96726923168904055</v>
      </c>
      <c r="G314" s="14">
        <f t="shared" ca="1" si="44"/>
        <v>0.27163392660885666</v>
      </c>
      <c r="H314" s="15">
        <f t="shared" ca="1" si="45"/>
        <v>0.16753421043046909</v>
      </c>
      <c r="I314" s="14">
        <f ca="1">IF(G314&lt;0.05,1,0)*$B$1*$B$2</f>
        <v>0</v>
      </c>
      <c r="J314" s="14">
        <f ca="1">IF(H314&lt;0.05,1,0)*$B$1*$B$2</f>
        <v>0</v>
      </c>
      <c r="K314" s="15">
        <f t="shared" ca="1" si="46"/>
        <v>0</v>
      </c>
      <c r="P314" s="3">
        <v>310</v>
      </c>
      <c r="Q314" s="4">
        <f t="shared" ca="1" si="47"/>
        <v>0.27163392660885666</v>
      </c>
      <c r="R314" s="4">
        <f t="shared" ca="1" si="48"/>
        <v>0.16753421043046909</v>
      </c>
      <c r="S314" s="4">
        <f ca="1">$B$1*Q314*$B$2</f>
        <v>10.865357064354267</v>
      </c>
      <c r="T314" s="4">
        <f ca="1">$B$1*R314*$B$2</f>
        <v>6.701368417218764</v>
      </c>
      <c r="U314" s="7">
        <f t="shared" ca="1" si="49"/>
        <v>17.56672548157303</v>
      </c>
    </row>
    <row r="315" spans="2:21" x14ac:dyDescent="0.3">
      <c r="B315" s="13">
        <f t="shared" ca="1" si="40"/>
        <v>0.91643210989571711</v>
      </c>
      <c r="C315" s="14">
        <f t="shared" ca="1" si="40"/>
        <v>0.60849697936947478</v>
      </c>
      <c r="D315" s="14">
        <f t="shared" ca="1" si="41"/>
        <v>1.38146581997704</v>
      </c>
      <c r="E315" s="14">
        <f t="shared" ca="1" si="42"/>
        <v>0.27540377876929095</v>
      </c>
      <c r="F315" s="14">
        <f t="shared" ca="1" si="43"/>
        <v>1.3633649620117931</v>
      </c>
      <c r="G315" s="14">
        <f t="shared" ca="1" si="44"/>
        <v>0.91643210989571744</v>
      </c>
      <c r="H315" s="15">
        <f t="shared" ca="1" si="45"/>
        <v>0.60849697936947478</v>
      </c>
      <c r="I315" s="14">
        <f ca="1">IF(G315&lt;0.05,1,0)*$B$1*$B$2</f>
        <v>0</v>
      </c>
      <c r="J315" s="14">
        <f ca="1">IF(H315&lt;0.05,1,0)*$B$1*$B$2</f>
        <v>0</v>
      </c>
      <c r="K315" s="15">
        <f t="shared" ca="1" si="46"/>
        <v>0</v>
      </c>
      <c r="P315" s="3">
        <v>311</v>
      </c>
      <c r="Q315" s="4">
        <f t="shared" ca="1" si="47"/>
        <v>0.91643210989571744</v>
      </c>
      <c r="R315" s="4">
        <f t="shared" ca="1" si="48"/>
        <v>0.60849697936947478</v>
      </c>
      <c r="S315" s="4">
        <f ca="1">$B$1*Q315*$B$2</f>
        <v>36.657284395828697</v>
      </c>
      <c r="T315" s="4">
        <f ca="1">$B$1*R315*$B$2</f>
        <v>24.339879174778993</v>
      </c>
      <c r="U315" s="7">
        <f t="shared" ca="1" si="49"/>
        <v>60.99716357060769</v>
      </c>
    </row>
    <row r="316" spans="2:21" x14ac:dyDescent="0.3">
      <c r="B316" s="13">
        <f t="shared" ca="1" si="40"/>
        <v>0.39494100620038097</v>
      </c>
      <c r="C316" s="14">
        <f t="shared" ca="1" si="40"/>
        <v>0.11652698524220917</v>
      </c>
      <c r="D316" s="14">
        <f t="shared" ca="1" si="41"/>
        <v>-0.26646382970460275</v>
      </c>
      <c r="E316" s="14">
        <f t="shared" ca="1" si="42"/>
        <v>-1.1925287860552873</v>
      </c>
      <c r="F316" s="14">
        <f t="shared" ca="1" si="43"/>
        <v>-0.75962869330196581</v>
      </c>
      <c r="G316" s="14">
        <f t="shared" ca="1" si="44"/>
        <v>0.39494100620038097</v>
      </c>
      <c r="H316" s="15">
        <f t="shared" ca="1" si="45"/>
        <v>0.11652698524220913</v>
      </c>
      <c r="I316" s="14">
        <f ca="1">IF(G316&lt;0.05,1,0)*$B$1*$B$2</f>
        <v>0</v>
      </c>
      <c r="J316" s="14">
        <f ca="1">IF(H316&lt;0.05,1,0)*$B$1*$B$2</f>
        <v>0</v>
      </c>
      <c r="K316" s="15">
        <f t="shared" ca="1" si="46"/>
        <v>0</v>
      </c>
      <c r="P316" s="3">
        <v>312</v>
      </c>
      <c r="Q316" s="4">
        <f t="shared" ca="1" si="47"/>
        <v>0.39494100620038097</v>
      </c>
      <c r="R316" s="4">
        <f t="shared" ca="1" si="48"/>
        <v>0.11652698524220913</v>
      </c>
      <c r="S316" s="4">
        <f ca="1">$B$1*Q316*$B$2</f>
        <v>15.79764024801524</v>
      </c>
      <c r="T316" s="4">
        <f ca="1">$B$1*R316*$B$2</f>
        <v>4.661079409688365</v>
      </c>
      <c r="U316" s="7">
        <f t="shared" ca="1" si="49"/>
        <v>20.458719657703604</v>
      </c>
    </row>
    <row r="317" spans="2:21" x14ac:dyDescent="0.3">
      <c r="B317" s="13">
        <f t="shared" ca="1" si="40"/>
        <v>0.874053386830834</v>
      </c>
      <c r="C317" s="14">
        <f t="shared" ca="1" si="40"/>
        <v>9.0556280931487265E-2</v>
      </c>
      <c r="D317" s="14">
        <f t="shared" ca="1" si="41"/>
        <v>1.1457630050821981</v>
      </c>
      <c r="E317" s="14">
        <f t="shared" ca="1" si="42"/>
        <v>-1.3373372967330075</v>
      </c>
      <c r="F317" s="14">
        <f t="shared" ca="1" si="43"/>
        <v>0.44825489158527365</v>
      </c>
      <c r="G317" s="14">
        <f t="shared" ca="1" si="44"/>
        <v>0.87405338683083411</v>
      </c>
      <c r="H317" s="15">
        <f t="shared" ca="1" si="45"/>
        <v>9.0556280931487237E-2</v>
      </c>
      <c r="I317" s="14">
        <f ca="1">IF(G317&lt;0.05,1,0)*$B$1*$B$2</f>
        <v>0</v>
      </c>
      <c r="J317" s="14">
        <f ca="1">IF(H317&lt;0.05,1,0)*$B$1*$B$2</f>
        <v>0</v>
      </c>
      <c r="K317" s="15">
        <f t="shared" ca="1" si="46"/>
        <v>0</v>
      </c>
      <c r="P317" s="3">
        <v>313</v>
      </c>
      <c r="Q317" s="4">
        <f t="shared" ca="1" si="47"/>
        <v>0.87405338683083411</v>
      </c>
      <c r="R317" s="4">
        <f t="shared" ca="1" si="48"/>
        <v>9.0556280931487237E-2</v>
      </c>
      <c r="S317" s="4">
        <f ca="1">$B$1*Q317*$B$2</f>
        <v>34.962135473233367</v>
      </c>
      <c r="T317" s="4">
        <f ca="1">$B$1*R317*$B$2</f>
        <v>3.6222512372594893</v>
      </c>
      <c r="U317" s="7">
        <f t="shared" ca="1" si="49"/>
        <v>38.584386710492858</v>
      </c>
    </row>
    <row r="318" spans="2:21" x14ac:dyDescent="0.3">
      <c r="B318" s="13">
        <f t="shared" ca="1" si="40"/>
        <v>0.71952054515953179</v>
      </c>
      <c r="C318" s="14">
        <f t="shared" ca="1" si="40"/>
        <v>0.5718307211991992</v>
      </c>
      <c r="D318" s="14">
        <f t="shared" ca="1" si="41"/>
        <v>0.58141779108782077</v>
      </c>
      <c r="E318" s="14">
        <f t="shared" ca="1" si="42"/>
        <v>0.18103696996198759</v>
      </c>
      <c r="F318" s="14">
        <f t="shared" ca="1" si="43"/>
        <v>0.60218819768994991</v>
      </c>
      <c r="G318" s="14">
        <f t="shared" ca="1" si="44"/>
        <v>0.7195205451595319</v>
      </c>
      <c r="H318" s="15">
        <f t="shared" ca="1" si="45"/>
        <v>0.5718307211991992</v>
      </c>
      <c r="I318" s="14">
        <f ca="1">IF(G318&lt;0.05,1,0)*$B$1*$B$2</f>
        <v>0</v>
      </c>
      <c r="J318" s="14">
        <f ca="1">IF(H318&lt;0.05,1,0)*$B$1*$B$2</f>
        <v>0</v>
      </c>
      <c r="K318" s="15">
        <f t="shared" ca="1" si="46"/>
        <v>0</v>
      </c>
      <c r="P318" s="3">
        <v>314</v>
      </c>
      <c r="Q318" s="4">
        <f t="shared" ca="1" si="47"/>
        <v>0.7195205451595319</v>
      </c>
      <c r="R318" s="4">
        <f t="shared" ca="1" si="48"/>
        <v>0.5718307211991992</v>
      </c>
      <c r="S318" s="4">
        <f ca="1">$B$1*Q318*$B$2</f>
        <v>28.78082180638128</v>
      </c>
      <c r="T318" s="4">
        <f ca="1">$B$1*R318*$B$2</f>
        <v>22.873228847967969</v>
      </c>
      <c r="U318" s="7">
        <f t="shared" ca="1" si="49"/>
        <v>51.654050654349248</v>
      </c>
    </row>
    <row r="319" spans="2:21" x14ac:dyDescent="0.3">
      <c r="B319" s="13">
        <f t="shared" ca="1" si="40"/>
        <v>0.8536461339336382</v>
      </c>
      <c r="C319" s="14">
        <f t="shared" ca="1" si="40"/>
        <v>0.19598724055067618</v>
      </c>
      <c r="D319" s="14">
        <f t="shared" ca="1" si="41"/>
        <v>1.0522001468851794</v>
      </c>
      <c r="E319" s="14">
        <f t="shared" ca="1" si="42"/>
        <v>-0.85604212155761683</v>
      </c>
      <c r="F319" s="14">
        <f t="shared" ca="1" si="43"/>
        <v>0.57384002226828024</v>
      </c>
      <c r="G319" s="14">
        <f t="shared" ca="1" si="44"/>
        <v>0.85364613393363831</v>
      </c>
      <c r="H319" s="15">
        <f t="shared" ca="1" si="45"/>
        <v>0.19598724055067604</v>
      </c>
      <c r="I319" s="14">
        <f ca="1">IF(G319&lt;0.05,1,0)*$B$1*$B$2</f>
        <v>0</v>
      </c>
      <c r="J319" s="14">
        <f ca="1">IF(H319&lt;0.05,1,0)*$B$1*$B$2</f>
        <v>0</v>
      </c>
      <c r="K319" s="15">
        <f t="shared" ca="1" si="46"/>
        <v>0</v>
      </c>
      <c r="P319" s="3">
        <v>315</v>
      </c>
      <c r="Q319" s="4">
        <f t="shared" ca="1" si="47"/>
        <v>0.85364613393363831</v>
      </c>
      <c r="R319" s="4">
        <f t="shared" ca="1" si="48"/>
        <v>0.19598724055067604</v>
      </c>
      <c r="S319" s="4">
        <f ca="1">$B$1*Q319*$B$2</f>
        <v>34.145845357345529</v>
      </c>
      <c r="T319" s="4">
        <f ca="1">$B$1*R319*$B$2</f>
        <v>7.8394896220270418</v>
      </c>
      <c r="U319" s="7">
        <f t="shared" ca="1" si="49"/>
        <v>41.985334979372567</v>
      </c>
    </row>
    <row r="320" spans="2:21" x14ac:dyDescent="0.3">
      <c r="B320" s="13">
        <f t="shared" ca="1" si="40"/>
        <v>0.62699543183825313</v>
      </c>
      <c r="C320" s="14">
        <f t="shared" ca="1" si="40"/>
        <v>0.86667556854089511</v>
      </c>
      <c r="D320" s="14">
        <f t="shared" ca="1" si="41"/>
        <v>0.32390608586493347</v>
      </c>
      <c r="E320" s="14">
        <f t="shared" ca="1" si="42"/>
        <v>1.1108129690232729</v>
      </c>
      <c r="F320" s="14">
        <f t="shared" ca="1" si="43"/>
        <v>0.77570762499312229</v>
      </c>
      <c r="G320" s="14">
        <f t="shared" ca="1" si="44"/>
        <v>0.62699543183825313</v>
      </c>
      <c r="H320" s="15">
        <f t="shared" ca="1" si="45"/>
        <v>0.86667556854089511</v>
      </c>
      <c r="I320" s="14">
        <f ca="1">IF(G320&lt;0.05,1,0)*$B$1*$B$2</f>
        <v>0</v>
      </c>
      <c r="J320" s="14">
        <f ca="1">IF(H320&lt;0.05,1,0)*$B$1*$B$2</f>
        <v>0</v>
      </c>
      <c r="K320" s="15">
        <f t="shared" ca="1" si="46"/>
        <v>0</v>
      </c>
      <c r="P320" s="3">
        <v>316</v>
      </c>
      <c r="Q320" s="4">
        <f t="shared" ca="1" si="47"/>
        <v>0.62699543183825313</v>
      </c>
      <c r="R320" s="4">
        <f t="shared" ca="1" si="48"/>
        <v>0.86667556854089511</v>
      </c>
      <c r="S320" s="4">
        <f ca="1">$B$1*Q320*$B$2</f>
        <v>25.079817273530125</v>
      </c>
      <c r="T320" s="4">
        <f ca="1">$B$1*R320*$B$2</f>
        <v>34.667022741635805</v>
      </c>
      <c r="U320" s="7">
        <f t="shared" ca="1" si="49"/>
        <v>59.74684001516593</v>
      </c>
    </row>
    <row r="321" spans="2:21" x14ac:dyDescent="0.3">
      <c r="B321" s="13">
        <f t="shared" ca="1" si="40"/>
        <v>0.60847373672447513</v>
      </c>
      <c r="C321" s="14">
        <f t="shared" ca="1" si="40"/>
        <v>0.51234923768278373</v>
      </c>
      <c r="D321" s="14">
        <f t="shared" ca="1" si="41"/>
        <v>0.27534326671681081</v>
      </c>
      <c r="E321" s="14">
        <f t="shared" ca="1" si="42"/>
        <v>3.0959893555215976E-2</v>
      </c>
      <c r="F321" s="14">
        <f t="shared" ca="1" si="43"/>
        <v>0.26130404477612601</v>
      </c>
      <c r="G321" s="14">
        <f t="shared" ca="1" si="44"/>
        <v>0.60847373672447513</v>
      </c>
      <c r="H321" s="15">
        <f t="shared" ca="1" si="45"/>
        <v>0.51234923768278373</v>
      </c>
      <c r="I321" s="14">
        <f ca="1">IF(G321&lt;0.05,1,0)*$B$1*$B$2</f>
        <v>0</v>
      </c>
      <c r="J321" s="14">
        <f ca="1">IF(H321&lt;0.05,1,0)*$B$1*$B$2</f>
        <v>0</v>
      </c>
      <c r="K321" s="15">
        <f t="shared" ca="1" si="46"/>
        <v>0</v>
      </c>
      <c r="P321" s="3">
        <v>317</v>
      </c>
      <c r="Q321" s="4">
        <f t="shared" ca="1" si="47"/>
        <v>0.60847373672447513</v>
      </c>
      <c r="R321" s="4">
        <f t="shared" ca="1" si="48"/>
        <v>0.51234923768278373</v>
      </c>
      <c r="S321" s="4">
        <f ca="1">$B$1*Q321*$B$2</f>
        <v>24.338949468979006</v>
      </c>
      <c r="T321" s="4">
        <f ca="1">$B$1*R321*$B$2</f>
        <v>20.493969507311348</v>
      </c>
      <c r="U321" s="7">
        <f t="shared" ca="1" si="49"/>
        <v>44.832918976290358</v>
      </c>
    </row>
    <row r="322" spans="2:21" x14ac:dyDescent="0.3">
      <c r="B322" s="13">
        <f t="shared" ca="1" si="40"/>
        <v>0.84343712014472338</v>
      </c>
      <c r="C322" s="14">
        <f t="shared" ca="1" si="40"/>
        <v>0.80212572524066816</v>
      </c>
      <c r="D322" s="14">
        <f t="shared" ca="1" si="41"/>
        <v>1.0086849335109387</v>
      </c>
      <c r="E322" s="14">
        <f t="shared" ca="1" si="42"/>
        <v>0.84923858037619593</v>
      </c>
      <c r="F322" s="14">
        <f t="shared" ca="1" si="43"/>
        <v>1.277990955241423</v>
      </c>
      <c r="G322" s="14">
        <f t="shared" ca="1" si="44"/>
        <v>0.84343712014472316</v>
      </c>
      <c r="H322" s="15">
        <f t="shared" ca="1" si="45"/>
        <v>0.80212572524066816</v>
      </c>
      <c r="I322" s="14">
        <f ca="1">IF(G322&lt;0.05,1,0)*$B$1*$B$2</f>
        <v>0</v>
      </c>
      <c r="J322" s="14">
        <f ca="1">IF(H322&lt;0.05,1,0)*$B$1*$B$2</f>
        <v>0</v>
      </c>
      <c r="K322" s="15">
        <f t="shared" ca="1" si="46"/>
        <v>0</v>
      </c>
      <c r="P322" s="3">
        <v>318</v>
      </c>
      <c r="Q322" s="4">
        <f t="shared" ca="1" si="47"/>
        <v>0.84343712014472316</v>
      </c>
      <c r="R322" s="4">
        <f t="shared" ca="1" si="48"/>
        <v>0.80212572524066816</v>
      </c>
      <c r="S322" s="4">
        <f ca="1">$B$1*Q322*$B$2</f>
        <v>33.737484805788931</v>
      </c>
      <c r="T322" s="4">
        <f ca="1">$B$1*R322*$B$2</f>
        <v>32.08502900962673</v>
      </c>
      <c r="U322" s="7">
        <f t="shared" ca="1" si="49"/>
        <v>65.822513815415661</v>
      </c>
    </row>
    <row r="323" spans="2:21" x14ac:dyDescent="0.3">
      <c r="B323" s="13">
        <f t="shared" ca="1" si="40"/>
        <v>0.82793022690404239</v>
      </c>
      <c r="C323" s="14">
        <f t="shared" ca="1" si="40"/>
        <v>0.38680988272173622</v>
      </c>
      <c r="D323" s="14">
        <f t="shared" ca="1" si="41"/>
        <v>0.94601772402042261</v>
      </c>
      <c r="E323" s="14">
        <f t="shared" ca="1" si="42"/>
        <v>-0.28764334037817763</v>
      </c>
      <c r="F323" s="14">
        <f t="shared" ca="1" si="43"/>
        <v>0.72603512636928547</v>
      </c>
      <c r="G323" s="14">
        <f t="shared" ca="1" si="44"/>
        <v>0.82793022690404272</v>
      </c>
      <c r="H323" s="15">
        <f t="shared" ca="1" si="45"/>
        <v>0.38680988272173622</v>
      </c>
      <c r="I323" s="14">
        <f ca="1">IF(G323&lt;0.05,1,0)*$B$1*$B$2</f>
        <v>0</v>
      </c>
      <c r="J323" s="14">
        <f ca="1">IF(H323&lt;0.05,1,0)*$B$1*$B$2</f>
        <v>0</v>
      </c>
      <c r="K323" s="15">
        <f t="shared" ca="1" si="46"/>
        <v>0</v>
      </c>
      <c r="P323" s="3">
        <v>319</v>
      </c>
      <c r="Q323" s="4">
        <f t="shared" ca="1" si="47"/>
        <v>0.82793022690404272</v>
      </c>
      <c r="R323" s="4">
        <f t="shared" ca="1" si="48"/>
        <v>0.38680988272173622</v>
      </c>
      <c r="S323" s="4">
        <f ca="1">$B$1*Q323*$B$2</f>
        <v>33.117209076161707</v>
      </c>
      <c r="T323" s="4">
        <f ca="1">$B$1*R323*$B$2</f>
        <v>15.47239530886945</v>
      </c>
      <c r="U323" s="7">
        <f t="shared" ca="1" si="49"/>
        <v>48.589604385031159</v>
      </c>
    </row>
    <row r="324" spans="2:21" x14ac:dyDescent="0.3">
      <c r="B324" s="13">
        <f t="shared" ca="1" si="40"/>
        <v>0.55962536156072595</v>
      </c>
      <c r="C324" s="14">
        <f t="shared" ca="1" si="40"/>
        <v>0.23125809737064107</v>
      </c>
      <c r="D324" s="14">
        <f t="shared" ca="1" si="41"/>
        <v>0.15001944132699863</v>
      </c>
      <c r="E324" s="14">
        <f t="shared" ca="1" si="42"/>
        <v>-0.73470989174749834</v>
      </c>
      <c r="F324" s="14">
        <f t="shared" ca="1" si="43"/>
        <v>-0.1852351199004065</v>
      </c>
      <c r="G324" s="14">
        <f t="shared" ca="1" si="44"/>
        <v>0.55962536156072595</v>
      </c>
      <c r="H324" s="15">
        <f t="shared" ca="1" si="45"/>
        <v>0.23125809737064093</v>
      </c>
      <c r="I324" s="14">
        <f ca="1">IF(G324&lt;0.05,1,0)*$B$1*$B$2</f>
        <v>0</v>
      </c>
      <c r="J324" s="14">
        <f ca="1">IF(H324&lt;0.05,1,0)*$B$1*$B$2</f>
        <v>0</v>
      </c>
      <c r="K324" s="15">
        <f t="shared" ca="1" si="46"/>
        <v>0</v>
      </c>
      <c r="P324" s="3">
        <v>320</v>
      </c>
      <c r="Q324" s="4">
        <f t="shared" ca="1" si="47"/>
        <v>0.55962536156072595</v>
      </c>
      <c r="R324" s="4">
        <f t="shared" ca="1" si="48"/>
        <v>0.23125809737064093</v>
      </c>
      <c r="S324" s="4">
        <f ca="1">$B$1*Q324*$B$2</f>
        <v>22.385014462429041</v>
      </c>
      <c r="T324" s="4">
        <f ca="1">$B$1*R324*$B$2</f>
        <v>9.2503238948256374</v>
      </c>
      <c r="U324" s="7">
        <f t="shared" ca="1" si="49"/>
        <v>31.635338357254678</v>
      </c>
    </row>
    <row r="325" spans="2:21" x14ac:dyDescent="0.3">
      <c r="B325" s="13">
        <f t="shared" ca="1" si="40"/>
        <v>0.1527474352709407</v>
      </c>
      <c r="C325" s="14">
        <f t="shared" ca="1" si="40"/>
        <v>0.39008772082794985</v>
      </c>
      <c r="D325" s="14">
        <f t="shared" ca="1" si="41"/>
        <v>-1.0247209593615267</v>
      </c>
      <c r="E325" s="14">
        <f t="shared" ca="1" si="42"/>
        <v>-0.27909041117832634</v>
      </c>
      <c r="F325" s="14">
        <f t="shared" ca="1" si="43"/>
        <v>-1.0439015532691278</v>
      </c>
      <c r="G325" s="14">
        <f t="shared" ca="1" si="44"/>
        <v>0.15274743527094048</v>
      </c>
      <c r="H325" s="15">
        <f t="shared" ca="1" si="45"/>
        <v>0.39008772082794979</v>
      </c>
      <c r="I325" s="14">
        <f ca="1">IF(G325&lt;0.05,1,0)*$B$1*$B$2</f>
        <v>0</v>
      </c>
      <c r="J325" s="14">
        <f ca="1">IF(H325&lt;0.05,1,0)*$B$1*$B$2</f>
        <v>0</v>
      </c>
      <c r="K325" s="15">
        <f t="shared" ca="1" si="46"/>
        <v>0</v>
      </c>
      <c r="P325" s="3">
        <v>321</v>
      </c>
      <c r="Q325" s="4">
        <f t="shared" ca="1" si="47"/>
        <v>0.15274743527094048</v>
      </c>
      <c r="R325" s="4">
        <f t="shared" ca="1" si="48"/>
        <v>0.39008772082794979</v>
      </c>
      <c r="S325" s="4">
        <f ca="1">$B$1*Q325*$B$2</f>
        <v>6.1098974108376192</v>
      </c>
      <c r="T325" s="4">
        <f ca="1">$B$1*R325*$B$2</f>
        <v>15.603508833117992</v>
      </c>
      <c r="U325" s="7">
        <f t="shared" ca="1" si="49"/>
        <v>21.71340624395561</v>
      </c>
    </row>
    <row r="326" spans="2:21" x14ac:dyDescent="0.3">
      <c r="B326" s="13">
        <f t="shared" ref="B326:C389" ca="1" si="50">RAND()</f>
        <v>0.29558178871553509</v>
      </c>
      <c r="C326" s="14">
        <f t="shared" ca="1" si="50"/>
        <v>0.22434401438101725</v>
      </c>
      <c r="D326" s="14">
        <f t="shared" ref="D326:D389" ca="1" si="51">_xlfn.NORM.S.INV(B326)</f>
        <v>-0.53715061987448776</v>
      </c>
      <c r="E326" s="14">
        <f t="shared" ref="E326:E389" ca="1" si="52">_xlfn.NORM.S.INV(C326)</f>
        <v>-0.75760409366163839</v>
      </c>
      <c r="F326" s="14">
        <f t="shared" ref="F326:F389" ca="1" si="53">($Y$5*D326)+(SQRT(1-$Y$5^2)*E326)</f>
        <v>-0.81366752623541938</v>
      </c>
      <c r="G326" s="14">
        <f t="shared" ref="G326:G389" ca="1" si="54">_xlfn.NORM.S.DIST(D326,TRUE)</f>
        <v>0.29558178871553509</v>
      </c>
      <c r="H326" s="15">
        <f t="shared" ref="H326:H389" ca="1" si="55">_xlfn.NORM.S.DIST(E326,TRUE)</f>
        <v>0.2243440143810172</v>
      </c>
      <c r="I326" s="14">
        <f ca="1">IF(G326&lt;0.05,1,0)*$B$1*$B$2</f>
        <v>0</v>
      </c>
      <c r="J326" s="14">
        <f ca="1">IF(H326&lt;0.05,1,0)*$B$1*$B$2</f>
        <v>0</v>
      </c>
      <c r="K326" s="15">
        <f t="shared" ref="K326:K389" ca="1" si="56">I326+J326</f>
        <v>0</v>
      </c>
      <c r="P326" s="3">
        <v>322</v>
      </c>
      <c r="Q326" s="4">
        <f t="shared" ref="Q326:Q389" ca="1" si="57">G326</f>
        <v>0.29558178871553509</v>
      </c>
      <c r="R326" s="4">
        <f t="shared" ref="R326:R389" ca="1" si="58">H326</f>
        <v>0.2243440143810172</v>
      </c>
      <c r="S326" s="4">
        <f ca="1">$B$1*Q326*$B$2</f>
        <v>11.823271548621404</v>
      </c>
      <c r="T326" s="4">
        <f ca="1">$B$1*R326*$B$2</f>
        <v>8.9737605752406875</v>
      </c>
      <c r="U326" s="7">
        <f t="shared" ref="U326:U389" ca="1" si="59">S326+T326</f>
        <v>20.797032123862092</v>
      </c>
    </row>
    <row r="327" spans="2:21" x14ac:dyDescent="0.3">
      <c r="B327" s="13">
        <f t="shared" ca="1" si="50"/>
        <v>0.93050836517694857</v>
      </c>
      <c r="C327" s="14">
        <f t="shared" ca="1" si="50"/>
        <v>0.43352047242367353</v>
      </c>
      <c r="D327" s="14">
        <f t="shared" ca="1" si="51"/>
        <v>1.4795878548364505</v>
      </c>
      <c r="E327" s="14">
        <f t="shared" ca="1" si="52"/>
        <v>-0.16741827740186813</v>
      </c>
      <c r="F327" s="14">
        <f t="shared" ca="1" si="53"/>
        <v>1.2586531341031653</v>
      </c>
      <c r="G327" s="14">
        <f t="shared" ca="1" si="54"/>
        <v>0.93050836517694857</v>
      </c>
      <c r="H327" s="15">
        <f t="shared" ca="1" si="55"/>
        <v>0.43352047242367353</v>
      </c>
      <c r="I327" s="14">
        <f ca="1">IF(G327&lt;0.05,1,0)*$B$1*$B$2</f>
        <v>0</v>
      </c>
      <c r="J327" s="14">
        <f ca="1">IF(H327&lt;0.05,1,0)*$B$1*$B$2</f>
        <v>0</v>
      </c>
      <c r="K327" s="15">
        <f t="shared" ca="1" si="56"/>
        <v>0</v>
      </c>
      <c r="P327" s="3">
        <v>323</v>
      </c>
      <c r="Q327" s="4">
        <f t="shared" ca="1" si="57"/>
        <v>0.93050836517694857</v>
      </c>
      <c r="R327" s="4">
        <f t="shared" ca="1" si="58"/>
        <v>0.43352047242367353</v>
      </c>
      <c r="S327" s="4">
        <f ca="1">$B$1*Q327*$B$2</f>
        <v>37.220334607077945</v>
      </c>
      <c r="T327" s="4">
        <f ca="1">$B$1*R327*$B$2</f>
        <v>17.340818896946942</v>
      </c>
      <c r="U327" s="7">
        <f t="shared" ca="1" si="59"/>
        <v>54.561153504024887</v>
      </c>
    </row>
    <row r="328" spans="2:21" x14ac:dyDescent="0.3">
      <c r="B328" s="13">
        <f t="shared" ca="1" si="50"/>
        <v>0.23791881915907431</v>
      </c>
      <c r="C328" s="14">
        <f t="shared" ca="1" si="50"/>
        <v>0.948625198503663</v>
      </c>
      <c r="D328" s="14">
        <f t="shared" ca="1" si="51"/>
        <v>-0.71301312035875808</v>
      </c>
      <c r="E328" s="14">
        <f t="shared" ca="1" si="52"/>
        <v>1.6316672490542223</v>
      </c>
      <c r="F328" s="14">
        <f t="shared" ca="1" si="53"/>
        <v>6.9515456488354221E-2</v>
      </c>
      <c r="G328" s="14">
        <f t="shared" ca="1" si="54"/>
        <v>0.23791881915907437</v>
      </c>
      <c r="H328" s="15">
        <f t="shared" ca="1" si="55"/>
        <v>0.948625198503663</v>
      </c>
      <c r="I328" s="14">
        <f ca="1">IF(G328&lt;0.05,1,0)*$B$1*$B$2</f>
        <v>0</v>
      </c>
      <c r="J328" s="14">
        <f ca="1">IF(H328&lt;0.05,1,0)*$B$1*$B$2</f>
        <v>0</v>
      </c>
      <c r="K328" s="15">
        <f t="shared" ca="1" si="56"/>
        <v>0</v>
      </c>
      <c r="P328" s="3">
        <v>324</v>
      </c>
      <c r="Q328" s="4">
        <f t="shared" ca="1" si="57"/>
        <v>0.23791881915907437</v>
      </c>
      <c r="R328" s="4">
        <f t="shared" ca="1" si="58"/>
        <v>0.948625198503663</v>
      </c>
      <c r="S328" s="4">
        <f ca="1">$B$1*Q328*$B$2</f>
        <v>9.5167527663629752</v>
      </c>
      <c r="T328" s="4">
        <f ca="1">$B$1*R328*$B$2</f>
        <v>37.945007940146517</v>
      </c>
      <c r="U328" s="7">
        <f t="shared" ca="1" si="59"/>
        <v>47.461760706509494</v>
      </c>
    </row>
    <row r="329" spans="2:21" x14ac:dyDescent="0.3">
      <c r="B329" s="13">
        <f t="shared" ca="1" si="50"/>
        <v>0.43056857089859379</v>
      </c>
      <c r="C329" s="14">
        <f t="shared" ca="1" si="50"/>
        <v>0.91547128350481433</v>
      </c>
      <c r="D329" s="14">
        <f t="shared" ca="1" si="51"/>
        <v>-0.1749268124580956</v>
      </c>
      <c r="E329" s="14">
        <f t="shared" ca="1" si="52"/>
        <v>1.3752387677603504</v>
      </c>
      <c r="F329" s="14">
        <f t="shared" ca="1" si="53"/>
        <v>0.44201854997839068</v>
      </c>
      <c r="G329" s="14">
        <f t="shared" ca="1" si="54"/>
        <v>0.43056857089859379</v>
      </c>
      <c r="H329" s="15">
        <f t="shared" ca="1" si="55"/>
        <v>0.91547128350481444</v>
      </c>
      <c r="I329" s="14">
        <f ca="1">IF(G329&lt;0.05,1,0)*$B$1*$B$2</f>
        <v>0</v>
      </c>
      <c r="J329" s="14">
        <f ca="1">IF(H329&lt;0.05,1,0)*$B$1*$B$2</f>
        <v>0</v>
      </c>
      <c r="K329" s="15">
        <f t="shared" ca="1" si="56"/>
        <v>0</v>
      </c>
      <c r="P329" s="3">
        <v>325</v>
      </c>
      <c r="Q329" s="4">
        <f t="shared" ca="1" si="57"/>
        <v>0.43056857089859379</v>
      </c>
      <c r="R329" s="4">
        <f t="shared" ca="1" si="58"/>
        <v>0.91547128350481444</v>
      </c>
      <c r="S329" s="4">
        <f ca="1">$B$1*Q329*$B$2</f>
        <v>17.222742835943752</v>
      </c>
      <c r="T329" s="4">
        <f ca="1">$B$1*R329*$B$2</f>
        <v>36.618851340192577</v>
      </c>
      <c r="U329" s="7">
        <f t="shared" ca="1" si="59"/>
        <v>53.841594176136326</v>
      </c>
    </row>
    <row r="330" spans="2:21" x14ac:dyDescent="0.3">
      <c r="B330" s="13">
        <f t="shared" ca="1" si="50"/>
        <v>0.64817545134587184</v>
      </c>
      <c r="C330" s="14">
        <f t="shared" ca="1" si="50"/>
        <v>0.40344186323880737</v>
      </c>
      <c r="D330" s="14">
        <f t="shared" ca="1" si="51"/>
        <v>0.38039921491366918</v>
      </c>
      <c r="E330" s="14">
        <f t="shared" ca="1" si="52"/>
        <v>-0.24444818589441403</v>
      </c>
      <c r="F330" s="14">
        <f t="shared" ca="1" si="53"/>
        <v>0.23580679949774275</v>
      </c>
      <c r="G330" s="14">
        <f t="shared" ca="1" si="54"/>
        <v>0.64817545134587184</v>
      </c>
      <c r="H330" s="15">
        <f t="shared" ca="1" si="55"/>
        <v>0.40344186323880737</v>
      </c>
      <c r="I330" s="14">
        <f ca="1">IF(G330&lt;0.05,1,0)*$B$1*$B$2</f>
        <v>0</v>
      </c>
      <c r="J330" s="14">
        <f ca="1">IF(H330&lt;0.05,1,0)*$B$1*$B$2</f>
        <v>0</v>
      </c>
      <c r="K330" s="15">
        <f t="shared" ca="1" si="56"/>
        <v>0</v>
      </c>
      <c r="P330" s="3">
        <v>326</v>
      </c>
      <c r="Q330" s="4">
        <f t="shared" ca="1" si="57"/>
        <v>0.64817545134587184</v>
      </c>
      <c r="R330" s="4">
        <f t="shared" ca="1" si="58"/>
        <v>0.40344186323880737</v>
      </c>
      <c r="S330" s="4">
        <f ca="1">$B$1*Q330*$B$2</f>
        <v>25.927018053834871</v>
      </c>
      <c r="T330" s="4">
        <f ca="1">$B$1*R330*$B$2</f>
        <v>16.137674529552296</v>
      </c>
      <c r="U330" s="7">
        <f t="shared" ca="1" si="59"/>
        <v>42.064692583387171</v>
      </c>
    </row>
    <row r="331" spans="2:21" x14ac:dyDescent="0.3">
      <c r="B331" s="13">
        <f t="shared" ca="1" si="50"/>
        <v>0.10743891985987941</v>
      </c>
      <c r="C331" s="14">
        <f t="shared" ca="1" si="50"/>
        <v>0.6564473041211385</v>
      </c>
      <c r="D331" s="14">
        <f t="shared" ca="1" si="51"/>
        <v>-1.2402637931792553</v>
      </c>
      <c r="E331" s="14">
        <f t="shared" ca="1" si="52"/>
        <v>0.40278636617699043</v>
      </c>
      <c r="F331" s="14">
        <f t="shared" ca="1" si="53"/>
        <v>-0.94066690726118285</v>
      </c>
      <c r="G331" s="14">
        <f t="shared" ca="1" si="54"/>
        <v>0.1074389198598793</v>
      </c>
      <c r="H331" s="15">
        <f t="shared" ca="1" si="55"/>
        <v>0.65644730412113861</v>
      </c>
      <c r="I331" s="14">
        <f ca="1">IF(G331&lt;0.05,1,0)*$B$1*$B$2</f>
        <v>0</v>
      </c>
      <c r="J331" s="14">
        <f ca="1">IF(H331&lt;0.05,1,0)*$B$1*$B$2</f>
        <v>0</v>
      </c>
      <c r="K331" s="15">
        <f t="shared" ca="1" si="56"/>
        <v>0</v>
      </c>
      <c r="P331" s="3">
        <v>327</v>
      </c>
      <c r="Q331" s="4">
        <f t="shared" ca="1" si="57"/>
        <v>0.1074389198598793</v>
      </c>
      <c r="R331" s="4">
        <f t="shared" ca="1" si="58"/>
        <v>0.65644730412113861</v>
      </c>
      <c r="S331" s="4">
        <f ca="1">$B$1*Q331*$B$2</f>
        <v>4.297556794395172</v>
      </c>
      <c r="T331" s="4">
        <f ca="1">$B$1*R331*$B$2</f>
        <v>26.257892164845543</v>
      </c>
      <c r="U331" s="7">
        <f t="shared" ca="1" si="59"/>
        <v>30.555448959240714</v>
      </c>
    </row>
    <row r="332" spans="2:21" x14ac:dyDescent="0.3">
      <c r="B332" s="13">
        <f t="shared" ca="1" si="50"/>
        <v>0.96168274350368599</v>
      </c>
      <c r="C332" s="14">
        <f t="shared" ca="1" si="50"/>
        <v>0.98132821285137795</v>
      </c>
      <c r="D332" s="14">
        <f t="shared" ca="1" si="51"/>
        <v>1.7705563081052915</v>
      </c>
      <c r="E332" s="14">
        <f t="shared" ca="1" si="52"/>
        <v>2.081987907307417</v>
      </c>
      <c r="F332" s="14">
        <f t="shared" ca="1" si="53"/>
        <v>2.5010181662574382</v>
      </c>
      <c r="G332" s="14">
        <f t="shared" ca="1" si="54"/>
        <v>0.96168274350368599</v>
      </c>
      <c r="H332" s="15">
        <f t="shared" ca="1" si="55"/>
        <v>0.98132821285137795</v>
      </c>
      <c r="I332" s="14">
        <f ca="1">IF(G332&lt;0.05,1,0)*$B$1*$B$2</f>
        <v>0</v>
      </c>
      <c r="J332" s="14">
        <f ca="1">IF(H332&lt;0.05,1,0)*$B$1*$B$2</f>
        <v>0</v>
      </c>
      <c r="K332" s="15">
        <f t="shared" ca="1" si="56"/>
        <v>0</v>
      </c>
      <c r="P332" s="3">
        <v>328</v>
      </c>
      <c r="Q332" s="4">
        <f t="shared" ca="1" si="57"/>
        <v>0.96168274350368599</v>
      </c>
      <c r="R332" s="4">
        <f t="shared" ca="1" si="58"/>
        <v>0.98132821285137795</v>
      </c>
      <c r="S332" s="4">
        <f ca="1">$B$1*Q332*$B$2</f>
        <v>38.467309740147442</v>
      </c>
      <c r="T332" s="4">
        <f ca="1">$B$1*R332*$B$2</f>
        <v>39.25312851405512</v>
      </c>
      <c r="U332" s="7">
        <f t="shared" ca="1" si="59"/>
        <v>77.720438254202563</v>
      </c>
    </row>
    <row r="333" spans="2:21" x14ac:dyDescent="0.3">
      <c r="B333" s="13">
        <f t="shared" ca="1" si="50"/>
        <v>0.20867322906356334</v>
      </c>
      <c r="C333" s="14">
        <f t="shared" ca="1" si="50"/>
        <v>4.2849535737942146E-2</v>
      </c>
      <c r="D333" s="14">
        <f t="shared" ca="1" si="51"/>
        <v>-0.81103345606118016</v>
      </c>
      <c r="E333" s="14">
        <f t="shared" ca="1" si="52"/>
        <v>-1.7185350255265168</v>
      </c>
      <c r="F333" s="14">
        <f t="shared" ca="1" si="53"/>
        <v>-1.4790221611755801</v>
      </c>
      <c r="G333" s="14">
        <f t="shared" ca="1" si="54"/>
        <v>0.20867322906356336</v>
      </c>
      <c r="H333" s="15">
        <f t="shared" ca="1" si="55"/>
        <v>4.2849535737942181E-2</v>
      </c>
      <c r="I333" s="14">
        <f ca="1">IF(G333&lt;0.05,1,0)*$B$1*$B$2</f>
        <v>0</v>
      </c>
      <c r="J333" s="14">
        <f ca="1">IF(H333&lt;0.05,1,0)*$B$1*$B$2</f>
        <v>40</v>
      </c>
      <c r="K333" s="15">
        <f t="shared" ca="1" si="56"/>
        <v>40</v>
      </c>
      <c r="P333" s="3">
        <v>329</v>
      </c>
      <c r="Q333" s="4">
        <f t="shared" ca="1" si="57"/>
        <v>0.20867322906356336</v>
      </c>
      <c r="R333" s="4">
        <f t="shared" ca="1" si="58"/>
        <v>4.2849535737942181E-2</v>
      </c>
      <c r="S333" s="4">
        <f ca="1">$B$1*Q333*$B$2</f>
        <v>8.3469291625425353</v>
      </c>
      <c r="T333" s="4">
        <f ca="1">$B$1*R333*$B$2</f>
        <v>1.7139814295176874</v>
      </c>
      <c r="U333" s="7">
        <f t="shared" ca="1" si="59"/>
        <v>10.060910592060223</v>
      </c>
    </row>
    <row r="334" spans="2:21" x14ac:dyDescent="0.3">
      <c r="B334" s="13">
        <f t="shared" ca="1" si="50"/>
        <v>0.36198722123489624</v>
      </c>
      <c r="C334" s="14">
        <f t="shared" ca="1" si="50"/>
        <v>0.91370171238679254</v>
      </c>
      <c r="D334" s="14">
        <f t="shared" ca="1" si="51"/>
        <v>-0.35315206440898395</v>
      </c>
      <c r="E334" s="14">
        <f t="shared" ca="1" si="52"/>
        <v>1.3639078330305823</v>
      </c>
      <c r="F334" s="14">
        <f t="shared" ca="1" si="53"/>
        <v>0.27667678328029977</v>
      </c>
      <c r="G334" s="14">
        <f t="shared" ca="1" si="54"/>
        <v>0.36198722123489624</v>
      </c>
      <c r="H334" s="15">
        <f t="shared" ca="1" si="55"/>
        <v>0.91370171238679254</v>
      </c>
      <c r="I334" s="14">
        <f ca="1">IF(G334&lt;0.05,1,0)*$B$1*$B$2</f>
        <v>0</v>
      </c>
      <c r="J334" s="14">
        <f ca="1">IF(H334&lt;0.05,1,0)*$B$1*$B$2</f>
        <v>0</v>
      </c>
      <c r="K334" s="15">
        <f t="shared" ca="1" si="56"/>
        <v>0</v>
      </c>
      <c r="P334" s="3">
        <v>330</v>
      </c>
      <c r="Q334" s="4">
        <f t="shared" ca="1" si="57"/>
        <v>0.36198722123489624</v>
      </c>
      <c r="R334" s="4">
        <f t="shared" ca="1" si="58"/>
        <v>0.91370171238679254</v>
      </c>
      <c r="S334" s="4">
        <f ca="1">$B$1*Q334*$B$2</f>
        <v>14.47948884939585</v>
      </c>
      <c r="T334" s="4">
        <f ca="1">$B$1*R334*$B$2</f>
        <v>36.548068495471703</v>
      </c>
      <c r="U334" s="7">
        <f t="shared" ca="1" si="59"/>
        <v>51.027557344867553</v>
      </c>
    </row>
    <row r="335" spans="2:21" x14ac:dyDescent="0.3">
      <c r="B335" s="13">
        <f t="shared" ca="1" si="50"/>
        <v>0.68949363036581302</v>
      </c>
      <c r="C335" s="14">
        <f t="shared" ca="1" si="50"/>
        <v>0.37964963474526459</v>
      </c>
      <c r="D335" s="14">
        <f t="shared" ca="1" si="51"/>
        <v>0.4944155429369802</v>
      </c>
      <c r="E335" s="14">
        <f t="shared" ca="1" si="52"/>
        <v>-0.30640110189253877</v>
      </c>
      <c r="F335" s="14">
        <f t="shared" ca="1" si="53"/>
        <v>0.3114168447093737</v>
      </c>
      <c r="G335" s="14">
        <f t="shared" ca="1" si="54"/>
        <v>0.68949363036581313</v>
      </c>
      <c r="H335" s="15">
        <f t="shared" ca="1" si="55"/>
        <v>0.37964963474526459</v>
      </c>
      <c r="I335" s="14">
        <f ca="1">IF(G335&lt;0.05,1,0)*$B$1*$B$2</f>
        <v>0</v>
      </c>
      <c r="J335" s="14">
        <f ca="1">IF(H335&lt;0.05,1,0)*$B$1*$B$2</f>
        <v>0</v>
      </c>
      <c r="K335" s="15">
        <f t="shared" ca="1" si="56"/>
        <v>0</v>
      </c>
      <c r="P335" s="3">
        <v>331</v>
      </c>
      <c r="Q335" s="4">
        <f t="shared" ca="1" si="57"/>
        <v>0.68949363036581313</v>
      </c>
      <c r="R335" s="4">
        <f t="shared" ca="1" si="58"/>
        <v>0.37964963474526459</v>
      </c>
      <c r="S335" s="4">
        <f ca="1">$B$1*Q335*$B$2</f>
        <v>27.579745214632528</v>
      </c>
      <c r="T335" s="4">
        <f ca="1">$B$1*R335*$B$2</f>
        <v>15.185985389810583</v>
      </c>
      <c r="U335" s="7">
        <f t="shared" ca="1" si="59"/>
        <v>42.765730604443107</v>
      </c>
    </row>
    <row r="336" spans="2:21" x14ac:dyDescent="0.3">
      <c r="B336" s="13">
        <f t="shared" ca="1" si="50"/>
        <v>0.34976872354985211</v>
      </c>
      <c r="C336" s="14">
        <f t="shared" ca="1" si="50"/>
        <v>0.61092084318315143</v>
      </c>
      <c r="D336" s="14">
        <f t="shared" ca="1" si="51"/>
        <v>-0.38594493971524463</v>
      </c>
      <c r="E336" s="14">
        <f t="shared" ca="1" si="52"/>
        <v>0.28171987477232718</v>
      </c>
      <c r="F336" s="14">
        <f t="shared" ca="1" si="53"/>
        <v>-0.22455159929176938</v>
      </c>
      <c r="G336" s="14">
        <f t="shared" ca="1" si="54"/>
        <v>0.34976872354985211</v>
      </c>
      <c r="H336" s="15">
        <f t="shared" ca="1" si="55"/>
        <v>0.61092084318315143</v>
      </c>
      <c r="I336" s="14">
        <f ca="1">IF(G336&lt;0.05,1,0)*$B$1*$B$2</f>
        <v>0</v>
      </c>
      <c r="J336" s="14">
        <f ca="1">IF(H336&lt;0.05,1,0)*$B$1*$B$2</f>
        <v>0</v>
      </c>
      <c r="K336" s="15">
        <f t="shared" ca="1" si="56"/>
        <v>0</v>
      </c>
      <c r="P336" s="3">
        <v>332</v>
      </c>
      <c r="Q336" s="4">
        <f t="shared" ca="1" si="57"/>
        <v>0.34976872354985211</v>
      </c>
      <c r="R336" s="4">
        <f t="shared" ca="1" si="58"/>
        <v>0.61092084318315143</v>
      </c>
      <c r="S336" s="4">
        <f ca="1">$B$1*Q336*$B$2</f>
        <v>13.990748941994084</v>
      </c>
      <c r="T336" s="4">
        <f ca="1">$B$1*R336*$B$2</f>
        <v>24.436833727326061</v>
      </c>
      <c r="U336" s="7">
        <f t="shared" ca="1" si="59"/>
        <v>38.427582669320145</v>
      </c>
    </row>
    <row r="337" spans="2:21" x14ac:dyDescent="0.3">
      <c r="B337" s="13">
        <f t="shared" ca="1" si="50"/>
        <v>0.47230792100715246</v>
      </c>
      <c r="C337" s="14">
        <f t="shared" ca="1" si="50"/>
        <v>0.31233807097026312</v>
      </c>
      <c r="D337" s="14">
        <f t="shared" ca="1" si="51"/>
        <v>-6.9469584731782039E-2</v>
      </c>
      <c r="E337" s="14">
        <f t="shared" ca="1" si="52"/>
        <v>-0.48923385750659459</v>
      </c>
      <c r="F337" s="14">
        <f t="shared" ca="1" si="53"/>
        <v>-0.27577472072158615</v>
      </c>
      <c r="G337" s="14">
        <f t="shared" ca="1" si="54"/>
        <v>0.47230792100715246</v>
      </c>
      <c r="H337" s="15">
        <f t="shared" ca="1" si="55"/>
        <v>0.31233807097026306</v>
      </c>
      <c r="I337" s="14">
        <f ca="1">IF(G337&lt;0.05,1,0)*$B$1*$B$2</f>
        <v>0</v>
      </c>
      <c r="J337" s="14">
        <f ca="1">IF(H337&lt;0.05,1,0)*$B$1*$B$2</f>
        <v>0</v>
      </c>
      <c r="K337" s="15">
        <f t="shared" ca="1" si="56"/>
        <v>0</v>
      </c>
      <c r="P337" s="3">
        <v>333</v>
      </c>
      <c r="Q337" s="4">
        <f t="shared" ca="1" si="57"/>
        <v>0.47230792100715246</v>
      </c>
      <c r="R337" s="4">
        <f t="shared" ca="1" si="58"/>
        <v>0.31233807097026306</v>
      </c>
      <c r="S337" s="4">
        <f ca="1">$B$1*Q337*$B$2</f>
        <v>18.892316840286099</v>
      </c>
      <c r="T337" s="4">
        <f ca="1">$B$1*R337*$B$2</f>
        <v>12.493522838810524</v>
      </c>
      <c r="U337" s="7">
        <f t="shared" ca="1" si="59"/>
        <v>31.385839679096623</v>
      </c>
    </row>
    <row r="338" spans="2:21" x14ac:dyDescent="0.3">
      <c r="B338" s="13">
        <f t="shared" ca="1" si="50"/>
        <v>0.65915224989318499</v>
      </c>
      <c r="C338" s="14">
        <f t="shared" ca="1" si="50"/>
        <v>0.11584468287419436</v>
      </c>
      <c r="D338" s="14">
        <f t="shared" ca="1" si="51"/>
        <v>0.41015056742454975</v>
      </c>
      <c r="E338" s="14">
        <f t="shared" ca="1" si="52"/>
        <v>-1.1960184333862625</v>
      </c>
      <c r="F338" s="14">
        <f t="shared" ca="1" si="53"/>
        <v>-0.15219683789216026</v>
      </c>
      <c r="G338" s="14">
        <f t="shared" ca="1" si="54"/>
        <v>0.65915224989318499</v>
      </c>
      <c r="H338" s="15">
        <f t="shared" ca="1" si="55"/>
        <v>0.11584468287419435</v>
      </c>
      <c r="I338" s="14">
        <f ca="1">IF(G338&lt;0.05,1,0)*$B$1*$B$2</f>
        <v>0</v>
      </c>
      <c r="J338" s="14">
        <f ca="1">IF(H338&lt;0.05,1,0)*$B$1*$B$2</f>
        <v>0</v>
      </c>
      <c r="K338" s="15">
        <f t="shared" ca="1" si="56"/>
        <v>0</v>
      </c>
      <c r="P338" s="3">
        <v>334</v>
      </c>
      <c r="Q338" s="4">
        <f t="shared" ca="1" si="57"/>
        <v>0.65915224989318499</v>
      </c>
      <c r="R338" s="4">
        <f t="shared" ca="1" si="58"/>
        <v>0.11584468287419435</v>
      </c>
      <c r="S338" s="4">
        <f ca="1">$B$1*Q338*$B$2</f>
        <v>26.366089995727403</v>
      </c>
      <c r="T338" s="4">
        <f ca="1">$B$1*R338*$B$2</f>
        <v>4.6337873149677744</v>
      </c>
      <c r="U338" s="7">
        <f t="shared" ca="1" si="59"/>
        <v>30.999877310695176</v>
      </c>
    </row>
    <row r="339" spans="2:21" x14ac:dyDescent="0.3">
      <c r="B339" s="13">
        <f t="shared" ca="1" si="50"/>
        <v>0.7407187907404631</v>
      </c>
      <c r="C339" s="14">
        <f t="shared" ca="1" si="50"/>
        <v>0.48929857414585731</v>
      </c>
      <c r="D339" s="14">
        <f t="shared" ca="1" si="51"/>
        <v>0.64556298037911453</v>
      </c>
      <c r="E339" s="14">
        <f t="shared" ca="1" si="52"/>
        <v>-2.6827714379218624E-2</v>
      </c>
      <c r="F339" s="14">
        <f t="shared" ca="1" si="53"/>
        <v>0.5693127527546844</v>
      </c>
      <c r="G339" s="14">
        <f t="shared" ca="1" si="54"/>
        <v>0.7407187907404631</v>
      </c>
      <c r="H339" s="15">
        <f t="shared" ca="1" si="55"/>
        <v>0.48929857414585731</v>
      </c>
      <c r="I339" s="14">
        <f ca="1">IF(G339&lt;0.05,1,0)*$B$1*$B$2</f>
        <v>0</v>
      </c>
      <c r="J339" s="14">
        <f ca="1">IF(H339&lt;0.05,1,0)*$B$1*$B$2</f>
        <v>0</v>
      </c>
      <c r="K339" s="15">
        <f t="shared" ca="1" si="56"/>
        <v>0</v>
      </c>
      <c r="P339" s="3">
        <v>335</v>
      </c>
      <c r="Q339" s="4">
        <f t="shared" ca="1" si="57"/>
        <v>0.7407187907404631</v>
      </c>
      <c r="R339" s="4">
        <f t="shared" ca="1" si="58"/>
        <v>0.48929857414585731</v>
      </c>
      <c r="S339" s="4">
        <f ca="1">$B$1*Q339*$B$2</f>
        <v>29.628751629618524</v>
      </c>
      <c r="T339" s="4">
        <f ca="1">$B$1*R339*$B$2</f>
        <v>19.571942965834296</v>
      </c>
      <c r="U339" s="7">
        <f t="shared" ca="1" si="59"/>
        <v>49.200694595452816</v>
      </c>
    </row>
    <row r="340" spans="2:21" x14ac:dyDescent="0.3">
      <c r="B340" s="13">
        <f t="shared" ca="1" si="50"/>
        <v>0.64520072199726219</v>
      </c>
      <c r="C340" s="14">
        <f t="shared" ca="1" si="50"/>
        <v>0.80238718424934008</v>
      </c>
      <c r="D340" s="14">
        <f t="shared" ca="1" si="51"/>
        <v>0.37239529564093926</v>
      </c>
      <c r="E340" s="14">
        <f t="shared" ca="1" si="52"/>
        <v>0.85017889876660657</v>
      </c>
      <c r="F340" s="14">
        <f t="shared" ca="1" si="53"/>
        <v>0.70574015644227872</v>
      </c>
      <c r="G340" s="14">
        <f t="shared" ca="1" si="54"/>
        <v>0.64520072199726219</v>
      </c>
      <c r="H340" s="15">
        <f t="shared" ca="1" si="55"/>
        <v>0.8023871842493403</v>
      </c>
      <c r="I340" s="14">
        <f ca="1">IF(G340&lt;0.05,1,0)*$B$1*$B$2</f>
        <v>0</v>
      </c>
      <c r="J340" s="14">
        <f ca="1">IF(H340&lt;0.05,1,0)*$B$1*$B$2</f>
        <v>0</v>
      </c>
      <c r="K340" s="15">
        <f t="shared" ca="1" si="56"/>
        <v>0</v>
      </c>
      <c r="P340" s="3">
        <v>336</v>
      </c>
      <c r="Q340" s="4">
        <f t="shared" ca="1" si="57"/>
        <v>0.64520072199726219</v>
      </c>
      <c r="R340" s="4">
        <f t="shared" ca="1" si="58"/>
        <v>0.8023871842493403</v>
      </c>
      <c r="S340" s="4">
        <f ca="1">$B$1*Q340*$B$2</f>
        <v>25.808028879890486</v>
      </c>
      <c r="T340" s="4">
        <f ca="1">$B$1*R340*$B$2</f>
        <v>32.095487369973618</v>
      </c>
      <c r="U340" s="7">
        <f t="shared" ca="1" si="59"/>
        <v>57.903516249864104</v>
      </c>
    </row>
    <row r="341" spans="2:21" x14ac:dyDescent="0.3">
      <c r="B341" s="13">
        <f t="shared" ca="1" si="50"/>
        <v>1.0711116997037973E-2</v>
      </c>
      <c r="C341" s="14">
        <f t="shared" ca="1" si="50"/>
        <v>0.67034114843169923</v>
      </c>
      <c r="D341" s="14">
        <f t="shared" ca="1" si="51"/>
        <v>-2.3004589213885462</v>
      </c>
      <c r="E341" s="14">
        <f t="shared" ca="1" si="52"/>
        <v>0.44085537303679401</v>
      </c>
      <c r="F341" s="14">
        <f t="shared" ca="1" si="53"/>
        <v>-1.8782486272712609</v>
      </c>
      <c r="G341" s="14">
        <f t="shared" ca="1" si="54"/>
        <v>1.0711116997037976E-2</v>
      </c>
      <c r="H341" s="15">
        <f t="shared" ca="1" si="55"/>
        <v>0.67034114843169923</v>
      </c>
      <c r="I341" s="14">
        <f ca="1">IF(G341&lt;0.05,1,0)*$B$1*$B$2</f>
        <v>40</v>
      </c>
      <c r="J341" s="14">
        <f ca="1">IF(H341&lt;0.05,1,0)*$B$1*$B$2</f>
        <v>0</v>
      </c>
      <c r="K341" s="15">
        <f t="shared" ca="1" si="56"/>
        <v>40</v>
      </c>
      <c r="P341" s="3">
        <v>337</v>
      </c>
      <c r="Q341" s="4">
        <f t="shared" ca="1" si="57"/>
        <v>1.0711116997037976E-2</v>
      </c>
      <c r="R341" s="4">
        <f t="shared" ca="1" si="58"/>
        <v>0.67034114843169923</v>
      </c>
      <c r="S341" s="4">
        <f ca="1">$B$1*Q341*$B$2</f>
        <v>0.42844467988151913</v>
      </c>
      <c r="T341" s="4">
        <f ca="1">$B$1*R341*$B$2</f>
        <v>26.813645937267967</v>
      </c>
      <c r="U341" s="7">
        <f t="shared" ca="1" si="59"/>
        <v>27.242090617149486</v>
      </c>
    </row>
    <row r="342" spans="2:21" x14ac:dyDescent="0.3">
      <c r="B342" s="13">
        <f t="shared" ca="1" si="50"/>
        <v>0.49616615859716395</v>
      </c>
      <c r="C342" s="14">
        <f t="shared" ca="1" si="50"/>
        <v>0.96384344389984766</v>
      </c>
      <c r="D342" s="14">
        <f t="shared" ca="1" si="51"/>
        <v>-9.6101631835660613E-3</v>
      </c>
      <c r="E342" s="14">
        <f t="shared" ca="1" si="52"/>
        <v>1.7971417938862841</v>
      </c>
      <c r="F342" s="14">
        <f t="shared" ca="1" si="53"/>
        <v>0.77470679981116186</v>
      </c>
      <c r="G342" s="14">
        <f t="shared" ca="1" si="54"/>
        <v>0.49616615859716395</v>
      </c>
      <c r="H342" s="15">
        <f t="shared" ca="1" si="55"/>
        <v>0.96384344389984766</v>
      </c>
      <c r="I342" s="14">
        <f ca="1">IF(G342&lt;0.05,1,0)*$B$1*$B$2</f>
        <v>0</v>
      </c>
      <c r="J342" s="14">
        <f ca="1">IF(H342&lt;0.05,1,0)*$B$1*$B$2</f>
        <v>0</v>
      </c>
      <c r="K342" s="15">
        <f t="shared" ca="1" si="56"/>
        <v>0</v>
      </c>
      <c r="P342" s="3">
        <v>338</v>
      </c>
      <c r="Q342" s="4">
        <f t="shared" ca="1" si="57"/>
        <v>0.49616615859716395</v>
      </c>
      <c r="R342" s="4">
        <f t="shared" ca="1" si="58"/>
        <v>0.96384344389984766</v>
      </c>
      <c r="S342" s="4">
        <f ca="1">$B$1*Q342*$B$2</f>
        <v>19.846646343886562</v>
      </c>
      <c r="T342" s="4">
        <f ca="1">$B$1*R342*$B$2</f>
        <v>38.553737755993907</v>
      </c>
      <c r="U342" s="7">
        <f t="shared" ca="1" si="59"/>
        <v>58.400384099880469</v>
      </c>
    </row>
    <row r="343" spans="2:21" x14ac:dyDescent="0.3">
      <c r="B343" s="13">
        <f t="shared" ca="1" si="50"/>
        <v>0.3098515901896699</v>
      </c>
      <c r="C343" s="14">
        <f t="shared" ca="1" si="50"/>
        <v>0.79427787159009589</v>
      </c>
      <c r="D343" s="14">
        <f t="shared" ca="1" si="51"/>
        <v>-0.49627106169161028</v>
      </c>
      <c r="E343" s="14">
        <f t="shared" ca="1" si="52"/>
        <v>0.82135470327188553</v>
      </c>
      <c r="F343" s="14">
        <f t="shared" ca="1" si="53"/>
        <v>-8.8623740686050834E-2</v>
      </c>
      <c r="G343" s="14">
        <f t="shared" ca="1" si="54"/>
        <v>0.30985159018966979</v>
      </c>
      <c r="H343" s="15">
        <f t="shared" ca="1" si="55"/>
        <v>0.79427787159009622</v>
      </c>
      <c r="I343" s="14">
        <f ca="1">IF(G343&lt;0.05,1,0)*$B$1*$B$2</f>
        <v>0</v>
      </c>
      <c r="J343" s="14">
        <f ca="1">IF(H343&lt;0.05,1,0)*$B$1*$B$2</f>
        <v>0</v>
      </c>
      <c r="K343" s="15">
        <f t="shared" ca="1" si="56"/>
        <v>0</v>
      </c>
      <c r="P343" s="3">
        <v>339</v>
      </c>
      <c r="Q343" s="4">
        <f t="shared" ca="1" si="57"/>
        <v>0.30985159018966979</v>
      </c>
      <c r="R343" s="4">
        <f t="shared" ca="1" si="58"/>
        <v>0.79427787159009622</v>
      </c>
      <c r="S343" s="4">
        <f ca="1">$B$1*Q343*$B$2</f>
        <v>12.394063607586792</v>
      </c>
      <c r="T343" s="4">
        <f ca="1">$B$1*R343*$B$2</f>
        <v>31.771114863603852</v>
      </c>
      <c r="U343" s="7">
        <f t="shared" ca="1" si="59"/>
        <v>44.165178471190643</v>
      </c>
    </row>
    <row r="344" spans="2:21" x14ac:dyDescent="0.3">
      <c r="B344" s="13">
        <f t="shared" ca="1" si="50"/>
        <v>0.62835684758382881</v>
      </c>
      <c r="C344" s="14">
        <f t="shared" ca="1" si="50"/>
        <v>0.12230785459994686</v>
      </c>
      <c r="D344" s="14">
        <f t="shared" ca="1" si="51"/>
        <v>0.32750454645335553</v>
      </c>
      <c r="E344" s="14">
        <f t="shared" ca="1" si="52"/>
        <v>-1.1635271007413654</v>
      </c>
      <c r="F344" s="14">
        <f t="shared" ca="1" si="53"/>
        <v>-0.21241561321222796</v>
      </c>
      <c r="G344" s="14">
        <f t="shared" ca="1" si="54"/>
        <v>0.62835684758382881</v>
      </c>
      <c r="H344" s="15">
        <f t="shared" ca="1" si="55"/>
        <v>0.12230785459994684</v>
      </c>
      <c r="I344" s="14">
        <f ca="1">IF(G344&lt;0.05,1,0)*$B$1*$B$2</f>
        <v>0</v>
      </c>
      <c r="J344" s="14">
        <f ca="1">IF(H344&lt;0.05,1,0)*$B$1*$B$2</f>
        <v>0</v>
      </c>
      <c r="K344" s="15">
        <f t="shared" ca="1" si="56"/>
        <v>0</v>
      </c>
      <c r="P344" s="3">
        <v>340</v>
      </c>
      <c r="Q344" s="4">
        <f t="shared" ca="1" si="57"/>
        <v>0.62835684758382881</v>
      </c>
      <c r="R344" s="4">
        <f t="shared" ca="1" si="58"/>
        <v>0.12230785459994684</v>
      </c>
      <c r="S344" s="4">
        <f ca="1">$B$1*Q344*$B$2</f>
        <v>25.134273903353154</v>
      </c>
      <c r="T344" s="4">
        <f ca="1">$B$1*R344*$B$2</f>
        <v>4.8923141839978737</v>
      </c>
      <c r="U344" s="7">
        <f t="shared" ca="1" si="59"/>
        <v>30.02658808735103</v>
      </c>
    </row>
    <row r="345" spans="2:21" x14ac:dyDescent="0.3">
      <c r="B345" s="13">
        <f t="shared" ca="1" si="50"/>
        <v>0.3015797793889311</v>
      </c>
      <c r="C345" s="14">
        <f t="shared" ca="1" si="50"/>
        <v>3.893585328345206E-2</v>
      </c>
      <c r="D345" s="14">
        <f t="shared" ca="1" si="51"/>
        <v>-0.51986229223848635</v>
      </c>
      <c r="E345" s="14">
        <f t="shared" ca="1" si="52"/>
        <v>-1.7631706841260133</v>
      </c>
      <c r="F345" s="14">
        <f t="shared" ca="1" si="53"/>
        <v>-1.2364243462465141</v>
      </c>
      <c r="G345" s="14">
        <f t="shared" ca="1" si="54"/>
        <v>0.3015797793889311</v>
      </c>
      <c r="H345" s="15">
        <f t="shared" ca="1" si="55"/>
        <v>3.8935853283452067E-2</v>
      </c>
      <c r="I345" s="14">
        <f ca="1">IF(G345&lt;0.05,1,0)*$B$1*$B$2</f>
        <v>0</v>
      </c>
      <c r="J345" s="14">
        <f ca="1">IF(H345&lt;0.05,1,0)*$B$1*$B$2</f>
        <v>40</v>
      </c>
      <c r="K345" s="15">
        <f t="shared" ca="1" si="56"/>
        <v>40</v>
      </c>
      <c r="P345" s="3">
        <v>341</v>
      </c>
      <c r="Q345" s="4">
        <f t="shared" ca="1" si="57"/>
        <v>0.3015797793889311</v>
      </c>
      <c r="R345" s="4">
        <f t="shared" ca="1" si="58"/>
        <v>3.8935853283452067E-2</v>
      </c>
      <c r="S345" s="4">
        <f ca="1">$B$1*Q345*$B$2</f>
        <v>12.063191175557245</v>
      </c>
      <c r="T345" s="4">
        <f ca="1">$B$1*R345*$B$2</f>
        <v>1.5574341313380828</v>
      </c>
      <c r="U345" s="7">
        <f t="shared" ca="1" si="59"/>
        <v>13.620625306895327</v>
      </c>
    </row>
    <row r="346" spans="2:21" x14ac:dyDescent="0.3">
      <c r="B346" s="13">
        <f t="shared" ca="1" si="50"/>
        <v>3.273859886418462E-2</v>
      </c>
      <c r="C346" s="14">
        <f t="shared" ca="1" si="50"/>
        <v>0.85729784000725917</v>
      </c>
      <c r="D346" s="14">
        <f t="shared" ca="1" si="51"/>
        <v>-1.8419860000682358</v>
      </c>
      <c r="E346" s="14">
        <f t="shared" ca="1" si="52"/>
        <v>1.0682576193976934</v>
      </c>
      <c r="F346" s="14">
        <f t="shared" ca="1" si="53"/>
        <v>-1.1921446991992242</v>
      </c>
      <c r="G346" s="14">
        <f t="shared" ca="1" si="54"/>
        <v>3.2738598864184627E-2</v>
      </c>
      <c r="H346" s="15">
        <f t="shared" ca="1" si="55"/>
        <v>0.85729784000725917</v>
      </c>
      <c r="I346" s="14">
        <f ca="1">IF(G346&lt;0.05,1,0)*$B$1*$B$2</f>
        <v>40</v>
      </c>
      <c r="J346" s="14">
        <f ca="1">IF(H346&lt;0.05,1,0)*$B$1*$B$2</f>
        <v>0</v>
      </c>
      <c r="K346" s="15">
        <f t="shared" ca="1" si="56"/>
        <v>40</v>
      </c>
      <c r="P346" s="3">
        <v>342</v>
      </c>
      <c r="Q346" s="4">
        <f t="shared" ca="1" si="57"/>
        <v>3.2738598864184627E-2</v>
      </c>
      <c r="R346" s="4">
        <f t="shared" ca="1" si="58"/>
        <v>0.85729784000725917</v>
      </c>
      <c r="S346" s="4">
        <f ca="1">$B$1*Q346*$B$2</f>
        <v>1.3095439545673853</v>
      </c>
      <c r="T346" s="4">
        <f ca="1">$B$1*R346*$B$2</f>
        <v>34.291913600290364</v>
      </c>
      <c r="U346" s="7">
        <f t="shared" ca="1" si="59"/>
        <v>35.601457554857753</v>
      </c>
    </row>
    <row r="347" spans="2:21" x14ac:dyDescent="0.3">
      <c r="B347" s="13">
        <f t="shared" ca="1" si="50"/>
        <v>0.18057546564220284</v>
      </c>
      <c r="C347" s="14">
        <f t="shared" ca="1" si="50"/>
        <v>0.58226816197258469</v>
      </c>
      <c r="D347" s="14">
        <f t="shared" ca="1" si="51"/>
        <v>-0.91317419904968</v>
      </c>
      <c r="E347" s="14">
        <f t="shared" ca="1" si="52"/>
        <v>0.20769941298395059</v>
      </c>
      <c r="F347" s="14">
        <f t="shared" ca="1" si="53"/>
        <v>-0.73132270396173604</v>
      </c>
      <c r="G347" s="14">
        <f t="shared" ca="1" si="54"/>
        <v>0.18057546564220256</v>
      </c>
      <c r="H347" s="15">
        <f t="shared" ca="1" si="55"/>
        <v>0.58226816197258469</v>
      </c>
      <c r="I347" s="14">
        <f ca="1">IF(G347&lt;0.05,1,0)*$B$1*$B$2</f>
        <v>0</v>
      </c>
      <c r="J347" s="14">
        <f ca="1">IF(H347&lt;0.05,1,0)*$B$1*$B$2</f>
        <v>0</v>
      </c>
      <c r="K347" s="15">
        <f t="shared" ca="1" si="56"/>
        <v>0</v>
      </c>
      <c r="P347" s="3">
        <v>343</v>
      </c>
      <c r="Q347" s="4">
        <f t="shared" ca="1" si="57"/>
        <v>0.18057546564220256</v>
      </c>
      <c r="R347" s="4">
        <f t="shared" ca="1" si="58"/>
        <v>0.58226816197258469</v>
      </c>
      <c r="S347" s="4">
        <f ca="1">$B$1*Q347*$B$2</f>
        <v>7.2230186256881028</v>
      </c>
      <c r="T347" s="4">
        <f ca="1">$B$1*R347*$B$2</f>
        <v>23.290726478903391</v>
      </c>
      <c r="U347" s="7">
        <f t="shared" ca="1" si="59"/>
        <v>30.513745104591493</v>
      </c>
    </row>
    <row r="348" spans="2:21" x14ac:dyDescent="0.3">
      <c r="B348" s="13">
        <f t="shared" ca="1" si="50"/>
        <v>0.45054117563104168</v>
      </c>
      <c r="C348" s="14">
        <f t="shared" ca="1" si="50"/>
        <v>0.97905401374274148</v>
      </c>
      <c r="D348" s="14">
        <f t="shared" ca="1" si="51"/>
        <v>-0.12429418504494578</v>
      </c>
      <c r="E348" s="14">
        <f t="shared" ca="1" si="52"/>
        <v>2.0345917069408426</v>
      </c>
      <c r="F348" s="14">
        <f t="shared" ca="1" si="53"/>
        <v>0.77499319765165409</v>
      </c>
      <c r="G348" s="14">
        <f t="shared" ca="1" si="54"/>
        <v>0.45054117563104168</v>
      </c>
      <c r="H348" s="15">
        <f t="shared" ca="1" si="55"/>
        <v>0.97905401374274148</v>
      </c>
      <c r="I348" s="14">
        <f ca="1">IF(G348&lt;0.05,1,0)*$B$1*$B$2</f>
        <v>0</v>
      </c>
      <c r="J348" s="14">
        <f ca="1">IF(H348&lt;0.05,1,0)*$B$1*$B$2</f>
        <v>0</v>
      </c>
      <c r="K348" s="15">
        <f t="shared" ca="1" si="56"/>
        <v>0</v>
      </c>
      <c r="P348" s="3">
        <v>344</v>
      </c>
      <c r="Q348" s="4">
        <f t="shared" ca="1" si="57"/>
        <v>0.45054117563104168</v>
      </c>
      <c r="R348" s="4">
        <f t="shared" ca="1" si="58"/>
        <v>0.97905401374274148</v>
      </c>
      <c r="S348" s="4">
        <f ca="1">$B$1*Q348*$B$2</f>
        <v>18.02164702524167</v>
      </c>
      <c r="T348" s="4">
        <f ca="1">$B$1*R348*$B$2</f>
        <v>39.162160549709661</v>
      </c>
      <c r="U348" s="7">
        <f t="shared" ca="1" si="59"/>
        <v>57.183807574951331</v>
      </c>
    </row>
    <row r="349" spans="2:21" x14ac:dyDescent="0.3">
      <c r="B349" s="13">
        <f t="shared" ca="1" si="50"/>
        <v>0.8962807589107914</v>
      </c>
      <c r="C349" s="14">
        <f t="shared" ca="1" si="50"/>
        <v>8.5392336329962126E-2</v>
      </c>
      <c r="D349" s="14">
        <f t="shared" ca="1" si="51"/>
        <v>1.2606402720334038</v>
      </c>
      <c r="E349" s="14">
        <f t="shared" ca="1" si="52"/>
        <v>-1.3696868585415047</v>
      </c>
      <c r="F349" s="14">
        <f t="shared" ca="1" si="53"/>
        <v>0.53754358476225261</v>
      </c>
      <c r="G349" s="14">
        <f t="shared" ca="1" si="54"/>
        <v>0.89628075891079129</v>
      </c>
      <c r="H349" s="15">
        <f t="shared" ca="1" si="55"/>
        <v>8.5392336329961946E-2</v>
      </c>
      <c r="I349" s="14">
        <f ca="1">IF(G349&lt;0.05,1,0)*$B$1*$B$2</f>
        <v>0</v>
      </c>
      <c r="J349" s="14">
        <f ca="1">IF(H349&lt;0.05,1,0)*$B$1*$B$2</f>
        <v>0</v>
      </c>
      <c r="K349" s="15">
        <f t="shared" ca="1" si="56"/>
        <v>0</v>
      </c>
      <c r="P349" s="3">
        <v>345</v>
      </c>
      <c r="Q349" s="4">
        <f t="shared" ca="1" si="57"/>
        <v>0.89628075891079129</v>
      </c>
      <c r="R349" s="4">
        <f t="shared" ca="1" si="58"/>
        <v>8.5392336329961946E-2</v>
      </c>
      <c r="S349" s="4">
        <f ca="1">$B$1*Q349*$B$2</f>
        <v>35.851230356431657</v>
      </c>
      <c r="T349" s="4">
        <f ca="1">$B$1*R349*$B$2</f>
        <v>3.4156934531984784</v>
      </c>
      <c r="U349" s="7">
        <f t="shared" ca="1" si="59"/>
        <v>39.266923809630136</v>
      </c>
    </row>
    <row r="350" spans="2:21" x14ac:dyDescent="0.3">
      <c r="B350" s="13">
        <f t="shared" ca="1" si="50"/>
        <v>0.85603873051525925</v>
      </c>
      <c r="C350" s="14">
        <f t="shared" ca="1" si="50"/>
        <v>0.53669875233924114</v>
      </c>
      <c r="D350" s="14">
        <f t="shared" ca="1" si="51"/>
        <v>1.0626900403487773</v>
      </c>
      <c r="E350" s="14">
        <f t="shared" ca="1" si="52"/>
        <v>9.2120255494658271E-2</v>
      </c>
      <c r="F350" s="14">
        <f t="shared" ca="1" si="53"/>
        <v>0.99657532474933586</v>
      </c>
      <c r="G350" s="14">
        <f t="shared" ca="1" si="54"/>
        <v>0.85603873051525936</v>
      </c>
      <c r="H350" s="15">
        <f t="shared" ca="1" si="55"/>
        <v>0.53669875233924114</v>
      </c>
      <c r="I350" s="14">
        <f ca="1">IF(G350&lt;0.05,1,0)*$B$1*$B$2</f>
        <v>0</v>
      </c>
      <c r="J350" s="14">
        <f ca="1">IF(H350&lt;0.05,1,0)*$B$1*$B$2</f>
        <v>0</v>
      </c>
      <c r="K350" s="15">
        <f t="shared" ca="1" si="56"/>
        <v>0</v>
      </c>
      <c r="P350" s="3">
        <v>346</v>
      </c>
      <c r="Q350" s="4">
        <f t="shared" ca="1" si="57"/>
        <v>0.85603873051525936</v>
      </c>
      <c r="R350" s="4">
        <f t="shared" ca="1" si="58"/>
        <v>0.53669875233924114</v>
      </c>
      <c r="S350" s="4">
        <f ca="1">$B$1*Q350*$B$2</f>
        <v>34.241549220610374</v>
      </c>
      <c r="T350" s="4">
        <f ca="1">$B$1*R350*$B$2</f>
        <v>21.467950093569648</v>
      </c>
      <c r="U350" s="7">
        <f t="shared" ca="1" si="59"/>
        <v>55.709499314180022</v>
      </c>
    </row>
    <row r="351" spans="2:21" x14ac:dyDescent="0.3">
      <c r="B351" s="13">
        <f t="shared" ca="1" si="50"/>
        <v>0.38668938966990485</v>
      </c>
      <c r="C351" s="14">
        <f t="shared" ca="1" si="50"/>
        <v>0.50188808452153977</v>
      </c>
      <c r="D351" s="14">
        <f t="shared" ca="1" si="51"/>
        <v>-0.28795814281599769</v>
      </c>
      <c r="E351" s="14">
        <f t="shared" ca="1" si="52"/>
        <v>4.7327437145384321E-3</v>
      </c>
      <c r="F351" s="14">
        <f t="shared" ca="1" si="53"/>
        <v>-0.25709937337666289</v>
      </c>
      <c r="G351" s="14">
        <f t="shared" ca="1" si="54"/>
        <v>0.38668938966990485</v>
      </c>
      <c r="H351" s="15">
        <f t="shared" ca="1" si="55"/>
        <v>0.50188808452153977</v>
      </c>
      <c r="I351" s="14">
        <f ca="1">IF(G351&lt;0.05,1,0)*$B$1*$B$2</f>
        <v>0</v>
      </c>
      <c r="J351" s="14">
        <f ca="1">IF(H351&lt;0.05,1,0)*$B$1*$B$2</f>
        <v>0</v>
      </c>
      <c r="K351" s="15">
        <f t="shared" ca="1" si="56"/>
        <v>0</v>
      </c>
      <c r="P351" s="3">
        <v>347</v>
      </c>
      <c r="Q351" s="4">
        <f t="shared" ca="1" si="57"/>
        <v>0.38668938966990485</v>
      </c>
      <c r="R351" s="4">
        <f t="shared" ca="1" si="58"/>
        <v>0.50188808452153977</v>
      </c>
      <c r="S351" s="4">
        <f ca="1">$B$1*Q351*$B$2</f>
        <v>15.467575586796194</v>
      </c>
      <c r="T351" s="4">
        <f ca="1">$B$1*R351*$B$2</f>
        <v>20.075523380861593</v>
      </c>
      <c r="U351" s="7">
        <f t="shared" ca="1" si="59"/>
        <v>35.543098967657784</v>
      </c>
    </row>
    <row r="352" spans="2:21" x14ac:dyDescent="0.3">
      <c r="B352" s="13">
        <f t="shared" ca="1" si="50"/>
        <v>0.6636511024851508</v>
      </c>
      <c r="C352" s="14">
        <f t="shared" ca="1" si="50"/>
        <v>0.57298754369769311</v>
      </c>
      <c r="D352" s="14">
        <f t="shared" ca="1" si="51"/>
        <v>0.42244834727824021</v>
      </c>
      <c r="E352" s="14">
        <f t="shared" ca="1" si="52"/>
        <v>0.18398539478764309</v>
      </c>
      <c r="F352" s="14">
        <f t="shared" ca="1" si="53"/>
        <v>0.46040088684709329</v>
      </c>
      <c r="G352" s="14">
        <f t="shared" ca="1" si="54"/>
        <v>0.6636511024851508</v>
      </c>
      <c r="H352" s="15">
        <f t="shared" ca="1" si="55"/>
        <v>0.57298754369769311</v>
      </c>
      <c r="I352" s="14">
        <f ca="1">IF(G352&lt;0.05,1,0)*$B$1*$B$2</f>
        <v>0</v>
      </c>
      <c r="J352" s="14">
        <f ca="1">IF(H352&lt;0.05,1,0)*$B$1*$B$2</f>
        <v>0</v>
      </c>
      <c r="K352" s="15">
        <f t="shared" ca="1" si="56"/>
        <v>0</v>
      </c>
      <c r="P352" s="3">
        <v>348</v>
      </c>
      <c r="Q352" s="4">
        <f t="shared" ca="1" si="57"/>
        <v>0.6636511024851508</v>
      </c>
      <c r="R352" s="4">
        <f t="shared" ca="1" si="58"/>
        <v>0.57298754369769311</v>
      </c>
      <c r="S352" s="4">
        <f ca="1">$B$1*Q352*$B$2</f>
        <v>26.546044099406032</v>
      </c>
      <c r="T352" s="4">
        <f ca="1">$B$1*R352*$B$2</f>
        <v>22.919501747907727</v>
      </c>
      <c r="U352" s="7">
        <f t="shared" ca="1" si="59"/>
        <v>49.465545847313763</v>
      </c>
    </row>
    <row r="353" spans="2:21" x14ac:dyDescent="0.3">
      <c r="B353" s="13">
        <f t="shared" ca="1" si="50"/>
        <v>0.65248435358966606</v>
      </c>
      <c r="C353" s="14">
        <f t="shared" ca="1" si="50"/>
        <v>0.93037607760034124</v>
      </c>
      <c r="D353" s="14">
        <f t="shared" ca="1" si="51"/>
        <v>0.39203643524078208</v>
      </c>
      <c r="E353" s="14">
        <f t="shared" ca="1" si="52"/>
        <v>1.4785977860381512</v>
      </c>
      <c r="F353" s="14">
        <f t="shared" ca="1" si="53"/>
        <v>0.99733862446503141</v>
      </c>
      <c r="G353" s="14">
        <f t="shared" ca="1" si="54"/>
        <v>0.65248435358966606</v>
      </c>
      <c r="H353" s="15">
        <f t="shared" ca="1" si="55"/>
        <v>0.93037607760034136</v>
      </c>
      <c r="I353" s="14">
        <f ca="1">IF(G353&lt;0.05,1,0)*$B$1*$B$2</f>
        <v>0</v>
      </c>
      <c r="J353" s="14">
        <f ca="1">IF(H353&lt;0.05,1,0)*$B$1*$B$2</f>
        <v>0</v>
      </c>
      <c r="K353" s="15">
        <f t="shared" ca="1" si="56"/>
        <v>0</v>
      </c>
      <c r="P353" s="3">
        <v>349</v>
      </c>
      <c r="Q353" s="4">
        <f t="shared" ca="1" si="57"/>
        <v>0.65248435358966606</v>
      </c>
      <c r="R353" s="4">
        <f t="shared" ca="1" si="58"/>
        <v>0.93037607760034136</v>
      </c>
      <c r="S353" s="4">
        <f ca="1">$B$1*Q353*$B$2</f>
        <v>26.099374143586644</v>
      </c>
      <c r="T353" s="4">
        <f ca="1">$B$1*R353*$B$2</f>
        <v>37.215043104013652</v>
      </c>
      <c r="U353" s="7">
        <f t="shared" ca="1" si="59"/>
        <v>63.314417247600296</v>
      </c>
    </row>
    <row r="354" spans="2:21" x14ac:dyDescent="0.3">
      <c r="B354" s="13">
        <f t="shared" ca="1" si="50"/>
        <v>0.36524195944560023</v>
      </c>
      <c r="C354" s="14">
        <f t="shared" ca="1" si="50"/>
        <v>0.79490691221702581</v>
      </c>
      <c r="D354" s="14">
        <f t="shared" ca="1" si="51"/>
        <v>-0.34448188251419137</v>
      </c>
      <c r="E354" s="14">
        <f t="shared" ca="1" si="52"/>
        <v>0.82356604555308444</v>
      </c>
      <c r="F354" s="14">
        <f t="shared" ca="1" si="53"/>
        <v>4.8950422326958731E-2</v>
      </c>
      <c r="G354" s="14">
        <f t="shared" ca="1" si="54"/>
        <v>0.36524195944560023</v>
      </c>
      <c r="H354" s="15">
        <f t="shared" ca="1" si="55"/>
        <v>0.7949069122170257</v>
      </c>
      <c r="I354" s="14">
        <f ca="1">IF(G354&lt;0.05,1,0)*$B$1*$B$2</f>
        <v>0</v>
      </c>
      <c r="J354" s="14">
        <f ca="1">IF(H354&lt;0.05,1,0)*$B$1*$B$2</f>
        <v>0</v>
      </c>
      <c r="K354" s="15">
        <f t="shared" ca="1" si="56"/>
        <v>0</v>
      </c>
      <c r="P354" s="3">
        <v>350</v>
      </c>
      <c r="Q354" s="4">
        <f t="shared" ca="1" si="57"/>
        <v>0.36524195944560023</v>
      </c>
      <c r="R354" s="4">
        <f t="shared" ca="1" si="58"/>
        <v>0.7949069122170257</v>
      </c>
      <c r="S354" s="4">
        <f ca="1">$B$1*Q354*$B$2</f>
        <v>14.609678377824009</v>
      </c>
      <c r="T354" s="4">
        <f ca="1">$B$1*R354*$B$2</f>
        <v>31.796276488681031</v>
      </c>
      <c r="U354" s="7">
        <f t="shared" ca="1" si="59"/>
        <v>46.405954866505041</v>
      </c>
    </row>
    <row r="355" spans="2:21" x14ac:dyDescent="0.3">
      <c r="B355" s="13">
        <f t="shared" ca="1" si="50"/>
        <v>0.40146855736692599</v>
      </c>
      <c r="C355" s="14">
        <f t="shared" ca="1" si="50"/>
        <v>0.82540475764332821</v>
      </c>
      <c r="D355" s="14">
        <f t="shared" ca="1" si="51"/>
        <v>-0.24954774349914369</v>
      </c>
      <c r="E355" s="14">
        <f t="shared" ca="1" si="52"/>
        <v>0.93616064073480576</v>
      </c>
      <c r="F355" s="14">
        <f t="shared" ca="1" si="53"/>
        <v>0.1834699936391011</v>
      </c>
      <c r="G355" s="14">
        <f t="shared" ca="1" si="54"/>
        <v>0.40146855736692599</v>
      </c>
      <c r="H355" s="15">
        <f t="shared" ca="1" si="55"/>
        <v>0.82540475764332832</v>
      </c>
      <c r="I355" s="14">
        <f ca="1">IF(G355&lt;0.05,1,0)*$B$1*$B$2</f>
        <v>0</v>
      </c>
      <c r="J355" s="14">
        <f ca="1">IF(H355&lt;0.05,1,0)*$B$1*$B$2</f>
        <v>0</v>
      </c>
      <c r="K355" s="15">
        <f t="shared" ca="1" si="56"/>
        <v>0</v>
      </c>
      <c r="P355" s="3">
        <v>351</v>
      </c>
      <c r="Q355" s="4">
        <f t="shared" ca="1" si="57"/>
        <v>0.40146855736692599</v>
      </c>
      <c r="R355" s="4">
        <f t="shared" ca="1" si="58"/>
        <v>0.82540475764332832</v>
      </c>
      <c r="S355" s="4">
        <f ca="1">$B$1*Q355*$B$2</f>
        <v>16.058742294677042</v>
      </c>
      <c r="T355" s="4">
        <f ca="1">$B$1*R355*$B$2</f>
        <v>33.016190305733133</v>
      </c>
      <c r="U355" s="7">
        <f t="shared" ca="1" si="59"/>
        <v>49.074932600410179</v>
      </c>
    </row>
    <row r="356" spans="2:21" x14ac:dyDescent="0.3">
      <c r="B356" s="13">
        <f t="shared" ca="1" si="50"/>
        <v>0.86324318710897496</v>
      </c>
      <c r="C356" s="14">
        <f t="shared" ca="1" si="50"/>
        <v>6.457584697682428E-3</v>
      </c>
      <c r="D356" s="14">
        <f t="shared" ca="1" si="51"/>
        <v>1.0950068721714923</v>
      </c>
      <c r="E356" s="14">
        <f t="shared" ca="1" si="52"/>
        <v>-2.4860999294918353</v>
      </c>
      <c r="F356" s="14">
        <f t="shared" ca="1" si="53"/>
        <v>-9.8159650665507248E-2</v>
      </c>
      <c r="G356" s="14">
        <f t="shared" ca="1" si="54"/>
        <v>0.86324318710897496</v>
      </c>
      <c r="H356" s="15">
        <f t="shared" ca="1" si="55"/>
        <v>6.457584697682428E-3</v>
      </c>
      <c r="I356" s="14">
        <f ca="1">IF(G356&lt;0.05,1,0)*$B$1*$B$2</f>
        <v>0</v>
      </c>
      <c r="J356" s="14">
        <f ca="1">IF(H356&lt;0.05,1,0)*$B$1*$B$2</f>
        <v>40</v>
      </c>
      <c r="K356" s="15">
        <f t="shared" ca="1" si="56"/>
        <v>40</v>
      </c>
      <c r="P356" s="3">
        <v>352</v>
      </c>
      <c r="Q356" s="4">
        <f t="shared" ca="1" si="57"/>
        <v>0.86324318710897496</v>
      </c>
      <c r="R356" s="4">
        <f t="shared" ca="1" si="58"/>
        <v>6.457584697682428E-3</v>
      </c>
      <c r="S356" s="4">
        <f ca="1">$B$1*Q356*$B$2</f>
        <v>34.529727484359</v>
      </c>
      <c r="T356" s="4">
        <f ca="1">$B$1*R356*$B$2</f>
        <v>0.25830338790729712</v>
      </c>
      <c r="U356" s="7">
        <f t="shared" ca="1" si="59"/>
        <v>34.788030872266297</v>
      </c>
    </row>
    <row r="357" spans="2:21" x14ac:dyDescent="0.3">
      <c r="B357" s="13">
        <f t="shared" ca="1" si="50"/>
        <v>0.14528211708797456</v>
      </c>
      <c r="C357" s="14">
        <f t="shared" ca="1" si="50"/>
        <v>0.16831401341925212</v>
      </c>
      <c r="D357" s="14">
        <f t="shared" ca="1" si="51"/>
        <v>-1.0568846513512844</v>
      </c>
      <c r="E357" s="14">
        <f t="shared" ca="1" si="52"/>
        <v>-0.96084913947319739</v>
      </c>
      <c r="F357" s="14">
        <f t="shared" ca="1" si="53"/>
        <v>-1.3700206161113244</v>
      </c>
      <c r="G357" s="14">
        <f t="shared" ca="1" si="54"/>
        <v>0.1452821170879745</v>
      </c>
      <c r="H357" s="15">
        <f t="shared" ca="1" si="55"/>
        <v>0.16831401341925181</v>
      </c>
      <c r="I357" s="14">
        <f ca="1">IF(G357&lt;0.05,1,0)*$B$1*$B$2</f>
        <v>0</v>
      </c>
      <c r="J357" s="14">
        <f ca="1">IF(H357&lt;0.05,1,0)*$B$1*$B$2</f>
        <v>0</v>
      </c>
      <c r="K357" s="15">
        <f t="shared" ca="1" si="56"/>
        <v>0</v>
      </c>
      <c r="P357" s="3">
        <v>353</v>
      </c>
      <c r="Q357" s="4">
        <f t="shared" ca="1" si="57"/>
        <v>0.1452821170879745</v>
      </c>
      <c r="R357" s="4">
        <f t="shared" ca="1" si="58"/>
        <v>0.16831401341925181</v>
      </c>
      <c r="S357" s="4">
        <f ca="1">$B$1*Q357*$B$2</f>
        <v>5.8112846835189806</v>
      </c>
      <c r="T357" s="4">
        <f ca="1">$B$1*R357*$B$2</f>
        <v>6.7325605367700732</v>
      </c>
      <c r="U357" s="7">
        <f t="shared" ca="1" si="59"/>
        <v>12.543845220289054</v>
      </c>
    </row>
    <row r="358" spans="2:21" x14ac:dyDescent="0.3">
      <c r="B358" s="13">
        <f t="shared" ca="1" si="50"/>
        <v>0.14152709401001451</v>
      </c>
      <c r="C358" s="14">
        <f t="shared" ca="1" si="50"/>
        <v>0.7983794285675998</v>
      </c>
      <c r="D358" s="14">
        <f t="shared" ca="1" si="51"/>
        <v>-1.0734836112346944</v>
      </c>
      <c r="E358" s="14">
        <f t="shared" ca="1" si="52"/>
        <v>0.83584671373748964</v>
      </c>
      <c r="F358" s="14">
        <f t="shared" ca="1" si="53"/>
        <v>-0.60179811436399633</v>
      </c>
      <c r="G358" s="14">
        <f t="shared" ca="1" si="54"/>
        <v>0.14152709401001445</v>
      </c>
      <c r="H358" s="15">
        <f t="shared" ca="1" si="55"/>
        <v>0.79837942856759936</v>
      </c>
      <c r="I358" s="14">
        <f ca="1">IF(G358&lt;0.05,1,0)*$B$1*$B$2</f>
        <v>0</v>
      </c>
      <c r="J358" s="14">
        <f ca="1">IF(H358&lt;0.05,1,0)*$B$1*$B$2</f>
        <v>0</v>
      </c>
      <c r="K358" s="15">
        <f t="shared" ca="1" si="56"/>
        <v>0</v>
      </c>
      <c r="P358" s="3">
        <v>354</v>
      </c>
      <c r="Q358" s="4">
        <f t="shared" ca="1" si="57"/>
        <v>0.14152709401001445</v>
      </c>
      <c r="R358" s="4">
        <f t="shared" ca="1" si="58"/>
        <v>0.79837942856759936</v>
      </c>
      <c r="S358" s="4">
        <f ca="1">$B$1*Q358*$B$2</f>
        <v>5.6610837604005786</v>
      </c>
      <c r="T358" s="4">
        <f ca="1">$B$1*R358*$B$2</f>
        <v>31.935177142703978</v>
      </c>
      <c r="U358" s="7">
        <f t="shared" ca="1" si="59"/>
        <v>37.596260903104557</v>
      </c>
    </row>
    <row r="359" spans="2:21" x14ac:dyDescent="0.3">
      <c r="B359" s="13">
        <f t="shared" ca="1" si="50"/>
        <v>0.35567079537530732</v>
      </c>
      <c r="C359" s="14">
        <f t="shared" ca="1" si="50"/>
        <v>0.62185550417355251</v>
      </c>
      <c r="D359" s="14">
        <f t="shared" ca="1" si="51"/>
        <v>-0.37005489229386995</v>
      </c>
      <c r="E359" s="14">
        <f t="shared" ca="1" si="52"/>
        <v>0.31035765509482283</v>
      </c>
      <c r="F359" s="14">
        <f t="shared" ca="1" si="53"/>
        <v>-0.19776763757322458</v>
      </c>
      <c r="G359" s="14">
        <f t="shared" ca="1" si="54"/>
        <v>0.35567079537530732</v>
      </c>
      <c r="H359" s="15">
        <f t="shared" ca="1" si="55"/>
        <v>0.62185550417355251</v>
      </c>
      <c r="I359" s="14">
        <f ca="1">IF(G359&lt;0.05,1,0)*$B$1*$B$2</f>
        <v>0</v>
      </c>
      <c r="J359" s="14">
        <f ca="1">IF(H359&lt;0.05,1,0)*$B$1*$B$2</f>
        <v>0</v>
      </c>
      <c r="K359" s="15">
        <f t="shared" ca="1" si="56"/>
        <v>0</v>
      </c>
      <c r="P359" s="3">
        <v>355</v>
      </c>
      <c r="Q359" s="4">
        <f t="shared" ca="1" si="57"/>
        <v>0.35567079537530732</v>
      </c>
      <c r="R359" s="4">
        <f t="shared" ca="1" si="58"/>
        <v>0.62185550417355251</v>
      </c>
      <c r="S359" s="4">
        <f ca="1">$B$1*Q359*$B$2</f>
        <v>14.226831815012293</v>
      </c>
      <c r="T359" s="4">
        <f ca="1">$B$1*R359*$B$2</f>
        <v>24.874220166942102</v>
      </c>
      <c r="U359" s="7">
        <f t="shared" ca="1" si="59"/>
        <v>39.101051981954399</v>
      </c>
    </row>
    <row r="360" spans="2:21" x14ac:dyDescent="0.3">
      <c r="B360" s="13">
        <f t="shared" ca="1" si="50"/>
        <v>0.49154387020262102</v>
      </c>
      <c r="C360" s="14">
        <f t="shared" ca="1" si="50"/>
        <v>0.84924798918925926</v>
      </c>
      <c r="D360" s="14">
        <f t="shared" ca="1" si="51"/>
        <v>-2.1197961500344729E-2</v>
      </c>
      <c r="E360" s="14">
        <f t="shared" ca="1" si="52"/>
        <v>1.0332134464323228</v>
      </c>
      <c r="F360" s="14">
        <f t="shared" ca="1" si="53"/>
        <v>0.43128913466027669</v>
      </c>
      <c r="G360" s="14">
        <f t="shared" ca="1" si="54"/>
        <v>0.49154387020262102</v>
      </c>
      <c r="H360" s="15">
        <f t="shared" ca="1" si="55"/>
        <v>0.84924798918925892</v>
      </c>
      <c r="I360" s="14">
        <f ca="1">IF(G360&lt;0.05,1,0)*$B$1*$B$2</f>
        <v>0</v>
      </c>
      <c r="J360" s="14">
        <f ca="1">IF(H360&lt;0.05,1,0)*$B$1*$B$2</f>
        <v>0</v>
      </c>
      <c r="K360" s="15">
        <f t="shared" ca="1" si="56"/>
        <v>0</v>
      </c>
      <c r="P360" s="3">
        <v>356</v>
      </c>
      <c r="Q360" s="4">
        <f t="shared" ca="1" si="57"/>
        <v>0.49154387020262102</v>
      </c>
      <c r="R360" s="4">
        <f t="shared" ca="1" si="58"/>
        <v>0.84924798918925892</v>
      </c>
      <c r="S360" s="4">
        <f ca="1">$B$1*Q360*$B$2</f>
        <v>19.661754808104842</v>
      </c>
      <c r="T360" s="4">
        <f ca="1">$B$1*R360*$B$2</f>
        <v>33.969919567570358</v>
      </c>
      <c r="U360" s="7">
        <f t="shared" ca="1" si="59"/>
        <v>53.631674375675203</v>
      </c>
    </row>
    <row r="361" spans="2:21" x14ac:dyDescent="0.3">
      <c r="B361" s="13">
        <f t="shared" ca="1" si="50"/>
        <v>0.33986312909712302</v>
      </c>
      <c r="C361" s="14">
        <f t="shared" ca="1" si="50"/>
        <v>0.43001808487184301</v>
      </c>
      <c r="D361" s="14">
        <f t="shared" ca="1" si="51"/>
        <v>-0.41283670365466396</v>
      </c>
      <c r="E361" s="14">
        <f t="shared" ca="1" si="52"/>
        <v>-0.17632812231344897</v>
      </c>
      <c r="F361" s="14">
        <f t="shared" ca="1" si="53"/>
        <v>-0.44841267989605793</v>
      </c>
      <c r="G361" s="14">
        <f t="shared" ca="1" si="54"/>
        <v>0.33986312909712296</v>
      </c>
      <c r="H361" s="15">
        <f t="shared" ca="1" si="55"/>
        <v>0.43001808487184301</v>
      </c>
      <c r="I361" s="14">
        <f ca="1">IF(G361&lt;0.05,1,0)*$B$1*$B$2</f>
        <v>0</v>
      </c>
      <c r="J361" s="14">
        <f ca="1">IF(H361&lt;0.05,1,0)*$B$1*$B$2</f>
        <v>0</v>
      </c>
      <c r="K361" s="15">
        <f t="shared" ca="1" si="56"/>
        <v>0</v>
      </c>
      <c r="P361" s="3">
        <v>357</v>
      </c>
      <c r="Q361" s="4">
        <f t="shared" ca="1" si="57"/>
        <v>0.33986312909712296</v>
      </c>
      <c r="R361" s="4">
        <f t="shared" ca="1" si="58"/>
        <v>0.43001808487184301</v>
      </c>
      <c r="S361" s="4">
        <f ca="1">$B$1*Q361*$B$2</f>
        <v>13.594525163884919</v>
      </c>
      <c r="T361" s="4">
        <f ca="1">$B$1*R361*$B$2</f>
        <v>17.200723394873719</v>
      </c>
      <c r="U361" s="7">
        <f t="shared" ca="1" si="59"/>
        <v>30.795248558758637</v>
      </c>
    </row>
    <row r="362" spans="2:21" x14ac:dyDescent="0.3">
      <c r="B362" s="13">
        <f t="shared" ca="1" si="50"/>
        <v>0.10499787445291986</v>
      </c>
      <c r="C362" s="14">
        <f t="shared" ca="1" si="50"/>
        <v>0.11458116997204537</v>
      </c>
      <c r="D362" s="14">
        <f t="shared" ca="1" si="51"/>
        <v>-1.2535771279380714</v>
      </c>
      <c r="E362" s="14">
        <f t="shared" ca="1" si="52"/>
        <v>-1.2025194372810784</v>
      </c>
      <c r="F362" s="14">
        <f t="shared" ca="1" si="53"/>
        <v>-1.652385485619426</v>
      </c>
      <c r="G362" s="14">
        <f t="shared" ca="1" si="54"/>
        <v>0.10499787445291969</v>
      </c>
      <c r="H362" s="15">
        <f t="shared" ca="1" si="55"/>
        <v>0.11458116997204515</v>
      </c>
      <c r="I362" s="14">
        <f ca="1">IF(G362&lt;0.05,1,0)*$B$1*$B$2</f>
        <v>0</v>
      </c>
      <c r="J362" s="14">
        <f ca="1">IF(H362&lt;0.05,1,0)*$B$1*$B$2</f>
        <v>0</v>
      </c>
      <c r="K362" s="15">
        <f t="shared" ca="1" si="56"/>
        <v>0</v>
      </c>
      <c r="P362" s="3">
        <v>358</v>
      </c>
      <c r="Q362" s="4">
        <f t="shared" ca="1" si="57"/>
        <v>0.10499787445291969</v>
      </c>
      <c r="R362" s="4">
        <f t="shared" ca="1" si="58"/>
        <v>0.11458116997204515</v>
      </c>
      <c r="S362" s="4">
        <f ca="1">$B$1*Q362*$B$2</f>
        <v>4.1999149781167882</v>
      </c>
      <c r="T362" s="4">
        <f ca="1">$B$1*R362*$B$2</f>
        <v>4.583246798881806</v>
      </c>
      <c r="U362" s="7">
        <f t="shared" ca="1" si="59"/>
        <v>8.7831617769985932</v>
      </c>
    </row>
    <row r="363" spans="2:21" x14ac:dyDescent="0.3">
      <c r="B363" s="13">
        <f t="shared" ca="1" si="50"/>
        <v>0.60867039853050586</v>
      </c>
      <c r="C363" s="14">
        <f t="shared" ca="1" si="50"/>
        <v>4.182532069657463E-3</v>
      </c>
      <c r="D363" s="14">
        <f t="shared" ca="1" si="51"/>
        <v>0.27585530610875098</v>
      </c>
      <c r="E363" s="14">
        <f t="shared" ca="1" si="52"/>
        <v>-2.636968328145485</v>
      </c>
      <c r="F363" s="14">
        <f t="shared" ca="1" si="53"/>
        <v>-0.90115807047248098</v>
      </c>
      <c r="G363" s="14">
        <f t="shared" ca="1" si="54"/>
        <v>0.60867039853050586</v>
      </c>
      <c r="H363" s="15">
        <f t="shared" ca="1" si="55"/>
        <v>4.1825320696574648E-3</v>
      </c>
      <c r="I363" s="14">
        <f ca="1">IF(G363&lt;0.05,1,0)*$B$1*$B$2</f>
        <v>0</v>
      </c>
      <c r="J363" s="14">
        <f ca="1">IF(H363&lt;0.05,1,0)*$B$1*$B$2</f>
        <v>40</v>
      </c>
      <c r="K363" s="15">
        <f t="shared" ca="1" si="56"/>
        <v>40</v>
      </c>
      <c r="P363" s="3">
        <v>359</v>
      </c>
      <c r="Q363" s="4">
        <f t="shared" ca="1" si="57"/>
        <v>0.60867039853050586</v>
      </c>
      <c r="R363" s="4">
        <f t="shared" ca="1" si="58"/>
        <v>4.1825320696574648E-3</v>
      </c>
      <c r="S363" s="4">
        <f ca="1">$B$1*Q363*$B$2</f>
        <v>24.346815941220235</v>
      </c>
      <c r="T363" s="4">
        <f ca="1">$B$1*R363*$B$2</f>
        <v>0.16730128278629861</v>
      </c>
      <c r="U363" s="7">
        <f t="shared" ca="1" si="59"/>
        <v>24.514117224006533</v>
      </c>
    </row>
    <row r="364" spans="2:21" x14ac:dyDescent="0.3">
      <c r="B364" s="13">
        <f t="shared" ca="1" si="50"/>
        <v>0.30107829831831423</v>
      </c>
      <c r="C364" s="14">
        <f t="shared" ca="1" si="50"/>
        <v>0.66739357331182969</v>
      </c>
      <c r="D364" s="14">
        <f t="shared" ca="1" si="51"/>
        <v>-0.52130172913531858</v>
      </c>
      <c r="E364" s="14">
        <f t="shared" ca="1" si="52"/>
        <v>0.43272735631685577</v>
      </c>
      <c r="F364" s="14">
        <f t="shared" ca="1" si="53"/>
        <v>-0.28055007459271764</v>
      </c>
      <c r="G364" s="14">
        <f t="shared" ca="1" si="54"/>
        <v>0.30107829831831417</v>
      </c>
      <c r="H364" s="15">
        <f t="shared" ca="1" si="55"/>
        <v>0.66739357331182969</v>
      </c>
      <c r="I364" s="14">
        <f ca="1">IF(G364&lt;0.05,1,0)*$B$1*$B$2</f>
        <v>0</v>
      </c>
      <c r="J364" s="14">
        <f ca="1">IF(H364&lt;0.05,1,0)*$B$1*$B$2</f>
        <v>0</v>
      </c>
      <c r="K364" s="15">
        <f t="shared" ca="1" si="56"/>
        <v>0</v>
      </c>
      <c r="P364" s="3">
        <v>360</v>
      </c>
      <c r="Q364" s="4">
        <f t="shared" ca="1" si="57"/>
        <v>0.30107829831831417</v>
      </c>
      <c r="R364" s="4">
        <f t="shared" ca="1" si="58"/>
        <v>0.66739357331182969</v>
      </c>
      <c r="S364" s="4">
        <f ca="1">$B$1*Q364*$B$2</f>
        <v>12.043131932732567</v>
      </c>
      <c r="T364" s="4">
        <f ca="1">$B$1*R364*$B$2</f>
        <v>26.695742932473191</v>
      </c>
      <c r="U364" s="7">
        <f t="shared" ca="1" si="59"/>
        <v>38.738874865205759</v>
      </c>
    </row>
    <row r="365" spans="2:21" x14ac:dyDescent="0.3">
      <c r="B365" s="13">
        <f t="shared" ca="1" si="50"/>
        <v>0.91344589504453988</v>
      </c>
      <c r="C365" s="14">
        <f t="shared" ca="1" si="50"/>
        <v>0.4059757984624176</v>
      </c>
      <c r="D365" s="14">
        <f t="shared" ca="1" si="51"/>
        <v>1.3622842065388039</v>
      </c>
      <c r="E365" s="14">
        <f t="shared" ca="1" si="52"/>
        <v>-0.23790910055802167</v>
      </c>
      <c r="F365" s="14">
        <f t="shared" ca="1" si="53"/>
        <v>1.1223536131768161</v>
      </c>
      <c r="G365" s="14">
        <f t="shared" ca="1" si="54"/>
        <v>0.91344589504453988</v>
      </c>
      <c r="H365" s="15">
        <f t="shared" ca="1" si="55"/>
        <v>0.4059757984624176</v>
      </c>
      <c r="I365" s="14">
        <f ca="1">IF(G365&lt;0.05,1,0)*$B$1*$B$2</f>
        <v>0</v>
      </c>
      <c r="J365" s="14">
        <f ca="1">IF(H365&lt;0.05,1,0)*$B$1*$B$2</f>
        <v>0</v>
      </c>
      <c r="K365" s="15">
        <f t="shared" ca="1" si="56"/>
        <v>0</v>
      </c>
      <c r="P365" s="3">
        <v>361</v>
      </c>
      <c r="Q365" s="4">
        <f t="shared" ca="1" si="57"/>
        <v>0.91344589504453988</v>
      </c>
      <c r="R365" s="4">
        <f t="shared" ca="1" si="58"/>
        <v>0.4059757984624176</v>
      </c>
      <c r="S365" s="4">
        <f ca="1">$B$1*Q365*$B$2</f>
        <v>36.537835801781597</v>
      </c>
      <c r="T365" s="4">
        <f ca="1">$B$1*R365*$B$2</f>
        <v>16.239031938496705</v>
      </c>
      <c r="U365" s="7">
        <f t="shared" ca="1" si="59"/>
        <v>52.776867740278306</v>
      </c>
    </row>
    <row r="366" spans="2:21" x14ac:dyDescent="0.3">
      <c r="B366" s="13">
        <f t="shared" ca="1" si="50"/>
        <v>0.76153839457810957</v>
      </c>
      <c r="C366" s="14">
        <f t="shared" ca="1" si="50"/>
        <v>0.72430447602064896</v>
      </c>
      <c r="D366" s="14">
        <f t="shared" ca="1" si="51"/>
        <v>0.71125987575090399</v>
      </c>
      <c r="E366" s="14">
        <f t="shared" ca="1" si="52"/>
        <v>0.59567696729314068</v>
      </c>
      <c r="F366" s="14">
        <f t="shared" ca="1" si="53"/>
        <v>0.89978345851837194</v>
      </c>
      <c r="G366" s="14">
        <f t="shared" ca="1" si="54"/>
        <v>0.76153839457810968</v>
      </c>
      <c r="H366" s="15">
        <f t="shared" ca="1" si="55"/>
        <v>0.72430447602064896</v>
      </c>
      <c r="I366" s="14">
        <f ca="1">IF(G366&lt;0.05,1,0)*$B$1*$B$2</f>
        <v>0</v>
      </c>
      <c r="J366" s="14">
        <f ca="1">IF(H366&lt;0.05,1,0)*$B$1*$B$2</f>
        <v>0</v>
      </c>
      <c r="K366" s="15">
        <f t="shared" ca="1" si="56"/>
        <v>0</v>
      </c>
      <c r="P366" s="3">
        <v>362</v>
      </c>
      <c r="Q366" s="4">
        <f t="shared" ca="1" si="57"/>
        <v>0.76153839457810968</v>
      </c>
      <c r="R366" s="4">
        <f t="shared" ca="1" si="58"/>
        <v>0.72430447602064896</v>
      </c>
      <c r="S366" s="4">
        <f ca="1">$B$1*Q366*$B$2</f>
        <v>30.46153578312439</v>
      </c>
      <c r="T366" s="4">
        <f ca="1">$B$1*R366*$B$2</f>
        <v>28.972179040825964</v>
      </c>
      <c r="U366" s="7">
        <f t="shared" ca="1" si="59"/>
        <v>59.433714823950353</v>
      </c>
    </row>
    <row r="367" spans="2:21" x14ac:dyDescent="0.3">
      <c r="B367" s="13">
        <f t="shared" ca="1" si="50"/>
        <v>0.67565932881325919</v>
      </c>
      <c r="C367" s="14">
        <f t="shared" ca="1" si="50"/>
        <v>0.86029032979567222</v>
      </c>
      <c r="D367" s="14">
        <f t="shared" ca="1" si="51"/>
        <v>0.45559485667519983</v>
      </c>
      <c r="E367" s="14">
        <f t="shared" ca="1" si="52"/>
        <v>1.0816246644167575</v>
      </c>
      <c r="F367" s="14">
        <f t="shared" ca="1" si="53"/>
        <v>0.88150463171105375</v>
      </c>
      <c r="G367" s="14">
        <f t="shared" ca="1" si="54"/>
        <v>0.6756593288132593</v>
      </c>
      <c r="H367" s="15">
        <f t="shared" ca="1" si="55"/>
        <v>0.86029032979567233</v>
      </c>
      <c r="I367" s="14">
        <f ca="1">IF(G367&lt;0.05,1,0)*$B$1*$B$2</f>
        <v>0</v>
      </c>
      <c r="J367" s="14">
        <f ca="1">IF(H367&lt;0.05,1,0)*$B$1*$B$2</f>
        <v>0</v>
      </c>
      <c r="K367" s="15">
        <f t="shared" ca="1" si="56"/>
        <v>0</v>
      </c>
      <c r="P367" s="3">
        <v>363</v>
      </c>
      <c r="Q367" s="4">
        <f t="shared" ca="1" si="57"/>
        <v>0.6756593288132593</v>
      </c>
      <c r="R367" s="4">
        <f t="shared" ca="1" si="58"/>
        <v>0.86029032979567233</v>
      </c>
      <c r="S367" s="4">
        <f ca="1">$B$1*Q367*$B$2</f>
        <v>27.026373152530375</v>
      </c>
      <c r="T367" s="4">
        <f ca="1">$B$1*R367*$B$2</f>
        <v>34.411613191826895</v>
      </c>
      <c r="U367" s="7">
        <f t="shared" ca="1" si="59"/>
        <v>61.43798634435727</v>
      </c>
    </row>
    <row r="368" spans="2:21" x14ac:dyDescent="0.3">
      <c r="B368" s="13">
        <f t="shared" ca="1" si="50"/>
        <v>0.32632331855097663</v>
      </c>
      <c r="C368" s="14">
        <f t="shared" ca="1" si="50"/>
        <v>0.42662779790186167</v>
      </c>
      <c r="D368" s="14">
        <f t="shared" ca="1" si="51"/>
        <v>-0.45008848817278435</v>
      </c>
      <c r="E368" s="14">
        <f t="shared" ca="1" si="52"/>
        <v>-0.18496613724551889</v>
      </c>
      <c r="F368" s="14">
        <f t="shared" ca="1" si="53"/>
        <v>-0.4857045093785351</v>
      </c>
      <c r="G368" s="14">
        <f t="shared" ca="1" si="54"/>
        <v>0.32632331855097652</v>
      </c>
      <c r="H368" s="15">
        <f t="shared" ca="1" si="55"/>
        <v>0.42662779790186167</v>
      </c>
      <c r="I368" s="14">
        <f ca="1">IF(G368&lt;0.05,1,0)*$B$1*$B$2</f>
        <v>0</v>
      </c>
      <c r="J368" s="14">
        <f ca="1">IF(H368&lt;0.05,1,0)*$B$1*$B$2</f>
        <v>0</v>
      </c>
      <c r="K368" s="15">
        <f t="shared" ca="1" si="56"/>
        <v>0</v>
      </c>
      <c r="P368" s="3">
        <v>364</v>
      </c>
      <c r="Q368" s="4">
        <f t="shared" ca="1" si="57"/>
        <v>0.32632331855097652</v>
      </c>
      <c r="R368" s="4">
        <f t="shared" ca="1" si="58"/>
        <v>0.42662779790186167</v>
      </c>
      <c r="S368" s="4">
        <f ca="1">$B$1*Q368*$B$2</f>
        <v>13.052932742039062</v>
      </c>
      <c r="T368" s="4">
        <f ca="1">$B$1*R368*$B$2</f>
        <v>17.065111916074468</v>
      </c>
      <c r="U368" s="7">
        <f t="shared" ca="1" si="59"/>
        <v>30.118044658113529</v>
      </c>
    </row>
    <row r="369" spans="2:21" x14ac:dyDescent="0.3">
      <c r="B369" s="13">
        <f t="shared" ca="1" si="50"/>
        <v>0.6378656623003699</v>
      </c>
      <c r="C369" s="14">
        <f t="shared" ca="1" si="50"/>
        <v>0.16840782907970853</v>
      </c>
      <c r="D369" s="14">
        <f t="shared" ca="1" si="51"/>
        <v>0.3527595975890947</v>
      </c>
      <c r="E369" s="14">
        <f t="shared" ca="1" si="52"/>
        <v>-0.96047609163572378</v>
      </c>
      <c r="F369" s="14">
        <f t="shared" ca="1" si="53"/>
        <v>-0.10117818428251785</v>
      </c>
      <c r="G369" s="14">
        <f t="shared" ca="1" si="54"/>
        <v>0.63786566230037001</v>
      </c>
      <c r="H369" s="15">
        <f t="shared" ca="1" si="55"/>
        <v>0.16840782907970861</v>
      </c>
      <c r="I369" s="14">
        <f ca="1">IF(G369&lt;0.05,1,0)*$B$1*$B$2</f>
        <v>0</v>
      </c>
      <c r="J369" s="14">
        <f ca="1">IF(H369&lt;0.05,1,0)*$B$1*$B$2</f>
        <v>0</v>
      </c>
      <c r="K369" s="15">
        <f t="shared" ca="1" si="56"/>
        <v>0</v>
      </c>
      <c r="P369" s="3">
        <v>365</v>
      </c>
      <c r="Q369" s="4">
        <f t="shared" ca="1" si="57"/>
        <v>0.63786566230037001</v>
      </c>
      <c r="R369" s="4">
        <f t="shared" ca="1" si="58"/>
        <v>0.16840782907970861</v>
      </c>
      <c r="S369" s="4">
        <f ca="1">$B$1*Q369*$B$2</f>
        <v>25.514626492014802</v>
      </c>
      <c r="T369" s="4">
        <f ca="1">$B$1*R369*$B$2</f>
        <v>6.7363131631883455</v>
      </c>
      <c r="U369" s="7">
        <f t="shared" ca="1" si="59"/>
        <v>32.250939655203148</v>
      </c>
    </row>
    <row r="370" spans="2:21" x14ac:dyDescent="0.3">
      <c r="B370" s="13">
        <f t="shared" ca="1" si="50"/>
        <v>0.69158140354464048</v>
      </c>
      <c r="C370" s="14">
        <f t="shared" ca="1" si="50"/>
        <v>5.9448964412660565E-3</v>
      </c>
      <c r="D370" s="14">
        <f t="shared" ca="1" si="51"/>
        <v>0.50033787002265617</v>
      </c>
      <c r="E370" s="14">
        <f t="shared" ca="1" si="52"/>
        <v>-2.5153984368793476</v>
      </c>
      <c r="F370" s="14">
        <f t="shared" ca="1" si="53"/>
        <v>-0.64613267588933421</v>
      </c>
      <c r="G370" s="14">
        <f t="shared" ca="1" si="54"/>
        <v>0.69158140354464059</v>
      </c>
      <c r="H370" s="15">
        <f t="shared" ca="1" si="55"/>
        <v>5.9448964412660574E-3</v>
      </c>
      <c r="I370" s="14">
        <f ca="1">IF(G370&lt;0.05,1,0)*$B$1*$B$2</f>
        <v>0</v>
      </c>
      <c r="J370" s="14">
        <f ca="1">IF(H370&lt;0.05,1,0)*$B$1*$B$2</f>
        <v>40</v>
      </c>
      <c r="K370" s="15">
        <f t="shared" ca="1" si="56"/>
        <v>40</v>
      </c>
      <c r="P370" s="3">
        <v>366</v>
      </c>
      <c r="Q370" s="4">
        <f t="shared" ca="1" si="57"/>
        <v>0.69158140354464059</v>
      </c>
      <c r="R370" s="4">
        <f t="shared" ca="1" si="58"/>
        <v>5.9448964412660574E-3</v>
      </c>
      <c r="S370" s="4">
        <f ca="1">$B$1*Q370*$B$2</f>
        <v>27.663256141785624</v>
      </c>
      <c r="T370" s="4">
        <f ca="1">$B$1*R370*$B$2</f>
        <v>0.23779585765064232</v>
      </c>
      <c r="U370" s="7">
        <f t="shared" ca="1" si="59"/>
        <v>27.901051999436266</v>
      </c>
    </row>
    <row r="371" spans="2:21" x14ac:dyDescent="0.3">
      <c r="B371" s="13">
        <f t="shared" ca="1" si="50"/>
        <v>0.43340174136493714</v>
      </c>
      <c r="C371" s="14">
        <f t="shared" ca="1" si="50"/>
        <v>0.54173386905321397</v>
      </c>
      <c r="D371" s="14">
        <f t="shared" ca="1" si="51"/>
        <v>-0.16772009992660686</v>
      </c>
      <c r="E371" s="14">
        <f t="shared" ca="1" si="52"/>
        <v>0.1048028331629563</v>
      </c>
      <c r="F371" s="14">
        <f t="shared" ca="1" si="53"/>
        <v>-0.10526559405853822</v>
      </c>
      <c r="G371" s="14">
        <f t="shared" ca="1" si="54"/>
        <v>0.43340174136493714</v>
      </c>
      <c r="H371" s="15">
        <f t="shared" ca="1" si="55"/>
        <v>0.54173386905321397</v>
      </c>
      <c r="I371" s="14">
        <f ca="1">IF(G371&lt;0.05,1,0)*$B$1*$B$2</f>
        <v>0</v>
      </c>
      <c r="J371" s="14">
        <f ca="1">IF(H371&lt;0.05,1,0)*$B$1*$B$2</f>
        <v>0</v>
      </c>
      <c r="K371" s="15">
        <f t="shared" ca="1" si="56"/>
        <v>0</v>
      </c>
      <c r="P371" s="3">
        <v>367</v>
      </c>
      <c r="Q371" s="4">
        <f t="shared" ca="1" si="57"/>
        <v>0.43340174136493714</v>
      </c>
      <c r="R371" s="4">
        <f t="shared" ca="1" si="58"/>
        <v>0.54173386905321397</v>
      </c>
      <c r="S371" s="4">
        <f ca="1">$B$1*Q371*$B$2</f>
        <v>17.336069654597487</v>
      </c>
      <c r="T371" s="4">
        <f ca="1">$B$1*R371*$B$2</f>
        <v>21.66935476212856</v>
      </c>
      <c r="U371" s="7">
        <f t="shared" ca="1" si="59"/>
        <v>39.005424416726044</v>
      </c>
    </row>
    <row r="372" spans="2:21" x14ac:dyDescent="0.3">
      <c r="B372" s="13">
        <f t="shared" ca="1" si="50"/>
        <v>0.37944942591433539</v>
      </c>
      <c r="C372" s="14">
        <f t="shared" ca="1" si="50"/>
        <v>0.11703372094683939</v>
      </c>
      <c r="D372" s="14">
        <f t="shared" ca="1" si="51"/>
        <v>-0.30692711227832326</v>
      </c>
      <c r="E372" s="14">
        <f t="shared" ca="1" si="52"/>
        <v>-1.1899464453406983</v>
      </c>
      <c r="F372" s="14">
        <f t="shared" ca="1" si="53"/>
        <v>-0.79492003139704592</v>
      </c>
      <c r="G372" s="14">
        <f t="shared" ca="1" si="54"/>
        <v>0.37944942591433534</v>
      </c>
      <c r="H372" s="15">
        <f t="shared" ca="1" si="55"/>
        <v>0.11703372094683939</v>
      </c>
      <c r="I372" s="14">
        <f ca="1">IF(G372&lt;0.05,1,0)*$B$1*$B$2</f>
        <v>0</v>
      </c>
      <c r="J372" s="14">
        <f ca="1">IF(H372&lt;0.05,1,0)*$B$1*$B$2</f>
        <v>0</v>
      </c>
      <c r="K372" s="15">
        <f t="shared" ca="1" si="56"/>
        <v>0</v>
      </c>
      <c r="P372" s="3">
        <v>368</v>
      </c>
      <c r="Q372" s="4">
        <f t="shared" ca="1" si="57"/>
        <v>0.37944942591433534</v>
      </c>
      <c r="R372" s="4">
        <f t="shared" ca="1" si="58"/>
        <v>0.11703372094683939</v>
      </c>
      <c r="S372" s="4">
        <f ca="1">$B$1*Q372*$B$2</f>
        <v>15.177977036573413</v>
      </c>
      <c r="T372" s="4">
        <f ca="1">$B$1*R372*$B$2</f>
        <v>4.6813488378735757</v>
      </c>
      <c r="U372" s="7">
        <f t="shared" ca="1" si="59"/>
        <v>19.859325874446988</v>
      </c>
    </row>
    <row r="373" spans="2:21" x14ac:dyDescent="0.3">
      <c r="B373" s="13">
        <f t="shared" ca="1" si="50"/>
        <v>0.60645904266907202</v>
      </c>
      <c r="C373" s="14">
        <f t="shared" ca="1" si="50"/>
        <v>0.69973499690489416</v>
      </c>
      <c r="D373" s="14">
        <f t="shared" ca="1" si="51"/>
        <v>0.27010182950804873</v>
      </c>
      <c r="E373" s="14">
        <f t="shared" ca="1" si="52"/>
        <v>0.52363848853766648</v>
      </c>
      <c r="F373" s="14">
        <f t="shared" ca="1" si="53"/>
        <v>0.47134037200565077</v>
      </c>
      <c r="G373" s="14">
        <f t="shared" ca="1" si="54"/>
        <v>0.60645904266907202</v>
      </c>
      <c r="H373" s="15">
        <f t="shared" ca="1" si="55"/>
        <v>0.69973499690489427</v>
      </c>
      <c r="I373" s="14">
        <f ca="1">IF(G373&lt;0.05,1,0)*$B$1*$B$2</f>
        <v>0</v>
      </c>
      <c r="J373" s="14">
        <f ca="1">IF(H373&lt;0.05,1,0)*$B$1*$B$2</f>
        <v>0</v>
      </c>
      <c r="K373" s="15">
        <f t="shared" ca="1" si="56"/>
        <v>0</v>
      </c>
      <c r="P373" s="3">
        <v>369</v>
      </c>
      <c r="Q373" s="4">
        <f t="shared" ca="1" si="57"/>
        <v>0.60645904266907202</v>
      </c>
      <c r="R373" s="4">
        <f t="shared" ca="1" si="58"/>
        <v>0.69973499690489427</v>
      </c>
      <c r="S373" s="4">
        <f ca="1">$B$1*Q373*$B$2</f>
        <v>24.258361706762884</v>
      </c>
      <c r="T373" s="4">
        <f ca="1">$B$1*R373*$B$2</f>
        <v>27.989399876195776</v>
      </c>
      <c r="U373" s="7">
        <f t="shared" ca="1" si="59"/>
        <v>52.24776158295866</v>
      </c>
    </row>
    <row r="374" spans="2:21" x14ac:dyDescent="0.3">
      <c r="B374" s="13">
        <f t="shared" ca="1" si="50"/>
        <v>0.85025698802453265</v>
      </c>
      <c r="C374" s="14">
        <f t="shared" ca="1" si="50"/>
        <v>0.59025147031103697</v>
      </c>
      <c r="D374" s="14">
        <f t="shared" ca="1" si="51"/>
        <v>1.0375362215640627</v>
      </c>
      <c r="E374" s="14">
        <f t="shared" ca="1" si="52"/>
        <v>0.22819189848999102</v>
      </c>
      <c r="F374" s="14">
        <f t="shared" ca="1" si="53"/>
        <v>1.0332491419329126</v>
      </c>
      <c r="G374" s="14">
        <f t="shared" ca="1" si="54"/>
        <v>0.85025698802453276</v>
      </c>
      <c r="H374" s="15">
        <f t="shared" ca="1" si="55"/>
        <v>0.59025147031103709</v>
      </c>
      <c r="I374" s="14">
        <f ca="1">IF(G374&lt;0.05,1,0)*$B$1*$B$2</f>
        <v>0</v>
      </c>
      <c r="J374" s="14">
        <f ca="1">IF(H374&lt;0.05,1,0)*$B$1*$B$2</f>
        <v>0</v>
      </c>
      <c r="K374" s="15">
        <f t="shared" ca="1" si="56"/>
        <v>0</v>
      </c>
      <c r="P374" s="3">
        <v>370</v>
      </c>
      <c r="Q374" s="4">
        <f t="shared" ca="1" si="57"/>
        <v>0.85025698802453276</v>
      </c>
      <c r="R374" s="4">
        <f t="shared" ca="1" si="58"/>
        <v>0.59025147031103709</v>
      </c>
      <c r="S374" s="4">
        <f ca="1">$B$1*Q374*$B$2</f>
        <v>34.010279520981314</v>
      </c>
      <c r="T374" s="4">
        <f ca="1">$B$1*R374*$B$2</f>
        <v>23.610058812441483</v>
      </c>
      <c r="U374" s="7">
        <f t="shared" ca="1" si="59"/>
        <v>57.620338333422794</v>
      </c>
    </row>
    <row r="375" spans="2:21" x14ac:dyDescent="0.3">
      <c r="B375" s="13">
        <f t="shared" ca="1" si="50"/>
        <v>0.26489988405928466</v>
      </c>
      <c r="C375" s="14">
        <f t="shared" ca="1" si="50"/>
        <v>0.51053854276172095</v>
      </c>
      <c r="D375" s="14">
        <f t="shared" ca="1" si="51"/>
        <v>-0.62831170068241182</v>
      </c>
      <c r="E375" s="14">
        <f t="shared" ca="1" si="52"/>
        <v>2.6419282286594958E-2</v>
      </c>
      <c r="F375" s="14">
        <f t="shared" ca="1" si="53"/>
        <v>-0.55396463244935656</v>
      </c>
      <c r="G375" s="14">
        <f t="shared" ca="1" si="54"/>
        <v>0.26489988405928466</v>
      </c>
      <c r="H375" s="15">
        <f t="shared" ca="1" si="55"/>
        <v>0.51053854276172095</v>
      </c>
      <c r="I375" s="14">
        <f ca="1">IF(G375&lt;0.05,1,0)*$B$1*$B$2</f>
        <v>0</v>
      </c>
      <c r="J375" s="14">
        <f ca="1">IF(H375&lt;0.05,1,0)*$B$1*$B$2</f>
        <v>0</v>
      </c>
      <c r="K375" s="15">
        <f t="shared" ca="1" si="56"/>
        <v>0</v>
      </c>
      <c r="P375" s="3">
        <v>371</v>
      </c>
      <c r="Q375" s="4">
        <f t="shared" ca="1" si="57"/>
        <v>0.26489988405928466</v>
      </c>
      <c r="R375" s="4">
        <f t="shared" ca="1" si="58"/>
        <v>0.51053854276172095</v>
      </c>
      <c r="S375" s="4">
        <f ca="1">$B$1*Q375*$B$2</f>
        <v>10.595995362371387</v>
      </c>
      <c r="T375" s="4">
        <f ca="1">$B$1*R375*$B$2</f>
        <v>20.421541710468841</v>
      </c>
      <c r="U375" s="7">
        <f t="shared" ca="1" si="59"/>
        <v>31.017537072840227</v>
      </c>
    </row>
    <row r="376" spans="2:21" x14ac:dyDescent="0.3">
      <c r="B376" s="13">
        <f t="shared" ca="1" si="50"/>
        <v>0.96138710277975858</v>
      </c>
      <c r="C376" s="14">
        <f t="shared" ca="1" si="50"/>
        <v>0.72246199349903262</v>
      </c>
      <c r="D376" s="14">
        <f t="shared" ca="1" si="51"/>
        <v>1.7670145330826421</v>
      </c>
      <c r="E376" s="14">
        <f t="shared" ca="1" si="52"/>
        <v>0.59017099906661397</v>
      </c>
      <c r="F376" s="14">
        <f t="shared" ca="1" si="53"/>
        <v>1.8475626542083585</v>
      </c>
      <c r="G376" s="14">
        <f t="shared" ca="1" si="54"/>
        <v>0.96138710277975858</v>
      </c>
      <c r="H376" s="15">
        <f t="shared" ca="1" si="55"/>
        <v>0.72246199349903273</v>
      </c>
      <c r="I376" s="14">
        <f ca="1">IF(G376&lt;0.05,1,0)*$B$1*$B$2</f>
        <v>0</v>
      </c>
      <c r="J376" s="14">
        <f ca="1">IF(H376&lt;0.05,1,0)*$B$1*$B$2</f>
        <v>0</v>
      </c>
      <c r="K376" s="15">
        <f t="shared" ca="1" si="56"/>
        <v>0</v>
      </c>
      <c r="P376" s="3">
        <v>372</v>
      </c>
      <c r="Q376" s="4">
        <f t="shared" ca="1" si="57"/>
        <v>0.96138710277975858</v>
      </c>
      <c r="R376" s="4">
        <f t="shared" ca="1" si="58"/>
        <v>0.72246199349903273</v>
      </c>
      <c r="S376" s="4">
        <f ca="1">$B$1*Q376*$B$2</f>
        <v>38.455484111190344</v>
      </c>
      <c r="T376" s="4">
        <f ca="1">$B$1*R376*$B$2</f>
        <v>28.898479739961314</v>
      </c>
      <c r="U376" s="7">
        <f t="shared" ca="1" si="59"/>
        <v>67.353963851151661</v>
      </c>
    </row>
    <row r="377" spans="2:21" x14ac:dyDescent="0.3">
      <c r="B377" s="13">
        <f t="shared" ca="1" si="50"/>
        <v>1.6124809397000672E-2</v>
      </c>
      <c r="C377" s="14">
        <f t="shared" ca="1" si="50"/>
        <v>0.34329861981987531</v>
      </c>
      <c r="D377" s="14">
        <f t="shared" ca="1" si="51"/>
        <v>-2.1413029078223209</v>
      </c>
      <c r="E377" s="14">
        <f t="shared" ca="1" si="52"/>
        <v>-0.40347715200067513</v>
      </c>
      <c r="F377" s="14">
        <f t="shared" ca="1" si="53"/>
        <v>-2.1030442301999432</v>
      </c>
      <c r="G377" s="14">
        <f t="shared" ca="1" si="54"/>
        <v>1.6124809397000683E-2</v>
      </c>
      <c r="H377" s="15">
        <f t="shared" ca="1" si="55"/>
        <v>0.34329861981987519</v>
      </c>
      <c r="I377" s="14">
        <f ca="1">IF(G377&lt;0.05,1,0)*$B$1*$B$2</f>
        <v>40</v>
      </c>
      <c r="J377" s="14">
        <f ca="1">IF(H377&lt;0.05,1,0)*$B$1*$B$2</f>
        <v>0</v>
      </c>
      <c r="K377" s="15">
        <f t="shared" ca="1" si="56"/>
        <v>40</v>
      </c>
      <c r="P377" s="3">
        <v>373</v>
      </c>
      <c r="Q377" s="4">
        <f t="shared" ca="1" si="57"/>
        <v>1.6124809397000683E-2</v>
      </c>
      <c r="R377" s="4">
        <f t="shared" ca="1" si="58"/>
        <v>0.34329861981987519</v>
      </c>
      <c r="S377" s="4">
        <f ca="1">$B$1*Q377*$B$2</f>
        <v>0.64499237588002734</v>
      </c>
      <c r="T377" s="4">
        <f ca="1">$B$1*R377*$B$2</f>
        <v>13.731944792795009</v>
      </c>
      <c r="U377" s="7">
        <f t="shared" ca="1" si="59"/>
        <v>14.376937168675036</v>
      </c>
    </row>
    <row r="378" spans="2:21" x14ac:dyDescent="0.3">
      <c r="B378" s="13">
        <f t="shared" ca="1" si="50"/>
        <v>0.31118538308850352</v>
      </c>
      <c r="C378" s="14">
        <f t="shared" ca="1" si="50"/>
        <v>0.30647425669188111</v>
      </c>
      <c r="D378" s="14">
        <f t="shared" ca="1" si="51"/>
        <v>-0.49249314581572395</v>
      </c>
      <c r="E378" s="14">
        <f t="shared" ca="1" si="52"/>
        <v>-0.50586914597343069</v>
      </c>
      <c r="F378" s="14">
        <f t="shared" ca="1" si="53"/>
        <v>-0.66374707982949244</v>
      </c>
      <c r="G378" s="14">
        <f t="shared" ca="1" si="54"/>
        <v>0.31118538308850341</v>
      </c>
      <c r="H378" s="15">
        <f t="shared" ca="1" si="55"/>
        <v>0.30647425669188111</v>
      </c>
      <c r="I378" s="14">
        <f ca="1">IF(G378&lt;0.05,1,0)*$B$1*$B$2</f>
        <v>0</v>
      </c>
      <c r="J378" s="14">
        <f ca="1">IF(H378&lt;0.05,1,0)*$B$1*$B$2</f>
        <v>0</v>
      </c>
      <c r="K378" s="15">
        <f t="shared" ca="1" si="56"/>
        <v>0</v>
      </c>
      <c r="P378" s="3">
        <v>374</v>
      </c>
      <c r="Q378" s="4">
        <f t="shared" ca="1" si="57"/>
        <v>0.31118538308850341</v>
      </c>
      <c r="R378" s="4">
        <f t="shared" ca="1" si="58"/>
        <v>0.30647425669188111</v>
      </c>
      <c r="S378" s="4">
        <f ca="1">$B$1*Q378*$B$2</f>
        <v>12.447415323540136</v>
      </c>
      <c r="T378" s="4">
        <f ca="1">$B$1*R378*$B$2</f>
        <v>12.258970267675245</v>
      </c>
      <c r="U378" s="7">
        <f t="shared" ca="1" si="59"/>
        <v>24.70638559121538</v>
      </c>
    </row>
    <row r="379" spans="2:21" x14ac:dyDescent="0.3">
      <c r="B379" s="13">
        <f t="shared" ca="1" si="50"/>
        <v>0.84763046050668411</v>
      </c>
      <c r="C379" s="14">
        <f t="shared" ca="1" si="50"/>
        <v>0.8644621327404598</v>
      </c>
      <c r="D379" s="14">
        <f t="shared" ca="1" si="51"/>
        <v>1.0263235951735388</v>
      </c>
      <c r="E379" s="14">
        <f t="shared" ca="1" si="52"/>
        <v>1.1005886340132685</v>
      </c>
      <c r="F379" s="14">
        <f t="shared" ca="1" si="53"/>
        <v>1.4034266990635158</v>
      </c>
      <c r="G379" s="14">
        <f t="shared" ca="1" si="54"/>
        <v>0.84763046050668378</v>
      </c>
      <c r="H379" s="15">
        <f t="shared" ca="1" si="55"/>
        <v>0.86446213274045991</v>
      </c>
      <c r="I379" s="14">
        <f ca="1">IF(G379&lt;0.05,1,0)*$B$1*$B$2</f>
        <v>0</v>
      </c>
      <c r="J379" s="14">
        <f ca="1">IF(H379&lt;0.05,1,0)*$B$1*$B$2</f>
        <v>0</v>
      </c>
      <c r="K379" s="15">
        <f t="shared" ca="1" si="56"/>
        <v>0</v>
      </c>
      <c r="P379" s="3">
        <v>375</v>
      </c>
      <c r="Q379" s="4">
        <f t="shared" ca="1" si="57"/>
        <v>0.84763046050668378</v>
      </c>
      <c r="R379" s="4">
        <f t="shared" ca="1" si="58"/>
        <v>0.86446213274045991</v>
      </c>
      <c r="S379" s="4">
        <f ca="1">$B$1*Q379*$B$2</f>
        <v>33.905218420267353</v>
      </c>
      <c r="T379" s="4">
        <f ca="1">$B$1*R379*$B$2</f>
        <v>34.578485309618394</v>
      </c>
      <c r="U379" s="7">
        <f t="shared" ca="1" si="59"/>
        <v>68.483703729885747</v>
      </c>
    </row>
    <row r="380" spans="2:21" x14ac:dyDescent="0.3">
      <c r="B380" s="13">
        <f t="shared" ca="1" si="50"/>
        <v>0.37336630403751492</v>
      </c>
      <c r="C380" s="14">
        <f t="shared" ca="1" si="50"/>
        <v>0.69055751665139575</v>
      </c>
      <c r="D380" s="14">
        <f t="shared" ca="1" si="51"/>
        <v>-0.32295066126947858</v>
      </c>
      <c r="E380" s="14">
        <f t="shared" ca="1" si="52"/>
        <v>0.49743125911276515</v>
      </c>
      <c r="F380" s="14">
        <f t="shared" ca="1" si="53"/>
        <v>-7.3830336159456889E-2</v>
      </c>
      <c r="G380" s="14">
        <f t="shared" ca="1" si="54"/>
        <v>0.37336630403751492</v>
      </c>
      <c r="H380" s="15">
        <f t="shared" ca="1" si="55"/>
        <v>0.69055751665139575</v>
      </c>
      <c r="I380" s="14">
        <f ca="1">IF(G380&lt;0.05,1,0)*$B$1*$B$2</f>
        <v>0</v>
      </c>
      <c r="J380" s="14">
        <f ca="1">IF(H380&lt;0.05,1,0)*$B$1*$B$2</f>
        <v>0</v>
      </c>
      <c r="K380" s="15">
        <f t="shared" ca="1" si="56"/>
        <v>0</v>
      </c>
      <c r="P380" s="3">
        <v>376</v>
      </c>
      <c r="Q380" s="4">
        <f t="shared" ca="1" si="57"/>
        <v>0.37336630403751492</v>
      </c>
      <c r="R380" s="4">
        <f t="shared" ca="1" si="58"/>
        <v>0.69055751665139575</v>
      </c>
      <c r="S380" s="4">
        <f ca="1">$B$1*Q380*$B$2</f>
        <v>14.934652161500598</v>
      </c>
      <c r="T380" s="4">
        <f ca="1">$B$1*R380*$B$2</f>
        <v>27.622300666055835</v>
      </c>
      <c r="U380" s="7">
        <f t="shared" ca="1" si="59"/>
        <v>42.556952827556429</v>
      </c>
    </row>
    <row r="381" spans="2:21" x14ac:dyDescent="0.3">
      <c r="B381" s="13">
        <f t="shared" ca="1" si="50"/>
        <v>1.9177546688812441E-2</v>
      </c>
      <c r="C381" s="14">
        <f t="shared" ca="1" si="50"/>
        <v>0.495294596607886</v>
      </c>
      <c r="D381" s="14">
        <f t="shared" ca="1" si="51"/>
        <v>-2.0710396229836667</v>
      </c>
      <c r="E381" s="14">
        <f t="shared" ca="1" si="52"/>
        <v>-1.1794970669184333E-2</v>
      </c>
      <c r="F381" s="14">
        <f t="shared" ca="1" si="53"/>
        <v>-1.8690769692042002</v>
      </c>
      <c r="G381" s="14">
        <f t="shared" ca="1" si="54"/>
        <v>1.9177546688812452E-2</v>
      </c>
      <c r="H381" s="15">
        <f t="shared" ca="1" si="55"/>
        <v>0.495294596607886</v>
      </c>
      <c r="I381" s="14">
        <f ca="1">IF(G381&lt;0.05,1,0)*$B$1*$B$2</f>
        <v>40</v>
      </c>
      <c r="J381" s="14">
        <f ca="1">IF(H381&lt;0.05,1,0)*$B$1*$B$2</f>
        <v>0</v>
      </c>
      <c r="K381" s="15">
        <f t="shared" ca="1" si="56"/>
        <v>40</v>
      </c>
      <c r="P381" s="3">
        <v>377</v>
      </c>
      <c r="Q381" s="4">
        <f t="shared" ca="1" si="57"/>
        <v>1.9177546688812452E-2</v>
      </c>
      <c r="R381" s="4">
        <f t="shared" ca="1" si="58"/>
        <v>0.495294596607886</v>
      </c>
      <c r="S381" s="4">
        <f ca="1">$B$1*Q381*$B$2</f>
        <v>0.7671018675524981</v>
      </c>
      <c r="T381" s="4">
        <f ca="1">$B$1*R381*$B$2</f>
        <v>19.811783864315441</v>
      </c>
      <c r="U381" s="7">
        <f t="shared" ca="1" si="59"/>
        <v>20.578885731867938</v>
      </c>
    </row>
    <row r="382" spans="2:21" x14ac:dyDescent="0.3">
      <c r="B382" s="13">
        <f t="shared" ca="1" si="50"/>
        <v>0.29154881033979996</v>
      </c>
      <c r="C382" s="14">
        <f t="shared" ca="1" si="50"/>
        <v>0.48834061213546209</v>
      </c>
      <c r="D382" s="14">
        <f t="shared" ca="1" si="51"/>
        <v>-0.54886569693201581</v>
      </c>
      <c r="E382" s="14">
        <f t="shared" ca="1" si="52"/>
        <v>-2.9229913033023594E-2</v>
      </c>
      <c r="F382" s="14">
        <f t="shared" ca="1" si="53"/>
        <v>-0.50672015094275746</v>
      </c>
      <c r="G382" s="14">
        <f t="shared" ca="1" si="54"/>
        <v>0.29154881033979996</v>
      </c>
      <c r="H382" s="15">
        <f t="shared" ca="1" si="55"/>
        <v>0.48834061213546209</v>
      </c>
      <c r="I382" s="14">
        <f ca="1">IF(G382&lt;0.05,1,0)*$B$1*$B$2</f>
        <v>0</v>
      </c>
      <c r="J382" s="14">
        <f ca="1">IF(H382&lt;0.05,1,0)*$B$1*$B$2</f>
        <v>0</v>
      </c>
      <c r="K382" s="15">
        <f t="shared" ca="1" si="56"/>
        <v>0</v>
      </c>
      <c r="P382" s="3">
        <v>378</v>
      </c>
      <c r="Q382" s="4">
        <f t="shared" ca="1" si="57"/>
        <v>0.29154881033979996</v>
      </c>
      <c r="R382" s="4">
        <f t="shared" ca="1" si="58"/>
        <v>0.48834061213546209</v>
      </c>
      <c r="S382" s="4">
        <f ca="1">$B$1*Q382*$B$2</f>
        <v>11.661952413591999</v>
      </c>
      <c r="T382" s="4">
        <f ca="1">$B$1*R382*$B$2</f>
        <v>19.533624485418486</v>
      </c>
      <c r="U382" s="7">
        <f t="shared" ca="1" si="59"/>
        <v>31.195576899010483</v>
      </c>
    </row>
    <row r="383" spans="2:21" x14ac:dyDescent="0.3">
      <c r="B383" s="13">
        <f t="shared" ca="1" si="50"/>
        <v>0.17020983794406408</v>
      </c>
      <c r="C383" s="14">
        <f t="shared" ca="1" si="50"/>
        <v>0.30472442354553542</v>
      </c>
      <c r="D383" s="14">
        <f t="shared" ca="1" si="51"/>
        <v>-0.95333635741306655</v>
      </c>
      <c r="E383" s="14">
        <f t="shared" ca="1" si="52"/>
        <v>-0.51086034965690486</v>
      </c>
      <c r="F383" s="14">
        <f t="shared" ca="1" si="53"/>
        <v>-1.08068158551339</v>
      </c>
      <c r="G383" s="14">
        <f t="shared" ca="1" si="54"/>
        <v>0.17020983794406411</v>
      </c>
      <c r="H383" s="15">
        <f t="shared" ca="1" si="55"/>
        <v>0.30472442354553536</v>
      </c>
      <c r="I383" s="14">
        <f ca="1">IF(G383&lt;0.05,1,0)*$B$1*$B$2</f>
        <v>0</v>
      </c>
      <c r="J383" s="14">
        <f ca="1">IF(H383&lt;0.05,1,0)*$B$1*$B$2</f>
        <v>0</v>
      </c>
      <c r="K383" s="15">
        <f t="shared" ca="1" si="56"/>
        <v>0</v>
      </c>
      <c r="P383" s="3">
        <v>379</v>
      </c>
      <c r="Q383" s="4">
        <f t="shared" ca="1" si="57"/>
        <v>0.17020983794406411</v>
      </c>
      <c r="R383" s="4">
        <f t="shared" ca="1" si="58"/>
        <v>0.30472442354553536</v>
      </c>
      <c r="S383" s="4">
        <f ca="1">$B$1*Q383*$B$2</f>
        <v>6.808393517762565</v>
      </c>
      <c r="T383" s="4">
        <f ca="1">$B$1*R383*$B$2</f>
        <v>12.188976941821416</v>
      </c>
      <c r="U383" s="7">
        <f t="shared" ca="1" si="59"/>
        <v>18.99737045958398</v>
      </c>
    </row>
    <row r="384" spans="2:21" x14ac:dyDescent="0.3">
      <c r="B384" s="13">
        <f t="shared" ca="1" si="50"/>
        <v>1.0394883478302752E-2</v>
      </c>
      <c r="C384" s="14">
        <f t="shared" ca="1" si="50"/>
        <v>0.90085945812948331</v>
      </c>
      <c r="D384" s="14">
        <f t="shared" ca="1" si="51"/>
        <v>-2.311780782870843</v>
      </c>
      <c r="E384" s="14">
        <f t="shared" ca="1" si="52"/>
        <v>1.2864642615297208</v>
      </c>
      <c r="F384" s="14">
        <f t="shared" ca="1" si="53"/>
        <v>-1.5198459335352856</v>
      </c>
      <c r="G384" s="14">
        <f t="shared" ca="1" si="54"/>
        <v>1.0394883478302749E-2</v>
      </c>
      <c r="H384" s="15">
        <f t="shared" ca="1" si="55"/>
        <v>0.90085945812948331</v>
      </c>
      <c r="I384" s="14">
        <f ca="1">IF(G384&lt;0.05,1,0)*$B$1*$B$2</f>
        <v>40</v>
      </c>
      <c r="J384" s="14">
        <f ca="1">IF(H384&lt;0.05,1,0)*$B$1*$B$2</f>
        <v>0</v>
      </c>
      <c r="K384" s="15">
        <f t="shared" ca="1" si="56"/>
        <v>40</v>
      </c>
      <c r="P384" s="3">
        <v>380</v>
      </c>
      <c r="Q384" s="4">
        <f t="shared" ca="1" si="57"/>
        <v>1.0394883478302749E-2</v>
      </c>
      <c r="R384" s="4">
        <f t="shared" ca="1" si="58"/>
        <v>0.90085945812948331</v>
      </c>
      <c r="S384" s="4">
        <f ca="1">$B$1*Q384*$B$2</f>
        <v>0.41579533913210992</v>
      </c>
      <c r="T384" s="4">
        <f ca="1">$B$1*R384*$B$2</f>
        <v>36.034378325179333</v>
      </c>
      <c r="U384" s="7">
        <f t="shared" ca="1" si="59"/>
        <v>36.450173664311443</v>
      </c>
    </row>
    <row r="385" spans="2:21" x14ac:dyDescent="0.3">
      <c r="B385" s="13">
        <f t="shared" ca="1" si="50"/>
        <v>0.62361665426530288</v>
      </c>
      <c r="C385" s="14">
        <f t="shared" ca="1" si="50"/>
        <v>0.20866108714625542</v>
      </c>
      <c r="D385" s="14">
        <f t="shared" ca="1" si="51"/>
        <v>0.31499336516739201</v>
      </c>
      <c r="E385" s="14">
        <f t="shared" ca="1" si="52"/>
        <v>-0.81107574421611661</v>
      </c>
      <c r="F385" s="14">
        <f t="shared" ca="1" si="53"/>
        <v>-7.0045691808856725E-2</v>
      </c>
      <c r="G385" s="14">
        <f t="shared" ca="1" si="54"/>
        <v>0.62361665426530288</v>
      </c>
      <c r="H385" s="15">
        <f t="shared" ca="1" si="55"/>
        <v>0.2086610871462555</v>
      </c>
      <c r="I385" s="14">
        <f ca="1">IF(G385&lt;0.05,1,0)*$B$1*$B$2</f>
        <v>0</v>
      </c>
      <c r="J385" s="14">
        <f ca="1">IF(H385&lt;0.05,1,0)*$B$1*$B$2</f>
        <v>0</v>
      </c>
      <c r="K385" s="15">
        <f t="shared" ca="1" si="56"/>
        <v>0</v>
      </c>
      <c r="P385" s="3">
        <v>381</v>
      </c>
      <c r="Q385" s="4">
        <f t="shared" ca="1" si="57"/>
        <v>0.62361665426530288</v>
      </c>
      <c r="R385" s="4">
        <f t="shared" ca="1" si="58"/>
        <v>0.2086610871462555</v>
      </c>
      <c r="S385" s="4">
        <f ca="1">$B$1*Q385*$B$2</f>
        <v>24.944666170612116</v>
      </c>
      <c r="T385" s="4">
        <f ca="1">$B$1*R385*$B$2</f>
        <v>8.3464434858502212</v>
      </c>
      <c r="U385" s="7">
        <f t="shared" ca="1" si="59"/>
        <v>33.291109656462339</v>
      </c>
    </row>
    <row r="386" spans="2:21" x14ac:dyDescent="0.3">
      <c r="B386" s="13">
        <f t="shared" ca="1" si="50"/>
        <v>7.6323749087715442E-2</v>
      </c>
      <c r="C386" s="14">
        <f t="shared" ca="1" si="50"/>
        <v>0.71823110448309979</v>
      </c>
      <c r="D386" s="14">
        <f t="shared" ca="1" si="51"/>
        <v>-1.4302422673763731</v>
      </c>
      <c r="E386" s="14">
        <f t="shared" ca="1" si="52"/>
        <v>0.57759469258571361</v>
      </c>
      <c r="F386" s="14">
        <f t="shared" ca="1" si="53"/>
        <v>-1.035450351108079</v>
      </c>
      <c r="G386" s="14">
        <f t="shared" ca="1" si="54"/>
        <v>7.6323749087715692E-2</v>
      </c>
      <c r="H386" s="15">
        <f t="shared" ca="1" si="55"/>
        <v>0.71823110448309979</v>
      </c>
      <c r="I386" s="14">
        <f ca="1">IF(G386&lt;0.05,1,0)*$B$1*$B$2</f>
        <v>0</v>
      </c>
      <c r="J386" s="14">
        <f ca="1">IF(H386&lt;0.05,1,0)*$B$1*$B$2</f>
        <v>0</v>
      </c>
      <c r="K386" s="15">
        <f t="shared" ca="1" si="56"/>
        <v>0</v>
      </c>
      <c r="P386" s="3">
        <v>382</v>
      </c>
      <c r="Q386" s="4">
        <f t="shared" ca="1" si="57"/>
        <v>7.6323749087715692E-2</v>
      </c>
      <c r="R386" s="4">
        <f t="shared" ca="1" si="58"/>
        <v>0.71823110448309979</v>
      </c>
      <c r="S386" s="4">
        <f ca="1">$B$1*Q386*$B$2</f>
        <v>3.0529499635086279</v>
      </c>
      <c r="T386" s="4">
        <f ca="1">$B$1*R386*$B$2</f>
        <v>28.729244179323992</v>
      </c>
      <c r="U386" s="7">
        <f t="shared" ca="1" si="59"/>
        <v>31.782194142832619</v>
      </c>
    </row>
    <row r="387" spans="2:21" x14ac:dyDescent="0.3">
      <c r="B387" s="13">
        <f t="shared" ca="1" si="50"/>
        <v>0.3534834852379013</v>
      </c>
      <c r="C387" s="14">
        <f t="shared" ca="1" si="50"/>
        <v>0.94558547833571127</v>
      </c>
      <c r="D387" s="14">
        <f t="shared" ca="1" si="51"/>
        <v>-0.37593264496052492</v>
      </c>
      <c r="E387" s="14">
        <f t="shared" ca="1" si="52"/>
        <v>1.6034785399607316</v>
      </c>
      <c r="F387" s="14">
        <f t="shared" ca="1" si="53"/>
        <v>0.36060071091802492</v>
      </c>
      <c r="G387" s="14">
        <f t="shared" ca="1" si="54"/>
        <v>0.3534834852379013</v>
      </c>
      <c r="H387" s="15">
        <f t="shared" ca="1" si="55"/>
        <v>0.94558547833571116</v>
      </c>
      <c r="I387" s="14">
        <f ca="1">IF(G387&lt;0.05,1,0)*$B$1*$B$2</f>
        <v>0</v>
      </c>
      <c r="J387" s="14">
        <f ca="1">IF(H387&lt;0.05,1,0)*$B$1*$B$2</f>
        <v>0</v>
      </c>
      <c r="K387" s="15">
        <f t="shared" ca="1" si="56"/>
        <v>0</v>
      </c>
      <c r="P387" s="3">
        <v>383</v>
      </c>
      <c r="Q387" s="4">
        <f t="shared" ca="1" si="57"/>
        <v>0.3534834852379013</v>
      </c>
      <c r="R387" s="4">
        <f t="shared" ca="1" si="58"/>
        <v>0.94558547833571116</v>
      </c>
      <c r="S387" s="4">
        <f ca="1">$B$1*Q387*$B$2</f>
        <v>14.139339409516053</v>
      </c>
      <c r="T387" s="4">
        <f ca="1">$B$1*R387*$B$2</f>
        <v>37.823419133428445</v>
      </c>
      <c r="U387" s="7">
        <f t="shared" ca="1" si="59"/>
        <v>51.962758542944499</v>
      </c>
    </row>
    <row r="388" spans="2:21" x14ac:dyDescent="0.3">
      <c r="B388" s="13">
        <f t="shared" ca="1" si="50"/>
        <v>0.76719732525258111</v>
      </c>
      <c r="C388" s="14">
        <f t="shared" ca="1" si="50"/>
        <v>0.28742223083722784</v>
      </c>
      <c r="D388" s="14">
        <f t="shared" ca="1" si="51"/>
        <v>0.72964803998207872</v>
      </c>
      <c r="E388" s="14">
        <f t="shared" ca="1" si="52"/>
        <v>-0.56093116775856899</v>
      </c>
      <c r="F388" s="14">
        <f t="shared" ca="1" si="53"/>
        <v>0.4121790085296847</v>
      </c>
      <c r="G388" s="14">
        <f t="shared" ca="1" si="54"/>
        <v>0.76719732525258122</v>
      </c>
      <c r="H388" s="15">
        <f t="shared" ca="1" si="55"/>
        <v>0.28742223083722779</v>
      </c>
      <c r="I388" s="14">
        <f ca="1">IF(G388&lt;0.05,1,0)*$B$1*$B$2</f>
        <v>0</v>
      </c>
      <c r="J388" s="14">
        <f ca="1">IF(H388&lt;0.05,1,0)*$B$1*$B$2</f>
        <v>0</v>
      </c>
      <c r="K388" s="15">
        <f t="shared" ca="1" si="56"/>
        <v>0</v>
      </c>
      <c r="P388" s="3">
        <v>384</v>
      </c>
      <c r="Q388" s="4">
        <f t="shared" ca="1" si="57"/>
        <v>0.76719732525258122</v>
      </c>
      <c r="R388" s="4">
        <f t="shared" ca="1" si="58"/>
        <v>0.28742223083722779</v>
      </c>
      <c r="S388" s="4">
        <f ca="1">$B$1*Q388*$B$2</f>
        <v>30.687893010103252</v>
      </c>
      <c r="T388" s="4">
        <f ca="1">$B$1*R388*$B$2</f>
        <v>11.496889233489112</v>
      </c>
      <c r="U388" s="7">
        <f t="shared" ca="1" si="59"/>
        <v>42.184782243592366</v>
      </c>
    </row>
    <row r="389" spans="2:21" x14ac:dyDescent="0.3">
      <c r="B389" s="13">
        <f t="shared" ca="1" si="50"/>
        <v>0.65382831392716134</v>
      </c>
      <c r="C389" s="14">
        <f t="shared" ca="1" si="50"/>
        <v>0.97664145179220319</v>
      </c>
      <c r="D389" s="14">
        <f t="shared" ca="1" si="51"/>
        <v>0.39567693611526183</v>
      </c>
      <c r="E389" s="14">
        <f t="shared" ca="1" si="52"/>
        <v>1.9888560284532297</v>
      </c>
      <c r="F389" s="14">
        <f t="shared" ca="1" si="53"/>
        <v>1.2230314866316638</v>
      </c>
      <c r="G389" s="14">
        <f t="shared" ca="1" si="54"/>
        <v>0.65382831392716145</v>
      </c>
      <c r="H389" s="15">
        <f t="shared" ca="1" si="55"/>
        <v>0.97664145179220319</v>
      </c>
      <c r="I389" s="14">
        <f ca="1">IF(G389&lt;0.05,1,0)*$B$1*$B$2</f>
        <v>0</v>
      </c>
      <c r="J389" s="14">
        <f ca="1">IF(H389&lt;0.05,1,0)*$B$1*$B$2</f>
        <v>0</v>
      </c>
      <c r="K389" s="15">
        <f t="shared" ca="1" si="56"/>
        <v>0</v>
      </c>
      <c r="P389" s="3">
        <v>385</v>
      </c>
      <c r="Q389" s="4">
        <f t="shared" ca="1" si="57"/>
        <v>0.65382831392716145</v>
      </c>
      <c r="R389" s="4">
        <f t="shared" ca="1" si="58"/>
        <v>0.97664145179220319</v>
      </c>
      <c r="S389" s="4">
        <f ca="1">$B$1*Q389*$B$2</f>
        <v>26.153132557086458</v>
      </c>
      <c r="T389" s="4">
        <f ca="1">$B$1*R389*$B$2</f>
        <v>39.065658071688127</v>
      </c>
      <c r="U389" s="7">
        <f t="shared" ca="1" si="59"/>
        <v>65.218790628774585</v>
      </c>
    </row>
    <row r="390" spans="2:21" x14ac:dyDescent="0.3">
      <c r="B390" s="13">
        <f t="shared" ref="B390:C453" ca="1" si="60">RAND()</f>
        <v>0.5433232087621509</v>
      </c>
      <c r="C390" s="14">
        <f t="shared" ca="1" si="60"/>
        <v>0.35408822409457397</v>
      </c>
      <c r="D390" s="14">
        <f t="shared" ref="D390:D453" ca="1" si="61">_xlfn.NORM.S.INV(B390)</f>
        <v>0.10880950778541493</v>
      </c>
      <c r="E390" s="14">
        <f t="shared" ref="E390:E453" ca="1" si="62">_xlfn.NORM.S.INV(C390)</f>
        <v>-0.37430629635849288</v>
      </c>
      <c r="F390" s="14">
        <f t="shared" ref="F390:F453" ca="1" si="63">($Y$5*D390)+(SQRT(1-$Y$5^2)*E390)</f>
        <v>-6.5227774968892219E-2</v>
      </c>
      <c r="G390" s="14">
        <f t="shared" ref="G390:G453" ca="1" si="64">_xlfn.NORM.S.DIST(D390,TRUE)</f>
        <v>0.5433232087621509</v>
      </c>
      <c r="H390" s="15">
        <f t="shared" ref="H390:H453" ca="1" si="65">_xlfn.NORM.S.DIST(E390,TRUE)</f>
        <v>0.35408822409457386</v>
      </c>
      <c r="I390" s="14">
        <f ca="1">IF(G390&lt;0.05,1,0)*$B$1*$B$2</f>
        <v>0</v>
      </c>
      <c r="J390" s="14">
        <f ca="1">IF(H390&lt;0.05,1,0)*$B$1*$B$2</f>
        <v>0</v>
      </c>
      <c r="K390" s="15">
        <f t="shared" ref="K390:K453" ca="1" si="66">I390+J390</f>
        <v>0</v>
      </c>
      <c r="P390" s="3">
        <v>386</v>
      </c>
      <c r="Q390" s="4">
        <f t="shared" ref="Q390:Q453" ca="1" si="67">G390</f>
        <v>0.5433232087621509</v>
      </c>
      <c r="R390" s="4">
        <f t="shared" ref="R390:R453" ca="1" si="68">H390</f>
        <v>0.35408822409457386</v>
      </c>
      <c r="S390" s="4">
        <f ca="1">$B$1*Q390*$B$2</f>
        <v>21.732928350486038</v>
      </c>
      <c r="T390" s="4">
        <f ca="1">$B$1*R390*$B$2</f>
        <v>14.163528963782955</v>
      </c>
      <c r="U390" s="7">
        <f t="shared" ref="U390:U453" ca="1" si="69">S390+T390</f>
        <v>35.896457314268993</v>
      </c>
    </row>
    <row r="391" spans="2:21" x14ac:dyDescent="0.3">
      <c r="B391" s="13">
        <f t="shared" ca="1" si="60"/>
        <v>0.18515832470042248</v>
      </c>
      <c r="C391" s="14">
        <f t="shared" ca="1" si="60"/>
        <v>0.13023970038454691</v>
      </c>
      <c r="D391" s="14">
        <f t="shared" ca="1" si="61"/>
        <v>-0.89588038853731444</v>
      </c>
      <c r="E391" s="14">
        <f t="shared" ca="1" si="62"/>
        <v>-1.1252587577866699</v>
      </c>
      <c r="F391" s="14">
        <f t="shared" ca="1" si="63"/>
        <v>-1.2967812707362034</v>
      </c>
      <c r="G391" s="14">
        <f t="shared" ca="1" si="64"/>
        <v>0.18515832470042259</v>
      </c>
      <c r="H391" s="15">
        <f t="shared" ca="1" si="65"/>
        <v>0.13023970038454682</v>
      </c>
      <c r="I391" s="14">
        <f ca="1">IF(G391&lt;0.05,1,0)*$B$1*$B$2</f>
        <v>0</v>
      </c>
      <c r="J391" s="14">
        <f ca="1">IF(H391&lt;0.05,1,0)*$B$1*$B$2</f>
        <v>0</v>
      </c>
      <c r="K391" s="15">
        <f t="shared" ca="1" si="66"/>
        <v>0</v>
      </c>
      <c r="P391" s="3">
        <v>387</v>
      </c>
      <c r="Q391" s="4">
        <f t="shared" ca="1" si="67"/>
        <v>0.18515832470042259</v>
      </c>
      <c r="R391" s="4">
        <f t="shared" ca="1" si="68"/>
        <v>0.13023970038454682</v>
      </c>
      <c r="S391" s="4">
        <f ca="1">$B$1*Q391*$B$2</f>
        <v>7.4063329880169038</v>
      </c>
      <c r="T391" s="4">
        <f ca="1">$B$1*R391*$B$2</f>
        <v>5.2095880153818737</v>
      </c>
      <c r="U391" s="7">
        <f t="shared" ca="1" si="69"/>
        <v>12.615921003398778</v>
      </c>
    </row>
    <row r="392" spans="2:21" x14ac:dyDescent="0.3">
      <c r="B392" s="13">
        <f t="shared" ca="1" si="60"/>
        <v>0.64417273192980695</v>
      </c>
      <c r="C392" s="14">
        <f t="shared" ca="1" si="60"/>
        <v>0.81214525818716998</v>
      </c>
      <c r="D392" s="14">
        <f t="shared" ca="1" si="61"/>
        <v>0.36963490994404208</v>
      </c>
      <c r="E392" s="14">
        <f t="shared" ca="1" si="62"/>
        <v>0.8858293646979537</v>
      </c>
      <c r="F392" s="14">
        <f t="shared" ca="1" si="63"/>
        <v>0.71879548714355945</v>
      </c>
      <c r="G392" s="14">
        <f t="shared" ca="1" si="64"/>
        <v>0.64417273192980695</v>
      </c>
      <c r="H392" s="15">
        <f t="shared" ca="1" si="65"/>
        <v>0.81214525818716998</v>
      </c>
      <c r="I392" s="14">
        <f ca="1">IF(G392&lt;0.05,1,0)*$B$1*$B$2</f>
        <v>0</v>
      </c>
      <c r="J392" s="14">
        <f ca="1">IF(H392&lt;0.05,1,0)*$B$1*$B$2</f>
        <v>0</v>
      </c>
      <c r="K392" s="15">
        <f t="shared" ca="1" si="66"/>
        <v>0</v>
      </c>
      <c r="P392" s="3">
        <v>388</v>
      </c>
      <c r="Q392" s="4">
        <f t="shared" ca="1" si="67"/>
        <v>0.64417273192980695</v>
      </c>
      <c r="R392" s="4">
        <f t="shared" ca="1" si="68"/>
        <v>0.81214525818716998</v>
      </c>
      <c r="S392" s="4">
        <f ca="1">$B$1*Q392*$B$2</f>
        <v>25.766909277192283</v>
      </c>
      <c r="T392" s="4">
        <f ca="1">$B$1*R392*$B$2</f>
        <v>32.485810327486796</v>
      </c>
      <c r="U392" s="7">
        <f t="shared" ca="1" si="69"/>
        <v>58.252719604679079</v>
      </c>
    </row>
    <row r="393" spans="2:21" x14ac:dyDescent="0.3">
      <c r="B393" s="13">
        <f t="shared" ca="1" si="60"/>
        <v>0.71969167533252221</v>
      </c>
      <c r="C393" s="14">
        <f t="shared" ca="1" si="60"/>
        <v>0.49209713402430078</v>
      </c>
      <c r="D393" s="14">
        <f t="shared" ca="1" si="61"/>
        <v>0.58192581783434616</v>
      </c>
      <c r="E393" s="14">
        <f t="shared" ca="1" si="62"/>
        <v>-1.9810843087649025E-2</v>
      </c>
      <c r="F393" s="14">
        <f t="shared" ca="1" si="63"/>
        <v>0.5150978897503713</v>
      </c>
      <c r="G393" s="14">
        <f t="shared" ca="1" si="64"/>
        <v>0.71969167533252232</v>
      </c>
      <c r="H393" s="15">
        <f t="shared" ca="1" si="65"/>
        <v>0.49209713402430078</v>
      </c>
      <c r="I393" s="14">
        <f ca="1">IF(G393&lt;0.05,1,0)*$B$1*$B$2</f>
        <v>0</v>
      </c>
      <c r="J393" s="14">
        <f ca="1">IF(H393&lt;0.05,1,0)*$B$1*$B$2</f>
        <v>0</v>
      </c>
      <c r="K393" s="15">
        <f t="shared" ca="1" si="66"/>
        <v>0</v>
      </c>
      <c r="P393" s="3">
        <v>389</v>
      </c>
      <c r="Q393" s="4">
        <f t="shared" ca="1" si="67"/>
        <v>0.71969167533252232</v>
      </c>
      <c r="R393" s="4">
        <f t="shared" ca="1" si="68"/>
        <v>0.49209713402430078</v>
      </c>
      <c r="S393" s="4">
        <f ca="1">$B$1*Q393*$B$2</f>
        <v>28.787667013300894</v>
      </c>
      <c r="T393" s="4">
        <f ca="1">$B$1*R393*$B$2</f>
        <v>19.683885360972031</v>
      </c>
      <c r="U393" s="7">
        <f t="shared" ca="1" si="69"/>
        <v>48.471552374272925</v>
      </c>
    </row>
    <row r="394" spans="2:21" x14ac:dyDescent="0.3">
      <c r="B394" s="13">
        <f t="shared" ca="1" si="60"/>
        <v>0.13743512058872931</v>
      </c>
      <c r="C394" s="14">
        <f t="shared" ca="1" si="60"/>
        <v>0.24109142644365544</v>
      </c>
      <c r="D394" s="14">
        <f t="shared" ca="1" si="61"/>
        <v>-1.0919155067442321</v>
      </c>
      <c r="E394" s="14">
        <f t="shared" ca="1" si="62"/>
        <v>-0.70279606012968554</v>
      </c>
      <c r="F394" s="14">
        <f t="shared" ca="1" si="63"/>
        <v>-1.2890656564721923</v>
      </c>
      <c r="G394" s="14">
        <f t="shared" ca="1" si="64"/>
        <v>0.13743512058872931</v>
      </c>
      <c r="H394" s="15">
        <f t="shared" ca="1" si="65"/>
        <v>0.24109142644365539</v>
      </c>
      <c r="I394" s="14">
        <f ca="1">IF(G394&lt;0.05,1,0)*$B$1*$B$2</f>
        <v>0</v>
      </c>
      <c r="J394" s="14">
        <f ca="1">IF(H394&lt;0.05,1,0)*$B$1*$B$2</f>
        <v>0</v>
      </c>
      <c r="K394" s="15">
        <f t="shared" ca="1" si="66"/>
        <v>0</v>
      </c>
      <c r="P394" s="3">
        <v>390</v>
      </c>
      <c r="Q394" s="4">
        <f t="shared" ca="1" si="67"/>
        <v>0.13743512058872931</v>
      </c>
      <c r="R394" s="4">
        <f t="shared" ca="1" si="68"/>
        <v>0.24109142644365539</v>
      </c>
      <c r="S394" s="4">
        <f ca="1">$B$1*Q394*$B$2</f>
        <v>5.4974048235491724</v>
      </c>
      <c r="T394" s="4">
        <f ca="1">$B$1*R394*$B$2</f>
        <v>9.643657057746216</v>
      </c>
      <c r="U394" s="7">
        <f t="shared" ca="1" si="69"/>
        <v>15.141061881295389</v>
      </c>
    </row>
    <row r="395" spans="2:21" x14ac:dyDescent="0.3">
      <c r="B395" s="13">
        <f t="shared" ca="1" si="60"/>
        <v>0.75438758733842304</v>
      </c>
      <c r="C395" s="14">
        <f t="shared" ca="1" si="60"/>
        <v>2.5482394306674427E-2</v>
      </c>
      <c r="D395" s="14">
        <f t="shared" ca="1" si="61"/>
        <v>0.68836203494377368</v>
      </c>
      <c r="E395" s="14">
        <f t="shared" ca="1" si="62"/>
        <v>-1.9517761369620557</v>
      </c>
      <c r="F395" s="14">
        <f t="shared" ca="1" si="63"/>
        <v>-0.23123366269378365</v>
      </c>
      <c r="G395" s="14">
        <f t="shared" ca="1" si="64"/>
        <v>0.75438758733842315</v>
      </c>
      <c r="H395" s="15">
        <f t="shared" ca="1" si="65"/>
        <v>2.5482394306674438E-2</v>
      </c>
      <c r="I395" s="14">
        <f ca="1">IF(G395&lt;0.05,1,0)*$B$1*$B$2</f>
        <v>0</v>
      </c>
      <c r="J395" s="14">
        <f ca="1">IF(H395&lt;0.05,1,0)*$B$1*$B$2</f>
        <v>40</v>
      </c>
      <c r="K395" s="15">
        <f t="shared" ca="1" si="66"/>
        <v>40</v>
      </c>
      <c r="P395" s="3">
        <v>391</v>
      </c>
      <c r="Q395" s="4">
        <f t="shared" ca="1" si="67"/>
        <v>0.75438758733842315</v>
      </c>
      <c r="R395" s="4">
        <f t="shared" ca="1" si="68"/>
        <v>2.5482394306674438E-2</v>
      </c>
      <c r="S395" s="4">
        <f ca="1">$B$1*Q395*$B$2</f>
        <v>30.17550349353693</v>
      </c>
      <c r="T395" s="4">
        <f ca="1">$B$1*R395*$B$2</f>
        <v>1.0192957722669775</v>
      </c>
      <c r="U395" s="7">
        <f t="shared" ca="1" si="69"/>
        <v>31.194799265803908</v>
      </c>
    </row>
    <row r="396" spans="2:21" x14ac:dyDescent="0.3">
      <c r="B396" s="13">
        <f t="shared" ca="1" si="60"/>
        <v>0.4126570732442586</v>
      </c>
      <c r="C396" s="14">
        <f t="shared" ca="1" si="60"/>
        <v>0.29139571623562699</v>
      </c>
      <c r="D396" s="14">
        <f t="shared" ca="1" si="61"/>
        <v>-0.22071526285489504</v>
      </c>
      <c r="E396" s="14">
        <f t="shared" ca="1" si="62"/>
        <v>-0.54931188501839501</v>
      </c>
      <c r="F396" s="14">
        <f t="shared" ca="1" si="63"/>
        <v>-0.43808323609750732</v>
      </c>
      <c r="G396" s="14">
        <f t="shared" ca="1" si="64"/>
        <v>0.4126570732442586</v>
      </c>
      <c r="H396" s="15">
        <f t="shared" ca="1" si="65"/>
        <v>0.29139571623562693</v>
      </c>
      <c r="I396" s="14">
        <f ca="1">IF(G396&lt;0.05,1,0)*$B$1*$B$2</f>
        <v>0</v>
      </c>
      <c r="J396" s="14">
        <f ca="1">IF(H396&lt;0.05,1,0)*$B$1*$B$2</f>
        <v>0</v>
      </c>
      <c r="K396" s="15">
        <f t="shared" ca="1" si="66"/>
        <v>0</v>
      </c>
      <c r="P396" s="3">
        <v>392</v>
      </c>
      <c r="Q396" s="4">
        <f t="shared" ca="1" si="67"/>
        <v>0.4126570732442586</v>
      </c>
      <c r="R396" s="4">
        <f t="shared" ca="1" si="68"/>
        <v>0.29139571623562693</v>
      </c>
      <c r="S396" s="4">
        <f ca="1">$B$1*Q396*$B$2</f>
        <v>16.506282929770347</v>
      </c>
      <c r="T396" s="4">
        <f ca="1">$B$1*R396*$B$2</f>
        <v>11.655828649425079</v>
      </c>
      <c r="U396" s="7">
        <f t="shared" ca="1" si="69"/>
        <v>28.162111579195425</v>
      </c>
    </row>
    <row r="397" spans="2:21" x14ac:dyDescent="0.3">
      <c r="B397" s="13">
        <f t="shared" ca="1" si="60"/>
        <v>0.99424661877166931</v>
      </c>
      <c r="C397" s="14">
        <f t="shared" ca="1" si="60"/>
        <v>0.53566901121546617</v>
      </c>
      <c r="D397" s="14">
        <f t="shared" ca="1" si="61"/>
        <v>2.5269202623860556</v>
      </c>
      <c r="E397" s="14">
        <f t="shared" ca="1" si="62"/>
        <v>8.9528408427329301E-2</v>
      </c>
      <c r="F397" s="14">
        <f t="shared" ca="1" si="63"/>
        <v>2.3132527646385261</v>
      </c>
      <c r="G397" s="14">
        <f t="shared" ca="1" si="64"/>
        <v>0.99424661877166931</v>
      </c>
      <c r="H397" s="15">
        <f t="shared" ca="1" si="65"/>
        <v>0.53566901121546617</v>
      </c>
      <c r="I397" s="14">
        <f ca="1">IF(G397&lt;0.05,1,0)*$B$1*$B$2</f>
        <v>0</v>
      </c>
      <c r="J397" s="14">
        <f ca="1">IF(H397&lt;0.05,1,0)*$B$1*$B$2</f>
        <v>0</v>
      </c>
      <c r="K397" s="15">
        <f t="shared" ca="1" si="66"/>
        <v>0</v>
      </c>
      <c r="P397" s="3">
        <v>393</v>
      </c>
      <c r="Q397" s="4">
        <f t="shared" ca="1" si="67"/>
        <v>0.99424661877166931</v>
      </c>
      <c r="R397" s="4">
        <f t="shared" ca="1" si="68"/>
        <v>0.53566901121546617</v>
      </c>
      <c r="S397" s="4">
        <f ca="1">$B$1*Q397*$B$2</f>
        <v>39.769864750866773</v>
      </c>
      <c r="T397" s="4">
        <f ca="1">$B$1*R397*$B$2</f>
        <v>21.426760448618648</v>
      </c>
      <c r="U397" s="7">
        <f t="shared" ca="1" si="69"/>
        <v>61.196625199485425</v>
      </c>
    </row>
    <row r="398" spans="2:21" x14ac:dyDescent="0.3">
      <c r="B398" s="13">
        <f t="shared" ca="1" si="60"/>
        <v>9.1760974629039316E-2</v>
      </c>
      <c r="C398" s="14">
        <f t="shared" ca="1" si="60"/>
        <v>0.10924230945785907</v>
      </c>
      <c r="D398" s="14">
        <f t="shared" ca="1" si="61"/>
        <v>-1.3299888371477202</v>
      </c>
      <c r="E398" s="14">
        <f t="shared" ca="1" si="62"/>
        <v>-1.2305676280021203</v>
      </c>
      <c r="F398" s="14">
        <f t="shared" ca="1" si="63"/>
        <v>-1.7333819467983276</v>
      </c>
      <c r="G398" s="14">
        <f t="shared" ca="1" si="64"/>
        <v>9.1760974629039371E-2</v>
      </c>
      <c r="H398" s="15">
        <f t="shared" ca="1" si="65"/>
        <v>0.10924230945785894</v>
      </c>
      <c r="I398" s="14">
        <f ca="1">IF(G398&lt;0.05,1,0)*$B$1*$B$2</f>
        <v>0</v>
      </c>
      <c r="J398" s="14">
        <f ca="1">IF(H398&lt;0.05,1,0)*$B$1*$B$2</f>
        <v>0</v>
      </c>
      <c r="K398" s="15">
        <f t="shared" ca="1" si="66"/>
        <v>0</v>
      </c>
      <c r="P398" s="3">
        <v>394</v>
      </c>
      <c r="Q398" s="4">
        <f t="shared" ca="1" si="67"/>
        <v>9.1760974629039371E-2</v>
      </c>
      <c r="R398" s="4">
        <f t="shared" ca="1" si="68"/>
        <v>0.10924230945785894</v>
      </c>
      <c r="S398" s="4">
        <f ca="1">$B$1*Q398*$B$2</f>
        <v>3.6704389851615753</v>
      </c>
      <c r="T398" s="4">
        <f ca="1">$B$1*R398*$B$2</f>
        <v>4.3696923783143573</v>
      </c>
      <c r="U398" s="7">
        <f t="shared" ca="1" si="69"/>
        <v>8.0401313634759326</v>
      </c>
    </row>
    <row r="399" spans="2:21" x14ac:dyDescent="0.3">
      <c r="B399" s="13">
        <f t="shared" ca="1" si="60"/>
        <v>0.12438378617471424</v>
      </c>
      <c r="C399" s="14">
        <f t="shared" ca="1" si="60"/>
        <v>0.31524838278554601</v>
      </c>
      <c r="D399" s="14">
        <f t="shared" ca="1" si="61"/>
        <v>-1.153348008408196</v>
      </c>
      <c r="E399" s="14">
        <f t="shared" ca="1" si="62"/>
        <v>-0.48102776506427697</v>
      </c>
      <c r="F399" s="14">
        <f t="shared" ca="1" si="63"/>
        <v>-1.2476883492626172</v>
      </c>
      <c r="G399" s="14">
        <f t="shared" ca="1" si="64"/>
        <v>0.12438378617471406</v>
      </c>
      <c r="H399" s="15">
        <f t="shared" ca="1" si="65"/>
        <v>0.31524838278554601</v>
      </c>
      <c r="I399" s="14">
        <f ca="1">IF(G399&lt;0.05,1,0)*$B$1*$B$2</f>
        <v>0</v>
      </c>
      <c r="J399" s="14">
        <f ca="1">IF(H399&lt;0.05,1,0)*$B$1*$B$2</f>
        <v>0</v>
      </c>
      <c r="K399" s="15">
        <f t="shared" ca="1" si="66"/>
        <v>0</v>
      </c>
      <c r="P399" s="3">
        <v>395</v>
      </c>
      <c r="Q399" s="4">
        <f t="shared" ca="1" si="67"/>
        <v>0.12438378617471406</v>
      </c>
      <c r="R399" s="4">
        <f t="shared" ca="1" si="68"/>
        <v>0.31524838278554601</v>
      </c>
      <c r="S399" s="4">
        <f ca="1">$B$1*Q399*$B$2</f>
        <v>4.9753514469885625</v>
      </c>
      <c r="T399" s="4">
        <f ca="1">$B$1*R399*$B$2</f>
        <v>12.609935311421841</v>
      </c>
      <c r="U399" s="7">
        <f t="shared" ca="1" si="69"/>
        <v>17.585286758410405</v>
      </c>
    </row>
    <row r="400" spans="2:21" x14ac:dyDescent="0.3">
      <c r="B400" s="13">
        <f t="shared" ca="1" si="60"/>
        <v>0.61509386262504906</v>
      </c>
      <c r="C400" s="14">
        <f t="shared" ca="1" si="60"/>
        <v>0.26861267711661441</v>
      </c>
      <c r="D400" s="14">
        <f t="shared" ca="1" si="61"/>
        <v>0.29262045793153052</v>
      </c>
      <c r="E400" s="14">
        <f t="shared" ca="1" si="62"/>
        <v>-0.61701420809925733</v>
      </c>
      <c r="F400" s="14">
        <f t="shared" ca="1" si="63"/>
        <v>-5.5918458449663033E-3</v>
      </c>
      <c r="G400" s="14">
        <f t="shared" ca="1" si="64"/>
        <v>0.61509386262504906</v>
      </c>
      <c r="H400" s="15">
        <f t="shared" ca="1" si="65"/>
        <v>0.26861267711661424</v>
      </c>
      <c r="I400" s="14">
        <f ca="1">IF(G400&lt;0.05,1,0)*$B$1*$B$2</f>
        <v>0</v>
      </c>
      <c r="J400" s="14">
        <f ca="1">IF(H400&lt;0.05,1,0)*$B$1*$B$2</f>
        <v>0</v>
      </c>
      <c r="K400" s="15">
        <f t="shared" ca="1" si="66"/>
        <v>0</v>
      </c>
      <c r="P400" s="3">
        <v>396</v>
      </c>
      <c r="Q400" s="4">
        <f t="shared" ca="1" si="67"/>
        <v>0.61509386262504906</v>
      </c>
      <c r="R400" s="4">
        <f t="shared" ca="1" si="68"/>
        <v>0.26861267711661424</v>
      </c>
      <c r="S400" s="4">
        <f ca="1">$B$1*Q400*$B$2</f>
        <v>24.603754505001962</v>
      </c>
      <c r="T400" s="4">
        <f ca="1">$B$1*R400*$B$2</f>
        <v>10.744507084664569</v>
      </c>
      <c r="U400" s="7">
        <f t="shared" ca="1" si="69"/>
        <v>35.348261589666535</v>
      </c>
    </row>
    <row r="401" spans="2:21" x14ac:dyDescent="0.3">
      <c r="B401" s="13">
        <f t="shared" ca="1" si="60"/>
        <v>0.7467169661247538</v>
      </c>
      <c r="C401" s="14">
        <f t="shared" ca="1" si="60"/>
        <v>0.80915712359628089</v>
      </c>
      <c r="D401" s="14">
        <f t="shared" ca="1" si="61"/>
        <v>0.66419413345535228</v>
      </c>
      <c r="E401" s="14">
        <f t="shared" ca="1" si="62"/>
        <v>0.87479445875576589</v>
      </c>
      <c r="F401" s="14">
        <f t="shared" ca="1" si="63"/>
        <v>0.9790887843183913</v>
      </c>
      <c r="G401" s="14">
        <f t="shared" ca="1" si="64"/>
        <v>0.74671696612475391</v>
      </c>
      <c r="H401" s="15">
        <f t="shared" ca="1" si="65"/>
        <v>0.80915712359628111</v>
      </c>
      <c r="I401" s="14">
        <f ca="1">IF(G401&lt;0.05,1,0)*$B$1*$B$2</f>
        <v>0</v>
      </c>
      <c r="J401" s="14">
        <f ca="1">IF(H401&lt;0.05,1,0)*$B$1*$B$2</f>
        <v>0</v>
      </c>
      <c r="K401" s="15">
        <f t="shared" ca="1" si="66"/>
        <v>0</v>
      </c>
      <c r="P401" s="3">
        <v>397</v>
      </c>
      <c r="Q401" s="4">
        <f t="shared" ca="1" si="67"/>
        <v>0.74671696612475391</v>
      </c>
      <c r="R401" s="4">
        <f t="shared" ca="1" si="68"/>
        <v>0.80915712359628111</v>
      </c>
      <c r="S401" s="4">
        <f ca="1">$B$1*Q401*$B$2</f>
        <v>29.868678644990155</v>
      </c>
      <c r="T401" s="4">
        <f ca="1">$B$1*R401*$B$2</f>
        <v>32.366284943851248</v>
      </c>
      <c r="U401" s="7">
        <f t="shared" ca="1" si="69"/>
        <v>62.234963588841403</v>
      </c>
    </row>
    <row r="402" spans="2:21" x14ac:dyDescent="0.3">
      <c r="B402" s="13">
        <f t="shared" ca="1" si="60"/>
        <v>0.14499401669076883</v>
      </c>
      <c r="C402" s="14">
        <f t="shared" ca="1" si="60"/>
        <v>0.46109855935532584</v>
      </c>
      <c r="D402" s="14">
        <f t="shared" ca="1" si="61"/>
        <v>-1.0581478695462312</v>
      </c>
      <c r="E402" s="14">
        <f t="shared" ca="1" si="62"/>
        <v>-9.7666498437312288E-2</v>
      </c>
      <c r="F402" s="14">
        <f t="shared" ca="1" si="63"/>
        <v>-0.99490492227737981</v>
      </c>
      <c r="G402" s="14">
        <f t="shared" ca="1" si="64"/>
        <v>0.14499401669076878</v>
      </c>
      <c r="H402" s="15">
        <f t="shared" ca="1" si="65"/>
        <v>0.46109855935532584</v>
      </c>
      <c r="I402" s="14">
        <f ca="1">IF(G402&lt;0.05,1,0)*$B$1*$B$2</f>
        <v>0</v>
      </c>
      <c r="J402" s="14">
        <f ca="1">IF(H402&lt;0.05,1,0)*$B$1*$B$2</f>
        <v>0</v>
      </c>
      <c r="K402" s="15">
        <f t="shared" ca="1" si="66"/>
        <v>0</v>
      </c>
      <c r="P402" s="3">
        <v>398</v>
      </c>
      <c r="Q402" s="4">
        <f t="shared" ca="1" si="67"/>
        <v>0.14499401669076878</v>
      </c>
      <c r="R402" s="4">
        <f t="shared" ca="1" si="68"/>
        <v>0.46109855935532584</v>
      </c>
      <c r="S402" s="4">
        <f ca="1">$B$1*Q402*$B$2</f>
        <v>5.7997606676307516</v>
      </c>
      <c r="T402" s="4">
        <f ca="1">$B$1*R402*$B$2</f>
        <v>18.443942374213034</v>
      </c>
      <c r="U402" s="7">
        <f t="shared" ca="1" si="69"/>
        <v>24.243703041843787</v>
      </c>
    </row>
    <row r="403" spans="2:21" x14ac:dyDescent="0.3">
      <c r="B403" s="13">
        <f t="shared" ca="1" si="60"/>
        <v>0.12741481788442821</v>
      </c>
      <c r="C403" s="14">
        <f t="shared" ca="1" si="60"/>
        <v>0.67954118330935187</v>
      </c>
      <c r="D403" s="14">
        <f t="shared" ca="1" si="61"/>
        <v>-1.1386968051065804</v>
      </c>
      <c r="E403" s="14">
        <f t="shared" ca="1" si="62"/>
        <v>0.4664161783971475</v>
      </c>
      <c r="F403" s="14">
        <f t="shared" ca="1" si="63"/>
        <v>-0.82152102586936193</v>
      </c>
      <c r="G403" s="14">
        <f t="shared" ca="1" si="64"/>
        <v>0.12741481788442813</v>
      </c>
      <c r="H403" s="15">
        <f t="shared" ca="1" si="65"/>
        <v>0.67954118330935187</v>
      </c>
      <c r="I403" s="14">
        <f ca="1">IF(G403&lt;0.05,1,0)*$B$1*$B$2</f>
        <v>0</v>
      </c>
      <c r="J403" s="14">
        <f ca="1">IF(H403&lt;0.05,1,0)*$B$1*$B$2</f>
        <v>0</v>
      </c>
      <c r="K403" s="15">
        <f t="shared" ca="1" si="66"/>
        <v>0</v>
      </c>
      <c r="P403" s="3">
        <v>399</v>
      </c>
      <c r="Q403" s="4">
        <f t="shared" ca="1" si="67"/>
        <v>0.12741481788442813</v>
      </c>
      <c r="R403" s="4">
        <f t="shared" ca="1" si="68"/>
        <v>0.67954118330935187</v>
      </c>
      <c r="S403" s="4">
        <f ca="1">$B$1*Q403*$B$2</f>
        <v>5.0965927153771258</v>
      </c>
      <c r="T403" s="4">
        <f ca="1">$B$1*R403*$B$2</f>
        <v>27.181647332374077</v>
      </c>
      <c r="U403" s="7">
        <f t="shared" ca="1" si="69"/>
        <v>32.278240047751204</v>
      </c>
    </row>
    <row r="404" spans="2:21" x14ac:dyDescent="0.3">
      <c r="B404" s="13">
        <f t="shared" ca="1" si="60"/>
        <v>0.14702936337495809</v>
      </c>
      <c r="C404" s="14">
        <f t="shared" ca="1" si="60"/>
        <v>0.29446496696708147</v>
      </c>
      <c r="D404" s="14">
        <f t="shared" ca="1" si="61"/>
        <v>-1.049259443084023</v>
      </c>
      <c r="E404" s="14">
        <f t="shared" ca="1" si="62"/>
        <v>-0.54038734410284384</v>
      </c>
      <c r="F404" s="14">
        <f t="shared" ca="1" si="63"/>
        <v>-1.1798828811068842</v>
      </c>
      <c r="G404" s="14">
        <f t="shared" ca="1" si="64"/>
        <v>0.14702936337495798</v>
      </c>
      <c r="H404" s="15">
        <f t="shared" ca="1" si="65"/>
        <v>0.29446496696708141</v>
      </c>
      <c r="I404" s="14">
        <f ca="1">IF(G404&lt;0.05,1,0)*$B$1*$B$2</f>
        <v>0</v>
      </c>
      <c r="J404" s="14">
        <f ca="1">IF(H404&lt;0.05,1,0)*$B$1*$B$2</f>
        <v>0</v>
      </c>
      <c r="K404" s="15">
        <f t="shared" ca="1" si="66"/>
        <v>0</v>
      </c>
      <c r="P404" s="3">
        <v>400</v>
      </c>
      <c r="Q404" s="4">
        <f t="shared" ca="1" si="67"/>
        <v>0.14702936337495798</v>
      </c>
      <c r="R404" s="4">
        <f t="shared" ca="1" si="68"/>
        <v>0.29446496696708141</v>
      </c>
      <c r="S404" s="4">
        <f ca="1">$B$1*Q404*$B$2</f>
        <v>5.8811745349983191</v>
      </c>
      <c r="T404" s="4">
        <f ca="1">$B$1*R404*$B$2</f>
        <v>11.778598678683258</v>
      </c>
      <c r="U404" s="7">
        <f t="shared" ca="1" si="69"/>
        <v>17.659773213681575</v>
      </c>
    </row>
    <row r="405" spans="2:21" x14ac:dyDescent="0.3">
      <c r="B405" s="13">
        <f t="shared" ca="1" si="60"/>
        <v>0.38219508219510678</v>
      </c>
      <c r="C405" s="14">
        <f t="shared" ca="1" si="60"/>
        <v>0.81159088837278903</v>
      </c>
      <c r="D405" s="14">
        <f t="shared" ca="1" si="61"/>
        <v>-0.29972075687765565</v>
      </c>
      <c r="E405" s="14">
        <f t="shared" ca="1" si="62"/>
        <v>0.88377400205509771</v>
      </c>
      <c r="F405" s="14">
        <f t="shared" ca="1" si="63"/>
        <v>0.11547947519877766</v>
      </c>
      <c r="G405" s="14">
        <f t="shared" ca="1" si="64"/>
        <v>0.38219508219510678</v>
      </c>
      <c r="H405" s="15">
        <f t="shared" ca="1" si="65"/>
        <v>0.81159088837278925</v>
      </c>
      <c r="I405" s="14">
        <f ca="1">IF(G405&lt;0.05,1,0)*$B$1*$B$2</f>
        <v>0</v>
      </c>
      <c r="J405" s="14">
        <f ca="1">IF(H405&lt;0.05,1,0)*$B$1*$B$2</f>
        <v>0</v>
      </c>
      <c r="K405" s="15">
        <f t="shared" ca="1" si="66"/>
        <v>0</v>
      </c>
      <c r="P405" s="3">
        <v>401</v>
      </c>
      <c r="Q405" s="4">
        <f t="shared" ca="1" si="67"/>
        <v>0.38219508219510678</v>
      </c>
      <c r="R405" s="4">
        <f t="shared" ca="1" si="68"/>
        <v>0.81159088837278925</v>
      </c>
      <c r="S405" s="4">
        <f ca="1">$B$1*Q405*$B$2</f>
        <v>15.287803287804273</v>
      </c>
      <c r="T405" s="4">
        <f ca="1">$B$1*R405*$B$2</f>
        <v>32.463635534911575</v>
      </c>
      <c r="U405" s="7">
        <f t="shared" ca="1" si="69"/>
        <v>47.751438822715848</v>
      </c>
    </row>
    <row r="406" spans="2:21" x14ac:dyDescent="0.3">
      <c r="B406" s="13">
        <f t="shared" ca="1" si="60"/>
        <v>0.46292569106001713</v>
      </c>
      <c r="C406" s="14">
        <f t="shared" ca="1" si="60"/>
        <v>0.87318018345050197</v>
      </c>
      <c r="D406" s="14">
        <f t="shared" ca="1" si="61"/>
        <v>-9.3065680429727002E-2</v>
      </c>
      <c r="E406" s="14">
        <f t="shared" ca="1" si="62"/>
        <v>1.1415535691260439</v>
      </c>
      <c r="F406" s="14">
        <f t="shared" ca="1" si="63"/>
        <v>0.41383255225910537</v>
      </c>
      <c r="G406" s="14">
        <f t="shared" ca="1" si="64"/>
        <v>0.46292569106001713</v>
      </c>
      <c r="H406" s="15">
        <f t="shared" ca="1" si="65"/>
        <v>0.87318018345050208</v>
      </c>
      <c r="I406" s="14">
        <f ca="1">IF(G406&lt;0.05,1,0)*$B$1*$B$2</f>
        <v>0</v>
      </c>
      <c r="J406" s="14">
        <f ca="1">IF(H406&lt;0.05,1,0)*$B$1*$B$2</f>
        <v>0</v>
      </c>
      <c r="K406" s="15">
        <f t="shared" ca="1" si="66"/>
        <v>0</v>
      </c>
      <c r="P406" s="3">
        <v>402</v>
      </c>
      <c r="Q406" s="4">
        <f t="shared" ca="1" si="67"/>
        <v>0.46292569106001713</v>
      </c>
      <c r="R406" s="4">
        <f t="shared" ca="1" si="68"/>
        <v>0.87318018345050208</v>
      </c>
      <c r="S406" s="4">
        <f ca="1">$B$1*Q406*$B$2</f>
        <v>18.517027642400688</v>
      </c>
      <c r="T406" s="4">
        <f ca="1">$B$1*R406*$B$2</f>
        <v>34.927207338020082</v>
      </c>
      <c r="U406" s="7">
        <f t="shared" ca="1" si="69"/>
        <v>53.444234980420774</v>
      </c>
    </row>
    <row r="407" spans="2:21" x14ac:dyDescent="0.3">
      <c r="B407" s="13">
        <f t="shared" ca="1" si="60"/>
        <v>3.0068719466002092E-2</v>
      </c>
      <c r="C407" s="14">
        <f t="shared" ca="1" si="60"/>
        <v>0.35169697960333868</v>
      </c>
      <c r="D407" s="14">
        <f t="shared" ca="1" si="61"/>
        <v>-1.8797846086780294</v>
      </c>
      <c r="E407" s="14">
        <f t="shared" ca="1" si="62"/>
        <v>-0.38074299890017943</v>
      </c>
      <c r="F407" s="14">
        <f t="shared" ca="1" si="63"/>
        <v>-1.8577681733768765</v>
      </c>
      <c r="G407" s="14">
        <f t="shared" ca="1" si="64"/>
        <v>3.0068719466002085E-2</v>
      </c>
      <c r="H407" s="15">
        <f t="shared" ca="1" si="65"/>
        <v>0.35169697960333862</v>
      </c>
      <c r="I407" s="14">
        <f ca="1">IF(G407&lt;0.05,1,0)*$B$1*$B$2</f>
        <v>40</v>
      </c>
      <c r="J407" s="14">
        <f ca="1">IF(H407&lt;0.05,1,0)*$B$1*$B$2</f>
        <v>0</v>
      </c>
      <c r="K407" s="15">
        <f t="shared" ca="1" si="66"/>
        <v>40</v>
      </c>
      <c r="P407" s="3">
        <v>403</v>
      </c>
      <c r="Q407" s="4">
        <f t="shared" ca="1" si="67"/>
        <v>3.0068719466002085E-2</v>
      </c>
      <c r="R407" s="4">
        <f t="shared" ca="1" si="68"/>
        <v>0.35169697960333862</v>
      </c>
      <c r="S407" s="4">
        <f ca="1">$B$1*Q407*$B$2</f>
        <v>1.2027487786400834</v>
      </c>
      <c r="T407" s="4">
        <f ca="1">$B$1*R407*$B$2</f>
        <v>14.067879184133545</v>
      </c>
      <c r="U407" s="7">
        <f t="shared" ca="1" si="69"/>
        <v>15.270627962773629</v>
      </c>
    </row>
    <row r="408" spans="2:21" x14ac:dyDescent="0.3">
      <c r="B408" s="13">
        <f t="shared" ca="1" si="60"/>
        <v>0.82355925926375806</v>
      </c>
      <c r="C408" s="14">
        <f t="shared" ca="1" si="60"/>
        <v>0.52581131352399579</v>
      </c>
      <c r="D408" s="14">
        <f t="shared" ca="1" si="61"/>
        <v>0.92901467442253594</v>
      </c>
      <c r="E408" s="14">
        <f t="shared" ca="1" si="62"/>
        <v>6.4744573218887602E-2</v>
      </c>
      <c r="F408" s="14">
        <f t="shared" ca="1" si="63"/>
        <v>0.86433471216066249</v>
      </c>
      <c r="G408" s="14">
        <f t="shared" ca="1" si="64"/>
        <v>0.82355925926375784</v>
      </c>
      <c r="H408" s="15">
        <f t="shared" ca="1" si="65"/>
        <v>0.52581131352399579</v>
      </c>
      <c r="I408" s="14">
        <f ca="1">IF(G408&lt;0.05,1,0)*$B$1*$B$2</f>
        <v>0</v>
      </c>
      <c r="J408" s="14">
        <f ca="1">IF(H408&lt;0.05,1,0)*$B$1*$B$2</f>
        <v>0</v>
      </c>
      <c r="K408" s="15">
        <f t="shared" ca="1" si="66"/>
        <v>0</v>
      </c>
      <c r="P408" s="3">
        <v>404</v>
      </c>
      <c r="Q408" s="4">
        <f t="shared" ca="1" si="67"/>
        <v>0.82355925926375784</v>
      </c>
      <c r="R408" s="4">
        <f t="shared" ca="1" si="68"/>
        <v>0.52581131352399579</v>
      </c>
      <c r="S408" s="4">
        <f ca="1">$B$1*Q408*$B$2</f>
        <v>32.942370370550314</v>
      </c>
      <c r="T408" s="4">
        <f ca="1">$B$1*R408*$B$2</f>
        <v>21.032452540959834</v>
      </c>
      <c r="U408" s="7">
        <f t="shared" ca="1" si="69"/>
        <v>53.974822911510145</v>
      </c>
    </row>
    <row r="409" spans="2:21" x14ac:dyDescent="0.3">
      <c r="B409" s="13">
        <f t="shared" ca="1" si="60"/>
        <v>0.1043466569504069</v>
      </c>
      <c r="C409" s="14">
        <f t="shared" ca="1" si="60"/>
        <v>0.30218883437729449</v>
      </c>
      <c r="D409" s="14">
        <f t="shared" ca="1" si="61"/>
        <v>-1.2571666027390758</v>
      </c>
      <c r="E409" s="14">
        <f t="shared" ca="1" si="62"/>
        <v>-0.51811552524449433</v>
      </c>
      <c r="F409" s="14">
        <f t="shared" ca="1" si="63"/>
        <v>-1.357291264027193</v>
      </c>
      <c r="G409" s="14">
        <f t="shared" ca="1" si="64"/>
        <v>0.10434665695040701</v>
      </c>
      <c r="H409" s="15">
        <f t="shared" ca="1" si="65"/>
        <v>0.30218883437729449</v>
      </c>
      <c r="I409" s="14">
        <f ca="1">IF(G409&lt;0.05,1,0)*$B$1*$B$2</f>
        <v>0</v>
      </c>
      <c r="J409" s="14">
        <f ca="1">IF(H409&lt;0.05,1,0)*$B$1*$B$2</f>
        <v>0</v>
      </c>
      <c r="K409" s="15">
        <f t="shared" ca="1" si="66"/>
        <v>0</v>
      </c>
      <c r="P409" s="3">
        <v>405</v>
      </c>
      <c r="Q409" s="4">
        <f t="shared" ca="1" si="67"/>
        <v>0.10434665695040701</v>
      </c>
      <c r="R409" s="4">
        <f t="shared" ca="1" si="68"/>
        <v>0.30218883437729449</v>
      </c>
      <c r="S409" s="4">
        <f ca="1">$B$1*Q409*$B$2</f>
        <v>4.1738662780162805</v>
      </c>
      <c r="T409" s="4">
        <f ca="1">$B$1*R409*$B$2</f>
        <v>12.08755337509178</v>
      </c>
      <c r="U409" s="7">
        <f t="shared" ca="1" si="69"/>
        <v>16.26141965310806</v>
      </c>
    </row>
    <row r="410" spans="2:21" x14ac:dyDescent="0.3">
      <c r="B410" s="13">
        <f t="shared" ca="1" si="60"/>
        <v>0.41908993129990324</v>
      </c>
      <c r="C410" s="14">
        <f t="shared" ca="1" si="60"/>
        <v>0.71299208773134493</v>
      </c>
      <c r="D410" s="14">
        <f t="shared" ca="1" si="61"/>
        <v>-0.20422220157535903</v>
      </c>
      <c r="E410" s="14">
        <f t="shared" ca="1" si="62"/>
        <v>0.56214706412263271</v>
      </c>
      <c r="F410" s="14">
        <f t="shared" ca="1" si="63"/>
        <v>6.1234242974040315E-2</v>
      </c>
      <c r="G410" s="14">
        <f t="shared" ca="1" si="64"/>
        <v>0.41908993129990324</v>
      </c>
      <c r="H410" s="15">
        <f t="shared" ca="1" si="65"/>
        <v>0.71299208773134493</v>
      </c>
      <c r="I410" s="14">
        <f ca="1">IF(G410&lt;0.05,1,0)*$B$1*$B$2</f>
        <v>0</v>
      </c>
      <c r="J410" s="14">
        <f ca="1">IF(H410&lt;0.05,1,0)*$B$1*$B$2</f>
        <v>0</v>
      </c>
      <c r="K410" s="15">
        <f t="shared" ca="1" si="66"/>
        <v>0</v>
      </c>
      <c r="P410" s="3">
        <v>406</v>
      </c>
      <c r="Q410" s="4">
        <f t="shared" ca="1" si="67"/>
        <v>0.41908993129990324</v>
      </c>
      <c r="R410" s="4">
        <f t="shared" ca="1" si="68"/>
        <v>0.71299208773134493</v>
      </c>
      <c r="S410" s="4">
        <f ca="1">$B$1*Q410*$B$2</f>
        <v>16.763597251996128</v>
      </c>
      <c r="T410" s="4">
        <f ca="1">$B$1*R410*$B$2</f>
        <v>28.519683509253799</v>
      </c>
      <c r="U410" s="7">
        <f t="shared" ca="1" si="69"/>
        <v>45.283280761249927</v>
      </c>
    </row>
    <row r="411" spans="2:21" x14ac:dyDescent="0.3">
      <c r="B411" s="13">
        <f t="shared" ca="1" si="60"/>
        <v>0.88624643639974932</v>
      </c>
      <c r="C411" s="14">
        <f t="shared" ca="1" si="60"/>
        <v>0.52232705723529016</v>
      </c>
      <c r="D411" s="14">
        <f t="shared" ca="1" si="61"/>
        <v>1.2068053189007744</v>
      </c>
      <c r="E411" s="14">
        <f t="shared" ca="1" si="62"/>
        <v>5.5994880505115384E-2</v>
      </c>
      <c r="F411" s="14">
        <f t="shared" ca="1" si="63"/>
        <v>1.1105323895584402</v>
      </c>
      <c r="G411" s="14">
        <f t="shared" ca="1" si="64"/>
        <v>0.88624643639974932</v>
      </c>
      <c r="H411" s="15">
        <f t="shared" ca="1" si="65"/>
        <v>0.52232705723529016</v>
      </c>
      <c r="I411" s="14">
        <f ca="1">IF(G411&lt;0.05,1,0)*$B$1*$B$2</f>
        <v>0</v>
      </c>
      <c r="J411" s="14">
        <f ca="1">IF(H411&lt;0.05,1,0)*$B$1*$B$2</f>
        <v>0</v>
      </c>
      <c r="K411" s="15">
        <f t="shared" ca="1" si="66"/>
        <v>0</v>
      </c>
      <c r="P411" s="3">
        <v>407</v>
      </c>
      <c r="Q411" s="4">
        <f t="shared" ca="1" si="67"/>
        <v>0.88624643639974932</v>
      </c>
      <c r="R411" s="4">
        <f t="shared" ca="1" si="68"/>
        <v>0.52232705723529016</v>
      </c>
      <c r="S411" s="4">
        <f ca="1">$B$1*Q411*$B$2</f>
        <v>35.449857455989978</v>
      </c>
      <c r="T411" s="4">
        <f ca="1">$B$1*R411*$B$2</f>
        <v>20.893082289411609</v>
      </c>
      <c r="U411" s="7">
        <f t="shared" ca="1" si="69"/>
        <v>56.342939745401587</v>
      </c>
    </row>
    <row r="412" spans="2:21" x14ac:dyDescent="0.3">
      <c r="B412" s="13">
        <f t="shared" ca="1" si="60"/>
        <v>5.9835401615457751E-2</v>
      </c>
      <c r="C412" s="14">
        <f t="shared" ca="1" si="60"/>
        <v>0.60879074347908857</v>
      </c>
      <c r="D412" s="14">
        <f t="shared" ca="1" si="61"/>
        <v>-1.5561568332928526</v>
      </c>
      <c r="E412" s="14">
        <f t="shared" ca="1" si="62"/>
        <v>0.27616867843914272</v>
      </c>
      <c r="F412" s="14">
        <f t="shared" ca="1" si="63"/>
        <v>-1.2801620138948271</v>
      </c>
      <c r="G412" s="14">
        <f t="shared" ca="1" si="64"/>
        <v>5.9835401615457744E-2</v>
      </c>
      <c r="H412" s="15">
        <f t="shared" ca="1" si="65"/>
        <v>0.60879074347908857</v>
      </c>
      <c r="I412" s="14">
        <f ca="1">IF(G412&lt;0.05,1,0)*$B$1*$B$2</f>
        <v>0</v>
      </c>
      <c r="J412" s="14">
        <f ca="1">IF(H412&lt;0.05,1,0)*$B$1*$B$2</f>
        <v>0</v>
      </c>
      <c r="K412" s="15">
        <f t="shared" ca="1" si="66"/>
        <v>0</v>
      </c>
      <c r="P412" s="3">
        <v>408</v>
      </c>
      <c r="Q412" s="4">
        <f t="shared" ca="1" si="67"/>
        <v>5.9835401615457744E-2</v>
      </c>
      <c r="R412" s="4">
        <f t="shared" ca="1" si="68"/>
        <v>0.60879074347908857</v>
      </c>
      <c r="S412" s="4">
        <f ca="1">$B$1*Q412*$B$2</f>
        <v>2.39341606461831</v>
      </c>
      <c r="T412" s="4">
        <f ca="1">$B$1*R412*$B$2</f>
        <v>24.351629739163542</v>
      </c>
      <c r="U412" s="7">
        <f t="shared" ca="1" si="69"/>
        <v>26.745045803781853</v>
      </c>
    </row>
    <row r="413" spans="2:21" x14ac:dyDescent="0.3">
      <c r="B413" s="13">
        <f t="shared" ca="1" si="60"/>
        <v>0.65179852172881103</v>
      </c>
      <c r="C413" s="14">
        <f t="shared" ca="1" si="60"/>
        <v>0.93699725350473972</v>
      </c>
      <c r="D413" s="14">
        <f t="shared" ca="1" si="61"/>
        <v>0.39018066687804998</v>
      </c>
      <c r="E413" s="14">
        <f t="shared" ca="1" si="62"/>
        <v>1.5300453946120525</v>
      </c>
      <c r="F413" s="14">
        <f t="shared" ca="1" si="63"/>
        <v>1.0180939256046198</v>
      </c>
      <c r="G413" s="14">
        <f t="shared" ca="1" si="64"/>
        <v>0.65179852172881103</v>
      </c>
      <c r="H413" s="15">
        <f t="shared" ca="1" si="65"/>
        <v>0.93699725350473972</v>
      </c>
      <c r="I413" s="14">
        <f ca="1">IF(G413&lt;0.05,1,0)*$B$1*$B$2</f>
        <v>0</v>
      </c>
      <c r="J413" s="14">
        <f ca="1">IF(H413&lt;0.05,1,0)*$B$1*$B$2</f>
        <v>0</v>
      </c>
      <c r="K413" s="15">
        <f t="shared" ca="1" si="66"/>
        <v>0</v>
      </c>
      <c r="P413" s="3">
        <v>409</v>
      </c>
      <c r="Q413" s="4">
        <f t="shared" ca="1" si="67"/>
        <v>0.65179852172881103</v>
      </c>
      <c r="R413" s="4">
        <f t="shared" ca="1" si="68"/>
        <v>0.93699725350473972</v>
      </c>
      <c r="S413" s="4">
        <f ca="1">$B$1*Q413*$B$2</f>
        <v>26.071940869152442</v>
      </c>
      <c r="T413" s="4">
        <f ca="1">$B$1*R413*$B$2</f>
        <v>37.479890140189589</v>
      </c>
      <c r="U413" s="7">
        <f t="shared" ca="1" si="69"/>
        <v>63.551831009342031</v>
      </c>
    </row>
    <row r="414" spans="2:21" x14ac:dyDescent="0.3">
      <c r="B414" s="13">
        <f t="shared" ca="1" si="60"/>
        <v>0.97833566516372705</v>
      </c>
      <c r="C414" s="14">
        <f t="shared" ca="1" si="60"/>
        <v>0.74432602962289673</v>
      </c>
      <c r="D414" s="14">
        <f t="shared" ca="1" si="61"/>
        <v>2.0205277985320453</v>
      </c>
      <c r="E414" s="14">
        <f t="shared" ca="1" si="62"/>
        <v>0.65674026294337806</v>
      </c>
      <c r="F414" s="14">
        <f t="shared" ca="1" si="63"/>
        <v>2.1047414625112921</v>
      </c>
      <c r="G414" s="14">
        <f t="shared" ca="1" si="64"/>
        <v>0.97833566516372705</v>
      </c>
      <c r="H414" s="15">
        <f t="shared" ca="1" si="65"/>
        <v>0.74432602962289685</v>
      </c>
      <c r="I414" s="14">
        <f ca="1">IF(G414&lt;0.05,1,0)*$B$1*$B$2</f>
        <v>0</v>
      </c>
      <c r="J414" s="14">
        <f ca="1">IF(H414&lt;0.05,1,0)*$B$1*$B$2</f>
        <v>0</v>
      </c>
      <c r="K414" s="15">
        <f t="shared" ca="1" si="66"/>
        <v>0</v>
      </c>
      <c r="P414" s="3">
        <v>410</v>
      </c>
      <c r="Q414" s="4">
        <f t="shared" ca="1" si="67"/>
        <v>0.97833566516372705</v>
      </c>
      <c r="R414" s="4">
        <f t="shared" ca="1" si="68"/>
        <v>0.74432602962289685</v>
      </c>
      <c r="S414" s="4">
        <f ca="1">$B$1*Q414*$B$2</f>
        <v>39.133426606549079</v>
      </c>
      <c r="T414" s="4">
        <f ca="1">$B$1*R414*$B$2</f>
        <v>29.773041184915872</v>
      </c>
      <c r="U414" s="7">
        <f t="shared" ca="1" si="69"/>
        <v>68.906467791464948</v>
      </c>
    </row>
    <row r="415" spans="2:21" x14ac:dyDescent="0.3">
      <c r="B415" s="13">
        <f t="shared" ca="1" si="60"/>
        <v>0.60267365353870206</v>
      </c>
      <c r="C415" s="14">
        <f t="shared" ca="1" si="60"/>
        <v>0.93035873906738964</v>
      </c>
      <c r="D415" s="14">
        <f t="shared" ca="1" si="61"/>
        <v>0.2602736547679893</v>
      </c>
      <c r="E415" s="14">
        <f t="shared" ca="1" si="62"/>
        <v>1.4784681280986782</v>
      </c>
      <c r="F415" s="14">
        <f t="shared" ca="1" si="63"/>
        <v>0.87869560545397885</v>
      </c>
      <c r="G415" s="14">
        <f t="shared" ca="1" si="64"/>
        <v>0.60267365353870206</v>
      </c>
      <c r="H415" s="15">
        <f t="shared" ca="1" si="65"/>
        <v>0.93035873906738975</v>
      </c>
      <c r="I415" s="14">
        <f ca="1">IF(G415&lt;0.05,1,0)*$B$1*$B$2</f>
        <v>0</v>
      </c>
      <c r="J415" s="14">
        <f ca="1">IF(H415&lt;0.05,1,0)*$B$1*$B$2</f>
        <v>0</v>
      </c>
      <c r="K415" s="15">
        <f t="shared" ca="1" si="66"/>
        <v>0</v>
      </c>
      <c r="P415" s="3">
        <v>411</v>
      </c>
      <c r="Q415" s="4">
        <f t="shared" ca="1" si="67"/>
        <v>0.60267365353870206</v>
      </c>
      <c r="R415" s="4">
        <f t="shared" ca="1" si="68"/>
        <v>0.93035873906738975</v>
      </c>
      <c r="S415" s="4">
        <f ca="1">$B$1*Q415*$B$2</f>
        <v>24.106946141548082</v>
      </c>
      <c r="T415" s="4">
        <f ca="1">$B$1*R415*$B$2</f>
        <v>37.214349562695588</v>
      </c>
      <c r="U415" s="7">
        <f t="shared" ca="1" si="69"/>
        <v>61.321295704243667</v>
      </c>
    </row>
    <row r="416" spans="2:21" x14ac:dyDescent="0.3">
      <c r="B416" s="13">
        <f t="shared" ca="1" si="60"/>
        <v>0.81606725840484517</v>
      </c>
      <c r="C416" s="14">
        <f t="shared" ca="1" si="60"/>
        <v>0.17001831038447757</v>
      </c>
      <c r="D416" s="14">
        <f t="shared" ca="1" si="61"/>
        <v>0.90047883603717938</v>
      </c>
      <c r="E416" s="14">
        <f t="shared" ca="1" si="62"/>
        <v>-0.95409289789460661</v>
      </c>
      <c r="F416" s="14">
        <f t="shared" ca="1" si="63"/>
        <v>0.39455149996621547</v>
      </c>
      <c r="G416" s="14">
        <f t="shared" ca="1" si="64"/>
        <v>0.81606725840484517</v>
      </c>
      <c r="H416" s="15">
        <f t="shared" ca="1" si="65"/>
        <v>0.17001831038447787</v>
      </c>
      <c r="I416" s="14">
        <f ca="1">IF(G416&lt;0.05,1,0)*$B$1*$B$2</f>
        <v>0</v>
      </c>
      <c r="J416" s="14">
        <f ca="1">IF(H416&lt;0.05,1,0)*$B$1*$B$2</f>
        <v>0</v>
      </c>
      <c r="K416" s="15">
        <f t="shared" ca="1" si="66"/>
        <v>0</v>
      </c>
      <c r="P416" s="3">
        <v>412</v>
      </c>
      <c r="Q416" s="4">
        <f t="shared" ca="1" si="67"/>
        <v>0.81606725840484517</v>
      </c>
      <c r="R416" s="4">
        <f t="shared" ca="1" si="68"/>
        <v>0.17001831038447787</v>
      </c>
      <c r="S416" s="4">
        <f ca="1">$B$1*Q416*$B$2</f>
        <v>32.642690336193809</v>
      </c>
      <c r="T416" s="4">
        <f ca="1">$B$1*R416*$B$2</f>
        <v>6.8007324153791151</v>
      </c>
      <c r="U416" s="7">
        <f t="shared" ca="1" si="69"/>
        <v>39.443422751572925</v>
      </c>
    </row>
    <row r="417" spans="2:21" x14ac:dyDescent="0.3">
      <c r="B417" s="13">
        <f t="shared" ca="1" si="60"/>
        <v>0.19109778613032447</v>
      </c>
      <c r="C417" s="14">
        <f t="shared" ca="1" si="60"/>
        <v>0.4048678565288818</v>
      </c>
      <c r="D417" s="14">
        <f t="shared" ca="1" si="61"/>
        <v>-0.87385803209880775</v>
      </c>
      <c r="E417" s="14">
        <f t="shared" ca="1" si="62"/>
        <v>-0.24076699282834363</v>
      </c>
      <c r="F417" s="14">
        <f t="shared" ca="1" si="63"/>
        <v>-0.89142012795682013</v>
      </c>
      <c r="G417" s="14">
        <f t="shared" ca="1" si="64"/>
        <v>0.19109778613032447</v>
      </c>
      <c r="H417" s="15">
        <f t="shared" ca="1" si="65"/>
        <v>0.4048678565288818</v>
      </c>
      <c r="I417" s="14">
        <f ca="1">IF(G417&lt;0.05,1,0)*$B$1*$B$2</f>
        <v>0</v>
      </c>
      <c r="J417" s="14">
        <f ca="1">IF(H417&lt;0.05,1,0)*$B$1*$B$2</f>
        <v>0</v>
      </c>
      <c r="K417" s="15">
        <f t="shared" ca="1" si="66"/>
        <v>0</v>
      </c>
      <c r="P417" s="3">
        <v>413</v>
      </c>
      <c r="Q417" s="4">
        <f t="shared" ca="1" si="67"/>
        <v>0.19109778613032447</v>
      </c>
      <c r="R417" s="4">
        <f t="shared" ca="1" si="68"/>
        <v>0.4048678565288818</v>
      </c>
      <c r="S417" s="4">
        <f ca="1">$B$1*Q417*$B$2</f>
        <v>7.6439114452129786</v>
      </c>
      <c r="T417" s="4">
        <f ca="1">$B$1*R417*$B$2</f>
        <v>16.194714261155273</v>
      </c>
      <c r="U417" s="7">
        <f t="shared" ca="1" si="69"/>
        <v>23.838625706368251</v>
      </c>
    </row>
    <row r="418" spans="2:21" x14ac:dyDescent="0.3">
      <c r="B418" s="13">
        <f t="shared" ca="1" si="60"/>
        <v>0.81161323510622241</v>
      </c>
      <c r="C418" s="14">
        <f t="shared" ca="1" si="60"/>
        <v>0.18280391906052396</v>
      </c>
      <c r="D418" s="14">
        <f t="shared" ca="1" si="61"/>
        <v>0.8838567818088866</v>
      </c>
      <c r="E418" s="14">
        <f t="shared" ca="1" si="62"/>
        <v>-0.90473114296008128</v>
      </c>
      <c r="F418" s="14">
        <f t="shared" ca="1" si="63"/>
        <v>0.40110794130429361</v>
      </c>
      <c r="G418" s="14">
        <f t="shared" ca="1" si="64"/>
        <v>0.8116132351062223</v>
      </c>
      <c r="H418" s="15">
        <f t="shared" ca="1" si="65"/>
        <v>0.18280391906052387</v>
      </c>
      <c r="I418" s="14">
        <f ca="1">IF(G418&lt;0.05,1,0)*$B$1*$B$2</f>
        <v>0</v>
      </c>
      <c r="J418" s="14">
        <f ca="1">IF(H418&lt;0.05,1,0)*$B$1*$B$2</f>
        <v>0</v>
      </c>
      <c r="K418" s="15">
        <f t="shared" ca="1" si="66"/>
        <v>0</v>
      </c>
      <c r="P418" s="3">
        <v>414</v>
      </c>
      <c r="Q418" s="4">
        <f t="shared" ca="1" si="67"/>
        <v>0.8116132351062223</v>
      </c>
      <c r="R418" s="4">
        <f t="shared" ca="1" si="68"/>
        <v>0.18280391906052387</v>
      </c>
      <c r="S418" s="4">
        <f ca="1">$B$1*Q418*$B$2</f>
        <v>32.464529404248893</v>
      </c>
      <c r="T418" s="4">
        <f ca="1">$B$1*R418*$B$2</f>
        <v>7.3121567624209547</v>
      </c>
      <c r="U418" s="7">
        <f t="shared" ca="1" si="69"/>
        <v>39.776686166669847</v>
      </c>
    </row>
    <row r="419" spans="2:21" x14ac:dyDescent="0.3">
      <c r="B419" s="13">
        <f t="shared" ca="1" si="60"/>
        <v>0.78137531349370726</v>
      </c>
      <c r="C419" s="14">
        <f t="shared" ca="1" si="60"/>
        <v>0.74931503437584146</v>
      </c>
      <c r="D419" s="14">
        <f t="shared" ca="1" si="61"/>
        <v>0.77684644174380046</v>
      </c>
      <c r="E419" s="14">
        <f t="shared" ca="1" si="62"/>
        <v>0.67233581950244414</v>
      </c>
      <c r="F419" s="14">
        <f t="shared" ca="1" si="63"/>
        <v>0.99222618690279607</v>
      </c>
      <c r="G419" s="14">
        <f t="shared" ca="1" si="64"/>
        <v>0.78137531349370737</v>
      </c>
      <c r="H419" s="15">
        <f t="shared" ca="1" si="65"/>
        <v>0.74931503437584157</v>
      </c>
      <c r="I419" s="14">
        <f ca="1">IF(G419&lt;0.05,1,0)*$B$1*$B$2</f>
        <v>0</v>
      </c>
      <c r="J419" s="14">
        <f ca="1">IF(H419&lt;0.05,1,0)*$B$1*$B$2</f>
        <v>0</v>
      </c>
      <c r="K419" s="15">
        <f t="shared" ca="1" si="66"/>
        <v>0</v>
      </c>
      <c r="P419" s="3">
        <v>415</v>
      </c>
      <c r="Q419" s="4">
        <f t="shared" ca="1" si="67"/>
        <v>0.78137531349370737</v>
      </c>
      <c r="R419" s="4">
        <f t="shared" ca="1" si="68"/>
        <v>0.74931503437584157</v>
      </c>
      <c r="S419" s="4">
        <f ca="1">$B$1*Q419*$B$2</f>
        <v>31.255012539748293</v>
      </c>
      <c r="T419" s="4">
        <f ca="1">$B$1*R419*$B$2</f>
        <v>29.972601375033662</v>
      </c>
      <c r="U419" s="7">
        <f t="shared" ca="1" si="69"/>
        <v>61.227613914781955</v>
      </c>
    </row>
    <row r="420" spans="2:21" x14ac:dyDescent="0.3">
      <c r="B420" s="13">
        <f t="shared" ca="1" si="60"/>
        <v>0.79784908777347963</v>
      </c>
      <c r="C420" s="14">
        <f t="shared" ca="1" si="60"/>
        <v>8.9732003668425597E-2</v>
      </c>
      <c r="D420" s="14">
        <f t="shared" ca="1" si="61"/>
        <v>0.83396301704148157</v>
      </c>
      <c r="E420" s="14">
        <f t="shared" ca="1" si="62"/>
        <v>-1.3424071819057426</v>
      </c>
      <c r="F420" s="14">
        <f t="shared" ca="1" si="63"/>
        <v>0.16542499063629812</v>
      </c>
      <c r="G420" s="14">
        <f t="shared" ca="1" si="64"/>
        <v>0.79784908777347974</v>
      </c>
      <c r="H420" s="15">
        <f t="shared" ca="1" si="65"/>
        <v>8.9732003668425764E-2</v>
      </c>
      <c r="I420" s="14">
        <f ca="1">IF(G420&lt;0.05,1,0)*$B$1*$B$2</f>
        <v>0</v>
      </c>
      <c r="J420" s="14">
        <f ca="1">IF(H420&lt;0.05,1,0)*$B$1*$B$2</f>
        <v>0</v>
      </c>
      <c r="K420" s="15">
        <f t="shared" ca="1" si="66"/>
        <v>0</v>
      </c>
      <c r="P420" s="3">
        <v>416</v>
      </c>
      <c r="Q420" s="4">
        <f t="shared" ca="1" si="67"/>
        <v>0.79784908777347974</v>
      </c>
      <c r="R420" s="4">
        <f t="shared" ca="1" si="68"/>
        <v>8.9732003668425764E-2</v>
      </c>
      <c r="S420" s="4">
        <f ca="1">$B$1*Q420*$B$2</f>
        <v>31.913963510939194</v>
      </c>
      <c r="T420" s="4">
        <f ca="1">$B$1*R420*$B$2</f>
        <v>3.5892801467370306</v>
      </c>
      <c r="U420" s="7">
        <f t="shared" ca="1" si="69"/>
        <v>35.503243657676222</v>
      </c>
    </row>
    <row r="421" spans="2:21" x14ac:dyDescent="0.3">
      <c r="B421" s="13">
        <f t="shared" ca="1" si="60"/>
        <v>0.1701462879366632</v>
      </c>
      <c r="C421" s="14">
        <f t="shared" ca="1" si="60"/>
        <v>0.38272018442724787</v>
      </c>
      <c r="D421" s="14">
        <f t="shared" ca="1" si="61"/>
        <v>-0.95358732163509408</v>
      </c>
      <c r="E421" s="14">
        <f t="shared" ca="1" si="62"/>
        <v>-0.29834433604622673</v>
      </c>
      <c r="F421" s="14">
        <f t="shared" ca="1" si="63"/>
        <v>-0.98827387059190874</v>
      </c>
      <c r="G421" s="14">
        <f t="shared" ca="1" si="64"/>
        <v>0.17014628793666339</v>
      </c>
      <c r="H421" s="15">
        <f t="shared" ca="1" si="65"/>
        <v>0.38272018442724787</v>
      </c>
      <c r="I421" s="14">
        <f ca="1">IF(G421&lt;0.05,1,0)*$B$1*$B$2</f>
        <v>0</v>
      </c>
      <c r="J421" s="14">
        <f ca="1">IF(H421&lt;0.05,1,0)*$B$1*$B$2</f>
        <v>0</v>
      </c>
      <c r="K421" s="15">
        <f t="shared" ca="1" si="66"/>
        <v>0</v>
      </c>
      <c r="P421" s="3">
        <v>417</v>
      </c>
      <c r="Q421" s="4">
        <f t="shared" ca="1" si="67"/>
        <v>0.17014628793666339</v>
      </c>
      <c r="R421" s="4">
        <f t="shared" ca="1" si="68"/>
        <v>0.38272018442724787</v>
      </c>
      <c r="S421" s="4">
        <f ca="1">$B$1*Q421*$B$2</f>
        <v>6.8058515174665359</v>
      </c>
      <c r="T421" s="4">
        <f ca="1">$B$1*R421*$B$2</f>
        <v>15.308807377089915</v>
      </c>
      <c r="U421" s="7">
        <f t="shared" ca="1" si="69"/>
        <v>22.114658894556449</v>
      </c>
    </row>
    <row r="422" spans="2:21" x14ac:dyDescent="0.3">
      <c r="B422" s="13">
        <f t="shared" ca="1" si="60"/>
        <v>0.28370253140128099</v>
      </c>
      <c r="C422" s="14">
        <f t="shared" ca="1" si="60"/>
        <v>0.97106327152848371</v>
      </c>
      <c r="D422" s="14">
        <f t="shared" ca="1" si="61"/>
        <v>-0.57187736035179215</v>
      </c>
      <c r="E422" s="14">
        <f t="shared" ca="1" si="62"/>
        <v>1.8966552238509891</v>
      </c>
      <c r="F422" s="14">
        <f t="shared" ca="1" si="63"/>
        <v>0.31204322083388447</v>
      </c>
      <c r="G422" s="14">
        <f t="shared" ca="1" si="64"/>
        <v>0.28370253140128093</v>
      </c>
      <c r="H422" s="15">
        <f t="shared" ca="1" si="65"/>
        <v>0.97106327152848371</v>
      </c>
      <c r="I422" s="14">
        <f ca="1">IF(G422&lt;0.05,1,0)*$B$1*$B$2</f>
        <v>0</v>
      </c>
      <c r="J422" s="14">
        <f ca="1">IF(H422&lt;0.05,1,0)*$B$1*$B$2</f>
        <v>0</v>
      </c>
      <c r="K422" s="15">
        <f t="shared" ca="1" si="66"/>
        <v>0</v>
      </c>
      <c r="P422" s="3">
        <v>418</v>
      </c>
      <c r="Q422" s="4">
        <f t="shared" ca="1" si="67"/>
        <v>0.28370253140128093</v>
      </c>
      <c r="R422" s="4">
        <f t="shared" ca="1" si="68"/>
        <v>0.97106327152848371</v>
      </c>
      <c r="S422" s="4">
        <f ca="1">$B$1*Q422*$B$2</f>
        <v>11.348101256051237</v>
      </c>
      <c r="T422" s="4">
        <f ca="1">$B$1*R422*$B$2</f>
        <v>38.842530861139352</v>
      </c>
      <c r="U422" s="7">
        <f t="shared" ca="1" si="69"/>
        <v>50.190632117190589</v>
      </c>
    </row>
    <row r="423" spans="2:21" x14ac:dyDescent="0.3">
      <c r="B423" s="13">
        <f t="shared" ca="1" si="60"/>
        <v>0.18615632873897558</v>
      </c>
      <c r="C423" s="14">
        <f t="shared" ca="1" si="60"/>
        <v>0.28379439144900553</v>
      </c>
      <c r="D423" s="14">
        <f t="shared" ca="1" si="61"/>
        <v>-0.89214977697598663</v>
      </c>
      <c r="E423" s="14">
        <f t="shared" ca="1" si="62"/>
        <v>-0.57160621661616284</v>
      </c>
      <c r="F423" s="14">
        <f t="shared" ca="1" si="63"/>
        <v>-1.0520921726513353</v>
      </c>
      <c r="G423" s="14">
        <f t="shared" ca="1" si="64"/>
        <v>0.18615632873897561</v>
      </c>
      <c r="H423" s="15">
        <f t="shared" ca="1" si="65"/>
        <v>0.28379439144900542</v>
      </c>
      <c r="I423" s="14">
        <f ca="1">IF(G423&lt;0.05,1,0)*$B$1*$B$2</f>
        <v>0</v>
      </c>
      <c r="J423" s="14">
        <f ca="1">IF(H423&lt;0.05,1,0)*$B$1*$B$2</f>
        <v>0</v>
      </c>
      <c r="K423" s="15">
        <f t="shared" ca="1" si="66"/>
        <v>0</v>
      </c>
      <c r="P423" s="3">
        <v>419</v>
      </c>
      <c r="Q423" s="4">
        <f t="shared" ca="1" si="67"/>
        <v>0.18615632873897561</v>
      </c>
      <c r="R423" s="4">
        <f t="shared" ca="1" si="68"/>
        <v>0.28379439144900542</v>
      </c>
      <c r="S423" s="4">
        <f ca="1">$B$1*Q423*$B$2</f>
        <v>7.4462531495590243</v>
      </c>
      <c r="T423" s="4">
        <f ca="1">$B$1*R423*$B$2</f>
        <v>11.351775657960218</v>
      </c>
      <c r="U423" s="7">
        <f t="shared" ca="1" si="69"/>
        <v>18.798028807519241</v>
      </c>
    </row>
    <row r="424" spans="2:21" x14ac:dyDescent="0.3">
      <c r="B424" s="13">
        <f t="shared" ca="1" si="60"/>
        <v>0.72996230616353941</v>
      </c>
      <c r="C424" s="14">
        <f t="shared" ca="1" si="60"/>
        <v>0.88034002255986255</v>
      </c>
      <c r="D424" s="14">
        <f t="shared" ca="1" si="61"/>
        <v>0.61269899425071805</v>
      </c>
      <c r="E424" s="14">
        <f t="shared" ca="1" si="62"/>
        <v>1.1766882612787894</v>
      </c>
      <c r="F424" s="14">
        <f t="shared" ca="1" si="63"/>
        <v>1.064335616722129</v>
      </c>
      <c r="G424" s="14">
        <f t="shared" ca="1" si="64"/>
        <v>0.72996230616353952</v>
      </c>
      <c r="H424" s="15">
        <f t="shared" ca="1" si="65"/>
        <v>0.88034002255986266</v>
      </c>
      <c r="I424" s="14">
        <f ca="1">IF(G424&lt;0.05,1,0)*$B$1*$B$2</f>
        <v>0</v>
      </c>
      <c r="J424" s="14">
        <f ca="1">IF(H424&lt;0.05,1,0)*$B$1*$B$2</f>
        <v>0</v>
      </c>
      <c r="K424" s="15">
        <f t="shared" ca="1" si="66"/>
        <v>0</v>
      </c>
      <c r="P424" s="3">
        <v>420</v>
      </c>
      <c r="Q424" s="4">
        <f t="shared" ca="1" si="67"/>
        <v>0.72996230616353952</v>
      </c>
      <c r="R424" s="4">
        <f t="shared" ca="1" si="68"/>
        <v>0.88034002255986266</v>
      </c>
      <c r="S424" s="4">
        <f ca="1">$B$1*Q424*$B$2</f>
        <v>29.198492246541583</v>
      </c>
      <c r="T424" s="4">
        <f ca="1">$B$1*R424*$B$2</f>
        <v>35.213600902394511</v>
      </c>
      <c r="U424" s="7">
        <f t="shared" ca="1" si="69"/>
        <v>64.412093148936094</v>
      </c>
    </row>
    <row r="425" spans="2:21" x14ac:dyDescent="0.3">
      <c r="B425" s="13">
        <f t="shared" ca="1" si="60"/>
        <v>0.2411916168896836</v>
      </c>
      <c r="C425" s="14">
        <f t="shared" ca="1" si="60"/>
        <v>0.84946049783891697</v>
      </c>
      <c r="D425" s="14">
        <f t="shared" ca="1" si="61"/>
        <v>-0.70247460448337185</v>
      </c>
      <c r="E425" s="14">
        <f t="shared" ca="1" si="62"/>
        <v>1.0341222744215466</v>
      </c>
      <c r="F425" s="14">
        <f t="shared" ca="1" si="63"/>
        <v>-0.18146369508823895</v>
      </c>
      <c r="G425" s="14">
        <f t="shared" ca="1" si="64"/>
        <v>0.24119161688968355</v>
      </c>
      <c r="H425" s="15">
        <f t="shared" ca="1" si="65"/>
        <v>0.84946049783891631</v>
      </c>
      <c r="I425" s="14">
        <f ca="1">IF(G425&lt;0.05,1,0)*$B$1*$B$2</f>
        <v>0</v>
      </c>
      <c r="J425" s="14">
        <f ca="1">IF(H425&lt;0.05,1,0)*$B$1*$B$2</f>
        <v>0</v>
      </c>
      <c r="K425" s="15">
        <f t="shared" ca="1" si="66"/>
        <v>0</v>
      </c>
      <c r="P425" s="3">
        <v>421</v>
      </c>
      <c r="Q425" s="4">
        <f t="shared" ca="1" si="67"/>
        <v>0.24119161688968355</v>
      </c>
      <c r="R425" s="4">
        <f t="shared" ca="1" si="68"/>
        <v>0.84946049783891631</v>
      </c>
      <c r="S425" s="4">
        <f ca="1">$B$1*Q425*$B$2</f>
        <v>9.6476646755873432</v>
      </c>
      <c r="T425" s="4">
        <f ca="1">$B$1*R425*$B$2</f>
        <v>33.97841991355665</v>
      </c>
      <c r="U425" s="7">
        <f t="shared" ca="1" si="69"/>
        <v>43.626084589143993</v>
      </c>
    </row>
    <row r="426" spans="2:21" x14ac:dyDescent="0.3">
      <c r="B426" s="13">
        <f t="shared" ca="1" si="60"/>
        <v>0.36404594162681192</v>
      </c>
      <c r="C426" s="14">
        <f t="shared" ca="1" si="60"/>
        <v>0.46432674522989581</v>
      </c>
      <c r="D426" s="14">
        <f t="shared" ca="1" si="61"/>
        <v>-0.34766486883124381</v>
      </c>
      <c r="E426" s="14">
        <f t="shared" ca="1" si="62"/>
        <v>-8.9539088161633001E-2</v>
      </c>
      <c r="F426" s="14">
        <f t="shared" ca="1" si="63"/>
        <v>-0.35192756562745314</v>
      </c>
      <c r="G426" s="14">
        <f t="shared" ca="1" si="64"/>
        <v>0.36404594162681192</v>
      </c>
      <c r="H426" s="15">
        <f t="shared" ca="1" si="65"/>
        <v>0.46432674522989581</v>
      </c>
      <c r="I426" s="14">
        <f ca="1">IF(G426&lt;0.05,1,0)*$B$1*$B$2</f>
        <v>0</v>
      </c>
      <c r="J426" s="14">
        <f ca="1">IF(H426&lt;0.05,1,0)*$B$1*$B$2</f>
        <v>0</v>
      </c>
      <c r="K426" s="15">
        <f t="shared" ca="1" si="66"/>
        <v>0</v>
      </c>
      <c r="P426" s="3">
        <v>422</v>
      </c>
      <c r="Q426" s="4">
        <f t="shared" ca="1" si="67"/>
        <v>0.36404594162681192</v>
      </c>
      <c r="R426" s="4">
        <f t="shared" ca="1" si="68"/>
        <v>0.46432674522989581</v>
      </c>
      <c r="S426" s="4">
        <f ca="1">$B$1*Q426*$B$2</f>
        <v>14.561837665072478</v>
      </c>
      <c r="T426" s="4">
        <f ca="1">$B$1*R426*$B$2</f>
        <v>18.573069809195832</v>
      </c>
      <c r="U426" s="7">
        <f t="shared" ca="1" si="69"/>
        <v>33.13490747426831</v>
      </c>
    </row>
    <row r="427" spans="2:21" x14ac:dyDescent="0.3">
      <c r="B427" s="13">
        <f t="shared" ca="1" si="60"/>
        <v>0.97556178356091117</v>
      </c>
      <c r="C427" s="14">
        <f t="shared" ca="1" si="60"/>
        <v>0.9678388489646651</v>
      </c>
      <c r="D427" s="14">
        <f t="shared" ca="1" si="61"/>
        <v>1.9696679986322383</v>
      </c>
      <c r="E427" s="14">
        <f t="shared" ca="1" si="62"/>
        <v>1.8499392770200342</v>
      </c>
      <c r="F427" s="14">
        <f t="shared" ca="1" si="63"/>
        <v>2.5790710347907169</v>
      </c>
      <c r="G427" s="14">
        <f t="shared" ca="1" si="64"/>
        <v>0.97556178356091117</v>
      </c>
      <c r="H427" s="15">
        <f t="shared" ca="1" si="65"/>
        <v>0.9678388489646651</v>
      </c>
      <c r="I427" s="14">
        <f ca="1">IF(G427&lt;0.05,1,0)*$B$1*$B$2</f>
        <v>0</v>
      </c>
      <c r="J427" s="14">
        <f ca="1">IF(H427&lt;0.05,1,0)*$B$1*$B$2</f>
        <v>0</v>
      </c>
      <c r="K427" s="15">
        <f t="shared" ca="1" si="66"/>
        <v>0</v>
      </c>
      <c r="P427" s="3">
        <v>423</v>
      </c>
      <c r="Q427" s="4">
        <f t="shared" ca="1" si="67"/>
        <v>0.97556178356091117</v>
      </c>
      <c r="R427" s="4">
        <f t="shared" ca="1" si="68"/>
        <v>0.9678388489646651</v>
      </c>
      <c r="S427" s="4">
        <f ca="1">$B$1*Q427*$B$2</f>
        <v>39.022471342436454</v>
      </c>
      <c r="T427" s="4">
        <f ca="1">$B$1*R427*$B$2</f>
        <v>38.713553958586601</v>
      </c>
      <c r="U427" s="7">
        <f t="shared" ca="1" si="69"/>
        <v>77.736025301023062</v>
      </c>
    </row>
    <row r="428" spans="2:21" x14ac:dyDescent="0.3">
      <c r="B428" s="13">
        <f t="shared" ca="1" si="60"/>
        <v>0.21334771151967746</v>
      </c>
      <c r="C428" s="14">
        <f t="shared" ca="1" si="60"/>
        <v>0.12249423159230455</v>
      </c>
      <c r="D428" s="14">
        <f t="shared" ca="1" si="61"/>
        <v>-0.79485917726842914</v>
      </c>
      <c r="E428" s="14">
        <f t="shared" ca="1" si="62"/>
        <v>-1.1626082963781805</v>
      </c>
      <c r="F428" s="14">
        <f t="shared" ca="1" si="63"/>
        <v>-1.2221424670250336</v>
      </c>
      <c r="G428" s="14">
        <f t="shared" ca="1" si="64"/>
        <v>0.21334771151967746</v>
      </c>
      <c r="H428" s="15">
        <f t="shared" ca="1" si="65"/>
        <v>0.12249423159230456</v>
      </c>
      <c r="I428" s="14">
        <f ca="1">IF(G428&lt;0.05,1,0)*$B$1*$B$2</f>
        <v>0</v>
      </c>
      <c r="J428" s="14">
        <f ca="1">IF(H428&lt;0.05,1,0)*$B$1*$B$2</f>
        <v>0</v>
      </c>
      <c r="K428" s="15">
        <f t="shared" ca="1" si="66"/>
        <v>0</v>
      </c>
      <c r="P428" s="3">
        <v>424</v>
      </c>
      <c r="Q428" s="4">
        <f t="shared" ca="1" si="67"/>
        <v>0.21334771151967746</v>
      </c>
      <c r="R428" s="4">
        <f t="shared" ca="1" si="68"/>
        <v>0.12249423159230456</v>
      </c>
      <c r="S428" s="4">
        <f ca="1">$B$1*Q428*$B$2</f>
        <v>8.5339084607870994</v>
      </c>
      <c r="T428" s="4">
        <f ca="1">$B$1*R428*$B$2</f>
        <v>4.8997692636921828</v>
      </c>
      <c r="U428" s="7">
        <f t="shared" ca="1" si="69"/>
        <v>13.433677724479281</v>
      </c>
    </row>
    <row r="429" spans="2:21" x14ac:dyDescent="0.3">
      <c r="B429" s="13">
        <f t="shared" ca="1" si="60"/>
        <v>0.45899997814293736</v>
      </c>
      <c r="C429" s="14">
        <f t="shared" ca="1" si="60"/>
        <v>0.45140879540550982</v>
      </c>
      <c r="D429" s="14">
        <f t="shared" ca="1" si="61"/>
        <v>-0.10295339933366325</v>
      </c>
      <c r="E429" s="14">
        <f t="shared" ca="1" si="62"/>
        <v>-0.12210281715209149</v>
      </c>
      <c r="F429" s="14">
        <f t="shared" ca="1" si="63"/>
        <v>-0.14588144346905607</v>
      </c>
      <c r="G429" s="14">
        <f t="shared" ca="1" si="64"/>
        <v>0.45899997814293736</v>
      </c>
      <c r="H429" s="15">
        <f t="shared" ca="1" si="65"/>
        <v>0.45140879540550982</v>
      </c>
      <c r="I429" s="14">
        <f ca="1">IF(G429&lt;0.05,1,0)*$B$1*$B$2</f>
        <v>0</v>
      </c>
      <c r="J429" s="14">
        <f ca="1">IF(H429&lt;0.05,1,0)*$B$1*$B$2</f>
        <v>0</v>
      </c>
      <c r="K429" s="15">
        <f t="shared" ca="1" si="66"/>
        <v>0</v>
      </c>
      <c r="P429" s="3">
        <v>425</v>
      </c>
      <c r="Q429" s="4">
        <f t="shared" ca="1" si="67"/>
        <v>0.45899997814293736</v>
      </c>
      <c r="R429" s="4">
        <f t="shared" ca="1" si="68"/>
        <v>0.45140879540550982</v>
      </c>
      <c r="S429" s="4">
        <f ca="1">$B$1*Q429*$B$2</f>
        <v>18.359999125717493</v>
      </c>
      <c r="T429" s="4">
        <f ca="1">$B$1*R429*$B$2</f>
        <v>18.056351816220396</v>
      </c>
      <c r="U429" s="7">
        <f t="shared" ca="1" si="69"/>
        <v>36.416350941937893</v>
      </c>
    </row>
    <row r="430" spans="2:21" x14ac:dyDescent="0.3">
      <c r="B430" s="13">
        <f t="shared" ca="1" si="60"/>
        <v>0.60948497372248334</v>
      </c>
      <c r="C430" s="14">
        <f t="shared" ca="1" si="60"/>
        <v>0.71197594566169264</v>
      </c>
      <c r="D430" s="14">
        <f t="shared" ca="1" si="61"/>
        <v>0.27797695048875121</v>
      </c>
      <c r="E430" s="14">
        <f t="shared" ca="1" si="62"/>
        <v>0.55916647800127717</v>
      </c>
      <c r="F430" s="14">
        <f t="shared" ca="1" si="63"/>
        <v>0.49391427246218866</v>
      </c>
      <c r="G430" s="14">
        <f t="shared" ca="1" si="64"/>
        <v>0.60948497372248334</v>
      </c>
      <c r="H430" s="15">
        <f t="shared" ca="1" si="65"/>
        <v>0.71197594566169276</v>
      </c>
      <c r="I430" s="14">
        <f ca="1">IF(G430&lt;0.05,1,0)*$B$1*$B$2</f>
        <v>0</v>
      </c>
      <c r="J430" s="14">
        <f ca="1">IF(H430&lt;0.05,1,0)*$B$1*$B$2</f>
        <v>0</v>
      </c>
      <c r="K430" s="15">
        <f t="shared" ca="1" si="66"/>
        <v>0</v>
      </c>
      <c r="P430" s="3">
        <v>426</v>
      </c>
      <c r="Q430" s="4">
        <f t="shared" ca="1" si="67"/>
        <v>0.60948497372248334</v>
      </c>
      <c r="R430" s="4">
        <f t="shared" ca="1" si="68"/>
        <v>0.71197594566169276</v>
      </c>
      <c r="S430" s="4">
        <f ca="1">$B$1*Q430*$B$2</f>
        <v>24.379398948899336</v>
      </c>
      <c r="T430" s="4">
        <f ca="1">$B$1*R430*$B$2</f>
        <v>28.47903782646771</v>
      </c>
      <c r="U430" s="7">
        <f t="shared" ca="1" si="69"/>
        <v>52.858436775367046</v>
      </c>
    </row>
    <row r="431" spans="2:21" x14ac:dyDescent="0.3">
      <c r="B431" s="13">
        <f t="shared" ca="1" si="60"/>
        <v>0.26171434359941226</v>
      </c>
      <c r="C431" s="14">
        <f t="shared" ca="1" si="60"/>
        <v>4.7806394490944037E-2</v>
      </c>
      <c r="D431" s="14">
        <f t="shared" ca="1" si="61"/>
        <v>-0.63806911970681646</v>
      </c>
      <c r="E431" s="14">
        <f t="shared" ca="1" si="62"/>
        <v>-1.6665054229588041</v>
      </c>
      <c r="F431" s="14">
        <f t="shared" ca="1" si="63"/>
        <v>-1.3006750804901281</v>
      </c>
      <c r="G431" s="14">
        <f t="shared" ca="1" si="64"/>
        <v>0.26171434359941215</v>
      </c>
      <c r="H431" s="15">
        <f t="shared" ca="1" si="65"/>
        <v>4.7806394490944086E-2</v>
      </c>
      <c r="I431" s="14">
        <f ca="1">IF(G431&lt;0.05,1,0)*$B$1*$B$2</f>
        <v>0</v>
      </c>
      <c r="J431" s="14">
        <f ca="1">IF(H431&lt;0.05,1,0)*$B$1*$B$2</f>
        <v>40</v>
      </c>
      <c r="K431" s="15">
        <f t="shared" ca="1" si="66"/>
        <v>40</v>
      </c>
      <c r="P431" s="3">
        <v>427</v>
      </c>
      <c r="Q431" s="4">
        <f t="shared" ca="1" si="67"/>
        <v>0.26171434359941215</v>
      </c>
      <c r="R431" s="4">
        <f t="shared" ca="1" si="68"/>
        <v>4.7806394490944086E-2</v>
      </c>
      <c r="S431" s="4">
        <f ca="1">$B$1*Q431*$B$2</f>
        <v>10.468573743976487</v>
      </c>
      <c r="T431" s="4">
        <f ca="1">$B$1*R431*$B$2</f>
        <v>1.9122557796377635</v>
      </c>
      <c r="U431" s="7">
        <f t="shared" ca="1" si="69"/>
        <v>12.380829523614251</v>
      </c>
    </row>
    <row r="432" spans="2:21" x14ac:dyDescent="0.3">
      <c r="B432" s="13">
        <f t="shared" ca="1" si="60"/>
        <v>0.96457665407329418</v>
      </c>
      <c r="C432" s="14">
        <f t="shared" ca="1" si="60"/>
        <v>0.72322086391755191</v>
      </c>
      <c r="D432" s="14">
        <f t="shared" ca="1" si="61"/>
        <v>1.8064588782715869</v>
      </c>
      <c r="E432" s="14">
        <f t="shared" ca="1" si="62"/>
        <v>0.59243658749623374</v>
      </c>
      <c r="F432" s="14">
        <f t="shared" ca="1" si="63"/>
        <v>1.8840501119796458</v>
      </c>
      <c r="G432" s="14">
        <f t="shared" ca="1" si="64"/>
        <v>0.96457665407329418</v>
      </c>
      <c r="H432" s="15">
        <f t="shared" ca="1" si="65"/>
        <v>0.72322086391755203</v>
      </c>
      <c r="I432" s="14">
        <f ca="1">IF(G432&lt;0.05,1,0)*$B$1*$B$2</f>
        <v>0</v>
      </c>
      <c r="J432" s="14">
        <f ca="1">IF(H432&lt;0.05,1,0)*$B$1*$B$2</f>
        <v>0</v>
      </c>
      <c r="K432" s="15">
        <f t="shared" ca="1" si="66"/>
        <v>0</v>
      </c>
      <c r="P432" s="3">
        <v>428</v>
      </c>
      <c r="Q432" s="4">
        <f t="shared" ca="1" si="67"/>
        <v>0.96457665407329418</v>
      </c>
      <c r="R432" s="4">
        <f t="shared" ca="1" si="68"/>
        <v>0.72322086391755203</v>
      </c>
      <c r="S432" s="4">
        <f ca="1">$B$1*Q432*$B$2</f>
        <v>38.583066162931772</v>
      </c>
      <c r="T432" s="4">
        <f ca="1">$B$1*R432*$B$2</f>
        <v>28.928834556702085</v>
      </c>
      <c r="U432" s="7">
        <f t="shared" ca="1" si="69"/>
        <v>67.511900719633857</v>
      </c>
    </row>
    <row r="433" spans="2:21" x14ac:dyDescent="0.3">
      <c r="B433" s="13">
        <f t="shared" ca="1" si="60"/>
        <v>0.11099684809974308</v>
      </c>
      <c r="C433" s="14">
        <f t="shared" ca="1" si="60"/>
        <v>0.62126458451165567</v>
      </c>
      <c r="D433" s="14">
        <f t="shared" ca="1" si="61"/>
        <v>-1.2212438761349753</v>
      </c>
      <c r="E433" s="14">
        <f t="shared" ca="1" si="62"/>
        <v>0.308803730822099</v>
      </c>
      <c r="F433" s="14">
        <f t="shared" ca="1" si="63"/>
        <v>-0.96451506291729139</v>
      </c>
      <c r="G433" s="14">
        <f t="shared" ca="1" si="64"/>
        <v>0.11099684809974308</v>
      </c>
      <c r="H433" s="15">
        <f t="shared" ca="1" si="65"/>
        <v>0.62126458451165567</v>
      </c>
      <c r="I433" s="14">
        <f ca="1">IF(G433&lt;0.05,1,0)*$B$1*$B$2</f>
        <v>0</v>
      </c>
      <c r="J433" s="14">
        <f ca="1">IF(H433&lt;0.05,1,0)*$B$1*$B$2</f>
        <v>0</v>
      </c>
      <c r="K433" s="15">
        <f t="shared" ca="1" si="66"/>
        <v>0</v>
      </c>
      <c r="P433" s="3">
        <v>429</v>
      </c>
      <c r="Q433" s="4">
        <f t="shared" ca="1" si="67"/>
        <v>0.11099684809974308</v>
      </c>
      <c r="R433" s="4">
        <f t="shared" ca="1" si="68"/>
        <v>0.62126458451165567</v>
      </c>
      <c r="S433" s="4">
        <f ca="1">$B$1*Q433*$B$2</f>
        <v>4.4398739239897234</v>
      </c>
      <c r="T433" s="4">
        <f ca="1">$B$1*R433*$B$2</f>
        <v>24.850583380466229</v>
      </c>
      <c r="U433" s="7">
        <f t="shared" ca="1" si="69"/>
        <v>29.290457304455952</v>
      </c>
    </row>
    <row r="434" spans="2:21" x14ac:dyDescent="0.3">
      <c r="B434" s="13">
        <f t="shared" ca="1" si="60"/>
        <v>9.2811089014848358E-2</v>
      </c>
      <c r="C434" s="14">
        <f t="shared" ca="1" si="60"/>
        <v>0.27104707988577958</v>
      </c>
      <c r="D434" s="14">
        <f t="shared" ca="1" si="61"/>
        <v>-1.3236413721851634</v>
      </c>
      <c r="E434" s="14">
        <f t="shared" ca="1" si="62"/>
        <v>-0.60964927980180961</v>
      </c>
      <c r="F434" s="14">
        <f t="shared" ca="1" si="63"/>
        <v>-1.4570171951324911</v>
      </c>
      <c r="G434" s="14">
        <f t="shared" ca="1" si="64"/>
        <v>9.2811089014848219E-2</v>
      </c>
      <c r="H434" s="15">
        <f t="shared" ca="1" si="65"/>
        <v>0.27104707988577947</v>
      </c>
      <c r="I434" s="14">
        <f ca="1">IF(G434&lt;0.05,1,0)*$B$1*$B$2</f>
        <v>0</v>
      </c>
      <c r="J434" s="14">
        <f ca="1">IF(H434&lt;0.05,1,0)*$B$1*$B$2</f>
        <v>0</v>
      </c>
      <c r="K434" s="15">
        <f t="shared" ca="1" si="66"/>
        <v>0</v>
      </c>
      <c r="P434" s="3">
        <v>430</v>
      </c>
      <c r="Q434" s="4">
        <f t="shared" ca="1" si="67"/>
        <v>9.2811089014848219E-2</v>
      </c>
      <c r="R434" s="4">
        <f t="shared" ca="1" si="68"/>
        <v>0.27104707988577947</v>
      </c>
      <c r="S434" s="4">
        <f ca="1">$B$1*Q434*$B$2</f>
        <v>3.712443560593929</v>
      </c>
      <c r="T434" s="4">
        <f ca="1">$B$1*R434*$B$2</f>
        <v>10.84188319543118</v>
      </c>
      <c r="U434" s="7">
        <f t="shared" ca="1" si="69"/>
        <v>14.554326756025109</v>
      </c>
    </row>
    <row r="435" spans="2:21" x14ac:dyDescent="0.3">
      <c r="B435" s="13">
        <f t="shared" ca="1" si="60"/>
        <v>0.74318717230955711</v>
      </c>
      <c r="C435" s="14">
        <f t="shared" ca="1" si="60"/>
        <v>0.95346102108390196</v>
      </c>
      <c r="D435" s="14">
        <f t="shared" ca="1" si="61"/>
        <v>0.6532026293343941</v>
      </c>
      <c r="E435" s="14">
        <f t="shared" ca="1" si="62"/>
        <v>1.6793802605541599</v>
      </c>
      <c r="F435" s="14">
        <f t="shared" ca="1" si="63"/>
        <v>1.3199072507542136</v>
      </c>
      <c r="G435" s="14">
        <f t="shared" ca="1" si="64"/>
        <v>0.74318717230955733</v>
      </c>
      <c r="H435" s="15">
        <f t="shared" ca="1" si="65"/>
        <v>0.95346102108390196</v>
      </c>
      <c r="I435" s="14">
        <f ca="1">IF(G435&lt;0.05,1,0)*$B$1*$B$2</f>
        <v>0</v>
      </c>
      <c r="J435" s="14">
        <f ca="1">IF(H435&lt;0.05,1,0)*$B$1*$B$2</f>
        <v>0</v>
      </c>
      <c r="K435" s="15">
        <f t="shared" ca="1" si="66"/>
        <v>0</v>
      </c>
      <c r="P435" s="3">
        <v>431</v>
      </c>
      <c r="Q435" s="4">
        <f t="shared" ca="1" si="67"/>
        <v>0.74318717230955733</v>
      </c>
      <c r="R435" s="4">
        <f t="shared" ca="1" si="68"/>
        <v>0.95346102108390196</v>
      </c>
      <c r="S435" s="4">
        <f ca="1">$B$1*Q435*$B$2</f>
        <v>29.727486892382291</v>
      </c>
      <c r="T435" s="4">
        <f ca="1">$B$1*R435*$B$2</f>
        <v>38.138440843356079</v>
      </c>
      <c r="U435" s="7">
        <f t="shared" ca="1" si="69"/>
        <v>67.865927735738367</v>
      </c>
    </row>
    <row r="436" spans="2:21" x14ac:dyDescent="0.3">
      <c r="B436" s="13">
        <f t="shared" ca="1" si="60"/>
        <v>0.66903920247321624</v>
      </c>
      <c r="C436" s="14">
        <f t="shared" ca="1" si="60"/>
        <v>0.35928433597329923</v>
      </c>
      <c r="D436" s="14">
        <f t="shared" ca="1" si="61"/>
        <v>0.43726166267758881</v>
      </c>
      <c r="E436" s="14">
        <f t="shared" ca="1" si="62"/>
        <v>-0.3603723888618714</v>
      </c>
      <c r="F436" s="14">
        <f t="shared" ca="1" si="63"/>
        <v>0.23645281390070597</v>
      </c>
      <c r="G436" s="14">
        <f t="shared" ca="1" si="64"/>
        <v>0.66903920247321624</v>
      </c>
      <c r="H436" s="15">
        <f t="shared" ca="1" si="65"/>
        <v>0.35928433597329912</v>
      </c>
      <c r="I436" s="14">
        <f ca="1">IF(G436&lt;0.05,1,0)*$B$1*$B$2</f>
        <v>0</v>
      </c>
      <c r="J436" s="14">
        <f ca="1">IF(H436&lt;0.05,1,0)*$B$1*$B$2</f>
        <v>0</v>
      </c>
      <c r="K436" s="15">
        <f t="shared" ca="1" si="66"/>
        <v>0</v>
      </c>
      <c r="P436" s="3">
        <v>432</v>
      </c>
      <c r="Q436" s="4">
        <f t="shared" ca="1" si="67"/>
        <v>0.66903920247321624</v>
      </c>
      <c r="R436" s="4">
        <f t="shared" ca="1" si="68"/>
        <v>0.35928433597329912</v>
      </c>
      <c r="S436" s="4">
        <f ca="1">$B$1*Q436*$B$2</f>
        <v>26.761568098928649</v>
      </c>
      <c r="T436" s="4">
        <f ca="1">$B$1*R436*$B$2</f>
        <v>14.371373438931967</v>
      </c>
      <c r="U436" s="7">
        <f t="shared" ca="1" si="69"/>
        <v>41.132941537860617</v>
      </c>
    </row>
    <row r="437" spans="2:21" x14ac:dyDescent="0.3">
      <c r="B437" s="13">
        <f t="shared" ca="1" si="60"/>
        <v>0.3685795792885691</v>
      </c>
      <c r="C437" s="14">
        <f t="shared" ca="1" si="60"/>
        <v>0.6312986548005558</v>
      </c>
      <c r="D437" s="14">
        <f t="shared" ca="1" si="61"/>
        <v>-0.33561772151124059</v>
      </c>
      <c r="E437" s="14">
        <f t="shared" ca="1" si="62"/>
        <v>0.33529483386042958</v>
      </c>
      <c r="F437" s="14">
        <f t="shared" ca="1" si="63"/>
        <v>-0.15590431965122936</v>
      </c>
      <c r="G437" s="14">
        <f t="shared" ca="1" si="64"/>
        <v>0.36857957928856905</v>
      </c>
      <c r="H437" s="15">
        <f t="shared" ca="1" si="65"/>
        <v>0.63129865480055591</v>
      </c>
      <c r="I437" s="14">
        <f ca="1">IF(G437&lt;0.05,1,0)*$B$1*$B$2</f>
        <v>0</v>
      </c>
      <c r="J437" s="14">
        <f ca="1">IF(H437&lt;0.05,1,0)*$B$1*$B$2</f>
        <v>0</v>
      </c>
      <c r="K437" s="15">
        <f t="shared" ca="1" si="66"/>
        <v>0</v>
      </c>
      <c r="P437" s="3">
        <v>433</v>
      </c>
      <c r="Q437" s="4">
        <f t="shared" ca="1" si="67"/>
        <v>0.36857957928856905</v>
      </c>
      <c r="R437" s="4">
        <f t="shared" ca="1" si="68"/>
        <v>0.63129865480055591</v>
      </c>
      <c r="S437" s="4">
        <f ca="1">$B$1*Q437*$B$2</f>
        <v>14.743183171542762</v>
      </c>
      <c r="T437" s="4">
        <f ca="1">$B$1*R437*$B$2</f>
        <v>25.251946192022238</v>
      </c>
      <c r="U437" s="7">
        <f t="shared" ca="1" si="69"/>
        <v>39.995129363564999</v>
      </c>
    </row>
    <row r="438" spans="2:21" x14ac:dyDescent="0.3">
      <c r="B438" s="13">
        <f t="shared" ca="1" si="60"/>
        <v>0.29905215865644574</v>
      </c>
      <c r="C438" s="14">
        <f t="shared" ca="1" si="60"/>
        <v>0.43615827487283476</v>
      </c>
      <c r="D438" s="14">
        <f t="shared" ca="1" si="61"/>
        <v>-0.52712855646731116</v>
      </c>
      <c r="E438" s="14">
        <f t="shared" ca="1" si="62"/>
        <v>-0.16071668219926841</v>
      </c>
      <c r="F438" s="14">
        <f t="shared" ca="1" si="63"/>
        <v>-0.54447047844535534</v>
      </c>
      <c r="G438" s="14">
        <f t="shared" ca="1" si="64"/>
        <v>0.29905215865644574</v>
      </c>
      <c r="H438" s="15">
        <f t="shared" ca="1" si="65"/>
        <v>0.43615827487283476</v>
      </c>
      <c r="I438" s="14">
        <f ca="1">IF(G438&lt;0.05,1,0)*$B$1*$B$2</f>
        <v>0</v>
      </c>
      <c r="J438" s="14">
        <f ca="1">IF(H438&lt;0.05,1,0)*$B$1*$B$2</f>
        <v>0</v>
      </c>
      <c r="K438" s="15">
        <f t="shared" ca="1" si="66"/>
        <v>0</v>
      </c>
      <c r="P438" s="3">
        <v>434</v>
      </c>
      <c r="Q438" s="4">
        <f t="shared" ca="1" si="67"/>
        <v>0.29905215865644574</v>
      </c>
      <c r="R438" s="4">
        <f t="shared" ca="1" si="68"/>
        <v>0.43615827487283476</v>
      </c>
      <c r="S438" s="4">
        <f ca="1">$B$1*Q438*$B$2</f>
        <v>11.962086346257831</v>
      </c>
      <c r="T438" s="4">
        <f ca="1">$B$1*R438*$B$2</f>
        <v>17.446330994913392</v>
      </c>
      <c r="U438" s="7">
        <f t="shared" ca="1" si="69"/>
        <v>29.408417341171223</v>
      </c>
    </row>
    <row r="439" spans="2:21" x14ac:dyDescent="0.3">
      <c r="B439" s="13">
        <f t="shared" ca="1" si="60"/>
        <v>0.63212515527916924</v>
      </c>
      <c r="C439" s="14">
        <f t="shared" ca="1" si="60"/>
        <v>0.80633886017331269</v>
      </c>
      <c r="D439" s="14">
        <f t="shared" ca="1" si="61"/>
        <v>0.33748716051595301</v>
      </c>
      <c r="E439" s="14">
        <f t="shared" ca="1" si="62"/>
        <v>0.86448361094913628</v>
      </c>
      <c r="F439" s="14">
        <f t="shared" ca="1" si="63"/>
        <v>0.68055811431179936</v>
      </c>
      <c r="G439" s="14">
        <f t="shared" ca="1" si="64"/>
        <v>0.63212515527916924</v>
      </c>
      <c r="H439" s="15">
        <f t="shared" ca="1" si="65"/>
        <v>0.80633886017331258</v>
      </c>
      <c r="I439" s="14">
        <f ca="1">IF(G439&lt;0.05,1,0)*$B$1*$B$2</f>
        <v>0</v>
      </c>
      <c r="J439" s="14">
        <f ca="1">IF(H439&lt;0.05,1,0)*$B$1*$B$2</f>
        <v>0</v>
      </c>
      <c r="K439" s="15">
        <f t="shared" ca="1" si="66"/>
        <v>0</v>
      </c>
      <c r="P439" s="3">
        <v>435</v>
      </c>
      <c r="Q439" s="4">
        <f t="shared" ca="1" si="67"/>
        <v>0.63212515527916924</v>
      </c>
      <c r="R439" s="4">
        <f t="shared" ca="1" si="68"/>
        <v>0.80633886017331258</v>
      </c>
      <c r="S439" s="4">
        <f ca="1">$B$1*Q439*$B$2</f>
        <v>25.28500621116677</v>
      </c>
      <c r="T439" s="4">
        <f ca="1">$B$1*R439*$B$2</f>
        <v>32.253554406932508</v>
      </c>
      <c r="U439" s="7">
        <f t="shared" ca="1" si="69"/>
        <v>57.538560618099282</v>
      </c>
    </row>
    <row r="440" spans="2:21" x14ac:dyDescent="0.3">
      <c r="B440" s="13">
        <f t="shared" ca="1" si="60"/>
        <v>0.91206430239144187</v>
      </c>
      <c r="C440" s="14">
        <f t="shared" ca="1" si="60"/>
        <v>0.14536314098418146</v>
      </c>
      <c r="D440" s="14">
        <f t="shared" ca="1" si="61"/>
        <v>1.3535769174356986</v>
      </c>
      <c r="E440" s="14">
        <f t="shared" ca="1" si="62"/>
        <v>-1.0565296939865076</v>
      </c>
      <c r="F440" s="14">
        <f t="shared" ca="1" si="63"/>
        <v>0.75768860899841484</v>
      </c>
      <c r="G440" s="14">
        <f t="shared" ca="1" si="64"/>
        <v>0.91206430239144198</v>
      </c>
      <c r="H440" s="15">
        <f t="shared" ca="1" si="65"/>
        <v>0.14536314098418146</v>
      </c>
      <c r="I440" s="14">
        <f ca="1">IF(G440&lt;0.05,1,0)*$B$1*$B$2</f>
        <v>0</v>
      </c>
      <c r="J440" s="14">
        <f ca="1">IF(H440&lt;0.05,1,0)*$B$1*$B$2</f>
        <v>0</v>
      </c>
      <c r="K440" s="15">
        <f t="shared" ca="1" si="66"/>
        <v>0</v>
      </c>
      <c r="P440" s="3">
        <v>436</v>
      </c>
      <c r="Q440" s="4">
        <f t="shared" ca="1" si="67"/>
        <v>0.91206430239144198</v>
      </c>
      <c r="R440" s="4">
        <f t="shared" ca="1" si="68"/>
        <v>0.14536314098418146</v>
      </c>
      <c r="S440" s="4">
        <f ca="1">$B$1*Q440*$B$2</f>
        <v>36.48257209565768</v>
      </c>
      <c r="T440" s="4">
        <f ca="1">$B$1*R440*$B$2</f>
        <v>5.8145256393672584</v>
      </c>
      <c r="U440" s="7">
        <f t="shared" ca="1" si="69"/>
        <v>42.297097735024941</v>
      </c>
    </row>
    <row r="441" spans="2:21" x14ac:dyDescent="0.3">
      <c r="B441" s="13">
        <f t="shared" ca="1" si="60"/>
        <v>0.38646205122985677</v>
      </c>
      <c r="C441" s="14">
        <f t="shared" ca="1" si="60"/>
        <v>0.58297494981481623</v>
      </c>
      <c r="D441" s="14">
        <f t="shared" ca="1" si="61"/>
        <v>-0.28855216929550243</v>
      </c>
      <c r="E441" s="14">
        <f t="shared" ca="1" si="62"/>
        <v>0.20951003762218487</v>
      </c>
      <c r="F441" s="14">
        <f t="shared" ca="1" si="63"/>
        <v>-0.16837364420070139</v>
      </c>
      <c r="G441" s="14">
        <f t="shared" ca="1" si="64"/>
        <v>0.38646205122985672</v>
      </c>
      <c r="H441" s="15">
        <f t="shared" ca="1" si="65"/>
        <v>0.58297494981481623</v>
      </c>
      <c r="I441" s="14">
        <f ca="1">IF(G441&lt;0.05,1,0)*$B$1*$B$2</f>
        <v>0</v>
      </c>
      <c r="J441" s="14">
        <f ca="1">IF(H441&lt;0.05,1,0)*$B$1*$B$2</f>
        <v>0</v>
      </c>
      <c r="K441" s="15">
        <f t="shared" ca="1" si="66"/>
        <v>0</v>
      </c>
      <c r="P441" s="3">
        <v>437</v>
      </c>
      <c r="Q441" s="4">
        <f t="shared" ca="1" si="67"/>
        <v>0.38646205122985672</v>
      </c>
      <c r="R441" s="4">
        <f t="shared" ca="1" si="68"/>
        <v>0.58297494981481623</v>
      </c>
      <c r="S441" s="4">
        <f ca="1">$B$1*Q441*$B$2</f>
        <v>15.458482049194268</v>
      </c>
      <c r="T441" s="4">
        <f ca="1">$B$1*R441*$B$2</f>
        <v>23.318997992592649</v>
      </c>
      <c r="U441" s="7">
        <f t="shared" ca="1" si="69"/>
        <v>38.777480041786916</v>
      </c>
    </row>
    <row r="442" spans="2:21" x14ac:dyDescent="0.3">
      <c r="B442" s="13">
        <f t="shared" ca="1" si="60"/>
        <v>0.34727299378365784</v>
      </c>
      <c r="C442" s="14">
        <f t="shared" ca="1" si="60"/>
        <v>0.94200038913906015</v>
      </c>
      <c r="D442" s="14">
        <f t="shared" ca="1" si="61"/>
        <v>-0.39269334361795122</v>
      </c>
      <c r="E442" s="14">
        <f t="shared" ca="1" si="62"/>
        <v>1.5717901712675681</v>
      </c>
      <c r="F442" s="14">
        <f t="shared" ca="1" si="63"/>
        <v>0.33170344244442546</v>
      </c>
      <c r="G442" s="14">
        <f t="shared" ca="1" si="64"/>
        <v>0.34727299378365784</v>
      </c>
      <c r="H442" s="15">
        <f t="shared" ca="1" si="65"/>
        <v>0.94200038913906015</v>
      </c>
      <c r="I442" s="14">
        <f ca="1">IF(G442&lt;0.05,1,0)*$B$1*$B$2</f>
        <v>0</v>
      </c>
      <c r="J442" s="14">
        <f ca="1">IF(H442&lt;0.05,1,0)*$B$1*$B$2</f>
        <v>0</v>
      </c>
      <c r="K442" s="15">
        <f t="shared" ca="1" si="66"/>
        <v>0</v>
      </c>
      <c r="P442" s="3">
        <v>438</v>
      </c>
      <c r="Q442" s="4">
        <f t="shared" ca="1" si="67"/>
        <v>0.34727299378365784</v>
      </c>
      <c r="R442" s="4">
        <f t="shared" ca="1" si="68"/>
        <v>0.94200038913906015</v>
      </c>
      <c r="S442" s="4">
        <f ca="1">$B$1*Q442*$B$2</f>
        <v>13.890919751346315</v>
      </c>
      <c r="T442" s="4">
        <f ca="1">$B$1*R442*$B$2</f>
        <v>37.680015565562407</v>
      </c>
      <c r="U442" s="7">
        <f t="shared" ca="1" si="69"/>
        <v>51.570935316908724</v>
      </c>
    </row>
    <row r="443" spans="2:21" x14ac:dyDescent="0.3">
      <c r="B443" s="13">
        <f t="shared" ca="1" si="60"/>
        <v>0.64277350696617663</v>
      </c>
      <c r="C443" s="14">
        <f t="shared" ca="1" si="60"/>
        <v>7.6328753051135623E-2</v>
      </c>
      <c r="D443" s="14">
        <f t="shared" ca="1" si="61"/>
        <v>0.36588219072521755</v>
      </c>
      <c r="E443" s="14">
        <f t="shared" ca="1" si="62"/>
        <v>-1.4302073864435203</v>
      </c>
      <c r="F443" s="14">
        <f t="shared" ca="1" si="63"/>
        <v>-0.29411897492857697</v>
      </c>
      <c r="G443" s="14">
        <f t="shared" ca="1" si="64"/>
        <v>0.64277350696617663</v>
      </c>
      <c r="H443" s="15">
        <f t="shared" ca="1" si="65"/>
        <v>7.6328753051135567E-2</v>
      </c>
      <c r="I443" s="14">
        <f ca="1">IF(G443&lt;0.05,1,0)*$B$1*$B$2</f>
        <v>0</v>
      </c>
      <c r="J443" s="14">
        <f ca="1">IF(H443&lt;0.05,1,0)*$B$1*$B$2</f>
        <v>0</v>
      </c>
      <c r="K443" s="15">
        <f t="shared" ca="1" si="66"/>
        <v>0</v>
      </c>
      <c r="P443" s="3">
        <v>439</v>
      </c>
      <c r="Q443" s="4">
        <f t="shared" ca="1" si="67"/>
        <v>0.64277350696617663</v>
      </c>
      <c r="R443" s="4">
        <f t="shared" ca="1" si="68"/>
        <v>7.6328753051135567E-2</v>
      </c>
      <c r="S443" s="4">
        <f ca="1">$B$1*Q443*$B$2</f>
        <v>25.710940278647065</v>
      </c>
      <c r="T443" s="4">
        <f ca="1">$B$1*R443*$B$2</f>
        <v>3.0531501220454231</v>
      </c>
      <c r="U443" s="7">
        <f t="shared" ca="1" si="69"/>
        <v>28.764090400692488</v>
      </c>
    </row>
    <row r="444" spans="2:21" x14ac:dyDescent="0.3">
      <c r="B444" s="13">
        <f t="shared" ca="1" si="60"/>
        <v>0.84673046562918641</v>
      </c>
      <c r="C444" s="14">
        <f t="shared" ca="1" si="60"/>
        <v>0.67956467868856218</v>
      </c>
      <c r="D444" s="14">
        <f t="shared" ca="1" si="61"/>
        <v>1.0225110852706909</v>
      </c>
      <c r="E444" s="14">
        <f t="shared" ca="1" si="62"/>
        <v>0.46648184100607237</v>
      </c>
      <c r="F444" s="14">
        <f t="shared" ca="1" si="63"/>
        <v>1.1235946971378494</v>
      </c>
      <c r="G444" s="14">
        <f t="shared" ca="1" si="64"/>
        <v>0.84673046562918608</v>
      </c>
      <c r="H444" s="15">
        <f t="shared" ca="1" si="65"/>
        <v>0.6795646786885623</v>
      </c>
      <c r="I444" s="14">
        <f ca="1">IF(G444&lt;0.05,1,0)*$B$1*$B$2</f>
        <v>0</v>
      </c>
      <c r="J444" s="14">
        <f ca="1">IF(H444&lt;0.05,1,0)*$B$1*$B$2</f>
        <v>0</v>
      </c>
      <c r="K444" s="15">
        <f t="shared" ca="1" si="66"/>
        <v>0</v>
      </c>
      <c r="P444" s="3">
        <v>440</v>
      </c>
      <c r="Q444" s="4">
        <f t="shared" ca="1" si="67"/>
        <v>0.84673046562918608</v>
      </c>
      <c r="R444" s="4">
        <f t="shared" ca="1" si="68"/>
        <v>0.6795646786885623</v>
      </c>
      <c r="S444" s="4">
        <f ca="1">$B$1*Q444*$B$2</f>
        <v>33.869218625167449</v>
      </c>
      <c r="T444" s="4">
        <f ca="1">$B$1*R444*$B$2</f>
        <v>27.182587147542495</v>
      </c>
      <c r="U444" s="7">
        <f t="shared" ca="1" si="69"/>
        <v>61.05180577270994</v>
      </c>
    </row>
    <row r="445" spans="2:21" x14ac:dyDescent="0.3">
      <c r="B445" s="13">
        <f t="shared" ca="1" si="60"/>
        <v>0.34109284344924018</v>
      </c>
      <c r="C445" s="14">
        <f t="shared" ca="1" si="60"/>
        <v>0.37223228237094075</v>
      </c>
      <c r="D445" s="14">
        <f t="shared" ca="1" si="61"/>
        <v>-0.40948239086491078</v>
      </c>
      <c r="E445" s="14">
        <f t="shared" ca="1" si="62"/>
        <v>-0.32594685485321512</v>
      </c>
      <c r="F445" s="14">
        <f t="shared" ca="1" si="63"/>
        <v>-0.51061109190542808</v>
      </c>
      <c r="G445" s="14">
        <f t="shared" ca="1" si="64"/>
        <v>0.34109284344924018</v>
      </c>
      <c r="H445" s="15">
        <f t="shared" ca="1" si="65"/>
        <v>0.37223228237094075</v>
      </c>
      <c r="I445" s="14">
        <f ca="1">IF(G445&lt;0.05,1,0)*$B$1*$B$2</f>
        <v>0</v>
      </c>
      <c r="J445" s="14">
        <f ca="1">IF(H445&lt;0.05,1,0)*$B$1*$B$2</f>
        <v>0</v>
      </c>
      <c r="K445" s="15">
        <f t="shared" ca="1" si="66"/>
        <v>0</v>
      </c>
      <c r="P445" s="3">
        <v>441</v>
      </c>
      <c r="Q445" s="4">
        <f t="shared" ca="1" si="67"/>
        <v>0.34109284344924018</v>
      </c>
      <c r="R445" s="4">
        <f t="shared" ca="1" si="68"/>
        <v>0.37223228237094075</v>
      </c>
      <c r="S445" s="4">
        <f ca="1">$B$1*Q445*$B$2</f>
        <v>13.643713737969609</v>
      </c>
      <c r="T445" s="4">
        <f ca="1">$B$1*R445*$B$2</f>
        <v>14.889291294837632</v>
      </c>
      <c r="U445" s="7">
        <f t="shared" ca="1" si="69"/>
        <v>28.533005032807239</v>
      </c>
    </row>
    <row r="446" spans="2:21" x14ac:dyDescent="0.3">
      <c r="B446" s="13">
        <f t="shared" ca="1" si="60"/>
        <v>0.68362215082082978</v>
      </c>
      <c r="C446" s="14">
        <f t="shared" ca="1" si="60"/>
        <v>0.84534898314834295</v>
      </c>
      <c r="D446" s="14">
        <f t="shared" ca="1" si="61"/>
        <v>0.47785178772097686</v>
      </c>
      <c r="E446" s="14">
        <f t="shared" ca="1" si="62"/>
        <v>1.0166876688338162</v>
      </c>
      <c r="F446" s="14">
        <f t="shared" ca="1" si="63"/>
        <v>0.87323048950793425</v>
      </c>
      <c r="G446" s="14">
        <f t="shared" ca="1" si="64"/>
        <v>0.68362215082082978</v>
      </c>
      <c r="H446" s="15">
        <f t="shared" ca="1" si="65"/>
        <v>0.84534898314834273</v>
      </c>
      <c r="I446" s="14">
        <f ca="1">IF(G446&lt;0.05,1,0)*$B$1*$B$2</f>
        <v>0</v>
      </c>
      <c r="J446" s="14">
        <f ca="1">IF(H446&lt;0.05,1,0)*$B$1*$B$2</f>
        <v>0</v>
      </c>
      <c r="K446" s="15">
        <f t="shared" ca="1" si="66"/>
        <v>0</v>
      </c>
      <c r="P446" s="3">
        <v>442</v>
      </c>
      <c r="Q446" s="4">
        <f t="shared" ca="1" si="67"/>
        <v>0.68362215082082978</v>
      </c>
      <c r="R446" s="4">
        <f t="shared" ca="1" si="68"/>
        <v>0.84534898314834273</v>
      </c>
      <c r="S446" s="4">
        <f ca="1">$B$1*Q446*$B$2</f>
        <v>27.344886032833195</v>
      </c>
      <c r="T446" s="4">
        <f ca="1">$B$1*R446*$B$2</f>
        <v>33.813959325933709</v>
      </c>
      <c r="U446" s="7">
        <f t="shared" ca="1" si="69"/>
        <v>61.158845358766904</v>
      </c>
    </row>
    <row r="447" spans="2:21" x14ac:dyDescent="0.3">
      <c r="B447" s="13">
        <f t="shared" ca="1" si="60"/>
        <v>0.32314419256982574</v>
      </c>
      <c r="C447" s="14">
        <f t="shared" ca="1" si="60"/>
        <v>0.58728384165337144</v>
      </c>
      <c r="D447" s="14">
        <f t="shared" ca="1" si="61"/>
        <v>-0.45892449891215287</v>
      </c>
      <c r="E447" s="14">
        <f t="shared" ca="1" si="62"/>
        <v>0.22056350924453846</v>
      </c>
      <c r="F447" s="14">
        <f t="shared" ca="1" si="63"/>
        <v>-0.31689064427797337</v>
      </c>
      <c r="G447" s="14">
        <f t="shared" ca="1" si="64"/>
        <v>0.32314419256982563</v>
      </c>
      <c r="H447" s="15">
        <f t="shared" ca="1" si="65"/>
        <v>0.58728384165337144</v>
      </c>
      <c r="I447" s="14">
        <f ca="1">IF(G447&lt;0.05,1,0)*$B$1*$B$2</f>
        <v>0</v>
      </c>
      <c r="J447" s="14">
        <f ca="1">IF(H447&lt;0.05,1,0)*$B$1*$B$2</f>
        <v>0</v>
      </c>
      <c r="K447" s="15">
        <f t="shared" ca="1" si="66"/>
        <v>0</v>
      </c>
      <c r="P447" s="3">
        <v>443</v>
      </c>
      <c r="Q447" s="4">
        <f t="shared" ca="1" si="67"/>
        <v>0.32314419256982563</v>
      </c>
      <c r="R447" s="4">
        <f t="shared" ca="1" si="68"/>
        <v>0.58728384165337144</v>
      </c>
      <c r="S447" s="4">
        <f ca="1">$B$1*Q447*$B$2</f>
        <v>12.925767702793024</v>
      </c>
      <c r="T447" s="4">
        <f ca="1">$B$1*R447*$B$2</f>
        <v>23.491353666134859</v>
      </c>
      <c r="U447" s="7">
        <f t="shared" ca="1" si="69"/>
        <v>36.41712136892788</v>
      </c>
    </row>
    <row r="448" spans="2:21" x14ac:dyDescent="0.3">
      <c r="B448" s="13">
        <f t="shared" ca="1" si="60"/>
        <v>0.67559067090954983</v>
      </c>
      <c r="C448" s="14">
        <f t="shared" ca="1" si="60"/>
        <v>0.13863502918702508</v>
      </c>
      <c r="D448" s="14">
        <f t="shared" ca="1" si="61"/>
        <v>0.45540394428315606</v>
      </c>
      <c r="E448" s="14">
        <f t="shared" ca="1" si="62"/>
        <v>-1.0864723705178641</v>
      </c>
      <c r="F448" s="14">
        <f t="shared" ca="1" si="63"/>
        <v>-6.3718776948804345E-2</v>
      </c>
      <c r="G448" s="14">
        <f t="shared" ca="1" si="64"/>
        <v>0.67559067090954983</v>
      </c>
      <c r="H448" s="15">
        <f t="shared" ca="1" si="65"/>
        <v>0.13863502918702511</v>
      </c>
      <c r="I448" s="14">
        <f ca="1">IF(G448&lt;0.05,1,0)*$B$1*$B$2</f>
        <v>0</v>
      </c>
      <c r="J448" s="14">
        <f ca="1">IF(H448&lt;0.05,1,0)*$B$1*$B$2</f>
        <v>0</v>
      </c>
      <c r="K448" s="15">
        <f t="shared" ca="1" si="66"/>
        <v>0</v>
      </c>
      <c r="P448" s="3">
        <v>444</v>
      </c>
      <c r="Q448" s="4">
        <f t="shared" ca="1" si="67"/>
        <v>0.67559067090954983</v>
      </c>
      <c r="R448" s="4">
        <f t="shared" ca="1" si="68"/>
        <v>0.13863502918702511</v>
      </c>
      <c r="S448" s="4">
        <f ca="1">$B$1*Q448*$B$2</f>
        <v>27.023626836381993</v>
      </c>
      <c r="T448" s="4">
        <f ca="1">$B$1*R448*$B$2</f>
        <v>5.5454011674810051</v>
      </c>
      <c r="U448" s="7">
        <f t="shared" ca="1" si="69"/>
        <v>32.569028003862996</v>
      </c>
    </row>
    <row r="449" spans="2:21" x14ac:dyDescent="0.3">
      <c r="B449" s="13">
        <f t="shared" ca="1" si="60"/>
        <v>0.56415942576232392</v>
      </c>
      <c r="C449" s="14">
        <f t="shared" ca="1" si="60"/>
        <v>0.37367246986298419</v>
      </c>
      <c r="D449" s="14">
        <f t="shared" ca="1" si="61"/>
        <v>0.16152344357979548</v>
      </c>
      <c r="E449" s="14">
        <f t="shared" ca="1" si="62"/>
        <v>-0.32214223980866397</v>
      </c>
      <c r="F449" s="14">
        <f t="shared" ca="1" si="63"/>
        <v>4.9525523446347919E-3</v>
      </c>
      <c r="G449" s="14">
        <f t="shared" ca="1" si="64"/>
        <v>0.56415942576232392</v>
      </c>
      <c r="H449" s="15">
        <f t="shared" ca="1" si="65"/>
        <v>0.37367246986298414</v>
      </c>
      <c r="I449" s="14">
        <f ca="1">IF(G449&lt;0.05,1,0)*$B$1*$B$2</f>
        <v>0</v>
      </c>
      <c r="J449" s="14">
        <f ca="1">IF(H449&lt;0.05,1,0)*$B$1*$B$2</f>
        <v>0</v>
      </c>
      <c r="K449" s="15">
        <f t="shared" ca="1" si="66"/>
        <v>0</v>
      </c>
      <c r="P449" s="3">
        <v>445</v>
      </c>
      <c r="Q449" s="4">
        <f t="shared" ca="1" si="67"/>
        <v>0.56415942576232392</v>
      </c>
      <c r="R449" s="4">
        <f t="shared" ca="1" si="68"/>
        <v>0.37367246986298414</v>
      </c>
      <c r="S449" s="4">
        <f ca="1">$B$1*Q449*$B$2</f>
        <v>22.566377030492959</v>
      </c>
      <c r="T449" s="4">
        <f ca="1">$B$1*R449*$B$2</f>
        <v>14.946898794519365</v>
      </c>
      <c r="U449" s="7">
        <f t="shared" ca="1" si="69"/>
        <v>37.513275825012322</v>
      </c>
    </row>
    <row r="450" spans="2:21" x14ac:dyDescent="0.3">
      <c r="B450" s="13">
        <f t="shared" ca="1" si="60"/>
        <v>0.95277622799304529</v>
      </c>
      <c r="C450" s="14">
        <f t="shared" ca="1" si="60"/>
        <v>0.35117234372380357</v>
      </c>
      <c r="D450" s="14">
        <f t="shared" ca="1" si="61"/>
        <v>1.672389485985021</v>
      </c>
      <c r="E450" s="14">
        <f t="shared" ca="1" si="62"/>
        <v>-0.38215730623336891</v>
      </c>
      <c r="F450" s="14">
        <f t="shared" ca="1" si="63"/>
        <v>1.338572029545821</v>
      </c>
      <c r="G450" s="14">
        <f t="shared" ca="1" si="64"/>
        <v>0.95277622799304529</v>
      </c>
      <c r="H450" s="15">
        <f t="shared" ca="1" si="65"/>
        <v>0.35117234372380346</v>
      </c>
      <c r="I450" s="14">
        <f ca="1">IF(G450&lt;0.05,1,0)*$B$1*$B$2</f>
        <v>0</v>
      </c>
      <c r="J450" s="14">
        <f ca="1">IF(H450&lt;0.05,1,0)*$B$1*$B$2</f>
        <v>0</v>
      </c>
      <c r="K450" s="15">
        <f t="shared" ca="1" si="66"/>
        <v>0</v>
      </c>
      <c r="P450" s="3">
        <v>446</v>
      </c>
      <c r="Q450" s="4">
        <f t="shared" ca="1" si="67"/>
        <v>0.95277622799304529</v>
      </c>
      <c r="R450" s="4">
        <f t="shared" ca="1" si="68"/>
        <v>0.35117234372380346</v>
      </c>
      <c r="S450" s="4">
        <f ca="1">$B$1*Q450*$B$2</f>
        <v>38.111049119721812</v>
      </c>
      <c r="T450" s="4">
        <f ca="1">$B$1*R450*$B$2</f>
        <v>14.046893748952138</v>
      </c>
      <c r="U450" s="7">
        <f t="shared" ca="1" si="69"/>
        <v>52.157942868673949</v>
      </c>
    </row>
    <row r="451" spans="2:21" x14ac:dyDescent="0.3">
      <c r="B451" s="13">
        <f t="shared" ca="1" si="60"/>
        <v>0.97665223054775507</v>
      </c>
      <c r="C451" s="14">
        <f t="shared" ca="1" si="60"/>
        <v>0.62780562734109768</v>
      </c>
      <c r="D451" s="14">
        <f t="shared" ca="1" si="61"/>
        <v>1.9890513181350686</v>
      </c>
      <c r="E451" s="14">
        <f t="shared" ca="1" si="62"/>
        <v>0.32604706634557779</v>
      </c>
      <c r="F451" s="14">
        <f t="shared" ca="1" si="63"/>
        <v>1.9322668076253893</v>
      </c>
      <c r="G451" s="14">
        <f t="shared" ca="1" si="64"/>
        <v>0.97665223054775507</v>
      </c>
      <c r="H451" s="15">
        <f t="shared" ca="1" si="65"/>
        <v>0.62780562734109768</v>
      </c>
      <c r="I451" s="14">
        <f ca="1">IF(G451&lt;0.05,1,0)*$B$1*$B$2</f>
        <v>0</v>
      </c>
      <c r="J451" s="14">
        <f ca="1">IF(H451&lt;0.05,1,0)*$B$1*$B$2</f>
        <v>0</v>
      </c>
      <c r="K451" s="15">
        <f t="shared" ca="1" si="66"/>
        <v>0</v>
      </c>
      <c r="P451" s="3">
        <v>447</v>
      </c>
      <c r="Q451" s="4">
        <f t="shared" ca="1" si="67"/>
        <v>0.97665223054775507</v>
      </c>
      <c r="R451" s="4">
        <f t="shared" ca="1" si="68"/>
        <v>0.62780562734109768</v>
      </c>
      <c r="S451" s="4">
        <f ca="1">$B$1*Q451*$B$2</f>
        <v>39.066089221910204</v>
      </c>
      <c r="T451" s="4">
        <f ca="1">$B$1*R451*$B$2</f>
        <v>25.112225093643907</v>
      </c>
      <c r="U451" s="7">
        <f t="shared" ca="1" si="69"/>
        <v>64.178314315554104</v>
      </c>
    </row>
    <row r="452" spans="2:21" x14ac:dyDescent="0.3">
      <c r="B452" s="13">
        <f t="shared" ca="1" si="60"/>
        <v>0.59015065138521428</v>
      </c>
      <c r="C452" s="14">
        <f t="shared" ca="1" si="60"/>
        <v>0.68736145873050869</v>
      </c>
      <c r="D452" s="14">
        <f t="shared" ca="1" si="61"/>
        <v>0.22793252454688256</v>
      </c>
      <c r="E452" s="14">
        <f t="shared" ca="1" si="62"/>
        <v>0.48838511587050837</v>
      </c>
      <c r="F452" s="14">
        <f t="shared" ca="1" si="63"/>
        <v>0.41802140865308912</v>
      </c>
      <c r="G452" s="14">
        <f t="shared" ca="1" si="64"/>
        <v>0.59015065138521428</v>
      </c>
      <c r="H452" s="15">
        <f t="shared" ca="1" si="65"/>
        <v>0.6873614587305088</v>
      </c>
      <c r="I452" s="14">
        <f ca="1">IF(G452&lt;0.05,1,0)*$B$1*$B$2</f>
        <v>0</v>
      </c>
      <c r="J452" s="14">
        <f ca="1">IF(H452&lt;0.05,1,0)*$B$1*$B$2</f>
        <v>0</v>
      </c>
      <c r="K452" s="15">
        <f t="shared" ca="1" si="66"/>
        <v>0</v>
      </c>
      <c r="P452" s="3">
        <v>448</v>
      </c>
      <c r="Q452" s="4">
        <f t="shared" ca="1" si="67"/>
        <v>0.59015065138521428</v>
      </c>
      <c r="R452" s="4">
        <f t="shared" ca="1" si="68"/>
        <v>0.6873614587305088</v>
      </c>
      <c r="S452" s="4">
        <f ca="1">$B$1*Q452*$B$2</f>
        <v>23.606026055408574</v>
      </c>
      <c r="T452" s="4">
        <f ca="1">$B$1*R452*$B$2</f>
        <v>27.494458349220352</v>
      </c>
      <c r="U452" s="7">
        <f t="shared" ca="1" si="69"/>
        <v>51.100484404628929</v>
      </c>
    </row>
    <row r="453" spans="2:21" x14ac:dyDescent="0.3">
      <c r="B453" s="13">
        <f t="shared" ca="1" si="60"/>
        <v>0.50949695499650005</v>
      </c>
      <c r="C453" s="14">
        <f t="shared" ca="1" si="60"/>
        <v>0.57568475862163582</v>
      </c>
      <c r="D453" s="14">
        <f t="shared" ca="1" si="61"/>
        <v>2.3807584753430592E-2</v>
      </c>
      <c r="E453" s="14">
        <f t="shared" ca="1" si="62"/>
        <v>0.19086612220105892</v>
      </c>
      <c r="F453" s="14">
        <f t="shared" ca="1" si="63"/>
        <v>0.1046234401200776</v>
      </c>
      <c r="G453" s="14">
        <f t="shared" ca="1" si="64"/>
        <v>0.50949695499650005</v>
      </c>
      <c r="H453" s="15">
        <f t="shared" ca="1" si="65"/>
        <v>0.57568475862163582</v>
      </c>
      <c r="I453" s="14">
        <f ca="1">IF(G453&lt;0.05,1,0)*$B$1*$B$2</f>
        <v>0</v>
      </c>
      <c r="J453" s="14">
        <f ca="1">IF(H453&lt;0.05,1,0)*$B$1*$B$2</f>
        <v>0</v>
      </c>
      <c r="K453" s="15">
        <f t="shared" ca="1" si="66"/>
        <v>0</v>
      </c>
      <c r="P453" s="3">
        <v>449</v>
      </c>
      <c r="Q453" s="4">
        <f t="shared" ca="1" si="67"/>
        <v>0.50949695499650005</v>
      </c>
      <c r="R453" s="4">
        <f t="shared" ca="1" si="68"/>
        <v>0.57568475862163582</v>
      </c>
      <c r="S453" s="4">
        <f ca="1">$B$1*Q453*$B$2</f>
        <v>20.379878199860002</v>
      </c>
      <c r="T453" s="4">
        <f ca="1">$B$1*R453*$B$2</f>
        <v>23.027390344865434</v>
      </c>
      <c r="U453" s="7">
        <f t="shared" ca="1" si="69"/>
        <v>43.40726854472544</v>
      </c>
    </row>
    <row r="454" spans="2:21" x14ac:dyDescent="0.3">
      <c r="B454" s="13">
        <f t="shared" ref="B454:C517" ca="1" si="70">RAND()</f>
        <v>0.63029713048767877</v>
      </c>
      <c r="C454" s="14">
        <f t="shared" ca="1" si="70"/>
        <v>0.45175810548054407</v>
      </c>
      <c r="D454" s="14">
        <f t="shared" ref="D454:D517" ca="1" si="71">_xlfn.NORM.S.INV(B454)</f>
        <v>0.33264040601174377</v>
      </c>
      <c r="E454" s="14">
        <f t="shared" ref="E454:E517" ca="1" si="72">_xlfn.NORM.S.INV(C454)</f>
        <v>-0.12122072251092468</v>
      </c>
      <c r="F454" s="14">
        <f t="shared" ref="F454:F517" ca="1" si="73">($Y$5*D454)+(SQRT(1-$Y$5^2)*E454)</f>
        <v>0.24653747748175872</v>
      </c>
      <c r="G454" s="14">
        <f t="shared" ref="G454:G517" ca="1" si="74">_xlfn.NORM.S.DIST(D454,TRUE)</f>
        <v>0.63029713048767877</v>
      </c>
      <c r="H454" s="15">
        <f t="shared" ref="H454:H517" ca="1" si="75">_xlfn.NORM.S.DIST(E454,TRUE)</f>
        <v>0.45175810548054407</v>
      </c>
      <c r="I454" s="14">
        <f ca="1">IF(G454&lt;0.05,1,0)*$B$1*$B$2</f>
        <v>0</v>
      </c>
      <c r="J454" s="14">
        <f ca="1">IF(H454&lt;0.05,1,0)*$B$1*$B$2</f>
        <v>0</v>
      </c>
      <c r="K454" s="15">
        <f t="shared" ref="K454:K517" ca="1" si="76">I454+J454</f>
        <v>0</v>
      </c>
      <c r="P454" s="3">
        <v>450</v>
      </c>
      <c r="Q454" s="4">
        <f t="shared" ref="Q454:Q517" ca="1" si="77">G454</f>
        <v>0.63029713048767877</v>
      </c>
      <c r="R454" s="4">
        <f t="shared" ref="R454:R517" ca="1" si="78">H454</f>
        <v>0.45175810548054407</v>
      </c>
      <c r="S454" s="4">
        <f ca="1">$B$1*Q454*$B$2</f>
        <v>25.211885219507153</v>
      </c>
      <c r="T454" s="4">
        <f ca="1">$B$1*R454*$B$2</f>
        <v>18.070324219221764</v>
      </c>
      <c r="U454" s="7">
        <f t="shared" ref="U454:U517" ca="1" si="79">S454+T454</f>
        <v>43.282209438728913</v>
      </c>
    </row>
    <row r="455" spans="2:21" x14ac:dyDescent="0.3">
      <c r="B455" s="13">
        <f t="shared" ca="1" si="70"/>
        <v>0.18666665921804815</v>
      </c>
      <c r="C455" s="14">
        <f t="shared" ca="1" si="70"/>
        <v>0.80333495614613437</v>
      </c>
      <c r="D455" s="14">
        <f t="shared" ca="1" si="71"/>
        <v>-0.89024691502040976</v>
      </c>
      <c r="E455" s="14">
        <f t="shared" ca="1" si="72"/>
        <v>0.85359381316840177</v>
      </c>
      <c r="F455" s="14">
        <f t="shared" ca="1" si="73"/>
        <v>-0.42914930647510874</v>
      </c>
      <c r="G455" s="14">
        <f t="shared" ca="1" si="74"/>
        <v>0.18666665921804804</v>
      </c>
      <c r="H455" s="15">
        <f t="shared" ca="1" si="75"/>
        <v>0.80333495614613426</v>
      </c>
      <c r="I455" s="14">
        <f ca="1">IF(G455&lt;0.05,1,0)*$B$1*$B$2</f>
        <v>0</v>
      </c>
      <c r="J455" s="14">
        <f ca="1">IF(H455&lt;0.05,1,0)*$B$1*$B$2</f>
        <v>0</v>
      </c>
      <c r="K455" s="15">
        <f t="shared" ca="1" si="76"/>
        <v>0</v>
      </c>
      <c r="P455" s="3">
        <v>451</v>
      </c>
      <c r="Q455" s="4">
        <f t="shared" ca="1" si="77"/>
        <v>0.18666665921804804</v>
      </c>
      <c r="R455" s="4">
        <f t="shared" ca="1" si="78"/>
        <v>0.80333495614613426</v>
      </c>
      <c r="S455" s="4">
        <f ca="1">$B$1*Q455*$B$2</f>
        <v>7.4666663687219215</v>
      </c>
      <c r="T455" s="4">
        <f ca="1">$B$1*R455*$B$2</f>
        <v>32.13339824584537</v>
      </c>
      <c r="U455" s="7">
        <f t="shared" ca="1" si="79"/>
        <v>39.600064614567295</v>
      </c>
    </row>
    <row r="456" spans="2:21" x14ac:dyDescent="0.3">
      <c r="B456" s="13">
        <f t="shared" ca="1" si="70"/>
        <v>0.2474307511810242</v>
      </c>
      <c r="C456" s="14">
        <f t="shared" ca="1" si="70"/>
        <v>0.3795473090089756</v>
      </c>
      <c r="D456" s="14">
        <f t="shared" ca="1" si="71"/>
        <v>-0.6825970441913467</v>
      </c>
      <c r="E456" s="14">
        <f t="shared" ca="1" si="72"/>
        <v>-0.30666993257966307</v>
      </c>
      <c r="F456" s="14">
        <f t="shared" ca="1" si="73"/>
        <v>-0.74801166428593036</v>
      </c>
      <c r="G456" s="14">
        <f t="shared" ca="1" si="74"/>
        <v>0.24743075118102403</v>
      </c>
      <c r="H456" s="15">
        <f t="shared" ca="1" si="75"/>
        <v>0.37954730900897554</v>
      </c>
      <c r="I456" s="14">
        <f ca="1">IF(G456&lt;0.05,1,0)*$B$1*$B$2</f>
        <v>0</v>
      </c>
      <c r="J456" s="14">
        <f ca="1">IF(H456&lt;0.05,1,0)*$B$1*$B$2</f>
        <v>0</v>
      </c>
      <c r="K456" s="15">
        <f t="shared" ca="1" si="76"/>
        <v>0</v>
      </c>
      <c r="P456" s="3">
        <v>452</v>
      </c>
      <c r="Q456" s="4">
        <f t="shared" ca="1" si="77"/>
        <v>0.24743075118102403</v>
      </c>
      <c r="R456" s="4">
        <f t="shared" ca="1" si="78"/>
        <v>0.37954730900897554</v>
      </c>
      <c r="S456" s="4">
        <f ca="1">$B$1*Q456*$B$2</f>
        <v>9.8972300472409618</v>
      </c>
      <c r="T456" s="4">
        <f ca="1">$B$1*R456*$B$2</f>
        <v>15.181892360359022</v>
      </c>
      <c r="U456" s="7">
        <f t="shared" ca="1" si="79"/>
        <v>25.079122407599982</v>
      </c>
    </row>
    <row r="457" spans="2:21" x14ac:dyDescent="0.3">
      <c r="B457" s="13">
        <f t="shared" ca="1" si="70"/>
        <v>0.71398645796259719</v>
      </c>
      <c r="C457" s="14">
        <f t="shared" ca="1" si="70"/>
        <v>4.3271995582450096E-3</v>
      </c>
      <c r="D457" s="14">
        <f t="shared" ca="1" si="71"/>
        <v>0.56506863079231529</v>
      </c>
      <c r="E457" s="14">
        <f t="shared" ca="1" si="72"/>
        <v>-2.6254127297860981</v>
      </c>
      <c r="F457" s="14">
        <f t="shared" ca="1" si="73"/>
        <v>-0.63582910970920192</v>
      </c>
      <c r="G457" s="14">
        <f t="shared" ca="1" si="74"/>
        <v>0.71398645796259719</v>
      </c>
      <c r="H457" s="15">
        <f t="shared" ca="1" si="75"/>
        <v>4.3271995582450113E-3</v>
      </c>
      <c r="I457" s="14">
        <f ca="1">IF(G457&lt;0.05,1,0)*$B$1*$B$2</f>
        <v>0</v>
      </c>
      <c r="J457" s="14">
        <f ca="1">IF(H457&lt;0.05,1,0)*$B$1*$B$2</f>
        <v>40</v>
      </c>
      <c r="K457" s="15">
        <f t="shared" ca="1" si="76"/>
        <v>40</v>
      </c>
      <c r="P457" s="3">
        <v>453</v>
      </c>
      <c r="Q457" s="4">
        <f t="shared" ca="1" si="77"/>
        <v>0.71398645796259719</v>
      </c>
      <c r="R457" s="4">
        <f t="shared" ca="1" si="78"/>
        <v>4.3271995582450113E-3</v>
      </c>
      <c r="S457" s="4">
        <f ca="1">$B$1*Q457*$B$2</f>
        <v>28.559458318503886</v>
      </c>
      <c r="T457" s="4">
        <f ca="1">$B$1*R457*$B$2</f>
        <v>0.17308798232980047</v>
      </c>
      <c r="U457" s="7">
        <f t="shared" ca="1" si="79"/>
        <v>28.732546300833686</v>
      </c>
    </row>
    <row r="458" spans="2:21" x14ac:dyDescent="0.3">
      <c r="B458" s="13">
        <f t="shared" ca="1" si="70"/>
        <v>0.26045623359158832</v>
      </c>
      <c r="C458" s="14">
        <f t="shared" ca="1" si="70"/>
        <v>0.89048045755778205</v>
      </c>
      <c r="D458" s="14">
        <f t="shared" ca="1" si="71"/>
        <v>-0.64193949803098294</v>
      </c>
      <c r="E458" s="14">
        <f t="shared" ca="1" si="72"/>
        <v>1.2290872769747536</v>
      </c>
      <c r="F458" s="14">
        <f t="shared" ca="1" si="73"/>
        <v>-4.1998824915431165E-2</v>
      </c>
      <c r="G458" s="14">
        <f t="shared" ca="1" si="74"/>
        <v>0.26045623359158832</v>
      </c>
      <c r="H458" s="15">
        <f t="shared" ca="1" si="75"/>
        <v>0.89048045755778216</v>
      </c>
      <c r="I458" s="14">
        <f ca="1">IF(G458&lt;0.05,1,0)*$B$1*$B$2</f>
        <v>0</v>
      </c>
      <c r="J458" s="14">
        <f ca="1">IF(H458&lt;0.05,1,0)*$B$1*$B$2</f>
        <v>0</v>
      </c>
      <c r="K458" s="15">
        <f t="shared" ca="1" si="76"/>
        <v>0</v>
      </c>
      <c r="P458" s="3">
        <v>454</v>
      </c>
      <c r="Q458" s="4">
        <f t="shared" ca="1" si="77"/>
        <v>0.26045623359158832</v>
      </c>
      <c r="R458" s="4">
        <f t="shared" ca="1" si="78"/>
        <v>0.89048045755778216</v>
      </c>
      <c r="S458" s="4">
        <f ca="1">$B$1*Q458*$B$2</f>
        <v>10.418249343663533</v>
      </c>
      <c r="T458" s="4">
        <f ca="1">$B$1*R458*$B$2</f>
        <v>35.619218302311289</v>
      </c>
      <c r="U458" s="7">
        <f t="shared" ca="1" si="79"/>
        <v>46.037467645974822</v>
      </c>
    </row>
    <row r="459" spans="2:21" x14ac:dyDescent="0.3">
      <c r="B459" s="13">
        <f t="shared" ca="1" si="70"/>
        <v>0.97191107620239747</v>
      </c>
      <c r="C459" s="14">
        <f t="shared" ca="1" si="70"/>
        <v>0.90028683246688102</v>
      </c>
      <c r="D459" s="14">
        <f t="shared" ca="1" si="71"/>
        <v>1.9096534550692734</v>
      </c>
      <c r="E459" s="14">
        <f t="shared" ca="1" si="72"/>
        <v>1.2831876688906632</v>
      </c>
      <c r="F459" s="14">
        <f t="shared" ca="1" si="73"/>
        <v>2.2780166469915391</v>
      </c>
      <c r="G459" s="14">
        <f t="shared" ca="1" si="74"/>
        <v>0.97191107620239747</v>
      </c>
      <c r="H459" s="15">
        <f t="shared" ca="1" si="75"/>
        <v>0.90028683246688113</v>
      </c>
      <c r="I459" s="14">
        <f ca="1">IF(G459&lt;0.05,1,0)*$B$1*$B$2</f>
        <v>0</v>
      </c>
      <c r="J459" s="14">
        <f ca="1">IF(H459&lt;0.05,1,0)*$B$1*$B$2</f>
        <v>0</v>
      </c>
      <c r="K459" s="15">
        <f t="shared" ca="1" si="76"/>
        <v>0</v>
      </c>
      <c r="P459" s="3">
        <v>455</v>
      </c>
      <c r="Q459" s="4">
        <f t="shared" ca="1" si="77"/>
        <v>0.97191107620239747</v>
      </c>
      <c r="R459" s="4">
        <f t="shared" ca="1" si="78"/>
        <v>0.90028683246688113</v>
      </c>
      <c r="S459" s="4">
        <f ca="1">$B$1*Q459*$B$2</f>
        <v>38.876443048095901</v>
      </c>
      <c r="T459" s="4">
        <f ca="1">$B$1*R459*$B$2</f>
        <v>36.011473298675249</v>
      </c>
      <c r="U459" s="7">
        <f t="shared" ca="1" si="79"/>
        <v>74.887916346771149</v>
      </c>
    </row>
    <row r="460" spans="2:21" x14ac:dyDescent="0.3">
      <c r="B460" s="13">
        <f t="shared" ca="1" si="70"/>
        <v>0.36969988892155059</v>
      </c>
      <c r="C460" s="14">
        <f t="shared" ca="1" si="70"/>
        <v>0.66192404839633379</v>
      </c>
      <c r="D460" s="14">
        <f t="shared" ca="1" si="71"/>
        <v>-0.33264830224776104</v>
      </c>
      <c r="E460" s="14">
        <f t="shared" ca="1" si="72"/>
        <v>0.41771992420243848</v>
      </c>
      <c r="F460" s="14">
        <f t="shared" ca="1" si="73"/>
        <v>-0.11730357839279504</v>
      </c>
      <c r="G460" s="14">
        <f t="shared" ca="1" si="74"/>
        <v>0.36969988892155059</v>
      </c>
      <c r="H460" s="15">
        <f t="shared" ca="1" si="75"/>
        <v>0.6619240483963339</v>
      </c>
      <c r="I460" s="14">
        <f ca="1">IF(G460&lt;0.05,1,0)*$B$1*$B$2</f>
        <v>0</v>
      </c>
      <c r="J460" s="14">
        <f ca="1">IF(H460&lt;0.05,1,0)*$B$1*$B$2</f>
        <v>0</v>
      </c>
      <c r="K460" s="15">
        <f t="shared" ca="1" si="76"/>
        <v>0</v>
      </c>
      <c r="P460" s="3">
        <v>456</v>
      </c>
      <c r="Q460" s="4">
        <f t="shared" ca="1" si="77"/>
        <v>0.36969988892155059</v>
      </c>
      <c r="R460" s="4">
        <f t="shared" ca="1" si="78"/>
        <v>0.6619240483963339</v>
      </c>
      <c r="S460" s="4">
        <f ca="1">$B$1*Q460*$B$2</f>
        <v>14.787995556862024</v>
      </c>
      <c r="T460" s="4">
        <f ca="1">$B$1*R460*$B$2</f>
        <v>26.476961935853353</v>
      </c>
      <c r="U460" s="7">
        <f t="shared" ca="1" si="79"/>
        <v>41.264957492715375</v>
      </c>
    </row>
    <row r="461" spans="2:21" x14ac:dyDescent="0.3">
      <c r="B461" s="13">
        <f t="shared" ca="1" si="70"/>
        <v>0.47347666718070747</v>
      </c>
      <c r="C461" s="14">
        <f t="shared" ca="1" si="70"/>
        <v>0.55248277742386687</v>
      </c>
      <c r="D461" s="14">
        <f t="shared" ca="1" si="71"/>
        <v>-6.6533190100828699E-2</v>
      </c>
      <c r="E461" s="14">
        <f t="shared" ca="1" si="72"/>
        <v>0.13193659228472407</v>
      </c>
      <c r="F461" s="14">
        <f t="shared" ca="1" si="73"/>
        <v>-2.3700438183218084E-3</v>
      </c>
      <c r="G461" s="14">
        <f t="shared" ca="1" si="74"/>
        <v>0.47347666718070747</v>
      </c>
      <c r="H461" s="15">
        <f t="shared" ca="1" si="75"/>
        <v>0.55248277742386687</v>
      </c>
      <c r="I461" s="14">
        <f ca="1">IF(G461&lt;0.05,1,0)*$B$1*$B$2</f>
        <v>0</v>
      </c>
      <c r="J461" s="14">
        <f ca="1">IF(H461&lt;0.05,1,0)*$B$1*$B$2</f>
        <v>0</v>
      </c>
      <c r="K461" s="15">
        <f t="shared" ca="1" si="76"/>
        <v>0</v>
      </c>
      <c r="P461" s="3">
        <v>457</v>
      </c>
      <c r="Q461" s="4">
        <f t="shared" ca="1" si="77"/>
        <v>0.47347666718070747</v>
      </c>
      <c r="R461" s="4">
        <f t="shared" ca="1" si="78"/>
        <v>0.55248277742386687</v>
      </c>
      <c r="S461" s="4">
        <f ca="1">$B$1*Q461*$B$2</f>
        <v>18.939066687228301</v>
      </c>
      <c r="T461" s="4">
        <f ca="1">$B$1*R461*$B$2</f>
        <v>22.099311096954676</v>
      </c>
      <c r="U461" s="7">
        <f t="shared" ca="1" si="79"/>
        <v>41.038377784182977</v>
      </c>
    </row>
    <row r="462" spans="2:21" x14ac:dyDescent="0.3">
      <c r="B462" s="13">
        <f t="shared" ca="1" si="70"/>
        <v>0.60428949792177178</v>
      </c>
      <c r="C462" s="14">
        <f t="shared" ca="1" si="70"/>
        <v>0.59767729895116195</v>
      </c>
      <c r="D462" s="14">
        <f t="shared" ca="1" si="71"/>
        <v>0.26446581349934761</v>
      </c>
      <c r="E462" s="14">
        <f t="shared" ca="1" si="72"/>
        <v>0.24733961571223559</v>
      </c>
      <c r="F462" s="14">
        <f t="shared" ca="1" si="73"/>
        <v>0.34583207111179481</v>
      </c>
      <c r="G462" s="14">
        <f t="shared" ca="1" si="74"/>
        <v>0.60428949792177178</v>
      </c>
      <c r="H462" s="15">
        <f t="shared" ca="1" si="75"/>
        <v>0.59767729895116195</v>
      </c>
      <c r="I462" s="14">
        <f ca="1">IF(G462&lt;0.05,1,0)*$B$1*$B$2</f>
        <v>0</v>
      </c>
      <c r="J462" s="14">
        <f ca="1">IF(H462&lt;0.05,1,0)*$B$1*$B$2</f>
        <v>0</v>
      </c>
      <c r="K462" s="15">
        <f t="shared" ca="1" si="76"/>
        <v>0</v>
      </c>
      <c r="P462" s="3">
        <v>458</v>
      </c>
      <c r="Q462" s="4">
        <f t="shared" ca="1" si="77"/>
        <v>0.60428949792177178</v>
      </c>
      <c r="R462" s="4">
        <f t="shared" ca="1" si="78"/>
        <v>0.59767729895116195</v>
      </c>
      <c r="S462" s="4">
        <f ca="1">$B$1*Q462*$B$2</f>
        <v>24.171579916870872</v>
      </c>
      <c r="T462" s="4">
        <f ca="1">$B$1*R462*$B$2</f>
        <v>23.907091958046479</v>
      </c>
      <c r="U462" s="7">
        <f t="shared" ca="1" si="79"/>
        <v>48.078671874917347</v>
      </c>
    </row>
    <row r="463" spans="2:21" x14ac:dyDescent="0.3">
      <c r="B463" s="13">
        <f t="shared" ca="1" si="70"/>
        <v>0.66978334088887026</v>
      </c>
      <c r="C463" s="14">
        <f t="shared" ca="1" si="70"/>
        <v>0.30313254924099875</v>
      </c>
      <c r="D463" s="14">
        <f t="shared" ca="1" si="71"/>
        <v>0.43931498429586496</v>
      </c>
      <c r="E463" s="14">
        <f t="shared" ca="1" si="72"/>
        <v>-0.51541207193701644</v>
      </c>
      <c r="F463" s="14">
        <f t="shared" ca="1" si="73"/>
        <v>0.17072057228084145</v>
      </c>
      <c r="G463" s="14">
        <f t="shared" ca="1" si="74"/>
        <v>0.66978334088887026</v>
      </c>
      <c r="H463" s="15">
        <f t="shared" ca="1" si="75"/>
        <v>0.30313254924099875</v>
      </c>
      <c r="I463" s="14">
        <f ca="1">IF(G463&lt;0.05,1,0)*$B$1*$B$2</f>
        <v>0</v>
      </c>
      <c r="J463" s="14">
        <f ca="1">IF(H463&lt;0.05,1,0)*$B$1*$B$2</f>
        <v>0</v>
      </c>
      <c r="K463" s="15">
        <f t="shared" ca="1" si="76"/>
        <v>0</v>
      </c>
      <c r="P463" s="3">
        <v>459</v>
      </c>
      <c r="Q463" s="4">
        <f t="shared" ca="1" si="77"/>
        <v>0.66978334088887026</v>
      </c>
      <c r="R463" s="4">
        <f t="shared" ca="1" si="78"/>
        <v>0.30313254924099875</v>
      </c>
      <c r="S463" s="4">
        <f ca="1">$B$1*Q463*$B$2</f>
        <v>26.79133363555481</v>
      </c>
      <c r="T463" s="4">
        <f ca="1">$B$1*R463*$B$2</f>
        <v>12.125301969639951</v>
      </c>
      <c r="U463" s="7">
        <f t="shared" ca="1" si="79"/>
        <v>38.916635605194763</v>
      </c>
    </row>
    <row r="464" spans="2:21" x14ac:dyDescent="0.3">
      <c r="B464" s="13">
        <f t="shared" ca="1" si="70"/>
        <v>0.57298160170695678</v>
      </c>
      <c r="C464" s="14">
        <f t="shared" ca="1" si="70"/>
        <v>0.61548783051161693</v>
      </c>
      <c r="D464" s="14">
        <f t="shared" ca="1" si="71"/>
        <v>0.18397024620957805</v>
      </c>
      <c r="E464" s="14">
        <f t="shared" ca="1" si="72"/>
        <v>0.29365134227778933</v>
      </c>
      <c r="F464" s="14">
        <f t="shared" ca="1" si="73"/>
        <v>0.29357287415101591</v>
      </c>
      <c r="G464" s="14">
        <f t="shared" ca="1" si="74"/>
        <v>0.57298160170695678</v>
      </c>
      <c r="H464" s="15">
        <f t="shared" ca="1" si="75"/>
        <v>0.61548783051161693</v>
      </c>
      <c r="I464" s="14">
        <f ca="1">IF(G464&lt;0.05,1,0)*$B$1*$B$2</f>
        <v>0</v>
      </c>
      <c r="J464" s="14">
        <f ca="1">IF(H464&lt;0.05,1,0)*$B$1*$B$2</f>
        <v>0</v>
      </c>
      <c r="K464" s="15">
        <f t="shared" ca="1" si="76"/>
        <v>0</v>
      </c>
      <c r="P464" s="3">
        <v>460</v>
      </c>
      <c r="Q464" s="4">
        <f t="shared" ca="1" si="77"/>
        <v>0.57298160170695678</v>
      </c>
      <c r="R464" s="4">
        <f t="shared" ca="1" si="78"/>
        <v>0.61548783051161693</v>
      </c>
      <c r="S464" s="4">
        <f ca="1">$B$1*Q464*$B$2</f>
        <v>22.919264068278274</v>
      </c>
      <c r="T464" s="4">
        <f ca="1">$B$1*R464*$B$2</f>
        <v>24.619513220464679</v>
      </c>
      <c r="U464" s="7">
        <f t="shared" ca="1" si="79"/>
        <v>47.538777288742949</v>
      </c>
    </row>
    <row r="465" spans="2:21" x14ac:dyDescent="0.3">
      <c r="B465" s="13">
        <f t="shared" ca="1" si="70"/>
        <v>0.13840998192208842</v>
      </c>
      <c r="C465" s="14">
        <f t="shared" ca="1" si="70"/>
        <v>0.9086499273663492</v>
      </c>
      <c r="D465" s="14">
        <f t="shared" ca="1" si="71"/>
        <v>-1.087490796391694</v>
      </c>
      <c r="E465" s="14">
        <f t="shared" ca="1" si="72"/>
        <v>1.3324871986441036</v>
      </c>
      <c r="F465" s="14">
        <f t="shared" ca="1" si="73"/>
        <v>-0.39792401250739928</v>
      </c>
      <c r="G465" s="14">
        <f t="shared" ca="1" si="74"/>
        <v>0.13840998192208842</v>
      </c>
      <c r="H465" s="15">
        <f t="shared" ca="1" si="75"/>
        <v>0.90864992736634898</v>
      </c>
      <c r="I465" s="14">
        <f ca="1">IF(G465&lt;0.05,1,0)*$B$1*$B$2</f>
        <v>0</v>
      </c>
      <c r="J465" s="14">
        <f ca="1">IF(H465&lt;0.05,1,0)*$B$1*$B$2</f>
        <v>0</v>
      </c>
      <c r="K465" s="15">
        <f t="shared" ca="1" si="76"/>
        <v>0</v>
      </c>
      <c r="P465" s="3">
        <v>461</v>
      </c>
      <c r="Q465" s="4">
        <f t="shared" ca="1" si="77"/>
        <v>0.13840998192208842</v>
      </c>
      <c r="R465" s="4">
        <f t="shared" ca="1" si="78"/>
        <v>0.90864992736634898</v>
      </c>
      <c r="S465" s="4">
        <f ca="1">$B$1*Q465*$B$2</f>
        <v>5.5363992768835368</v>
      </c>
      <c r="T465" s="4">
        <f ca="1">$B$1*R465*$B$2</f>
        <v>36.34599709465396</v>
      </c>
      <c r="U465" s="7">
        <f t="shared" ca="1" si="79"/>
        <v>41.882396371537496</v>
      </c>
    </row>
    <row r="466" spans="2:21" x14ac:dyDescent="0.3">
      <c r="B466" s="13">
        <f t="shared" ca="1" si="70"/>
        <v>0.9858708460415071</v>
      </c>
      <c r="C466" s="14">
        <f t="shared" ca="1" si="70"/>
        <v>0.75886365786633658</v>
      </c>
      <c r="D466" s="14">
        <f t="shared" ca="1" si="71"/>
        <v>2.19368159455651</v>
      </c>
      <c r="E466" s="14">
        <f t="shared" ca="1" si="72"/>
        <v>0.70265194158016764</v>
      </c>
      <c r="F466" s="14">
        <f t="shared" ca="1" si="73"/>
        <v>2.2805923156839185</v>
      </c>
      <c r="G466" s="14">
        <f t="shared" ca="1" si="74"/>
        <v>0.9858708460415071</v>
      </c>
      <c r="H466" s="15">
        <f t="shared" ca="1" si="75"/>
        <v>0.75886365786633658</v>
      </c>
      <c r="I466" s="14">
        <f ca="1">IF(G466&lt;0.05,1,0)*$B$1*$B$2</f>
        <v>0</v>
      </c>
      <c r="J466" s="14">
        <f ca="1">IF(H466&lt;0.05,1,0)*$B$1*$B$2</f>
        <v>0</v>
      </c>
      <c r="K466" s="15">
        <f t="shared" ca="1" si="76"/>
        <v>0</v>
      </c>
      <c r="P466" s="3">
        <v>462</v>
      </c>
      <c r="Q466" s="4">
        <f t="shared" ca="1" si="77"/>
        <v>0.9858708460415071</v>
      </c>
      <c r="R466" s="4">
        <f t="shared" ca="1" si="78"/>
        <v>0.75886365786633658</v>
      </c>
      <c r="S466" s="4">
        <f ca="1">$B$1*Q466*$B$2</f>
        <v>39.434833841660286</v>
      </c>
      <c r="T466" s="4">
        <f ca="1">$B$1*R466*$B$2</f>
        <v>30.354546314653465</v>
      </c>
      <c r="U466" s="7">
        <f t="shared" ca="1" si="79"/>
        <v>69.789380156313754</v>
      </c>
    </row>
    <row r="467" spans="2:21" x14ac:dyDescent="0.3">
      <c r="B467" s="13">
        <f t="shared" ca="1" si="70"/>
        <v>0.6110786482418159</v>
      </c>
      <c r="C467" s="14">
        <f t="shared" ca="1" si="70"/>
        <v>0.89310959478943586</v>
      </c>
      <c r="D467" s="14">
        <f t="shared" ca="1" si="71"/>
        <v>0.28213146985103543</v>
      </c>
      <c r="E467" s="14">
        <f t="shared" ca="1" si="72"/>
        <v>1.2432361897770507</v>
      </c>
      <c r="F467" s="14">
        <f t="shared" ca="1" si="73"/>
        <v>0.79583241428500373</v>
      </c>
      <c r="G467" s="14">
        <f t="shared" ca="1" si="74"/>
        <v>0.61107864824181601</v>
      </c>
      <c r="H467" s="15">
        <f t="shared" ca="1" si="75"/>
        <v>0.89310959478943608</v>
      </c>
      <c r="I467" s="14">
        <f ca="1">IF(G467&lt;0.05,1,0)*$B$1*$B$2</f>
        <v>0</v>
      </c>
      <c r="J467" s="14">
        <f ca="1">IF(H467&lt;0.05,1,0)*$B$1*$B$2</f>
        <v>0</v>
      </c>
      <c r="K467" s="15">
        <f t="shared" ca="1" si="76"/>
        <v>0</v>
      </c>
      <c r="P467" s="3">
        <v>463</v>
      </c>
      <c r="Q467" s="4">
        <f t="shared" ca="1" si="77"/>
        <v>0.61107864824181601</v>
      </c>
      <c r="R467" s="4">
        <f t="shared" ca="1" si="78"/>
        <v>0.89310959478943608</v>
      </c>
      <c r="S467" s="4">
        <f ca="1">$B$1*Q467*$B$2</f>
        <v>24.443145929672642</v>
      </c>
      <c r="T467" s="4">
        <f ca="1">$B$1*R467*$B$2</f>
        <v>35.724383791577445</v>
      </c>
      <c r="U467" s="7">
        <f t="shared" ca="1" si="79"/>
        <v>60.167529721250091</v>
      </c>
    </row>
    <row r="468" spans="2:21" x14ac:dyDescent="0.3">
      <c r="B468" s="13">
        <f t="shared" ca="1" si="70"/>
        <v>0.88020847459041796</v>
      </c>
      <c r="C468" s="14">
        <f t="shared" ca="1" si="70"/>
        <v>0.11984656792752435</v>
      </c>
      <c r="D468" s="14">
        <f t="shared" ca="1" si="71"/>
        <v>1.1760295928528082</v>
      </c>
      <c r="E468" s="14">
        <f t="shared" ca="1" si="72"/>
        <v>-1.1757541430757223</v>
      </c>
      <c r="F468" s="14">
        <f t="shared" ca="1" si="73"/>
        <v>0.54592728435589388</v>
      </c>
      <c r="G468" s="14">
        <f t="shared" ca="1" si="74"/>
        <v>0.88020847459041807</v>
      </c>
      <c r="H468" s="15">
        <f t="shared" ca="1" si="75"/>
        <v>0.11984656792752441</v>
      </c>
      <c r="I468" s="14">
        <f ca="1">IF(G468&lt;0.05,1,0)*$B$1*$B$2</f>
        <v>0</v>
      </c>
      <c r="J468" s="14">
        <f ca="1">IF(H468&lt;0.05,1,0)*$B$1*$B$2</f>
        <v>0</v>
      </c>
      <c r="K468" s="15">
        <f t="shared" ca="1" si="76"/>
        <v>0</v>
      </c>
      <c r="P468" s="3">
        <v>464</v>
      </c>
      <c r="Q468" s="4">
        <f t="shared" ca="1" si="77"/>
        <v>0.88020847459041807</v>
      </c>
      <c r="R468" s="4">
        <f t="shared" ca="1" si="78"/>
        <v>0.11984656792752441</v>
      </c>
      <c r="S468" s="4">
        <f ca="1">$B$1*Q468*$B$2</f>
        <v>35.20833898361672</v>
      </c>
      <c r="T468" s="4">
        <f ca="1">$B$1*R468*$B$2</f>
        <v>4.7938627171009767</v>
      </c>
      <c r="U468" s="7">
        <f t="shared" ca="1" si="79"/>
        <v>40.002201700717698</v>
      </c>
    </row>
    <row r="469" spans="2:21" x14ac:dyDescent="0.3">
      <c r="B469" s="13">
        <f t="shared" ca="1" si="70"/>
        <v>0.58920799756455911</v>
      </c>
      <c r="C469" s="14">
        <f t="shared" ca="1" si="70"/>
        <v>0.16686972256478472</v>
      </c>
      <c r="D469" s="14">
        <f t="shared" ca="1" si="71"/>
        <v>0.22550812556686303</v>
      </c>
      <c r="E469" s="14">
        <f t="shared" ca="1" si="72"/>
        <v>-0.96660917717374339</v>
      </c>
      <c r="F469" s="14">
        <f t="shared" ca="1" si="73"/>
        <v>-0.21837785910975821</v>
      </c>
      <c r="G469" s="14">
        <f t="shared" ca="1" si="74"/>
        <v>0.58920799756455922</v>
      </c>
      <c r="H469" s="15">
        <f t="shared" ca="1" si="75"/>
        <v>0.16686972256478505</v>
      </c>
      <c r="I469" s="14">
        <f ca="1">IF(G469&lt;0.05,1,0)*$B$1*$B$2</f>
        <v>0</v>
      </c>
      <c r="J469" s="14">
        <f ca="1">IF(H469&lt;0.05,1,0)*$B$1*$B$2</f>
        <v>0</v>
      </c>
      <c r="K469" s="15">
        <f t="shared" ca="1" si="76"/>
        <v>0</v>
      </c>
      <c r="P469" s="3">
        <v>465</v>
      </c>
      <c r="Q469" s="4">
        <f t="shared" ca="1" si="77"/>
        <v>0.58920799756455922</v>
      </c>
      <c r="R469" s="4">
        <f t="shared" ca="1" si="78"/>
        <v>0.16686972256478505</v>
      </c>
      <c r="S469" s="4">
        <f ca="1">$B$1*Q469*$B$2</f>
        <v>23.56831990258237</v>
      </c>
      <c r="T469" s="4">
        <f ca="1">$B$1*R469*$B$2</f>
        <v>6.674788902591402</v>
      </c>
      <c r="U469" s="7">
        <f t="shared" ca="1" si="79"/>
        <v>30.243108805173772</v>
      </c>
    </row>
    <row r="470" spans="2:21" x14ac:dyDescent="0.3">
      <c r="B470" s="13">
        <f t="shared" ca="1" si="70"/>
        <v>0.13539909444576059</v>
      </c>
      <c r="C470" s="14">
        <f t="shared" ca="1" si="70"/>
        <v>0.79209935711092627</v>
      </c>
      <c r="D470" s="14">
        <f t="shared" ca="1" si="71"/>
        <v>-1.1012262749335444</v>
      </c>
      <c r="E470" s="14">
        <f t="shared" ca="1" si="72"/>
        <v>0.81372713470362878</v>
      </c>
      <c r="F470" s="14">
        <f t="shared" ca="1" si="73"/>
        <v>-0.63640821266118741</v>
      </c>
      <c r="G470" s="14">
        <f t="shared" ca="1" si="74"/>
        <v>0.13539909444576051</v>
      </c>
      <c r="H470" s="15">
        <f t="shared" ca="1" si="75"/>
        <v>0.79209935711092627</v>
      </c>
      <c r="I470" s="14">
        <f ca="1">IF(G470&lt;0.05,1,0)*$B$1*$B$2</f>
        <v>0</v>
      </c>
      <c r="J470" s="14">
        <f ca="1">IF(H470&lt;0.05,1,0)*$B$1*$B$2</f>
        <v>0</v>
      </c>
      <c r="K470" s="15">
        <f t="shared" ca="1" si="76"/>
        <v>0</v>
      </c>
      <c r="P470" s="3">
        <v>466</v>
      </c>
      <c r="Q470" s="4">
        <f t="shared" ca="1" si="77"/>
        <v>0.13539909444576051</v>
      </c>
      <c r="R470" s="4">
        <f t="shared" ca="1" si="78"/>
        <v>0.79209935711092627</v>
      </c>
      <c r="S470" s="4">
        <f ca="1">$B$1*Q470*$B$2</f>
        <v>5.4159637778304202</v>
      </c>
      <c r="T470" s="4">
        <f ca="1">$B$1*R470*$B$2</f>
        <v>31.683974284437053</v>
      </c>
      <c r="U470" s="7">
        <f t="shared" ca="1" si="79"/>
        <v>37.099938062267469</v>
      </c>
    </row>
    <row r="471" spans="2:21" x14ac:dyDescent="0.3">
      <c r="B471" s="13">
        <f t="shared" ca="1" si="70"/>
        <v>0.4474796870928538</v>
      </c>
      <c r="C471" s="14">
        <f t="shared" ca="1" si="70"/>
        <v>7.077648615170673E-2</v>
      </c>
      <c r="D471" s="14">
        <f t="shared" ca="1" si="71"/>
        <v>-0.13203150285990053</v>
      </c>
      <c r="E471" s="14">
        <f t="shared" ca="1" si="72"/>
        <v>-1.4700324251032231</v>
      </c>
      <c r="F471" s="14">
        <f t="shared" ca="1" si="73"/>
        <v>-0.75960063104920772</v>
      </c>
      <c r="G471" s="14">
        <f t="shared" ca="1" si="74"/>
        <v>0.4474796870928538</v>
      </c>
      <c r="H471" s="15">
        <f t="shared" ca="1" si="75"/>
        <v>7.0776486151706772E-2</v>
      </c>
      <c r="I471" s="14">
        <f ca="1">IF(G471&lt;0.05,1,0)*$B$1*$B$2</f>
        <v>0</v>
      </c>
      <c r="J471" s="14">
        <f ca="1">IF(H471&lt;0.05,1,0)*$B$1*$B$2</f>
        <v>0</v>
      </c>
      <c r="K471" s="15">
        <f t="shared" ca="1" si="76"/>
        <v>0</v>
      </c>
      <c r="P471" s="3">
        <v>467</v>
      </c>
      <c r="Q471" s="4">
        <f t="shared" ca="1" si="77"/>
        <v>0.4474796870928538</v>
      </c>
      <c r="R471" s="4">
        <f t="shared" ca="1" si="78"/>
        <v>7.0776486151706772E-2</v>
      </c>
      <c r="S471" s="4">
        <f ca="1">$B$1*Q471*$B$2</f>
        <v>17.899187483714154</v>
      </c>
      <c r="T471" s="4">
        <f ca="1">$B$1*R471*$B$2</f>
        <v>2.831059446068271</v>
      </c>
      <c r="U471" s="7">
        <f t="shared" ca="1" si="79"/>
        <v>20.730246929782425</v>
      </c>
    </row>
    <row r="472" spans="2:21" x14ac:dyDescent="0.3">
      <c r="B472" s="13">
        <f t="shared" ca="1" si="70"/>
        <v>0.996241789827642</v>
      </c>
      <c r="C472" s="14">
        <f t="shared" ca="1" si="70"/>
        <v>0.26420421619787304</v>
      </c>
      <c r="D472" s="14">
        <f t="shared" ca="1" si="71"/>
        <v>2.6730537616300722</v>
      </c>
      <c r="E472" s="14">
        <f t="shared" ca="1" si="72"/>
        <v>-0.63043742345629039</v>
      </c>
      <c r="F472" s="14">
        <f t="shared" ca="1" si="73"/>
        <v>2.1309470835598523</v>
      </c>
      <c r="G472" s="14">
        <f t="shared" ca="1" si="74"/>
        <v>0.996241789827642</v>
      </c>
      <c r="H472" s="15">
        <f t="shared" ca="1" si="75"/>
        <v>0.26420421619787304</v>
      </c>
      <c r="I472" s="14">
        <f ca="1">IF(G472&lt;0.05,1,0)*$B$1*$B$2</f>
        <v>0</v>
      </c>
      <c r="J472" s="14">
        <f ca="1">IF(H472&lt;0.05,1,0)*$B$1*$B$2</f>
        <v>0</v>
      </c>
      <c r="K472" s="15">
        <f t="shared" ca="1" si="76"/>
        <v>0</v>
      </c>
      <c r="P472" s="3">
        <v>468</v>
      </c>
      <c r="Q472" s="4">
        <f t="shared" ca="1" si="77"/>
        <v>0.996241789827642</v>
      </c>
      <c r="R472" s="4">
        <f t="shared" ca="1" si="78"/>
        <v>0.26420421619787304</v>
      </c>
      <c r="S472" s="4">
        <f ca="1">$B$1*Q472*$B$2</f>
        <v>39.849671593105683</v>
      </c>
      <c r="T472" s="4">
        <f ca="1">$B$1*R472*$B$2</f>
        <v>10.568168647914923</v>
      </c>
      <c r="U472" s="7">
        <f t="shared" ca="1" si="79"/>
        <v>50.417840241020606</v>
      </c>
    </row>
    <row r="473" spans="2:21" x14ac:dyDescent="0.3">
      <c r="B473" s="13">
        <f t="shared" ca="1" si="70"/>
        <v>0.633718453682247</v>
      </c>
      <c r="C473" s="14">
        <f t="shared" ca="1" si="70"/>
        <v>0.914230692667656</v>
      </c>
      <c r="D473" s="14">
        <f t="shared" ca="1" si="71"/>
        <v>0.34171804255571703</v>
      </c>
      <c r="E473" s="14">
        <f t="shared" ca="1" si="72"/>
        <v>1.367276627883931</v>
      </c>
      <c r="F473" s="14">
        <f t="shared" ca="1" si="73"/>
        <v>0.90352830318125732</v>
      </c>
      <c r="G473" s="14">
        <f t="shared" ca="1" si="74"/>
        <v>0.633718453682247</v>
      </c>
      <c r="H473" s="15">
        <f t="shared" ca="1" si="75"/>
        <v>0.914230692667656</v>
      </c>
      <c r="I473" s="14">
        <f ca="1">IF(G473&lt;0.05,1,0)*$B$1*$B$2</f>
        <v>0</v>
      </c>
      <c r="J473" s="14">
        <f ca="1">IF(H473&lt;0.05,1,0)*$B$1*$B$2</f>
        <v>0</v>
      </c>
      <c r="K473" s="15">
        <f t="shared" ca="1" si="76"/>
        <v>0</v>
      </c>
      <c r="P473" s="3">
        <v>469</v>
      </c>
      <c r="Q473" s="4">
        <f t="shared" ca="1" si="77"/>
        <v>0.633718453682247</v>
      </c>
      <c r="R473" s="4">
        <f t="shared" ca="1" si="78"/>
        <v>0.914230692667656</v>
      </c>
      <c r="S473" s="4">
        <f ca="1">$B$1*Q473*$B$2</f>
        <v>25.348738147289879</v>
      </c>
      <c r="T473" s="4">
        <f ca="1">$B$1*R473*$B$2</f>
        <v>36.569227706706236</v>
      </c>
      <c r="U473" s="7">
        <f t="shared" ca="1" si="79"/>
        <v>61.917965853996115</v>
      </c>
    </row>
    <row r="474" spans="2:21" x14ac:dyDescent="0.3">
      <c r="B474" s="13">
        <f t="shared" ca="1" si="70"/>
        <v>0.34169401484510065</v>
      </c>
      <c r="C474" s="14">
        <f t="shared" ca="1" si="70"/>
        <v>0.15142646001096027</v>
      </c>
      <c r="D474" s="14">
        <f t="shared" ca="1" si="71"/>
        <v>-0.40784424295737548</v>
      </c>
      <c r="E474" s="14">
        <f t="shared" ca="1" si="72"/>
        <v>-1.030334689863821</v>
      </c>
      <c r="F474" s="14">
        <f t="shared" ca="1" si="73"/>
        <v>-0.81617229777570954</v>
      </c>
      <c r="G474" s="14">
        <f t="shared" ca="1" si="74"/>
        <v>0.34169401484510059</v>
      </c>
      <c r="H474" s="15">
        <f t="shared" ca="1" si="75"/>
        <v>0.15142646001096022</v>
      </c>
      <c r="I474" s="14">
        <f ca="1">IF(G474&lt;0.05,1,0)*$B$1*$B$2</f>
        <v>0</v>
      </c>
      <c r="J474" s="14">
        <f ca="1">IF(H474&lt;0.05,1,0)*$B$1*$B$2</f>
        <v>0</v>
      </c>
      <c r="K474" s="15">
        <f t="shared" ca="1" si="76"/>
        <v>0</v>
      </c>
      <c r="P474" s="3">
        <v>470</v>
      </c>
      <c r="Q474" s="4">
        <f t="shared" ca="1" si="77"/>
        <v>0.34169401484510059</v>
      </c>
      <c r="R474" s="4">
        <f t="shared" ca="1" si="78"/>
        <v>0.15142646001096022</v>
      </c>
      <c r="S474" s="4">
        <f ca="1">$B$1*Q474*$B$2</f>
        <v>13.667760593804026</v>
      </c>
      <c r="T474" s="4">
        <f ca="1">$B$1*R474*$B$2</f>
        <v>6.0570584004384092</v>
      </c>
      <c r="U474" s="7">
        <f t="shared" ca="1" si="79"/>
        <v>19.724818994242433</v>
      </c>
    </row>
    <row r="475" spans="2:21" x14ac:dyDescent="0.3">
      <c r="B475" s="13">
        <f t="shared" ca="1" si="70"/>
        <v>0.73268174043145462</v>
      </c>
      <c r="C475" s="14">
        <f t="shared" ca="1" si="70"/>
        <v>0.35633535306159203</v>
      </c>
      <c r="D475" s="14">
        <f t="shared" ca="1" si="71"/>
        <v>0.62094392464128423</v>
      </c>
      <c r="E475" s="14">
        <f t="shared" ca="1" si="72"/>
        <v>-0.36827162754868831</v>
      </c>
      <c r="F475" s="14">
        <f t="shared" ca="1" si="73"/>
        <v>0.39832365135135767</v>
      </c>
      <c r="G475" s="14">
        <f t="shared" ca="1" si="74"/>
        <v>0.73268174043145473</v>
      </c>
      <c r="H475" s="15">
        <f t="shared" ca="1" si="75"/>
        <v>0.35633535306159203</v>
      </c>
      <c r="I475" s="14">
        <f ca="1">IF(G475&lt;0.05,1,0)*$B$1*$B$2</f>
        <v>0</v>
      </c>
      <c r="J475" s="14">
        <f ca="1">IF(H475&lt;0.05,1,0)*$B$1*$B$2</f>
        <v>0</v>
      </c>
      <c r="K475" s="15">
        <f t="shared" ca="1" si="76"/>
        <v>0</v>
      </c>
      <c r="P475" s="3">
        <v>471</v>
      </c>
      <c r="Q475" s="4">
        <f t="shared" ca="1" si="77"/>
        <v>0.73268174043145473</v>
      </c>
      <c r="R475" s="4">
        <f t="shared" ca="1" si="78"/>
        <v>0.35633535306159203</v>
      </c>
      <c r="S475" s="4">
        <f ca="1">$B$1*Q475*$B$2</f>
        <v>29.307269617258193</v>
      </c>
      <c r="T475" s="4">
        <f ca="1">$B$1*R475*$B$2</f>
        <v>14.253414122463681</v>
      </c>
      <c r="U475" s="7">
        <f t="shared" ca="1" si="79"/>
        <v>43.560683739721874</v>
      </c>
    </row>
    <row r="476" spans="2:21" x14ac:dyDescent="0.3">
      <c r="B476" s="13">
        <f t="shared" ca="1" si="70"/>
        <v>0.86236368997047674</v>
      </c>
      <c r="C476" s="14">
        <f t="shared" ca="1" si="70"/>
        <v>0.10490062437217484</v>
      </c>
      <c r="D476" s="14">
        <f t="shared" ca="1" si="71"/>
        <v>1.0910005966328382</v>
      </c>
      <c r="E476" s="14">
        <f t="shared" ca="1" si="72"/>
        <v>-1.2541121390526719</v>
      </c>
      <c r="F476" s="14">
        <f t="shared" ca="1" si="73"/>
        <v>0.43524572916973192</v>
      </c>
      <c r="G476" s="14">
        <f t="shared" ca="1" si="74"/>
        <v>0.86236368997047674</v>
      </c>
      <c r="H476" s="15">
        <f t="shared" ca="1" si="75"/>
        <v>0.10490062437217472</v>
      </c>
      <c r="I476" s="14">
        <f ca="1">IF(G476&lt;0.05,1,0)*$B$1*$B$2</f>
        <v>0</v>
      </c>
      <c r="J476" s="14">
        <f ca="1">IF(H476&lt;0.05,1,0)*$B$1*$B$2</f>
        <v>0</v>
      </c>
      <c r="K476" s="15">
        <f t="shared" ca="1" si="76"/>
        <v>0</v>
      </c>
      <c r="P476" s="3">
        <v>472</v>
      </c>
      <c r="Q476" s="4">
        <f t="shared" ca="1" si="77"/>
        <v>0.86236368997047674</v>
      </c>
      <c r="R476" s="4">
        <f t="shared" ca="1" si="78"/>
        <v>0.10490062437217472</v>
      </c>
      <c r="S476" s="4">
        <f ca="1">$B$1*Q476*$B$2</f>
        <v>34.494547598819075</v>
      </c>
      <c r="T476" s="4">
        <f ca="1">$B$1*R476*$B$2</f>
        <v>4.1960249748869884</v>
      </c>
      <c r="U476" s="7">
        <f t="shared" ca="1" si="79"/>
        <v>38.690572573706064</v>
      </c>
    </row>
    <row r="477" spans="2:21" x14ac:dyDescent="0.3">
      <c r="B477" s="13">
        <f t="shared" ca="1" si="70"/>
        <v>1.1566055316406976E-2</v>
      </c>
      <c r="C477" s="14">
        <f t="shared" ca="1" si="70"/>
        <v>0.87013507779374266</v>
      </c>
      <c r="D477" s="14">
        <f t="shared" ca="1" si="71"/>
        <v>-2.2712456618527632</v>
      </c>
      <c r="E477" s="14">
        <f t="shared" ca="1" si="72"/>
        <v>1.1270298883229128</v>
      </c>
      <c r="F477" s="14">
        <f t="shared" ca="1" si="73"/>
        <v>-1.5528601567125362</v>
      </c>
      <c r="G477" s="14">
        <f t="shared" ca="1" si="74"/>
        <v>1.1566055316406976E-2</v>
      </c>
      <c r="H477" s="15">
        <f t="shared" ca="1" si="75"/>
        <v>0.87013507779374277</v>
      </c>
      <c r="I477" s="14">
        <f ca="1">IF(G477&lt;0.05,1,0)*$B$1*$B$2</f>
        <v>40</v>
      </c>
      <c r="J477" s="14">
        <f ca="1">IF(H477&lt;0.05,1,0)*$B$1*$B$2</f>
        <v>0</v>
      </c>
      <c r="K477" s="15">
        <f t="shared" ca="1" si="76"/>
        <v>40</v>
      </c>
      <c r="P477" s="3">
        <v>473</v>
      </c>
      <c r="Q477" s="4">
        <f t="shared" ca="1" si="77"/>
        <v>1.1566055316406976E-2</v>
      </c>
      <c r="R477" s="4">
        <f t="shared" ca="1" si="78"/>
        <v>0.87013507779374277</v>
      </c>
      <c r="S477" s="4">
        <f ca="1">$B$1*Q477*$B$2</f>
        <v>0.46264221265627903</v>
      </c>
      <c r="T477" s="4">
        <f ca="1">$B$1*R477*$B$2</f>
        <v>34.805403111749712</v>
      </c>
      <c r="U477" s="7">
        <f t="shared" ca="1" si="79"/>
        <v>35.268045324405989</v>
      </c>
    </row>
    <row r="478" spans="2:21" x14ac:dyDescent="0.3">
      <c r="B478" s="13">
        <f t="shared" ca="1" si="70"/>
        <v>0.3157056529088339</v>
      </c>
      <c r="C478" s="14">
        <f t="shared" ca="1" si="70"/>
        <v>0.17782339593605567</v>
      </c>
      <c r="D478" s="14">
        <f t="shared" ca="1" si="71"/>
        <v>-0.47974137194607702</v>
      </c>
      <c r="E478" s="14">
        <f t="shared" ca="1" si="72"/>
        <v>-0.92369182067264666</v>
      </c>
      <c r="F478" s="14">
        <f t="shared" ca="1" si="73"/>
        <v>-0.83439516488018528</v>
      </c>
      <c r="G478" s="14">
        <f t="shared" ca="1" si="74"/>
        <v>0.31570565290883384</v>
      </c>
      <c r="H478" s="15">
        <f t="shared" ca="1" si="75"/>
        <v>0.17782339593605537</v>
      </c>
      <c r="I478" s="14">
        <f ca="1">IF(G478&lt;0.05,1,0)*$B$1*$B$2</f>
        <v>0</v>
      </c>
      <c r="J478" s="14">
        <f ca="1">IF(H478&lt;0.05,1,0)*$B$1*$B$2</f>
        <v>0</v>
      </c>
      <c r="K478" s="15">
        <f t="shared" ca="1" si="76"/>
        <v>0</v>
      </c>
      <c r="P478" s="3">
        <v>474</v>
      </c>
      <c r="Q478" s="4">
        <f t="shared" ca="1" si="77"/>
        <v>0.31570565290883384</v>
      </c>
      <c r="R478" s="4">
        <f t="shared" ca="1" si="78"/>
        <v>0.17782339593605537</v>
      </c>
      <c r="S478" s="4">
        <f ca="1">$B$1*Q478*$B$2</f>
        <v>12.628226116353353</v>
      </c>
      <c r="T478" s="4">
        <f ca="1">$B$1*R478*$B$2</f>
        <v>7.1129358374422154</v>
      </c>
      <c r="U478" s="7">
        <f t="shared" ca="1" si="79"/>
        <v>19.741161953795569</v>
      </c>
    </row>
    <row r="479" spans="2:21" x14ac:dyDescent="0.3">
      <c r="B479" s="13">
        <f t="shared" ca="1" si="70"/>
        <v>0.77418142774484744</v>
      </c>
      <c r="C479" s="14">
        <f t="shared" ca="1" si="70"/>
        <v>0.49008597270234178</v>
      </c>
      <c r="D479" s="14">
        <f t="shared" ca="1" si="71"/>
        <v>0.75268846272422252</v>
      </c>
      <c r="E479" s="14">
        <f t="shared" ca="1" si="72"/>
        <v>-2.4853339506331E-2</v>
      </c>
      <c r="F479" s="14">
        <f t="shared" ca="1" si="73"/>
        <v>0.6665862969200399</v>
      </c>
      <c r="G479" s="14">
        <f t="shared" ca="1" si="74"/>
        <v>0.77418142774484722</v>
      </c>
      <c r="H479" s="15">
        <f t="shared" ca="1" si="75"/>
        <v>0.49008597270234178</v>
      </c>
      <c r="I479" s="14">
        <f ca="1">IF(G479&lt;0.05,1,0)*$B$1*$B$2</f>
        <v>0</v>
      </c>
      <c r="J479" s="14">
        <f ca="1">IF(H479&lt;0.05,1,0)*$B$1*$B$2</f>
        <v>0</v>
      </c>
      <c r="K479" s="15">
        <f t="shared" ca="1" si="76"/>
        <v>0</v>
      </c>
      <c r="P479" s="3">
        <v>475</v>
      </c>
      <c r="Q479" s="4">
        <f t="shared" ca="1" si="77"/>
        <v>0.77418142774484722</v>
      </c>
      <c r="R479" s="4">
        <f t="shared" ca="1" si="78"/>
        <v>0.49008597270234178</v>
      </c>
      <c r="S479" s="4">
        <f ca="1">$B$1*Q479*$B$2</f>
        <v>30.967257109793891</v>
      </c>
      <c r="T479" s="4">
        <f ca="1">$B$1*R479*$B$2</f>
        <v>19.603438908093672</v>
      </c>
      <c r="U479" s="7">
        <f t="shared" ca="1" si="79"/>
        <v>50.570696017887563</v>
      </c>
    </row>
    <row r="480" spans="2:21" x14ac:dyDescent="0.3">
      <c r="B480" s="13">
        <f t="shared" ca="1" si="70"/>
        <v>0.86280200349537739</v>
      </c>
      <c r="C480" s="14">
        <f t="shared" ca="1" si="70"/>
        <v>0.8083650822948909</v>
      </c>
      <c r="D480" s="14">
        <f t="shared" ca="1" si="71"/>
        <v>1.0929950046742667</v>
      </c>
      <c r="E480" s="14">
        <f t="shared" ca="1" si="72"/>
        <v>0.8718873499665527</v>
      </c>
      <c r="F480" s="14">
        <f t="shared" ca="1" si="73"/>
        <v>1.3637423890724083</v>
      </c>
      <c r="G480" s="14">
        <f t="shared" ca="1" si="74"/>
        <v>0.86280200349537739</v>
      </c>
      <c r="H480" s="15">
        <f t="shared" ca="1" si="75"/>
        <v>0.80836508229489046</v>
      </c>
      <c r="I480" s="14">
        <f ca="1">IF(G480&lt;0.05,1,0)*$B$1*$B$2</f>
        <v>0</v>
      </c>
      <c r="J480" s="14">
        <f ca="1">IF(H480&lt;0.05,1,0)*$B$1*$B$2</f>
        <v>0</v>
      </c>
      <c r="K480" s="15">
        <f t="shared" ca="1" si="76"/>
        <v>0</v>
      </c>
      <c r="P480" s="3">
        <v>476</v>
      </c>
      <c r="Q480" s="4">
        <f t="shared" ca="1" si="77"/>
        <v>0.86280200349537739</v>
      </c>
      <c r="R480" s="4">
        <f t="shared" ca="1" si="78"/>
        <v>0.80836508229489046</v>
      </c>
      <c r="S480" s="4">
        <f ca="1">$B$1*Q480*$B$2</f>
        <v>34.512080139815097</v>
      </c>
      <c r="T480" s="4">
        <f ca="1">$B$1*R480*$B$2</f>
        <v>32.334603291795617</v>
      </c>
      <c r="U480" s="7">
        <f t="shared" ca="1" si="79"/>
        <v>66.846683431610714</v>
      </c>
    </row>
    <row r="481" spans="2:21" x14ac:dyDescent="0.3">
      <c r="B481" s="13">
        <f t="shared" ca="1" si="70"/>
        <v>0.81438534096190818</v>
      </c>
      <c r="C481" s="14">
        <f t="shared" ca="1" si="70"/>
        <v>0.56431656915584549</v>
      </c>
      <c r="D481" s="14">
        <f t="shared" ca="1" si="71"/>
        <v>0.89417303348061183</v>
      </c>
      <c r="E481" s="14">
        <f t="shared" ca="1" si="72"/>
        <v>0.16192252857901399</v>
      </c>
      <c r="F481" s="14">
        <f t="shared" ca="1" si="73"/>
        <v>0.87533612400840044</v>
      </c>
      <c r="G481" s="14">
        <f t="shared" ca="1" si="74"/>
        <v>0.81438534096190796</v>
      </c>
      <c r="H481" s="15">
        <f t="shared" ca="1" si="75"/>
        <v>0.56431656915584549</v>
      </c>
      <c r="I481" s="14">
        <f ca="1">IF(G481&lt;0.05,1,0)*$B$1*$B$2</f>
        <v>0</v>
      </c>
      <c r="J481" s="14">
        <f ca="1">IF(H481&lt;0.05,1,0)*$B$1*$B$2</f>
        <v>0</v>
      </c>
      <c r="K481" s="15">
        <f t="shared" ca="1" si="76"/>
        <v>0</v>
      </c>
      <c r="P481" s="3">
        <v>477</v>
      </c>
      <c r="Q481" s="4">
        <f t="shared" ca="1" si="77"/>
        <v>0.81438534096190796</v>
      </c>
      <c r="R481" s="4">
        <f t="shared" ca="1" si="78"/>
        <v>0.56431656915584549</v>
      </c>
      <c r="S481" s="4">
        <f ca="1">$B$1*Q481*$B$2</f>
        <v>32.57541363847632</v>
      </c>
      <c r="T481" s="4">
        <f ca="1">$B$1*R481*$B$2</f>
        <v>22.572662766233819</v>
      </c>
      <c r="U481" s="7">
        <f t="shared" ca="1" si="79"/>
        <v>55.148076404710139</v>
      </c>
    </row>
    <row r="482" spans="2:21" x14ac:dyDescent="0.3">
      <c r="B482" s="13">
        <f t="shared" ca="1" si="70"/>
        <v>0.95812082116947606</v>
      </c>
      <c r="C482" s="14">
        <f t="shared" ca="1" si="70"/>
        <v>0.65416721685025614</v>
      </c>
      <c r="D482" s="14">
        <f t="shared" ca="1" si="71"/>
        <v>1.7292835591254812</v>
      </c>
      <c r="E482" s="14">
        <f t="shared" ca="1" si="72"/>
        <v>0.39659577819965175</v>
      </c>
      <c r="F482" s="14">
        <f t="shared" ca="1" si="73"/>
        <v>1.7292272950736485</v>
      </c>
      <c r="G482" s="14">
        <f t="shared" ca="1" si="74"/>
        <v>0.95812082116947606</v>
      </c>
      <c r="H482" s="15">
        <f t="shared" ca="1" si="75"/>
        <v>0.65416721685025614</v>
      </c>
      <c r="I482" s="14">
        <f ca="1">IF(G482&lt;0.05,1,0)*$B$1*$B$2</f>
        <v>0</v>
      </c>
      <c r="J482" s="14">
        <f ca="1">IF(H482&lt;0.05,1,0)*$B$1*$B$2</f>
        <v>0</v>
      </c>
      <c r="K482" s="15">
        <f t="shared" ca="1" si="76"/>
        <v>0</v>
      </c>
      <c r="P482" s="3">
        <v>478</v>
      </c>
      <c r="Q482" s="4">
        <f t="shared" ca="1" si="77"/>
        <v>0.95812082116947606</v>
      </c>
      <c r="R482" s="4">
        <f t="shared" ca="1" si="78"/>
        <v>0.65416721685025614</v>
      </c>
      <c r="S482" s="4">
        <f ca="1">$B$1*Q482*$B$2</f>
        <v>38.324832846779046</v>
      </c>
      <c r="T482" s="4">
        <f ca="1">$B$1*R482*$B$2</f>
        <v>26.166688674010246</v>
      </c>
      <c r="U482" s="7">
        <f t="shared" ca="1" si="79"/>
        <v>64.491521520789291</v>
      </c>
    </row>
    <row r="483" spans="2:21" x14ac:dyDescent="0.3">
      <c r="B483" s="13">
        <f t="shared" ca="1" si="70"/>
        <v>0.70387139934744636</v>
      </c>
      <c r="C483" s="14">
        <f t="shared" ca="1" si="70"/>
        <v>0.95991395975219151</v>
      </c>
      <c r="D483" s="14">
        <f t="shared" ca="1" si="71"/>
        <v>0.53556792517791629</v>
      </c>
      <c r="E483" s="14">
        <f t="shared" ca="1" si="72"/>
        <v>1.7496884922031462</v>
      </c>
      <c r="F483" s="14">
        <f t="shared" ca="1" si="73"/>
        <v>1.2446826646790814</v>
      </c>
      <c r="G483" s="14">
        <f t="shared" ca="1" si="74"/>
        <v>0.70387139934744647</v>
      </c>
      <c r="H483" s="15">
        <f t="shared" ca="1" si="75"/>
        <v>0.95991395975219151</v>
      </c>
      <c r="I483" s="14">
        <f ca="1">IF(G483&lt;0.05,1,0)*$B$1*$B$2</f>
        <v>0</v>
      </c>
      <c r="J483" s="14">
        <f ca="1">IF(H483&lt;0.05,1,0)*$B$1*$B$2</f>
        <v>0</v>
      </c>
      <c r="K483" s="15">
        <f t="shared" ca="1" si="76"/>
        <v>0</v>
      </c>
      <c r="P483" s="3">
        <v>479</v>
      </c>
      <c r="Q483" s="4">
        <f t="shared" ca="1" si="77"/>
        <v>0.70387139934744647</v>
      </c>
      <c r="R483" s="4">
        <f t="shared" ca="1" si="78"/>
        <v>0.95991395975219151</v>
      </c>
      <c r="S483" s="4">
        <f ca="1">$B$1*Q483*$B$2</f>
        <v>28.154855973897863</v>
      </c>
      <c r="T483" s="4">
        <f ca="1">$B$1*R483*$B$2</f>
        <v>38.396558390087662</v>
      </c>
      <c r="U483" s="7">
        <f t="shared" ca="1" si="79"/>
        <v>66.551414363985529</v>
      </c>
    </row>
    <row r="484" spans="2:21" x14ac:dyDescent="0.3">
      <c r="B484" s="13">
        <f t="shared" ca="1" si="70"/>
        <v>0.15107757416826806</v>
      </c>
      <c r="C484" s="14">
        <f t="shared" ca="1" si="70"/>
        <v>0.68695120563052348</v>
      </c>
      <c r="D484" s="14">
        <f t="shared" ca="1" si="71"/>
        <v>-1.0318227743225177</v>
      </c>
      <c r="E484" s="14">
        <f t="shared" ca="1" si="72"/>
        <v>0.48722683729245142</v>
      </c>
      <c r="F484" s="14">
        <f t="shared" ca="1" si="73"/>
        <v>-0.71626324225639304</v>
      </c>
      <c r="G484" s="14">
        <f t="shared" ca="1" si="74"/>
        <v>0.151077574168268</v>
      </c>
      <c r="H484" s="15">
        <f t="shared" ca="1" si="75"/>
        <v>0.68695120563052359</v>
      </c>
      <c r="I484" s="14">
        <f ca="1">IF(G484&lt;0.05,1,0)*$B$1*$B$2</f>
        <v>0</v>
      </c>
      <c r="J484" s="14">
        <f ca="1">IF(H484&lt;0.05,1,0)*$B$1*$B$2</f>
        <v>0</v>
      </c>
      <c r="K484" s="15">
        <f t="shared" ca="1" si="76"/>
        <v>0</v>
      </c>
      <c r="P484" s="3">
        <v>480</v>
      </c>
      <c r="Q484" s="4">
        <f t="shared" ca="1" si="77"/>
        <v>0.151077574168268</v>
      </c>
      <c r="R484" s="4">
        <f t="shared" ca="1" si="78"/>
        <v>0.68695120563052359</v>
      </c>
      <c r="S484" s="4">
        <f ca="1">$B$1*Q484*$B$2</f>
        <v>6.0431029667307206</v>
      </c>
      <c r="T484" s="4">
        <f ca="1">$B$1*R484*$B$2</f>
        <v>27.478048225220945</v>
      </c>
      <c r="U484" s="7">
        <f t="shared" ca="1" si="79"/>
        <v>33.521151191951667</v>
      </c>
    </row>
    <row r="485" spans="2:21" x14ac:dyDescent="0.3">
      <c r="B485" s="13">
        <f t="shared" ca="1" si="70"/>
        <v>0.1005313058259808</v>
      </c>
      <c r="C485" s="14">
        <f t="shared" ca="1" si="70"/>
        <v>0.28488376113462055</v>
      </c>
      <c r="D485" s="14">
        <f t="shared" ca="1" si="71"/>
        <v>-1.2785300062615392</v>
      </c>
      <c r="E485" s="14">
        <f t="shared" ca="1" si="72"/>
        <v>-0.56839391363510039</v>
      </c>
      <c r="F485" s="14">
        <f t="shared" ca="1" si="73"/>
        <v>-1.3984341686012842</v>
      </c>
      <c r="G485" s="14">
        <f t="shared" ca="1" si="74"/>
        <v>0.10053130582598091</v>
      </c>
      <c r="H485" s="15">
        <f t="shared" ca="1" si="75"/>
        <v>0.28488376113462044</v>
      </c>
      <c r="I485" s="14">
        <f ca="1">IF(G485&lt;0.05,1,0)*$B$1*$B$2</f>
        <v>0</v>
      </c>
      <c r="J485" s="14">
        <f ca="1">IF(H485&lt;0.05,1,0)*$B$1*$B$2</f>
        <v>0</v>
      </c>
      <c r="K485" s="15">
        <f t="shared" ca="1" si="76"/>
        <v>0</v>
      </c>
      <c r="P485" s="3">
        <v>481</v>
      </c>
      <c r="Q485" s="4">
        <f t="shared" ca="1" si="77"/>
        <v>0.10053130582598091</v>
      </c>
      <c r="R485" s="4">
        <f t="shared" ca="1" si="78"/>
        <v>0.28488376113462044</v>
      </c>
      <c r="S485" s="4">
        <f ca="1">$B$1*Q485*$B$2</f>
        <v>4.0212522330392364</v>
      </c>
      <c r="T485" s="4">
        <f ca="1">$B$1*R485*$B$2</f>
        <v>11.395350445384819</v>
      </c>
      <c r="U485" s="7">
        <f t="shared" ca="1" si="79"/>
        <v>15.416602678424056</v>
      </c>
    </row>
    <row r="486" spans="2:21" x14ac:dyDescent="0.3">
      <c r="B486" s="13">
        <f t="shared" ca="1" si="70"/>
        <v>0.88414752629227211</v>
      </c>
      <c r="C486" s="14">
        <f t="shared" ca="1" si="70"/>
        <v>0.28814437842796659</v>
      </c>
      <c r="D486" s="14">
        <f t="shared" ca="1" si="71"/>
        <v>1.1959785047983325</v>
      </c>
      <c r="E486" s="14">
        <f t="shared" ca="1" si="72"/>
        <v>-0.55881386808494682</v>
      </c>
      <c r="F486" s="14">
        <f t="shared" ca="1" si="73"/>
        <v>0.83279933639536408</v>
      </c>
      <c r="G486" s="14">
        <f t="shared" ca="1" si="74"/>
        <v>0.88414752629227222</v>
      </c>
      <c r="H486" s="15">
        <f t="shared" ca="1" si="75"/>
        <v>0.28814437842796653</v>
      </c>
      <c r="I486" s="14">
        <f ca="1">IF(G486&lt;0.05,1,0)*$B$1*$B$2</f>
        <v>0</v>
      </c>
      <c r="J486" s="14">
        <f ca="1">IF(H486&lt;0.05,1,0)*$B$1*$B$2</f>
        <v>0</v>
      </c>
      <c r="K486" s="15">
        <f t="shared" ca="1" si="76"/>
        <v>0</v>
      </c>
      <c r="P486" s="3">
        <v>482</v>
      </c>
      <c r="Q486" s="4">
        <f t="shared" ca="1" si="77"/>
        <v>0.88414752629227222</v>
      </c>
      <c r="R486" s="4">
        <f t="shared" ca="1" si="78"/>
        <v>0.28814437842796653</v>
      </c>
      <c r="S486" s="4">
        <f ca="1">$B$1*Q486*$B$2</f>
        <v>35.365901051690891</v>
      </c>
      <c r="T486" s="4">
        <f ca="1">$B$1*R486*$B$2</f>
        <v>11.525775137118663</v>
      </c>
      <c r="U486" s="7">
        <f t="shared" ca="1" si="79"/>
        <v>46.891676188809555</v>
      </c>
    </row>
    <row r="487" spans="2:21" x14ac:dyDescent="0.3">
      <c r="B487" s="13">
        <f t="shared" ca="1" si="70"/>
        <v>0.5590850073785123</v>
      </c>
      <c r="C487" s="14">
        <f t="shared" ca="1" si="70"/>
        <v>0.33216868578718484</v>
      </c>
      <c r="D487" s="14">
        <f t="shared" ca="1" si="71"/>
        <v>0.14864978676754273</v>
      </c>
      <c r="E487" s="14">
        <f t="shared" ca="1" si="72"/>
        <v>-0.43393261947026052</v>
      </c>
      <c r="F487" s="14">
        <f t="shared" ca="1" si="73"/>
        <v>-5.5362035566887069E-2</v>
      </c>
      <c r="G487" s="14">
        <f t="shared" ca="1" si="74"/>
        <v>0.5590850073785123</v>
      </c>
      <c r="H487" s="15">
        <f t="shared" ca="1" si="75"/>
        <v>0.33216868578718484</v>
      </c>
      <c r="I487" s="14">
        <f ca="1">IF(G487&lt;0.05,1,0)*$B$1*$B$2</f>
        <v>0</v>
      </c>
      <c r="J487" s="14">
        <f ca="1">IF(H487&lt;0.05,1,0)*$B$1*$B$2</f>
        <v>0</v>
      </c>
      <c r="K487" s="15">
        <f t="shared" ca="1" si="76"/>
        <v>0</v>
      </c>
      <c r="P487" s="3">
        <v>483</v>
      </c>
      <c r="Q487" s="4">
        <f t="shared" ca="1" si="77"/>
        <v>0.5590850073785123</v>
      </c>
      <c r="R487" s="4">
        <f t="shared" ca="1" si="78"/>
        <v>0.33216868578718484</v>
      </c>
      <c r="S487" s="4">
        <f ca="1">$B$1*Q487*$B$2</f>
        <v>22.363400295140494</v>
      </c>
      <c r="T487" s="4">
        <f ca="1">$B$1*R487*$B$2</f>
        <v>13.286747431487393</v>
      </c>
      <c r="U487" s="7">
        <f t="shared" ca="1" si="79"/>
        <v>35.650147726627885</v>
      </c>
    </row>
    <row r="488" spans="2:21" x14ac:dyDescent="0.3">
      <c r="B488" s="13">
        <f t="shared" ca="1" si="70"/>
        <v>0.75477605307999174</v>
      </c>
      <c r="C488" s="14">
        <f t="shared" ca="1" si="70"/>
        <v>0.56112406294297901</v>
      </c>
      <c r="D488" s="14">
        <f t="shared" ca="1" si="71"/>
        <v>0.68959661950878726</v>
      </c>
      <c r="E488" s="14">
        <f t="shared" ca="1" si="72"/>
        <v>0.1538197332649085</v>
      </c>
      <c r="F488" s="14">
        <f t="shared" ca="1" si="73"/>
        <v>0.68768542484032036</v>
      </c>
      <c r="G488" s="14">
        <f t="shared" ca="1" si="74"/>
        <v>0.75477605307999185</v>
      </c>
      <c r="H488" s="15">
        <f t="shared" ca="1" si="75"/>
        <v>0.56112406294297901</v>
      </c>
      <c r="I488" s="14">
        <f ca="1">IF(G488&lt;0.05,1,0)*$B$1*$B$2</f>
        <v>0</v>
      </c>
      <c r="J488" s="14">
        <f ca="1">IF(H488&lt;0.05,1,0)*$B$1*$B$2</f>
        <v>0</v>
      </c>
      <c r="K488" s="15">
        <f t="shared" ca="1" si="76"/>
        <v>0</v>
      </c>
      <c r="P488" s="3">
        <v>484</v>
      </c>
      <c r="Q488" s="4">
        <f t="shared" ca="1" si="77"/>
        <v>0.75477605307999185</v>
      </c>
      <c r="R488" s="4">
        <f t="shared" ca="1" si="78"/>
        <v>0.56112406294297901</v>
      </c>
      <c r="S488" s="4">
        <f ca="1">$B$1*Q488*$B$2</f>
        <v>30.191042123199676</v>
      </c>
      <c r="T488" s="4">
        <f ca="1">$B$1*R488*$B$2</f>
        <v>22.444962517719162</v>
      </c>
      <c r="U488" s="7">
        <f t="shared" ca="1" si="79"/>
        <v>52.636004640918841</v>
      </c>
    </row>
    <row r="489" spans="2:21" x14ac:dyDescent="0.3">
      <c r="B489" s="13">
        <f t="shared" ca="1" si="70"/>
        <v>0.37044817706938571</v>
      </c>
      <c r="C489" s="14">
        <f t="shared" ca="1" si="70"/>
        <v>0.4941379562062661</v>
      </c>
      <c r="D489" s="14">
        <f t="shared" ca="1" si="71"/>
        <v>-0.33066657293068097</v>
      </c>
      <c r="E489" s="14">
        <f t="shared" ca="1" si="72"/>
        <v>-1.4694493529146936E-2</v>
      </c>
      <c r="F489" s="14">
        <f t="shared" ca="1" si="73"/>
        <v>-0.3040050968696193</v>
      </c>
      <c r="G489" s="14">
        <f t="shared" ca="1" si="74"/>
        <v>0.37044817706938571</v>
      </c>
      <c r="H489" s="15">
        <f t="shared" ca="1" si="75"/>
        <v>0.4941379562062661</v>
      </c>
      <c r="I489" s="14">
        <f ca="1">IF(G489&lt;0.05,1,0)*$B$1*$B$2</f>
        <v>0</v>
      </c>
      <c r="J489" s="14">
        <f ca="1">IF(H489&lt;0.05,1,0)*$B$1*$B$2</f>
        <v>0</v>
      </c>
      <c r="K489" s="15">
        <f t="shared" ca="1" si="76"/>
        <v>0</v>
      </c>
      <c r="P489" s="3">
        <v>485</v>
      </c>
      <c r="Q489" s="4">
        <f t="shared" ca="1" si="77"/>
        <v>0.37044817706938571</v>
      </c>
      <c r="R489" s="4">
        <f t="shared" ca="1" si="78"/>
        <v>0.4941379562062661</v>
      </c>
      <c r="S489" s="4">
        <f ca="1">$B$1*Q489*$B$2</f>
        <v>14.81792708277543</v>
      </c>
      <c r="T489" s="4">
        <f ca="1">$B$1*R489*$B$2</f>
        <v>19.765518248250643</v>
      </c>
      <c r="U489" s="7">
        <f t="shared" ca="1" si="79"/>
        <v>34.58344533102607</v>
      </c>
    </row>
    <row r="490" spans="2:21" x14ac:dyDescent="0.3">
      <c r="B490" s="13">
        <f t="shared" ca="1" si="70"/>
        <v>0.14762845096898625</v>
      </c>
      <c r="C490" s="14">
        <f t="shared" ca="1" si="70"/>
        <v>0.97452196859340989</v>
      </c>
      <c r="D490" s="14">
        <f t="shared" ca="1" si="71"/>
        <v>-1.0466589520469134</v>
      </c>
      <c r="E490" s="14">
        <f t="shared" ca="1" si="72"/>
        <v>1.9518496058679962</v>
      </c>
      <c r="F490" s="14">
        <f t="shared" ca="1" si="73"/>
        <v>-9.1201538345393462E-2</v>
      </c>
      <c r="G490" s="14">
        <f t="shared" ca="1" si="74"/>
        <v>0.14762845096898605</v>
      </c>
      <c r="H490" s="15">
        <f t="shared" ca="1" si="75"/>
        <v>0.97452196859340989</v>
      </c>
      <c r="I490" s="14">
        <f ca="1">IF(G490&lt;0.05,1,0)*$B$1*$B$2</f>
        <v>0</v>
      </c>
      <c r="J490" s="14">
        <f ca="1">IF(H490&lt;0.05,1,0)*$B$1*$B$2</f>
        <v>0</v>
      </c>
      <c r="K490" s="15">
        <f t="shared" ca="1" si="76"/>
        <v>0</v>
      </c>
      <c r="P490" s="3">
        <v>486</v>
      </c>
      <c r="Q490" s="4">
        <f t="shared" ca="1" si="77"/>
        <v>0.14762845096898605</v>
      </c>
      <c r="R490" s="4">
        <f t="shared" ca="1" si="78"/>
        <v>0.97452196859340989</v>
      </c>
      <c r="S490" s="4">
        <f ca="1">$B$1*Q490*$B$2</f>
        <v>5.9051380387594428</v>
      </c>
      <c r="T490" s="4">
        <f ca="1">$B$1*R490*$B$2</f>
        <v>38.980878743736397</v>
      </c>
      <c r="U490" s="7">
        <f t="shared" ca="1" si="79"/>
        <v>44.886016782495844</v>
      </c>
    </row>
    <row r="491" spans="2:21" x14ac:dyDescent="0.3">
      <c r="B491" s="13">
        <f t="shared" ca="1" si="70"/>
        <v>0.64607269859165783</v>
      </c>
      <c r="C491" s="14">
        <f t="shared" ca="1" si="70"/>
        <v>0.35920828671393434</v>
      </c>
      <c r="D491" s="14">
        <f t="shared" ca="1" si="71"/>
        <v>0.37473897538818568</v>
      </c>
      <c r="E491" s="14">
        <f t="shared" ca="1" si="72"/>
        <v>-0.36057581248196613</v>
      </c>
      <c r="F491" s="14">
        <f t="shared" ca="1" si="73"/>
        <v>0.18009372503997093</v>
      </c>
      <c r="G491" s="14">
        <f t="shared" ca="1" si="74"/>
        <v>0.64607269859165783</v>
      </c>
      <c r="H491" s="15">
        <f t="shared" ca="1" si="75"/>
        <v>0.35920828671393429</v>
      </c>
      <c r="I491" s="14">
        <f ca="1">IF(G491&lt;0.05,1,0)*$B$1*$B$2</f>
        <v>0</v>
      </c>
      <c r="J491" s="14">
        <f ca="1">IF(H491&lt;0.05,1,0)*$B$1*$B$2</f>
        <v>0</v>
      </c>
      <c r="K491" s="15">
        <f t="shared" ca="1" si="76"/>
        <v>0</v>
      </c>
      <c r="P491" s="3">
        <v>487</v>
      </c>
      <c r="Q491" s="4">
        <f t="shared" ca="1" si="77"/>
        <v>0.64607269859165783</v>
      </c>
      <c r="R491" s="4">
        <f t="shared" ca="1" si="78"/>
        <v>0.35920828671393429</v>
      </c>
      <c r="S491" s="4">
        <f ca="1">$B$1*Q491*$B$2</f>
        <v>25.842907943666315</v>
      </c>
      <c r="T491" s="4">
        <f ca="1">$B$1*R491*$B$2</f>
        <v>14.368331468557372</v>
      </c>
      <c r="U491" s="7">
        <f t="shared" ca="1" si="79"/>
        <v>40.211239412223691</v>
      </c>
    </row>
    <row r="492" spans="2:21" x14ac:dyDescent="0.3">
      <c r="B492" s="13">
        <f t="shared" ca="1" si="70"/>
        <v>0.74903311622395741</v>
      </c>
      <c r="C492" s="14">
        <f t="shared" ca="1" si="70"/>
        <v>0.65688252150238058</v>
      </c>
      <c r="D492" s="14">
        <f t="shared" ca="1" si="71"/>
        <v>0.67145021058544052</v>
      </c>
      <c r="E492" s="14">
        <f t="shared" ca="1" si="72"/>
        <v>0.40396975933202839</v>
      </c>
      <c r="F492" s="14">
        <f t="shared" ca="1" si="73"/>
        <v>0.78039152524437227</v>
      </c>
      <c r="G492" s="14">
        <f t="shared" ca="1" si="74"/>
        <v>0.74903311622395752</v>
      </c>
      <c r="H492" s="15">
        <f t="shared" ca="1" si="75"/>
        <v>0.65688252150238058</v>
      </c>
      <c r="I492" s="14">
        <f ca="1">IF(G492&lt;0.05,1,0)*$B$1*$B$2</f>
        <v>0</v>
      </c>
      <c r="J492" s="14">
        <f ca="1">IF(H492&lt;0.05,1,0)*$B$1*$B$2</f>
        <v>0</v>
      </c>
      <c r="K492" s="15">
        <f t="shared" ca="1" si="76"/>
        <v>0</v>
      </c>
      <c r="P492" s="3">
        <v>488</v>
      </c>
      <c r="Q492" s="4">
        <f t="shared" ca="1" si="77"/>
        <v>0.74903311622395752</v>
      </c>
      <c r="R492" s="4">
        <f t="shared" ca="1" si="78"/>
        <v>0.65688252150238058</v>
      </c>
      <c r="S492" s="4">
        <f ca="1">$B$1*Q492*$B$2</f>
        <v>29.9613246489583</v>
      </c>
      <c r="T492" s="4">
        <f ca="1">$B$1*R492*$B$2</f>
        <v>26.275300860095225</v>
      </c>
      <c r="U492" s="7">
        <f t="shared" ca="1" si="79"/>
        <v>56.236625509053525</v>
      </c>
    </row>
    <row r="493" spans="2:21" x14ac:dyDescent="0.3">
      <c r="B493" s="13">
        <f t="shared" ca="1" si="70"/>
        <v>3.9894693903760325E-3</v>
      </c>
      <c r="C493" s="14">
        <f t="shared" ca="1" si="70"/>
        <v>0.89650357901410282</v>
      </c>
      <c r="D493" s="14">
        <f t="shared" ca="1" si="71"/>
        <v>-2.6529597370600375</v>
      </c>
      <c r="E493" s="14">
        <f t="shared" ca="1" si="72"/>
        <v>1.2618775762420193</v>
      </c>
      <c r="F493" s="14">
        <f t="shared" ca="1" si="73"/>
        <v>-1.8376240799581334</v>
      </c>
      <c r="G493" s="14">
        <f t="shared" ca="1" si="74"/>
        <v>3.9894693903760386E-3</v>
      </c>
      <c r="H493" s="15">
        <f t="shared" ca="1" si="75"/>
        <v>0.89650357901410294</v>
      </c>
      <c r="I493" s="14">
        <f ca="1">IF(G493&lt;0.05,1,0)*$B$1*$B$2</f>
        <v>40</v>
      </c>
      <c r="J493" s="14">
        <f ca="1">IF(H493&lt;0.05,1,0)*$B$1*$B$2</f>
        <v>0</v>
      </c>
      <c r="K493" s="15">
        <f t="shared" ca="1" si="76"/>
        <v>40</v>
      </c>
      <c r="P493" s="3">
        <v>489</v>
      </c>
      <c r="Q493" s="4">
        <f t="shared" ca="1" si="77"/>
        <v>3.9894693903760386E-3</v>
      </c>
      <c r="R493" s="4">
        <f t="shared" ca="1" si="78"/>
        <v>0.89650357901410294</v>
      </c>
      <c r="S493" s="4">
        <f ca="1">$B$1*Q493*$B$2</f>
        <v>0.15957877561504155</v>
      </c>
      <c r="T493" s="4">
        <f ca="1">$B$1*R493*$B$2</f>
        <v>35.860143160564114</v>
      </c>
      <c r="U493" s="7">
        <f t="shared" ca="1" si="79"/>
        <v>36.019721936179153</v>
      </c>
    </row>
    <row r="494" spans="2:21" x14ac:dyDescent="0.3">
      <c r="B494" s="13">
        <f t="shared" ca="1" si="70"/>
        <v>0.31182655001463355</v>
      </c>
      <c r="C494" s="14">
        <f t="shared" ca="1" si="70"/>
        <v>0.37925595570824089</v>
      </c>
      <c r="D494" s="14">
        <f t="shared" ca="1" si="71"/>
        <v>-0.4906795676709157</v>
      </c>
      <c r="E494" s="14">
        <f t="shared" ca="1" si="72"/>
        <v>-0.30743549891156408</v>
      </c>
      <c r="F494" s="14">
        <f t="shared" ca="1" si="73"/>
        <v>-0.57561963804507577</v>
      </c>
      <c r="G494" s="14">
        <f t="shared" ca="1" si="74"/>
        <v>0.31182655001463355</v>
      </c>
      <c r="H494" s="15">
        <f t="shared" ca="1" si="75"/>
        <v>0.37925595570824083</v>
      </c>
      <c r="I494" s="14">
        <f ca="1">IF(G494&lt;0.05,1,0)*$B$1*$B$2</f>
        <v>0</v>
      </c>
      <c r="J494" s="14">
        <f ca="1">IF(H494&lt;0.05,1,0)*$B$1*$B$2</f>
        <v>0</v>
      </c>
      <c r="K494" s="15">
        <f t="shared" ca="1" si="76"/>
        <v>0</v>
      </c>
      <c r="P494" s="3">
        <v>490</v>
      </c>
      <c r="Q494" s="4">
        <f t="shared" ca="1" si="77"/>
        <v>0.31182655001463355</v>
      </c>
      <c r="R494" s="4">
        <f t="shared" ca="1" si="78"/>
        <v>0.37925595570824083</v>
      </c>
      <c r="S494" s="4">
        <f ca="1">$B$1*Q494*$B$2</f>
        <v>12.473062000585344</v>
      </c>
      <c r="T494" s="4">
        <f ca="1">$B$1*R494*$B$2</f>
        <v>15.170238228329636</v>
      </c>
      <c r="U494" s="7">
        <f t="shared" ca="1" si="79"/>
        <v>27.643300228914981</v>
      </c>
    </row>
    <row r="495" spans="2:21" x14ac:dyDescent="0.3">
      <c r="B495" s="13">
        <f t="shared" ca="1" si="70"/>
        <v>1.6511322010053786E-2</v>
      </c>
      <c r="C495" s="14">
        <f t="shared" ca="1" si="70"/>
        <v>0.1722709511878765</v>
      </c>
      <c r="D495" s="14">
        <f t="shared" ca="1" si="71"/>
        <v>-2.1318078746832305</v>
      </c>
      <c r="E495" s="14">
        <f t="shared" ca="1" si="72"/>
        <v>-0.94522914633725175</v>
      </c>
      <c r="F495" s="14">
        <f t="shared" ca="1" si="73"/>
        <v>-2.3306429199522376</v>
      </c>
      <c r="G495" s="14">
        <f t="shared" ca="1" si="74"/>
        <v>1.6511322010053807E-2</v>
      </c>
      <c r="H495" s="15">
        <f t="shared" ca="1" si="75"/>
        <v>0.17227095118787658</v>
      </c>
      <c r="I495" s="14">
        <f ca="1">IF(G495&lt;0.05,1,0)*$B$1*$B$2</f>
        <v>40</v>
      </c>
      <c r="J495" s="14">
        <f ca="1">IF(H495&lt;0.05,1,0)*$B$1*$B$2</f>
        <v>0</v>
      </c>
      <c r="K495" s="15">
        <f t="shared" ca="1" si="76"/>
        <v>40</v>
      </c>
      <c r="P495" s="3">
        <v>491</v>
      </c>
      <c r="Q495" s="4">
        <f t="shared" ca="1" si="77"/>
        <v>1.6511322010053807E-2</v>
      </c>
      <c r="R495" s="4">
        <f t="shared" ca="1" si="78"/>
        <v>0.17227095118787658</v>
      </c>
      <c r="S495" s="4">
        <f ca="1">$B$1*Q495*$B$2</f>
        <v>0.66045288040215233</v>
      </c>
      <c r="T495" s="4">
        <f ca="1">$B$1*R495*$B$2</f>
        <v>6.8908380475150643</v>
      </c>
      <c r="U495" s="7">
        <f t="shared" ca="1" si="79"/>
        <v>7.5512909279172167</v>
      </c>
    </row>
    <row r="496" spans="2:21" x14ac:dyDescent="0.3">
      <c r="B496" s="13">
        <f t="shared" ca="1" si="70"/>
        <v>0.28538034306618909</v>
      </c>
      <c r="C496" s="14">
        <f t="shared" ca="1" si="70"/>
        <v>0.7633035348255961</v>
      </c>
      <c r="D496" s="14">
        <f t="shared" ca="1" si="71"/>
        <v>-0.566931552577839</v>
      </c>
      <c r="E496" s="14">
        <f t="shared" ca="1" si="72"/>
        <v>0.71696947725434368</v>
      </c>
      <c r="F496" s="14">
        <f t="shared" ca="1" si="73"/>
        <v>-0.19771864762456848</v>
      </c>
      <c r="G496" s="14">
        <f t="shared" ca="1" si="74"/>
        <v>0.28538034306618909</v>
      </c>
      <c r="H496" s="15">
        <f t="shared" ca="1" si="75"/>
        <v>0.76330353482559621</v>
      </c>
      <c r="I496" s="14">
        <f ca="1">IF(G496&lt;0.05,1,0)*$B$1*$B$2</f>
        <v>0</v>
      </c>
      <c r="J496" s="14">
        <f ca="1">IF(H496&lt;0.05,1,0)*$B$1*$B$2</f>
        <v>0</v>
      </c>
      <c r="K496" s="15">
        <f t="shared" ca="1" si="76"/>
        <v>0</v>
      </c>
      <c r="P496" s="3">
        <v>492</v>
      </c>
      <c r="Q496" s="4">
        <f t="shared" ca="1" si="77"/>
        <v>0.28538034306618909</v>
      </c>
      <c r="R496" s="4">
        <f t="shared" ca="1" si="78"/>
        <v>0.76330353482559621</v>
      </c>
      <c r="S496" s="4">
        <f ca="1">$B$1*Q496*$B$2</f>
        <v>11.415213722647565</v>
      </c>
      <c r="T496" s="4">
        <f ca="1">$B$1*R496*$B$2</f>
        <v>30.532141393023849</v>
      </c>
      <c r="U496" s="7">
        <f t="shared" ca="1" si="79"/>
        <v>41.947355115671414</v>
      </c>
    </row>
    <row r="497" spans="2:21" x14ac:dyDescent="0.3">
      <c r="B497" s="13">
        <f t="shared" ca="1" si="70"/>
        <v>4.8244731243261785E-2</v>
      </c>
      <c r="C497" s="14">
        <f t="shared" ca="1" si="70"/>
        <v>0.42347910700145863</v>
      </c>
      <c r="D497" s="14">
        <f t="shared" ca="1" si="71"/>
        <v>-1.6621162773221898</v>
      </c>
      <c r="E497" s="14">
        <f t="shared" ca="1" si="72"/>
        <v>-0.19300096287390264</v>
      </c>
      <c r="F497" s="14">
        <f t="shared" ca="1" si="73"/>
        <v>-1.5800318189073095</v>
      </c>
      <c r="G497" s="14">
        <f t="shared" ca="1" si="74"/>
        <v>4.8244731243261806E-2</v>
      </c>
      <c r="H497" s="15">
        <f t="shared" ca="1" si="75"/>
        <v>0.42347910700145863</v>
      </c>
      <c r="I497" s="14">
        <f ca="1">IF(G497&lt;0.05,1,0)*$B$1*$B$2</f>
        <v>40</v>
      </c>
      <c r="J497" s="14">
        <f ca="1">IF(H497&lt;0.05,1,0)*$B$1*$B$2</f>
        <v>0</v>
      </c>
      <c r="K497" s="15">
        <f t="shared" ca="1" si="76"/>
        <v>40</v>
      </c>
      <c r="P497" s="3">
        <v>493</v>
      </c>
      <c r="Q497" s="4">
        <f t="shared" ca="1" si="77"/>
        <v>4.8244731243261806E-2</v>
      </c>
      <c r="R497" s="4">
        <f t="shared" ca="1" si="78"/>
        <v>0.42347910700145863</v>
      </c>
      <c r="S497" s="4">
        <f ca="1">$B$1*Q497*$B$2</f>
        <v>1.9297892497304723</v>
      </c>
      <c r="T497" s="4">
        <f ca="1">$B$1*R497*$B$2</f>
        <v>16.939164280058346</v>
      </c>
      <c r="U497" s="7">
        <f t="shared" ca="1" si="79"/>
        <v>18.868953529788818</v>
      </c>
    </row>
    <row r="498" spans="2:21" x14ac:dyDescent="0.3">
      <c r="B498" s="13">
        <f t="shared" ca="1" si="70"/>
        <v>0.72509730797878935</v>
      </c>
      <c r="C498" s="14">
        <f t="shared" ca="1" si="70"/>
        <v>0.89692621429676889</v>
      </c>
      <c r="D498" s="14">
        <f t="shared" ca="1" si="71"/>
        <v>0.59805177920227526</v>
      </c>
      <c r="E498" s="14">
        <f t="shared" ca="1" si="72"/>
        <v>1.2642297619719183</v>
      </c>
      <c r="F498" s="14">
        <f t="shared" ca="1" si="73"/>
        <v>1.0893115786672549</v>
      </c>
      <c r="G498" s="14">
        <f t="shared" ca="1" si="74"/>
        <v>0.72509730797878946</v>
      </c>
      <c r="H498" s="15">
        <f t="shared" ca="1" si="75"/>
        <v>0.89692621429676889</v>
      </c>
      <c r="I498" s="14">
        <f ca="1">IF(G498&lt;0.05,1,0)*$B$1*$B$2</f>
        <v>0</v>
      </c>
      <c r="J498" s="14">
        <f ca="1">IF(H498&lt;0.05,1,0)*$B$1*$B$2</f>
        <v>0</v>
      </c>
      <c r="K498" s="15">
        <f t="shared" ca="1" si="76"/>
        <v>0</v>
      </c>
      <c r="P498" s="3">
        <v>494</v>
      </c>
      <c r="Q498" s="4">
        <f t="shared" ca="1" si="77"/>
        <v>0.72509730797878946</v>
      </c>
      <c r="R498" s="4">
        <f t="shared" ca="1" si="78"/>
        <v>0.89692621429676889</v>
      </c>
      <c r="S498" s="4">
        <f ca="1">$B$1*Q498*$B$2</f>
        <v>29.003892319151579</v>
      </c>
      <c r="T498" s="4">
        <f ca="1">$B$1*R498*$B$2</f>
        <v>35.877048571870759</v>
      </c>
      <c r="U498" s="7">
        <f t="shared" ca="1" si="79"/>
        <v>64.880940891022334</v>
      </c>
    </row>
    <row r="499" spans="2:21" x14ac:dyDescent="0.3">
      <c r="B499" s="13">
        <f t="shared" ca="1" si="70"/>
        <v>0.90370608810923359</v>
      </c>
      <c r="C499" s="14">
        <f t="shared" ca="1" si="70"/>
        <v>0.82217037847303864</v>
      </c>
      <c r="D499" s="14">
        <f t="shared" ca="1" si="71"/>
        <v>1.3029617403914473</v>
      </c>
      <c r="E499" s="14">
        <f t="shared" ca="1" si="72"/>
        <v>0.9236679130070452</v>
      </c>
      <c r="F499" s="14">
        <f t="shared" ca="1" si="73"/>
        <v>1.5752830753711855</v>
      </c>
      <c r="G499" s="14">
        <f t="shared" ca="1" si="74"/>
        <v>0.9037060881092337</v>
      </c>
      <c r="H499" s="15">
        <f t="shared" ca="1" si="75"/>
        <v>0.8221703784730382</v>
      </c>
      <c r="I499" s="14">
        <f ca="1">IF(G499&lt;0.05,1,0)*$B$1*$B$2</f>
        <v>0</v>
      </c>
      <c r="J499" s="14">
        <f ca="1">IF(H499&lt;0.05,1,0)*$B$1*$B$2</f>
        <v>0</v>
      </c>
      <c r="K499" s="15">
        <f t="shared" ca="1" si="76"/>
        <v>0</v>
      </c>
      <c r="P499" s="3">
        <v>495</v>
      </c>
      <c r="Q499" s="4">
        <f t="shared" ca="1" si="77"/>
        <v>0.9037060881092337</v>
      </c>
      <c r="R499" s="4">
        <f t="shared" ca="1" si="78"/>
        <v>0.8221703784730382</v>
      </c>
      <c r="S499" s="4">
        <f ca="1">$B$1*Q499*$B$2</f>
        <v>36.148243524369349</v>
      </c>
      <c r="T499" s="4">
        <f ca="1">$B$1*R499*$B$2</f>
        <v>32.886815138921527</v>
      </c>
      <c r="U499" s="7">
        <f t="shared" ca="1" si="79"/>
        <v>69.035058663290869</v>
      </c>
    </row>
    <row r="500" spans="2:21" x14ac:dyDescent="0.3">
      <c r="B500" s="13">
        <f t="shared" ca="1" si="70"/>
        <v>0.97064208901284577</v>
      </c>
      <c r="C500" s="14">
        <f t="shared" ca="1" si="70"/>
        <v>0.60672128947328396</v>
      </c>
      <c r="D500" s="14">
        <f t="shared" ca="1" si="71"/>
        <v>1.8903151635334778</v>
      </c>
      <c r="E500" s="14">
        <f t="shared" ca="1" si="72"/>
        <v>0.27078366898059114</v>
      </c>
      <c r="F500" s="14">
        <f t="shared" ca="1" si="73"/>
        <v>1.8193155120448867</v>
      </c>
      <c r="G500" s="14">
        <f t="shared" ca="1" si="74"/>
        <v>0.97064208901284577</v>
      </c>
      <c r="H500" s="15">
        <f t="shared" ca="1" si="75"/>
        <v>0.60672128947328408</v>
      </c>
      <c r="I500" s="14">
        <f ca="1">IF(G500&lt;0.05,1,0)*$B$1*$B$2</f>
        <v>0</v>
      </c>
      <c r="J500" s="14">
        <f ca="1">IF(H500&lt;0.05,1,0)*$B$1*$B$2</f>
        <v>0</v>
      </c>
      <c r="K500" s="15">
        <f t="shared" ca="1" si="76"/>
        <v>0</v>
      </c>
      <c r="P500" s="3">
        <v>496</v>
      </c>
      <c r="Q500" s="4">
        <f t="shared" ca="1" si="77"/>
        <v>0.97064208901284577</v>
      </c>
      <c r="R500" s="4">
        <f t="shared" ca="1" si="78"/>
        <v>0.60672128947328408</v>
      </c>
      <c r="S500" s="4">
        <f ca="1">$B$1*Q500*$B$2</f>
        <v>38.825683560513831</v>
      </c>
      <c r="T500" s="4">
        <f ca="1">$B$1*R500*$B$2</f>
        <v>24.268851578931365</v>
      </c>
      <c r="U500" s="7">
        <f t="shared" ca="1" si="79"/>
        <v>63.094535139445199</v>
      </c>
    </row>
    <row r="501" spans="2:21" x14ac:dyDescent="0.3">
      <c r="B501" s="13">
        <f t="shared" ca="1" si="70"/>
        <v>0.57980440404871136</v>
      </c>
      <c r="C501" s="14">
        <f t="shared" ca="1" si="70"/>
        <v>0.37140840181907675</v>
      </c>
      <c r="D501" s="14">
        <f t="shared" ca="1" si="71"/>
        <v>0.20139312325840672</v>
      </c>
      <c r="E501" s="14">
        <f t="shared" ca="1" si="72"/>
        <v>-0.3281254610503474</v>
      </c>
      <c r="F501" s="14">
        <f t="shared" ca="1" si="73"/>
        <v>3.8227238380450501E-2</v>
      </c>
      <c r="G501" s="14">
        <f t="shared" ca="1" si="74"/>
        <v>0.57980440404871136</v>
      </c>
      <c r="H501" s="15">
        <f t="shared" ca="1" si="75"/>
        <v>0.37140840181907675</v>
      </c>
      <c r="I501" s="14">
        <f ca="1">IF(G501&lt;0.05,1,0)*$B$1*$B$2</f>
        <v>0</v>
      </c>
      <c r="J501" s="14">
        <f ca="1">IF(H501&lt;0.05,1,0)*$B$1*$B$2</f>
        <v>0</v>
      </c>
      <c r="K501" s="15">
        <f t="shared" ca="1" si="76"/>
        <v>0</v>
      </c>
      <c r="P501" s="3">
        <v>497</v>
      </c>
      <c r="Q501" s="4">
        <f t="shared" ca="1" si="77"/>
        <v>0.57980440404871136</v>
      </c>
      <c r="R501" s="4">
        <f t="shared" ca="1" si="78"/>
        <v>0.37140840181907675</v>
      </c>
      <c r="S501" s="4">
        <f ca="1">$B$1*Q501*$B$2</f>
        <v>23.192176161948456</v>
      </c>
      <c r="T501" s="4">
        <f ca="1">$B$1*R501*$B$2</f>
        <v>14.856336072763071</v>
      </c>
      <c r="U501" s="7">
        <f t="shared" ca="1" si="79"/>
        <v>38.048512234711524</v>
      </c>
    </row>
    <row r="502" spans="2:21" x14ac:dyDescent="0.3">
      <c r="B502" s="13">
        <f t="shared" ca="1" si="70"/>
        <v>0.56016858343647802</v>
      </c>
      <c r="C502" s="14">
        <f t="shared" ca="1" si="70"/>
        <v>0.49159770056932728</v>
      </c>
      <c r="D502" s="14">
        <f t="shared" ca="1" si="71"/>
        <v>0.15139664846615941</v>
      </c>
      <c r="E502" s="14">
        <f t="shared" ca="1" si="72"/>
        <v>-2.1062998654120056E-2</v>
      </c>
      <c r="F502" s="14">
        <f t="shared" ca="1" si="73"/>
        <v>0.12707583536141923</v>
      </c>
      <c r="G502" s="14">
        <f t="shared" ca="1" si="74"/>
        <v>0.56016858343647802</v>
      </c>
      <c r="H502" s="15">
        <f t="shared" ca="1" si="75"/>
        <v>0.49159770056932728</v>
      </c>
      <c r="I502" s="14">
        <f ca="1">IF(G502&lt;0.05,1,0)*$B$1*$B$2</f>
        <v>0</v>
      </c>
      <c r="J502" s="14">
        <f ca="1">IF(H502&lt;0.05,1,0)*$B$1*$B$2</f>
        <v>0</v>
      </c>
      <c r="K502" s="15">
        <f t="shared" ca="1" si="76"/>
        <v>0</v>
      </c>
      <c r="P502" s="3">
        <v>498</v>
      </c>
      <c r="Q502" s="4">
        <f t="shared" ca="1" si="77"/>
        <v>0.56016858343647802</v>
      </c>
      <c r="R502" s="4">
        <f t="shared" ca="1" si="78"/>
        <v>0.49159770056932728</v>
      </c>
      <c r="S502" s="4">
        <f ca="1">$B$1*Q502*$B$2</f>
        <v>22.406743337459123</v>
      </c>
      <c r="T502" s="4">
        <f ca="1">$B$1*R502*$B$2</f>
        <v>19.663908022773093</v>
      </c>
      <c r="U502" s="7">
        <f t="shared" ca="1" si="79"/>
        <v>42.070651360232219</v>
      </c>
    </row>
    <row r="503" spans="2:21" x14ac:dyDescent="0.3">
      <c r="B503" s="13">
        <f t="shared" ca="1" si="70"/>
        <v>0.36092859389385701</v>
      </c>
      <c r="C503" s="14">
        <f t="shared" ca="1" si="70"/>
        <v>0.70946225802210428</v>
      </c>
      <c r="D503" s="14">
        <f t="shared" ca="1" si="71"/>
        <v>-0.35597780384606759</v>
      </c>
      <c r="E503" s="14">
        <f t="shared" ca="1" si="72"/>
        <v>0.55181445309187849</v>
      </c>
      <c r="F503" s="14">
        <f t="shared" ca="1" si="73"/>
        <v>-7.9849679800194501E-2</v>
      </c>
      <c r="G503" s="14">
        <f t="shared" ca="1" si="74"/>
        <v>0.36092859389385701</v>
      </c>
      <c r="H503" s="15">
        <f t="shared" ca="1" si="75"/>
        <v>0.70946225802210428</v>
      </c>
      <c r="I503" s="14">
        <f ca="1">IF(G503&lt;0.05,1,0)*$B$1*$B$2</f>
        <v>0</v>
      </c>
      <c r="J503" s="14">
        <f ca="1">IF(H503&lt;0.05,1,0)*$B$1*$B$2</f>
        <v>0</v>
      </c>
      <c r="K503" s="15">
        <f t="shared" ca="1" si="76"/>
        <v>0</v>
      </c>
      <c r="P503" s="3">
        <v>499</v>
      </c>
      <c r="Q503" s="4">
        <f t="shared" ca="1" si="77"/>
        <v>0.36092859389385701</v>
      </c>
      <c r="R503" s="4">
        <f t="shared" ca="1" si="78"/>
        <v>0.70946225802210428</v>
      </c>
      <c r="S503" s="4">
        <f ca="1">$B$1*Q503*$B$2</f>
        <v>14.437143755754281</v>
      </c>
      <c r="T503" s="4">
        <f ca="1">$B$1*R503*$B$2</f>
        <v>28.378490320884168</v>
      </c>
      <c r="U503" s="7">
        <f t="shared" ca="1" si="79"/>
        <v>42.815634076638446</v>
      </c>
    </row>
    <row r="504" spans="2:21" x14ac:dyDescent="0.3">
      <c r="B504" s="13">
        <f t="shared" ca="1" si="70"/>
        <v>0.81195208522058282</v>
      </c>
      <c r="C504" s="14">
        <f t="shared" ca="1" si="70"/>
        <v>0.45531099757877258</v>
      </c>
      <c r="D504" s="14">
        <f t="shared" ca="1" si="71"/>
        <v>0.88511273874784646</v>
      </c>
      <c r="E504" s="14">
        <f t="shared" ca="1" si="72"/>
        <v>-0.11225402361630474</v>
      </c>
      <c r="F504" s="14">
        <f t="shared" ca="1" si="73"/>
        <v>0.74767107037813174</v>
      </c>
      <c r="G504" s="14">
        <f t="shared" ca="1" si="74"/>
        <v>0.81195208522058282</v>
      </c>
      <c r="H504" s="15">
        <f t="shared" ca="1" si="75"/>
        <v>0.45531099757877258</v>
      </c>
      <c r="I504" s="14">
        <f ca="1">IF(G504&lt;0.05,1,0)*$B$1*$B$2</f>
        <v>0</v>
      </c>
      <c r="J504" s="14">
        <f ca="1">IF(H504&lt;0.05,1,0)*$B$1*$B$2</f>
        <v>0</v>
      </c>
      <c r="K504" s="15">
        <f t="shared" ca="1" si="76"/>
        <v>0</v>
      </c>
      <c r="P504" s="3">
        <v>500</v>
      </c>
      <c r="Q504" s="4">
        <f t="shared" ca="1" si="77"/>
        <v>0.81195208522058282</v>
      </c>
      <c r="R504" s="4">
        <f t="shared" ca="1" si="78"/>
        <v>0.45531099757877258</v>
      </c>
      <c r="S504" s="4">
        <f ca="1">$B$1*Q504*$B$2</f>
        <v>32.478083408823316</v>
      </c>
      <c r="T504" s="4">
        <f ca="1">$B$1*R504*$B$2</f>
        <v>18.212439903150905</v>
      </c>
      <c r="U504" s="7">
        <f t="shared" ca="1" si="79"/>
        <v>50.690523311974218</v>
      </c>
    </row>
    <row r="505" spans="2:21" x14ac:dyDescent="0.3">
      <c r="B505" s="13">
        <f t="shared" ca="1" si="70"/>
        <v>0.11829507093867775</v>
      </c>
      <c r="C505" s="14">
        <f t="shared" ca="1" si="70"/>
        <v>0.83240514451787018</v>
      </c>
      <c r="D505" s="14">
        <f t="shared" ca="1" si="71"/>
        <v>-1.1835527798788217</v>
      </c>
      <c r="E505" s="14">
        <f t="shared" ca="1" si="72"/>
        <v>0.96371324708626993</v>
      </c>
      <c r="F505" s="14">
        <f t="shared" ca="1" si="73"/>
        <v>-0.64512463643089024</v>
      </c>
      <c r="G505" s="14">
        <f t="shared" ca="1" si="74"/>
        <v>0.11829507093867773</v>
      </c>
      <c r="H505" s="15">
        <f t="shared" ca="1" si="75"/>
        <v>0.83240514451786995</v>
      </c>
      <c r="I505" s="14">
        <f ca="1">IF(G505&lt;0.05,1,0)*$B$1*$B$2</f>
        <v>0</v>
      </c>
      <c r="J505" s="14">
        <f ca="1">IF(H505&lt;0.05,1,0)*$B$1*$B$2</f>
        <v>0</v>
      </c>
      <c r="K505" s="15">
        <f t="shared" ca="1" si="76"/>
        <v>0</v>
      </c>
      <c r="P505" s="3">
        <v>501</v>
      </c>
      <c r="Q505" s="4">
        <f t="shared" ca="1" si="77"/>
        <v>0.11829507093867773</v>
      </c>
      <c r="R505" s="4">
        <f t="shared" ca="1" si="78"/>
        <v>0.83240514451786995</v>
      </c>
      <c r="S505" s="4">
        <f ca="1">$B$1*Q505*$B$2</f>
        <v>4.73180283754711</v>
      </c>
      <c r="T505" s="4">
        <f ca="1">$B$1*R505*$B$2</f>
        <v>33.2962057807148</v>
      </c>
      <c r="U505" s="7">
        <f t="shared" ca="1" si="79"/>
        <v>38.028008618261907</v>
      </c>
    </row>
    <row r="506" spans="2:21" x14ac:dyDescent="0.3">
      <c r="B506" s="13">
        <f t="shared" ca="1" si="70"/>
        <v>0.78588302439921809</v>
      </c>
      <c r="C506" s="14">
        <f t="shared" ca="1" si="70"/>
        <v>0.5702704112704946</v>
      </c>
      <c r="D506" s="14">
        <f t="shared" ca="1" si="71"/>
        <v>0.79221735437034246</v>
      </c>
      <c r="E506" s="14">
        <f t="shared" ca="1" si="72"/>
        <v>0.17706265235785629</v>
      </c>
      <c r="F506" s="14">
        <f t="shared" ca="1" si="73"/>
        <v>0.79017543976362514</v>
      </c>
      <c r="G506" s="14">
        <f t="shared" ca="1" si="74"/>
        <v>0.78588302439921809</v>
      </c>
      <c r="H506" s="15">
        <f t="shared" ca="1" si="75"/>
        <v>0.5702704112704946</v>
      </c>
      <c r="I506" s="14">
        <f ca="1">IF(G506&lt;0.05,1,0)*$B$1*$B$2</f>
        <v>0</v>
      </c>
      <c r="J506" s="14">
        <f ca="1">IF(H506&lt;0.05,1,0)*$B$1*$B$2</f>
        <v>0</v>
      </c>
      <c r="K506" s="15">
        <f t="shared" ca="1" si="76"/>
        <v>0</v>
      </c>
      <c r="P506" s="3">
        <v>502</v>
      </c>
      <c r="Q506" s="4">
        <f t="shared" ca="1" si="77"/>
        <v>0.78588302439921809</v>
      </c>
      <c r="R506" s="4">
        <f t="shared" ca="1" si="78"/>
        <v>0.5702704112704946</v>
      </c>
      <c r="S506" s="4">
        <f ca="1">$B$1*Q506*$B$2</f>
        <v>31.435320975968722</v>
      </c>
      <c r="T506" s="4">
        <f ca="1">$B$1*R506*$B$2</f>
        <v>22.810816450819786</v>
      </c>
      <c r="U506" s="7">
        <f t="shared" ca="1" si="79"/>
        <v>54.246137426788508</v>
      </c>
    </row>
    <row r="507" spans="2:21" x14ac:dyDescent="0.3">
      <c r="B507" s="13">
        <f t="shared" ca="1" si="70"/>
        <v>0.27132418045528961</v>
      </c>
      <c r="C507" s="14">
        <f t="shared" ca="1" si="70"/>
        <v>4.5378192308990317E-2</v>
      </c>
      <c r="D507" s="14">
        <f t="shared" ca="1" si="71"/>
        <v>-0.60881305258585516</v>
      </c>
      <c r="E507" s="14">
        <f t="shared" ca="1" si="72"/>
        <v>-1.6914212078602997</v>
      </c>
      <c r="F507" s="14">
        <f t="shared" ca="1" si="73"/>
        <v>-1.2852051589297244</v>
      </c>
      <c r="G507" s="14">
        <f t="shared" ca="1" si="74"/>
        <v>0.27132418045528961</v>
      </c>
      <c r="H507" s="15">
        <f t="shared" ca="1" si="75"/>
        <v>4.5378192308990324E-2</v>
      </c>
      <c r="I507" s="14">
        <f ca="1">IF(G507&lt;0.05,1,0)*$B$1*$B$2</f>
        <v>0</v>
      </c>
      <c r="J507" s="14">
        <f ca="1">IF(H507&lt;0.05,1,0)*$B$1*$B$2</f>
        <v>40</v>
      </c>
      <c r="K507" s="15">
        <f t="shared" ca="1" si="76"/>
        <v>40</v>
      </c>
      <c r="P507" s="3">
        <v>503</v>
      </c>
      <c r="Q507" s="4">
        <f t="shared" ca="1" si="77"/>
        <v>0.27132418045528961</v>
      </c>
      <c r="R507" s="4">
        <f t="shared" ca="1" si="78"/>
        <v>4.5378192308990324E-2</v>
      </c>
      <c r="S507" s="4">
        <f ca="1">$B$1*Q507*$B$2</f>
        <v>10.852967218211585</v>
      </c>
      <c r="T507" s="4">
        <f ca="1">$B$1*R507*$B$2</f>
        <v>1.8151276923596129</v>
      </c>
      <c r="U507" s="7">
        <f t="shared" ca="1" si="79"/>
        <v>12.668094910571199</v>
      </c>
    </row>
    <row r="508" spans="2:21" x14ac:dyDescent="0.3">
      <c r="B508" s="13">
        <f t="shared" ca="1" si="70"/>
        <v>0.15910015684209733</v>
      </c>
      <c r="C508" s="14">
        <f t="shared" ca="1" si="70"/>
        <v>0.4086949912646527</v>
      </c>
      <c r="D508" s="14">
        <f t="shared" ca="1" si="71"/>
        <v>-0.99816302303289395</v>
      </c>
      <c r="E508" s="14">
        <f t="shared" ca="1" si="72"/>
        <v>-0.2309032284968103</v>
      </c>
      <c r="F508" s="14">
        <f t="shared" ca="1" si="73"/>
        <v>-0.99899510460509222</v>
      </c>
      <c r="G508" s="14">
        <f t="shared" ca="1" si="74"/>
        <v>0.15910015684209783</v>
      </c>
      <c r="H508" s="15">
        <f t="shared" ca="1" si="75"/>
        <v>0.4086949912646527</v>
      </c>
      <c r="I508" s="14">
        <f ca="1">IF(G508&lt;0.05,1,0)*$B$1*$B$2</f>
        <v>0</v>
      </c>
      <c r="J508" s="14">
        <f ca="1">IF(H508&lt;0.05,1,0)*$B$1*$B$2</f>
        <v>0</v>
      </c>
      <c r="K508" s="15">
        <f t="shared" ca="1" si="76"/>
        <v>0</v>
      </c>
      <c r="P508" s="3">
        <v>504</v>
      </c>
      <c r="Q508" s="4">
        <f t="shared" ca="1" si="77"/>
        <v>0.15910015684209783</v>
      </c>
      <c r="R508" s="4">
        <f t="shared" ca="1" si="78"/>
        <v>0.4086949912646527</v>
      </c>
      <c r="S508" s="4">
        <f ca="1">$B$1*Q508*$B$2</f>
        <v>6.3640062736839136</v>
      </c>
      <c r="T508" s="4">
        <f ca="1">$B$1*R508*$B$2</f>
        <v>16.347799650586108</v>
      </c>
      <c r="U508" s="7">
        <f t="shared" ca="1" si="79"/>
        <v>22.711805924270021</v>
      </c>
    </row>
    <row r="509" spans="2:21" x14ac:dyDescent="0.3">
      <c r="B509" s="13">
        <f t="shared" ca="1" si="70"/>
        <v>0.52533375533588578</v>
      </c>
      <c r="C509" s="14">
        <f t="shared" ca="1" si="70"/>
        <v>0.18449138345880323</v>
      </c>
      <c r="D509" s="14">
        <f t="shared" ca="1" si="71"/>
        <v>6.3545047067849914E-2</v>
      </c>
      <c r="E509" s="14">
        <f t="shared" ca="1" si="72"/>
        <v>-0.89838042855426448</v>
      </c>
      <c r="F509" s="14">
        <f t="shared" ca="1" si="73"/>
        <v>-0.3344044077312151</v>
      </c>
      <c r="G509" s="14">
        <f t="shared" ca="1" si="74"/>
        <v>0.52533375533588578</v>
      </c>
      <c r="H509" s="15">
        <f t="shared" ca="1" si="75"/>
        <v>0.18449138345880323</v>
      </c>
      <c r="I509" s="14">
        <f ca="1">IF(G509&lt;0.05,1,0)*$B$1*$B$2</f>
        <v>0</v>
      </c>
      <c r="J509" s="14">
        <f ca="1">IF(H509&lt;0.05,1,0)*$B$1*$B$2</f>
        <v>0</v>
      </c>
      <c r="K509" s="15">
        <f t="shared" ca="1" si="76"/>
        <v>0</v>
      </c>
      <c r="P509" s="3">
        <v>505</v>
      </c>
      <c r="Q509" s="4">
        <f t="shared" ca="1" si="77"/>
        <v>0.52533375533588578</v>
      </c>
      <c r="R509" s="4">
        <f t="shared" ca="1" si="78"/>
        <v>0.18449138345880323</v>
      </c>
      <c r="S509" s="4">
        <f ca="1">$B$1*Q509*$B$2</f>
        <v>21.01335021343543</v>
      </c>
      <c r="T509" s="4">
        <f ca="1">$B$1*R509*$B$2</f>
        <v>7.3796553383521291</v>
      </c>
      <c r="U509" s="7">
        <f t="shared" ca="1" si="79"/>
        <v>28.39300555178756</v>
      </c>
    </row>
    <row r="510" spans="2:21" x14ac:dyDescent="0.3">
      <c r="B510" s="13">
        <f t="shared" ca="1" si="70"/>
        <v>0.24089051005979312</v>
      </c>
      <c r="C510" s="14">
        <f t="shared" ca="1" si="70"/>
        <v>0.47896710186228442</v>
      </c>
      <c r="D510" s="14">
        <f t="shared" ca="1" si="71"/>
        <v>-0.70344090847413832</v>
      </c>
      <c r="E510" s="14">
        <f t="shared" ca="1" si="72"/>
        <v>-5.2746104909167937E-2</v>
      </c>
      <c r="F510" s="14">
        <f t="shared" ca="1" si="73"/>
        <v>-0.65608831172317028</v>
      </c>
      <c r="G510" s="14">
        <f t="shared" ca="1" si="74"/>
        <v>0.24089051005979312</v>
      </c>
      <c r="H510" s="15">
        <f t="shared" ca="1" si="75"/>
        <v>0.47896710186228442</v>
      </c>
      <c r="I510" s="14">
        <f ca="1">IF(G510&lt;0.05,1,0)*$B$1*$B$2</f>
        <v>0</v>
      </c>
      <c r="J510" s="14">
        <f ca="1">IF(H510&lt;0.05,1,0)*$B$1*$B$2</f>
        <v>0</v>
      </c>
      <c r="K510" s="15">
        <f t="shared" ca="1" si="76"/>
        <v>0</v>
      </c>
      <c r="P510" s="3">
        <v>506</v>
      </c>
      <c r="Q510" s="4">
        <f t="shared" ca="1" si="77"/>
        <v>0.24089051005979312</v>
      </c>
      <c r="R510" s="4">
        <f t="shared" ca="1" si="78"/>
        <v>0.47896710186228442</v>
      </c>
      <c r="S510" s="4">
        <f ca="1">$B$1*Q510*$B$2</f>
        <v>9.6356204023917247</v>
      </c>
      <c r="T510" s="4">
        <f ca="1">$B$1*R510*$B$2</f>
        <v>19.158684074491376</v>
      </c>
      <c r="U510" s="7">
        <f t="shared" ca="1" si="79"/>
        <v>28.794304476883099</v>
      </c>
    </row>
    <row r="511" spans="2:21" x14ac:dyDescent="0.3">
      <c r="B511" s="13">
        <f t="shared" ca="1" si="70"/>
        <v>0.34685552750927029</v>
      </c>
      <c r="C511" s="14">
        <f t="shared" ca="1" si="70"/>
        <v>8.5192385524100134E-2</v>
      </c>
      <c r="D511" s="14">
        <f t="shared" ca="1" si="71"/>
        <v>-0.39382390378496923</v>
      </c>
      <c r="E511" s="14">
        <f t="shared" ca="1" si="72"/>
        <v>-1.3709685152499045</v>
      </c>
      <c r="F511" s="14">
        <f t="shared" ca="1" si="73"/>
        <v>-0.95203283468150568</v>
      </c>
      <c r="G511" s="14">
        <f t="shared" ca="1" si="74"/>
        <v>0.34685552750927029</v>
      </c>
      <c r="H511" s="15">
        <f t="shared" ca="1" si="75"/>
        <v>8.5192385524100259E-2</v>
      </c>
      <c r="I511" s="14">
        <f ca="1">IF(G511&lt;0.05,1,0)*$B$1*$B$2</f>
        <v>0</v>
      </c>
      <c r="J511" s="14">
        <f ca="1">IF(H511&lt;0.05,1,0)*$B$1*$B$2</f>
        <v>0</v>
      </c>
      <c r="K511" s="15">
        <f t="shared" ca="1" si="76"/>
        <v>0</v>
      </c>
      <c r="P511" s="3">
        <v>507</v>
      </c>
      <c r="Q511" s="4">
        <f t="shared" ca="1" si="77"/>
        <v>0.34685552750927029</v>
      </c>
      <c r="R511" s="4">
        <f t="shared" ca="1" si="78"/>
        <v>8.5192385524100259E-2</v>
      </c>
      <c r="S511" s="4">
        <f ca="1">$B$1*Q511*$B$2</f>
        <v>13.874221100370812</v>
      </c>
      <c r="T511" s="4">
        <f ca="1">$B$1*R511*$B$2</f>
        <v>3.4076954209640107</v>
      </c>
      <c r="U511" s="7">
        <f t="shared" ca="1" si="79"/>
        <v>17.281916521334821</v>
      </c>
    </row>
    <row r="512" spans="2:21" x14ac:dyDescent="0.3">
      <c r="B512" s="13">
        <f t="shared" ca="1" si="70"/>
        <v>0.66711228846425885</v>
      </c>
      <c r="C512" s="14">
        <f t="shared" ca="1" si="70"/>
        <v>0.28996757897601277</v>
      </c>
      <c r="D512" s="14">
        <f t="shared" ca="1" si="71"/>
        <v>0.43195320646547741</v>
      </c>
      <c r="E512" s="14">
        <f t="shared" ca="1" si="72"/>
        <v>-0.55347943614539563</v>
      </c>
      <c r="F512" s="14">
        <f t="shared" ca="1" si="73"/>
        <v>0.14750179287036444</v>
      </c>
      <c r="G512" s="14">
        <f t="shared" ca="1" si="74"/>
        <v>0.66711228846425885</v>
      </c>
      <c r="H512" s="15">
        <f t="shared" ca="1" si="75"/>
        <v>0.28996757897601277</v>
      </c>
      <c r="I512" s="14">
        <f ca="1">IF(G512&lt;0.05,1,0)*$B$1*$B$2</f>
        <v>0</v>
      </c>
      <c r="J512" s="14">
        <f ca="1">IF(H512&lt;0.05,1,0)*$B$1*$B$2</f>
        <v>0</v>
      </c>
      <c r="K512" s="15">
        <f t="shared" ca="1" si="76"/>
        <v>0</v>
      </c>
      <c r="P512" s="3">
        <v>508</v>
      </c>
      <c r="Q512" s="4">
        <f t="shared" ca="1" si="77"/>
        <v>0.66711228846425885</v>
      </c>
      <c r="R512" s="4">
        <f t="shared" ca="1" si="78"/>
        <v>0.28996757897601277</v>
      </c>
      <c r="S512" s="4">
        <f ca="1">$B$1*Q512*$B$2</f>
        <v>26.684491538570356</v>
      </c>
      <c r="T512" s="4">
        <f ca="1">$B$1*R512*$B$2</f>
        <v>11.598703159040511</v>
      </c>
      <c r="U512" s="7">
        <f t="shared" ca="1" si="79"/>
        <v>38.283194697610867</v>
      </c>
    </row>
    <row r="513" spans="2:21" x14ac:dyDescent="0.3">
      <c r="B513" s="13">
        <f t="shared" ca="1" si="70"/>
        <v>0.6203008026323571</v>
      </c>
      <c r="C513" s="14">
        <f t="shared" ca="1" si="70"/>
        <v>0.56018649886936822</v>
      </c>
      <c r="D513" s="14">
        <f t="shared" ca="1" si="71"/>
        <v>0.30627089868369806</v>
      </c>
      <c r="E513" s="14">
        <f t="shared" ca="1" si="72"/>
        <v>0.15144207357265749</v>
      </c>
      <c r="F513" s="14">
        <f t="shared" ca="1" si="73"/>
        <v>0.34165587826567478</v>
      </c>
      <c r="G513" s="14">
        <f t="shared" ca="1" si="74"/>
        <v>0.6203008026323571</v>
      </c>
      <c r="H513" s="15">
        <f t="shared" ca="1" si="75"/>
        <v>0.56018649886936822</v>
      </c>
      <c r="I513" s="14">
        <f ca="1">IF(G513&lt;0.05,1,0)*$B$1*$B$2</f>
        <v>0</v>
      </c>
      <c r="J513" s="14">
        <f ca="1">IF(H513&lt;0.05,1,0)*$B$1*$B$2</f>
        <v>0</v>
      </c>
      <c r="K513" s="15">
        <f t="shared" ca="1" si="76"/>
        <v>0</v>
      </c>
      <c r="P513" s="3">
        <v>509</v>
      </c>
      <c r="Q513" s="4">
        <f t="shared" ca="1" si="77"/>
        <v>0.6203008026323571</v>
      </c>
      <c r="R513" s="4">
        <f t="shared" ca="1" si="78"/>
        <v>0.56018649886936822</v>
      </c>
      <c r="S513" s="4">
        <f ca="1">$B$1*Q513*$B$2</f>
        <v>24.812032105294286</v>
      </c>
      <c r="T513" s="4">
        <f ca="1">$B$1*R513*$B$2</f>
        <v>22.40745995477473</v>
      </c>
      <c r="U513" s="7">
        <f t="shared" ca="1" si="79"/>
        <v>47.219492060069015</v>
      </c>
    </row>
    <row r="514" spans="2:21" x14ac:dyDescent="0.3">
      <c r="B514" s="13">
        <f t="shared" ca="1" si="70"/>
        <v>0.5037963615626122</v>
      </c>
      <c r="C514" s="14">
        <f t="shared" ca="1" si="70"/>
        <v>0.16748171127424927</v>
      </c>
      <c r="D514" s="14">
        <f t="shared" ca="1" si="71"/>
        <v>9.5162108602124609E-3</v>
      </c>
      <c r="E514" s="14">
        <f t="shared" ca="1" si="72"/>
        <v>-0.96416457349684292</v>
      </c>
      <c r="F514" s="14">
        <f t="shared" ca="1" si="73"/>
        <v>-0.41170500430728196</v>
      </c>
      <c r="G514" s="14">
        <f t="shared" ca="1" si="74"/>
        <v>0.5037963615626122</v>
      </c>
      <c r="H514" s="15">
        <f t="shared" ca="1" si="75"/>
        <v>0.16748171127424913</v>
      </c>
      <c r="I514" s="14">
        <f ca="1">IF(G514&lt;0.05,1,0)*$B$1*$B$2</f>
        <v>0</v>
      </c>
      <c r="J514" s="14">
        <f ca="1">IF(H514&lt;0.05,1,0)*$B$1*$B$2</f>
        <v>0</v>
      </c>
      <c r="K514" s="15">
        <f t="shared" ca="1" si="76"/>
        <v>0</v>
      </c>
      <c r="P514" s="3">
        <v>510</v>
      </c>
      <c r="Q514" s="4">
        <f t="shared" ca="1" si="77"/>
        <v>0.5037963615626122</v>
      </c>
      <c r="R514" s="4">
        <f t="shared" ca="1" si="78"/>
        <v>0.16748171127424913</v>
      </c>
      <c r="S514" s="4">
        <f ca="1">$B$1*Q514*$B$2</f>
        <v>20.151854462504488</v>
      </c>
      <c r="T514" s="4">
        <f ca="1">$B$1*R514*$B$2</f>
        <v>6.6992684509699663</v>
      </c>
      <c r="U514" s="7">
        <f t="shared" ca="1" si="79"/>
        <v>26.851122913474455</v>
      </c>
    </row>
    <row r="515" spans="2:21" x14ac:dyDescent="0.3">
      <c r="B515" s="13">
        <f t="shared" ca="1" si="70"/>
        <v>0.44137119577237016</v>
      </c>
      <c r="C515" s="14">
        <f t="shared" ca="1" si="70"/>
        <v>0.8368168532982263</v>
      </c>
      <c r="D515" s="14">
        <f t="shared" ca="1" si="71"/>
        <v>-0.14749364992145894</v>
      </c>
      <c r="E515" s="14">
        <f t="shared" ca="1" si="72"/>
        <v>0.98145930439319606</v>
      </c>
      <c r="F515" s="14">
        <f t="shared" ca="1" si="73"/>
        <v>0.29506390757545353</v>
      </c>
      <c r="G515" s="14">
        <f t="shared" ca="1" si="74"/>
        <v>0.44137119577237016</v>
      </c>
      <c r="H515" s="15">
        <f t="shared" ca="1" si="75"/>
        <v>0.8368168532982263</v>
      </c>
      <c r="I515" s="14">
        <f ca="1">IF(G515&lt;0.05,1,0)*$B$1*$B$2</f>
        <v>0</v>
      </c>
      <c r="J515" s="14">
        <f ca="1">IF(H515&lt;0.05,1,0)*$B$1*$B$2</f>
        <v>0</v>
      </c>
      <c r="K515" s="15">
        <f t="shared" ca="1" si="76"/>
        <v>0</v>
      </c>
      <c r="P515" s="3">
        <v>511</v>
      </c>
      <c r="Q515" s="4">
        <f t="shared" ca="1" si="77"/>
        <v>0.44137119577237016</v>
      </c>
      <c r="R515" s="4">
        <f t="shared" ca="1" si="78"/>
        <v>0.8368168532982263</v>
      </c>
      <c r="S515" s="4">
        <f ca="1">$B$1*Q515*$B$2</f>
        <v>17.654847830894806</v>
      </c>
      <c r="T515" s="4">
        <f ca="1">$B$1*R515*$B$2</f>
        <v>33.472674131929054</v>
      </c>
      <c r="U515" s="7">
        <f t="shared" ca="1" si="79"/>
        <v>51.127521962823863</v>
      </c>
    </row>
    <row r="516" spans="2:21" x14ac:dyDescent="0.3">
      <c r="B516" s="13">
        <f t="shared" ca="1" si="70"/>
        <v>0.81732081483839503</v>
      </c>
      <c r="C516" s="14">
        <f t="shared" ca="1" si="70"/>
        <v>0.30122695748158679</v>
      </c>
      <c r="D516" s="14">
        <f t="shared" ca="1" si="71"/>
        <v>0.90520202303922914</v>
      </c>
      <c r="E516" s="14">
        <f t="shared" ca="1" si="72"/>
        <v>-0.52087490961798288</v>
      </c>
      <c r="F516" s="14">
        <f t="shared" ca="1" si="73"/>
        <v>0.58763771141023935</v>
      </c>
      <c r="G516" s="14">
        <f t="shared" ca="1" si="74"/>
        <v>0.81732081483839514</v>
      </c>
      <c r="H516" s="15">
        <f t="shared" ca="1" si="75"/>
        <v>0.30122695748158673</v>
      </c>
      <c r="I516" s="14">
        <f ca="1">IF(G516&lt;0.05,1,0)*$B$1*$B$2</f>
        <v>0</v>
      </c>
      <c r="J516" s="14">
        <f ca="1">IF(H516&lt;0.05,1,0)*$B$1*$B$2</f>
        <v>0</v>
      </c>
      <c r="K516" s="15">
        <f t="shared" ca="1" si="76"/>
        <v>0</v>
      </c>
      <c r="P516" s="3">
        <v>512</v>
      </c>
      <c r="Q516" s="4">
        <f t="shared" ca="1" si="77"/>
        <v>0.81732081483839514</v>
      </c>
      <c r="R516" s="4">
        <f t="shared" ca="1" si="78"/>
        <v>0.30122695748158673</v>
      </c>
      <c r="S516" s="4">
        <f ca="1">$B$1*Q516*$B$2</f>
        <v>32.692832593535805</v>
      </c>
      <c r="T516" s="4">
        <f ca="1">$B$1*R516*$B$2</f>
        <v>12.049078299263471</v>
      </c>
      <c r="U516" s="7">
        <f t="shared" ca="1" si="79"/>
        <v>44.741910892799275</v>
      </c>
    </row>
    <row r="517" spans="2:21" x14ac:dyDescent="0.3">
      <c r="B517" s="13">
        <f t="shared" ca="1" si="70"/>
        <v>0.96979561366891731</v>
      </c>
      <c r="C517" s="14">
        <f t="shared" ca="1" si="70"/>
        <v>0.10651009635878639</v>
      </c>
      <c r="D517" s="14">
        <f t="shared" ca="1" si="71"/>
        <v>1.8777982288597614</v>
      </c>
      <c r="E517" s="14">
        <f t="shared" ca="1" si="72"/>
        <v>-1.2453035459898694</v>
      </c>
      <c r="F517" s="14">
        <f t="shared" ca="1" si="73"/>
        <v>1.1472031748735159</v>
      </c>
      <c r="G517" s="14">
        <f t="shared" ca="1" si="74"/>
        <v>0.96979561366891731</v>
      </c>
      <c r="H517" s="15">
        <f t="shared" ca="1" si="75"/>
        <v>0.10651009635878633</v>
      </c>
      <c r="I517" s="14">
        <f ca="1">IF(G517&lt;0.05,1,0)*$B$1*$B$2</f>
        <v>0</v>
      </c>
      <c r="J517" s="14">
        <f ca="1">IF(H517&lt;0.05,1,0)*$B$1*$B$2</f>
        <v>0</v>
      </c>
      <c r="K517" s="15">
        <f t="shared" ca="1" si="76"/>
        <v>0</v>
      </c>
      <c r="P517" s="3">
        <v>513</v>
      </c>
      <c r="Q517" s="4">
        <f t="shared" ca="1" si="77"/>
        <v>0.96979561366891731</v>
      </c>
      <c r="R517" s="4">
        <f t="shared" ca="1" si="78"/>
        <v>0.10651009635878633</v>
      </c>
      <c r="S517" s="4">
        <f ca="1">$B$1*Q517*$B$2</f>
        <v>38.791824546756693</v>
      </c>
      <c r="T517" s="4">
        <f ca="1">$B$1*R517*$B$2</f>
        <v>4.2604038543514537</v>
      </c>
      <c r="U517" s="7">
        <f t="shared" ca="1" si="79"/>
        <v>43.052228401108145</v>
      </c>
    </row>
    <row r="518" spans="2:21" x14ac:dyDescent="0.3">
      <c r="B518" s="13">
        <f t="shared" ref="B518:C581" ca="1" si="80">RAND()</f>
        <v>0.21461457496067282</v>
      </c>
      <c r="C518" s="14">
        <f t="shared" ca="1" si="80"/>
        <v>0.1125944748891794</v>
      </c>
      <c r="D518" s="14">
        <f t="shared" ref="D518:D581" ca="1" si="81">_xlfn.NORM.S.INV(B518)</f>
        <v>-0.79051142959313081</v>
      </c>
      <c r="E518" s="14">
        <f t="shared" ref="E518:E581" ca="1" si="82">_xlfn.NORM.S.INV(C518)</f>
        <v>-1.2128453587294152</v>
      </c>
      <c r="F518" s="14">
        <f t="shared" ref="F518:F581" ca="1" si="83">($Y$5*D518)+(SQRT(1-$Y$5^2)*E518)</f>
        <v>-1.2401273219182034</v>
      </c>
      <c r="G518" s="14">
        <f t="shared" ref="G518:G581" ca="1" si="84">_xlfn.NORM.S.DIST(D518,TRUE)</f>
        <v>0.21461457496067274</v>
      </c>
      <c r="H518" s="15">
        <f t="shared" ref="H518:H581" ca="1" si="85">_xlfn.NORM.S.DIST(E518,TRUE)</f>
        <v>0.11259447488917936</v>
      </c>
      <c r="I518" s="14">
        <f ca="1">IF(G518&lt;0.05,1,0)*$B$1*$B$2</f>
        <v>0</v>
      </c>
      <c r="J518" s="14">
        <f ca="1">IF(H518&lt;0.05,1,0)*$B$1*$B$2</f>
        <v>0</v>
      </c>
      <c r="K518" s="15">
        <f t="shared" ref="K518:K581" ca="1" si="86">I518+J518</f>
        <v>0</v>
      </c>
      <c r="P518" s="3">
        <v>514</v>
      </c>
      <c r="Q518" s="4">
        <f t="shared" ref="Q518:Q581" ca="1" si="87">G518</f>
        <v>0.21461457496067274</v>
      </c>
      <c r="R518" s="4">
        <f t="shared" ref="R518:R581" ca="1" si="88">H518</f>
        <v>0.11259447488917936</v>
      </c>
      <c r="S518" s="4">
        <f ca="1">$B$1*Q518*$B$2</f>
        <v>8.5845829984269102</v>
      </c>
      <c r="T518" s="4">
        <f ca="1">$B$1*R518*$B$2</f>
        <v>4.5037789955671741</v>
      </c>
      <c r="U518" s="7">
        <f t="shared" ref="U518:U581" ca="1" si="89">S518+T518</f>
        <v>13.088361993994084</v>
      </c>
    </row>
    <row r="519" spans="2:21" x14ac:dyDescent="0.3">
      <c r="B519" s="13">
        <f t="shared" ca="1" si="80"/>
        <v>0.27739393055339645</v>
      </c>
      <c r="C519" s="14">
        <f t="shared" ca="1" si="80"/>
        <v>0.43061852399620426</v>
      </c>
      <c r="D519" s="14">
        <f t="shared" ca="1" si="81"/>
        <v>-0.59060090090397532</v>
      </c>
      <c r="E519" s="14">
        <f t="shared" ca="1" si="82"/>
        <v>-0.17479966956101584</v>
      </c>
      <c r="F519" s="14">
        <f t="shared" ca="1" si="83"/>
        <v>-0.60773422031165492</v>
      </c>
      <c r="G519" s="14">
        <f t="shared" ca="1" si="84"/>
        <v>0.2773939305533964</v>
      </c>
      <c r="H519" s="15">
        <f t="shared" ca="1" si="85"/>
        <v>0.43061852399620426</v>
      </c>
      <c r="I519" s="14">
        <f ca="1">IF(G519&lt;0.05,1,0)*$B$1*$B$2</f>
        <v>0</v>
      </c>
      <c r="J519" s="14">
        <f ca="1">IF(H519&lt;0.05,1,0)*$B$1*$B$2</f>
        <v>0</v>
      </c>
      <c r="K519" s="15">
        <f t="shared" ca="1" si="86"/>
        <v>0</v>
      </c>
      <c r="P519" s="3">
        <v>515</v>
      </c>
      <c r="Q519" s="4">
        <f t="shared" ca="1" si="87"/>
        <v>0.2773939305533964</v>
      </c>
      <c r="R519" s="4">
        <f t="shared" ca="1" si="88"/>
        <v>0.43061852399620426</v>
      </c>
      <c r="S519" s="4">
        <f ca="1">$B$1*Q519*$B$2</f>
        <v>11.095757222135857</v>
      </c>
      <c r="T519" s="4">
        <f ca="1">$B$1*R519*$B$2</f>
        <v>17.224740959848173</v>
      </c>
      <c r="U519" s="7">
        <f t="shared" ca="1" si="89"/>
        <v>28.320498181984028</v>
      </c>
    </row>
    <row r="520" spans="2:21" x14ac:dyDescent="0.3">
      <c r="B520" s="13">
        <f t="shared" ca="1" si="80"/>
        <v>2.0214689844087808E-2</v>
      </c>
      <c r="C520" s="14">
        <f t="shared" ca="1" si="80"/>
        <v>0.74110755278490903</v>
      </c>
      <c r="D520" s="14">
        <f t="shared" ca="1" si="81"/>
        <v>-2.0493348849354081</v>
      </c>
      <c r="E520" s="14">
        <f t="shared" ca="1" si="82"/>
        <v>0.64676369183761073</v>
      </c>
      <c r="F520" s="14">
        <f t="shared" ca="1" si="83"/>
        <v>-1.5624836391347245</v>
      </c>
      <c r="G520" s="14">
        <f t="shared" ca="1" si="84"/>
        <v>2.0214689844087783E-2</v>
      </c>
      <c r="H520" s="15">
        <f t="shared" ca="1" si="85"/>
        <v>0.74110755278490914</v>
      </c>
      <c r="I520" s="14">
        <f ca="1">IF(G520&lt;0.05,1,0)*$B$1*$B$2</f>
        <v>40</v>
      </c>
      <c r="J520" s="14">
        <f ca="1">IF(H520&lt;0.05,1,0)*$B$1*$B$2</f>
        <v>0</v>
      </c>
      <c r="K520" s="15">
        <f t="shared" ca="1" si="86"/>
        <v>40</v>
      </c>
      <c r="P520" s="3">
        <v>516</v>
      </c>
      <c r="Q520" s="4">
        <f t="shared" ca="1" si="87"/>
        <v>2.0214689844087783E-2</v>
      </c>
      <c r="R520" s="4">
        <f t="shared" ca="1" si="88"/>
        <v>0.74110755278490914</v>
      </c>
      <c r="S520" s="4">
        <f ca="1">$B$1*Q520*$B$2</f>
        <v>0.80858759376351141</v>
      </c>
      <c r="T520" s="4">
        <f ca="1">$B$1*R520*$B$2</f>
        <v>29.644302111396367</v>
      </c>
      <c r="U520" s="7">
        <f t="shared" ca="1" si="89"/>
        <v>30.45288970515988</v>
      </c>
    </row>
    <row r="521" spans="2:21" x14ac:dyDescent="0.3">
      <c r="B521" s="13">
        <f t="shared" ca="1" si="80"/>
        <v>0.28348975923070507</v>
      </c>
      <c r="C521" s="14">
        <f t="shared" ca="1" si="80"/>
        <v>0.7302952810720047</v>
      </c>
      <c r="D521" s="14">
        <f t="shared" ca="1" si="81"/>
        <v>-0.57250556252723905</v>
      </c>
      <c r="E521" s="14">
        <f t="shared" ca="1" si="82"/>
        <v>0.61370627981707426</v>
      </c>
      <c r="F521" s="14">
        <f t="shared" ca="1" si="83"/>
        <v>-0.24774664080062297</v>
      </c>
      <c r="G521" s="14">
        <f t="shared" ca="1" si="84"/>
        <v>0.28348975923070502</v>
      </c>
      <c r="H521" s="15">
        <f t="shared" ca="1" si="85"/>
        <v>0.73029528107200481</v>
      </c>
      <c r="I521" s="14">
        <f ca="1">IF(G521&lt;0.05,1,0)*$B$1*$B$2</f>
        <v>0</v>
      </c>
      <c r="J521" s="14">
        <f ca="1">IF(H521&lt;0.05,1,0)*$B$1*$B$2</f>
        <v>0</v>
      </c>
      <c r="K521" s="15">
        <f t="shared" ca="1" si="86"/>
        <v>0</v>
      </c>
      <c r="P521" s="3">
        <v>517</v>
      </c>
      <c r="Q521" s="4">
        <f t="shared" ca="1" si="87"/>
        <v>0.28348975923070502</v>
      </c>
      <c r="R521" s="4">
        <f t="shared" ca="1" si="88"/>
        <v>0.73029528107200481</v>
      </c>
      <c r="S521" s="4">
        <f ca="1">$B$1*Q521*$B$2</f>
        <v>11.339590369228201</v>
      </c>
      <c r="T521" s="4">
        <f ca="1">$B$1*R521*$B$2</f>
        <v>29.211811242880191</v>
      </c>
      <c r="U521" s="7">
        <f t="shared" ca="1" si="89"/>
        <v>40.551401612108393</v>
      </c>
    </row>
    <row r="522" spans="2:21" x14ac:dyDescent="0.3">
      <c r="B522" s="13">
        <f t="shared" ca="1" si="80"/>
        <v>0.32916561334805439</v>
      </c>
      <c r="C522" s="14">
        <f t="shared" ca="1" si="80"/>
        <v>5.3400271715279946E-2</v>
      </c>
      <c r="D522" s="14">
        <f t="shared" ca="1" si="81"/>
        <v>-0.44221832508874848</v>
      </c>
      <c r="E522" s="14">
        <f t="shared" ca="1" si="82"/>
        <v>-1.612742129935685</v>
      </c>
      <c r="F522" s="14">
        <f t="shared" ca="1" si="83"/>
        <v>-1.1009744892178928</v>
      </c>
      <c r="G522" s="14">
        <f t="shared" ca="1" si="84"/>
        <v>0.32916561334805433</v>
      </c>
      <c r="H522" s="15">
        <f t="shared" ca="1" si="85"/>
        <v>5.3400271715279973E-2</v>
      </c>
      <c r="I522" s="14">
        <f ca="1">IF(G522&lt;0.05,1,0)*$B$1*$B$2</f>
        <v>0</v>
      </c>
      <c r="J522" s="14">
        <f ca="1">IF(H522&lt;0.05,1,0)*$B$1*$B$2</f>
        <v>0</v>
      </c>
      <c r="K522" s="15">
        <f t="shared" ca="1" si="86"/>
        <v>0</v>
      </c>
      <c r="P522" s="3">
        <v>518</v>
      </c>
      <c r="Q522" s="4">
        <f t="shared" ca="1" si="87"/>
        <v>0.32916561334805433</v>
      </c>
      <c r="R522" s="4">
        <f t="shared" ca="1" si="88"/>
        <v>5.3400271715279973E-2</v>
      </c>
      <c r="S522" s="4">
        <f ca="1">$B$1*Q522*$B$2</f>
        <v>13.166624533922175</v>
      </c>
      <c r="T522" s="4">
        <f ca="1">$B$1*R522*$B$2</f>
        <v>2.1360108686111992</v>
      </c>
      <c r="U522" s="7">
        <f t="shared" ca="1" si="89"/>
        <v>15.302635402533374</v>
      </c>
    </row>
    <row r="523" spans="2:21" x14ac:dyDescent="0.3">
      <c r="B523" s="13">
        <f t="shared" ca="1" si="80"/>
        <v>0.32207188959298483</v>
      </c>
      <c r="C523" s="14">
        <f t="shared" ca="1" si="80"/>
        <v>0.53884971931122672</v>
      </c>
      <c r="D523" s="14">
        <f t="shared" ca="1" si="81"/>
        <v>-0.46191290500919902</v>
      </c>
      <c r="E523" s="14">
        <f t="shared" ca="1" si="82"/>
        <v>9.7536233301096467E-2</v>
      </c>
      <c r="F523" s="14">
        <f t="shared" ca="1" si="83"/>
        <v>-0.37320655607897052</v>
      </c>
      <c r="G523" s="14">
        <f t="shared" ca="1" si="84"/>
        <v>0.32207188959298483</v>
      </c>
      <c r="H523" s="15">
        <f t="shared" ca="1" si="85"/>
        <v>0.53884971931122672</v>
      </c>
      <c r="I523" s="14">
        <f ca="1">IF(G523&lt;0.05,1,0)*$B$1*$B$2</f>
        <v>0</v>
      </c>
      <c r="J523" s="14">
        <f ca="1">IF(H523&lt;0.05,1,0)*$B$1*$B$2</f>
        <v>0</v>
      </c>
      <c r="K523" s="15">
        <f t="shared" ca="1" si="86"/>
        <v>0</v>
      </c>
      <c r="P523" s="3">
        <v>519</v>
      </c>
      <c r="Q523" s="4">
        <f t="shared" ca="1" si="87"/>
        <v>0.32207188959298483</v>
      </c>
      <c r="R523" s="4">
        <f t="shared" ca="1" si="88"/>
        <v>0.53884971931122672</v>
      </c>
      <c r="S523" s="4">
        <f ca="1">$B$1*Q523*$B$2</f>
        <v>12.882875583719395</v>
      </c>
      <c r="T523" s="4">
        <f ca="1">$B$1*R523*$B$2</f>
        <v>21.55398877244907</v>
      </c>
      <c r="U523" s="7">
        <f t="shared" ca="1" si="89"/>
        <v>34.436864356168464</v>
      </c>
    </row>
    <row r="524" spans="2:21" x14ac:dyDescent="0.3">
      <c r="B524" s="13">
        <f t="shared" ca="1" si="80"/>
        <v>0.82304765543146274</v>
      </c>
      <c r="C524" s="14">
        <f t="shared" ca="1" si="80"/>
        <v>0.77915027050250285</v>
      </c>
      <c r="D524" s="14">
        <f t="shared" ca="1" si="81"/>
        <v>0.92704207501470226</v>
      </c>
      <c r="E524" s="14">
        <f t="shared" ca="1" si="82"/>
        <v>0.7693265849300468</v>
      </c>
      <c r="F524" s="14">
        <f t="shared" ca="1" si="83"/>
        <v>1.1696795513421656</v>
      </c>
      <c r="G524" s="14">
        <f t="shared" ca="1" si="84"/>
        <v>0.82304765543146285</v>
      </c>
      <c r="H524" s="15">
        <f t="shared" ca="1" si="85"/>
        <v>0.77915027050250285</v>
      </c>
      <c r="I524" s="14">
        <f ca="1">IF(G524&lt;0.05,1,0)*$B$1*$B$2</f>
        <v>0</v>
      </c>
      <c r="J524" s="14">
        <f ca="1">IF(H524&lt;0.05,1,0)*$B$1*$B$2</f>
        <v>0</v>
      </c>
      <c r="K524" s="15">
        <f t="shared" ca="1" si="86"/>
        <v>0</v>
      </c>
      <c r="P524" s="3">
        <v>520</v>
      </c>
      <c r="Q524" s="4">
        <f t="shared" ca="1" si="87"/>
        <v>0.82304765543146285</v>
      </c>
      <c r="R524" s="4">
        <f t="shared" ca="1" si="88"/>
        <v>0.77915027050250285</v>
      </c>
      <c r="S524" s="4">
        <f ca="1">$B$1*Q524*$B$2</f>
        <v>32.921906217258517</v>
      </c>
      <c r="T524" s="4">
        <f ca="1">$B$1*R524*$B$2</f>
        <v>31.166010820100116</v>
      </c>
      <c r="U524" s="7">
        <f t="shared" ca="1" si="89"/>
        <v>64.087917037358636</v>
      </c>
    </row>
    <row r="525" spans="2:21" x14ac:dyDescent="0.3">
      <c r="B525" s="13">
        <f t="shared" ca="1" si="80"/>
        <v>0.70083980060511974</v>
      </c>
      <c r="C525" s="14">
        <f t="shared" ca="1" si="80"/>
        <v>0.71178954817998463</v>
      </c>
      <c r="D525" s="14">
        <f t="shared" ca="1" si="81"/>
        <v>0.52681739960680729</v>
      </c>
      <c r="E525" s="14">
        <f t="shared" ca="1" si="82"/>
        <v>0.55862026946611187</v>
      </c>
      <c r="F525" s="14">
        <f t="shared" ca="1" si="83"/>
        <v>0.71763258988775069</v>
      </c>
      <c r="G525" s="14">
        <f t="shared" ca="1" si="84"/>
        <v>0.70083980060511974</v>
      </c>
      <c r="H525" s="15">
        <f t="shared" ca="1" si="85"/>
        <v>0.71178954817998474</v>
      </c>
      <c r="I525" s="14">
        <f ca="1">IF(G525&lt;0.05,1,0)*$B$1*$B$2</f>
        <v>0</v>
      </c>
      <c r="J525" s="14">
        <f ca="1">IF(H525&lt;0.05,1,0)*$B$1*$B$2</f>
        <v>0</v>
      </c>
      <c r="K525" s="15">
        <f t="shared" ca="1" si="86"/>
        <v>0</v>
      </c>
      <c r="P525" s="3">
        <v>521</v>
      </c>
      <c r="Q525" s="4">
        <f t="shared" ca="1" si="87"/>
        <v>0.70083980060511974</v>
      </c>
      <c r="R525" s="4">
        <f t="shared" ca="1" si="88"/>
        <v>0.71178954817998474</v>
      </c>
      <c r="S525" s="4">
        <f ca="1">$B$1*Q525*$B$2</f>
        <v>28.033592024204793</v>
      </c>
      <c r="T525" s="4">
        <f ca="1">$B$1*R525*$B$2</f>
        <v>28.471581927199392</v>
      </c>
      <c r="U525" s="7">
        <f t="shared" ca="1" si="89"/>
        <v>56.505173951404188</v>
      </c>
    </row>
    <row r="526" spans="2:21" x14ac:dyDescent="0.3">
      <c r="B526" s="13">
        <f t="shared" ca="1" si="80"/>
        <v>0.50494144326775303</v>
      </c>
      <c r="C526" s="14">
        <f t="shared" ca="1" si="80"/>
        <v>0.50635561087285896</v>
      </c>
      <c r="D526" s="14">
        <f t="shared" ca="1" si="81"/>
        <v>1.2386678152728092E-2</v>
      </c>
      <c r="E526" s="14">
        <f t="shared" ca="1" si="82"/>
        <v>1.5931827868561149E-2</v>
      </c>
      <c r="F526" s="14">
        <f t="shared" ca="1" si="83"/>
        <v>1.8092533103949589E-2</v>
      </c>
      <c r="G526" s="14">
        <f t="shared" ca="1" si="84"/>
        <v>0.50494144326775303</v>
      </c>
      <c r="H526" s="15">
        <f t="shared" ca="1" si="85"/>
        <v>0.50635561087285896</v>
      </c>
      <c r="I526" s="14">
        <f ca="1">IF(G526&lt;0.05,1,0)*$B$1*$B$2</f>
        <v>0</v>
      </c>
      <c r="J526" s="14">
        <f ca="1">IF(H526&lt;0.05,1,0)*$B$1*$B$2</f>
        <v>0</v>
      </c>
      <c r="K526" s="15">
        <f t="shared" ca="1" si="86"/>
        <v>0</v>
      </c>
      <c r="P526" s="3">
        <v>522</v>
      </c>
      <c r="Q526" s="4">
        <f t="shared" ca="1" si="87"/>
        <v>0.50494144326775303</v>
      </c>
      <c r="R526" s="4">
        <f t="shared" ca="1" si="88"/>
        <v>0.50635561087285896</v>
      </c>
      <c r="S526" s="4">
        <f ca="1">$B$1*Q526*$B$2</f>
        <v>20.197657730710123</v>
      </c>
      <c r="T526" s="4">
        <f ca="1">$B$1*R526*$B$2</f>
        <v>20.254224434914359</v>
      </c>
      <c r="U526" s="7">
        <f t="shared" ca="1" si="89"/>
        <v>40.451882165624482</v>
      </c>
    </row>
    <row r="527" spans="2:21" x14ac:dyDescent="0.3">
      <c r="B527" s="13">
        <f t="shared" ca="1" si="80"/>
        <v>6.2405974818199761E-2</v>
      </c>
      <c r="C527" s="14">
        <f t="shared" ca="1" si="80"/>
        <v>0.5688341102279717</v>
      </c>
      <c r="D527" s="14">
        <f t="shared" ca="1" si="81"/>
        <v>-1.5348855252937053</v>
      </c>
      <c r="E527" s="14">
        <f t="shared" ca="1" si="82"/>
        <v>0.17340667392339307</v>
      </c>
      <c r="F527" s="14">
        <f t="shared" ca="1" si="83"/>
        <v>-1.3058107559875767</v>
      </c>
      <c r="G527" s="14">
        <f t="shared" ca="1" si="84"/>
        <v>6.2405974818199782E-2</v>
      </c>
      <c r="H527" s="15">
        <f t="shared" ca="1" si="85"/>
        <v>0.5688341102279717</v>
      </c>
      <c r="I527" s="14">
        <f ca="1">IF(G527&lt;0.05,1,0)*$B$1*$B$2</f>
        <v>0</v>
      </c>
      <c r="J527" s="14">
        <f ca="1">IF(H527&lt;0.05,1,0)*$B$1*$B$2</f>
        <v>0</v>
      </c>
      <c r="K527" s="15">
        <f t="shared" ca="1" si="86"/>
        <v>0</v>
      </c>
      <c r="P527" s="3">
        <v>523</v>
      </c>
      <c r="Q527" s="4">
        <f t="shared" ca="1" si="87"/>
        <v>6.2405974818199782E-2</v>
      </c>
      <c r="R527" s="4">
        <f t="shared" ca="1" si="88"/>
        <v>0.5688341102279717</v>
      </c>
      <c r="S527" s="4">
        <f ca="1">$B$1*Q527*$B$2</f>
        <v>2.4962389927279913</v>
      </c>
      <c r="T527" s="4">
        <f ca="1">$B$1*R527*$B$2</f>
        <v>22.75336440911887</v>
      </c>
      <c r="U527" s="7">
        <f t="shared" ca="1" si="89"/>
        <v>25.249603401846862</v>
      </c>
    </row>
    <row r="528" spans="2:21" x14ac:dyDescent="0.3">
      <c r="B528" s="13">
        <f t="shared" ca="1" si="80"/>
        <v>0.60826868881957297</v>
      </c>
      <c r="C528" s="14">
        <f t="shared" ca="1" si="80"/>
        <v>0.2076007711612764</v>
      </c>
      <c r="D528" s="14">
        <f t="shared" ca="1" si="81"/>
        <v>0.27480946968170517</v>
      </c>
      <c r="E528" s="14">
        <f t="shared" ca="1" si="82"/>
        <v>-0.81477425118092051</v>
      </c>
      <c r="F528" s="14">
        <f t="shared" ca="1" si="83"/>
        <v>-0.10782333955613108</v>
      </c>
      <c r="G528" s="14">
        <f t="shared" ca="1" si="84"/>
        <v>0.60826868881957297</v>
      </c>
      <c r="H528" s="15">
        <f t="shared" ca="1" si="85"/>
        <v>0.2076007711612764</v>
      </c>
      <c r="I528" s="14">
        <f ca="1">IF(G528&lt;0.05,1,0)*$B$1*$B$2</f>
        <v>0</v>
      </c>
      <c r="J528" s="14">
        <f ca="1">IF(H528&lt;0.05,1,0)*$B$1*$B$2</f>
        <v>0</v>
      </c>
      <c r="K528" s="15">
        <f t="shared" ca="1" si="86"/>
        <v>0</v>
      </c>
      <c r="P528" s="3">
        <v>524</v>
      </c>
      <c r="Q528" s="4">
        <f t="shared" ca="1" si="87"/>
        <v>0.60826868881957297</v>
      </c>
      <c r="R528" s="4">
        <f t="shared" ca="1" si="88"/>
        <v>0.2076007711612764</v>
      </c>
      <c r="S528" s="4">
        <f ca="1">$B$1*Q528*$B$2</f>
        <v>24.33074755278292</v>
      </c>
      <c r="T528" s="4">
        <f ca="1">$B$1*R528*$B$2</f>
        <v>8.3040308464510559</v>
      </c>
      <c r="U528" s="7">
        <f t="shared" ca="1" si="89"/>
        <v>32.63477839923398</v>
      </c>
    </row>
    <row r="529" spans="2:21" x14ac:dyDescent="0.3">
      <c r="B529" s="13">
        <f t="shared" ca="1" si="80"/>
        <v>0.34429769995650183</v>
      </c>
      <c r="C529" s="14">
        <f t="shared" ca="1" si="80"/>
        <v>0.72534093133373989</v>
      </c>
      <c r="D529" s="14">
        <f t="shared" ca="1" si="81"/>
        <v>-0.40076194398010478</v>
      </c>
      <c r="E529" s="14">
        <f t="shared" ca="1" si="82"/>
        <v>0.59878219459102833</v>
      </c>
      <c r="F529" s="14">
        <f t="shared" ca="1" si="83"/>
        <v>-9.968264204071442E-2</v>
      </c>
      <c r="G529" s="14">
        <f t="shared" ca="1" si="84"/>
        <v>0.34429769995650172</v>
      </c>
      <c r="H529" s="15">
        <f t="shared" ca="1" si="85"/>
        <v>0.72534093133373989</v>
      </c>
      <c r="I529" s="14">
        <f ca="1">IF(G529&lt;0.05,1,0)*$B$1*$B$2</f>
        <v>0</v>
      </c>
      <c r="J529" s="14">
        <f ca="1">IF(H529&lt;0.05,1,0)*$B$1*$B$2</f>
        <v>0</v>
      </c>
      <c r="K529" s="15">
        <f t="shared" ca="1" si="86"/>
        <v>0</v>
      </c>
      <c r="P529" s="3">
        <v>525</v>
      </c>
      <c r="Q529" s="4">
        <f t="shared" ca="1" si="87"/>
        <v>0.34429769995650172</v>
      </c>
      <c r="R529" s="4">
        <f t="shared" ca="1" si="88"/>
        <v>0.72534093133373989</v>
      </c>
      <c r="S529" s="4">
        <f ca="1">$B$1*Q529*$B$2</f>
        <v>13.771907998260071</v>
      </c>
      <c r="T529" s="4">
        <f ca="1">$B$1*R529*$B$2</f>
        <v>29.013637253349597</v>
      </c>
      <c r="U529" s="7">
        <f t="shared" ca="1" si="89"/>
        <v>42.785545251609669</v>
      </c>
    </row>
    <row r="530" spans="2:21" x14ac:dyDescent="0.3">
      <c r="B530" s="13">
        <f t="shared" ca="1" si="80"/>
        <v>0.7563961582089076</v>
      </c>
      <c r="C530" s="14">
        <f t="shared" ca="1" si="80"/>
        <v>0.38213419235037627</v>
      </c>
      <c r="D530" s="14">
        <f t="shared" ca="1" si="81"/>
        <v>0.69475686665293512</v>
      </c>
      <c r="E530" s="14">
        <f t="shared" ca="1" si="82"/>
        <v>-0.29988040068593352</v>
      </c>
      <c r="F530" s="14">
        <f t="shared" ca="1" si="83"/>
        <v>0.49456634381379472</v>
      </c>
      <c r="G530" s="14">
        <f t="shared" ca="1" si="84"/>
        <v>0.75639615820890771</v>
      </c>
      <c r="H530" s="15">
        <f t="shared" ca="1" si="85"/>
        <v>0.38213419235037627</v>
      </c>
      <c r="I530" s="14">
        <f ca="1">IF(G530&lt;0.05,1,0)*$B$1*$B$2</f>
        <v>0</v>
      </c>
      <c r="J530" s="14">
        <f ca="1">IF(H530&lt;0.05,1,0)*$B$1*$B$2</f>
        <v>0</v>
      </c>
      <c r="K530" s="15">
        <f t="shared" ca="1" si="86"/>
        <v>0</v>
      </c>
      <c r="P530" s="3">
        <v>526</v>
      </c>
      <c r="Q530" s="4">
        <f t="shared" ca="1" si="87"/>
        <v>0.75639615820890771</v>
      </c>
      <c r="R530" s="4">
        <f t="shared" ca="1" si="88"/>
        <v>0.38213419235037627</v>
      </c>
      <c r="S530" s="4">
        <f ca="1">$B$1*Q530*$B$2</f>
        <v>30.255846328356309</v>
      </c>
      <c r="T530" s="4">
        <f ca="1">$B$1*R530*$B$2</f>
        <v>15.285367694015051</v>
      </c>
      <c r="U530" s="7">
        <f t="shared" ca="1" si="89"/>
        <v>45.541214022371364</v>
      </c>
    </row>
    <row r="531" spans="2:21" x14ac:dyDescent="0.3">
      <c r="B531" s="13">
        <f t="shared" ca="1" si="80"/>
        <v>0.15248677655376397</v>
      </c>
      <c r="C531" s="14">
        <f t="shared" ca="1" si="80"/>
        <v>0.12002417492835959</v>
      </c>
      <c r="D531" s="14">
        <f t="shared" ca="1" si="81"/>
        <v>-1.0258261171506786</v>
      </c>
      <c r="E531" s="14">
        <f t="shared" ca="1" si="82"/>
        <v>-1.1748659504657557</v>
      </c>
      <c r="F531" s="14">
        <f t="shared" ca="1" si="83"/>
        <v>-1.4353557004643198</v>
      </c>
      <c r="G531" s="14">
        <f t="shared" ca="1" si="84"/>
        <v>0.15248677655376419</v>
      </c>
      <c r="H531" s="15">
        <f t="shared" ca="1" si="85"/>
        <v>0.12002417492835954</v>
      </c>
      <c r="I531" s="14">
        <f ca="1">IF(G531&lt;0.05,1,0)*$B$1*$B$2</f>
        <v>0</v>
      </c>
      <c r="J531" s="14">
        <f ca="1">IF(H531&lt;0.05,1,0)*$B$1*$B$2</f>
        <v>0</v>
      </c>
      <c r="K531" s="15">
        <f t="shared" ca="1" si="86"/>
        <v>0</v>
      </c>
      <c r="P531" s="3">
        <v>527</v>
      </c>
      <c r="Q531" s="4">
        <f t="shared" ca="1" si="87"/>
        <v>0.15248677655376419</v>
      </c>
      <c r="R531" s="4">
        <f t="shared" ca="1" si="88"/>
        <v>0.12002417492835954</v>
      </c>
      <c r="S531" s="4">
        <f ca="1">$B$1*Q531*$B$2</f>
        <v>6.0994710621505677</v>
      </c>
      <c r="T531" s="4">
        <f ca="1">$B$1*R531*$B$2</f>
        <v>4.800966997134382</v>
      </c>
      <c r="U531" s="7">
        <f t="shared" ca="1" si="89"/>
        <v>10.90043805928495</v>
      </c>
    </row>
    <row r="532" spans="2:21" x14ac:dyDescent="0.3">
      <c r="B532" s="13">
        <f t="shared" ca="1" si="80"/>
        <v>0.1681589135379058</v>
      </c>
      <c r="C532" s="14">
        <f t="shared" ca="1" si="80"/>
        <v>0.83725500390777607</v>
      </c>
      <c r="D532" s="14">
        <f t="shared" ca="1" si="81"/>
        <v>-0.96146617083900809</v>
      </c>
      <c r="E532" s="14">
        <f t="shared" ca="1" si="82"/>
        <v>0.98323865901841567</v>
      </c>
      <c r="F532" s="14">
        <f t="shared" ca="1" si="83"/>
        <v>-0.43673575855073526</v>
      </c>
      <c r="G532" s="14">
        <f t="shared" ca="1" si="84"/>
        <v>0.16815891353790591</v>
      </c>
      <c r="H532" s="15">
        <f t="shared" ca="1" si="85"/>
        <v>0.83725500390777596</v>
      </c>
      <c r="I532" s="14">
        <f ca="1">IF(G532&lt;0.05,1,0)*$B$1*$B$2</f>
        <v>0</v>
      </c>
      <c r="J532" s="14">
        <f ca="1">IF(H532&lt;0.05,1,0)*$B$1*$B$2</f>
        <v>0</v>
      </c>
      <c r="K532" s="15">
        <f t="shared" ca="1" si="86"/>
        <v>0</v>
      </c>
      <c r="P532" s="3">
        <v>528</v>
      </c>
      <c r="Q532" s="4">
        <f t="shared" ca="1" si="87"/>
        <v>0.16815891353790591</v>
      </c>
      <c r="R532" s="4">
        <f t="shared" ca="1" si="88"/>
        <v>0.83725500390777596</v>
      </c>
      <c r="S532" s="4">
        <f ca="1">$B$1*Q532*$B$2</f>
        <v>6.7263565415162363</v>
      </c>
      <c r="T532" s="4">
        <f ca="1">$B$1*R532*$B$2</f>
        <v>33.49020015631104</v>
      </c>
      <c r="U532" s="7">
        <f t="shared" ca="1" si="89"/>
        <v>40.216556697827279</v>
      </c>
    </row>
    <row r="533" spans="2:21" x14ac:dyDescent="0.3">
      <c r="B533" s="13">
        <f t="shared" ca="1" si="80"/>
        <v>0.71905352279181356</v>
      </c>
      <c r="C533" s="14">
        <f t="shared" ca="1" si="80"/>
        <v>0.90512324591922999</v>
      </c>
      <c r="D533" s="14">
        <f t="shared" ca="1" si="81"/>
        <v>0.58003212466069887</v>
      </c>
      <c r="E533" s="14">
        <f t="shared" ca="1" si="82"/>
        <v>1.3113086470242608</v>
      </c>
      <c r="F533" s="14">
        <f t="shared" ca="1" si="83"/>
        <v>1.093615099811609</v>
      </c>
      <c r="G533" s="14">
        <f t="shared" ca="1" si="84"/>
        <v>0.71905352279181356</v>
      </c>
      <c r="H533" s="15">
        <f t="shared" ca="1" si="85"/>
        <v>0.90512324591922999</v>
      </c>
      <c r="I533" s="14">
        <f ca="1">IF(G533&lt;0.05,1,0)*$B$1*$B$2</f>
        <v>0</v>
      </c>
      <c r="J533" s="14">
        <f ca="1">IF(H533&lt;0.05,1,0)*$B$1*$B$2</f>
        <v>0</v>
      </c>
      <c r="K533" s="15">
        <f t="shared" ca="1" si="86"/>
        <v>0</v>
      </c>
      <c r="P533" s="3">
        <v>529</v>
      </c>
      <c r="Q533" s="4">
        <f t="shared" ca="1" si="87"/>
        <v>0.71905352279181356</v>
      </c>
      <c r="R533" s="4">
        <f t="shared" ca="1" si="88"/>
        <v>0.90512324591922999</v>
      </c>
      <c r="S533" s="4">
        <f ca="1">$B$1*Q533*$B$2</f>
        <v>28.762140911672546</v>
      </c>
      <c r="T533" s="4">
        <f ca="1">$B$1*R533*$B$2</f>
        <v>36.204929836769203</v>
      </c>
      <c r="U533" s="7">
        <f t="shared" ca="1" si="89"/>
        <v>64.967070748441756</v>
      </c>
    </row>
    <row r="534" spans="2:21" x14ac:dyDescent="0.3">
      <c r="B534" s="13">
        <f t="shared" ca="1" si="80"/>
        <v>0.41638171889377928</v>
      </c>
      <c r="C534" s="14">
        <f t="shared" ca="1" si="80"/>
        <v>0.99980519714417071</v>
      </c>
      <c r="D534" s="14">
        <f t="shared" ca="1" si="81"/>
        <v>-0.21115869864133094</v>
      </c>
      <c r="E534" s="14">
        <f t="shared" ca="1" si="82"/>
        <v>3.5470262891924214</v>
      </c>
      <c r="F534" s="14">
        <f t="shared" ca="1" si="83"/>
        <v>1.3560700856899861</v>
      </c>
      <c r="G534" s="14">
        <f t="shared" ca="1" si="84"/>
        <v>0.41638171889377923</v>
      </c>
      <c r="H534" s="15">
        <f t="shared" ca="1" si="85"/>
        <v>0.99980519714417071</v>
      </c>
      <c r="I534" s="14">
        <f ca="1">IF(G534&lt;0.05,1,0)*$B$1*$B$2</f>
        <v>0</v>
      </c>
      <c r="J534" s="14">
        <f ca="1">IF(H534&lt;0.05,1,0)*$B$1*$B$2</f>
        <v>0</v>
      </c>
      <c r="K534" s="15">
        <f t="shared" ca="1" si="86"/>
        <v>0</v>
      </c>
      <c r="P534" s="3">
        <v>530</v>
      </c>
      <c r="Q534" s="4">
        <f t="shared" ca="1" si="87"/>
        <v>0.41638171889377923</v>
      </c>
      <c r="R534" s="4">
        <f t="shared" ca="1" si="88"/>
        <v>0.99980519714417071</v>
      </c>
      <c r="S534" s="4">
        <f ca="1">$B$1*Q534*$B$2</f>
        <v>16.65526875575117</v>
      </c>
      <c r="T534" s="4">
        <f ca="1">$B$1*R534*$B$2</f>
        <v>39.992207885766831</v>
      </c>
      <c r="U534" s="7">
        <f t="shared" ca="1" si="89"/>
        <v>56.647476641517997</v>
      </c>
    </row>
    <row r="535" spans="2:21" x14ac:dyDescent="0.3">
      <c r="B535" s="13">
        <f t="shared" ca="1" si="80"/>
        <v>0.39983169639574112</v>
      </c>
      <c r="C535" s="14">
        <f t="shared" ca="1" si="80"/>
        <v>0.58735538452752312</v>
      </c>
      <c r="D535" s="14">
        <f t="shared" ca="1" si="81"/>
        <v>-0.25378276031357361</v>
      </c>
      <c r="E535" s="14">
        <f t="shared" ca="1" si="82"/>
        <v>0.2207472599252043</v>
      </c>
      <c r="F535" s="14">
        <f t="shared" ca="1" si="83"/>
        <v>-0.13218298447446911</v>
      </c>
      <c r="G535" s="14">
        <f t="shared" ca="1" si="84"/>
        <v>0.39983169639574112</v>
      </c>
      <c r="H535" s="15">
        <f t="shared" ca="1" si="85"/>
        <v>0.58735538452752323</v>
      </c>
      <c r="I535" s="14">
        <f ca="1">IF(G535&lt;0.05,1,0)*$B$1*$B$2</f>
        <v>0</v>
      </c>
      <c r="J535" s="14">
        <f ca="1">IF(H535&lt;0.05,1,0)*$B$1*$B$2</f>
        <v>0</v>
      </c>
      <c r="K535" s="15">
        <f t="shared" ca="1" si="86"/>
        <v>0</v>
      </c>
      <c r="P535" s="3">
        <v>531</v>
      </c>
      <c r="Q535" s="4">
        <f t="shared" ca="1" si="87"/>
        <v>0.39983169639574112</v>
      </c>
      <c r="R535" s="4">
        <f t="shared" ca="1" si="88"/>
        <v>0.58735538452752323</v>
      </c>
      <c r="S535" s="4">
        <f ca="1">$B$1*Q535*$B$2</f>
        <v>15.993267855829647</v>
      </c>
      <c r="T535" s="4">
        <f ca="1">$B$1*R535*$B$2</f>
        <v>23.494215381100929</v>
      </c>
      <c r="U535" s="7">
        <f t="shared" ca="1" si="89"/>
        <v>39.487483236930572</v>
      </c>
    </row>
    <row r="536" spans="2:21" x14ac:dyDescent="0.3">
      <c r="B536" s="13">
        <f t="shared" ca="1" si="80"/>
        <v>0.85786873122223573</v>
      </c>
      <c r="C536" s="14">
        <f t="shared" ca="1" si="80"/>
        <v>0.43220006637541153</v>
      </c>
      <c r="D536" s="14">
        <f t="shared" ca="1" si="81"/>
        <v>1.0707929500359674</v>
      </c>
      <c r="E536" s="14">
        <f t="shared" ca="1" si="82"/>
        <v>-0.1707757053436412</v>
      </c>
      <c r="F536" s="14">
        <f t="shared" ca="1" si="83"/>
        <v>0.8892742508718896</v>
      </c>
      <c r="G536" s="14">
        <f t="shared" ca="1" si="84"/>
        <v>0.85786873122223573</v>
      </c>
      <c r="H536" s="15">
        <f t="shared" ca="1" si="85"/>
        <v>0.43220006637541153</v>
      </c>
      <c r="I536" s="14">
        <f ca="1">IF(G536&lt;0.05,1,0)*$B$1*$B$2</f>
        <v>0</v>
      </c>
      <c r="J536" s="14">
        <f ca="1">IF(H536&lt;0.05,1,0)*$B$1*$B$2</f>
        <v>0</v>
      </c>
      <c r="K536" s="15">
        <f t="shared" ca="1" si="86"/>
        <v>0</v>
      </c>
      <c r="P536" s="3">
        <v>532</v>
      </c>
      <c r="Q536" s="4">
        <f t="shared" ca="1" si="87"/>
        <v>0.85786873122223573</v>
      </c>
      <c r="R536" s="4">
        <f t="shared" ca="1" si="88"/>
        <v>0.43220006637541153</v>
      </c>
      <c r="S536" s="4">
        <f ca="1">$B$1*Q536*$B$2</f>
        <v>34.314749248889427</v>
      </c>
      <c r="T536" s="4">
        <f ca="1">$B$1*R536*$B$2</f>
        <v>17.288002655016463</v>
      </c>
      <c r="U536" s="7">
        <f t="shared" ca="1" si="89"/>
        <v>51.60275190390589</v>
      </c>
    </row>
    <row r="537" spans="2:21" x14ac:dyDescent="0.3">
      <c r="B537" s="13">
        <f t="shared" ca="1" si="80"/>
        <v>0.93044595377873529</v>
      </c>
      <c r="C537" s="14">
        <f t="shared" ca="1" si="80"/>
        <v>0.85142457736647648</v>
      </c>
      <c r="D537" s="14">
        <f t="shared" ca="1" si="81"/>
        <v>1.4791205737894004</v>
      </c>
      <c r="E537" s="14">
        <f t="shared" ca="1" si="82"/>
        <v>1.0425627579191947</v>
      </c>
      <c r="F537" s="14">
        <f t="shared" ca="1" si="83"/>
        <v>1.7856510868173432</v>
      </c>
      <c r="G537" s="14">
        <f t="shared" ca="1" si="84"/>
        <v>0.93044595377873529</v>
      </c>
      <c r="H537" s="15">
        <f t="shared" ca="1" si="85"/>
        <v>0.8514245773664767</v>
      </c>
      <c r="I537" s="14">
        <f ca="1">IF(G537&lt;0.05,1,0)*$B$1*$B$2</f>
        <v>0</v>
      </c>
      <c r="J537" s="14">
        <f ca="1">IF(H537&lt;0.05,1,0)*$B$1*$B$2</f>
        <v>0</v>
      </c>
      <c r="K537" s="15">
        <f t="shared" ca="1" si="86"/>
        <v>0</v>
      </c>
      <c r="P537" s="3">
        <v>533</v>
      </c>
      <c r="Q537" s="4">
        <f t="shared" ca="1" si="87"/>
        <v>0.93044595377873529</v>
      </c>
      <c r="R537" s="4">
        <f t="shared" ca="1" si="88"/>
        <v>0.8514245773664767</v>
      </c>
      <c r="S537" s="4">
        <f ca="1">$B$1*Q537*$B$2</f>
        <v>37.217838151149415</v>
      </c>
      <c r="T537" s="4">
        <f ca="1">$B$1*R537*$B$2</f>
        <v>34.056983094659067</v>
      </c>
      <c r="U537" s="7">
        <f t="shared" ca="1" si="89"/>
        <v>71.274821245808482</v>
      </c>
    </row>
    <row r="538" spans="2:21" x14ac:dyDescent="0.3">
      <c r="B538" s="13">
        <f t="shared" ca="1" si="80"/>
        <v>0.86051810492749359</v>
      </c>
      <c r="C538" s="14">
        <f t="shared" ca="1" si="80"/>
        <v>3.1625227112623833E-2</v>
      </c>
      <c r="D538" s="14">
        <f t="shared" ca="1" si="81"/>
        <v>1.0826500336201186</v>
      </c>
      <c r="E538" s="14">
        <f t="shared" ca="1" si="82"/>
        <v>-1.8574268162132457</v>
      </c>
      <c r="F538" s="14">
        <f t="shared" ca="1" si="83"/>
        <v>0.16475145156850357</v>
      </c>
      <c r="G538" s="14">
        <f t="shared" ca="1" si="84"/>
        <v>0.8605181049274937</v>
      </c>
      <c r="H538" s="15">
        <f t="shared" ca="1" si="85"/>
        <v>3.1625227112623847E-2</v>
      </c>
      <c r="I538" s="14">
        <f ca="1">IF(G538&lt;0.05,1,0)*$B$1*$B$2</f>
        <v>0</v>
      </c>
      <c r="J538" s="14">
        <f ca="1">IF(H538&lt;0.05,1,0)*$B$1*$B$2</f>
        <v>40</v>
      </c>
      <c r="K538" s="15">
        <f t="shared" ca="1" si="86"/>
        <v>40</v>
      </c>
      <c r="P538" s="3">
        <v>534</v>
      </c>
      <c r="Q538" s="4">
        <f t="shared" ca="1" si="87"/>
        <v>0.8605181049274937</v>
      </c>
      <c r="R538" s="4">
        <f t="shared" ca="1" si="88"/>
        <v>3.1625227112623847E-2</v>
      </c>
      <c r="S538" s="4">
        <f ca="1">$B$1*Q538*$B$2</f>
        <v>34.420724197099752</v>
      </c>
      <c r="T538" s="4">
        <f ca="1">$B$1*R538*$B$2</f>
        <v>1.265009084504954</v>
      </c>
      <c r="U538" s="7">
        <f t="shared" ca="1" si="89"/>
        <v>35.685733281604705</v>
      </c>
    </row>
    <row r="539" spans="2:21" x14ac:dyDescent="0.3">
      <c r="B539" s="13">
        <f t="shared" ca="1" si="80"/>
        <v>0.79637435339639828</v>
      </c>
      <c r="C539" s="14">
        <f t="shared" ca="1" si="80"/>
        <v>0.19121863213783652</v>
      </c>
      <c r="D539" s="14">
        <f t="shared" ca="1" si="81"/>
        <v>0.8287404470011912</v>
      </c>
      <c r="E539" s="14">
        <f t="shared" ca="1" si="82"/>
        <v>-0.87341436446548992</v>
      </c>
      <c r="F539" s="14">
        <f t="shared" ca="1" si="83"/>
        <v>0.36515390724688496</v>
      </c>
      <c r="G539" s="14">
        <f t="shared" ca="1" si="84"/>
        <v>0.79637435339639828</v>
      </c>
      <c r="H539" s="15">
        <f t="shared" ca="1" si="85"/>
        <v>0.19121863213783646</v>
      </c>
      <c r="I539" s="14">
        <f ca="1">IF(G539&lt;0.05,1,0)*$B$1*$B$2</f>
        <v>0</v>
      </c>
      <c r="J539" s="14">
        <f ca="1">IF(H539&lt;0.05,1,0)*$B$1*$B$2</f>
        <v>0</v>
      </c>
      <c r="K539" s="15">
        <f t="shared" ca="1" si="86"/>
        <v>0</v>
      </c>
      <c r="P539" s="3">
        <v>535</v>
      </c>
      <c r="Q539" s="4">
        <f t="shared" ca="1" si="87"/>
        <v>0.79637435339639828</v>
      </c>
      <c r="R539" s="4">
        <f t="shared" ca="1" si="88"/>
        <v>0.19121863213783646</v>
      </c>
      <c r="S539" s="4">
        <f ca="1">$B$1*Q539*$B$2</f>
        <v>31.85497413585593</v>
      </c>
      <c r="T539" s="4">
        <f ca="1">$B$1*R539*$B$2</f>
        <v>7.6487452855134599</v>
      </c>
      <c r="U539" s="7">
        <f t="shared" ca="1" si="89"/>
        <v>39.503719421369389</v>
      </c>
    </row>
    <row r="540" spans="2:21" x14ac:dyDescent="0.3">
      <c r="B540" s="13">
        <f t="shared" ca="1" si="80"/>
        <v>0.59913639136689556</v>
      </c>
      <c r="C540" s="14">
        <f t="shared" ca="1" si="80"/>
        <v>7.7252047167520543E-2</v>
      </c>
      <c r="D540" s="14">
        <f t="shared" ca="1" si="81"/>
        <v>0.25111238955793108</v>
      </c>
      <c r="E540" s="14">
        <f t="shared" ca="1" si="82"/>
        <v>-1.4238009717647349</v>
      </c>
      <c r="F540" s="14">
        <f t="shared" ca="1" si="83"/>
        <v>-0.39461930456161065</v>
      </c>
      <c r="G540" s="14">
        <f t="shared" ca="1" si="84"/>
        <v>0.59913639136689567</v>
      </c>
      <c r="H540" s="15">
        <f t="shared" ca="1" si="85"/>
        <v>7.7252047167520502E-2</v>
      </c>
      <c r="I540" s="14">
        <f ca="1">IF(G540&lt;0.05,1,0)*$B$1*$B$2</f>
        <v>0</v>
      </c>
      <c r="J540" s="14">
        <f ca="1">IF(H540&lt;0.05,1,0)*$B$1*$B$2</f>
        <v>0</v>
      </c>
      <c r="K540" s="15">
        <f t="shared" ca="1" si="86"/>
        <v>0</v>
      </c>
      <c r="P540" s="3">
        <v>536</v>
      </c>
      <c r="Q540" s="4">
        <f t="shared" ca="1" si="87"/>
        <v>0.59913639136689567</v>
      </c>
      <c r="R540" s="4">
        <f t="shared" ca="1" si="88"/>
        <v>7.7252047167520502E-2</v>
      </c>
      <c r="S540" s="4">
        <f ca="1">$B$1*Q540*$B$2</f>
        <v>23.965455654675829</v>
      </c>
      <c r="T540" s="4">
        <f ca="1">$B$1*R540*$B$2</f>
        <v>3.0900818867008204</v>
      </c>
      <c r="U540" s="7">
        <f t="shared" ca="1" si="89"/>
        <v>27.055537541376648</v>
      </c>
    </row>
    <row r="541" spans="2:21" x14ac:dyDescent="0.3">
      <c r="B541" s="13">
        <f t="shared" ca="1" si="80"/>
        <v>0.51670256972810436</v>
      </c>
      <c r="C541" s="14">
        <f t="shared" ca="1" si="80"/>
        <v>0.65740208427334212</v>
      </c>
      <c r="D541" s="14">
        <f t="shared" ca="1" si="81"/>
        <v>4.187937223109213E-2</v>
      </c>
      <c r="E541" s="14">
        <f t="shared" ca="1" si="82"/>
        <v>0.40538323614008248</v>
      </c>
      <c r="F541" s="14">
        <f t="shared" ca="1" si="83"/>
        <v>0.21439389098199338</v>
      </c>
      <c r="G541" s="14">
        <f t="shared" ca="1" si="84"/>
        <v>0.51670256972810436</v>
      </c>
      <c r="H541" s="15">
        <f t="shared" ca="1" si="85"/>
        <v>0.65740208427334212</v>
      </c>
      <c r="I541" s="14">
        <f ca="1">IF(G541&lt;0.05,1,0)*$B$1*$B$2</f>
        <v>0</v>
      </c>
      <c r="J541" s="14">
        <f ca="1">IF(H541&lt;0.05,1,0)*$B$1*$B$2</f>
        <v>0</v>
      </c>
      <c r="K541" s="15">
        <f t="shared" ca="1" si="86"/>
        <v>0</v>
      </c>
      <c r="P541" s="3">
        <v>537</v>
      </c>
      <c r="Q541" s="4">
        <f t="shared" ca="1" si="87"/>
        <v>0.51670256972810436</v>
      </c>
      <c r="R541" s="4">
        <f t="shared" ca="1" si="88"/>
        <v>0.65740208427334212</v>
      </c>
      <c r="S541" s="4">
        <f ca="1">$B$1*Q541*$B$2</f>
        <v>20.668102789124177</v>
      </c>
      <c r="T541" s="4">
        <f ca="1">$B$1*R541*$B$2</f>
        <v>26.296083370933687</v>
      </c>
      <c r="U541" s="7">
        <f t="shared" ca="1" si="89"/>
        <v>46.964186160057864</v>
      </c>
    </row>
    <row r="542" spans="2:21" x14ac:dyDescent="0.3">
      <c r="B542" s="13">
        <f t="shared" ca="1" si="80"/>
        <v>0.21716973748940294</v>
      </c>
      <c r="C542" s="14">
        <f t="shared" ca="1" si="80"/>
        <v>0.75931894935986588</v>
      </c>
      <c r="D542" s="14">
        <f t="shared" ca="1" si="81"/>
        <v>-0.78178748877750992</v>
      </c>
      <c r="E542" s="14">
        <f t="shared" ca="1" si="82"/>
        <v>0.70411348758036674</v>
      </c>
      <c r="F542" s="14">
        <f t="shared" ca="1" si="83"/>
        <v>-0.39669278618507903</v>
      </c>
      <c r="G542" s="14">
        <f t="shared" ca="1" si="84"/>
        <v>0.21716973748940299</v>
      </c>
      <c r="H542" s="15">
        <f t="shared" ca="1" si="85"/>
        <v>0.75931894935986599</v>
      </c>
      <c r="I542" s="14">
        <f ca="1">IF(G542&lt;0.05,1,0)*$B$1*$B$2</f>
        <v>0</v>
      </c>
      <c r="J542" s="14">
        <f ca="1">IF(H542&lt;0.05,1,0)*$B$1*$B$2</f>
        <v>0</v>
      </c>
      <c r="K542" s="15">
        <f t="shared" ca="1" si="86"/>
        <v>0</v>
      </c>
      <c r="P542" s="3">
        <v>538</v>
      </c>
      <c r="Q542" s="4">
        <f t="shared" ca="1" si="87"/>
        <v>0.21716973748940299</v>
      </c>
      <c r="R542" s="4">
        <f t="shared" ca="1" si="88"/>
        <v>0.75931894935986599</v>
      </c>
      <c r="S542" s="4">
        <f ca="1">$B$1*Q542*$B$2</f>
        <v>8.6867894995761201</v>
      </c>
      <c r="T542" s="4">
        <f ca="1">$B$1*R542*$B$2</f>
        <v>30.372757974394645</v>
      </c>
      <c r="U542" s="7">
        <f t="shared" ca="1" si="89"/>
        <v>39.059547473970767</v>
      </c>
    </row>
    <row r="543" spans="2:21" x14ac:dyDescent="0.3">
      <c r="B543" s="13">
        <f t="shared" ca="1" si="80"/>
        <v>0.16707103167739468</v>
      </c>
      <c r="C543" s="14">
        <f t="shared" ca="1" si="80"/>
        <v>0.36345890467966413</v>
      </c>
      <c r="D543" s="14">
        <f t="shared" ca="1" si="81"/>
        <v>-0.9658044060509362</v>
      </c>
      <c r="E543" s="14">
        <f t="shared" ca="1" si="82"/>
        <v>-0.34922844973377509</v>
      </c>
      <c r="F543" s="14">
        <f t="shared" ca="1" si="83"/>
        <v>-1.0214491175057325</v>
      </c>
      <c r="G543" s="14">
        <f t="shared" ca="1" si="84"/>
        <v>0.16707103167739451</v>
      </c>
      <c r="H543" s="15">
        <f t="shared" ca="1" si="85"/>
        <v>0.36345890467966402</v>
      </c>
      <c r="I543" s="14">
        <f ca="1">IF(G543&lt;0.05,1,0)*$B$1*$B$2</f>
        <v>0</v>
      </c>
      <c r="J543" s="14">
        <f ca="1">IF(H543&lt;0.05,1,0)*$B$1*$B$2</f>
        <v>0</v>
      </c>
      <c r="K543" s="15">
        <f t="shared" ca="1" si="86"/>
        <v>0</v>
      </c>
      <c r="P543" s="3">
        <v>539</v>
      </c>
      <c r="Q543" s="4">
        <f t="shared" ca="1" si="87"/>
        <v>0.16707103167739451</v>
      </c>
      <c r="R543" s="4">
        <f t="shared" ca="1" si="88"/>
        <v>0.36345890467966402</v>
      </c>
      <c r="S543" s="4">
        <f ca="1">$B$1*Q543*$B$2</f>
        <v>6.6828412670957809</v>
      </c>
      <c r="T543" s="4">
        <f ca="1">$B$1*R543*$B$2</f>
        <v>14.53835618718656</v>
      </c>
      <c r="U543" s="7">
        <f t="shared" ca="1" si="89"/>
        <v>21.22119745428234</v>
      </c>
    </row>
    <row r="544" spans="2:21" x14ac:dyDescent="0.3">
      <c r="B544" s="13">
        <f t="shared" ca="1" si="80"/>
        <v>0.73004274676631198</v>
      </c>
      <c r="C544" s="14">
        <f t="shared" ca="1" si="80"/>
        <v>0.8143490984091164</v>
      </c>
      <c r="D544" s="14">
        <f t="shared" ca="1" si="81"/>
        <v>0.61294227890130326</v>
      </c>
      <c r="E544" s="14">
        <f t="shared" ca="1" si="82"/>
        <v>0.89403754527574575</v>
      </c>
      <c r="F544" s="14">
        <f t="shared" ca="1" si="83"/>
        <v>0.94134998216998744</v>
      </c>
      <c r="G544" s="14">
        <f t="shared" ca="1" si="84"/>
        <v>0.73004274676631198</v>
      </c>
      <c r="H544" s="15">
        <f t="shared" ca="1" si="85"/>
        <v>0.81434909840911618</v>
      </c>
      <c r="I544" s="14">
        <f ca="1">IF(G544&lt;0.05,1,0)*$B$1*$B$2</f>
        <v>0</v>
      </c>
      <c r="J544" s="14">
        <f ca="1">IF(H544&lt;0.05,1,0)*$B$1*$B$2</f>
        <v>0</v>
      </c>
      <c r="K544" s="15">
        <f t="shared" ca="1" si="86"/>
        <v>0</v>
      </c>
      <c r="P544" s="3">
        <v>540</v>
      </c>
      <c r="Q544" s="4">
        <f t="shared" ca="1" si="87"/>
        <v>0.73004274676631198</v>
      </c>
      <c r="R544" s="4">
        <f t="shared" ca="1" si="88"/>
        <v>0.81434909840911618</v>
      </c>
      <c r="S544" s="4">
        <f ca="1">$B$1*Q544*$B$2</f>
        <v>29.201709870652479</v>
      </c>
      <c r="T544" s="4">
        <f ca="1">$B$1*R544*$B$2</f>
        <v>32.573963936364649</v>
      </c>
      <c r="U544" s="7">
        <f t="shared" ca="1" si="89"/>
        <v>61.775673807017128</v>
      </c>
    </row>
    <row r="545" spans="2:21" x14ac:dyDescent="0.3">
      <c r="B545" s="13">
        <f t="shared" ca="1" si="80"/>
        <v>0.54413651752482606</v>
      </c>
      <c r="C545" s="14">
        <f t="shared" ca="1" si="80"/>
        <v>6.308002946470892E-2</v>
      </c>
      <c r="D545" s="14">
        <f t="shared" ca="1" si="81"/>
        <v>0.11086050497953212</v>
      </c>
      <c r="E545" s="14">
        <f t="shared" ca="1" si="82"/>
        <v>-1.5294212050488218</v>
      </c>
      <c r="F545" s="14">
        <f t="shared" ca="1" si="83"/>
        <v>-0.56688479301002226</v>
      </c>
      <c r="G545" s="14">
        <f t="shared" ca="1" si="84"/>
        <v>0.54413651752482606</v>
      </c>
      <c r="H545" s="15">
        <f t="shared" ca="1" si="85"/>
        <v>6.3080029464708948E-2</v>
      </c>
      <c r="I545" s="14">
        <f ca="1">IF(G545&lt;0.05,1,0)*$B$1*$B$2</f>
        <v>0</v>
      </c>
      <c r="J545" s="14">
        <f ca="1">IF(H545&lt;0.05,1,0)*$B$1*$B$2</f>
        <v>0</v>
      </c>
      <c r="K545" s="15">
        <f t="shared" ca="1" si="86"/>
        <v>0</v>
      </c>
      <c r="P545" s="3">
        <v>541</v>
      </c>
      <c r="Q545" s="4">
        <f t="shared" ca="1" si="87"/>
        <v>0.54413651752482606</v>
      </c>
      <c r="R545" s="4">
        <f t="shared" ca="1" si="88"/>
        <v>6.3080029464708948E-2</v>
      </c>
      <c r="S545" s="4">
        <f ca="1">$B$1*Q545*$B$2</f>
        <v>21.765460700993046</v>
      </c>
      <c r="T545" s="4">
        <f ca="1">$B$1*R545*$B$2</f>
        <v>2.5232011785883581</v>
      </c>
      <c r="U545" s="7">
        <f t="shared" ca="1" si="89"/>
        <v>24.288661879581404</v>
      </c>
    </row>
    <row r="546" spans="2:21" x14ac:dyDescent="0.3">
      <c r="B546" s="13">
        <f t="shared" ca="1" si="80"/>
        <v>0.81200374693652611</v>
      </c>
      <c r="C546" s="14">
        <f t="shared" ca="1" si="80"/>
        <v>6.1060008105632835E-2</v>
      </c>
      <c r="D546" s="14">
        <f t="shared" ca="1" si="81"/>
        <v>0.88530434693956717</v>
      </c>
      <c r="E546" s="14">
        <f t="shared" ca="1" si="82"/>
        <v>-1.5459360370055311</v>
      </c>
      <c r="F546" s="14">
        <f t="shared" ca="1" si="83"/>
        <v>0.12291601639712413</v>
      </c>
      <c r="G546" s="14">
        <f t="shared" ca="1" si="84"/>
        <v>0.81200374693652611</v>
      </c>
      <c r="H546" s="15">
        <f t="shared" ca="1" si="85"/>
        <v>6.1060008105632863E-2</v>
      </c>
      <c r="I546" s="14">
        <f ca="1">IF(G546&lt;0.05,1,0)*$B$1*$B$2</f>
        <v>0</v>
      </c>
      <c r="J546" s="14">
        <f ca="1">IF(H546&lt;0.05,1,0)*$B$1*$B$2</f>
        <v>0</v>
      </c>
      <c r="K546" s="15">
        <f t="shared" ca="1" si="86"/>
        <v>0</v>
      </c>
      <c r="P546" s="3">
        <v>542</v>
      </c>
      <c r="Q546" s="4">
        <f t="shared" ca="1" si="87"/>
        <v>0.81200374693652611</v>
      </c>
      <c r="R546" s="4">
        <f t="shared" ca="1" si="88"/>
        <v>6.1060008105632863E-2</v>
      </c>
      <c r="S546" s="4">
        <f ca="1">$B$1*Q546*$B$2</f>
        <v>32.480149877461045</v>
      </c>
      <c r="T546" s="4">
        <f ca="1">$B$1*R546*$B$2</f>
        <v>2.4424003242253147</v>
      </c>
      <c r="U546" s="7">
        <f t="shared" ca="1" si="89"/>
        <v>34.922550201686363</v>
      </c>
    </row>
    <row r="547" spans="2:21" x14ac:dyDescent="0.3">
      <c r="B547" s="13">
        <f t="shared" ca="1" si="80"/>
        <v>0.91522000051647856</v>
      </c>
      <c r="C547" s="14">
        <f t="shared" ca="1" si="80"/>
        <v>0.13061229818680731</v>
      </c>
      <c r="D547" s="14">
        <f t="shared" ca="1" si="81"/>
        <v>1.3736189878621179</v>
      </c>
      <c r="E547" s="14">
        <f t="shared" ca="1" si="82"/>
        <v>-1.1235014234594825</v>
      </c>
      <c r="F547" s="14">
        <f t="shared" ca="1" si="83"/>
        <v>0.74653417229750807</v>
      </c>
      <c r="G547" s="14">
        <f t="shared" ca="1" si="84"/>
        <v>0.91522000051647856</v>
      </c>
      <c r="H547" s="15">
        <f t="shared" ca="1" si="85"/>
        <v>0.1306122981868072</v>
      </c>
      <c r="I547" s="14">
        <f ca="1">IF(G547&lt;0.05,1,0)*$B$1*$B$2</f>
        <v>0</v>
      </c>
      <c r="J547" s="14">
        <f ca="1">IF(H547&lt;0.05,1,0)*$B$1*$B$2</f>
        <v>0</v>
      </c>
      <c r="K547" s="15">
        <f t="shared" ca="1" si="86"/>
        <v>0</v>
      </c>
      <c r="P547" s="3">
        <v>543</v>
      </c>
      <c r="Q547" s="4">
        <f t="shared" ca="1" si="87"/>
        <v>0.91522000051647856</v>
      </c>
      <c r="R547" s="4">
        <f t="shared" ca="1" si="88"/>
        <v>0.1306122981868072</v>
      </c>
      <c r="S547" s="4">
        <f ca="1">$B$1*Q547*$B$2</f>
        <v>36.608800020659139</v>
      </c>
      <c r="T547" s="4">
        <f ca="1">$B$1*R547*$B$2</f>
        <v>5.2244919274722879</v>
      </c>
      <c r="U547" s="7">
        <f t="shared" ca="1" si="89"/>
        <v>41.833291948131425</v>
      </c>
    </row>
    <row r="548" spans="2:21" x14ac:dyDescent="0.3">
      <c r="B548" s="13">
        <f t="shared" ca="1" si="80"/>
        <v>0.95107533584866444</v>
      </c>
      <c r="C548" s="14">
        <f t="shared" ca="1" si="80"/>
        <v>0.45327468954331573</v>
      </c>
      <c r="D548" s="14">
        <f t="shared" ca="1" si="81"/>
        <v>1.655370686823517</v>
      </c>
      <c r="E548" s="14">
        <f t="shared" ca="1" si="82"/>
        <v>-0.11739205581566584</v>
      </c>
      <c r="F548" s="14">
        <f t="shared" ca="1" si="83"/>
        <v>1.438663607333668</v>
      </c>
      <c r="G548" s="14">
        <f t="shared" ca="1" si="84"/>
        <v>0.95107533584866444</v>
      </c>
      <c r="H548" s="15">
        <f t="shared" ca="1" si="85"/>
        <v>0.45327468954331573</v>
      </c>
      <c r="I548" s="14">
        <f ca="1">IF(G548&lt;0.05,1,0)*$B$1*$B$2</f>
        <v>0</v>
      </c>
      <c r="J548" s="14">
        <f ca="1">IF(H548&lt;0.05,1,0)*$B$1*$B$2</f>
        <v>0</v>
      </c>
      <c r="K548" s="15">
        <f t="shared" ca="1" si="86"/>
        <v>0</v>
      </c>
      <c r="P548" s="3">
        <v>544</v>
      </c>
      <c r="Q548" s="4">
        <f t="shared" ca="1" si="87"/>
        <v>0.95107533584866444</v>
      </c>
      <c r="R548" s="4">
        <f t="shared" ca="1" si="88"/>
        <v>0.45327468954331573</v>
      </c>
      <c r="S548" s="4">
        <f ca="1">$B$1*Q548*$B$2</f>
        <v>38.043013433946577</v>
      </c>
      <c r="T548" s="4">
        <f ca="1">$B$1*R548*$B$2</f>
        <v>18.130987581732629</v>
      </c>
      <c r="U548" s="7">
        <f t="shared" ca="1" si="89"/>
        <v>56.17400101567921</v>
      </c>
    </row>
    <row r="549" spans="2:21" x14ac:dyDescent="0.3">
      <c r="B549" s="13">
        <f t="shared" ca="1" si="80"/>
        <v>3.2677186606259179E-2</v>
      </c>
      <c r="C549" s="14">
        <f t="shared" ca="1" si="80"/>
        <v>2.6810695397774253E-3</v>
      </c>
      <c r="D549" s="14">
        <f t="shared" ca="1" si="81"/>
        <v>-1.8428263161796927</v>
      </c>
      <c r="E549" s="14">
        <f t="shared" ca="1" si="82"/>
        <v>-2.7844330432867168</v>
      </c>
      <c r="F549" s="14">
        <f t="shared" ca="1" si="83"/>
        <v>-2.8722499096359444</v>
      </c>
      <c r="G549" s="14">
        <f t="shared" ca="1" si="84"/>
        <v>3.2677186606259179E-2</v>
      </c>
      <c r="H549" s="15">
        <f t="shared" ca="1" si="85"/>
        <v>2.6810695397774266E-3</v>
      </c>
      <c r="I549" s="14">
        <f ca="1">IF(G549&lt;0.05,1,0)*$B$1*$B$2</f>
        <v>40</v>
      </c>
      <c r="J549" s="14">
        <f ca="1">IF(H549&lt;0.05,1,0)*$B$1*$B$2</f>
        <v>40</v>
      </c>
      <c r="K549" s="15">
        <f t="shared" ca="1" si="86"/>
        <v>80</v>
      </c>
      <c r="P549" s="3">
        <v>545</v>
      </c>
      <c r="Q549" s="4">
        <f t="shared" ca="1" si="87"/>
        <v>3.2677186606259179E-2</v>
      </c>
      <c r="R549" s="4">
        <f t="shared" ca="1" si="88"/>
        <v>2.6810695397774266E-3</v>
      </c>
      <c r="S549" s="4">
        <f ca="1">$B$1*Q549*$B$2</f>
        <v>1.3070874642503671</v>
      </c>
      <c r="T549" s="4">
        <f ca="1">$B$1*R549*$B$2</f>
        <v>0.10724278159109707</v>
      </c>
      <c r="U549" s="7">
        <f t="shared" ca="1" si="89"/>
        <v>1.4143302458414642</v>
      </c>
    </row>
    <row r="550" spans="2:21" x14ac:dyDescent="0.3">
      <c r="B550" s="13">
        <f t="shared" ca="1" si="80"/>
        <v>0.5058108303008878</v>
      </c>
      <c r="C550" s="14">
        <f t="shared" ca="1" si="80"/>
        <v>0.4586242151862111</v>
      </c>
      <c r="D550" s="14">
        <f t="shared" ca="1" si="81"/>
        <v>1.4566106600249653E-2</v>
      </c>
      <c r="E550" s="14">
        <f t="shared" ca="1" si="82"/>
        <v>-0.10390034871451485</v>
      </c>
      <c r="F550" s="14">
        <f t="shared" ca="1" si="83"/>
        <v>-3.2179616084295939E-2</v>
      </c>
      <c r="G550" s="14">
        <f t="shared" ca="1" si="84"/>
        <v>0.5058108303008878</v>
      </c>
      <c r="H550" s="15">
        <f t="shared" ca="1" si="85"/>
        <v>0.4586242151862111</v>
      </c>
      <c r="I550" s="14">
        <f ca="1">IF(G550&lt;0.05,1,0)*$B$1*$B$2</f>
        <v>0</v>
      </c>
      <c r="J550" s="14">
        <f ca="1">IF(H550&lt;0.05,1,0)*$B$1*$B$2</f>
        <v>0</v>
      </c>
      <c r="K550" s="15">
        <f t="shared" ca="1" si="86"/>
        <v>0</v>
      </c>
      <c r="P550" s="3">
        <v>546</v>
      </c>
      <c r="Q550" s="4">
        <f t="shared" ca="1" si="87"/>
        <v>0.5058108303008878</v>
      </c>
      <c r="R550" s="4">
        <f t="shared" ca="1" si="88"/>
        <v>0.4586242151862111</v>
      </c>
      <c r="S550" s="4">
        <f ca="1">$B$1*Q550*$B$2</f>
        <v>20.232433212035513</v>
      </c>
      <c r="T550" s="4">
        <f ca="1">$B$1*R550*$B$2</f>
        <v>18.344968607448447</v>
      </c>
      <c r="U550" s="7">
        <f t="shared" ca="1" si="89"/>
        <v>38.57740181948396</v>
      </c>
    </row>
    <row r="551" spans="2:21" x14ac:dyDescent="0.3">
      <c r="B551" s="13">
        <f t="shared" ca="1" si="80"/>
        <v>0.28219789008296436</v>
      </c>
      <c r="C551" s="14">
        <f t="shared" ca="1" si="80"/>
        <v>0.48873335455648237</v>
      </c>
      <c r="D551" s="14">
        <f t="shared" ca="1" si="81"/>
        <v>-0.5763246267023121</v>
      </c>
      <c r="E551" s="14">
        <f t="shared" ca="1" si="82"/>
        <v>-2.824504714786193E-2</v>
      </c>
      <c r="F551" s="14">
        <f t="shared" ca="1" si="83"/>
        <v>-0.53100389464938813</v>
      </c>
      <c r="G551" s="14">
        <f t="shared" ca="1" si="84"/>
        <v>0.28219789008296431</v>
      </c>
      <c r="H551" s="15">
        <f t="shared" ca="1" si="85"/>
        <v>0.48873335455648237</v>
      </c>
      <c r="I551" s="14">
        <f ca="1">IF(G551&lt;0.05,1,0)*$B$1*$B$2</f>
        <v>0</v>
      </c>
      <c r="J551" s="14">
        <f ca="1">IF(H551&lt;0.05,1,0)*$B$1*$B$2</f>
        <v>0</v>
      </c>
      <c r="K551" s="15">
        <f t="shared" ca="1" si="86"/>
        <v>0</v>
      </c>
      <c r="P551" s="3">
        <v>547</v>
      </c>
      <c r="Q551" s="4">
        <f t="shared" ca="1" si="87"/>
        <v>0.28219789008296431</v>
      </c>
      <c r="R551" s="4">
        <f t="shared" ca="1" si="88"/>
        <v>0.48873335455648237</v>
      </c>
      <c r="S551" s="4">
        <f ca="1">$B$1*Q551*$B$2</f>
        <v>11.287915603318574</v>
      </c>
      <c r="T551" s="4">
        <f ca="1">$B$1*R551*$B$2</f>
        <v>19.549334182259297</v>
      </c>
      <c r="U551" s="7">
        <f t="shared" ca="1" si="89"/>
        <v>30.837249785577871</v>
      </c>
    </row>
    <row r="552" spans="2:21" x14ac:dyDescent="0.3">
      <c r="B552" s="13">
        <f t="shared" ca="1" si="80"/>
        <v>0.14504539417847551</v>
      </c>
      <c r="C552" s="14">
        <f t="shared" ca="1" si="80"/>
        <v>0.16538251611313892</v>
      </c>
      <c r="D552" s="14">
        <f t="shared" ca="1" si="81"/>
        <v>-1.0579224737752047</v>
      </c>
      <c r="E552" s="14">
        <f t="shared" ca="1" si="82"/>
        <v>-0.97257407590743417</v>
      </c>
      <c r="F552" s="14">
        <f t="shared" ca="1" si="83"/>
        <v>-1.3760654375964803</v>
      </c>
      <c r="G552" s="14">
        <f t="shared" ca="1" si="84"/>
        <v>0.14504539417847551</v>
      </c>
      <c r="H552" s="15">
        <f t="shared" ca="1" si="85"/>
        <v>0.16538251611313867</v>
      </c>
      <c r="I552" s="14">
        <f ca="1">IF(G552&lt;0.05,1,0)*$B$1*$B$2</f>
        <v>0</v>
      </c>
      <c r="J552" s="14">
        <f ca="1">IF(H552&lt;0.05,1,0)*$B$1*$B$2</f>
        <v>0</v>
      </c>
      <c r="K552" s="15">
        <f t="shared" ca="1" si="86"/>
        <v>0</v>
      </c>
      <c r="P552" s="3">
        <v>548</v>
      </c>
      <c r="Q552" s="4">
        <f t="shared" ca="1" si="87"/>
        <v>0.14504539417847551</v>
      </c>
      <c r="R552" s="4">
        <f t="shared" ca="1" si="88"/>
        <v>0.16538251611313867</v>
      </c>
      <c r="S552" s="4">
        <f ca="1">$B$1*Q552*$B$2</f>
        <v>5.8018157671390203</v>
      </c>
      <c r="T552" s="4">
        <f ca="1">$B$1*R552*$B$2</f>
        <v>6.6153006445255471</v>
      </c>
      <c r="U552" s="7">
        <f t="shared" ca="1" si="89"/>
        <v>12.417116411664567</v>
      </c>
    </row>
    <row r="553" spans="2:21" x14ac:dyDescent="0.3">
      <c r="B553" s="13">
        <f t="shared" ca="1" si="80"/>
        <v>0.66621256901529846</v>
      </c>
      <c r="C553" s="14">
        <f t="shared" ca="1" si="80"/>
        <v>6.6194665569249356E-2</v>
      </c>
      <c r="D553" s="14">
        <f t="shared" ca="1" si="81"/>
        <v>0.42947874055673291</v>
      </c>
      <c r="E553" s="14">
        <f t="shared" ca="1" si="82"/>
        <v>-1.5047462355715322</v>
      </c>
      <c r="F553" s="14">
        <f t="shared" ca="1" si="83"/>
        <v>-0.26937281115189604</v>
      </c>
      <c r="G553" s="14">
        <f t="shared" ca="1" si="84"/>
        <v>0.66621256901529846</v>
      </c>
      <c r="H553" s="15">
        <f t="shared" ca="1" si="85"/>
        <v>6.6194665569249397E-2</v>
      </c>
      <c r="I553" s="14">
        <f ca="1">IF(G553&lt;0.05,1,0)*$B$1*$B$2</f>
        <v>0</v>
      </c>
      <c r="J553" s="14">
        <f ca="1">IF(H553&lt;0.05,1,0)*$B$1*$B$2</f>
        <v>0</v>
      </c>
      <c r="K553" s="15">
        <f t="shared" ca="1" si="86"/>
        <v>0</v>
      </c>
      <c r="P553" s="3">
        <v>549</v>
      </c>
      <c r="Q553" s="4">
        <f t="shared" ca="1" si="87"/>
        <v>0.66621256901529846</v>
      </c>
      <c r="R553" s="4">
        <f t="shared" ca="1" si="88"/>
        <v>6.6194665569249397E-2</v>
      </c>
      <c r="S553" s="4">
        <f ca="1">$B$1*Q553*$B$2</f>
        <v>26.64850276061194</v>
      </c>
      <c r="T553" s="4">
        <f ca="1">$B$1*R553*$B$2</f>
        <v>2.647786622769976</v>
      </c>
      <c r="U553" s="7">
        <f t="shared" ca="1" si="89"/>
        <v>29.296289383381918</v>
      </c>
    </row>
    <row r="554" spans="2:21" x14ac:dyDescent="0.3">
      <c r="B554" s="13">
        <f t="shared" ca="1" si="80"/>
        <v>0.72960830251467634</v>
      </c>
      <c r="C554" s="14">
        <f t="shared" ca="1" si="80"/>
        <v>0.87009130635292997</v>
      </c>
      <c r="D554" s="14">
        <f t="shared" ca="1" si="81"/>
        <v>0.61162877576946129</v>
      </c>
      <c r="E554" s="14">
        <f t="shared" ca="1" si="82"/>
        <v>1.1268228504738593</v>
      </c>
      <c r="F554" s="14">
        <f t="shared" ca="1" si="83"/>
        <v>1.0416365914413146</v>
      </c>
      <c r="G554" s="14">
        <f t="shared" ca="1" si="84"/>
        <v>0.72960830251467645</v>
      </c>
      <c r="H554" s="15">
        <f t="shared" ca="1" si="85"/>
        <v>0.87009130635293008</v>
      </c>
      <c r="I554" s="14">
        <f ca="1">IF(G554&lt;0.05,1,0)*$B$1*$B$2</f>
        <v>0</v>
      </c>
      <c r="J554" s="14">
        <f ca="1">IF(H554&lt;0.05,1,0)*$B$1*$B$2</f>
        <v>0</v>
      </c>
      <c r="K554" s="15">
        <f t="shared" ca="1" si="86"/>
        <v>0</v>
      </c>
      <c r="P554" s="3">
        <v>550</v>
      </c>
      <c r="Q554" s="4">
        <f t="shared" ca="1" si="87"/>
        <v>0.72960830251467645</v>
      </c>
      <c r="R554" s="4">
        <f t="shared" ca="1" si="88"/>
        <v>0.87009130635293008</v>
      </c>
      <c r="S554" s="4">
        <f ca="1">$B$1*Q554*$B$2</f>
        <v>29.184332100587056</v>
      </c>
      <c r="T554" s="4">
        <f ca="1">$B$1*R554*$B$2</f>
        <v>34.803652254117203</v>
      </c>
      <c r="U554" s="7">
        <f t="shared" ca="1" si="89"/>
        <v>63.98798435470426</v>
      </c>
    </row>
    <row r="555" spans="2:21" x14ac:dyDescent="0.3">
      <c r="B555" s="13">
        <f t="shared" ca="1" si="80"/>
        <v>0.65324573529133567</v>
      </c>
      <c r="C555" s="14">
        <f t="shared" ca="1" si="80"/>
        <v>0.48972155674901341</v>
      </c>
      <c r="D555" s="14">
        <f t="shared" ca="1" si="81"/>
        <v>0.39409821418652419</v>
      </c>
      <c r="E555" s="14">
        <f t="shared" ca="1" si="82"/>
        <v>-2.5767087500198977E-2</v>
      </c>
      <c r="F555" s="14">
        <f t="shared" ca="1" si="83"/>
        <v>0.34345677971959804</v>
      </c>
      <c r="G555" s="14">
        <f t="shared" ca="1" si="84"/>
        <v>0.65324573529133567</v>
      </c>
      <c r="H555" s="15">
        <f t="shared" ca="1" si="85"/>
        <v>0.48972155674901341</v>
      </c>
      <c r="I555" s="14">
        <f ca="1">IF(G555&lt;0.05,1,0)*$B$1*$B$2</f>
        <v>0</v>
      </c>
      <c r="J555" s="14">
        <f ca="1">IF(H555&lt;0.05,1,0)*$B$1*$B$2</f>
        <v>0</v>
      </c>
      <c r="K555" s="15">
        <f t="shared" ca="1" si="86"/>
        <v>0</v>
      </c>
      <c r="P555" s="3">
        <v>551</v>
      </c>
      <c r="Q555" s="4">
        <f t="shared" ca="1" si="87"/>
        <v>0.65324573529133567</v>
      </c>
      <c r="R555" s="4">
        <f t="shared" ca="1" si="88"/>
        <v>0.48972155674901341</v>
      </c>
      <c r="S555" s="4">
        <f ca="1">$B$1*Q555*$B$2</f>
        <v>26.129829411653432</v>
      </c>
      <c r="T555" s="4">
        <f ca="1">$B$1*R555*$B$2</f>
        <v>19.58886226996054</v>
      </c>
      <c r="U555" s="7">
        <f t="shared" ca="1" si="89"/>
        <v>45.718691681613976</v>
      </c>
    </row>
    <row r="556" spans="2:21" x14ac:dyDescent="0.3">
      <c r="B556" s="13">
        <f t="shared" ca="1" si="80"/>
        <v>0.70429859366171055</v>
      </c>
      <c r="C556" s="14">
        <f t="shared" ca="1" si="80"/>
        <v>0.72963011643855469</v>
      </c>
      <c r="D556" s="14">
        <f t="shared" ca="1" si="81"/>
        <v>0.53680428328415497</v>
      </c>
      <c r="E556" s="14">
        <f t="shared" ca="1" si="82"/>
        <v>0.61169470303196183</v>
      </c>
      <c r="F556" s="14">
        <f t="shared" ca="1" si="83"/>
        <v>0.7497553944372839</v>
      </c>
      <c r="G556" s="14">
        <f t="shared" ca="1" si="84"/>
        <v>0.70429859366171055</v>
      </c>
      <c r="H556" s="15">
        <f t="shared" ca="1" si="85"/>
        <v>0.7296301164385548</v>
      </c>
      <c r="I556" s="14">
        <f ca="1">IF(G556&lt;0.05,1,0)*$B$1*$B$2</f>
        <v>0</v>
      </c>
      <c r="J556" s="14">
        <f ca="1">IF(H556&lt;0.05,1,0)*$B$1*$B$2</f>
        <v>0</v>
      </c>
      <c r="K556" s="15">
        <f t="shared" ca="1" si="86"/>
        <v>0</v>
      </c>
      <c r="P556" s="3">
        <v>552</v>
      </c>
      <c r="Q556" s="4">
        <f t="shared" ca="1" si="87"/>
        <v>0.70429859366171055</v>
      </c>
      <c r="R556" s="4">
        <f t="shared" ca="1" si="88"/>
        <v>0.7296301164385548</v>
      </c>
      <c r="S556" s="4">
        <f ca="1">$B$1*Q556*$B$2</f>
        <v>28.171943746468425</v>
      </c>
      <c r="T556" s="4">
        <f ca="1">$B$1*R556*$B$2</f>
        <v>29.185204657542194</v>
      </c>
      <c r="U556" s="7">
        <f t="shared" ca="1" si="89"/>
        <v>57.357148404010616</v>
      </c>
    </row>
    <row r="557" spans="2:21" x14ac:dyDescent="0.3">
      <c r="B557" s="13">
        <f t="shared" ca="1" si="80"/>
        <v>0.93314416204560502</v>
      </c>
      <c r="C557" s="14">
        <f t="shared" ca="1" si="80"/>
        <v>0.48866796388955103</v>
      </c>
      <c r="D557" s="14">
        <f t="shared" ca="1" si="81"/>
        <v>1.4996245838762872</v>
      </c>
      <c r="E557" s="14">
        <f t="shared" ca="1" si="82"/>
        <v>-2.8409023018310817E-2</v>
      </c>
      <c r="F557" s="14">
        <f t="shared" ca="1" si="83"/>
        <v>1.3372789194465047</v>
      </c>
      <c r="G557" s="14">
        <f t="shared" ca="1" si="84"/>
        <v>0.93314416204560502</v>
      </c>
      <c r="H557" s="15">
        <f t="shared" ca="1" si="85"/>
        <v>0.48866796388955103</v>
      </c>
      <c r="I557" s="14">
        <f ca="1">IF(G557&lt;0.05,1,0)*$B$1*$B$2</f>
        <v>0</v>
      </c>
      <c r="J557" s="14">
        <f ca="1">IF(H557&lt;0.05,1,0)*$B$1*$B$2</f>
        <v>0</v>
      </c>
      <c r="K557" s="15">
        <f t="shared" ca="1" si="86"/>
        <v>0</v>
      </c>
      <c r="P557" s="3">
        <v>553</v>
      </c>
      <c r="Q557" s="4">
        <f t="shared" ca="1" si="87"/>
        <v>0.93314416204560502</v>
      </c>
      <c r="R557" s="4">
        <f t="shared" ca="1" si="88"/>
        <v>0.48866796388955103</v>
      </c>
      <c r="S557" s="4">
        <f ca="1">$B$1*Q557*$B$2</f>
        <v>37.325766481824203</v>
      </c>
      <c r="T557" s="4">
        <f ca="1">$B$1*R557*$B$2</f>
        <v>19.546718555582043</v>
      </c>
      <c r="U557" s="7">
        <f t="shared" ca="1" si="89"/>
        <v>56.87248503740625</v>
      </c>
    </row>
    <row r="558" spans="2:21" x14ac:dyDescent="0.3">
      <c r="B558" s="13">
        <f t="shared" ca="1" si="80"/>
        <v>0.40283646330035017</v>
      </c>
      <c r="C558" s="14">
        <f t="shared" ca="1" si="80"/>
        <v>0.39489032971321347</v>
      </c>
      <c r="D558" s="14">
        <f t="shared" ca="1" si="81"/>
        <v>-0.24601202153397936</v>
      </c>
      <c r="E558" s="14">
        <f t="shared" ca="1" si="82"/>
        <v>-0.26659544978546346</v>
      </c>
      <c r="F558" s="14">
        <f t="shared" ca="1" si="83"/>
        <v>-0.33761708182284217</v>
      </c>
      <c r="G558" s="14">
        <f t="shared" ca="1" si="84"/>
        <v>0.40283646330035017</v>
      </c>
      <c r="H558" s="15">
        <f t="shared" ca="1" si="85"/>
        <v>0.39489032971321347</v>
      </c>
      <c r="I558" s="14">
        <f ca="1">IF(G558&lt;0.05,1,0)*$B$1*$B$2</f>
        <v>0</v>
      </c>
      <c r="J558" s="14">
        <f ca="1">IF(H558&lt;0.05,1,0)*$B$1*$B$2</f>
        <v>0</v>
      </c>
      <c r="K558" s="15">
        <f t="shared" ca="1" si="86"/>
        <v>0</v>
      </c>
      <c r="P558" s="3">
        <v>554</v>
      </c>
      <c r="Q558" s="4">
        <f t="shared" ca="1" si="87"/>
        <v>0.40283646330035017</v>
      </c>
      <c r="R558" s="4">
        <f t="shared" ca="1" si="88"/>
        <v>0.39489032971321347</v>
      </c>
      <c r="S558" s="4">
        <f ca="1">$B$1*Q558*$B$2</f>
        <v>16.113458532014008</v>
      </c>
      <c r="T558" s="4">
        <f ca="1">$B$1*R558*$B$2</f>
        <v>15.795613188528542</v>
      </c>
      <c r="U558" s="7">
        <f t="shared" ca="1" si="89"/>
        <v>31.909071720542549</v>
      </c>
    </row>
    <row r="559" spans="2:21" x14ac:dyDescent="0.3">
      <c r="B559" s="13">
        <f t="shared" ca="1" si="80"/>
        <v>0.97908339374180631</v>
      </c>
      <c r="C559" s="14">
        <f t="shared" ca="1" si="80"/>
        <v>0.10051831839084913</v>
      </c>
      <c r="D559" s="14">
        <f t="shared" ca="1" si="81"/>
        <v>2.0351755477250668</v>
      </c>
      <c r="E559" s="14">
        <f t="shared" ca="1" si="82"/>
        <v>-1.2786037272477997</v>
      </c>
      <c r="F559" s="14">
        <f t="shared" ca="1" si="83"/>
        <v>1.2743275493618003</v>
      </c>
      <c r="G559" s="14">
        <f t="shared" ca="1" si="84"/>
        <v>0.97908339374180631</v>
      </c>
      <c r="H559" s="15">
        <f t="shared" ca="1" si="85"/>
        <v>0.10051831839084927</v>
      </c>
      <c r="I559" s="14">
        <f ca="1">IF(G559&lt;0.05,1,0)*$B$1*$B$2</f>
        <v>0</v>
      </c>
      <c r="J559" s="14">
        <f ca="1">IF(H559&lt;0.05,1,0)*$B$1*$B$2</f>
        <v>0</v>
      </c>
      <c r="K559" s="15">
        <f t="shared" ca="1" si="86"/>
        <v>0</v>
      </c>
      <c r="P559" s="3">
        <v>555</v>
      </c>
      <c r="Q559" s="4">
        <f t="shared" ca="1" si="87"/>
        <v>0.97908339374180631</v>
      </c>
      <c r="R559" s="4">
        <f t="shared" ca="1" si="88"/>
        <v>0.10051831839084927</v>
      </c>
      <c r="S559" s="4">
        <f ca="1">$B$1*Q559*$B$2</f>
        <v>39.163335749672257</v>
      </c>
      <c r="T559" s="4">
        <f ca="1">$B$1*R559*$B$2</f>
        <v>4.0207327356339704</v>
      </c>
      <c r="U559" s="7">
        <f t="shared" ca="1" si="89"/>
        <v>43.184068485306227</v>
      </c>
    </row>
    <row r="560" spans="2:21" x14ac:dyDescent="0.3">
      <c r="B560" s="13">
        <f t="shared" ca="1" si="80"/>
        <v>0.10552936923619016</v>
      </c>
      <c r="C560" s="14">
        <f t="shared" ca="1" si="80"/>
        <v>0.66680887009968692</v>
      </c>
      <c r="D560" s="14">
        <f t="shared" ca="1" si="81"/>
        <v>-1.2506594835880112</v>
      </c>
      <c r="E560" s="14">
        <f t="shared" ca="1" si="82"/>
        <v>0.43111843104380781</v>
      </c>
      <c r="F560" s="14">
        <f t="shared" ca="1" si="83"/>
        <v>-0.93767336786743349</v>
      </c>
      <c r="G560" s="14">
        <f t="shared" ca="1" si="84"/>
        <v>0.10552936923619015</v>
      </c>
      <c r="H560" s="15">
        <f t="shared" ca="1" si="85"/>
        <v>0.66680887009968703</v>
      </c>
      <c r="I560" s="14">
        <f ca="1">IF(G560&lt;0.05,1,0)*$B$1*$B$2</f>
        <v>0</v>
      </c>
      <c r="J560" s="14">
        <f ca="1">IF(H560&lt;0.05,1,0)*$B$1*$B$2</f>
        <v>0</v>
      </c>
      <c r="K560" s="15">
        <f t="shared" ca="1" si="86"/>
        <v>0</v>
      </c>
      <c r="P560" s="3">
        <v>556</v>
      </c>
      <c r="Q560" s="4">
        <f t="shared" ca="1" si="87"/>
        <v>0.10552936923619015</v>
      </c>
      <c r="R560" s="4">
        <f t="shared" ca="1" si="88"/>
        <v>0.66680887009968703</v>
      </c>
      <c r="S560" s="4">
        <f ca="1">$B$1*Q560*$B$2</f>
        <v>4.2211747694476065</v>
      </c>
      <c r="T560" s="4">
        <f ca="1">$B$1*R560*$B$2</f>
        <v>26.672354803987481</v>
      </c>
      <c r="U560" s="7">
        <f t="shared" ca="1" si="89"/>
        <v>30.893529573435089</v>
      </c>
    </row>
    <row r="561" spans="2:21" x14ac:dyDescent="0.3">
      <c r="B561" s="13">
        <f t="shared" ca="1" si="80"/>
        <v>0.58392689976674794</v>
      </c>
      <c r="C561" s="14">
        <f t="shared" ca="1" si="80"/>
        <v>0.46690712745828533</v>
      </c>
      <c r="D561" s="14">
        <f t="shared" ca="1" si="81"/>
        <v>0.21194979720344997</v>
      </c>
      <c r="E561" s="14">
        <f t="shared" ca="1" si="82"/>
        <v>-8.3046890768198767E-2</v>
      </c>
      <c r="F561" s="14">
        <f t="shared" ca="1" si="83"/>
        <v>0.15455551703972106</v>
      </c>
      <c r="G561" s="14">
        <f t="shared" ca="1" si="84"/>
        <v>0.58392689976674794</v>
      </c>
      <c r="H561" s="15">
        <f t="shared" ca="1" si="85"/>
        <v>0.46690712745828533</v>
      </c>
      <c r="I561" s="14">
        <f ca="1">IF(G561&lt;0.05,1,0)*$B$1*$B$2</f>
        <v>0</v>
      </c>
      <c r="J561" s="14">
        <f ca="1">IF(H561&lt;0.05,1,0)*$B$1*$B$2</f>
        <v>0</v>
      </c>
      <c r="K561" s="15">
        <f t="shared" ca="1" si="86"/>
        <v>0</v>
      </c>
      <c r="P561" s="3">
        <v>557</v>
      </c>
      <c r="Q561" s="4">
        <f t="shared" ca="1" si="87"/>
        <v>0.58392689976674794</v>
      </c>
      <c r="R561" s="4">
        <f t="shared" ca="1" si="88"/>
        <v>0.46690712745828533</v>
      </c>
      <c r="S561" s="4">
        <f ca="1">$B$1*Q561*$B$2</f>
        <v>23.357075990669919</v>
      </c>
      <c r="T561" s="4">
        <f ca="1">$B$1*R561*$B$2</f>
        <v>18.676285098331416</v>
      </c>
      <c r="U561" s="7">
        <f t="shared" ca="1" si="89"/>
        <v>42.033361089001332</v>
      </c>
    </row>
    <row r="562" spans="2:21" x14ac:dyDescent="0.3">
      <c r="B562" s="13">
        <f t="shared" ca="1" si="80"/>
        <v>5.1621102481697378E-2</v>
      </c>
      <c r="C562" s="14">
        <f t="shared" ca="1" si="80"/>
        <v>0.55164927941784903</v>
      </c>
      <c r="D562" s="14">
        <f t="shared" ca="1" si="81"/>
        <v>-1.6293346017193608</v>
      </c>
      <c r="E562" s="14">
        <f t="shared" ca="1" si="82"/>
        <v>0.12982935041414254</v>
      </c>
      <c r="F562" s="14">
        <f t="shared" ca="1" si="83"/>
        <v>-1.409809839711347</v>
      </c>
      <c r="G562" s="14">
        <f t="shared" ca="1" si="84"/>
        <v>5.1621102481697392E-2</v>
      </c>
      <c r="H562" s="15">
        <f t="shared" ca="1" si="85"/>
        <v>0.55164927941784903</v>
      </c>
      <c r="I562" s="14">
        <f ca="1">IF(G562&lt;0.05,1,0)*$B$1*$B$2</f>
        <v>0</v>
      </c>
      <c r="J562" s="14">
        <f ca="1">IF(H562&lt;0.05,1,0)*$B$1*$B$2</f>
        <v>0</v>
      </c>
      <c r="K562" s="15">
        <f t="shared" ca="1" si="86"/>
        <v>0</v>
      </c>
      <c r="P562" s="3">
        <v>558</v>
      </c>
      <c r="Q562" s="4">
        <f t="shared" ca="1" si="87"/>
        <v>5.1621102481697392E-2</v>
      </c>
      <c r="R562" s="4">
        <f t="shared" ca="1" si="88"/>
        <v>0.55164927941784903</v>
      </c>
      <c r="S562" s="4">
        <f ca="1">$B$1*Q562*$B$2</f>
        <v>2.0648440992678956</v>
      </c>
      <c r="T562" s="4">
        <f ca="1">$B$1*R562*$B$2</f>
        <v>22.065971176713962</v>
      </c>
      <c r="U562" s="7">
        <f t="shared" ca="1" si="89"/>
        <v>24.130815275981856</v>
      </c>
    </row>
    <row r="563" spans="2:21" x14ac:dyDescent="0.3">
      <c r="B563" s="13">
        <f t="shared" ca="1" si="80"/>
        <v>0.89840151886587916</v>
      </c>
      <c r="C563" s="14">
        <f t="shared" ca="1" si="80"/>
        <v>0.28902902206701098</v>
      </c>
      <c r="D563" s="14">
        <f t="shared" ca="1" si="81"/>
        <v>1.2724959496701613</v>
      </c>
      <c r="E563" s="14">
        <f t="shared" ca="1" si="82"/>
        <v>-0.55622354684819664</v>
      </c>
      <c r="F563" s="14">
        <f t="shared" ca="1" si="83"/>
        <v>0.90279413163024025</v>
      </c>
      <c r="G563" s="14">
        <f t="shared" ca="1" si="84"/>
        <v>0.89840151886587916</v>
      </c>
      <c r="H563" s="15">
        <f t="shared" ca="1" si="85"/>
        <v>0.28902902206701098</v>
      </c>
      <c r="I563" s="14">
        <f ca="1">IF(G563&lt;0.05,1,0)*$B$1*$B$2</f>
        <v>0</v>
      </c>
      <c r="J563" s="14">
        <f ca="1">IF(H563&lt;0.05,1,0)*$B$1*$B$2</f>
        <v>0</v>
      </c>
      <c r="K563" s="15">
        <f t="shared" ca="1" si="86"/>
        <v>0</v>
      </c>
      <c r="P563" s="3">
        <v>559</v>
      </c>
      <c r="Q563" s="4">
        <f t="shared" ca="1" si="87"/>
        <v>0.89840151886587916</v>
      </c>
      <c r="R563" s="4">
        <f t="shared" ca="1" si="88"/>
        <v>0.28902902206701098</v>
      </c>
      <c r="S563" s="4">
        <f ca="1">$B$1*Q563*$B$2</f>
        <v>35.936060754635172</v>
      </c>
      <c r="T563" s="4">
        <f ca="1">$B$1*R563*$B$2</f>
        <v>11.56116088268044</v>
      </c>
      <c r="U563" s="7">
        <f t="shared" ca="1" si="89"/>
        <v>47.497221637315612</v>
      </c>
    </row>
    <row r="564" spans="2:21" x14ac:dyDescent="0.3">
      <c r="B564" s="13">
        <f t="shared" ca="1" si="80"/>
        <v>0.23614400496172594</v>
      </c>
      <c r="C564" s="14">
        <f t="shared" ca="1" si="80"/>
        <v>0.86854163853848898</v>
      </c>
      <c r="D564" s="14">
        <f t="shared" ca="1" si="81"/>
        <v>-0.71876129408192357</v>
      </c>
      <c r="E564" s="14">
        <f t="shared" ca="1" si="82"/>
        <v>1.1195238476932075</v>
      </c>
      <c r="F564" s="14">
        <f t="shared" ca="1" si="83"/>
        <v>-0.15889603297588017</v>
      </c>
      <c r="G564" s="14">
        <f t="shared" ca="1" si="84"/>
        <v>0.2361440049617258</v>
      </c>
      <c r="H564" s="15">
        <f t="shared" ca="1" si="85"/>
        <v>0.86854163853848909</v>
      </c>
      <c r="I564" s="14">
        <f ca="1">IF(G564&lt;0.05,1,0)*$B$1*$B$2</f>
        <v>0</v>
      </c>
      <c r="J564" s="14">
        <f ca="1">IF(H564&lt;0.05,1,0)*$B$1*$B$2</f>
        <v>0</v>
      </c>
      <c r="K564" s="15">
        <f t="shared" ca="1" si="86"/>
        <v>0</v>
      </c>
      <c r="P564" s="3">
        <v>560</v>
      </c>
      <c r="Q564" s="4">
        <f t="shared" ca="1" si="87"/>
        <v>0.2361440049617258</v>
      </c>
      <c r="R564" s="4">
        <f t="shared" ca="1" si="88"/>
        <v>0.86854163853848909</v>
      </c>
      <c r="S564" s="4">
        <f ca="1">$B$1*Q564*$B$2</f>
        <v>9.4457601984690314</v>
      </c>
      <c r="T564" s="4">
        <f ca="1">$B$1*R564*$B$2</f>
        <v>34.741665541539561</v>
      </c>
      <c r="U564" s="7">
        <f t="shared" ca="1" si="89"/>
        <v>44.187425740008592</v>
      </c>
    </row>
    <row r="565" spans="2:21" x14ac:dyDescent="0.3">
      <c r="B565" s="13">
        <f t="shared" ca="1" si="80"/>
        <v>0.16957003546672211</v>
      </c>
      <c r="C565" s="14">
        <f t="shared" ca="1" si="80"/>
        <v>0.66379272707164827</v>
      </c>
      <c r="D565" s="14">
        <f t="shared" ca="1" si="81"/>
        <v>-0.95586573777744621</v>
      </c>
      <c r="E565" s="14">
        <f t="shared" ca="1" si="82"/>
        <v>0.4228365127218604</v>
      </c>
      <c r="F565" s="14">
        <f t="shared" ca="1" si="83"/>
        <v>-0.67596900114032765</v>
      </c>
      <c r="G565" s="14">
        <f t="shared" ca="1" si="84"/>
        <v>0.16957003546672172</v>
      </c>
      <c r="H565" s="15">
        <f t="shared" ca="1" si="85"/>
        <v>0.66379272707164838</v>
      </c>
      <c r="I565" s="14">
        <f ca="1">IF(G565&lt;0.05,1,0)*$B$1*$B$2</f>
        <v>0</v>
      </c>
      <c r="J565" s="14">
        <f ca="1">IF(H565&lt;0.05,1,0)*$B$1*$B$2</f>
        <v>0</v>
      </c>
      <c r="K565" s="15">
        <f t="shared" ca="1" si="86"/>
        <v>0</v>
      </c>
      <c r="P565" s="3">
        <v>561</v>
      </c>
      <c r="Q565" s="4">
        <f t="shared" ca="1" si="87"/>
        <v>0.16957003546672172</v>
      </c>
      <c r="R565" s="4">
        <f t="shared" ca="1" si="88"/>
        <v>0.66379272707164838</v>
      </c>
      <c r="S565" s="4">
        <f ca="1">$B$1*Q565*$B$2</f>
        <v>6.7828014186688694</v>
      </c>
      <c r="T565" s="4">
        <f ca="1">$B$1*R565*$B$2</f>
        <v>26.551709082865941</v>
      </c>
      <c r="U565" s="7">
        <f t="shared" ca="1" si="89"/>
        <v>33.334510501534808</v>
      </c>
    </row>
    <row r="566" spans="2:21" x14ac:dyDescent="0.3">
      <c r="B566" s="13">
        <f t="shared" ca="1" si="80"/>
        <v>0.31339329550963124</v>
      </c>
      <c r="C566" s="14">
        <f t="shared" ca="1" si="80"/>
        <v>0.43722919676090211</v>
      </c>
      <c r="D566" s="14">
        <f t="shared" ca="1" si="81"/>
        <v>-0.48625470271223908</v>
      </c>
      <c r="E566" s="14">
        <f t="shared" ca="1" si="82"/>
        <v>-0.1579979761017207</v>
      </c>
      <c r="F566" s="14">
        <f t="shared" ca="1" si="83"/>
        <v>-0.50649895355215069</v>
      </c>
      <c r="G566" s="14">
        <f t="shared" ca="1" si="84"/>
        <v>0.31339329550963113</v>
      </c>
      <c r="H566" s="15">
        <f t="shared" ca="1" si="85"/>
        <v>0.43722919676090211</v>
      </c>
      <c r="I566" s="14">
        <f ca="1">IF(G566&lt;0.05,1,0)*$B$1*$B$2</f>
        <v>0</v>
      </c>
      <c r="J566" s="14">
        <f ca="1">IF(H566&lt;0.05,1,0)*$B$1*$B$2</f>
        <v>0</v>
      </c>
      <c r="K566" s="15">
        <f t="shared" ca="1" si="86"/>
        <v>0</v>
      </c>
      <c r="P566" s="3">
        <v>562</v>
      </c>
      <c r="Q566" s="4">
        <f t="shared" ca="1" si="87"/>
        <v>0.31339329550963113</v>
      </c>
      <c r="R566" s="4">
        <f t="shared" ca="1" si="88"/>
        <v>0.43722919676090211</v>
      </c>
      <c r="S566" s="4">
        <f ca="1">$B$1*Q566*$B$2</f>
        <v>12.535731820385246</v>
      </c>
      <c r="T566" s="4">
        <f ca="1">$B$1*R566*$B$2</f>
        <v>17.489167870436088</v>
      </c>
      <c r="U566" s="7">
        <f t="shared" ca="1" si="89"/>
        <v>30.024899690821336</v>
      </c>
    </row>
    <row r="567" spans="2:21" x14ac:dyDescent="0.3">
      <c r="B567" s="13">
        <f t="shared" ca="1" si="80"/>
        <v>0.27583223009294788</v>
      </c>
      <c r="C567" s="14">
        <f t="shared" ca="1" si="80"/>
        <v>0.48275535454086338</v>
      </c>
      <c r="D567" s="14">
        <f t="shared" ca="1" si="81"/>
        <v>-0.59526782389957145</v>
      </c>
      <c r="E567" s="14">
        <f t="shared" ca="1" si="82"/>
        <v>-4.3239385829263829E-2</v>
      </c>
      <c r="F567" s="14">
        <f t="shared" ca="1" si="83"/>
        <v>-0.55458865283066694</v>
      </c>
      <c r="G567" s="14">
        <f t="shared" ca="1" si="84"/>
        <v>0.27583223009294783</v>
      </c>
      <c r="H567" s="15">
        <f t="shared" ca="1" si="85"/>
        <v>0.48275535454086338</v>
      </c>
      <c r="I567" s="14">
        <f ca="1">IF(G567&lt;0.05,1,0)*$B$1*$B$2</f>
        <v>0</v>
      </c>
      <c r="J567" s="14">
        <f ca="1">IF(H567&lt;0.05,1,0)*$B$1*$B$2</f>
        <v>0</v>
      </c>
      <c r="K567" s="15">
        <f t="shared" ca="1" si="86"/>
        <v>0</v>
      </c>
      <c r="P567" s="3">
        <v>563</v>
      </c>
      <c r="Q567" s="4">
        <f t="shared" ca="1" si="87"/>
        <v>0.27583223009294783</v>
      </c>
      <c r="R567" s="4">
        <f t="shared" ca="1" si="88"/>
        <v>0.48275535454086338</v>
      </c>
      <c r="S567" s="4">
        <f ca="1">$B$1*Q567*$B$2</f>
        <v>11.033289203717914</v>
      </c>
      <c r="T567" s="4">
        <f ca="1">$B$1*R567*$B$2</f>
        <v>19.310214181634535</v>
      </c>
      <c r="U567" s="7">
        <f t="shared" ca="1" si="89"/>
        <v>30.343503385352449</v>
      </c>
    </row>
    <row r="568" spans="2:21" x14ac:dyDescent="0.3">
      <c r="B568" s="13">
        <f t="shared" ca="1" si="80"/>
        <v>0.96168649831960862</v>
      </c>
      <c r="C568" s="14">
        <f t="shared" ca="1" si="80"/>
        <v>0.57728714266985814</v>
      </c>
      <c r="D568" s="14">
        <f t="shared" ca="1" si="81"/>
        <v>1.770601433833958</v>
      </c>
      <c r="E568" s="14">
        <f t="shared" ca="1" si="82"/>
        <v>0.19495814451411458</v>
      </c>
      <c r="F568" s="14">
        <f t="shared" ca="1" si="83"/>
        <v>1.6785215754662846</v>
      </c>
      <c r="G568" s="14">
        <f t="shared" ca="1" si="84"/>
        <v>0.96168649831960862</v>
      </c>
      <c r="H568" s="15">
        <f t="shared" ca="1" si="85"/>
        <v>0.57728714266985814</v>
      </c>
      <c r="I568" s="14">
        <f ca="1">IF(G568&lt;0.05,1,0)*$B$1*$B$2</f>
        <v>0</v>
      </c>
      <c r="J568" s="14">
        <f ca="1">IF(H568&lt;0.05,1,0)*$B$1*$B$2</f>
        <v>0</v>
      </c>
      <c r="K568" s="15">
        <f t="shared" ca="1" si="86"/>
        <v>0</v>
      </c>
      <c r="P568" s="3">
        <v>564</v>
      </c>
      <c r="Q568" s="4">
        <f t="shared" ca="1" si="87"/>
        <v>0.96168649831960862</v>
      </c>
      <c r="R568" s="4">
        <f t="shared" ca="1" si="88"/>
        <v>0.57728714266985814</v>
      </c>
      <c r="S568" s="4">
        <f ca="1">$B$1*Q568*$B$2</f>
        <v>38.467459932784351</v>
      </c>
      <c r="T568" s="4">
        <f ca="1">$B$1*R568*$B$2</f>
        <v>23.091485706794327</v>
      </c>
      <c r="U568" s="7">
        <f t="shared" ca="1" si="89"/>
        <v>61.558945639578681</v>
      </c>
    </row>
    <row r="569" spans="2:21" x14ac:dyDescent="0.3">
      <c r="B569" s="13">
        <f t="shared" ca="1" si="80"/>
        <v>0.7189770102191172</v>
      </c>
      <c r="C569" s="14">
        <f t="shared" ca="1" si="80"/>
        <v>0.42360345490213169</v>
      </c>
      <c r="D569" s="14">
        <f t="shared" ca="1" si="81"/>
        <v>0.5798052162535996</v>
      </c>
      <c r="E569" s="14">
        <f t="shared" ca="1" si="82"/>
        <v>-0.192683419036215</v>
      </c>
      <c r="F569" s="14">
        <f t="shared" ca="1" si="83"/>
        <v>0.43783593946076343</v>
      </c>
      <c r="G569" s="14">
        <f t="shared" ca="1" si="84"/>
        <v>0.71897701021911731</v>
      </c>
      <c r="H569" s="15">
        <f t="shared" ca="1" si="85"/>
        <v>0.42360345490213169</v>
      </c>
      <c r="I569" s="14">
        <f ca="1">IF(G569&lt;0.05,1,0)*$B$1*$B$2</f>
        <v>0</v>
      </c>
      <c r="J569" s="14">
        <f ca="1">IF(H569&lt;0.05,1,0)*$B$1*$B$2</f>
        <v>0</v>
      </c>
      <c r="K569" s="15">
        <f t="shared" ca="1" si="86"/>
        <v>0</v>
      </c>
      <c r="P569" s="3">
        <v>565</v>
      </c>
      <c r="Q569" s="4">
        <f t="shared" ca="1" si="87"/>
        <v>0.71897701021911731</v>
      </c>
      <c r="R569" s="4">
        <f t="shared" ca="1" si="88"/>
        <v>0.42360345490213169</v>
      </c>
      <c r="S569" s="4">
        <f ca="1">$B$1*Q569*$B$2</f>
        <v>28.759080408764692</v>
      </c>
      <c r="T569" s="4">
        <f ca="1">$B$1*R569*$B$2</f>
        <v>16.944138196085269</v>
      </c>
      <c r="U569" s="7">
        <f t="shared" ca="1" si="89"/>
        <v>45.703218604849965</v>
      </c>
    </row>
    <row r="570" spans="2:21" x14ac:dyDescent="0.3">
      <c r="B570" s="13">
        <f t="shared" ca="1" si="80"/>
        <v>0.96807587945238938</v>
      </c>
      <c r="C570" s="14">
        <f t="shared" ca="1" si="80"/>
        <v>0.15291918314454955</v>
      </c>
      <c r="D570" s="14">
        <f t="shared" ca="1" si="81"/>
        <v>1.8532380852084187</v>
      </c>
      <c r="E570" s="14">
        <f t="shared" ca="1" si="82"/>
        <v>-1.0239934550493728</v>
      </c>
      <c r="F570" s="14">
        <f t="shared" ca="1" si="83"/>
        <v>1.2215658777468494</v>
      </c>
      <c r="G570" s="14">
        <f t="shared" ca="1" si="84"/>
        <v>0.96807587945238938</v>
      </c>
      <c r="H570" s="15">
        <f t="shared" ca="1" si="85"/>
        <v>0.15291918314454966</v>
      </c>
      <c r="I570" s="14">
        <f ca="1">IF(G570&lt;0.05,1,0)*$B$1*$B$2</f>
        <v>0</v>
      </c>
      <c r="J570" s="14">
        <f ca="1">IF(H570&lt;0.05,1,0)*$B$1*$B$2</f>
        <v>0</v>
      </c>
      <c r="K570" s="15">
        <f t="shared" ca="1" si="86"/>
        <v>0</v>
      </c>
      <c r="P570" s="3">
        <v>566</v>
      </c>
      <c r="Q570" s="4">
        <f t="shared" ca="1" si="87"/>
        <v>0.96807587945238938</v>
      </c>
      <c r="R570" s="4">
        <f t="shared" ca="1" si="88"/>
        <v>0.15291918314454966</v>
      </c>
      <c r="S570" s="4">
        <f ca="1">$B$1*Q570*$B$2</f>
        <v>38.723035178095579</v>
      </c>
      <c r="T570" s="4">
        <f ca="1">$B$1*R570*$B$2</f>
        <v>6.1167673257819866</v>
      </c>
      <c r="U570" s="7">
        <f t="shared" ca="1" si="89"/>
        <v>44.839802503877564</v>
      </c>
    </row>
    <row r="571" spans="2:21" x14ac:dyDescent="0.3">
      <c r="B571" s="13">
        <f t="shared" ca="1" si="80"/>
        <v>0.57653410883239542</v>
      </c>
      <c r="C571" s="14">
        <f t="shared" ca="1" si="80"/>
        <v>0.20925018009339846</v>
      </c>
      <c r="D571" s="14">
        <f t="shared" ca="1" si="81"/>
        <v>0.19303471293141033</v>
      </c>
      <c r="E571" s="14">
        <f t="shared" ca="1" si="82"/>
        <v>-0.80902570611416103</v>
      </c>
      <c r="F571" s="14">
        <f t="shared" ca="1" si="83"/>
        <v>-0.17891488792955701</v>
      </c>
      <c r="G571" s="14">
        <f t="shared" ca="1" si="84"/>
        <v>0.57653410883239542</v>
      </c>
      <c r="H571" s="15">
        <f t="shared" ca="1" si="85"/>
        <v>0.20925018009339855</v>
      </c>
      <c r="I571" s="14">
        <f ca="1">IF(G571&lt;0.05,1,0)*$B$1*$B$2</f>
        <v>0</v>
      </c>
      <c r="J571" s="14">
        <f ca="1">IF(H571&lt;0.05,1,0)*$B$1*$B$2</f>
        <v>0</v>
      </c>
      <c r="K571" s="15">
        <f t="shared" ca="1" si="86"/>
        <v>0</v>
      </c>
      <c r="P571" s="3">
        <v>567</v>
      </c>
      <c r="Q571" s="4">
        <f t="shared" ca="1" si="87"/>
        <v>0.57653410883239542</v>
      </c>
      <c r="R571" s="4">
        <f t="shared" ca="1" si="88"/>
        <v>0.20925018009339855</v>
      </c>
      <c r="S571" s="4">
        <f ca="1">$B$1*Q571*$B$2</f>
        <v>23.061364353295819</v>
      </c>
      <c r="T571" s="4">
        <f ca="1">$B$1*R571*$B$2</f>
        <v>8.370007203735943</v>
      </c>
      <c r="U571" s="7">
        <f t="shared" ca="1" si="89"/>
        <v>31.43137155703176</v>
      </c>
    </row>
    <row r="572" spans="2:21" x14ac:dyDescent="0.3">
      <c r="B572" s="13">
        <f t="shared" ca="1" si="80"/>
        <v>0.41152612635628316</v>
      </c>
      <c r="C572" s="14">
        <f t="shared" ca="1" si="80"/>
        <v>1.5595352098259019E-2</v>
      </c>
      <c r="D572" s="14">
        <f t="shared" ca="1" si="81"/>
        <v>-0.22362096027811892</v>
      </c>
      <c r="E572" s="14">
        <f t="shared" ca="1" si="82"/>
        <v>-2.1546312168828217</v>
      </c>
      <c r="F572" s="14">
        <f t="shared" ca="1" si="83"/>
        <v>-1.1404408377493356</v>
      </c>
      <c r="G572" s="14">
        <f t="shared" ca="1" si="84"/>
        <v>0.41152612635628316</v>
      </c>
      <c r="H572" s="15">
        <f t="shared" ca="1" si="85"/>
        <v>1.5595352098259024E-2</v>
      </c>
      <c r="I572" s="14">
        <f ca="1">IF(G572&lt;0.05,1,0)*$B$1*$B$2</f>
        <v>0</v>
      </c>
      <c r="J572" s="14">
        <f ca="1">IF(H572&lt;0.05,1,0)*$B$1*$B$2</f>
        <v>40</v>
      </c>
      <c r="K572" s="15">
        <f t="shared" ca="1" si="86"/>
        <v>40</v>
      </c>
      <c r="P572" s="3">
        <v>568</v>
      </c>
      <c r="Q572" s="4">
        <f t="shared" ca="1" si="87"/>
        <v>0.41152612635628316</v>
      </c>
      <c r="R572" s="4">
        <f t="shared" ca="1" si="88"/>
        <v>1.5595352098259024E-2</v>
      </c>
      <c r="S572" s="4">
        <f ca="1">$B$1*Q572*$B$2</f>
        <v>16.461045054251326</v>
      </c>
      <c r="T572" s="4">
        <f ca="1">$B$1*R572*$B$2</f>
        <v>0.62381408393036097</v>
      </c>
      <c r="U572" s="7">
        <f t="shared" ca="1" si="89"/>
        <v>17.084859138181688</v>
      </c>
    </row>
    <row r="573" spans="2:21" x14ac:dyDescent="0.3">
      <c r="B573" s="13">
        <f t="shared" ca="1" si="80"/>
        <v>0.61555347303199937</v>
      </c>
      <c r="C573" s="14">
        <f t="shared" ca="1" si="80"/>
        <v>0.29167323336495365</v>
      </c>
      <c r="D573" s="14">
        <f t="shared" ca="1" si="81"/>
        <v>0.29382313746236421</v>
      </c>
      <c r="E573" s="14">
        <f t="shared" ca="1" si="82"/>
        <v>-0.54850315030646546</v>
      </c>
      <c r="F573" s="14">
        <f t="shared" ca="1" si="83"/>
        <v>2.5353843476169508E-2</v>
      </c>
      <c r="G573" s="14">
        <f t="shared" ca="1" si="84"/>
        <v>0.61555347303199937</v>
      </c>
      <c r="H573" s="15">
        <f t="shared" ca="1" si="85"/>
        <v>0.29167323336495354</v>
      </c>
      <c r="I573" s="14">
        <f ca="1">IF(G573&lt;0.05,1,0)*$B$1*$B$2</f>
        <v>0</v>
      </c>
      <c r="J573" s="14">
        <f ca="1">IF(H573&lt;0.05,1,0)*$B$1*$B$2</f>
        <v>0</v>
      </c>
      <c r="K573" s="15">
        <f t="shared" ca="1" si="86"/>
        <v>0</v>
      </c>
      <c r="P573" s="3">
        <v>569</v>
      </c>
      <c r="Q573" s="4">
        <f t="shared" ca="1" si="87"/>
        <v>0.61555347303199937</v>
      </c>
      <c r="R573" s="4">
        <f t="shared" ca="1" si="88"/>
        <v>0.29167323336495354</v>
      </c>
      <c r="S573" s="4">
        <f ca="1">$B$1*Q573*$B$2</f>
        <v>24.622138921279976</v>
      </c>
      <c r="T573" s="4">
        <f ca="1">$B$1*R573*$B$2</f>
        <v>11.666929334598143</v>
      </c>
      <c r="U573" s="7">
        <f t="shared" ca="1" si="89"/>
        <v>36.289068255878121</v>
      </c>
    </row>
    <row r="574" spans="2:21" x14ac:dyDescent="0.3">
      <c r="B574" s="13">
        <f t="shared" ca="1" si="80"/>
        <v>4.9813231328393437E-2</v>
      </c>
      <c r="C574" s="14">
        <f t="shared" ca="1" si="80"/>
        <v>0.76859220513908033</v>
      </c>
      <c r="D574" s="14">
        <f t="shared" ca="1" si="81"/>
        <v>-1.6466672336576014</v>
      </c>
      <c r="E574" s="14">
        <f t="shared" ca="1" si="82"/>
        <v>0.73421848416723712</v>
      </c>
      <c r="F574" s="14">
        <f t="shared" ca="1" si="83"/>
        <v>-1.1619620927953809</v>
      </c>
      <c r="G574" s="14">
        <f t="shared" ca="1" si="84"/>
        <v>4.9813231328393416E-2</v>
      </c>
      <c r="H574" s="15">
        <f t="shared" ca="1" si="85"/>
        <v>0.76859220513908022</v>
      </c>
      <c r="I574" s="14">
        <f ca="1">IF(G574&lt;0.05,1,0)*$B$1*$B$2</f>
        <v>40</v>
      </c>
      <c r="J574" s="14">
        <f ca="1">IF(H574&lt;0.05,1,0)*$B$1*$B$2</f>
        <v>0</v>
      </c>
      <c r="K574" s="15">
        <f t="shared" ca="1" si="86"/>
        <v>40</v>
      </c>
      <c r="P574" s="3">
        <v>570</v>
      </c>
      <c r="Q574" s="4">
        <f t="shared" ca="1" si="87"/>
        <v>4.9813231328393416E-2</v>
      </c>
      <c r="R574" s="4">
        <f t="shared" ca="1" si="88"/>
        <v>0.76859220513908022</v>
      </c>
      <c r="S574" s="4">
        <f ca="1">$B$1*Q574*$B$2</f>
        <v>1.9925292531357368</v>
      </c>
      <c r="T574" s="4">
        <f ca="1">$B$1*R574*$B$2</f>
        <v>30.743688205563213</v>
      </c>
      <c r="U574" s="7">
        <f t="shared" ca="1" si="89"/>
        <v>32.736217458698952</v>
      </c>
    </row>
    <row r="575" spans="2:21" x14ac:dyDescent="0.3">
      <c r="B575" s="13">
        <f t="shared" ca="1" si="80"/>
        <v>0.85513666370601926</v>
      </c>
      <c r="C575" s="14">
        <f t="shared" ca="1" si="80"/>
        <v>0.55777520467926045</v>
      </c>
      <c r="D575" s="14">
        <f t="shared" ca="1" si="81"/>
        <v>1.0587214138011463</v>
      </c>
      <c r="E575" s="14">
        <f t="shared" ca="1" si="82"/>
        <v>0.14533093596227228</v>
      </c>
      <c r="F575" s="14">
        <f t="shared" ca="1" si="83"/>
        <v>1.0161975587440042</v>
      </c>
      <c r="G575" s="14">
        <f t="shared" ca="1" si="84"/>
        <v>0.85513666370601937</v>
      </c>
      <c r="H575" s="15">
        <f t="shared" ca="1" si="85"/>
        <v>0.55777520467926045</v>
      </c>
      <c r="I575" s="14">
        <f ca="1">IF(G575&lt;0.05,1,0)*$B$1*$B$2</f>
        <v>0</v>
      </c>
      <c r="J575" s="14">
        <f ca="1">IF(H575&lt;0.05,1,0)*$B$1*$B$2</f>
        <v>0</v>
      </c>
      <c r="K575" s="15">
        <f t="shared" ca="1" si="86"/>
        <v>0</v>
      </c>
      <c r="P575" s="3">
        <v>571</v>
      </c>
      <c r="Q575" s="4">
        <f t="shared" ca="1" si="87"/>
        <v>0.85513666370601937</v>
      </c>
      <c r="R575" s="4">
        <f t="shared" ca="1" si="88"/>
        <v>0.55777520467926045</v>
      </c>
      <c r="S575" s="4">
        <f ca="1">$B$1*Q575*$B$2</f>
        <v>34.205466548240778</v>
      </c>
      <c r="T575" s="4">
        <f ca="1">$B$1*R575*$B$2</f>
        <v>22.311008187170419</v>
      </c>
      <c r="U575" s="7">
        <f t="shared" ca="1" si="89"/>
        <v>56.516474735411194</v>
      </c>
    </row>
    <row r="576" spans="2:21" x14ac:dyDescent="0.3">
      <c r="B576" s="13">
        <f t="shared" ca="1" si="80"/>
        <v>0.97451501546479569</v>
      </c>
      <c r="C576" s="14">
        <f t="shared" ca="1" si="80"/>
        <v>0.2925239814167121</v>
      </c>
      <c r="D576" s="14">
        <f t="shared" ca="1" si="81"/>
        <v>1.9517325238812671</v>
      </c>
      <c r="E576" s="14">
        <f t="shared" ca="1" si="82"/>
        <v>-0.54602614880918154</v>
      </c>
      <c r="F576" s="14">
        <f t="shared" ca="1" si="83"/>
        <v>1.5185519911741481</v>
      </c>
      <c r="G576" s="14">
        <f t="shared" ca="1" si="84"/>
        <v>0.97451501546479569</v>
      </c>
      <c r="H576" s="15">
        <f t="shared" ca="1" si="85"/>
        <v>0.29252398141671199</v>
      </c>
      <c r="I576" s="14">
        <f ca="1">IF(G576&lt;0.05,1,0)*$B$1*$B$2</f>
        <v>0</v>
      </c>
      <c r="J576" s="14">
        <f ca="1">IF(H576&lt;0.05,1,0)*$B$1*$B$2</f>
        <v>0</v>
      </c>
      <c r="K576" s="15">
        <f t="shared" ca="1" si="86"/>
        <v>0</v>
      </c>
      <c r="P576" s="3">
        <v>572</v>
      </c>
      <c r="Q576" s="4">
        <f t="shared" ca="1" si="87"/>
        <v>0.97451501546479569</v>
      </c>
      <c r="R576" s="4">
        <f t="shared" ca="1" si="88"/>
        <v>0.29252398141671199</v>
      </c>
      <c r="S576" s="4">
        <f ca="1">$B$1*Q576*$B$2</f>
        <v>38.980600618591829</v>
      </c>
      <c r="T576" s="4">
        <f ca="1">$B$1*R576*$B$2</f>
        <v>11.700959256668481</v>
      </c>
      <c r="U576" s="7">
        <f t="shared" ca="1" si="89"/>
        <v>50.681559875260312</v>
      </c>
    </row>
    <row r="577" spans="2:21" x14ac:dyDescent="0.3">
      <c r="B577" s="13">
        <f t="shared" ca="1" si="80"/>
        <v>0.66304031249395767</v>
      </c>
      <c r="C577" s="14">
        <f t="shared" ca="1" si="80"/>
        <v>1.2686077572850563E-2</v>
      </c>
      <c r="D577" s="14">
        <f t="shared" ca="1" si="81"/>
        <v>0.42077501880162471</v>
      </c>
      <c r="E577" s="14">
        <f t="shared" ca="1" si="82"/>
        <v>-2.2356889227637593</v>
      </c>
      <c r="F577" s="14">
        <f t="shared" ca="1" si="83"/>
        <v>-0.59581669143059124</v>
      </c>
      <c r="G577" s="14">
        <f t="shared" ca="1" si="84"/>
        <v>0.66304031249395767</v>
      </c>
      <c r="H577" s="15">
        <f t="shared" ca="1" si="85"/>
        <v>1.2686077572850545E-2</v>
      </c>
      <c r="I577" s="14">
        <f ca="1">IF(G577&lt;0.05,1,0)*$B$1*$B$2</f>
        <v>0</v>
      </c>
      <c r="J577" s="14">
        <f ca="1">IF(H577&lt;0.05,1,0)*$B$1*$B$2</f>
        <v>40</v>
      </c>
      <c r="K577" s="15">
        <f t="shared" ca="1" si="86"/>
        <v>40</v>
      </c>
      <c r="P577" s="3">
        <v>573</v>
      </c>
      <c r="Q577" s="4">
        <f t="shared" ca="1" si="87"/>
        <v>0.66304031249395767</v>
      </c>
      <c r="R577" s="4">
        <f t="shared" ca="1" si="88"/>
        <v>1.2686077572850545E-2</v>
      </c>
      <c r="S577" s="4">
        <f ca="1">$B$1*Q577*$B$2</f>
        <v>26.521612499758305</v>
      </c>
      <c r="T577" s="4">
        <f ca="1">$B$1*R577*$B$2</f>
        <v>0.50744310291402184</v>
      </c>
      <c r="U577" s="7">
        <f t="shared" ca="1" si="89"/>
        <v>27.029055602672326</v>
      </c>
    </row>
    <row r="578" spans="2:21" x14ac:dyDescent="0.3">
      <c r="B578" s="13">
        <f t="shared" ca="1" si="80"/>
        <v>9.4536905285000583E-2</v>
      </c>
      <c r="C578" s="14">
        <f t="shared" ca="1" si="80"/>
        <v>0.87337988401967237</v>
      </c>
      <c r="D578" s="14">
        <f t="shared" ca="1" si="81"/>
        <v>-1.3133239528691247</v>
      </c>
      <c r="E578" s="14">
        <f t="shared" ca="1" si="82"/>
        <v>1.1425144769301576</v>
      </c>
      <c r="F578" s="14">
        <f t="shared" ca="1" si="83"/>
        <v>-0.6839810429351334</v>
      </c>
      <c r="G578" s="14">
        <f t="shared" ca="1" si="84"/>
        <v>9.4536905285000583E-2</v>
      </c>
      <c r="H578" s="15">
        <f t="shared" ca="1" si="85"/>
        <v>0.87337988401967248</v>
      </c>
      <c r="I578" s="14">
        <f ca="1">IF(G578&lt;0.05,1,0)*$B$1*$B$2</f>
        <v>0</v>
      </c>
      <c r="J578" s="14">
        <f ca="1">IF(H578&lt;0.05,1,0)*$B$1*$B$2</f>
        <v>0</v>
      </c>
      <c r="K578" s="15">
        <f t="shared" ca="1" si="86"/>
        <v>0</v>
      </c>
      <c r="P578" s="3">
        <v>574</v>
      </c>
      <c r="Q578" s="4">
        <f t="shared" ca="1" si="87"/>
        <v>9.4536905285000583E-2</v>
      </c>
      <c r="R578" s="4">
        <f t="shared" ca="1" si="88"/>
        <v>0.87337988401967248</v>
      </c>
      <c r="S578" s="4">
        <f ca="1">$B$1*Q578*$B$2</f>
        <v>3.7814762114000233</v>
      </c>
      <c r="T578" s="4">
        <f ca="1">$B$1*R578*$B$2</f>
        <v>34.935195360786899</v>
      </c>
      <c r="U578" s="7">
        <f t="shared" ca="1" si="89"/>
        <v>38.716671572186925</v>
      </c>
    </row>
    <row r="579" spans="2:21" x14ac:dyDescent="0.3">
      <c r="B579" s="13">
        <f t="shared" ca="1" si="80"/>
        <v>0.4914977711480043</v>
      </c>
      <c r="C579" s="14">
        <f t="shared" ca="1" si="80"/>
        <v>0.18716423369809221</v>
      </c>
      <c r="D579" s="14">
        <f t="shared" ca="1" si="81"/>
        <v>-2.1313540800962184E-2</v>
      </c>
      <c r="E579" s="14">
        <f t="shared" ca="1" si="82"/>
        <v>-0.88839471470135523</v>
      </c>
      <c r="F579" s="14">
        <f t="shared" ca="1" si="83"/>
        <v>-0.40642446505675145</v>
      </c>
      <c r="G579" s="14">
        <f t="shared" ca="1" si="84"/>
        <v>0.4914977711480043</v>
      </c>
      <c r="H579" s="15">
        <f t="shared" ca="1" si="85"/>
        <v>0.18716423369809251</v>
      </c>
      <c r="I579" s="14">
        <f ca="1">IF(G579&lt;0.05,1,0)*$B$1*$B$2</f>
        <v>0</v>
      </c>
      <c r="J579" s="14">
        <f ca="1">IF(H579&lt;0.05,1,0)*$B$1*$B$2</f>
        <v>0</v>
      </c>
      <c r="K579" s="15">
        <f t="shared" ca="1" si="86"/>
        <v>0</v>
      </c>
      <c r="P579" s="3">
        <v>575</v>
      </c>
      <c r="Q579" s="4">
        <f t="shared" ca="1" si="87"/>
        <v>0.4914977711480043</v>
      </c>
      <c r="R579" s="4">
        <f t="shared" ca="1" si="88"/>
        <v>0.18716423369809251</v>
      </c>
      <c r="S579" s="4">
        <f ca="1">$B$1*Q579*$B$2</f>
        <v>19.659910845920173</v>
      </c>
      <c r="T579" s="4">
        <f ca="1">$B$1*R579*$B$2</f>
        <v>7.4865693479237017</v>
      </c>
      <c r="U579" s="7">
        <f t="shared" ca="1" si="89"/>
        <v>27.146480193843875</v>
      </c>
    </row>
    <row r="580" spans="2:21" x14ac:dyDescent="0.3">
      <c r="B580" s="13">
        <f t="shared" ca="1" si="80"/>
        <v>0.23366861554020057</v>
      </c>
      <c r="C580" s="14">
        <f t="shared" ca="1" si="80"/>
        <v>0.76757301092214736</v>
      </c>
      <c r="D580" s="14">
        <f t="shared" ca="1" si="81"/>
        <v>-0.72681836531264044</v>
      </c>
      <c r="E580" s="14">
        <f t="shared" ca="1" si="82"/>
        <v>0.73087750354936154</v>
      </c>
      <c r="F580" s="14">
        <f t="shared" ca="1" si="83"/>
        <v>-0.33555441097348077</v>
      </c>
      <c r="G580" s="14">
        <f t="shared" ca="1" si="84"/>
        <v>0.23366861554020049</v>
      </c>
      <c r="H580" s="15">
        <f t="shared" ca="1" si="85"/>
        <v>0.76757301092214747</v>
      </c>
      <c r="I580" s="14">
        <f ca="1">IF(G580&lt;0.05,1,0)*$B$1*$B$2</f>
        <v>0</v>
      </c>
      <c r="J580" s="14">
        <f ca="1">IF(H580&lt;0.05,1,0)*$B$1*$B$2</f>
        <v>0</v>
      </c>
      <c r="K580" s="15">
        <f t="shared" ca="1" si="86"/>
        <v>0</v>
      </c>
      <c r="P580" s="3">
        <v>576</v>
      </c>
      <c r="Q580" s="4">
        <f t="shared" ca="1" si="87"/>
        <v>0.23366861554020049</v>
      </c>
      <c r="R580" s="4">
        <f t="shared" ca="1" si="88"/>
        <v>0.76757301092214747</v>
      </c>
      <c r="S580" s="4">
        <f ca="1">$B$1*Q580*$B$2</f>
        <v>9.3467446216080194</v>
      </c>
      <c r="T580" s="4">
        <f ca="1">$B$1*R580*$B$2</f>
        <v>30.702920436885901</v>
      </c>
      <c r="U580" s="7">
        <f t="shared" ca="1" si="89"/>
        <v>40.049665058493922</v>
      </c>
    </row>
    <row r="581" spans="2:21" x14ac:dyDescent="0.3">
      <c r="B581" s="13">
        <f t="shared" ca="1" si="80"/>
        <v>0.53663999709664356</v>
      </c>
      <c r="C581" s="14">
        <f t="shared" ca="1" si="80"/>
        <v>0.15879753622732806</v>
      </c>
      <c r="D581" s="14">
        <f t="shared" ca="1" si="81"/>
        <v>9.1972352712605371E-2</v>
      </c>
      <c r="E581" s="14">
        <f t="shared" ca="1" si="82"/>
        <v>-0.99941215827365359</v>
      </c>
      <c r="F581" s="14">
        <f t="shared" ca="1" si="83"/>
        <v>-0.35285854264472838</v>
      </c>
      <c r="G581" s="14">
        <f t="shared" ca="1" si="84"/>
        <v>0.53663999709664356</v>
      </c>
      <c r="H581" s="15">
        <f t="shared" ca="1" si="85"/>
        <v>0.15879753622732837</v>
      </c>
      <c r="I581" s="14">
        <f ca="1">IF(G581&lt;0.05,1,0)*$B$1*$B$2</f>
        <v>0</v>
      </c>
      <c r="J581" s="14">
        <f ca="1">IF(H581&lt;0.05,1,0)*$B$1*$B$2</f>
        <v>0</v>
      </c>
      <c r="K581" s="15">
        <f t="shared" ca="1" si="86"/>
        <v>0</v>
      </c>
      <c r="P581" s="3">
        <v>577</v>
      </c>
      <c r="Q581" s="4">
        <f t="shared" ca="1" si="87"/>
        <v>0.53663999709664356</v>
      </c>
      <c r="R581" s="4">
        <f t="shared" ca="1" si="88"/>
        <v>0.15879753622732837</v>
      </c>
      <c r="S581" s="4">
        <f ca="1">$B$1*Q581*$B$2</f>
        <v>21.465599883865742</v>
      </c>
      <c r="T581" s="4">
        <f ca="1">$B$1*R581*$B$2</f>
        <v>6.3519014490931349</v>
      </c>
      <c r="U581" s="7">
        <f t="shared" ca="1" si="89"/>
        <v>27.817501332958877</v>
      </c>
    </row>
    <row r="582" spans="2:21" x14ac:dyDescent="0.3">
      <c r="B582" s="13">
        <f t="shared" ref="B582:C645" ca="1" si="90">RAND()</f>
        <v>0.73643754647141113</v>
      </c>
      <c r="C582" s="14">
        <f t="shared" ca="1" si="90"/>
        <v>7.4274136161607274E-3</v>
      </c>
      <c r="D582" s="14">
        <f t="shared" ref="D582:D645" ca="1" si="91">_xlfn.NORM.S.INV(B582)</f>
        <v>0.63240095961415188</v>
      </c>
      <c r="E582" s="14">
        <f t="shared" ref="E582:E645" ca="1" si="92">_xlfn.NORM.S.INV(C582)</f>
        <v>-2.4358991065001163</v>
      </c>
      <c r="F582" s="14">
        <f t="shared" ref="F582:F645" ca="1" si="93">($Y$5*D582)+(SQRT(1-$Y$5^2)*E582)</f>
        <v>-0.49262294053676581</v>
      </c>
      <c r="G582" s="14">
        <f t="shared" ref="G582:G645" ca="1" si="94">_xlfn.NORM.S.DIST(D582,TRUE)</f>
        <v>0.73643754647141124</v>
      </c>
      <c r="H582" s="15">
        <f t="shared" ref="H582:H645" ca="1" si="95">_xlfn.NORM.S.DIST(E582,TRUE)</f>
        <v>7.4274136161607248E-3</v>
      </c>
      <c r="I582" s="14">
        <f ca="1">IF(G582&lt;0.05,1,0)*$B$1*$B$2</f>
        <v>0</v>
      </c>
      <c r="J582" s="14">
        <f ca="1">IF(H582&lt;0.05,1,0)*$B$1*$B$2</f>
        <v>40</v>
      </c>
      <c r="K582" s="15">
        <f t="shared" ref="K582:K645" ca="1" si="96">I582+J582</f>
        <v>40</v>
      </c>
      <c r="P582" s="3">
        <v>578</v>
      </c>
      <c r="Q582" s="4">
        <f t="shared" ref="Q582:Q645" ca="1" si="97">G582</f>
        <v>0.73643754647141124</v>
      </c>
      <c r="R582" s="4">
        <f t="shared" ref="R582:R645" ca="1" si="98">H582</f>
        <v>7.4274136161607248E-3</v>
      </c>
      <c r="S582" s="4">
        <f ca="1">$B$1*Q582*$B$2</f>
        <v>29.45750185885645</v>
      </c>
      <c r="T582" s="4">
        <f ca="1">$B$1*R582*$B$2</f>
        <v>0.29709654464642904</v>
      </c>
      <c r="U582" s="7">
        <f t="shared" ref="U582:U645" ca="1" si="99">S582+T582</f>
        <v>29.754598403502879</v>
      </c>
    </row>
    <row r="583" spans="2:21" x14ac:dyDescent="0.3">
      <c r="B583" s="13">
        <f t="shared" ca="1" si="90"/>
        <v>0.57507718476961567</v>
      </c>
      <c r="C583" s="14">
        <f t="shared" ca="1" si="90"/>
        <v>0.82007038997644555</v>
      </c>
      <c r="D583" s="14">
        <f t="shared" ca="1" si="91"/>
        <v>0.18931539445560805</v>
      </c>
      <c r="E583" s="14">
        <f t="shared" ca="1" si="92"/>
        <v>0.91563337525198785</v>
      </c>
      <c r="F583" s="14">
        <f t="shared" ca="1" si="93"/>
        <v>0.56949919021569428</v>
      </c>
      <c r="G583" s="14">
        <f t="shared" ca="1" si="94"/>
        <v>0.57507718476961567</v>
      </c>
      <c r="H583" s="15">
        <f t="shared" ca="1" si="95"/>
        <v>0.82007038997644577</v>
      </c>
      <c r="I583" s="14">
        <f ca="1">IF(G583&lt;0.05,1,0)*$B$1*$B$2</f>
        <v>0</v>
      </c>
      <c r="J583" s="14">
        <f ca="1">IF(H583&lt;0.05,1,0)*$B$1*$B$2</f>
        <v>0</v>
      </c>
      <c r="K583" s="15">
        <f t="shared" ca="1" si="96"/>
        <v>0</v>
      </c>
      <c r="P583" s="3">
        <v>579</v>
      </c>
      <c r="Q583" s="4">
        <f t="shared" ca="1" si="97"/>
        <v>0.57507718476961567</v>
      </c>
      <c r="R583" s="4">
        <f t="shared" ca="1" si="98"/>
        <v>0.82007038997644577</v>
      </c>
      <c r="S583" s="4">
        <f ca="1">$B$1*Q583*$B$2</f>
        <v>23.003087390784628</v>
      </c>
      <c r="T583" s="4">
        <f ca="1">$B$1*R583*$B$2</f>
        <v>32.80281559905783</v>
      </c>
      <c r="U583" s="7">
        <f t="shared" ca="1" si="99"/>
        <v>55.805902989842458</v>
      </c>
    </row>
    <row r="584" spans="2:21" x14ac:dyDescent="0.3">
      <c r="B584" s="13">
        <f t="shared" ca="1" si="90"/>
        <v>0.44672899799222821</v>
      </c>
      <c r="C584" s="14">
        <f t="shared" ca="1" si="90"/>
        <v>0.98062428761490605</v>
      </c>
      <c r="D584" s="14">
        <f t="shared" ca="1" si="91"/>
        <v>-0.13392991329254519</v>
      </c>
      <c r="E584" s="14">
        <f t="shared" ca="1" si="92"/>
        <v>2.0668167476051442</v>
      </c>
      <c r="F584" s="14">
        <f t="shared" ca="1" si="93"/>
        <v>0.78036761179953251</v>
      </c>
      <c r="G584" s="14">
        <f t="shared" ca="1" si="94"/>
        <v>0.44672899799222821</v>
      </c>
      <c r="H584" s="15">
        <f t="shared" ca="1" si="95"/>
        <v>0.98062428761490605</v>
      </c>
      <c r="I584" s="14">
        <f ca="1">IF(G584&lt;0.05,1,0)*$B$1*$B$2</f>
        <v>0</v>
      </c>
      <c r="J584" s="14">
        <f ca="1">IF(H584&lt;0.05,1,0)*$B$1*$B$2</f>
        <v>0</v>
      </c>
      <c r="K584" s="15">
        <f t="shared" ca="1" si="96"/>
        <v>0</v>
      </c>
      <c r="P584" s="3">
        <v>580</v>
      </c>
      <c r="Q584" s="4">
        <f t="shared" ca="1" si="97"/>
        <v>0.44672899799222821</v>
      </c>
      <c r="R584" s="4">
        <f t="shared" ca="1" si="98"/>
        <v>0.98062428761490605</v>
      </c>
      <c r="S584" s="4">
        <f ca="1">$B$1*Q584*$B$2</f>
        <v>17.869159919689128</v>
      </c>
      <c r="T584" s="4">
        <f ca="1">$B$1*R584*$B$2</f>
        <v>39.224971504596247</v>
      </c>
      <c r="U584" s="7">
        <f t="shared" ca="1" si="99"/>
        <v>57.094131424285379</v>
      </c>
    </row>
    <row r="585" spans="2:21" x14ac:dyDescent="0.3">
      <c r="B585" s="13">
        <f t="shared" ca="1" si="90"/>
        <v>1.0538463764308892E-2</v>
      </c>
      <c r="C585" s="14">
        <f t="shared" ca="1" si="90"/>
        <v>0.71312866629478577</v>
      </c>
      <c r="D585" s="14">
        <f t="shared" ca="1" si="91"/>
        <v>-2.3066036205523028</v>
      </c>
      <c r="E585" s="14">
        <f t="shared" ca="1" si="92"/>
        <v>0.56254806191982376</v>
      </c>
      <c r="F585" s="14">
        <f t="shared" ca="1" si="93"/>
        <v>-1.8307342432177554</v>
      </c>
      <c r="G585" s="14">
        <f t="shared" ca="1" si="94"/>
        <v>1.0538463764308895E-2</v>
      </c>
      <c r="H585" s="15">
        <f t="shared" ca="1" si="95"/>
        <v>0.71312866629478577</v>
      </c>
      <c r="I585" s="14">
        <f ca="1">IF(G585&lt;0.05,1,0)*$B$1*$B$2</f>
        <v>40</v>
      </c>
      <c r="J585" s="14">
        <f ca="1">IF(H585&lt;0.05,1,0)*$B$1*$B$2</f>
        <v>0</v>
      </c>
      <c r="K585" s="15">
        <f t="shared" ca="1" si="96"/>
        <v>40</v>
      </c>
      <c r="P585" s="3">
        <v>581</v>
      </c>
      <c r="Q585" s="4">
        <f t="shared" ca="1" si="97"/>
        <v>1.0538463764308895E-2</v>
      </c>
      <c r="R585" s="4">
        <f t="shared" ca="1" si="98"/>
        <v>0.71312866629478577</v>
      </c>
      <c r="S585" s="4">
        <f ca="1">$B$1*Q585*$B$2</f>
        <v>0.4215385505723559</v>
      </c>
      <c r="T585" s="4">
        <f ca="1">$B$1*R585*$B$2</f>
        <v>28.525146651791431</v>
      </c>
      <c r="U585" s="7">
        <f t="shared" ca="1" si="99"/>
        <v>28.946685202363788</v>
      </c>
    </row>
    <row r="586" spans="2:21" x14ac:dyDescent="0.3">
      <c r="B586" s="13">
        <f t="shared" ca="1" si="90"/>
        <v>0.56851861169762352</v>
      </c>
      <c r="C586" s="14">
        <f t="shared" ca="1" si="90"/>
        <v>0.88820033620290828</v>
      </c>
      <c r="D586" s="14">
        <f t="shared" ca="1" si="91"/>
        <v>0.17260391215033991</v>
      </c>
      <c r="E586" s="14">
        <f t="shared" ca="1" si="92"/>
        <v>1.2170128479086244</v>
      </c>
      <c r="F586" s="14">
        <f t="shared" ca="1" si="93"/>
        <v>0.68582712263773871</v>
      </c>
      <c r="G586" s="14">
        <f t="shared" ca="1" si="94"/>
        <v>0.56851861169762352</v>
      </c>
      <c r="H586" s="15">
        <f t="shared" ca="1" si="95"/>
        <v>0.88820033620290839</v>
      </c>
      <c r="I586" s="14">
        <f ca="1">IF(G586&lt;0.05,1,0)*$B$1*$B$2</f>
        <v>0</v>
      </c>
      <c r="J586" s="14">
        <f ca="1">IF(H586&lt;0.05,1,0)*$B$1*$B$2</f>
        <v>0</v>
      </c>
      <c r="K586" s="15">
        <f t="shared" ca="1" si="96"/>
        <v>0</v>
      </c>
      <c r="P586" s="3">
        <v>582</v>
      </c>
      <c r="Q586" s="4">
        <f t="shared" ca="1" si="97"/>
        <v>0.56851861169762352</v>
      </c>
      <c r="R586" s="4">
        <f t="shared" ca="1" si="98"/>
        <v>0.88820033620290839</v>
      </c>
      <c r="S586" s="4">
        <f ca="1">$B$1*Q586*$B$2</f>
        <v>22.740744467904943</v>
      </c>
      <c r="T586" s="4">
        <f ca="1">$B$1*R586*$B$2</f>
        <v>35.52801344811634</v>
      </c>
      <c r="U586" s="7">
        <f t="shared" ca="1" si="99"/>
        <v>58.268757916021286</v>
      </c>
    </row>
    <row r="587" spans="2:21" x14ac:dyDescent="0.3">
      <c r="B587" s="13">
        <f t="shared" ca="1" si="90"/>
        <v>0.9682230982457809</v>
      </c>
      <c r="C587" s="14">
        <f t="shared" ca="1" si="90"/>
        <v>0.88535108431034626</v>
      </c>
      <c r="D587" s="14">
        <f t="shared" ca="1" si="91"/>
        <v>1.8552971603107424</v>
      </c>
      <c r="E587" s="14">
        <f t="shared" ca="1" si="92"/>
        <v>1.202169583275458</v>
      </c>
      <c r="F587" s="14">
        <f t="shared" ca="1" si="93"/>
        <v>2.1937810169292806</v>
      </c>
      <c r="G587" s="14">
        <f t="shared" ca="1" si="94"/>
        <v>0.9682230982457809</v>
      </c>
      <c r="H587" s="15">
        <f t="shared" ca="1" si="95"/>
        <v>0.88535108431034626</v>
      </c>
      <c r="I587" s="14">
        <f ca="1">IF(G587&lt;0.05,1,0)*$B$1*$B$2</f>
        <v>0</v>
      </c>
      <c r="J587" s="14">
        <f ca="1">IF(H587&lt;0.05,1,0)*$B$1*$B$2</f>
        <v>0</v>
      </c>
      <c r="K587" s="15">
        <f t="shared" ca="1" si="96"/>
        <v>0</v>
      </c>
      <c r="P587" s="3">
        <v>583</v>
      </c>
      <c r="Q587" s="4">
        <f t="shared" ca="1" si="97"/>
        <v>0.9682230982457809</v>
      </c>
      <c r="R587" s="4">
        <f t="shared" ca="1" si="98"/>
        <v>0.88535108431034626</v>
      </c>
      <c r="S587" s="4">
        <f ca="1">$B$1*Q587*$B$2</f>
        <v>38.72892392983124</v>
      </c>
      <c r="T587" s="4">
        <f ca="1">$B$1*R587*$B$2</f>
        <v>35.41404337241385</v>
      </c>
      <c r="U587" s="7">
        <f t="shared" ca="1" si="99"/>
        <v>74.142967302245097</v>
      </c>
    </row>
    <row r="588" spans="2:21" x14ac:dyDescent="0.3">
      <c r="B588" s="13">
        <f t="shared" ca="1" si="90"/>
        <v>0.95459479063897945</v>
      </c>
      <c r="C588" s="14">
        <f t="shared" ca="1" si="90"/>
        <v>0.67069633966025166</v>
      </c>
      <c r="D588" s="14">
        <f t="shared" ca="1" si="91"/>
        <v>1.6911381588018728</v>
      </c>
      <c r="E588" s="14">
        <f t="shared" ca="1" si="92"/>
        <v>0.44183678082727385</v>
      </c>
      <c r="F588" s="14">
        <f t="shared" ca="1" si="93"/>
        <v>1.7146165306382271</v>
      </c>
      <c r="G588" s="14">
        <f t="shared" ca="1" si="94"/>
        <v>0.95459479063897945</v>
      </c>
      <c r="H588" s="15">
        <f t="shared" ca="1" si="95"/>
        <v>0.67069633966025166</v>
      </c>
      <c r="I588" s="14">
        <f ca="1">IF(G588&lt;0.05,1,0)*$B$1*$B$2</f>
        <v>0</v>
      </c>
      <c r="J588" s="14">
        <f ca="1">IF(H588&lt;0.05,1,0)*$B$1*$B$2</f>
        <v>0</v>
      </c>
      <c r="K588" s="15">
        <f t="shared" ca="1" si="96"/>
        <v>0</v>
      </c>
      <c r="P588" s="3">
        <v>584</v>
      </c>
      <c r="Q588" s="4">
        <f t="shared" ca="1" si="97"/>
        <v>0.95459479063897945</v>
      </c>
      <c r="R588" s="4">
        <f t="shared" ca="1" si="98"/>
        <v>0.67069633966025166</v>
      </c>
      <c r="S588" s="4">
        <f ca="1">$B$1*Q588*$B$2</f>
        <v>38.183791625559181</v>
      </c>
      <c r="T588" s="4">
        <f ca="1">$B$1*R588*$B$2</f>
        <v>26.827853586410068</v>
      </c>
      <c r="U588" s="7">
        <f t="shared" ca="1" si="99"/>
        <v>65.011645211969253</v>
      </c>
    </row>
    <row r="589" spans="2:21" x14ac:dyDescent="0.3">
      <c r="B589" s="13">
        <f t="shared" ca="1" si="90"/>
        <v>0.90437859206938354</v>
      </c>
      <c r="C589" s="14">
        <f t="shared" ca="1" si="90"/>
        <v>0.78154103418613408</v>
      </c>
      <c r="D589" s="14">
        <f t="shared" ca="1" si="91"/>
        <v>1.3069113648504336</v>
      </c>
      <c r="E589" s="14">
        <f t="shared" ca="1" si="92"/>
        <v>0.77740827538817503</v>
      </c>
      <c r="F589" s="14">
        <f t="shared" ca="1" si="93"/>
        <v>1.5150846393943196</v>
      </c>
      <c r="G589" s="14">
        <f t="shared" ca="1" si="94"/>
        <v>0.90437859206938365</v>
      </c>
      <c r="H589" s="15">
        <f t="shared" ca="1" si="95"/>
        <v>0.78154103418613419</v>
      </c>
      <c r="I589" s="14">
        <f ca="1">IF(G589&lt;0.05,1,0)*$B$1*$B$2</f>
        <v>0</v>
      </c>
      <c r="J589" s="14">
        <f ca="1">IF(H589&lt;0.05,1,0)*$B$1*$B$2</f>
        <v>0</v>
      </c>
      <c r="K589" s="15">
        <f t="shared" ca="1" si="96"/>
        <v>0</v>
      </c>
      <c r="P589" s="3">
        <v>585</v>
      </c>
      <c r="Q589" s="4">
        <f t="shared" ca="1" si="97"/>
        <v>0.90437859206938365</v>
      </c>
      <c r="R589" s="4">
        <f t="shared" ca="1" si="98"/>
        <v>0.78154103418613419</v>
      </c>
      <c r="S589" s="4">
        <f ca="1">$B$1*Q589*$B$2</f>
        <v>36.175143682775349</v>
      </c>
      <c r="T589" s="4">
        <f ca="1">$B$1*R589*$B$2</f>
        <v>31.261641367445367</v>
      </c>
      <c r="U589" s="7">
        <f t="shared" ca="1" si="99"/>
        <v>67.43678505022072</v>
      </c>
    </row>
    <row r="590" spans="2:21" x14ac:dyDescent="0.3">
      <c r="B590" s="13">
        <f t="shared" ca="1" si="90"/>
        <v>0.54645560987026864</v>
      </c>
      <c r="C590" s="14">
        <f t="shared" ca="1" si="90"/>
        <v>0.9113734038849115</v>
      </c>
      <c r="D590" s="14">
        <f t="shared" ca="1" si="91"/>
        <v>0.1167113695466203</v>
      </c>
      <c r="E590" s="14">
        <f t="shared" ca="1" si="92"/>
        <v>1.349260861298949</v>
      </c>
      <c r="F590" s="14">
        <f t="shared" ca="1" si="93"/>
        <v>0.69316940687963491</v>
      </c>
      <c r="G590" s="14">
        <f t="shared" ca="1" si="94"/>
        <v>0.54645560987026864</v>
      </c>
      <c r="H590" s="15">
        <f t="shared" ca="1" si="95"/>
        <v>0.9113734038849115</v>
      </c>
      <c r="I590" s="14">
        <f ca="1">IF(G590&lt;0.05,1,0)*$B$1*$B$2</f>
        <v>0</v>
      </c>
      <c r="J590" s="14">
        <f ca="1">IF(H590&lt;0.05,1,0)*$B$1*$B$2</f>
        <v>0</v>
      </c>
      <c r="K590" s="15">
        <f t="shared" ca="1" si="96"/>
        <v>0</v>
      </c>
      <c r="P590" s="3">
        <v>586</v>
      </c>
      <c r="Q590" s="4">
        <f t="shared" ca="1" si="97"/>
        <v>0.54645560987026864</v>
      </c>
      <c r="R590" s="4">
        <f t="shared" ca="1" si="98"/>
        <v>0.9113734038849115</v>
      </c>
      <c r="S590" s="4">
        <f ca="1">$B$1*Q590*$B$2</f>
        <v>21.858224394810748</v>
      </c>
      <c r="T590" s="4">
        <f ca="1">$B$1*R590*$B$2</f>
        <v>36.45493615539646</v>
      </c>
      <c r="U590" s="7">
        <f t="shared" ca="1" si="99"/>
        <v>58.313160550207208</v>
      </c>
    </row>
    <row r="591" spans="2:21" x14ac:dyDescent="0.3">
      <c r="B591" s="13">
        <f t="shared" ca="1" si="90"/>
        <v>0.29970602272087887</v>
      </c>
      <c r="C591" s="14">
        <f t="shared" ca="1" si="90"/>
        <v>0.11115666398524648</v>
      </c>
      <c r="D591" s="14">
        <f t="shared" ca="1" si="91"/>
        <v>-0.52524620943571521</v>
      </c>
      <c r="E591" s="14">
        <f t="shared" ca="1" si="92"/>
        <v>-1.2203998664442719</v>
      </c>
      <c r="F591" s="14">
        <f t="shared" ca="1" si="93"/>
        <v>-1.0046815573462551</v>
      </c>
      <c r="G591" s="14">
        <f t="shared" ca="1" si="94"/>
        <v>0.29970602272087887</v>
      </c>
      <c r="H591" s="15">
        <f t="shared" ca="1" si="95"/>
        <v>0.11115666398524637</v>
      </c>
      <c r="I591" s="14">
        <f ca="1">IF(G591&lt;0.05,1,0)*$B$1*$B$2</f>
        <v>0</v>
      </c>
      <c r="J591" s="14">
        <f ca="1">IF(H591&lt;0.05,1,0)*$B$1*$B$2</f>
        <v>0</v>
      </c>
      <c r="K591" s="15">
        <f t="shared" ca="1" si="96"/>
        <v>0</v>
      </c>
      <c r="P591" s="3">
        <v>587</v>
      </c>
      <c r="Q591" s="4">
        <f t="shared" ca="1" si="97"/>
        <v>0.29970602272087887</v>
      </c>
      <c r="R591" s="4">
        <f t="shared" ca="1" si="98"/>
        <v>0.11115666398524637</v>
      </c>
      <c r="S591" s="4">
        <f ca="1">$B$1*Q591*$B$2</f>
        <v>11.988240908835156</v>
      </c>
      <c r="T591" s="4">
        <f ca="1">$B$1*R591*$B$2</f>
        <v>4.4462665594098558</v>
      </c>
      <c r="U591" s="7">
        <f t="shared" ca="1" si="99"/>
        <v>16.434507468245013</v>
      </c>
    </row>
    <row r="592" spans="2:21" x14ac:dyDescent="0.3">
      <c r="B592" s="13">
        <f t="shared" ca="1" si="90"/>
        <v>0.55639665854512632</v>
      </c>
      <c r="C592" s="14">
        <f t="shared" ca="1" si="90"/>
        <v>0.31834407555570321</v>
      </c>
      <c r="D592" s="14">
        <f t="shared" ca="1" si="91"/>
        <v>0.14183962669193839</v>
      </c>
      <c r="E592" s="14">
        <f t="shared" ca="1" si="92"/>
        <v>-0.47233435652044037</v>
      </c>
      <c r="F592" s="14">
        <f t="shared" ca="1" si="93"/>
        <v>-7.823010874074654E-2</v>
      </c>
      <c r="G592" s="14">
        <f t="shared" ca="1" si="94"/>
        <v>0.55639665854512632</v>
      </c>
      <c r="H592" s="15">
        <f t="shared" ca="1" si="95"/>
        <v>0.31834407555570321</v>
      </c>
      <c r="I592" s="14">
        <f ca="1">IF(G592&lt;0.05,1,0)*$B$1*$B$2</f>
        <v>0</v>
      </c>
      <c r="J592" s="14">
        <f ca="1">IF(H592&lt;0.05,1,0)*$B$1*$B$2</f>
        <v>0</v>
      </c>
      <c r="K592" s="15">
        <f t="shared" ca="1" si="96"/>
        <v>0</v>
      </c>
      <c r="P592" s="3">
        <v>588</v>
      </c>
      <c r="Q592" s="4">
        <f t="shared" ca="1" si="97"/>
        <v>0.55639665854512632</v>
      </c>
      <c r="R592" s="4">
        <f t="shared" ca="1" si="98"/>
        <v>0.31834407555570321</v>
      </c>
      <c r="S592" s="4">
        <f ca="1">$B$1*Q592*$B$2</f>
        <v>22.255866341805053</v>
      </c>
      <c r="T592" s="4">
        <f ca="1">$B$1*R592*$B$2</f>
        <v>12.73376302222813</v>
      </c>
      <c r="U592" s="7">
        <f t="shared" ca="1" si="99"/>
        <v>34.989629364033185</v>
      </c>
    </row>
    <row r="593" spans="2:21" x14ac:dyDescent="0.3">
      <c r="B593" s="13">
        <f t="shared" ca="1" si="90"/>
        <v>0.7464203077874827</v>
      </c>
      <c r="C593" s="14">
        <f t="shared" ca="1" si="90"/>
        <v>0.22732147048104367</v>
      </c>
      <c r="D593" s="14">
        <f t="shared" ca="1" si="91"/>
        <v>0.66326728610830987</v>
      </c>
      <c r="E593" s="14">
        <f t="shared" ca="1" si="92"/>
        <v>-0.74769700024533292</v>
      </c>
      <c r="F593" s="14">
        <f t="shared" ca="1" si="93"/>
        <v>0.2710269910516877</v>
      </c>
      <c r="G593" s="14">
        <f t="shared" ca="1" si="94"/>
        <v>0.74642030778748281</v>
      </c>
      <c r="H593" s="15">
        <f t="shared" ca="1" si="95"/>
        <v>0.22732147048104356</v>
      </c>
      <c r="I593" s="14">
        <f ca="1">IF(G593&lt;0.05,1,0)*$B$1*$B$2</f>
        <v>0</v>
      </c>
      <c r="J593" s="14">
        <f ca="1">IF(H593&lt;0.05,1,0)*$B$1*$B$2</f>
        <v>0</v>
      </c>
      <c r="K593" s="15">
        <f t="shared" ca="1" si="96"/>
        <v>0</v>
      </c>
      <c r="P593" s="3">
        <v>589</v>
      </c>
      <c r="Q593" s="4">
        <f t="shared" ca="1" si="97"/>
        <v>0.74642030778748281</v>
      </c>
      <c r="R593" s="4">
        <f t="shared" ca="1" si="98"/>
        <v>0.22732147048104356</v>
      </c>
      <c r="S593" s="4">
        <f ca="1">$B$1*Q593*$B$2</f>
        <v>29.856812311499311</v>
      </c>
      <c r="T593" s="4">
        <f ca="1">$B$1*R593*$B$2</f>
        <v>9.0928588192417426</v>
      </c>
      <c r="U593" s="7">
        <f t="shared" ca="1" si="99"/>
        <v>38.949671130741052</v>
      </c>
    </row>
    <row r="594" spans="2:21" x14ac:dyDescent="0.3">
      <c r="B594" s="13">
        <f t="shared" ca="1" si="90"/>
        <v>0.16853242290642345</v>
      </c>
      <c r="C594" s="14">
        <f t="shared" ca="1" si="90"/>
        <v>0.23022785409562696</v>
      </c>
      <c r="D594" s="14">
        <f t="shared" ca="1" si="91"/>
        <v>-0.9599808642811728</v>
      </c>
      <c r="E594" s="14">
        <f t="shared" ca="1" si="92"/>
        <v>-0.73809666833899101</v>
      </c>
      <c r="F594" s="14">
        <f t="shared" ca="1" si="93"/>
        <v>-1.1857116566384274</v>
      </c>
      <c r="G594" s="14">
        <f t="shared" ca="1" si="94"/>
        <v>0.16853242290642359</v>
      </c>
      <c r="H594" s="15">
        <f t="shared" ca="1" si="95"/>
        <v>0.23022785409562693</v>
      </c>
      <c r="I594" s="14">
        <f ca="1">IF(G594&lt;0.05,1,0)*$B$1*$B$2</f>
        <v>0</v>
      </c>
      <c r="J594" s="14">
        <f ca="1">IF(H594&lt;0.05,1,0)*$B$1*$B$2</f>
        <v>0</v>
      </c>
      <c r="K594" s="15">
        <f t="shared" ca="1" si="96"/>
        <v>0</v>
      </c>
      <c r="P594" s="3">
        <v>590</v>
      </c>
      <c r="Q594" s="4">
        <f t="shared" ca="1" si="97"/>
        <v>0.16853242290642359</v>
      </c>
      <c r="R594" s="4">
        <f t="shared" ca="1" si="98"/>
        <v>0.23022785409562693</v>
      </c>
      <c r="S594" s="4">
        <f ca="1">$B$1*Q594*$B$2</f>
        <v>6.7412969162569443</v>
      </c>
      <c r="T594" s="4">
        <f ca="1">$B$1*R594*$B$2</f>
        <v>9.2091141638250775</v>
      </c>
      <c r="U594" s="7">
        <f t="shared" ca="1" si="99"/>
        <v>15.950411080082022</v>
      </c>
    </row>
    <row r="595" spans="2:21" x14ac:dyDescent="0.3">
      <c r="B595" s="13">
        <f t="shared" ca="1" si="90"/>
        <v>0.27215302594928492</v>
      </c>
      <c r="C595" s="14">
        <f t="shared" ca="1" si="90"/>
        <v>0.87425147808740489</v>
      </c>
      <c r="D595" s="14">
        <f t="shared" ca="1" si="91"/>
        <v>-0.60631431910480427</v>
      </c>
      <c r="E595" s="14">
        <f t="shared" ca="1" si="92"/>
        <v>1.1467207692434596</v>
      </c>
      <c r="F595" s="14">
        <f t="shared" ca="1" si="93"/>
        <v>-4.5838892235177564E-2</v>
      </c>
      <c r="G595" s="14">
        <f t="shared" ca="1" si="94"/>
        <v>0.27215302594928492</v>
      </c>
      <c r="H595" s="15">
        <f t="shared" ca="1" si="95"/>
        <v>0.87425147808740511</v>
      </c>
      <c r="I595" s="14">
        <f ca="1">IF(G595&lt;0.05,1,0)*$B$1*$B$2</f>
        <v>0</v>
      </c>
      <c r="J595" s="14">
        <f ca="1">IF(H595&lt;0.05,1,0)*$B$1*$B$2</f>
        <v>0</v>
      </c>
      <c r="K595" s="15">
        <f t="shared" ca="1" si="96"/>
        <v>0</v>
      </c>
      <c r="P595" s="3">
        <v>591</v>
      </c>
      <c r="Q595" s="4">
        <f t="shared" ca="1" si="97"/>
        <v>0.27215302594928492</v>
      </c>
      <c r="R595" s="4">
        <f t="shared" ca="1" si="98"/>
        <v>0.87425147808740511</v>
      </c>
      <c r="S595" s="4">
        <f ca="1">$B$1*Q595*$B$2</f>
        <v>10.886121037971398</v>
      </c>
      <c r="T595" s="4">
        <f ca="1">$B$1*R595*$B$2</f>
        <v>34.970059123496206</v>
      </c>
      <c r="U595" s="7">
        <f t="shared" ca="1" si="99"/>
        <v>45.856180161467606</v>
      </c>
    </row>
    <row r="596" spans="2:21" x14ac:dyDescent="0.3">
      <c r="B596" s="13">
        <f t="shared" ca="1" si="90"/>
        <v>0.31094314880996343</v>
      </c>
      <c r="C596" s="14">
        <f t="shared" ca="1" si="90"/>
        <v>0.66068830711781368</v>
      </c>
      <c r="D596" s="14">
        <f t="shared" ca="1" si="91"/>
        <v>-0.49317874112989429</v>
      </c>
      <c r="E596" s="14">
        <f t="shared" ca="1" si="92"/>
        <v>0.41434237317043709</v>
      </c>
      <c r="F596" s="14">
        <f t="shared" ca="1" si="93"/>
        <v>-0.2632532137492295</v>
      </c>
      <c r="G596" s="14">
        <f t="shared" ca="1" si="94"/>
        <v>0.31094314880996332</v>
      </c>
      <c r="H596" s="15">
        <f t="shared" ca="1" si="95"/>
        <v>0.66068830711781368</v>
      </c>
      <c r="I596" s="14">
        <f ca="1">IF(G596&lt;0.05,1,0)*$B$1*$B$2</f>
        <v>0</v>
      </c>
      <c r="J596" s="14">
        <f ca="1">IF(H596&lt;0.05,1,0)*$B$1*$B$2</f>
        <v>0</v>
      </c>
      <c r="K596" s="15">
        <f t="shared" ca="1" si="96"/>
        <v>0</v>
      </c>
      <c r="P596" s="3">
        <v>592</v>
      </c>
      <c r="Q596" s="4">
        <f t="shared" ca="1" si="97"/>
        <v>0.31094314880996332</v>
      </c>
      <c r="R596" s="4">
        <f t="shared" ca="1" si="98"/>
        <v>0.66068830711781368</v>
      </c>
      <c r="S596" s="4">
        <f ca="1">$B$1*Q596*$B$2</f>
        <v>12.437725952398534</v>
      </c>
      <c r="T596" s="4">
        <f ca="1">$B$1*R596*$B$2</f>
        <v>26.427532284712552</v>
      </c>
      <c r="U596" s="7">
        <f t="shared" ca="1" si="99"/>
        <v>38.865258237111085</v>
      </c>
    </row>
    <row r="597" spans="2:21" x14ac:dyDescent="0.3">
      <c r="B597" s="13">
        <f t="shared" ca="1" si="90"/>
        <v>0.21753399685434649</v>
      </c>
      <c r="C597" s="14">
        <f t="shared" ca="1" si="90"/>
        <v>0.48558621764821308</v>
      </c>
      <c r="D597" s="14">
        <f t="shared" ca="1" si="91"/>
        <v>-0.78054866641980136</v>
      </c>
      <c r="E597" s="14">
        <f t="shared" ca="1" si="92"/>
        <v>-3.6137858521633516E-2</v>
      </c>
      <c r="F597" s="14">
        <f t="shared" ca="1" si="93"/>
        <v>-0.71824592711099833</v>
      </c>
      <c r="G597" s="14">
        <f t="shared" ca="1" si="94"/>
        <v>0.21753399685434646</v>
      </c>
      <c r="H597" s="15">
        <f t="shared" ca="1" si="95"/>
        <v>0.48558621764821308</v>
      </c>
      <c r="I597" s="14">
        <f ca="1">IF(G597&lt;0.05,1,0)*$B$1*$B$2</f>
        <v>0</v>
      </c>
      <c r="J597" s="14">
        <f ca="1">IF(H597&lt;0.05,1,0)*$B$1*$B$2</f>
        <v>0</v>
      </c>
      <c r="K597" s="15">
        <f t="shared" ca="1" si="96"/>
        <v>0</v>
      </c>
      <c r="P597" s="3">
        <v>593</v>
      </c>
      <c r="Q597" s="4">
        <f t="shared" ca="1" si="97"/>
        <v>0.21753399685434646</v>
      </c>
      <c r="R597" s="4">
        <f t="shared" ca="1" si="98"/>
        <v>0.48558621764821308</v>
      </c>
      <c r="S597" s="4">
        <f ca="1">$B$1*Q597*$B$2</f>
        <v>8.7013598741738587</v>
      </c>
      <c r="T597" s="4">
        <f ca="1">$B$1*R597*$B$2</f>
        <v>19.423448705928525</v>
      </c>
      <c r="U597" s="7">
        <f t="shared" ca="1" si="99"/>
        <v>28.124808580102382</v>
      </c>
    </row>
    <row r="598" spans="2:21" x14ac:dyDescent="0.3">
      <c r="B598" s="13">
        <f t="shared" ca="1" si="90"/>
        <v>0.85186641997384949</v>
      </c>
      <c r="C598" s="14">
        <f t="shared" ca="1" si="90"/>
        <v>0.26664920853111151</v>
      </c>
      <c r="D598" s="14">
        <f t="shared" ca="1" si="91"/>
        <v>1.0444717991120409</v>
      </c>
      <c r="E598" s="14">
        <f t="shared" ca="1" si="92"/>
        <v>-0.62297885519352358</v>
      </c>
      <c r="F598" s="14">
        <f t="shared" ca="1" si="93"/>
        <v>0.66847443182571409</v>
      </c>
      <c r="G598" s="14">
        <f t="shared" ca="1" si="94"/>
        <v>0.85186641997384915</v>
      </c>
      <c r="H598" s="15">
        <f t="shared" ca="1" si="95"/>
        <v>0.26664920853111151</v>
      </c>
      <c r="I598" s="14">
        <f ca="1">IF(G598&lt;0.05,1,0)*$B$1*$B$2</f>
        <v>0</v>
      </c>
      <c r="J598" s="14">
        <f ca="1">IF(H598&lt;0.05,1,0)*$B$1*$B$2</f>
        <v>0</v>
      </c>
      <c r="K598" s="15">
        <f t="shared" ca="1" si="96"/>
        <v>0</v>
      </c>
      <c r="P598" s="3">
        <v>594</v>
      </c>
      <c r="Q598" s="4">
        <f t="shared" ca="1" si="97"/>
        <v>0.85186641997384915</v>
      </c>
      <c r="R598" s="4">
        <f t="shared" ca="1" si="98"/>
        <v>0.26664920853111151</v>
      </c>
      <c r="S598" s="4">
        <f ca="1">$B$1*Q598*$B$2</f>
        <v>34.074656798953967</v>
      </c>
      <c r="T598" s="4">
        <f ca="1">$B$1*R598*$B$2</f>
        <v>10.665968341244461</v>
      </c>
      <c r="U598" s="7">
        <f t="shared" ca="1" si="99"/>
        <v>44.740625140198432</v>
      </c>
    </row>
    <row r="599" spans="2:21" x14ac:dyDescent="0.3">
      <c r="B599" s="13">
        <f t="shared" ca="1" si="90"/>
        <v>0.1707356366527939</v>
      </c>
      <c r="C599" s="14">
        <f t="shared" ca="1" si="90"/>
        <v>0.56718231634617156</v>
      </c>
      <c r="D599" s="14">
        <f t="shared" ca="1" si="91"/>
        <v>-0.95126223381600061</v>
      </c>
      <c r="E599" s="14">
        <f t="shared" ca="1" si="92"/>
        <v>0.1692050378372805</v>
      </c>
      <c r="F599" s="14">
        <f t="shared" ca="1" si="93"/>
        <v>-0.78238124436733236</v>
      </c>
      <c r="G599" s="14">
        <f t="shared" ca="1" si="94"/>
        <v>0.17073563665279423</v>
      </c>
      <c r="H599" s="15">
        <f t="shared" ca="1" si="95"/>
        <v>0.56718231634617156</v>
      </c>
      <c r="I599" s="14">
        <f ca="1">IF(G599&lt;0.05,1,0)*$B$1*$B$2</f>
        <v>0</v>
      </c>
      <c r="J599" s="14">
        <f ca="1">IF(H599&lt;0.05,1,0)*$B$1*$B$2</f>
        <v>0</v>
      </c>
      <c r="K599" s="15">
        <f t="shared" ca="1" si="96"/>
        <v>0</v>
      </c>
      <c r="P599" s="3">
        <v>595</v>
      </c>
      <c r="Q599" s="4">
        <f t="shared" ca="1" si="97"/>
        <v>0.17073563665279423</v>
      </c>
      <c r="R599" s="4">
        <f t="shared" ca="1" si="98"/>
        <v>0.56718231634617156</v>
      </c>
      <c r="S599" s="4">
        <f ca="1">$B$1*Q599*$B$2</f>
        <v>6.8294254661117693</v>
      </c>
      <c r="T599" s="4">
        <f ca="1">$B$1*R599*$B$2</f>
        <v>22.687292653846864</v>
      </c>
      <c r="U599" s="7">
        <f t="shared" ca="1" si="99"/>
        <v>29.516718119958632</v>
      </c>
    </row>
    <row r="600" spans="2:21" x14ac:dyDescent="0.3">
      <c r="B600" s="13">
        <f t="shared" ca="1" si="90"/>
        <v>0.48847139953606999</v>
      </c>
      <c r="C600" s="14">
        <f t="shared" ca="1" si="90"/>
        <v>0.40898072775953986</v>
      </c>
      <c r="D600" s="14">
        <f t="shared" ca="1" si="91"/>
        <v>-2.8901939123702331E-2</v>
      </c>
      <c r="E600" s="14">
        <f t="shared" ca="1" si="92"/>
        <v>-0.23016770543496243</v>
      </c>
      <c r="F600" s="14">
        <f t="shared" ca="1" si="93"/>
        <v>-0.12633952201709595</v>
      </c>
      <c r="G600" s="14">
        <f t="shared" ca="1" si="94"/>
        <v>0.48847139953606999</v>
      </c>
      <c r="H600" s="15">
        <f t="shared" ca="1" si="95"/>
        <v>0.40898072775953986</v>
      </c>
      <c r="I600" s="14">
        <f ca="1">IF(G600&lt;0.05,1,0)*$B$1*$B$2</f>
        <v>0</v>
      </c>
      <c r="J600" s="14">
        <f ca="1">IF(H600&lt;0.05,1,0)*$B$1*$B$2</f>
        <v>0</v>
      </c>
      <c r="K600" s="15">
        <f t="shared" ca="1" si="96"/>
        <v>0</v>
      </c>
      <c r="P600" s="3">
        <v>596</v>
      </c>
      <c r="Q600" s="4">
        <f t="shared" ca="1" si="97"/>
        <v>0.48847139953606999</v>
      </c>
      <c r="R600" s="4">
        <f t="shared" ca="1" si="98"/>
        <v>0.40898072775953986</v>
      </c>
      <c r="S600" s="4">
        <f ca="1">$B$1*Q600*$B$2</f>
        <v>19.538855981442801</v>
      </c>
      <c r="T600" s="4">
        <f ca="1">$B$1*R600*$B$2</f>
        <v>16.359229110381595</v>
      </c>
      <c r="U600" s="7">
        <f t="shared" ca="1" si="99"/>
        <v>35.898085091824399</v>
      </c>
    </row>
    <row r="601" spans="2:21" x14ac:dyDescent="0.3">
      <c r="B601" s="13">
        <f t="shared" ca="1" si="90"/>
        <v>0.93016639902721998</v>
      </c>
      <c r="C601" s="14">
        <f t="shared" ca="1" si="90"/>
        <v>0.61698345978831637</v>
      </c>
      <c r="D601" s="14">
        <f t="shared" ca="1" si="91"/>
        <v>1.4770314691630073</v>
      </c>
      <c r="E601" s="14">
        <f t="shared" ca="1" si="92"/>
        <v>0.29756776497419479</v>
      </c>
      <c r="F601" s="14">
        <f t="shared" ca="1" si="93"/>
        <v>1.4590351038844844</v>
      </c>
      <c r="G601" s="14">
        <f t="shared" ca="1" si="94"/>
        <v>0.93016639902721998</v>
      </c>
      <c r="H601" s="15">
        <f t="shared" ca="1" si="95"/>
        <v>0.61698345978831637</v>
      </c>
      <c r="I601" s="14">
        <f ca="1">IF(G601&lt;0.05,1,0)*$B$1*$B$2</f>
        <v>0</v>
      </c>
      <c r="J601" s="14">
        <f ca="1">IF(H601&lt;0.05,1,0)*$B$1*$B$2</f>
        <v>0</v>
      </c>
      <c r="K601" s="15">
        <f t="shared" ca="1" si="96"/>
        <v>0</v>
      </c>
      <c r="P601" s="3">
        <v>597</v>
      </c>
      <c r="Q601" s="4">
        <f t="shared" ca="1" si="97"/>
        <v>0.93016639902721998</v>
      </c>
      <c r="R601" s="4">
        <f t="shared" ca="1" si="98"/>
        <v>0.61698345978831637</v>
      </c>
      <c r="S601" s="4">
        <f ca="1">$B$1*Q601*$B$2</f>
        <v>37.206655961088806</v>
      </c>
      <c r="T601" s="4">
        <f ca="1">$B$1*R601*$B$2</f>
        <v>24.679338391532657</v>
      </c>
      <c r="U601" s="7">
        <f t="shared" ca="1" si="99"/>
        <v>61.885994352621466</v>
      </c>
    </row>
    <row r="602" spans="2:21" x14ac:dyDescent="0.3">
      <c r="B602" s="13">
        <f t="shared" ca="1" si="90"/>
        <v>0.12647081553843009</v>
      </c>
      <c r="C602" s="14">
        <f t="shared" ca="1" si="90"/>
        <v>7.1544719686612579E-2</v>
      </c>
      <c r="D602" s="14">
        <f t="shared" ca="1" si="91"/>
        <v>-1.1432335620255516</v>
      </c>
      <c r="E602" s="14">
        <f t="shared" ca="1" si="92"/>
        <v>-1.4643826008839644</v>
      </c>
      <c r="F602" s="14">
        <f t="shared" ca="1" si="93"/>
        <v>-1.6672197830162419</v>
      </c>
      <c r="G602" s="14">
        <f t="shared" ca="1" si="94"/>
        <v>0.12647081553843004</v>
      </c>
      <c r="H602" s="15">
        <f t="shared" ca="1" si="95"/>
        <v>7.154471968661251E-2</v>
      </c>
      <c r="I602" s="14">
        <f ca="1">IF(G602&lt;0.05,1,0)*$B$1*$B$2</f>
        <v>0</v>
      </c>
      <c r="J602" s="14">
        <f ca="1">IF(H602&lt;0.05,1,0)*$B$1*$B$2</f>
        <v>0</v>
      </c>
      <c r="K602" s="15">
        <f t="shared" ca="1" si="96"/>
        <v>0</v>
      </c>
      <c r="P602" s="3">
        <v>598</v>
      </c>
      <c r="Q602" s="4">
        <f t="shared" ca="1" si="97"/>
        <v>0.12647081553843004</v>
      </c>
      <c r="R602" s="4">
        <f t="shared" ca="1" si="98"/>
        <v>7.154471968661251E-2</v>
      </c>
      <c r="S602" s="4">
        <f ca="1">$B$1*Q602*$B$2</f>
        <v>5.0588326215372019</v>
      </c>
      <c r="T602" s="4">
        <f ca="1">$B$1*R602*$B$2</f>
        <v>2.8617887874645005</v>
      </c>
      <c r="U602" s="7">
        <f t="shared" ca="1" si="99"/>
        <v>7.9206214090017024</v>
      </c>
    </row>
    <row r="603" spans="2:21" x14ac:dyDescent="0.3">
      <c r="B603" s="13">
        <f t="shared" ca="1" si="90"/>
        <v>0.64535977758053487</v>
      </c>
      <c r="C603" s="14">
        <f t="shared" ca="1" si="90"/>
        <v>0.79637543242519648</v>
      </c>
      <c r="D603" s="14">
        <f t="shared" ca="1" si="91"/>
        <v>0.37282264890364802</v>
      </c>
      <c r="E603" s="14">
        <f t="shared" ca="1" si="92"/>
        <v>0.82874425996524281</v>
      </c>
      <c r="F603" s="14">
        <f t="shared" ca="1" si="93"/>
        <v>0.69678163193607257</v>
      </c>
      <c r="G603" s="14">
        <f t="shared" ca="1" si="94"/>
        <v>0.64535977758053487</v>
      </c>
      <c r="H603" s="15">
        <f t="shared" ca="1" si="95"/>
        <v>0.79637543242519637</v>
      </c>
      <c r="I603" s="14">
        <f ca="1">IF(G603&lt;0.05,1,0)*$B$1*$B$2</f>
        <v>0</v>
      </c>
      <c r="J603" s="14">
        <f ca="1">IF(H603&lt;0.05,1,0)*$B$1*$B$2</f>
        <v>0</v>
      </c>
      <c r="K603" s="15">
        <f t="shared" ca="1" si="96"/>
        <v>0</v>
      </c>
      <c r="P603" s="3">
        <v>599</v>
      </c>
      <c r="Q603" s="4">
        <f t="shared" ca="1" si="97"/>
        <v>0.64535977758053487</v>
      </c>
      <c r="R603" s="4">
        <f t="shared" ca="1" si="98"/>
        <v>0.79637543242519637</v>
      </c>
      <c r="S603" s="4">
        <f ca="1">$B$1*Q603*$B$2</f>
        <v>25.814391103221396</v>
      </c>
      <c r="T603" s="4">
        <f ca="1">$B$1*R603*$B$2</f>
        <v>31.855017297007858</v>
      </c>
      <c r="U603" s="7">
        <f t="shared" ca="1" si="99"/>
        <v>57.669408400229258</v>
      </c>
    </row>
    <row r="604" spans="2:21" x14ac:dyDescent="0.3">
      <c r="B604" s="13">
        <f t="shared" ca="1" si="90"/>
        <v>7.0712369407518127E-2</v>
      </c>
      <c r="C604" s="14">
        <f t="shared" ca="1" si="90"/>
        <v>0.8323178660149303</v>
      </c>
      <c r="D604" s="14">
        <f t="shared" ca="1" si="91"/>
        <v>-1.4705060851735707</v>
      </c>
      <c r="E604" s="14">
        <f t="shared" ca="1" si="92"/>
        <v>0.96336523171278243</v>
      </c>
      <c r="F604" s="14">
        <f t="shared" ca="1" si="93"/>
        <v>-0.90353430758054731</v>
      </c>
      <c r="G604" s="14">
        <f t="shared" ca="1" si="94"/>
        <v>7.0712369407518155E-2</v>
      </c>
      <c r="H604" s="15">
        <f t="shared" ca="1" si="95"/>
        <v>0.83231786601493041</v>
      </c>
      <c r="I604" s="14">
        <f ca="1">IF(G604&lt;0.05,1,0)*$B$1*$B$2</f>
        <v>0</v>
      </c>
      <c r="J604" s="14">
        <f ca="1">IF(H604&lt;0.05,1,0)*$B$1*$B$2</f>
        <v>0</v>
      </c>
      <c r="K604" s="15">
        <f t="shared" ca="1" si="96"/>
        <v>0</v>
      </c>
      <c r="P604" s="3">
        <v>600</v>
      </c>
      <c r="Q604" s="4">
        <f t="shared" ca="1" si="97"/>
        <v>7.0712369407518155E-2</v>
      </c>
      <c r="R604" s="4">
        <f t="shared" ca="1" si="98"/>
        <v>0.83231786601493041</v>
      </c>
      <c r="S604" s="4">
        <f ca="1">$B$1*Q604*$B$2</f>
        <v>2.8284947763007264</v>
      </c>
      <c r="T604" s="4">
        <f ca="1">$B$1*R604*$B$2</f>
        <v>33.292714640597218</v>
      </c>
      <c r="U604" s="7">
        <f t="shared" ca="1" si="99"/>
        <v>36.121209416897948</v>
      </c>
    </row>
    <row r="605" spans="2:21" x14ac:dyDescent="0.3">
      <c r="B605" s="13">
        <f t="shared" ca="1" si="90"/>
        <v>0.46511455876127605</v>
      </c>
      <c r="C605" s="14">
        <f t="shared" ca="1" si="90"/>
        <v>8.9643844389270311E-2</v>
      </c>
      <c r="D605" s="14">
        <f t="shared" ca="1" si="91"/>
        <v>-8.755657521987803E-2</v>
      </c>
      <c r="E605" s="14">
        <f t="shared" ca="1" si="92"/>
        <v>-1.3429514693937583</v>
      </c>
      <c r="F605" s="14">
        <f t="shared" ca="1" si="93"/>
        <v>-0.66417989181457493</v>
      </c>
      <c r="G605" s="14">
        <f t="shared" ca="1" si="94"/>
        <v>0.46511455876127605</v>
      </c>
      <c r="H605" s="15">
        <f t="shared" ca="1" si="95"/>
        <v>8.9643844389270283E-2</v>
      </c>
      <c r="I605" s="14">
        <f ca="1">IF(G605&lt;0.05,1,0)*$B$1*$B$2</f>
        <v>0</v>
      </c>
      <c r="J605" s="14">
        <f ca="1">IF(H605&lt;0.05,1,0)*$B$1*$B$2</f>
        <v>0</v>
      </c>
      <c r="K605" s="15">
        <f t="shared" ca="1" si="96"/>
        <v>0</v>
      </c>
      <c r="P605" s="3">
        <v>601</v>
      </c>
      <c r="Q605" s="4">
        <f t="shared" ca="1" si="97"/>
        <v>0.46511455876127605</v>
      </c>
      <c r="R605" s="4">
        <f t="shared" ca="1" si="98"/>
        <v>8.9643844389270283E-2</v>
      </c>
      <c r="S605" s="4">
        <f ca="1">$B$1*Q605*$B$2</f>
        <v>18.604582350451043</v>
      </c>
      <c r="T605" s="4">
        <f ca="1">$B$1*R605*$B$2</f>
        <v>3.5857537755708115</v>
      </c>
      <c r="U605" s="7">
        <f t="shared" ca="1" si="99"/>
        <v>22.190336126021855</v>
      </c>
    </row>
    <row r="606" spans="2:21" x14ac:dyDescent="0.3">
      <c r="B606" s="13">
        <f t="shared" ca="1" si="90"/>
        <v>0.55392106406634667</v>
      </c>
      <c r="C606" s="14">
        <f t="shared" ca="1" si="90"/>
        <v>1.0621386476782457E-2</v>
      </c>
      <c r="D606" s="14">
        <f t="shared" ca="1" si="91"/>
        <v>0.13557423877471944</v>
      </c>
      <c r="E606" s="14">
        <f t="shared" ca="1" si="92"/>
        <v>-2.3036415582416061</v>
      </c>
      <c r="F606" s="14">
        <f t="shared" ca="1" si="93"/>
        <v>-0.88211726055432516</v>
      </c>
      <c r="G606" s="14">
        <f t="shared" ca="1" si="94"/>
        <v>0.55392106406634667</v>
      </c>
      <c r="H606" s="15">
        <f t="shared" ca="1" si="95"/>
        <v>1.0621386476782468E-2</v>
      </c>
      <c r="I606" s="14">
        <f ca="1">IF(G606&lt;0.05,1,0)*$B$1*$B$2</f>
        <v>0</v>
      </c>
      <c r="J606" s="14">
        <f ca="1">IF(H606&lt;0.05,1,0)*$B$1*$B$2</f>
        <v>40</v>
      </c>
      <c r="K606" s="15">
        <f t="shared" ca="1" si="96"/>
        <v>40</v>
      </c>
      <c r="P606" s="3">
        <v>602</v>
      </c>
      <c r="Q606" s="4">
        <f t="shared" ca="1" si="97"/>
        <v>0.55392106406634667</v>
      </c>
      <c r="R606" s="4">
        <f t="shared" ca="1" si="98"/>
        <v>1.0621386476782468E-2</v>
      </c>
      <c r="S606" s="4">
        <f ca="1">$B$1*Q606*$B$2</f>
        <v>22.156842562653868</v>
      </c>
      <c r="T606" s="4">
        <f ca="1">$B$1*R606*$B$2</f>
        <v>0.42485545907129874</v>
      </c>
      <c r="U606" s="7">
        <f t="shared" ca="1" si="99"/>
        <v>22.581698021725167</v>
      </c>
    </row>
    <row r="607" spans="2:21" x14ac:dyDescent="0.3">
      <c r="B607" s="13">
        <f t="shared" ca="1" si="90"/>
        <v>0.74009148045387707</v>
      </c>
      <c r="C607" s="14">
        <f t="shared" ca="1" si="90"/>
        <v>0.67841457948437667</v>
      </c>
      <c r="D607" s="14">
        <f t="shared" ca="1" si="91"/>
        <v>0.643627460159652</v>
      </c>
      <c r="E607" s="14">
        <f t="shared" ca="1" si="92"/>
        <v>0.4632700077374608</v>
      </c>
      <c r="F607" s="14">
        <f t="shared" ca="1" si="93"/>
        <v>0.78119942887377658</v>
      </c>
      <c r="G607" s="14">
        <f t="shared" ca="1" si="94"/>
        <v>0.74009148045387718</v>
      </c>
      <c r="H607" s="15">
        <f t="shared" ca="1" si="95"/>
        <v>0.67841457948437678</v>
      </c>
      <c r="I607" s="14">
        <f ca="1">IF(G607&lt;0.05,1,0)*$B$1*$B$2</f>
        <v>0</v>
      </c>
      <c r="J607" s="14">
        <f ca="1">IF(H607&lt;0.05,1,0)*$B$1*$B$2</f>
        <v>0</v>
      </c>
      <c r="K607" s="15">
        <f t="shared" ca="1" si="96"/>
        <v>0</v>
      </c>
      <c r="P607" s="3">
        <v>603</v>
      </c>
      <c r="Q607" s="4">
        <f t="shared" ca="1" si="97"/>
        <v>0.74009148045387718</v>
      </c>
      <c r="R607" s="4">
        <f t="shared" ca="1" si="98"/>
        <v>0.67841457948437678</v>
      </c>
      <c r="S607" s="4">
        <f ca="1">$B$1*Q607*$B$2</f>
        <v>29.603659218155087</v>
      </c>
      <c r="T607" s="4">
        <f ca="1">$B$1*R607*$B$2</f>
        <v>27.136583179375073</v>
      </c>
      <c r="U607" s="7">
        <f t="shared" ca="1" si="99"/>
        <v>56.74024239753016</v>
      </c>
    </row>
    <row r="608" spans="2:21" x14ac:dyDescent="0.3">
      <c r="B608" s="13">
        <f t="shared" ca="1" si="90"/>
        <v>0.12222907760644253</v>
      </c>
      <c r="C608" s="14">
        <f t="shared" ca="1" si="90"/>
        <v>0.51655426562427909</v>
      </c>
      <c r="D608" s="14">
        <f t="shared" ca="1" si="91"/>
        <v>-1.1639157523380297</v>
      </c>
      <c r="E608" s="14">
        <f t="shared" ca="1" si="92"/>
        <v>4.1507305721530094E-2</v>
      </c>
      <c r="F608" s="14">
        <f t="shared" ca="1" si="93"/>
        <v>-1.029431561998347</v>
      </c>
      <c r="G608" s="14">
        <f t="shared" ca="1" si="94"/>
        <v>0.12222907760644248</v>
      </c>
      <c r="H608" s="15">
        <f t="shared" ca="1" si="95"/>
        <v>0.51655426562427909</v>
      </c>
      <c r="I608" s="14">
        <f ca="1">IF(G608&lt;0.05,1,0)*$B$1*$B$2</f>
        <v>0</v>
      </c>
      <c r="J608" s="14">
        <f ca="1">IF(H608&lt;0.05,1,0)*$B$1*$B$2</f>
        <v>0</v>
      </c>
      <c r="K608" s="15">
        <f t="shared" ca="1" si="96"/>
        <v>0</v>
      </c>
      <c r="P608" s="3">
        <v>604</v>
      </c>
      <c r="Q608" s="4">
        <f t="shared" ca="1" si="97"/>
        <v>0.12222907760644248</v>
      </c>
      <c r="R608" s="4">
        <f t="shared" ca="1" si="98"/>
        <v>0.51655426562427909</v>
      </c>
      <c r="S608" s="4">
        <f ca="1">$B$1*Q608*$B$2</f>
        <v>4.8891631042577002</v>
      </c>
      <c r="T608" s="4">
        <f ca="1">$B$1*R608*$B$2</f>
        <v>20.662170624971164</v>
      </c>
      <c r="U608" s="7">
        <f t="shared" ca="1" si="99"/>
        <v>25.551333729228865</v>
      </c>
    </row>
    <row r="609" spans="2:21" x14ac:dyDescent="0.3">
      <c r="B609" s="13">
        <f t="shared" ca="1" si="90"/>
        <v>0.83961708387277978</v>
      </c>
      <c r="C609" s="14">
        <f t="shared" ca="1" si="90"/>
        <v>0.30433210021804324</v>
      </c>
      <c r="D609" s="14">
        <f t="shared" ca="1" si="91"/>
        <v>0.99288534521675909</v>
      </c>
      <c r="E609" s="14">
        <f t="shared" ca="1" si="92"/>
        <v>-0.51198115244095721</v>
      </c>
      <c r="F609" s="14">
        <f t="shared" ca="1" si="93"/>
        <v>0.67042940024632081</v>
      </c>
      <c r="G609" s="14">
        <f t="shared" ca="1" si="94"/>
        <v>0.83961708387277978</v>
      </c>
      <c r="H609" s="15">
        <f t="shared" ca="1" si="95"/>
        <v>0.30433210021804319</v>
      </c>
      <c r="I609" s="14">
        <f ca="1">IF(G609&lt;0.05,1,0)*$B$1*$B$2</f>
        <v>0</v>
      </c>
      <c r="J609" s="14">
        <f ca="1">IF(H609&lt;0.05,1,0)*$B$1*$B$2</f>
        <v>0</v>
      </c>
      <c r="K609" s="15">
        <f t="shared" ca="1" si="96"/>
        <v>0</v>
      </c>
      <c r="P609" s="3">
        <v>605</v>
      </c>
      <c r="Q609" s="4">
        <f t="shared" ca="1" si="97"/>
        <v>0.83961708387277978</v>
      </c>
      <c r="R609" s="4">
        <f t="shared" ca="1" si="98"/>
        <v>0.30433210021804319</v>
      </c>
      <c r="S609" s="4">
        <f ca="1">$B$1*Q609*$B$2</f>
        <v>33.584683354911192</v>
      </c>
      <c r="T609" s="4">
        <f ca="1">$B$1*R609*$B$2</f>
        <v>12.173284008721728</v>
      </c>
      <c r="U609" s="7">
        <f t="shared" ca="1" si="99"/>
        <v>45.757967363632922</v>
      </c>
    </row>
    <row r="610" spans="2:21" x14ac:dyDescent="0.3">
      <c r="B610" s="13">
        <f t="shared" ca="1" si="90"/>
        <v>0.86697051652244095</v>
      </c>
      <c r="C610" s="14">
        <f t="shared" ca="1" si="90"/>
        <v>0.1634858901213081</v>
      </c>
      <c r="D610" s="14">
        <f t="shared" ca="1" si="91"/>
        <v>1.1121841834435051</v>
      </c>
      <c r="E610" s="14">
        <f t="shared" ca="1" si="92"/>
        <v>-0.98023165923019939</v>
      </c>
      <c r="F610" s="14">
        <f t="shared" ca="1" si="93"/>
        <v>0.5736926907147909</v>
      </c>
      <c r="G610" s="14">
        <f t="shared" ca="1" si="94"/>
        <v>0.86697051652244106</v>
      </c>
      <c r="H610" s="15">
        <f t="shared" ca="1" si="95"/>
        <v>0.16348589012130799</v>
      </c>
      <c r="I610" s="14">
        <f ca="1">IF(G610&lt;0.05,1,0)*$B$1*$B$2</f>
        <v>0</v>
      </c>
      <c r="J610" s="14">
        <f ca="1">IF(H610&lt;0.05,1,0)*$B$1*$B$2</f>
        <v>0</v>
      </c>
      <c r="K610" s="15">
        <f t="shared" ca="1" si="96"/>
        <v>0</v>
      </c>
      <c r="P610" s="3">
        <v>606</v>
      </c>
      <c r="Q610" s="4">
        <f t="shared" ca="1" si="97"/>
        <v>0.86697051652244106</v>
      </c>
      <c r="R610" s="4">
        <f t="shared" ca="1" si="98"/>
        <v>0.16348589012130799</v>
      </c>
      <c r="S610" s="4">
        <f ca="1">$B$1*Q610*$B$2</f>
        <v>34.678820660897649</v>
      </c>
      <c r="T610" s="4">
        <f ca="1">$B$1*R610*$B$2</f>
        <v>6.5394356048523195</v>
      </c>
      <c r="U610" s="7">
        <f t="shared" ca="1" si="99"/>
        <v>41.218256265749972</v>
      </c>
    </row>
    <row r="611" spans="2:21" x14ac:dyDescent="0.3">
      <c r="B611" s="13">
        <f t="shared" ca="1" si="90"/>
        <v>6.7329568732495626E-2</v>
      </c>
      <c r="C611" s="14">
        <f t="shared" ca="1" si="90"/>
        <v>0.51285512991042392</v>
      </c>
      <c r="D611" s="14">
        <f t="shared" ca="1" si="91"/>
        <v>-1.4959789625049205</v>
      </c>
      <c r="E611" s="14">
        <f t="shared" ca="1" si="92"/>
        <v>3.2228610458457568E-2</v>
      </c>
      <c r="F611" s="14">
        <f t="shared" ca="1" si="93"/>
        <v>-1.332332940646513</v>
      </c>
      <c r="G611" s="14">
        <f t="shared" ca="1" si="94"/>
        <v>6.7329568732495626E-2</v>
      </c>
      <c r="H611" s="15">
        <f t="shared" ca="1" si="95"/>
        <v>0.51285512991042392</v>
      </c>
      <c r="I611" s="14">
        <f ca="1">IF(G611&lt;0.05,1,0)*$B$1*$B$2</f>
        <v>0</v>
      </c>
      <c r="J611" s="14">
        <f ca="1">IF(H611&lt;0.05,1,0)*$B$1*$B$2</f>
        <v>0</v>
      </c>
      <c r="K611" s="15">
        <f t="shared" ca="1" si="96"/>
        <v>0</v>
      </c>
      <c r="P611" s="3">
        <v>607</v>
      </c>
      <c r="Q611" s="4">
        <f t="shared" ca="1" si="97"/>
        <v>6.7329568732495626E-2</v>
      </c>
      <c r="R611" s="4">
        <f t="shared" ca="1" si="98"/>
        <v>0.51285512991042392</v>
      </c>
      <c r="S611" s="4">
        <f ca="1">$B$1*Q611*$B$2</f>
        <v>2.6931827492998255</v>
      </c>
      <c r="T611" s="4">
        <f ca="1">$B$1*R611*$B$2</f>
        <v>20.51420519641696</v>
      </c>
      <c r="U611" s="7">
        <f t="shared" ca="1" si="99"/>
        <v>23.207387945716786</v>
      </c>
    </row>
    <row r="612" spans="2:21" x14ac:dyDescent="0.3">
      <c r="B612" s="13">
        <f t="shared" ca="1" si="90"/>
        <v>0.17701810885653191</v>
      </c>
      <c r="C612" s="14">
        <f t="shared" ca="1" si="90"/>
        <v>0.12928208275750086</v>
      </c>
      <c r="D612" s="14">
        <f t="shared" ca="1" si="91"/>
        <v>-0.92678876816757605</v>
      </c>
      <c r="E612" s="14">
        <f t="shared" ca="1" si="92"/>
        <v>-1.1297913225021983</v>
      </c>
      <c r="F612" s="14">
        <f t="shared" ca="1" si="93"/>
        <v>-1.3265745115584435</v>
      </c>
      <c r="G612" s="14">
        <f t="shared" ca="1" si="94"/>
        <v>0.17701810885653199</v>
      </c>
      <c r="H612" s="15">
        <f t="shared" ca="1" si="95"/>
        <v>0.12928208275750072</v>
      </c>
      <c r="I612" s="14">
        <f ca="1">IF(G612&lt;0.05,1,0)*$B$1*$B$2</f>
        <v>0</v>
      </c>
      <c r="J612" s="14">
        <f ca="1">IF(H612&lt;0.05,1,0)*$B$1*$B$2</f>
        <v>0</v>
      </c>
      <c r="K612" s="15">
        <f t="shared" ca="1" si="96"/>
        <v>0</v>
      </c>
      <c r="P612" s="3">
        <v>608</v>
      </c>
      <c r="Q612" s="4">
        <f t="shared" ca="1" si="97"/>
        <v>0.17701810885653199</v>
      </c>
      <c r="R612" s="4">
        <f t="shared" ca="1" si="98"/>
        <v>0.12928208275750072</v>
      </c>
      <c r="S612" s="4">
        <f ca="1">$B$1*Q612*$B$2</f>
        <v>7.0807243542612799</v>
      </c>
      <c r="T612" s="4">
        <f ca="1">$B$1*R612*$B$2</f>
        <v>5.1712833103000291</v>
      </c>
      <c r="U612" s="7">
        <f t="shared" ca="1" si="99"/>
        <v>12.252007664561308</v>
      </c>
    </row>
    <row r="613" spans="2:21" x14ac:dyDescent="0.3">
      <c r="B613" s="13">
        <f t="shared" ca="1" si="90"/>
        <v>0.23299336221409284</v>
      </c>
      <c r="C613" s="14">
        <f t="shared" ca="1" si="90"/>
        <v>0.87572849930871344</v>
      </c>
      <c r="D613" s="14">
        <f t="shared" ca="1" si="91"/>
        <v>-0.72902442073762741</v>
      </c>
      <c r="E613" s="14">
        <f t="shared" ca="1" si="92"/>
        <v>1.153895531539926</v>
      </c>
      <c r="F613" s="14">
        <f t="shared" ca="1" si="93"/>
        <v>-0.15315057732529602</v>
      </c>
      <c r="G613" s="14">
        <f t="shared" ca="1" si="94"/>
        <v>0.23299336221409275</v>
      </c>
      <c r="H613" s="15">
        <f t="shared" ca="1" si="95"/>
        <v>0.87572849930871333</v>
      </c>
      <c r="I613" s="14">
        <f ca="1">IF(G613&lt;0.05,1,0)*$B$1*$B$2</f>
        <v>0</v>
      </c>
      <c r="J613" s="14">
        <f ca="1">IF(H613&lt;0.05,1,0)*$B$1*$B$2</f>
        <v>0</v>
      </c>
      <c r="K613" s="15">
        <f t="shared" ca="1" si="96"/>
        <v>0</v>
      </c>
      <c r="P613" s="3">
        <v>609</v>
      </c>
      <c r="Q613" s="4">
        <f t="shared" ca="1" si="97"/>
        <v>0.23299336221409275</v>
      </c>
      <c r="R613" s="4">
        <f t="shared" ca="1" si="98"/>
        <v>0.87572849930871333</v>
      </c>
      <c r="S613" s="4">
        <f ca="1">$B$1*Q613*$B$2</f>
        <v>9.3197344885637108</v>
      </c>
      <c r="T613" s="4">
        <f ca="1">$B$1*R613*$B$2</f>
        <v>35.029139972348531</v>
      </c>
      <c r="U613" s="7">
        <f t="shared" ca="1" si="99"/>
        <v>44.348874460912242</v>
      </c>
    </row>
    <row r="614" spans="2:21" x14ac:dyDescent="0.3">
      <c r="B614" s="13">
        <f t="shared" ca="1" si="90"/>
        <v>0.90643461507232725</v>
      </c>
      <c r="C614" s="14">
        <f t="shared" ca="1" si="90"/>
        <v>0.35387897894104259</v>
      </c>
      <c r="D614" s="14">
        <f t="shared" ca="1" si="91"/>
        <v>1.3191146987806506</v>
      </c>
      <c r="E614" s="14">
        <f t="shared" ca="1" si="92"/>
        <v>-0.37486891556245028</v>
      </c>
      <c r="F614" s="14">
        <f t="shared" ca="1" si="93"/>
        <v>1.0238016569014454</v>
      </c>
      <c r="G614" s="14">
        <f t="shared" ca="1" si="94"/>
        <v>0.90643461507232748</v>
      </c>
      <c r="H614" s="15">
        <f t="shared" ca="1" si="95"/>
        <v>0.35387897894104259</v>
      </c>
      <c r="I614" s="14">
        <f ca="1">IF(G614&lt;0.05,1,0)*$B$1*$B$2</f>
        <v>0</v>
      </c>
      <c r="J614" s="14">
        <f ca="1">IF(H614&lt;0.05,1,0)*$B$1*$B$2</f>
        <v>0</v>
      </c>
      <c r="K614" s="15">
        <f t="shared" ca="1" si="96"/>
        <v>0</v>
      </c>
      <c r="P614" s="3">
        <v>610</v>
      </c>
      <c r="Q614" s="4">
        <f t="shared" ca="1" si="97"/>
        <v>0.90643461507232748</v>
      </c>
      <c r="R614" s="4">
        <f t="shared" ca="1" si="98"/>
        <v>0.35387897894104259</v>
      </c>
      <c r="S614" s="4">
        <f ca="1">$B$1*Q614*$B$2</f>
        <v>36.257384602893097</v>
      </c>
      <c r="T614" s="4">
        <f ca="1">$B$1*R614*$B$2</f>
        <v>14.155159157641704</v>
      </c>
      <c r="U614" s="7">
        <f t="shared" ca="1" si="99"/>
        <v>50.412543760534803</v>
      </c>
    </row>
    <row r="615" spans="2:21" x14ac:dyDescent="0.3">
      <c r="B615" s="13">
        <f t="shared" ca="1" si="90"/>
        <v>0.72144666749933495</v>
      </c>
      <c r="C615" s="14">
        <f t="shared" ca="1" si="90"/>
        <v>0.82533413768540198</v>
      </c>
      <c r="D615" s="14">
        <f t="shared" ca="1" si="91"/>
        <v>0.58714449706509009</v>
      </c>
      <c r="E615" s="14">
        <f t="shared" ca="1" si="92"/>
        <v>0.93588631360374552</v>
      </c>
      <c r="F615" s="14">
        <f t="shared" ca="1" si="93"/>
        <v>0.93637343372273518</v>
      </c>
      <c r="G615" s="14">
        <f t="shared" ca="1" si="94"/>
        <v>0.72144666749933495</v>
      </c>
      <c r="H615" s="15">
        <f t="shared" ca="1" si="95"/>
        <v>0.82533413768540198</v>
      </c>
      <c r="I615" s="14">
        <f ca="1">IF(G615&lt;0.05,1,0)*$B$1*$B$2</f>
        <v>0</v>
      </c>
      <c r="J615" s="14">
        <f ca="1">IF(H615&lt;0.05,1,0)*$B$1*$B$2</f>
        <v>0</v>
      </c>
      <c r="K615" s="15">
        <f t="shared" ca="1" si="96"/>
        <v>0</v>
      </c>
      <c r="P615" s="3">
        <v>611</v>
      </c>
      <c r="Q615" s="4">
        <f t="shared" ca="1" si="97"/>
        <v>0.72144666749933495</v>
      </c>
      <c r="R615" s="4">
        <f t="shared" ca="1" si="98"/>
        <v>0.82533413768540198</v>
      </c>
      <c r="S615" s="4">
        <f ca="1">$B$1*Q615*$B$2</f>
        <v>28.8578666999734</v>
      </c>
      <c r="T615" s="4">
        <f ca="1">$B$1*R615*$B$2</f>
        <v>33.013365507416083</v>
      </c>
      <c r="U615" s="7">
        <f t="shared" ca="1" si="99"/>
        <v>61.871232207389482</v>
      </c>
    </row>
    <row r="616" spans="2:21" x14ac:dyDescent="0.3">
      <c r="B616" s="13">
        <f t="shared" ca="1" si="90"/>
        <v>0.19968859126044058</v>
      </c>
      <c r="C616" s="14">
        <f t="shared" ca="1" si="90"/>
        <v>0.25676295418537165</v>
      </c>
      <c r="D616" s="14">
        <f t="shared" ca="1" si="91"/>
        <v>-0.84273408012768969</v>
      </c>
      <c r="E616" s="14">
        <f t="shared" ca="1" si="92"/>
        <v>-0.65335738009355948</v>
      </c>
      <c r="F616" s="14">
        <f t="shared" ca="1" si="93"/>
        <v>-1.0432525514993527</v>
      </c>
      <c r="G616" s="14">
        <f t="shared" ca="1" si="94"/>
        <v>0.19968859126044072</v>
      </c>
      <c r="H616" s="15">
        <f t="shared" ca="1" si="95"/>
        <v>0.25676295418537165</v>
      </c>
      <c r="I616" s="14">
        <f ca="1">IF(G616&lt;0.05,1,0)*$B$1*$B$2</f>
        <v>0</v>
      </c>
      <c r="J616" s="14">
        <f ca="1">IF(H616&lt;0.05,1,0)*$B$1*$B$2</f>
        <v>0</v>
      </c>
      <c r="K616" s="15">
        <f t="shared" ca="1" si="96"/>
        <v>0</v>
      </c>
      <c r="P616" s="3">
        <v>612</v>
      </c>
      <c r="Q616" s="4">
        <f t="shared" ca="1" si="97"/>
        <v>0.19968859126044072</v>
      </c>
      <c r="R616" s="4">
        <f t="shared" ca="1" si="98"/>
        <v>0.25676295418537165</v>
      </c>
      <c r="S616" s="4">
        <f ca="1">$B$1*Q616*$B$2</f>
        <v>7.9875436504176296</v>
      </c>
      <c r="T616" s="4">
        <f ca="1">$B$1*R616*$B$2</f>
        <v>10.270518167414867</v>
      </c>
      <c r="U616" s="7">
        <f t="shared" ca="1" si="99"/>
        <v>18.258061817832498</v>
      </c>
    </row>
    <row r="617" spans="2:21" x14ac:dyDescent="0.3">
      <c r="B617" s="13">
        <f t="shared" ca="1" si="90"/>
        <v>0.52415398050850492</v>
      </c>
      <c r="C617" s="14">
        <f t="shared" ca="1" si="90"/>
        <v>0.5587741827963848</v>
      </c>
      <c r="D617" s="14">
        <f t="shared" ca="1" si="91"/>
        <v>6.0582088051115784E-2</v>
      </c>
      <c r="E617" s="14">
        <f t="shared" ca="1" si="92"/>
        <v>0.14786205536187877</v>
      </c>
      <c r="F617" s="14">
        <f t="shared" ca="1" si="93"/>
        <v>0.11897545493666878</v>
      </c>
      <c r="G617" s="14">
        <f t="shared" ca="1" si="94"/>
        <v>0.52415398050850492</v>
      </c>
      <c r="H617" s="15">
        <f t="shared" ca="1" si="95"/>
        <v>0.5587741827963848</v>
      </c>
      <c r="I617" s="14">
        <f ca="1">IF(G617&lt;0.05,1,0)*$B$1*$B$2</f>
        <v>0</v>
      </c>
      <c r="J617" s="14">
        <f ca="1">IF(H617&lt;0.05,1,0)*$B$1*$B$2</f>
        <v>0</v>
      </c>
      <c r="K617" s="15">
        <f t="shared" ca="1" si="96"/>
        <v>0</v>
      </c>
      <c r="P617" s="3">
        <v>613</v>
      </c>
      <c r="Q617" s="4">
        <f t="shared" ca="1" si="97"/>
        <v>0.52415398050850492</v>
      </c>
      <c r="R617" s="4">
        <f t="shared" ca="1" si="98"/>
        <v>0.5587741827963848</v>
      </c>
      <c r="S617" s="4">
        <f ca="1">$B$1*Q617*$B$2</f>
        <v>20.966159220340199</v>
      </c>
      <c r="T617" s="4">
        <f ca="1">$B$1*R617*$B$2</f>
        <v>22.350967311855392</v>
      </c>
      <c r="U617" s="7">
        <f t="shared" ca="1" si="99"/>
        <v>43.317126532195587</v>
      </c>
    </row>
    <row r="618" spans="2:21" x14ac:dyDescent="0.3">
      <c r="B618" s="13">
        <f t="shared" ca="1" si="90"/>
        <v>0.53160562849728843</v>
      </c>
      <c r="C618" s="14">
        <f t="shared" ca="1" si="90"/>
        <v>1.9717054414234325E-2</v>
      </c>
      <c r="D618" s="14">
        <f t="shared" ca="1" si="91"/>
        <v>7.9306617341030991E-2</v>
      </c>
      <c r="E618" s="14">
        <f t="shared" ca="1" si="92"/>
        <v>-2.0596280888754812</v>
      </c>
      <c r="F618" s="14">
        <f t="shared" ca="1" si="93"/>
        <v>-0.82639511446167513</v>
      </c>
      <c r="G618" s="14">
        <f t="shared" ca="1" si="94"/>
        <v>0.53160562849728843</v>
      </c>
      <c r="H618" s="15">
        <f t="shared" ca="1" si="95"/>
        <v>1.9717054414234342E-2</v>
      </c>
      <c r="I618" s="14">
        <f ca="1">IF(G618&lt;0.05,1,0)*$B$1*$B$2</f>
        <v>0</v>
      </c>
      <c r="J618" s="14">
        <f ca="1">IF(H618&lt;0.05,1,0)*$B$1*$B$2</f>
        <v>40</v>
      </c>
      <c r="K618" s="15">
        <f t="shared" ca="1" si="96"/>
        <v>40</v>
      </c>
      <c r="P618" s="3">
        <v>614</v>
      </c>
      <c r="Q618" s="4">
        <f t="shared" ca="1" si="97"/>
        <v>0.53160562849728843</v>
      </c>
      <c r="R618" s="4">
        <f t="shared" ca="1" si="98"/>
        <v>1.9717054414234342E-2</v>
      </c>
      <c r="S618" s="4">
        <f ca="1">$B$1*Q618*$B$2</f>
        <v>21.264225139891536</v>
      </c>
      <c r="T618" s="4">
        <f ca="1">$B$1*R618*$B$2</f>
        <v>0.78868217656937378</v>
      </c>
      <c r="U618" s="7">
        <f t="shared" ca="1" si="99"/>
        <v>22.05290731646091</v>
      </c>
    </row>
    <row r="619" spans="2:21" x14ac:dyDescent="0.3">
      <c r="B619" s="13">
        <f t="shared" ca="1" si="90"/>
        <v>0.6765137899339656</v>
      </c>
      <c r="C619" s="14">
        <f t="shared" ca="1" si="90"/>
        <v>0.43218660154307398</v>
      </c>
      <c r="D619" s="14">
        <f t="shared" ca="1" si="91"/>
        <v>0.45797219149492718</v>
      </c>
      <c r="E619" s="14">
        <f t="shared" ca="1" si="92"/>
        <v>-0.17080995254683931</v>
      </c>
      <c r="F619" s="14">
        <f t="shared" ca="1" si="93"/>
        <v>0.33772064017516945</v>
      </c>
      <c r="G619" s="14">
        <f t="shared" ca="1" si="94"/>
        <v>0.67651378993396571</v>
      </c>
      <c r="H619" s="15">
        <f t="shared" ca="1" si="95"/>
        <v>0.43218660154307398</v>
      </c>
      <c r="I619" s="14">
        <f ca="1">IF(G619&lt;0.05,1,0)*$B$1*$B$2</f>
        <v>0</v>
      </c>
      <c r="J619" s="14">
        <f ca="1">IF(H619&lt;0.05,1,0)*$B$1*$B$2</f>
        <v>0</v>
      </c>
      <c r="K619" s="15">
        <f t="shared" ca="1" si="96"/>
        <v>0</v>
      </c>
      <c r="P619" s="3">
        <v>615</v>
      </c>
      <c r="Q619" s="4">
        <f t="shared" ca="1" si="97"/>
        <v>0.67651378993396571</v>
      </c>
      <c r="R619" s="4">
        <f t="shared" ca="1" si="98"/>
        <v>0.43218660154307398</v>
      </c>
      <c r="S619" s="4">
        <f ca="1">$B$1*Q619*$B$2</f>
        <v>27.060551597358632</v>
      </c>
      <c r="T619" s="4">
        <f ca="1">$B$1*R619*$B$2</f>
        <v>17.287464061722961</v>
      </c>
      <c r="U619" s="7">
        <f t="shared" ca="1" si="99"/>
        <v>44.348015659081597</v>
      </c>
    </row>
    <row r="620" spans="2:21" x14ac:dyDescent="0.3">
      <c r="B620" s="13">
        <f t="shared" ca="1" si="90"/>
        <v>0.25621747156788122</v>
      </c>
      <c r="C620" s="14">
        <f t="shared" ca="1" si="90"/>
        <v>0.70697528345019556</v>
      </c>
      <c r="D620" s="14">
        <f t="shared" ca="1" si="91"/>
        <v>-0.65505096209063496</v>
      </c>
      <c r="E620" s="14">
        <f t="shared" ca="1" si="92"/>
        <v>0.54456979555442098</v>
      </c>
      <c r="F620" s="14">
        <f t="shared" ca="1" si="93"/>
        <v>-0.35217339522893887</v>
      </c>
      <c r="G620" s="14">
        <f t="shared" ca="1" si="94"/>
        <v>0.25621747156788111</v>
      </c>
      <c r="H620" s="15">
        <f t="shared" ca="1" si="95"/>
        <v>0.70697528345019567</v>
      </c>
      <c r="I620" s="14">
        <f ca="1">IF(G620&lt;0.05,1,0)*$B$1*$B$2</f>
        <v>0</v>
      </c>
      <c r="J620" s="14">
        <f ca="1">IF(H620&lt;0.05,1,0)*$B$1*$B$2</f>
        <v>0</v>
      </c>
      <c r="K620" s="15">
        <f t="shared" ca="1" si="96"/>
        <v>0</v>
      </c>
      <c r="P620" s="3">
        <v>616</v>
      </c>
      <c r="Q620" s="4">
        <f t="shared" ca="1" si="97"/>
        <v>0.25621747156788111</v>
      </c>
      <c r="R620" s="4">
        <f t="shared" ca="1" si="98"/>
        <v>0.70697528345019567</v>
      </c>
      <c r="S620" s="4">
        <f ca="1">$B$1*Q620*$B$2</f>
        <v>10.248698862715244</v>
      </c>
      <c r="T620" s="4">
        <f ca="1">$B$1*R620*$B$2</f>
        <v>28.279011338007827</v>
      </c>
      <c r="U620" s="7">
        <f t="shared" ca="1" si="99"/>
        <v>38.527710200723071</v>
      </c>
    </row>
    <row r="621" spans="2:21" x14ac:dyDescent="0.3">
      <c r="B621" s="13">
        <f t="shared" ca="1" si="90"/>
        <v>0.40029505784920139</v>
      </c>
      <c r="C621" s="14">
        <f t="shared" ca="1" si="90"/>
        <v>0.49464962893728504</v>
      </c>
      <c r="D621" s="14">
        <f t="shared" ca="1" si="91"/>
        <v>-0.25258345608395794</v>
      </c>
      <c r="E621" s="14">
        <f t="shared" ca="1" si="92"/>
        <v>-1.3411793451802045E-2</v>
      </c>
      <c r="F621" s="14">
        <f t="shared" ca="1" si="93"/>
        <v>-0.2331711757063667</v>
      </c>
      <c r="G621" s="14">
        <f t="shared" ca="1" si="94"/>
        <v>0.40029505784920133</v>
      </c>
      <c r="H621" s="15">
        <f t="shared" ca="1" si="95"/>
        <v>0.49464962893728504</v>
      </c>
      <c r="I621" s="14">
        <f ca="1">IF(G621&lt;0.05,1,0)*$B$1*$B$2</f>
        <v>0</v>
      </c>
      <c r="J621" s="14">
        <f ca="1">IF(H621&lt;0.05,1,0)*$B$1*$B$2</f>
        <v>0</v>
      </c>
      <c r="K621" s="15">
        <f t="shared" ca="1" si="96"/>
        <v>0</v>
      </c>
      <c r="P621" s="3">
        <v>617</v>
      </c>
      <c r="Q621" s="4">
        <f t="shared" ca="1" si="97"/>
        <v>0.40029505784920133</v>
      </c>
      <c r="R621" s="4">
        <f t="shared" ca="1" si="98"/>
        <v>0.49464962893728504</v>
      </c>
      <c r="S621" s="4">
        <f ca="1">$B$1*Q621*$B$2</f>
        <v>16.011802313968055</v>
      </c>
      <c r="T621" s="4">
        <f ca="1">$B$1*R621*$B$2</f>
        <v>19.785985157491403</v>
      </c>
      <c r="U621" s="7">
        <f t="shared" ca="1" si="99"/>
        <v>35.797787471459458</v>
      </c>
    </row>
    <row r="622" spans="2:21" x14ac:dyDescent="0.3">
      <c r="B622" s="13">
        <f t="shared" ca="1" si="90"/>
        <v>0.45163355019953899</v>
      </c>
      <c r="C622" s="14">
        <f t="shared" ca="1" si="90"/>
        <v>0.89020996885125447</v>
      </c>
      <c r="D622" s="14">
        <f t="shared" ca="1" si="91"/>
        <v>-0.12153524465567037</v>
      </c>
      <c r="E622" s="14">
        <f t="shared" ca="1" si="92"/>
        <v>1.2276455299818283</v>
      </c>
      <c r="F622" s="14">
        <f t="shared" ca="1" si="93"/>
        <v>0.42573656017791878</v>
      </c>
      <c r="G622" s="14">
        <f t="shared" ca="1" si="94"/>
        <v>0.45163355019953899</v>
      </c>
      <c r="H622" s="15">
        <f t="shared" ca="1" si="95"/>
        <v>0.8902099688512547</v>
      </c>
      <c r="I622" s="14">
        <f ca="1">IF(G622&lt;0.05,1,0)*$B$1*$B$2</f>
        <v>0</v>
      </c>
      <c r="J622" s="14">
        <f ca="1">IF(H622&lt;0.05,1,0)*$B$1*$B$2</f>
        <v>0</v>
      </c>
      <c r="K622" s="15">
        <f t="shared" ca="1" si="96"/>
        <v>0</v>
      </c>
      <c r="P622" s="3">
        <v>618</v>
      </c>
      <c r="Q622" s="4">
        <f t="shared" ca="1" si="97"/>
        <v>0.45163355019953899</v>
      </c>
      <c r="R622" s="4">
        <f t="shared" ca="1" si="98"/>
        <v>0.8902099688512547</v>
      </c>
      <c r="S622" s="4">
        <f ca="1">$B$1*Q622*$B$2</f>
        <v>18.06534200798156</v>
      </c>
      <c r="T622" s="4">
        <f ca="1">$B$1*R622*$B$2</f>
        <v>35.608398754050192</v>
      </c>
      <c r="U622" s="7">
        <f t="shared" ca="1" si="99"/>
        <v>53.673740762031755</v>
      </c>
    </row>
    <row r="623" spans="2:21" x14ac:dyDescent="0.3">
      <c r="B623" s="13">
        <f t="shared" ca="1" si="90"/>
        <v>0.70347331759485188</v>
      </c>
      <c r="C623" s="14">
        <f t="shared" ca="1" si="90"/>
        <v>0.98659246956591795</v>
      </c>
      <c r="D623" s="14">
        <f t="shared" ca="1" si="91"/>
        <v>0.53441655920967412</v>
      </c>
      <c r="E623" s="14">
        <f t="shared" ca="1" si="92"/>
        <v>2.2141994620124796</v>
      </c>
      <c r="F623" s="14">
        <f t="shared" ca="1" si="93"/>
        <v>1.4461220728641591</v>
      </c>
      <c r="G623" s="14">
        <f t="shared" ca="1" si="94"/>
        <v>0.70347331759485199</v>
      </c>
      <c r="H623" s="15">
        <f t="shared" ca="1" si="95"/>
        <v>0.98659246956591795</v>
      </c>
      <c r="I623" s="14">
        <f ca="1">IF(G623&lt;0.05,1,0)*$B$1*$B$2</f>
        <v>0</v>
      </c>
      <c r="J623" s="14">
        <f ca="1">IF(H623&lt;0.05,1,0)*$B$1*$B$2</f>
        <v>0</v>
      </c>
      <c r="K623" s="15">
        <f t="shared" ca="1" si="96"/>
        <v>0</v>
      </c>
      <c r="P623" s="3">
        <v>619</v>
      </c>
      <c r="Q623" s="4">
        <f t="shared" ca="1" si="97"/>
        <v>0.70347331759485199</v>
      </c>
      <c r="R623" s="4">
        <f t="shared" ca="1" si="98"/>
        <v>0.98659246956591795</v>
      </c>
      <c r="S623" s="4">
        <f ca="1">$B$1*Q623*$B$2</f>
        <v>28.138932703794083</v>
      </c>
      <c r="T623" s="4">
        <f ca="1">$B$1*R623*$B$2</f>
        <v>39.463698782636726</v>
      </c>
      <c r="U623" s="7">
        <f t="shared" ca="1" si="99"/>
        <v>67.602631486430809</v>
      </c>
    </row>
    <row r="624" spans="2:21" x14ac:dyDescent="0.3">
      <c r="B624" s="13">
        <f t="shared" ca="1" si="90"/>
        <v>0.67886774434425345</v>
      </c>
      <c r="C624" s="14">
        <f t="shared" ca="1" si="90"/>
        <v>0.44251196288025774</v>
      </c>
      <c r="D624" s="14">
        <f t="shared" ca="1" si="91"/>
        <v>0.46453496970233121</v>
      </c>
      <c r="E624" s="14">
        <f t="shared" ca="1" si="92"/>
        <v>-0.14460351003248897</v>
      </c>
      <c r="F624" s="14">
        <f t="shared" ca="1" si="93"/>
        <v>0.35505026402080919</v>
      </c>
      <c r="G624" s="14">
        <f t="shared" ca="1" si="94"/>
        <v>0.67886774434425345</v>
      </c>
      <c r="H624" s="15">
        <f t="shared" ca="1" si="95"/>
        <v>0.44251196288025774</v>
      </c>
      <c r="I624" s="14">
        <f ca="1">IF(G624&lt;0.05,1,0)*$B$1*$B$2</f>
        <v>0</v>
      </c>
      <c r="J624" s="14">
        <f ca="1">IF(H624&lt;0.05,1,0)*$B$1*$B$2</f>
        <v>0</v>
      </c>
      <c r="K624" s="15">
        <f t="shared" ca="1" si="96"/>
        <v>0</v>
      </c>
      <c r="P624" s="3">
        <v>620</v>
      </c>
      <c r="Q624" s="4">
        <f t="shared" ca="1" si="97"/>
        <v>0.67886774434425345</v>
      </c>
      <c r="R624" s="4">
        <f t="shared" ca="1" si="98"/>
        <v>0.44251196288025774</v>
      </c>
      <c r="S624" s="4">
        <f ca="1">$B$1*Q624*$B$2</f>
        <v>27.15470977377014</v>
      </c>
      <c r="T624" s="4">
        <f ca="1">$B$1*R624*$B$2</f>
        <v>17.70047851521031</v>
      </c>
      <c r="U624" s="7">
        <f t="shared" ca="1" si="99"/>
        <v>44.85518828898045</v>
      </c>
    </row>
    <row r="625" spans="2:21" x14ac:dyDescent="0.3">
      <c r="B625" s="13">
        <f t="shared" ca="1" si="90"/>
        <v>0.11758793395951495</v>
      </c>
      <c r="C625" s="14">
        <f t="shared" ca="1" si="90"/>
        <v>0.93396196354733563</v>
      </c>
      <c r="D625" s="14">
        <f t="shared" ca="1" si="91"/>
        <v>-1.1871312138161805</v>
      </c>
      <c r="E625" s="14">
        <f t="shared" ca="1" si="92"/>
        <v>1.5059653343644221</v>
      </c>
      <c r="F625" s="14">
        <f t="shared" ca="1" si="93"/>
        <v>-0.41198302193756697</v>
      </c>
      <c r="G625" s="14">
        <f t="shared" ca="1" si="94"/>
        <v>0.11758793395951489</v>
      </c>
      <c r="H625" s="15">
        <f t="shared" ca="1" si="95"/>
        <v>0.93396196354733563</v>
      </c>
      <c r="I625" s="14">
        <f ca="1">IF(G625&lt;0.05,1,0)*$B$1*$B$2</f>
        <v>0</v>
      </c>
      <c r="J625" s="14">
        <f ca="1">IF(H625&lt;0.05,1,0)*$B$1*$B$2</f>
        <v>0</v>
      </c>
      <c r="K625" s="15">
        <f t="shared" ca="1" si="96"/>
        <v>0</v>
      </c>
      <c r="P625" s="3">
        <v>621</v>
      </c>
      <c r="Q625" s="4">
        <f t="shared" ca="1" si="97"/>
        <v>0.11758793395951489</v>
      </c>
      <c r="R625" s="4">
        <f t="shared" ca="1" si="98"/>
        <v>0.93396196354733563</v>
      </c>
      <c r="S625" s="4">
        <f ca="1">$B$1*Q625*$B$2</f>
        <v>4.703517358380596</v>
      </c>
      <c r="T625" s="4">
        <f ca="1">$B$1*R625*$B$2</f>
        <v>37.358478541893426</v>
      </c>
      <c r="U625" s="7">
        <f t="shared" ca="1" si="99"/>
        <v>42.06199590027402</v>
      </c>
    </row>
    <row r="626" spans="2:21" x14ac:dyDescent="0.3">
      <c r="B626" s="13">
        <f t="shared" ca="1" si="90"/>
        <v>0.31416397097973936</v>
      </c>
      <c r="C626" s="14">
        <f t="shared" ca="1" si="90"/>
        <v>0.68539141033800921</v>
      </c>
      <c r="D626" s="14">
        <f t="shared" ca="1" si="91"/>
        <v>-0.48408162417639689</v>
      </c>
      <c r="E626" s="14">
        <f t="shared" ca="1" si="92"/>
        <v>0.48282896975437828</v>
      </c>
      <c r="F626" s="14">
        <f t="shared" ca="1" si="93"/>
        <v>-0.22521319314143812</v>
      </c>
      <c r="G626" s="14">
        <f t="shared" ca="1" si="94"/>
        <v>0.3141639709797393</v>
      </c>
      <c r="H626" s="15">
        <f t="shared" ca="1" si="95"/>
        <v>0.68539141033800921</v>
      </c>
      <c r="I626" s="14">
        <f ca="1">IF(G626&lt;0.05,1,0)*$B$1*$B$2</f>
        <v>0</v>
      </c>
      <c r="J626" s="14">
        <f ca="1">IF(H626&lt;0.05,1,0)*$B$1*$B$2</f>
        <v>0</v>
      </c>
      <c r="K626" s="15">
        <f t="shared" ca="1" si="96"/>
        <v>0</v>
      </c>
      <c r="P626" s="3">
        <v>622</v>
      </c>
      <c r="Q626" s="4">
        <f t="shared" ca="1" si="97"/>
        <v>0.3141639709797393</v>
      </c>
      <c r="R626" s="4">
        <f t="shared" ca="1" si="98"/>
        <v>0.68539141033800921</v>
      </c>
      <c r="S626" s="4">
        <f ca="1">$B$1*Q626*$B$2</f>
        <v>12.566558839189574</v>
      </c>
      <c r="T626" s="4">
        <f ca="1">$B$1*R626*$B$2</f>
        <v>27.415656413520367</v>
      </c>
      <c r="U626" s="7">
        <f t="shared" ca="1" si="99"/>
        <v>39.982215252709942</v>
      </c>
    </row>
    <row r="627" spans="2:21" x14ac:dyDescent="0.3">
      <c r="B627" s="13">
        <f t="shared" ca="1" si="90"/>
        <v>0.12656069686140514</v>
      </c>
      <c r="C627" s="14">
        <f t="shared" ca="1" si="90"/>
        <v>0.64505929106526183</v>
      </c>
      <c r="D627" s="14">
        <f t="shared" ca="1" si="91"/>
        <v>-1.142800590175052</v>
      </c>
      <c r="E627" s="14">
        <f t="shared" ca="1" si="92"/>
        <v>0.37201535371100114</v>
      </c>
      <c r="F627" s="14">
        <f t="shared" ca="1" si="93"/>
        <v>-0.86636279793036741</v>
      </c>
      <c r="G627" s="14">
        <f t="shared" ca="1" si="94"/>
        <v>0.12656069686140503</v>
      </c>
      <c r="H627" s="15">
        <f t="shared" ca="1" si="95"/>
        <v>0.64505929106526194</v>
      </c>
      <c r="I627" s="14">
        <f ca="1">IF(G627&lt;0.05,1,0)*$B$1*$B$2</f>
        <v>0</v>
      </c>
      <c r="J627" s="14">
        <f ca="1">IF(H627&lt;0.05,1,0)*$B$1*$B$2</f>
        <v>0</v>
      </c>
      <c r="K627" s="15">
        <f t="shared" ca="1" si="96"/>
        <v>0</v>
      </c>
      <c r="P627" s="3">
        <v>623</v>
      </c>
      <c r="Q627" s="4">
        <f t="shared" ca="1" si="97"/>
        <v>0.12656069686140503</v>
      </c>
      <c r="R627" s="4">
        <f t="shared" ca="1" si="98"/>
        <v>0.64505929106526194</v>
      </c>
      <c r="S627" s="4">
        <f ca="1">$B$1*Q627*$B$2</f>
        <v>5.0624278744562012</v>
      </c>
      <c r="T627" s="4">
        <f ca="1">$B$1*R627*$B$2</f>
        <v>25.802371642610481</v>
      </c>
      <c r="U627" s="7">
        <f t="shared" ca="1" si="99"/>
        <v>30.864799517066682</v>
      </c>
    </row>
    <row r="628" spans="2:21" x14ac:dyDescent="0.3">
      <c r="B628" s="13">
        <f t="shared" ca="1" si="90"/>
        <v>0.64338725405145991</v>
      </c>
      <c r="C628" s="14">
        <f t="shared" ca="1" si="90"/>
        <v>0.30265560909281242</v>
      </c>
      <c r="D628" s="14">
        <f t="shared" ca="1" si="91"/>
        <v>0.36752762200515232</v>
      </c>
      <c r="E628" s="14">
        <f t="shared" ca="1" si="92"/>
        <v>-0.5167778869542361</v>
      </c>
      <c r="F628" s="14">
        <f t="shared" ca="1" si="93"/>
        <v>0.10551660125563703</v>
      </c>
      <c r="G628" s="14">
        <f t="shared" ca="1" si="94"/>
        <v>0.64338725405146002</v>
      </c>
      <c r="H628" s="15">
        <f t="shared" ca="1" si="95"/>
        <v>0.30265560909281242</v>
      </c>
      <c r="I628" s="14">
        <f ca="1">IF(G628&lt;0.05,1,0)*$B$1*$B$2</f>
        <v>0</v>
      </c>
      <c r="J628" s="14">
        <f ca="1">IF(H628&lt;0.05,1,0)*$B$1*$B$2</f>
        <v>0</v>
      </c>
      <c r="K628" s="15">
        <f t="shared" ca="1" si="96"/>
        <v>0</v>
      </c>
      <c r="P628" s="3">
        <v>624</v>
      </c>
      <c r="Q628" s="4">
        <f t="shared" ca="1" si="97"/>
        <v>0.64338725405146002</v>
      </c>
      <c r="R628" s="4">
        <f t="shared" ca="1" si="98"/>
        <v>0.30265560909281242</v>
      </c>
      <c r="S628" s="4">
        <f ca="1">$B$1*Q628*$B$2</f>
        <v>25.735490162058404</v>
      </c>
      <c r="T628" s="4">
        <f ca="1">$B$1*R628*$B$2</f>
        <v>12.106224363712498</v>
      </c>
      <c r="U628" s="7">
        <f t="shared" ca="1" si="99"/>
        <v>37.841714525770904</v>
      </c>
    </row>
    <row r="629" spans="2:21" x14ac:dyDescent="0.3">
      <c r="B629" s="13">
        <f t="shared" ca="1" si="90"/>
        <v>0.27285818865346401</v>
      </c>
      <c r="C629" s="14">
        <f t="shared" ca="1" si="90"/>
        <v>0.84610137501111216</v>
      </c>
      <c r="D629" s="14">
        <f t="shared" ca="1" si="91"/>
        <v>-0.60419143103886197</v>
      </c>
      <c r="E629" s="14">
        <f t="shared" ca="1" si="92"/>
        <v>1.0198549665198011</v>
      </c>
      <c r="F629" s="14">
        <f t="shared" ca="1" si="93"/>
        <v>-9.9227814322188856E-2</v>
      </c>
      <c r="G629" s="14">
        <f t="shared" ca="1" si="94"/>
        <v>0.27285818865346401</v>
      </c>
      <c r="H629" s="15">
        <f t="shared" ca="1" si="95"/>
        <v>0.84610137501111171</v>
      </c>
      <c r="I629" s="14">
        <f ca="1">IF(G629&lt;0.05,1,0)*$B$1*$B$2</f>
        <v>0</v>
      </c>
      <c r="J629" s="14">
        <f ca="1">IF(H629&lt;0.05,1,0)*$B$1*$B$2</f>
        <v>0</v>
      </c>
      <c r="K629" s="15">
        <f t="shared" ca="1" si="96"/>
        <v>0</v>
      </c>
      <c r="P629" s="3">
        <v>625</v>
      </c>
      <c r="Q629" s="4">
        <f t="shared" ca="1" si="97"/>
        <v>0.27285818865346401</v>
      </c>
      <c r="R629" s="4">
        <f t="shared" ca="1" si="98"/>
        <v>0.84610137501111171</v>
      </c>
      <c r="S629" s="4">
        <f ca="1">$B$1*Q629*$B$2</f>
        <v>10.91432754613856</v>
      </c>
      <c r="T629" s="4">
        <f ca="1">$B$1*R629*$B$2</f>
        <v>33.84405500044447</v>
      </c>
      <c r="U629" s="7">
        <f t="shared" ca="1" si="99"/>
        <v>44.758382546583029</v>
      </c>
    </row>
    <row r="630" spans="2:21" x14ac:dyDescent="0.3">
      <c r="B630" s="13">
        <f t="shared" ca="1" si="90"/>
        <v>0.17074821643195826</v>
      </c>
      <c r="C630" s="14">
        <f t="shared" ca="1" si="90"/>
        <v>4.0212752544340757E-3</v>
      </c>
      <c r="D630" s="14">
        <f t="shared" ca="1" si="91"/>
        <v>-0.95121266035796681</v>
      </c>
      <c r="E630" s="14">
        <f t="shared" ca="1" si="92"/>
        <v>-2.650278243977132</v>
      </c>
      <c r="F630" s="14">
        <f t="shared" ca="1" si="93"/>
        <v>-2.0113208980982451</v>
      </c>
      <c r="G630" s="14">
        <f t="shared" ca="1" si="94"/>
        <v>0.17074821643195878</v>
      </c>
      <c r="H630" s="15">
        <f t="shared" ca="1" si="95"/>
        <v>4.0212752544340723E-3</v>
      </c>
      <c r="I630" s="14">
        <f ca="1">IF(G630&lt;0.05,1,0)*$B$1*$B$2</f>
        <v>0</v>
      </c>
      <c r="J630" s="14">
        <f ca="1">IF(H630&lt;0.05,1,0)*$B$1*$B$2</f>
        <v>40</v>
      </c>
      <c r="K630" s="15">
        <f t="shared" ca="1" si="96"/>
        <v>40</v>
      </c>
      <c r="P630" s="3">
        <v>626</v>
      </c>
      <c r="Q630" s="4">
        <f t="shared" ca="1" si="97"/>
        <v>0.17074821643195878</v>
      </c>
      <c r="R630" s="4">
        <f t="shared" ca="1" si="98"/>
        <v>4.0212752544340723E-3</v>
      </c>
      <c r="S630" s="4">
        <f ca="1">$B$1*Q630*$B$2</f>
        <v>6.8299286572783515</v>
      </c>
      <c r="T630" s="4">
        <f ca="1">$B$1*R630*$B$2</f>
        <v>0.16085101017736292</v>
      </c>
      <c r="U630" s="7">
        <f t="shared" ca="1" si="99"/>
        <v>6.9907796674557146</v>
      </c>
    </row>
    <row r="631" spans="2:21" x14ac:dyDescent="0.3">
      <c r="B631" s="13">
        <f t="shared" ca="1" si="90"/>
        <v>0.58104169142924855</v>
      </c>
      <c r="C631" s="14">
        <f t="shared" ca="1" si="90"/>
        <v>0.49331978552619093</v>
      </c>
      <c r="D631" s="14">
        <f t="shared" ca="1" si="91"/>
        <v>0.2045590947948949</v>
      </c>
      <c r="E631" s="14">
        <f t="shared" ca="1" si="92"/>
        <v>-1.6745597067224012E-2</v>
      </c>
      <c r="F631" s="14">
        <f t="shared" ca="1" si="93"/>
        <v>0.17680394877887734</v>
      </c>
      <c r="G631" s="14">
        <f t="shared" ca="1" si="94"/>
        <v>0.58104169142924855</v>
      </c>
      <c r="H631" s="15">
        <f t="shared" ca="1" si="95"/>
        <v>0.49331978552619093</v>
      </c>
      <c r="I631" s="14">
        <f ca="1">IF(G631&lt;0.05,1,0)*$B$1*$B$2</f>
        <v>0</v>
      </c>
      <c r="J631" s="14">
        <f ca="1">IF(H631&lt;0.05,1,0)*$B$1*$B$2</f>
        <v>0</v>
      </c>
      <c r="K631" s="15">
        <f t="shared" ca="1" si="96"/>
        <v>0</v>
      </c>
      <c r="P631" s="3">
        <v>627</v>
      </c>
      <c r="Q631" s="4">
        <f t="shared" ca="1" si="97"/>
        <v>0.58104169142924855</v>
      </c>
      <c r="R631" s="4">
        <f t="shared" ca="1" si="98"/>
        <v>0.49331978552619093</v>
      </c>
      <c r="S631" s="4">
        <f ca="1">$B$1*Q631*$B$2</f>
        <v>23.241667657169941</v>
      </c>
      <c r="T631" s="4">
        <f ca="1">$B$1*R631*$B$2</f>
        <v>19.732791421047637</v>
      </c>
      <c r="U631" s="7">
        <f t="shared" ca="1" si="99"/>
        <v>42.974459078217578</v>
      </c>
    </row>
    <row r="632" spans="2:21" x14ac:dyDescent="0.3">
      <c r="B632" s="13">
        <f t="shared" ca="1" si="90"/>
        <v>0.66967133123084566</v>
      </c>
      <c r="C632" s="14">
        <f t="shared" ca="1" si="90"/>
        <v>0.76961025443765163</v>
      </c>
      <c r="D632" s="14">
        <f t="shared" ca="1" si="91"/>
        <v>0.4390057947331969</v>
      </c>
      <c r="E632" s="14">
        <f t="shared" ca="1" si="92"/>
        <v>0.73756391344358596</v>
      </c>
      <c r="F632" s="14">
        <f t="shared" ca="1" si="93"/>
        <v>0.7166018715701743</v>
      </c>
      <c r="G632" s="14">
        <f t="shared" ca="1" si="94"/>
        <v>0.66967133123084577</v>
      </c>
      <c r="H632" s="15">
        <f t="shared" ca="1" si="95"/>
        <v>0.76961025443765174</v>
      </c>
      <c r="I632" s="14">
        <f ca="1">IF(G632&lt;0.05,1,0)*$B$1*$B$2</f>
        <v>0</v>
      </c>
      <c r="J632" s="14">
        <f ca="1">IF(H632&lt;0.05,1,0)*$B$1*$B$2</f>
        <v>0</v>
      </c>
      <c r="K632" s="15">
        <f t="shared" ca="1" si="96"/>
        <v>0</v>
      </c>
      <c r="P632" s="3">
        <v>628</v>
      </c>
      <c r="Q632" s="4">
        <f t="shared" ca="1" si="97"/>
        <v>0.66967133123084577</v>
      </c>
      <c r="R632" s="4">
        <f t="shared" ca="1" si="98"/>
        <v>0.76961025443765174</v>
      </c>
      <c r="S632" s="4">
        <f ca="1">$B$1*Q632*$B$2</f>
        <v>26.786853249233832</v>
      </c>
      <c r="T632" s="4">
        <f ca="1">$B$1*R632*$B$2</f>
        <v>30.784410177506075</v>
      </c>
      <c r="U632" s="7">
        <f t="shared" ca="1" si="99"/>
        <v>57.571263426739904</v>
      </c>
    </row>
    <row r="633" spans="2:21" x14ac:dyDescent="0.3">
      <c r="B633" s="13">
        <f t="shared" ca="1" si="90"/>
        <v>0.91636059735717257</v>
      </c>
      <c r="C633" s="14">
        <f t="shared" ca="1" si="90"/>
        <v>1.8208714177130769E-2</v>
      </c>
      <c r="D633" s="14">
        <f t="shared" ca="1" si="91"/>
        <v>1.381000505324719</v>
      </c>
      <c r="E633" s="14">
        <f t="shared" ca="1" si="92"/>
        <v>-2.0922357903442386</v>
      </c>
      <c r="F633" s="14">
        <f t="shared" ca="1" si="93"/>
        <v>0.3309160171752985</v>
      </c>
      <c r="G633" s="14">
        <f t="shared" ca="1" si="94"/>
        <v>0.91636059735717268</v>
      </c>
      <c r="H633" s="15">
        <f t="shared" ca="1" si="95"/>
        <v>1.8208714177130804E-2</v>
      </c>
      <c r="I633" s="14">
        <f ca="1">IF(G633&lt;0.05,1,0)*$B$1*$B$2</f>
        <v>0</v>
      </c>
      <c r="J633" s="14">
        <f ca="1">IF(H633&lt;0.05,1,0)*$B$1*$B$2</f>
        <v>40</v>
      </c>
      <c r="K633" s="15">
        <f t="shared" ca="1" si="96"/>
        <v>40</v>
      </c>
      <c r="P633" s="3">
        <v>629</v>
      </c>
      <c r="Q633" s="4">
        <f t="shared" ca="1" si="97"/>
        <v>0.91636059735717268</v>
      </c>
      <c r="R633" s="4">
        <f t="shared" ca="1" si="98"/>
        <v>1.8208714177130804E-2</v>
      </c>
      <c r="S633" s="4">
        <f ca="1">$B$1*Q633*$B$2</f>
        <v>36.654423894286907</v>
      </c>
      <c r="T633" s="4">
        <f ca="1">$B$1*R633*$B$2</f>
        <v>0.72834856708523221</v>
      </c>
      <c r="U633" s="7">
        <f t="shared" ca="1" si="99"/>
        <v>37.382772461372141</v>
      </c>
    </row>
    <row r="634" spans="2:21" x14ac:dyDescent="0.3">
      <c r="B634" s="13">
        <f t="shared" ca="1" si="90"/>
        <v>0.70875802672829435</v>
      </c>
      <c r="C634" s="14">
        <f t="shared" ca="1" si="90"/>
        <v>0.72504823182791034</v>
      </c>
      <c r="D634" s="14">
        <f t="shared" ca="1" si="91"/>
        <v>0.54976007426919438</v>
      </c>
      <c r="E634" s="14">
        <f t="shared" ca="1" si="92"/>
        <v>0.59790468095579663</v>
      </c>
      <c r="F634" s="14">
        <f t="shared" ca="1" si="93"/>
        <v>0.75540467505789943</v>
      </c>
      <c r="G634" s="14">
        <f t="shared" ca="1" si="94"/>
        <v>0.70875802672829447</v>
      </c>
      <c r="H634" s="15">
        <f t="shared" ca="1" si="95"/>
        <v>0.72504823182791034</v>
      </c>
      <c r="I634" s="14">
        <f ca="1">IF(G634&lt;0.05,1,0)*$B$1*$B$2</f>
        <v>0</v>
      </c>
      <c r="J634" s="14">
        <f ca="1">IF(H634&lt;0.05,1,0)*$B$1*$B$2</f>
        <v>0</v>
      </c>
      <c r="K634" s="15">
        <f t="shared" ca="1" si="96"/>
        <v>0</v>
      </c>
      <c r="P634" s="3">
        <v>630</v>
      </c>
      <c r="Q634" s="4">
        <f t="shared" ca="1" si="97"/>
        <v>0.70875802672829447</v>
      </c>
      <c r="R634" s="4">
        <f t="shared" ca="1" si="98"/>
        <v>0.72504823182791034</v>
      </c>
      <c r="S634" s="4">
        <f ca="1">$B$1*Q634*$B$2</f>
        <v>28.35032106913178</v>
      </c>
      <c r="T634" s="4">
        <f ca="1">$B$1*R634*$B$2</f>
        <v>29.001929273116414</v>
      </c>
      <c r="U634" s="7">
        <f t="shared" ca="1" si="99"/>
        <v>57.352250342248198</v>
      </c>
    </row>
    <row r="635" spans="2:21" x14ac:dyDescent="0.3">
      <c r="B635" s="13">
        <f t="shared" ca="1" si="90"/>
        <v>0.59004274446933724</v>
      </c>
      <c r="C635" s="14">
        <f t="shared" ca="1" si="90"/>
        <v>0.23219342897342099</v>
      </c>
      <c r="D635" s="14">
        <f t="shared" ca="1" si="91"/>
        <v>0.22765493252375604</v>
      </c>
      <c r="E635" s="14">
        <f t="shared" ca="1" si="92"/>
        <v>-0.7316424061879353</v>
      </c>
      <c r="F635" s="14">
        <f t="shared" ca="1" si="93"/>
        <v>-0.11402609186683424</v>
      </c>
      <c r="G635" s="14">
        <f t="shared" ca="1" si="94"/>
        <v>0.59004274446933724</v>
      </c>
      <c r="H635" s="15">
        <f t="shared" ca="1" si="95"/>
        <v>0.23219342897342093</v>
      </c>
      <c r="I635" s="14">
        <f ca="1">IF(G635&lt;0.05,1,0)*$B$1*$B$2</f>
        <v>0</v>
      </c>
      <c r="J635" s="14">
        <f ca="1">IF(H635&lt;0.05,1,0)*$B$1*$B$2</f>
        <v>0</v>
      </c>
      <c r="K635" s="15">
        <f t="shared" ca="1" si="96"/>
        <v>0</v>
      </c>
      <c r="P635" s="3">
        <v>631</v>
      </c>
      <c r="Q635" s="4">
        <f t="shared" ca="1" si="97"/>
        <v>0.59004274446933724</v>
      </c>
      <c r="R635" s="4">
        <f t="shared" ca="1" si="98"/>
        <v>0.23219342897342093</v>
      </c>
      <c r="S635" s="4">
        <f ca="1">$B$1*Q635*$B$2</f>
        <v>23.60170977877349</v>
      </c>
      <c r="T635" s="4">
        <f ca="1">$B$1*R635*$B$2</f>
        <v>9.2877371589368387</v>
      </c>
      <c r="U635" s="7">
        <f t="shared" ca="1" si="99"/>
        <v>32.889446937710332</v>
      </c>
    </row>
    <row r="636" spans="2:21" x14ac:dyDescent="0.3">
      <c r="B636" s="13">
        <f t="shared" ca="1" si="90"/>
        <v>0.59908575240963136</v>
      </c>
      <c r="C636" s="14">
        <f t="shared" ca="1" si="90"/>
        <v>0.96395138174904138</v>
      </c>
      <c r="D636" s="14">
        <f t="shared" ca="1" si="91"/>
        <v>0.25098139287638849</v>
      </c>
      <c r="E636" s="14">
        <f t="shared" ca="1" si="92"/>
        <v>1.7985036137086032</v>
      </c>
      <c r="F636" s="14">
        <f t="shared" ca="1" si="93"/>
        <v>1.0098328037636009</v>
      </c>
      <c r="G636" s="14">
        <f t="shared" ca="1" si="94"/>
        <v>0.59908575240963136</v>
      </c>
      <c r="H636" s="15">
        <f t="shared" ca="1" si="95"/>
        <v>0.96395138174904138</v>
      </c>
      <c r="I636" s="14">
        <f ca="1">IF(G636&lt;0.05,1,0)*$B$1*$B$2</f>
        <v>0</v>
      </c>
      <c r="J636" s="14">
        <f ca="1">IF(H636&lt;0.05,1,0)*$B$1*$B$2</f>
        <v>0</v>
      </c>
      <c r="K636" s="15">
        <f t="shared" ca="1" si="96"/>
        <v>0</v>
      </c>
      <c r="P636" s="3">
        <v>632</v>
      </c>
      <c r="Q636" s="4">
        <f t="shared" ca="1" si="97"/>
        <v>0.59908575240963136</v>
      </c>
      <c r="R636" s="4">
        <f t="shared" ca="1" si="98"/>
        <v>0.96395138174904138</v>
      </c>
      <c r="S636" s="4">
        <f ca="1">$B$1*Q636*$B$2</f>
        <v>23.963430096385256</v>
      </c>
      <c r="T636" s="4">
        <f ca="1">$B$1*R636*$B$2</f>
        <v>38.558055269961656</v>
      </c>
      <c r="U636" s="7">
        <f t="shared" ca="1" si="99"/>
        <v>62.521485366346909</v>
      </c>
    </row>
    <row r="637" spans="2:21" x14ac:dyDescent="0.3">
      <c r="B637" s="13">
        <f t="shared" ca="1" si="90"/>
        <v>9.0960615838554859E-2</v>
      </c>
      <c r="C637" s="14">
        <f t="shared" ca="1" si="90"/>
        <v>0.50761851866047492</v>
      </c>
      <c r="D637" s="14">
        <f t="shared" ca="1" si="91"/>
        <v>-1.3348628711448185</v>
      </c>
      <c r="E637" s="14">
        <f t="shared" ca="1" si="92"/>
        <v>1.9097955160522682E-2</v>
      </c>
      <c r="F637" s="14">
        <f t="shared" ca="1" si="93"/>
        <v>-1.1930519783730378</v>
      </c>
      <c r="G637" s="14">
        <f t="shared" ca="1" si="94"/>
        <v>9.0960615838554762E-2</v>
      </c>
      <c r="H637" s="15">
        <f t="shared" ca="1" si="95"/>
        <v>0.50761851866047492</v>
      </c>
      <c r="I637" s="14">
        <f ca="1">IF(G637&lt;0.05,1,0)*$B$1*$B$2</f>
        <v>0</v>
      </c>
      <c r="J637" s="14">
        <f ca="1">IF(H637&lt;0.05,1,0)*$B$1*$B$2</f>
        <v>0</v>
      </c>
      <c r="K637" s="15">
        <f t="shared" ca="1" si="96"/>
        <v>0</v>
      </c>
      <c r="P637" s="3">
        <v>633</v>
      </c>
      <c r="Q637" s="4">
        <f t="shared" ca="1" si="97"/>
        <v>9.0960615838554762E-2</v>
      </c>
      <c r="R637" s="4">
        <f t="shared" ca="1" si="98"/>
        <v>0.50761851866047492</v>
      </c>
      <c r="S637" s="4">
        <f ca="1">$B$1*Q637*$B$2</f>
        <v>3.6384246335421908</v>
      </c>
      <c r="T637" s="4">
        <f ca="1">$B$1*R637*$B$2</f>
        <v>20.304740746419</v>
      </c>
      <c r="U637" s="7">
        <f t="shared" ca="1" si="99"/>
        <v>23.94316537996119</v>
      </c>
    </row>
    <row r="638" spans="2:21" x14ac:dyDescent="0.3">
      <c r="B638" s="13">
        <f t="shared" ca="1" si="90"/>
        <v>0.40744452333284387</v>
      </c>
      <c r="C638" s="14">
        <f t="shared" ca="1" si="90"/>
        <v>0.11237925109655844</v>
      </c>
      <c r="D638" s="14">
        <f t="shared" ca="1" si="91"/>
        <v>-0.23412357192730812</v>
      </c>
      <c r="E638" s="14">
        <f t="shared" ca="1" si="92"/>
        <v>-1.2139717757168003</v>
      </c>
      <c r="F638" s="14">
        <f t="shared" ca="1" si="93"/>
        <v>-0.73986924380059282</v>
      </c>
      <c r="G638" s="14">
        <f t="shared" ca="1" si="94"/>
        <v>0.40744452333284387</v>
      </c>
      <c r="H638" s="15">
        <f t="shared" ca="1" si="95"/>
        <v>0.11237925109655833</v>
      </c>
      <c r="I638" s="14">
        <f ca="1">IF(G638&lt;0.05,1,0)*$B$1*$B$2</f>
        <v>0</v>
      </c>
      <c r="J638" s="14">
        <f ca="1">IF(H638&lt;0.05,1,0)*$B$1*$B$2</f>
        <v>0</v>
      </c>
      <c r="K638" s="15">
        <f t="shared" ca="1" si="96"/>
        <v>0</v>
      </c>
      <c r="P638" s="3">
        <v>634</v>
      </c>
      <c r="Q638" s="4">
        <f t="shared" ca="1" si="97"/>
        <v>0.40744452333284387</v>
      </c>
      <c r="R638" s="4">
        <f t="shared" ca="1" si="98"/>
        <v>0.11237925109655833</v>
      </c>
      <c r="S638" s="4">
        <f ca="1">$B$1*Q638*$B$2</f>
        <v>16.297780933313756</v>
      </c>
      <c r="T638" s="4">
        <f ca="1">$B$1*R638*$B$2</f>
        <v>4.4951700438623332</v>
      </c>
      <c r="U638" s="7">
        <f t="shared" ca="1" si="99"/>
        <v>20.792950977176091</v>
      </c>
    </row>
    <row r="639" spans="2:21" x14ac:dyDescent="0.3">
      <c r="B639" s="13">
        <f t="shared" ca="1" si="90"/>
        <v>0.43885041299900529</v>
      </c>
      <c r="C639" s="14">
        <f t="shared" ca="1" si="90"/>
        <v>0.34793133646238483</v>
      </c>
      <c r="D639" s="14">
        <f t="shared" ca="1" si="91"/>
        <v>-0.15388447429938337</v>
      </c>
      <c r="E639" s="14">
        <f t="shared" ca="1" si="92"/>
        <v>-0.39091147336971482</v>
      </c>
      <c r="F639" s="14">
        <f t="shared" ca="1" si="93"/>
        <v>-0.30889038769836286</v>
      </c>
      <c r="G639" s="14">
        <f t="shared" ca="1" si="94"/>
        <v>0.43885041299900529</v>
      </c>
      <c r="H639" s="15">
        <f t="shared" ca="1" si="95"/>
        <v>0.34793133646238478</v>
      </c>
      <c r="I639" s="14">
        <f ca="1">IF(G639&lt;0.05,1,0)*$B$1*$B$2</f>
        <v>0</v>
      </c>
      <c r="J639" s="14">
        <f ca="1">IF(H639&lt;0.05,1,0)*$B$1*$B$2</f>
        <v>0</v>
      </c>
      <c r="K639" s="15">
        <f t="shared" ca="1" si="96"/>
        <v>0</v>
      </c>
      <c r="P639" s="3">
        <v>635</v>
      </c>
      <c r="Q639" s="4">
        <f t="shared" ca="1" si="97"/>
        <v>0.43885041299900529</v>
      </c>
      <c r="R639" s="4">
        <f t="shared" ca="1" si="98"/>
        <v>0.34793133646238478</v>
      </c>
      <c r="S639" s="4">
        <f ca="1">$B$1*Q639*$B$2</f>
        <v>17.554016519960211</v>
      </c>
      <c r="T639" s="4">
        <f ca="1">$B$1*R639*$B$2</f>
        <v>13.917253458495393</v>
      </c>
      <c r="U639" s="7">
        <f t="shared" ca="1" si="99"/>
        <v>31.471269978455602</v>
      </c>
    </row>
    <row r="640" spans="2:21" x14ac:dyDescent="0.3">
      <c r="B640" s="13">
        <f t="shared" ca="1" si="90"/>
        <v>2.7617404567437998E-2</v>
      </c>
      <c r="C640" s="14">
        <f t="shared" ca="1" si="90"/>
        <v>0.56827479801256553</v>
      </c>
      <c r="D640" s="14">
        <f t="shared" ca="1" si="91"/>
        <v>-1.9170245791362317</v>
      </c>
      <c r="E640" s="14">
        <f t="shared" ca="1" si="92"/>
        <v>0.17198362316940405</v>
      </c>
      <c r="F640" s="14">
        <f t="shared" ca="1" si="93"/>
        <v>-1.6503561978886674</v>
      </c>
      <c r="G640" s="14">
        <f t="shared" ca="1" si="94"/>
        <v>2.7617404567437984E-2</v>
      </c>
      <c r="H640" s="15">
        <f t="shared" ca="1" si="95"/>
        <v>0.56827479801256553</v>
      </c>
      <c r="I640" s="14">
        <f ca="1">IF(G640&lt;0.05,1,0)*$B$1*$B$2</f>
        <v>40</v>
      </c>
      <c r="J640" s="14">
        <f ca="1">IF(H640&lt;0.05,1,0)*$B$1*$B$2</f>
        <v>0</v>
      </c>
      <c r="K640" s="15">
        <f t="shared" ca="1" si="96"/>
        <v>40</v>
      </c>
      <c r="P640" s="3">
        <v>636</v>
      </c>
      <c r="Q640" s="4">
        <f t="shared" ca="1" si="97"/>
        <v>2.7617404567437984E-2</v>
      </c>
      <c r="R640" s="4">
        <f t="shared" ca="1" si="98"/>
        <v>0.56827479801256553</v>
      </c>
      <c r="S640" s="4">
        <f ca="1">$B$1*Q640*$B$2</f>
        <v>1.1046961826975195</v>
      </c>
      <c r="T640" s="4">
        <f ca="1">$B$1*R640*$B$2</f>
        <v>22.730991920502621</v>
      </c>
      <c r="U640" s="7">
        <f t="shared" ca="1" si="99"/>
        <v>23.835688103200141</v>
      </c>
    </row>
    <row r="641" spans="2:21" x14ac:dyDescent="0.3">
      <c r="B641" s="13">
        <f t="shared" ca="1" si="90"/>
        <v>9.2980538819861347E-2</v>
      </c>
      <c r="C641" s="14">
        <f t="shared" ca="1" si="90"/>
        <v>0.2718988319772504</v>
      </c>
      <c r="D641" s="14">
        <f t="shared" ca="1" si="91"/>
        <v>-1.3226221102510347</v>
      </c>
      <c r="E641" s="14">
        <f t="shared" ca="1" si="92"/>
        <v>-0.60708023853960924</v>
      </c>
      <c r="F641" s="14">
        <f t="shared" ca="1" si="93"/>
        <v>-1.4549800402674036</v>
      </c>
      <c r="G641" s="14">
        <f t="shared" ca="1" si="94"/>
        <v>9.2980538819861222E-2</v>
      </c>
      <c r="H641" s="15">
        <f t="shared" ca="1" si="95"/>
        <v>0.2718988319772504</v>
      </c>
      <c r="I641" s="14">
        <f ca="1">IF(G641&lt;0.05,1,0)*$B$1*$B$2</f>
        <v>0</v>
      </c>
      <c r="J641" s="14">
        <f ca="1">IF(H641&lt;0.05,1,0)*$B$1*$B$2</f>
        <v>0</v>
      </c>
      <c r="K641" s="15">
        <f t="shared" ca="1" si="96"/>
        <v>0</v>
      </c>
      <c r="P641" s="3">
        <v>637</v>
      </c>
      <c r="Q641" s="4">
        <f t="shared" ca="1" si="97"/>
        <v>9.2980538819861222E-2</v>
      </c>
      <c r="R641" s="4">
        <f t="shared" ca="1" si="98"/>
        <v>0.2718988319772504</v>
      </c>
      <c r="S641" s="4">
        <f ca="1">$B$1*Q641*$B$2</f>
        <v>3.7192215527944494</v>
      </c>
      <c r="T641" s="4">
        <f ca="1">$B$1*R641*$B$2</f>
        <v>10.875953279090016</v>
      </c>
      <c r="U641" s="7">
        <f t="shared" ca="1" si="99"/>
        <v>14.595174831884465</v>
      </c>
    </row>
    <row r="642" spans="2:21" x14ac:dyDescent="0.3">
      <c r="B642" s="13">
        <f t="shared" ca="1" si="90"/>
        <v>0.20598825838497214</v>
      </c>
      <c r="C642" s="14">
        <f t="shared" ca="1" si="90"/>
        <v>0.21430506362717505</v>
      </c>
      <c r="D642" s="14">
        <f t="shared" ca="1" si="91"/>
        <v>-0.82042035287096549</v>
      </c>
      <c r="E642" s="14">
        <f t="shared" ca="1" si="92"/>
        <v>-0.79157225955207422</v>
      </c>
      <c r="F642" s="14">
        <f t="shared" ca="1" si="93"/>
        <v>-1.0834166661736329</v>
      </c>
      <c r="G642" s="14">
        <f t="shared" ca="1" si="94"/>
        <v>0.20598825838497212</v>
      </c>
      <c r="H642" s="15">
        <f t="shared" ca="1" si="95"/>
        <v>0.21430506362717508</v>
      </c>
      <c r="I642" s="14">
        <f ca="1">IF(G642&lt;0.05,1,0)*$B$1*$B$2</f>
        <v>0</v>
      </c>
      <c r="J642" s="14">
        <f ca="1">IF(H642&lt;0.05,1,0)*$B$1*$B$2</f>
        <v>0</v>
      </c>
      <c r="K642" s="15">
        <f t="shared" ca="1" si="96"/>
        <v>0</v>
      </c>
      <c r="P642" s="3">
        <v>638</v>
      </c>
      <c r="Q642" s="4">
        <f t="shared" ca="1" si="97"/>
        <v>0.20598825838497212</v>
      </c>
      <c r="R642" s="4">
        <f t="shared" ca="1" si="98"/>
        <v>0.21430506362717508</v>
      </c>
      <c r="S642" s="4">
        <f ca="1">$B$1*Q642*$B$2</f>
        <v>8.2395303353988858</v>
      </c>
      <c r="T642" s="4">
        <f ca="1">$B$1*R642*$B$2</f>
        <v>8.5722025450870039</v>
      </c>
      <c r="U642" s="7">
        <f t="shared" ca="1" si="99"/>
        <v>16.811732880485891</v>
      </c>
    </row>
    <row r="643" spans="2:21" x14ac:dyDescent="0.3">
      <c r="B643" s="13">
        <f t="shared" ca="1" si="90"/>
        <v>0.20383163792271675</v>
      </c>
      <c r="C643" s="14">
        <f t="shared" ca="1" si="90"/>
        <v>0.76247709347550807</v>
      </c>
      <c r="D643" s="14">
        <f t="shared" ca="1" si="91"/>
        <v>-0.82801275603230873</v>
      </c>
      <c r="E643" s="14">
        <f t="shared" ca="1" si="92"/>
        <v>0.71429333444573451</v>
      </c>
      <c r="F643" s="14">
        <f t="shared" ca="1" si="93"/>
        <v>-0.43385823433971227</v>
      </c>
      <c r="G643" s="14">
        <f t="shared" ca="1" si="94"/>
        <v>0.20383163792271655</v>
      </c>
      <c r="H643" s="15">
        <f t="shared" ca="1" si="95"/>
        <v>0.76247709347550818</v>
      </c>
      <c r="I643" s="14">
        <f ca="1">IF(G643&lt;0.05,1,0)*$B$1*$B$2</f>
        <v>0</v>
      </c>
      <c r="J643" s="14">
        <f ca="1">IF(H643&lt;0.05,1,0)*$B$1*$B$2</f>
        <v>0</v>
      </c>
      <c r="K643" s="15">
        <f t="shared" ca="1" si="96"/>
        <v>0</v>
      </c>
      <c r="P643" s="3">
        <v>639</v>
      </c>
      <c r="Q643" s="4">
        <f t="shared" ca="1" si="97"/>
        <v>0.20383163792271655</v>
      </c>
      <c r="R643" s="4">
        <f t="shared" ca="1" si="98"/>
        <v>0.76247709347550818</v>
      </c>
      <c r="S643" s="4">
        <f ca="1">$B$1*Q643*$B$2</f>
        <v>8.1532655169086627</v>
      </c>
      <c r="T643" s="4">
        <f ca="1">$B$1*R643*$B$2</f>
        <v>30.499083739020332</v>
      </c>
      <c r="U643" s="7">
        <f t="shared" ca="1" si="99"/>
        <v>38.652349255928996</v>
      </c>
    </row>
    <row r="644" spans="2:21" x14ac:dyDescent="0.3">
      <c r="B644" s="13">
        <f t="shared" ca="1" si="90"/>
        <v>0.65642519328336224</v>
      </c>
      <c r="C644" s="14">
        <f t="shared" ca="1" si="90"/>
        <v>0.6105817047953418</v>
      </c>
      <c r="D644" s="14">
        <f t="shared" ca="1" si="91"/>
        <v>0.40272625999231682</v>
      </c>
      <c r="E644" s="14">
        <f t="shared" ca="1" si="92"/>
        <v>0.28083547837394229</v>
      </c>
      <c r="F644" s="14">
        <f t="shared" ca="1" si="93"/>
        <v>0.48486698099237679</v>
      </c>
      <c r="G644" s="14">
        <f t="shared" ca="1" si="94"/>
        <v>0.65642519328336235</v>
      </c>
      <c r="H644" s="15">
        <f t="shared" ca="1" si="95"/>
        <v>0.6105817047953418</v>
      </c>
      <c r="I644" s="14">
        <f ca="1">IF(G644&lt;0.05,1,0)*$B$1*$B$2</f>
        <v>0</v>
      </c>
      <c r="J644" s="14">
        <f ca="1">IF(H644&lt;0.05,1,0)*$B$1*$B$2</f>
        <v>0</v>
      </c>
      <c r="K644" s="15">
        <f t="shared" ca="1" si="96"/>
        <v>0</v>
      </c>
      <c r="P644" s="3">
        <v>640</v>
      </c>
      <c r="Q644" s="4">
        <f t="shared" ca="1" si="97"/>
        <v>0.65642519328336235</v>
      </c>
      <c r="R644" s="4">
        <f t="shared" ca="1" si="98"/>
        <v>0.6105817047953418</v>
      </c>
      <c r="S644" s="4">
        <f ca="1">$B$1*Q644*$B$2</f>
        <v>26.257007731334497</v>
      </c>
      <c r="T644" s="4">
        <f ca="1">$B$1*R644*$B$2</f>
        <v>24.423268191813673</v>
      </c>
      <c r="U644" s="7">
        <f t="shared" ca="1" si="99"/>
        <v>50.680275923148173</v>
      </c>
    </row>
    <row r="645" spans="2:21" x14ac:dyDescent="0.3">
      <c r="B645" s="13">
        <f t="shared" ca="1" si="90"/>
        <v>0.70912400122330355</v>
      </c>
      <c r="C645" s="14">
        <f t="shared" ca="1" si="90"/>
        <v>0.2986889758997755</v>
      </c>
      <c r="D645" s="14">
        <f t="shared" ca="1" si="91"/>
        <v>0.55082740248559769</v>
      </c>
      <c r="E645" s="14">
        <f t="shared" ca="1" si="92"/>
        <v>-0.52817489570139486</v>
      </c>
      <c r="F645" s="14">
        <f t="shared" ca="1" si="93"/>
        <v>0.26551856274928642</v>
      </c>
      <c r="G645" s="14">
        <f t="shared" ca="1" si="94"/>
        <v>0.70912400122330355</v>
      </c>
      <c r="H645" s="15">
        <f t="shared" ca="1" si="95"/>
        <v>0.2986889758997755</v>
      </c>
      <c r="I645" s="14">
        <f ca="1">IF(G645&lt;0.05,1,0)*$B$1*$B$2</f>
        <v>0</v>
      </c>
      <c r="J645" s="14">
        <f ca="1">IF(H645&lt;0.05,1,0)*$B$1*$B$2</f>
        <v>0</v>
      </c>
      <c r="K645" s="15">
        <f t="shared" ca="1" si="96"/>
        <v>0</v>
      </c>
      <c r="P645" s="3">
        <v>641</v>
      </c>
      <c r="Q645" s="4">
        <f t="shared" ca="1" si="97"/>
        <v>0.70912400122330355</v>
      </c>
      <c r="R645" s="4">
        <f t="shared" ca="1" si="98"/>
        <v>0.2986889758997755</v>
      </c>
      <c r="S645" s="4">
        <f ca="1">$B$1*Q645*$B$2</f>
        <v>28.364960048932144</v>
      </c>
      <c r="T645" s="4">
        <f ca="1">$B$1*R645*$B$2</f>
        <v>11.94755903599102</v>
      </c>
      <c r="U645" s="7">
        <f t="shared" ca="1" si="99"/>
        <v>40.312519084923167</v>
      </c>
    </row>
    <row r="646" spans="2:21" x14ac:dyDescent="0.3">
      <c r="B646" s="13">
        <f t="shared" ref="B646:C709" ca="1" si="100">RAND()</f>
        <v>0.1641460584376343</v>
      </c>
      <c r="C646" s="14">
        <f t="shared" ca="1" si="100"/>
        <v>0.97183869539954626</v>
      </c>
      <c r="D646" s="14">
        <f t="shared" ref="D646:D709" ca="1" si="101">_xlfn.NORM.S.INV(B646)</f>
        <v>-0.97755974143493818</v>
      </c>
      <c r="E646" s="14">
        <f t="shared" ref="E646:E709" ca="1" si="102">_xlfn.NORM.S.INV(C646)</f>
        <v>1.9085310869164382</v>
      </c>
      <c r="F646" s="14">
        <f t="shared" ref="F646:F709" ca="1" si="103">($Y$5*D646)+(SQRT(1-$Y$5^2)*E646)</f>
        <v>-4.7894353443984961E-2</v>
      </c>
      <c r="G646" s="14">
        <f t="shared" ref="G646:G709" ca="1" si="104">_xlfn.NORM.S.DIST(D646,TRUE)</f>
        <v>0.16414605843763441</v>
      </c>
      <c r="H646" s="15">
        <f t="shared" ref="H646:H709" ca="1" si="105">_xlfn.NORM.S.DIST(E646,TRUE)</f>
        <v>0.97183869539954626</v>
      </c>
      <c r="I646" s="14">
        <f ca="1">IF(G646&lt;0.05,1,0)*$B$1*$B$2</f>
        <v>0</v>
      </c>
      <c r="J646" s="14">
        <f ca="1">IF(H646&lt;0.05,1,0)*$B$1*$B$2</f>
        <v>0</v>
      </c>
      <c r="K646" s="15">
        <f t="shared" ref="K646:K709" ca="1" si="106">I646+J646</f>
        <v>0</v>
      </c>
      <c r="P646" s="3">
        <v>642</v>
      </c>
      <c r="Q646" s="4">
        <f t="shared" ref="Q646:Q709" ca="1" si="107">G646</f>
        <v>0.16414605843763441</v>
      </c>
      <c r="R646" s="4">
        <f t="shared" ref="R646:R709" ca="1" si="108">H646</f>
        <v>0.97183869539954626</v>
      </c>
      <c r="S646" s="4">
        <f ca="1">$B$1*Q646*$B$2</f>
        <v>6.5658423375053765</v>
      </c>
      <c r="T646" s="4">
        <f ca="1">$B$1*R646*$B$2</f>
        <v>38.873547815981851</v>
      </c>
      <c r="U646" s="7">
        <f t="shared" ref="U646:U709" ca="1" si="109">S646+T646</f>
        <v>45.439390153487224</v>
      </c>
    </row>
    <row r="647" spans="2:21" x14ac:dyDescent="0.3">
      <c r="B647" s="13">
        <f t="shared" ca="1" si="100"/>
        <v>0.14012077773186082</v>
      </c>
      <c r="C647" s="14">
        <f t="shared" ca="1" si="100"/>
        <v>0.94824675135580261</v>
      </c>
      <c r="D647" s="14">
        <f t="shared" ca="1" si="101"/>
        <v>-1.0797768655914655</v>
      </c>
      <c r="E647" s="14">
        <f t="shared" ca="1" si="102"/>
        <v>1.6280867281431792</v>
      </c>
      <c r="F647" s="14">
        <f t="shared" ca="1" si="103"/>
        <v>-0.26213262710272944</v>
      </c>
      <c r="G647" s="14">
        <f t="shared" ca="1" si="104"/>
        <v>0.14012077773186071</v>
      </c>
      <c r="H647" s="15">
        <f t="shared" ca="1" si="105"/>
        <v>0.94824675135580261</v>
      </c>
      <c r="I647" s="14">
        <f ca="1">IF(G647&lt;0.05,1,0)*$B$1*$B$2</f>
        <v>0</v>
      </c>
      <c r="J647" s="14">
        <f ca="1">IF(H647&lt;0.05,1,0)*$B$1*$B$2</f>
        <v>0</v>
      </c>
      <c r="K647" s="15">
        <f t="shared" ca="1" si="106"/>
        <v>0</v>
      </c>
      <c r="P647" s="3">
        <v>643</v>
      </c>
      <c r="Q647" s="4">
        <f t="shared" ca="1" si="107"/>
        <v>0.14012077773186071</v>
      </c>
      <c r="R647" s="4">
        <f t="shared" ca="1" si="108"/>
        <v>0.94824675135580261</v>
      </c>
      <c r="S647" s="4">
        <f ca="1">$B$1*Q647*$B$2</f>
        <v>5.6048311092744285</v>
      </c>
      <c r="T647" s="4">
        <f ca="1">$B$1*R647*$B$2</f>
        <v>37.929870054232104</v>
      </c>
      <c r="U647" s="7">
        <f t="shared" ca="1" si="109"/>
        <v>43.534701163506533</v>
      </c>
    </row>
    <row r="648" spans="2:21" x14ac:dyDescent="0.3">
      <c r="B648" s="13">
        <f t="shared" ca="1" si="100"/>
        <v>0.33068494339850585</v>
      </c>
      <c r="C648" s="14">
        <f t="shared" ca="1" si="100"/>
        <v>0.623105813096688</v>
      </c>
      <c r="D648" s="14">
        <f t="shared" ca="1" si="101"/>
        <v>-0.43802261909016998</v>
      </c>
      <c r="E648" s="14">
        <f t="shared" ca="1" si="102"/>
        <v>0.31364803321088475</v>
      </c>
      <c r="F648" s="14">
        <f t="shared" ca="1" si="103"/>
        <v>-0.25750434912049947</v>
      </c>
      <c r="G648" s="14">
        <f t="shared" ca="1" si="104"/>
        <v>0.33068494339850579</v>
      </c>
      <c r="H648" s="15">
        <f t="shared" ca="1" si="105"/>
        <v>0.623105813096688</v>
      </c>
      <c r="I648" s="14">
        <f ca="1">IF(G648&lt;0.05,1,0)*$B$1*$B$2</f>
        <v>0</v>
      </c>
      <c r="J648" s="14">
        <f ca="1">IF(H648&lt;0.05,1,0)*$B$1*$B$2</f>
        <v>0</v>
      </c>
      <c r="K648" s="15">
        <f t="shared" ca="1" si="106"/>
        <v>0</v>
      </c>
      <c r="P648" s="3">
        <v>644</v>
      </c>
      <c r="Q648" s="4">
        <f t="shared" ca="1" si="107"/>
        <v>0.33068494339850579</v>
      </c>
      <c r="R648" s="4">
        <f t="shared" ca="1" si="108"/>
        <v>0.623105813096688</v>
      </c>
      <c r="S648" s="4">
        <f ca="1">$B$1*Q648*$B$2</f>
        <v>13.227397735940233</v>
      </c>
      <c r="T648" s="4">
        <f ca="1">$B$1*R648*$B$2</f>
        <v>24.92423252386752</v>
      </c>
      <c r="U648" s="7">
        <f t="shared" ca="1" si="109"/>
        <v>38.151630259807753</v>
      </c>
    </row>
    <row r="649" spans="2:21" x14ac:dyDescent="0.3">
      <c r="B649" s="13">
        <f t="shared" ca="1" si="100"/>
        <v>0.14050127538135893</v>
      </c>
      <c r="C649" s="14">
        <f t="shared" ca="1" si="100"/>
        <v>0.74479872701122884</v>
      </c>
      <c r="D649" s="14">
        <f t="shared" ca="1" si="101"/>
        <v>-1.0780699276598205</v>
      </c>
      <c r="E649" s="14">
        <f t="shared" ca="1" si="102"/>
        <v>0.65821101787374858</v>
      </c>
      <c r="F649" s="14">
        <f t="shared" ca="1" si="103"/>
        <v>-0.68335540385016702</v>
      </c>
      <c r="G649" s="14">
        <f t="shared" ca="1" si="104"/>
        <v>0.14050127538135884</v>
      </c>
      <c r="H649" s="15">
        <f t="shared" ca="1" si="105"/>
        <v>0.74479872701122884</v>
      </c>
      <c r="I649" s="14">
        <f ca="1">IF(G649&lt;0.05,1,0)*$B$1*$B$2</f>
        <v>0</v>
      </c>
      <c r="J649" s="14">
        <f ca="1">IF(H649&lt;0.05,1,0)*$B$1*$B$2</f>
        <v>0</v>
      </c>
      <c r="K649" s="15">
        <f t="shared" ca="1" si="106"/>
        <v>0</v>
      </c>
      <c r="P649" s="3">
        <v>645</v>
      </c>
      <c r="Q649" s="4">
        <f t="shared" ca="1" si="107"/>
        <v>0.14050127538135884</v>
      </c>
      <c r="R649" s="4">
        <f t="shared" ca="1" si="108"/>
        <v>0.74479872701122884</v>
      </c>
      <c r="S649" s="4">
        <f ca="1">$B$1*Q649*$B$2</f>
        <v>5.6200510152543544</v>
      </c>
      <c r="T649" s="4">
        <f ca="1">$B$1*R649*$B$2</f>
        <v>29.791949080449157</v>
      </c>
      <c r="U649" s="7">
        <f t="shared" ca="1" si="109"/>
        <v>35.412000095703512</v>
      </c>
    </row>
    <row r="650" spans="2:21" x14ac:dyDescent="0.3">
      <c r="B650" s="13">
        <f t="shared" ca="1" si="100"/>
        <v>0.68806736414412595</v>
      </c>
      <c r="C650" s="14">
        <f t="shared" ca="1" si="100"/>
        <v>0.55271947245837594</v>
      </c>
      <c r="D650" s="14">
        <f t="shared" ca="1" si="101"/>
        <v>0.49037965336861356</v>
      </c>
      <c r="E650" s="14">
        <f t="shared" ca="1" si="102"/>
        <v>0.1325351088761329</v>
      </c>
      <c r="F650" s="14">
        <f t="shared" ca="1" si="103"/>
        <v>0.49911240263797457</v>
      </c>
      <c r="G650" s="14">
        <f t="shared" ca="1" si="104"/>
        <v>0.68806736414412606</v>
      </c>
      <c r="H650" s="15">
        <f t="shared" ca="1" si="105"/>
        <v>0.55271947245837594</v>
      </c>
      <c r="I650" s="14">
        <f ca="1">IF(G650&lt;0.05,1,0)*$B$1*$B$2</f>
        <v>0</v>
      </c>
      <c r="J650" s="14">
        <f ca="1">IF(H650&lt;0.05,1,0)*$B$1*$B$2</f>
        <v>0</v>
      </c>
      <c r="K650" s="15">
        <f t="shared" ca="1" si="106"/>
        <v>0</v>
      </c>
      <c r="P650" s="3">
        <v>646</v>
      </c>
      <c r="Q650" s="4">
        <f t="shared" ca="1" si="107"/>
        <v>0.68806736414412606</v>
      </c>
      <c r="R650" s="4">
        <f t="shared" ca="1" si="108"/>
        <v>0.55271947245837594</v>
      </c>
      <c r="S650" s="4">
        <f ca="1">$B$1*Q650*$B$2</f>
        <v>27.522694565765047</v>
      </c>
      <c r="T650" s="4">
        <f ca="1">$B$1*R650*$B$2</f>
        <v>22.108778898335039</v>
      </c>
      <c r="U650" s="7">
        <f t="shared" ca="1" si="109"/>
        <v>49.631473464100083</v>
      </c>
    </row>
    <row r="651" spans="2:21" x14ac:dyDescent="0.3">
      <c r="B651" s="13">
        <f t="shared" ca="1" si="100"/>
        <v>0.57316952062578219</v>
      </c>
      <c r="C651" s="14">
        <f t="shared" ca="1" si="100"/>
        <v>0.42730690257240445</v>
      </c>
      <c r="D651" s="14">
        <f t="shared" ca="1" si="101"/>
        <v>0.18444934928076509</v>
      </c>
      <c r="E651" s="14">
        <f t="shared" ca="1" si="102"/>
        <v>-0.18323478086889766</v>
      </c>
      <c r="F651" s="14">
        <f t="shared" ca="1" si="103"/>
        <v>8.6134225077754117E-2</v>
      </c>
      <c r="G651" s="14">
        <f t="shared" ca="1" si="104"/>
        <v>0.5731695206257823</v>
      </c>
      <c r="H651" s="15">
        <f t="shared" ca="1" si="105"/>
        <v>0.42730690257240445</v>
      </c>
      <c r="I651" s="14">
        <f ca="1">IF(G651&lt;0.05,1,0)*$B$1*$B$2</f>
        <v>0</v>
      </c>
      <c r="J651" s="14">
        <f ca="1">IF(H651&lt;0.05,1,0)*$B$1*$B$2</f>
        <v>0</v>
      </c>
      <c r="K651" s="15">
        <f t="shared" ca="1" si="106"/>
        <v>0</v>
      </c>
      <c r="P651" s="3">
        <v>647</v>
      </c>
      <c r="Q651" s="4">
        <f t="shared" ca="1" si="107"/>
        <v>0.5731695206257823</v>
      </c>
      <c r="R651" s="4">
        <f t="shared" ca="1" si="108"/>
        <v>0.42730690257240445</v>
      </c>
      <c r="S651" s="4">
        <f ca="1">$B$1*Q651*$B$2</f>
        <v>22.926780825031294</v>
      </c>
      <c r="T651" s="4">
        <f ca="1">$B$1*R651*$B$2</f>
        <v>17.092276102896179</v>
      </c>
      <c r="U651" s="7">
        <f t="shared" ca="1" si="109"/>
        <v>40.019056927927473</v>
      </c>
    </row>
    <row r="652" spans="2:21" x14ac:dyDescent="0.3">
      <c r="B652" s="13">
        <f t="shared" ca="1" si="100"/>
        <v>0.27928144513803066</v>
      </c>
      <c r="C652" s="14">
        <f t="shared" ca="1" si="100"/>
        <v>0.74699223894168931</v>
      </c>
      <c r="D652" s="14">
        <f t="shared" ca="1" si="101"/>
        <v>-0.58497743390554269</v>
      </c>
      <c r="E652" s="14">
        <f t="shared" ca="1" si="102"/>
        <v>0.66505467682755215</v>
      </c>
      <c r="F652" s="14">
        <f t="shared" ca="1" si="103"/>
        <v>-0.2365890776929484</v>
      </c>
      <c r="G652" s="14">
        <f t="shared" ca="1" si="104"/>
        <v>0.27928144513803055</v>
      </c>
      <c r="H652" s="15">
        <f t="shared" ca="1" si="105"/>
        <v>0.74699223894168942</v>
      </c>
      <c r="I652" s="14">
        <f ca="1">IF(G652&lt;0.05,1,0)*$B$1*$B$2</f>
        <v>0</v>
      </c>
      <c r="J652" s="14">
        <f ca="1">IF(H652&lt;0.05,1,0)*$B$1*$B$2</f>
        <v>0</v>
      </c>
      <c r="K652" s="15">
        <f t="shared" ca="1" si="106"/>
        <v>0</v>
      </c>
      <c r="P652" s="3">
        <v>648</v>
      </c>
      <c r="Q652" s="4">
        <f t="shared" ca="1" si="107"/>
        <v>0.27928144513803055</v>
      </c>
      <c r="R652" s="4">
        <f t="shared" ca="1" si="108"/>
        <v>0.74699223894168942</v>
      </c>
      <c r="S652" s="4">
        <f ca="1">$B$1*Q652*$B$2</f>
        <v>11.171257805521222</v>
      </c>
      <c r="T652" s="4">
        <f ca="1">$B$1*R652*$B$2</f>
        <v>29.879689557667575</v>
      </c>
      <c r="U652" s="7">
        <f t="shared" ca="1" si="109"/>
        <v>41.050947363188797</v>
      </c>
    </row>
    <row r="653" spans="2:21" x14ac:dyDescent="0.3">
      <c r="B653" s="13">
        <f t="shared" ca="1" si="100"/>
        <v>0.50431030012846545</v>
      </c>
      <c r="C653" s="14">
        <f t="shared" ca="1" si="100"/>
        <v>0.83951772710886885</v>
      </c>
      <c r="D653" s="14">
        <f t="shared" ca="1" si="101"/>
        <v>1.0804530386799157E-2</v>
      </c>
      <c r="E653" s="14">
        <f t="shared" ca="1" si="102"/>
        <v>0.99247771358997428</v>
      </c>
      <c r="F653" s="14">
        <f t="shared" ca="1" si="103"/>
        <v>0.44233508307361941</v>
      </c>
      <c r="G653" s="14">
        <f t="shared" ca="1" si="104"/>
        <v>0.50431030012846545</v>
      </c>
      <c r="H653" s="15">
        <f t="shared" ca="1" si="105"/>
        <v>0.83951772710886841</v>
      </c>
      <c r="I653" s="14">
        <f ca="1">IF(G653&lt;0.05,1,0)*$B$1*$B$2</f>
        <v>0</v>
      </c>
      <c r="J653" s="14">
        <f ca="1">IF(H653&lt;0.05,1,0)*$B$1*$B$2</f>
        <v>0</v>
      </c>
      <c r="K653" s="15">
        <f t="shared" ca="1" si="106"/>
        <v>0</v>
      </c>
      <c r="P653" s="3">
        <v>649</v>
      </c>
      <c r="Q653" s="4">
        <f t="shared" ca="1" si="107"/>
        <v>0.50431030012846545</v>
      </c>
      <c r="R653" s="4">
        <f t="shared" ca="1" si="108"/>
        <v>0.83951772710886841</v>
      </c>
      <c r="S653" s="4">
        <f ca="1">$B$1*Q653*$B$2</f>
        <v>20.172412005138622</v>
      </c>
      <c r="T653" s="4">
        <f ca="1">$B$1*R653*$B$2</f>
        <v>33.580709084354737</v>
      </c>
      <c r="U653" s="7">
        <f t="shared" ca="1" si="109"/>
        <v>53.753121089493362</v>
      </c>
    </row>
    <row r="654" spans="2:21" x14ac:dyDescent="0.3">
      <c r="B654" s="13">
        <f t="shared" ca="1" si="100"/>
        <v>0.85991552283641526</v>
      </c>
      <c r="C654" s="14">
        <f t="shared" ca="1" si="100"/>
        <v>0.57472767651139489</v>
      </c>
      <c r="D654" s="14">
        <f t="shared" ca="1" si="101"/>
        <v>1.079939876802873</v>
      </c>
      <c r="E654" s="14">
        <f t="shared" ca="1" si="102"/>
        <v>0.1884235412126872</v>
      </c>
      <c r="F654" s="14">
        <f t="shared" ca="1" si="103"/>
        <v>1.0540778065956031</v>
      </c>
      <c r="G654" s="14">
        <f t="shared" ca="1" si="104"/>
        <v>0.85991552283641548</v>
      </c>
      <c r="H654" s="15">
        <f t="shared" ca="1" si="105"/>
        <v>0.57472767651139489</v>
      </c>
      <c r="I654" s="14">
        <f ca="1">IF(G654&lt;0.05,1,0)*$B$1*$B$2</f>
        <v>0</v>
      </c>
      <c r="J654" s="14">
        <f ca="1">IF(H654&lt;0.05,1,0)*$B$1*$B$2</f>
        <v>0</v>
      </c>
      <c r="K654" s="15">
        <f t="shared" ca="1" si="106"/>
        <v>0</v>
      </c>
      <c r="P654" s="3">
        <v>650</v>
      </c>
      <c r="Q654" s="4">
        <f t="shared" ca="1" si="107"/>
        <v>0.85991552283641548</v>
      </c>
      <c r="R654" s="4">
        <f t="shared" ca="1" si="108"/>
        <v>0.57472767651139489</v>
      </c>
      <c r="S654" s="4">
        <f ca="1">$B$1*Q654*$B$2</f>
        <v>34.396620913456623</v>
      </c>
      <c r="T654" s="4">
        <f ca="1">$B$1*R654*$B$2</f>
        <v>22.989107060455797</v>
      </c>
      <c r="U654" s="7">
        <f t="shared" ca="1" si="109"/>
        <v>57.385727973912424</v>
      </c>
    </row>
    <row r="655" spans="2:21" x14ac:dyDescent="0.3">
      <c r="B655" s="13">
        <f t="shared" ca="1" si="100"/>
        <v>0.4976431732411406</v>
      </c>
      <c r="C655" s="14">
        <f t="shared" ca="1" si="100"/>
        <v>7.147457363423193E-2</v>
      </c>
      <c r="D655" s="14">
        <f t="shared" ca="1" si="101"/>
        <v>-5.9077229564114203E-3</v>
      </c>
      <c r="E655" s="14">
        <f t="shared" ca="1" si="102"/>
        <v>-1.4648965388586765</v>
      </c>
      <c r="F655" s="14">
        <f t="shared" ca="1" si="103"/>
        <v>-0.64385054822351762</v>
      </c>
      <c r="G655" s="14">
        <f t="shared" ca="1" si="104"/>
        <v>0.4976431732411406</v>
      </c>
      <c r="H655" s="15">
        <f t="shared" ca="1" si="105"/>
        <v>7.1474573634231917E-2</v>
      </c>
      <c r="I655" s="14">
        <f ca="1">IF(G655&lt;0.05,1,0)*$B$1*$B$2</f>
        <v>0</v>
      </c>
      <c r="J655" s="14">
        <f ca="1">IF(H655&lt;0.05,1,0)*$B$1*$B$2</f>
        <v>0</v>
      </c>
      <c r="K655" s="15">
        <f t="shared" ca="1" si="106"/>
        <v>0</v>
      </c>
      <c r="P655" s="3">
        <v>651</v>
      </c>
      <c r="Q655" s="4">
        <f t="shared" ca="1" si="107"/>
        <v>0.4976431732411406</v>
      </c>
      <c r="R655" s="4">
        <f t="shared" ca="1" si="108"/>
        <v>7.1474573634231917E-2</v>
      </c>
      <c r="S655" s="4">
        <f ca="1">$B$1*Q655*$B$2</f>
        <v>19.905726929645624</v>
      </c>
      <c r="T655" s="4">
        <f ca="1">$B$1*R655*$B$2</f>
        <v>2.8589829453692768</v>
      </c>
      <c r="U655" s="7">
        <f t="shared" ca="1" si="109"/>
        <v>22.764709875014901</v>
      </c>
    </row>
    <row r="656" spans="2:21" x14ac:dyDescent="0.3">
      <c r="B656" s="13">
        <f t="shared" ca="1" si="100"/>
        <v>0.51572429443213497</v>
      </c>
      <c r="C656" s="14">
        <f t="shared" ca="1" si="100"/>
        <v>0.87805549505233571</v>
      </c>
      <c r="D656" s="14">
        <f t="shared" ca="1" si="101"/>
        <v>3.9425172022558755E-2</v>
      </c>
      <c r="E656" s="14">
        <f t="shared" ca="1" si="102"/>
        <v>1.1653211775815988</v>
      </c>
      <c r="F656" s="14">
        <f t="shared" ca="1" si="103"/>
        <v>0.54343437980490328</v>
      </c>
      <c r="G656" s="14">
        <f t="shared" ca="1" si="104"/>
        <v>0.51572429443213497</v>
      </c>
      <c r="H656" s="15">
        <f t="shared" ca="1" si="105"/>
        <v>0.87805549505233571</v>
      </c>
      <c r="I656" s="14">
        <f ca="1">IF(G656&lt;0.05,1,0)*$B$1*$B$2</f>
        <v>0</v>
      </c>
      <c r="J656" s="14">
        <f ca="1">IF(H656&lt;0.05,1,0)*$B$1*$B$2</f>
        <v>0</v>
      </c>
      <c r="K656" s="15">
        <f t="shared" ca="1" si="106"/>
        <v>0</v>
      </c>
      <c r="P656" s="3">
        <v>652</v>
      </c>
      <c r="Q656" s="4">
        <f t="shared" ca="1" si="107"/>
        <v>0.51572429443213497</v>
      </c>
      <c r="R656" s="4">
        <f t="shared" ca="1" si="108"/>
        <v>0.87805549505233571</v>
      </c>
      <c r="S656" s="4">
        <f ca="1">$B$1*Q656*$B$2</f>
        <v>20.6289717772854</v>
      </c>
      <c r="T656" s="4">
        <f ca="1">$B$1*R656*$B$2</f>
        <v>35.122219802093433</v>
      </c>
      <c r="U656" s="7">
        <f t="shared" ca="1" si="109"/>
        <v>55.751191579378833</v>
      </c>
    </row>
    <row r="657" spans="2:21" x14ac:dyDescent="0.3">
      <c r="B657" s="13">
        <f t="shared" ca="1" si="100"/>
        <v>0.90188728099817062</v>
      </c>
      <c r="C657" s="14">
        <f t="shared" ca="1" si="100"/>
        <v>0.99874872928994884</v>
      </c>
      <c r="D657" s="14">
        <f t="shared" ca="1" si="101"/>
        <v>1.292380408523595</v>
      </c>
      <c r="E657" s="14">
        <f t="shared" ca="1" si="102"/>
        <v>3.0230339793373449</v>
      </c>
      <c r="F657" s="14">
        <f t="shared" ca="1" si="103"/>
        <v>2.4808523295533464</v>
      </c>
      <c r="G657" s="14">
        <f t="shared" ca="1" si="104"/>
        <v>0.90188728099817062</v>
      </c>
      <c r="H657" s="15">
        <f t="shared" ca="1" si="105"/>
        <v>0.99874872928994884</v>
      </c>
      <c r="I657" s="14">
        <f ca="1">IF(G657&lt;0.05,1,0)*$B$1*$B$2</f>
        <v>0</v>
      </c>
      <c r="J657" s="14">
        <f ca="1">IF(H657&lt;0.05,1,0)*$B$1*$B$2</f>
        <v>0</v>
      </c>
      <c r="K657" s="15">
        <f t="shared" ca="1" si="106"/>
        <v>0</v>
      </c>
      <c r="P657" s="3">
        <v>653</v>
      </c>
      <c r="Q657" s="4">
        <f t="shared" ca="1" si="107"/>
        <v>0.90188728099817062</v>
      </c>
      <c r="R657" s="4">
        <f t="shared" ca="1" si="108"/>
        <v>0.99874872928994884</v>
      </c>
      <c r="S657" s="4">
        <f ca="1">$B$1*Q657*$B$2</f>
        <v>36.075491239926826</v>
      </c>
      <c r="T657" s="4">
        <f ca="1">$B$1*R657*$B$2</f>
        <v>39.949949171597957</v>
      </c>
      <c r="U657" s="7">
        <f t="shared" ca="1" si="109"/>
        <v>76.025440411524784</v>
      </c>
    </row>
    <row r="658" spans="2:21" x14ac:dyDescent="0.3">
      <c r="B658" s="13">
        <f t="shared" ca="1" si="100"/>
        <v>0.57311052516353889</v>
      </c>
      <c r="C658" s="14">
        <f t="shared" ca="1" si="100"/>
        <v>0.68522595640967698</v>
      </c>
      <c r="D658" s="14">
        <f t="shared" ca="1" si="101"/>
        <v>0.18429893460634456</v>
      </c>
      <c r="E658" s="14">
        <f t="shared" ca="1" si="102"/>
        <v>0.48236301862113035</v>
      </c>
      <c r="F658" s="14">
        <f t="shared" ca="1" si="103"/>
        <v>0.3761262063727836</v>
      </c>
      <c r="G658" s="14">
        <f t="shared" ca="1" si="104"/>
        <v>0.57311052516353889</v>
      </c>
      <c r="H658" s="15">
        <f t="shared" ca="1" si="105"/>
        <v>0.68522595640967698</v>
      </c>
      <c r="I658" s="14">
        <f ca="1">IF(G658&lt;0.05,1,0)*$B$1*$B$2</f>
        <v>0</v>
      </c>
      <c r="J658" s="14">
        <f ca="1">IF(H658&lt;0.05,1,0)*$B$1*$B$2</f>
        <v>0</v>
      </c>
      <c r="K658" s="15">
        <f t="shared" ca="1" si="106"/>
        <v>0</v>
      </c>
      <c r="P658" s="3">
        <v>654</v>
      </c>
      <c r="Q658" s="4">
        <f t="shared" ca="1" si="107"/>
        <v>0.57311052516353889</v>
      </c>
      <c r="R658" s="4">
        <f t="shared" ca="1" si="108"/>
        <v>0.68522595640967698</v>
      </c>
      <c r="S658" s="4">
        <f ca="1">$B$1*Q658*$B$2</f>
        <v>22.924421006541557</v>
      </c>
      <c r="T658" s="4">
        <f ca="1">$B$1*R658*$B$2</f>
        <v>27.409038256387078</v>
      </c>
      <c r="U658" s="7">
        <f t="shared" ca="1" si="109"/>
        <v>50.333459262928635</v>
      </c>
    </row>
    <row r="659" spans="2:21" x14ac:dyDescent="0.3">
      <c r="B659" s="13">
        <f t="shared" ca="1" si="100"/>
        <v>0.90863634520075165</v>
      </c>
      <c r="C659" s="14">
        <f t="shared" ca="1" si="100"/>
        <v>0.31659394840069099</v>
      </c>
      <c r="D659" s="14">
        <f t="shared" ca="1" si="101"/>
        <v>1.3324044835524822</v>
      </c>
      <c r="E659" s="14">
        <f t="shared" ca="1" si="102"/>
        <v>-0.47724468235271966</v>
      </c>
      <c r="F659" s="14">
        <f t="shared" ca="1" si="103"/>
        <v>0.99113790102546651</v>
      </c>
      <c r="G659" s="14">
        <f t="shared" ca="1" si="104"/>
        <v>0.90863634520075176</v>
      </c>
      <c r="H659" s="15">
        <f t="shared" ca="1" si="105"/>
        <v>0.31659394840069094</v>
      </c>
      <c r="I659" s="14">
        <f ca="1">IF(G659&lt;0.05,1,0)*$B$1*$B$2</f>
        <v>0</v>
      </c>
      <c r="J659" s="14">
        <f ca="1">IF(H659&lt;0.05,1,0)*$B$1*$B$2</f>
        <v>0</v>
      </c>
      <c r="K659" s="15">
        <f t="shared" ca="1" si="106"/>
        <v>0</v>
      </c>
      <c r="P659" s="3">
        <v>655</v>
      </c>
      <c r="Q659" s="4">
        <f t="shared" ca="1" si="107"/>
        <v>0.90863634520075176</v>
      </c>
      <c r="R659" s="4">
        <f t="shared" ca="1" si="108"/>
        <v>0.31659394840069094</v>
      </c>
      <c r="S659" s="4">
        <f ca="1">$B$1*Q659*$B$2</f>
        <v>36.345453808030072</v>
      </c>
      <c r="T659" s="4">
        <f ca="1">$B$1*R659*$B$2</f>
        <v>12.663757936027638</v>
      </c>
      <c r="U659" s="7">
        <f t="shared" ca="1" si="109"/>
        <v>49.009211744057708</v>
      </c>
    </row>
    <row r="660" spans="2:21" x14ac:dyDescent="0.3">
      <c r="B660" s="13">
        <f t="shared" ca="1" si="100"/>
        <v>1.0553069702077145E-2</v>
      </c>
      <c r="C660" s="14">
        <f t="shared" ca="1" si="100"/>
        <v>0.47950347972175533</v>
      </c>
      <c r="D660" s="14">
        <f t="shared" ca="1" si="101"/>
        <v>-2.3060804155408641</v>
      </c>
      <c r="E660" s="14">
        <f t="shared" ca="1" si="102"/>
        <v>-5.1399780795871687E-2</v>
      </c>
      <c r="F660" s="14">
        <f t="shared" ca="1" si="103"/>
        <v>-2.0978770190077123</v>
      </c>
      <c r="G660" s="14">
        <f t="shared" ca="1" si="104"/>
        <v>1.0553069702077155E-2</v>
      </c>
      <c r="H660" s="15">
        <f t="shared" ca="1" si="105"/>
        <v>0.47950347972175533</v>
      </c>
      <c r="I660" s="14">
        <f ca="1">IF(G660&lt;0.05,1,0)*$B$1*$B$2</f>
        <v>40</v>
      </c>
      <c r="J660" s="14">
        <f ca="1">IF(H660&lt;0.05,1,0)*$B$1*$B$2</f>
        <v>0</v>
      </c>
      <c r="K660" s="15">
        <f t="shared" ca="1" si="106"/>
        <v>40</v>
      </c>
      <c r="P660" s="3">
        <v>656</v>
      </c>
      <c r="Q660" s="4">
        <f t="shared" ca="1" si="107"/>
        <v>1.0553069702077155E-2</v>
      </c>
      <c r="R660" s="4">
        <f t="shared" ca="1" si="108"/>
        <v>0.47950347972175533</v>
      </c>
      <c r="S660" s="4">
        <f ca="1">$B$1*Q660*$B$2</f>
        <v>0.42212278808308623</v>
      </c>
      <c r="T660" s="4">
        <f ca="1">$B$1*R660*$B$2</f>
        <v>19.180139188870214</v>
      </c>
      <c r="U660" s="7">
        <f t="shared" ca="1" si="109"/>
        <v>19.602261976953301</v>
      </c>
    </row>
    <row r="661" spans="2:21" x14ac:dyDescent="0.3">
      <c r="B661" s="13">
        <f t="shared" ca="1" si="100"/>
        <v>0.55201568328789841</v>
      </c>
      <c r="C661" s="14">
        <f t="shared" ca="1" si="100"/>
        <v>0.58273342570498099</v>
      </c>
      <c r="D661" s="14">
        <f t="shared" ca="1" si="101"/>
        <v>0.13075561769122129</v>
      </c>
      <c r="E661" s="14">
        <f t="shared" ca="1" si="102"/>
        <v>0.20889123255764536</v>
      </c>
      <c r="F661" s="14">
        <f t="shared" ca="1" si="103"/>
        <v>0.20873363321314209</v>
      </c>
      <c r="G661" s="14">
        <f t="shared" ca="1" si="104"/>
        <v>0.55201568328789841</v>
      </c>
      <c r="H661" s="15">
        <f t="shared" ca="1" si="105"/>
        <v>0.58273342570498099</v>
      </c>
      <c r="I661" s="14">
        <f ca="1">IF(G661&lt;0.05,1,0)*$B$1*$B$2</f>
        <v>0</v>
      </c>
      <c r="J661" s="14">
        <f ca="1">IF(H661&lt;0.05,1,0)*$B$1*$B$2</f>
        <v>0</v>
      </c>
      <c r="K661" s="15">
        <f t="shared" ca="1" si="106"/>
        <v>0</v>
      </c>
      <c r="P661" s="3">
        <v>657</v>
      </c>
      <c r="Q661" s="4">
        <f t="shared" ca="1" si="107"/>
        <v>0.55201568328789841</v>
      </c>
      <c r="R661" s="4">
        <f t="shared" ca="1" si="108"/>
        <v>0.58273342570498099</v>
      </c>
      <c r="S661" s="4">
        <f ca="1">$B$1*Q661*$B$2</f>
        <v>22.080627331515938</v>
      </c>
      <c r="T661" s="4">
        <f ca="1">$B$1*R661*$B$2</f>
        <v>23.309337028199241</v>
      </c>
      <c r="U661" s="7">
        <f t="shared" ca="1" si="109"/>
        <v>45.389964359715179</v>
      </c>
    </row>
    <row r="662" spans="2:21" x14ac:dyDescent="0.3">
      <c r="B662" s="13">
        <f t="shared" ca="1" si="100"/>
        <v>0.77849726157959009</v>
      </c>
      <c r="C662" s="14">
        <f t="shared" ca="1" si="100"/>
        <v>0.3895533178953704</v>
      </c>
      <c r="D662" s="14">
        <f t="shared" ca="1" si="101"/>
        <v>0.76712789724096975</v>
      </c>
      <c r="E662" s="14">
        <f t="shared" ca="1" si="102"/>
        <v>-0.280483430825825</v>
      </c>
      <c r="F662" s="14">
        <f t="shared" ca="1" si="103"/>
        <v>0.56815521448613748</v>
      </c>
      <c r="G662" s="14">
        <f t="shared" ca="1" si="104"/>
        <v>0.77849726157958998</v>
      </c>
      <c r="H662" s="15">
        <f t="shared" ca="1" si="105"/>
        <v>0.38955331789537034</v>
      </c>
      <c r="I662" s="14">
        <f ca="1">IF(G662&lt;0.05,1,0)*$B$1*$B$2</f>
        <v>0</v>
      </c>
      <c r="J662" s="14">
        <f ca="1">IF(H662&lt;0.05,1,0)*$B$1*$B$2</f>
        <v>0</v>
      </c>
      <c r="K662" s="15">
        <f t="shared" ca="1" si="106"/>
        <v>0</v>
      </c>
      <c r="P662" s="3">
        <v>658</v>
      </c>
      <c r="Q662" s="4">
        <f t="shared" ca="1" si="107"/>
        <v>0.77849726157958998</v>
      </c>
      <c r="R662" s="4">
        <f t="shared" ca="1" si="108"/>
        <v>0.38955331789537034</v>
      </c>
      <c r="S662" s="4">
        <f ca="1">$B$1*Q662*$B$2</f>
        <v>31.139890463183601</v>
      </c>
      <c r="T662" s="4">
        <f ca="1">$B$1*R662*$B$2</f>
        <v>15.582132715814815</v>
      </c>
      <c r="U662" s="7">
        <f t="shared" ca="1" si="109"/>
        <v>46.722023178998413</v>
      </c>
    </row>
    <row r="663" spans="2:21" x14ac:dyDescent="0.3">
      <c r="B663" s="13">
        <f t="shared" ca="1" si="100"/>
        <v>0.71243815811976707</v>
      </c>
      <c r="C663" s="14">
        <f t="shared" ca="1" si="100"/>
        <v>0.35032091740476423</v>
      </c>
      <c r="D663" s="14">
        <f t="shared" ca="1" si="101"/>
        <v>0.56052163951176326</v>
      </c>
      <c r="E663" s="14">
        <f t="shared" ca="1" si="102"/>
        <v>-0.38445420088152005</v>
      </c>
      <c r="F663" s="14">
        <f t="shared" ca="1" si="103"/>
        <v>0.33688977455436386</v>
      </c>
      <c r="G663" s="14">
        <f t="shared" ca="1" si="104"/>
        <v>0.71243815811976718</v>
      </c>
      <c r="H663" s="15">
        <f t="shared" ca="1" si="105"/>
        <v>0.35032091740476412</v>
      </c>
      <c r="I663" s="14">
        <f ca="1">IF(G663&lt;0.05,1,0)*$B$1*$B$2</f>
        <v>0</v>
      </c>
      <c r="J663" s="14">
        <f ca="1">IF(H663&lt;0.05,1,0)*$B$1*$B$2</f>
        <v>0</v>
      </c>
      <c r="K663" s="15">
        <f t="shared" ca="1" si="106"/>
        <v>0</v>
      </c>
      <c r="P663" s="3">
        <v>659</v>
      </c>
      <c r="Q663" s="4">
        <f t="shared" ca="1" si="107"/>
        <v>0.71243815811976718</v>
      </c>
      <c r="R663" s="4">
        <f t="shared" ca="1" si="108"/>
        <v>0.35032091740476412</v>
      </c>
      <c r="S663" s="4">
        <f ca="1">$B$1*Q663*$B$2</f>
        <v>28.497526324790687</v>
      </c>
      <c r="T663" s="4">
        <f ca="1">$B$1*R663*$B$2</f>
        <v>14.012836696190565</v>
      </c>
      <c r="U663" s="7">
        <f t="shared" ca="1" si="109"/>
        <v>42.510363020981252</v>
      </c>
    </row>
    <row r="664" spans="2:21" x14ac:dyDescent="0.3">
      <c r="B664" s="13">
        <f t="shared" ca="1" si="100"/>
        <v>0.79384785387333689</v>
      </c>
      <c r="C664" s="14">
        <f t="shared" ca="1" si="100"/>
        <v>0.85944426277159136</v>
      </c>
      <c r="D664" s="14">
        <f t="shared" ca="1" si="101"/>
        <v>0.8198453188743976</v>
      </c>
      <c r="E664" s="14">
        <f t="shared" ca="1" si="102"/>
        <v>1.0778258650551709</v>
      </c>
      <c r="F664" s="14">
        <f t="shared" ca="1" si="103"/>
        <v>1.2076741894379375</v>
      </c>
      <c r="G664" s="14">
        <f t="shared" ca="1" si="104"/>
        <v>0.79384785387333678</v>
      </c>
      <c r="H664" s="15">
        <f t="shared" ca="1" si="105"/>
        <v>0.85944426277159147</v>
      </c>
      <c r="I664" s="14">
        <f ca="1">IF(G664&lt;0.05,1,0)*$B$1*$B$2</f>
        <v>0</v>
      </c>
      <c r="J664" s="14">
        <f ca="1">IF(H664&lt;0.05,1,0)*$B$1*$B$2</f>
        <v>0</v>
      </c>
      <c r="K664" s="15">
        <f t="shared" ca="1" si="106"/>
        <v>0</v>
      </c>
      <c r="P664" s="3">
        <v>660</v>
      </c>
      <c r="Q664" s="4">
        <f t="shared" ca="1" si="107"/>
        <v>0.79384785387333678</v>
      </c>
      <c r="R664" s="4">
        <f t="shared" ca="1" si="108"/>
        <v>0.85944426277159147</v>
      </c>
      <c r="S664" s="4">
        <f ca="1">$B$1*Q664*$B$2</f>
        <v>31.753914154933472</v>
      </c>
      <c r="T664" s="4">
        <f ca="1">$B$1*R664*$B$2</f>
        <v>34.377770510863662</v>
      </c>
      <c r="U664" s="7">
        <f t="shared" ca="1" si="109"/>
        <v>66.131684665797138</v>
      </c>
    </row>
    <row r="665" spans="2:21" x14ac:dyDescent="0.3">
      <c r="B665" s="13">
        <f t="shared" ca="1" si="100"/>
        <v>0.22857766445952021</v>
      </c>
      <c r="C665" s="14">
        <f t="shared" ca="1" si="100"/>
        <v>0.52854420739835328</v>
      </c>
      <c r="D665" s="14">
        <f t="shared" ca="1" si="101"/>
        <v>-0.74353914860981218</v>
      </c>
      <c r="E665" s="14">
        <f t="shared" ca="1" si="102"/>
        <v>7.1610875120083517E-2</v>
      </c>
      <c r="F665" s="14">
        <f t="shared" ca="1" si="103"/>
        <v>-0.63797077695813553</v>
      </c>
      <c r="G665" s="14">
        <f t="shared" ca="1" si="104"/>
        <v>0.22857766445952007</v>
      </c>
      <c r="H665" s="15">
        <f t="shared" ca="1" si="105"/>
        <v>0.52854420739835328</v>
      </c>
      <c r="I665" s="14">
        <f ca="1">IF(G665&lt;0.05,1,0)*$B$1*$B$2</f>
        <v>0</v>
      </c>
      <c r="J665" s="14">
        <f ca="1">IF(H665&lt;0.05,1,0)*$B$1*$B$2</f>
        <v>0</v>
      </c>
      <c r="K665" s="15">
        <f t="shared" ca="1" si="106"/>
        <v>0</v>
      </c>
      <c r="P665" s="3">
        <v>661</v>
      </c>
      <c r="Q665" s="4">
        <f t="shared" ca="1" si="107"/>
        <v>0.22857766445952007</v>
      </c>
      <c r="R665" s="4">
        <f t="shared" ca="1" si="108"/>
        <v>0.52854420739835328</v>
      </c>
      <c r="S665" s="4">
        <f ca="1">$B$1*Q665*$B$2</f>
        <v>9.1431065783808023</v>
      </c>
      <c r="T665" s="4">
        <f ca="1">$B$1*R665*$B$2</f>
        <v>21.141768295934131</v>
      </c>
      <c r="U665" s="7">
        <f t="shared" ca="1" si="109"/>
        <v>30.284874874314934</v>
      </c>
    </row>
    <row r="666" spans="2:21" x14ac:dyDescent="0.3">
      <c r="B666" s="13">
        <f t="shared" ca="1" si="100"/>
        <v>0.72952994111971414</v>
      </c>
      <c r="C666" s="14">
        <f t="shared" ca="1" si="100"/>
        <v>0.11746147015509933</v>
      </c>
      <c r="D666" s="14">
        <f t="shared" ca="1" si="101"/>
        <v>0.61139196949548935</v>
      </c>
      <c r="E666" s="14">
        <f t="shared" ca="1" si="102"/>
        <v>-1.1877727822050266</v>
      </c>
      <c r="F666" s="14">
        <f t="shared" ca="1" si="103"/>
        <v>3.2514619993954774E-2</v>
      </c>
      <c r="G666" s="14">
        <f t="shared" ca="1" si="104"/>
        <v>0.72952994111971414</v>
      </c>
      <c r="H666" s="15">
        <f t="shared" ca="1" si="105"/>
        <v>0.11746147015509938</v>
      </c>
      <c r="I666" s="14">
        <f ca="1">IF(G666&lt;0.05,1,0)*$B$1*$B$2</f>
        <v>0</v>
      </c>
      <c r="J666" s="14">
        <f ca="1">IF(H666&lt;0.05,1,0)*$B$1*$B$2</f>
        <v>0</v>
      </c>
      <c r="K666" s="15">
        <f t="shared" ca="1" si="106"/>
        <v>0</v>
      </c>
      <c r="P666" s="3">
        <v>662</v>
      </c>
      <c r="Q666" s="4">
        <f t="shared" ca="1" si="107"/>
        <v>0.72952994111971414</v>
      </c>
      <c r="R666" s="4">
        <f t="shared" ca="1" si="108"/>
        <v>0.11746147015509938</v>
      </c>
      <c r="S666" s="4">
        <f ca="1">$B$1*Q666*$B$2</f>
        <v>29.181197644788568</v>
      </c>
      <c r="T666" s="4">
        <f ca="1">$B$1*R666*$B$2</f>
        <v>4.6984588062039752</v>
      </c>
      <c r="U666" s="7">
        <f t="shared" ca="1" si="109"/>
        <v>33.879656450992542</v>
      </c>
    </row>
    <row r="667" spans="2:21" x14ac:dyDescent="0.3">
      <c r="B667" s="13">
        <f t="shared" ca="1" si="100"/>
        <v>0.93560814926501668</v>
      </c>
      <c r="C667" s="14">
        <f t="shared" ca="1" si="100"/>
        <v>0.67767637829311256</v>
      </c>
      <c r="D667" s="14">
        <f t="shared" ca="1" si="101"/>
        <v>1.5189157601452794</v>
      </c>
      <c r="E667" s="14">
        <f t="shared" ca="1" si="102"/>
        <v>0.46121098198546207</v>
      </c>
      <c r="F667" s="14">
        <f t="shared" ca="1" si="103"/>
        <v>1.5680613903433303</v>
      </c>
      <c r="G667" s="14">
        <f t="shared" ca="1" si="104"/>
        <v>0.93560814926501668</v>
      </c>
      <c r="H667" s="15">
        <f t="shared" ca="1" si="105"/>
        <v>0.67767637829311267</v>
      </c>
      <c r="I667" s="14">
        <f ca="1">IF(G667&lt;0.05,1,0)*$B$1*$B$2</f>
        <v>0</v>
      </c>
      <c r="J667" s="14">
        <f ca="1">IF(H667&lt;0.05,1,0)*$B$1*$B$2</f>
        <v>0</v>
      </c>
      <c r="K667" s="15">
        <f t="shared" ca="1" si="106"/>
        <v>0</v>
      </c>
      <c r="P667" s="3">
        <v>663</v>
      </c>
      <c r="Q667" s="4">
        <f t="shared" ca="1" si="107"/>
        <v>0.93560814926501668</v>
      </c>
      <c r="R667" s="4">
        <f t="shared" ca="1" si="108"/>
        <v>0.67767637829311267</v>
      </c>
      <c r="S667" s="4">
        <f ca="1">$B$1*Q667*$B$2</f>
        <v>37.42432597060067</v>
      </c>
      <c r="T667" s="4">
        <f ca="1">$B$1*R667*$B$2</f>
        <v>27.107055131724508</v>
      </c>
      <c r="U667" s="7">
        <f t="shared" ca="1" si="109"/>
        <v>64.531381102325184</v>
      </c>
    </row>
    <row r="668" spans="2:21" x14ac:dyDescent="0.3">
      <c r="B668" s="13">
        <f t="shared" ca="1" si="100"/>
        <v>0.85088847106740895</v>
      </c>
      <c r="C668" s="14">
        <f t="shared" ca="1" si="100"/>
        <v>0.75827440288403258</v>
      </c>
      <c r="D668" s="14">
        <f t="shared" ca="1" si="101"/>
        <v>1.0402515273091189</v>
      </c>
      <c r="E668" s="14">
        <f t="shared" ca="1" si="102"/>
        <v>0.70076258022087123</v>
      </c>
      <c r="F668" s="14">
        <f t="shared" ca="1" si="103"/>
        <v>1.2416817016379662</v>
      </c>
      <c r="G668" s="14">
        <f t="shared" ca="1" si="104"/>
        <v>0.85088847106740872</v>
      </c>
      <c r="H668" s="15">
        <f t="shared" ca="1" si="105"/>
        <v>0.75827440288403258</v>
      </c>
      <c r="I668" s="14">
        <f ca="1">IF(G668&lt;0.05,1,0)*$B$1*$B$2</f>
        <v>0</v>
      </c>
      <c r="J668" s="14">
        <f ca="1">IF(H668&lt;0.05,1,0)*$B$1*$B$2</f>
        <v>0</v>
      </c>
      <c r="K668" s="15">
        <f t="shared" ca="1" si="106"/>
        <v>0</v>
      </c>
      <c r="P668" s="3">
        <v>664</v>
      </c>
      <c r="Q668" s="4">
        <f t="shared" ca="1" si="107"/>
        <v>0.85088847106740872</v>
      </c>
      <c r="R668" s="4">
        <f t="shared" ca="1" si="108"/>
        <v>0.75827440288403258</v>
      </c>
      <c r="S668" s="4">
        <f ca="1">$B$1*Q668*$B$2</f>
        <v>34.035538842696347</v>
      </c>
      <c r="T668" s="4">
        <f ca="1">$B$1*R668*$B$2</f>
        <v>30.330976115361302</v>
      </c>
      <c r="U668" s="7">
        <f t="shared" ca="1" si="109"/>
        <v>64.36651495805765</v>
      </c>
    </row>
    <row r="669" spans="2:21" x14ac:dyDescent="0.3">
      <c r="B669" s="13">
        <f t="shared" ca="1" si="100"/>
        <v>0.45663414490452436</v>
      </c>
      <c r="C669" s="14">
        <f t="shared" ca="1" si="100"/>
        <v>0.73544608142654955</v>
      </c>
      <c r="D669" s="14">
        <f t="shared" ca="1" si="101"/>
        <v>-0.10891704160930622</v>
      </c>
      <c r="E669" s="14">
        <f t="shared" ca="1" si="102"/>
        <v>0.62936849725978472</v>
      </c>
      <c r="F669" s="14">
        <f t="shared" ca="1" si="103"/>
        <v>0.17631003033197001</v>
      </c>
      <c r="G669" s="14">
        <f t="shared" ca="1" si="104"/>
        <v>0.45663414490452436</v>
      </c>
      <c r="H669" s="15">
        <f t="shared" ca="1" si="105"/>
        <v>0.73544608142654955</v>
      </c>
      <c r="I669" s="14">
        <f ca="1">IF(G669&lt;0.05,1,0)*$B$1*$B$2</f>
        <v>0</v>
      </c>
      <c r="J669" s="14">
        <f ca="1">IF(H669&lt;0.05,1,0)*$B$1*$B$2</f>
        <v>0</v>
      </c>
      <c r="K669" s="15">
        <f t="shared" ca="1" si="106"/>
        <v>0</v>
      </c>
      <c r="P669" s="3">
        <v>665</v>
      </c>
      <c r="Q669" s="4">
        <f t="shared" ca="1" si="107"/>
        <v>0.45663414490452436</v>
      </c>
      <c r="R669" s="4">
        <f t="shared" ca="1" si="108"/>
        <v>0.73544608142654955</v>
      </c>
      <c r="S669" s="4">
        <f ca="1">$B$1*Q669*$B$2</f>
        <v>18.265365796180976</v>
      </c>
      <c r="T669" s="4">
        <f ca="1">$B$1*R669*$B$2</f>
        <v>29.417843257061982</v>
      </c>
      <c r="U669" s="7">
        <f t="shared" ca="1" si="109"/>
        <v>47.683209053242962</v>
      </c>
    </row>
    <row r="670" spans="2:21" x14ac:dyDescent="0.3">
      <c r="B670" s="13">
        <f t="shared" ca="1" si="100"/>
        <v>0.51768744070172068</v>
      </c>
      <c r="C670" s="14">
        <f t="shared" ca="1" si="100"/>
        <v>0.1829014527500602</v>
      </c>
      <c r="D670" s="14">
        <f t="shared" ca="1" si="101"/>
        <v>4.435037388328332E-2</v>
      </c>
      <c r="E670" s="14">
        <f t="shared" ca="1" si="102"/>
        <v>-0.90436308547803634</v>
      </c>
      <c r="F670" s="14">
        <f t="shared" ca="1" si="103"/>
        <v>-0.3542873932917846</v>
      </c>
      <c r="G670" s="14">
        <f t="shared" ca="1" si="104"/>
        <v>0.51768744070172068</v>
      </c>
      <c r="H670" s="15">
        <f t="shared" ca="1" si="105"/>
        <v>0.18290145275006028</v>
      </c>
      <c r="I670" s="14">
        <f ca="1">IF(G670&lt;0.05,1,0)*$B$1*$B$2</f>
        <v>0</v>
      </c>
      <c r="J670" s="14">
        <f ca="1">IF(H670&lt;0.05,1,0)*$B$1*$B$2</f>
        <v>0</v>
      </c>
      <c r="K670" s="15">
        <f t="shared" ca="1" si="106"/>
        <v>0</v>
      </c>
      <c r="P670" s="3">
        <v>666</v>
      </c>
      <c r="Q670" s="4">
        <f t="shared" ca="1" si="107"/>
        <v>0.51768744070172068</v>
      </c>
      <c r="R670" s="4">
        <f t="shared" ca="1" si="108"/>
        <v>0.18290145275006028</v>
      </c>
      <c r="S670" s="4">
        <f ca="1">$B$1*Q670*$B$2</f>
        <v>20.707497628068829</v>
      </c>
      <c r="T670" s="4">
        <f ca="1">$B$1*R670*$B$2</f>
        <v>7.3160581100024125</v>
      </c>
      <c r="U670" s="7">
        <f t="shared" ca="1" si="109"/>
        <v>28.023555738071241</v>
      </c>
    </row>
    <row r="671" spans="2:21" x14ac:dyDescent="0.3">
      <c r="B671" s="13">
        <f t="shared" ca="1" si="100"/>
        <v>0.38435029371798302</v>
      </c>
      <c r="C671" s="14">
        <f t="shared" ca="1" si="100"/>
        <v>0.82499371477360306</v>
      </c>
      <c r="D671" s="14">
        <f t="shared" ca="1" si="101"/>
        <v>-0.29407500832255007</v>
      </c>
      <c r="E671" s="14">
        <f t="shared" ca="1" si="102"/>
        <v>0.93456490877067433</v>
      </c>
      <c r="F671" s="14">
        <f t="shared" ca="1" si="103"/>
        <v>0.1426998918607727</v>
      </c>
      <c r="G671" s="14">
        <f t="shared" ca="1" si="104"/>
        <v>0.38435029371798302</v>
      </c>
      <c r="H671" s="15">
        <f t="shared" ca="1" si="105"/>
        <v>0.82499371477360273</v>
      </c>
      <c r="I671" s="14">
        <f ca="1">IF(G671&lt;0.05,1,0)*$B$1*$B$2</f>
        <v>0</v>
      </c>
      <c r="J671" s="14">
        <f ca="1">IF(H671&lt;0.05,1,0)*$B$1*$B$2</f>
        <v>0</v>
      </c>
      <c r="K671" s="15">
        <f t="shared" ca="1" si="106"/>
        <v>0</v>
      </c>
      <c r="P671" s="3">
        <v>667</v>
      </c>
      <c r="Q671" s="4">
        <f t="shared" ca="1" si="107"/>
        <v>0.38435029371798302</v>
      </c>
      <c r="R671" s="4">
        <f t="shared" ca="1" si="108"/>
        <v>0.82499371477360273</v>
      </c>
      <c r="S671" s="4">
        <f ca="1">$B$1*Q671*$B$2</f>
        <v>15.374011748719321</v>
      </c>
      <c r="T671" s="4">
        <f ca="1">$B$1*R671*$B$2</f>
        <v>32.999748590944108</v>
      </c>
      <c r="U671" s="7">
        <f t="shared" ca="1" si="109"/>
        <v>48.373760339663427</v>
      </c>
    </row>
    <row r="672" spans="2:21" x14ac:dyDescent="0.3">
      <c r="B672" s="13">
        <f t="shared" ca="1" si="100"/>
        <v>6.4199202466929117E-2</v>
      </c>
      <c r="C672" s="14">
        <f t="shared" ca="1" si="100"/>
        <v>0.74608813412705322</v>
      </c>
      <c r="D672" s="14">
        <f t="shared" ca="1" si="101"/>
        <v>-1.520448053834746</v>
      </c>
      <c r="E672" s="14">
        <f t="shared" ca="1" si="102"/>
        <v>0.66223015420504661</v>
      </c>
      <c r="F672" s="14">
        <f t="shared" ca="1" si="103"/>
        <v>-1.0797438164967559</v>
      </c>
      <c r="G672" s="14">
        <f t="shared" ca="1" si="104"/>
        <v>6.4199202466929103E-2</v>
      </c>
      <c r="H672" s="15">
        <f t="shared" ca="1" si="105"/>
        <v>0.74608813412705333</v>
      </c>
      <c r="I672" s="14">
        <f ca="1">IF(G672&lt;0.05,1,0)*$B$1*$B$2</f>
        <v>0</v>
      </c>
      <c r="J672" s="14">
        <f ca="1">IF(H672&lt;0.05,1,0)*$B$1*$B$2</f>
        <v>0</v>
      </c>
      <c r="K672" s="15">
        <f t="shared" ca="1" si="106"/>
        <v>0</v>
      </c>
      <c r="P672" s="3">
        <v>668</v>
      </c>
      <c r="Q672" s="4">
        <f t="shared" ca="1" si="107"/>
        <v>6.4199202466929103E-2</v>
      </c>
      <c r="R672" s="4">
        <f t="shared" ca="1" si="108"/>
        <v>0.74608813412705333</v>
      </c>
      <c r="S672" s="4">
        <f ca="1">$B$1*Q672*$B$2</f>
        <v>2.5679680986771642</v>
      </c>
      <c r="T672" s="4">
        <f ca="1">$B$1*R672*$B$2</f>
        <v>29.843525365082133</v>
      </c>
      <c r="U672" s="7">
        <f t="shared" ca="1" si="109"/>
        <v>32.4114934637593</v>
      </c>
    </row>
    <row r="673" spans="2:21" x14ac:dyDescent="0.3">
      <c r="B673" s="13">
        <f t="shared" ca="1" si="100"/>
        <v>0.30961039070754515</v>
      </c>
      <c r="C673" s="14">
        <f t="shared" ca="1" si="100"/>
        <v>0.94519598080866996</v>
      </c>
      <c r="D673" s="14">
        <f t="shared" ca="1" si="101"/>
        <v>-0.49695500505909529</v>
      </c>
      <c r="E673" s="14">
        <f t="shared" ca="1" si="102"/>
        <v>1.599957381040231</v>
      </c>
      <c r="F673" s="14">
        <f t="shared" ca="1" si="103"/>
        <v>0.25014574923945065</v>
      </c>
      <c r="G673" s="14">
        <f t="shared" ca="1" si="104"/>
        <v>0.30961039070754504</v>
      </c>
      <c r="H673" s="15">
        <f t="shared" ca="1" si="105"/>
        <v>0.94519598080866984</v>
      </c>
      <c r="I673" s="14">
        <f ca="1">IF(G673&lt;0.05,1,0)*$B$1*$B$2</f>
        <v>0</v>
      </c>
      <c r="J673" s="14">
        <f ca="1">IF(H673&lt;0.05,1,0)*$B$1*$B$2</f>
        <v>0</v>
      </c>
      <c r="K673" s="15">
        <f t="shared" ca="1" si="106"/>
        <v>0</v>
      </c>
      <c r="P673" s="3">
        <v>669</v>
      </c>
      <c r="Q673" s="4">
        <f t="shared" ca="1" si="107"/>
        <v>0.30961039070754504</v>
      </c>
      <c r="R673" s="4">
        <f t="shared" ca="1" si="108"/>
        <v>0.94519598080866984</v>
      </c>
      <c r="S673" s="4">
        <f ca="1">$B$1*Q673*$B$2</f>
        <v>12.384415628301802</v>
      </c>
      <c r="T673" s="4">
        <f ca="1">$B$1*R673*$B$2</f>
        <v>37.807839232346794</v>
      </c>
      <c r="U673" s="7">
        <f t="shared" ca="1" si="109"/>
        <v>50.192254860648596</v>
      </c>
    </row>
    <row r="674" spans="2:21" x14ac:dyDescent="0.3">
      <c r="B674" s="13">
        <f t="shared" ca="1" si="100"/>
        <v>0.35239190851350433</v>
      </c>
      <c r="C674" s="14">
        <f t="shared" ca="1" si="100"/>
        <v>0.57615470692478454</v>
      </c>
      <c r="D674" s="14">
        <f t="shared" ca="1" si="101"/>
        <v>-0.37887078886446846</v>
      </c>
      <c r="E674" s="14">
        <f t="shared" ca="1" si="102"/>
        <v>0.19206589910241473</v>
      </c>
      <c r="F674" s="14">
        <f t="shared" ca="1" si="103"/>
        <v>-0.25726412550925115</v>
      </c>
      <c r="G674" s="14">
        <f t="shared" ca="1" si="104"/>
        <v>0.35239190851350427</v>
      </c>
      <c r="H674" s="15">
        <f t="shared" ca="1" si="105"/>
        <v>0.57615470692478454</v>
      </c>
      <c r="I674" s="14">
        <f ca="1">IF(G674&lt;0.05,1,0)*$B$1*$B$2</f>
        <v>0</v>
      </c>
      <c r="J674" s="14">
        <f ca="1">IF(H674&lt;0.05,1,0)*$B$1*$B$2</f>
        <v>0</v>
      </c>
      <c r="K674" s="15">
        <f t="shared" ca="1" si="106"/>
        <v>0</v>
      </c>
      <c r="P674" s="3">
        <v>670</v>
      </c>
      <c r="Q674" s="4">
        <f t="shared" ca="1" si="107"/>
        <v>0.35239190851350427</v>
      </c>
      <c r="R674" s="4">
        <f t="shared" ca="1" si="108"/>
        <v>0.57615470692478454</v>
      </c>
      <c r="S674" s="4">
        <f ca="1">$B$1*Q674*$B$2</f>
        <v>14.095676340540173</v>
      </c>
      <c r="T674" s="4">
        <f ca="1">$B$1*R674*$B$2</f>
        <v>23.046188276991384</v>
      </c>
      <c r="U674" s="7">
        <f t="shared" ca="1" si="109"/>
        <v>37.141864617531553</v>
      </c>
    </row>
    <row r="675" spans="2:21" x14ac:dyDescent="0.3">
      <c r="B675" s="13">
        <f t="shared" ca="1" si="100"/>
        <v>2.3266429825914647E-2</v>
      </c>
      <c r="C675" s="14">
        <f t="shared" ca="1" si="100"/>
        <v>0.30351148615632428</v>
      </c>
      <c r="D675" s="14">
        <f t="shared" ca="1" si="101"/>
        <v>-1.9905274827107502</v>
      </c>
      <c r="E675" s="14">
        <f t="shared" ca="1" si="102"/>
        <v>-0.51432759422070529</v>
      </c>
      <c r="F675" s="14">
        <f t="shared" ca="1" si="103"/>
        <v>-2.0156649351479201</v>
      </c>
      <c r="G675" s="14">
        <f t="shared" ca="1" si="104"/>
        <v>2.3266429825914647E-2</v>
      </c>
      <c r="H675" s="15">
        <f t="shared" ca="1" si="105"/>
        <v>0.30351148615632417</v>
      </c>
      <c r="I675" s="14">
        <f ca="1">IF(G675&lt;0.05,1,0)*$B$1*$B$2</f>
        <v>40</v>
      </c>
      <c r="J675" s="14">
        <f ca="1">IF(H675&lt;0.05,1,0)*$B$1*$B$2</f>
        <v>0</v>
      </c>
      <c r="K675" s="15">
        <f t="shared" ca="1" si="106"/>
        <v>40</v>
      </c>
      <c r="P675" s="3">
        <v>671</v>
      </c>
      <c r="Q675" s="4">
        <f t="shared" ca="1" si="107"/>
        <v>2.3266429825914647E-2</v>
      </c>
      <c r="R675" s="4">
        <f t="shared" ca="1" si="108"/>
        <v>0.30351148615632417</v>
      </c>
      <c r="S675" s="4">
        <f ca="1">$B$1*Q675*$B$2</f>
        <v>0.93065719303658589</v>
      </c>
      <c r="T675" s="4">
        <f ca="1">$B$1*R675*$B$2</f>
        <v>12.140459446252969</v>
      </c>
      <c r="U675" s="7">
        <f t="shared" ca="1" si="109"/>
        <v>13.071116639289555</v>
      </c>
    </row>
    <row r="676" spans="2:21" x14ac:dyDescent="0.3">
      <c r="B676" s="13">
        <f t="shared" ca="1" si="100"/>
        <v>0.89915628140350035</v>
      </c>
      <c r="C676" s="14">
        <f t="shared" ca="1" si="100"/>
        <v>0.95784689872524464</v>
      </c>
      <c r="D676" s="14">
        <f t="shared" ca="1" si="101"/>
        <v>1.2767587376173031</v>
      </c>
      <c r="E676" s="14">
        <f t="shared" ca="1" si="102"/>
        <v>1.7262291123852234</v>
      </c>
      <c r="F676" s="14">
        <f t="shared" ca="1" si="103"/>
        <v>1.901528689284083</v>
      </c>
      <c r="G676" s="14">
        <f t="shared" ca="1" si="104"/>
        <v>0.89915628140350057</v>
      </c>
      <c r="H676" s="15">
        <f t="shared" ca="1" si="105"/>
        <v>0.95784689872524476</v>
      </c>
      <c r="I676" s="14">
        <f ca="1">IF(G676&lt;0.05,1,0)*$B$1*$B$2</f>
        <v>0</v>
      </c>
      <c r="J676" s="14">
        <f ca="1">IF(H676&lt;0.05,1,0)*$B$1*$B$2</f>
        <v>0</v>
      </c>
      <c r="K676" s="15">
        <f t="shared" ca="1" si="106"/>
        <v>0</v>
      </c>
      <c r="P676" s="3">
        <v>672</v>
      </c>
      <c r="Q676" s="4">
        <f t="shared" ca="1" si="107"/>
        <v>0.89915628140350057</v>
      </c>
      <c r="R676" s="4">
        <f t="shared" ca="1" si="108"/>
        <v>0.95784689872524476</v>
      </c>
      <c r="S676" s="4">
        <f ca="1">$B$1*Q676*$B$2</f>
        <v>35.966251256140019</v>
      </c>
      <c r="T676" s="4">
        <f ca="1">$B$1*R676*$B$2</f>
        <v>38.313875949009791</v>
      </c>
      <c r="U676" s="7">
        <f t="shared" ca="1" si="109"/>
        <v>74.28012720514981</v>
      </c>
    </row>
    <row r="677" spans="2:21" x14ac:dyDescent="0.3">
      <c r="B677" s="13">
        <f t="shared" ca="1" si="100"/>
        <v>0.81952438304359887</v>
      </c>
      <c r="C677" s="14">
        <f t="shared" ca="1" si="100"/>
        <v>0.92455828090533376</v>
      </c>
      <c r="D677" s="14">
        <f t="shared" ca="1" si="101"/>
        <v>0.91355402435817057</v>
      </c>
      <c r="E677" s="14">
        <f t="shared" ca="1" si="102"/>
        <v>1.4364179860851525</v>
      </c>
      <c r="F677" s="14">
        <f t="shared" ca="1" si="103"/>
        <v>1.4483187061252927</v>
      </c>
      <c r="G677" s="14">
        <f t="shared" ca="1" si="104"/>
        <v>0.81952438304359876</v>
      </c>
      <c r="H677" s="15">
        <f t="shared" ca="1" si="105"/>
        <v>0.92455828090533376</v>
      </c>
      <c r="I677" s="14">
        <f ca="1">IF(G677&lt;0.05,1,0)*$B$1*$B$2</f>
        <v>0</v>
      </c>
      <c r="J677" s="14">
        <f ca="1">IF(H677&lt;0.05,1,0)*$B$1*$B$2</f>
        <v>0</v>
      </c>
      <c r="K677" s="15">
        <f t="shared" ca="1" si="106"/>
        <v>0</v>
      </c>
      <c r="P677" s="3">
        <v>673</v>
      </c>
      <c r="Q677" s="4">
        <f t="shared" ca="1" si="107"/>
        <v>0.81952438304359876</v>
      </c>
      <c r="R677" s="4">
        <f t="shared" ca="1" si="108"/>
        <v>0.92455828090533376</v>
      </c>
      <c r="S677" s="4">
        <f ca="1">$B$1*Q677*$B$2</f>
        <v>32.780975321743952</v>
      </c>
      <c r="T677" s="4">
        <f ca="1">$B$1*R677*$B$2</f>
        <v>36.982331236213348</v>
      </c>
      <c r="U677" s="7">
        <f t="shared" ca="1" si="109"/>
        <v>69.763306557957293</v>
      </c>
    </row>
    <row r="678" spans="2:21" x14ac:dyDescent="0.3">
      <c r="B678" s="13">
        <f t="shared" ca="1" si="100"/>
        <v>8.3046934419257257E-2</v>
      </c>
      <c r="C678" s="14">
        <f t="shared" ca="1" si="100"/>
        <v>0.2459644119443043</v>
      </c>
      <c r="D678" s="14">
        <f t="shared" ca="1" si="101"/>
        <v>-1.3848646144581374</v>
      </c>
      <c r="E678" s="14">
        <f t="shared" ca="1" si="102"/>
        <v>-0.68724424999698797</v>
      </c>
      <c r="F678" s="14">
        <f t="shared" ca="1" si="103"/>
        <v>-1.5459409765389509</v>
      </c>
      <c r="G678" s="14">
        <f t="shared" ca="1" si="104"/>
        <v>8.304693441925709E-2</v>
      </c>
      <c r="H678" s="15">
        <f t="shared" ca="1" si="105"/>
        <v>0.24596441194430418</v>
      </c>
      <c r="I678" s="14">
        <f ca="1">IF(G678&lt;0.05,1,0)*$B$1*$B$2</f>
        <v>0</v>
      </c>
      <c r="J678" s="14">
        <f ca="1">IF(H678&lt;0.05,1,0)*$B$1*$B$2</f>
        <v>0</v>
      </c>
      <c r="K678" s="15">
        <f t="shared" ca="1" si="106"/>
        <v>0</v>
      </c>
      <c r="P678" s="3">
        <v>674</v>
      </c>
      <c r="Q678" s="4">
        <f t="shared" ca="1" si="107"/>
        <v>8.304693441925709E-2</v>
      </c>
      <c r="R678" s="4">
        <f t="shared" ca="1" si="108"/>
        <v>0.24596441194430418</v>
      </c>
      <c r="S678" s="4">
        <f ca="1">$B$1*Q678*$B$2</f>
        <v>3.3218773767702836</v>
      </c>
      <c r="T678" s="4">
        <f ca="1">$B$1*R678*$B$2</f>
        <v>9.8385764777721683</v>
      </c>
      <c r="U678" s="7">
        <f t="shared" ca="1" si="109"/>
        <v>13.160453854542451</v>
      </c>
    </row>
    <row r="679" spans="2:21" x14ac:dyDescent="0.3">
      <c r="B679" s="13">
        <f t="shared" ca="1" si="100"/>
        <v>0.31441992920326955</v>
      </c>
      <c r="C679" s="14">
        <f t="shared" ca="1" si="100"/>
        <v>0.76773569344803561</v>
      </c>
      <c r="D679" s="14">
        <f t="shared" ca="1" si="101"/>
        <v>-0.48336040303785366</v>
      </c>
      <c r="E679" s="14">
        <f t="shared" ca="1" si="102"/>
        <v>0.73141023892855916</v>
      </c>
      <c r="F679" s="14">
        <f t="shared" ca="1" si="103"/>
        <v>-0.11621003095801552</v>
      </c>
      <c r="G679" s="14">
        <f t="shared" ca="1" si="104"/>
        <v>0.31441992920326955</v>
      </c>
      <c r="H679" s="15">
        <f t="shared" ca="1" si="105"/>
        <v>0.76773569344803572</v>
      </c>
      <c r="I679" s="14">
        <f ca="1">IF(G679&lt;0.05,1,0)*$B$1*$B$2</f>
        <v>0</v>
      </c>
      <c r="J679" s="14">
        <f ca="1">IF(H679&lt;0.05,1,0)*$B$1*$B$2</f>
        <v>0</v>
      </c>
      <c r="K679" s="15">
        <f t="shared" ca="1" si="106"/>
        <v>0</v>
      </c>
      <c r="P679" s="3">
        <v>675</v>
      </c>
      <c r="Q679" s="4">
        <f t="shared" ca="1" si="107"/>
        <v>0.31441992920326955</v>
      </c>
      <c r="R679" s="4">
        <f t="shared" ca="1" si="108"/>
        <v>0.76773569344803572</v>
      </c>
      <c r="S679" s="4">
        <f ca="1">$B$1*Q679*$B$2</f>
        <v>12.576797168130783</v>
      </c>
      <c r="T679" s="4">
        <f ca="1">$B$1*R679*$B$2</f>
        <v>30.70942773792143</v>
      </c>
      <c r="U679" s="7">
        <f t="shared" ca="1" si="109"/>
        <v>43.286224906052212</v>
      </c>
    </row>
    <row r="680" spans="2:21" x14ac:dyDescent="0.3">
      <c r="B680" s="13">
        <f t="shared" ca="1" si="100"/>
        <v>0.2524651775615655</v>
      </c>
      <c r="C680" s="14">
        <f t="shared" ca="1" si="100"/>
        <v>0.88500675344090052</v>
      </c>
      <c r="D680" s="14">
        <f t="shared" ca="1" si="101"/>
        <v>-0.66675231680707847</v>
      </c>
      <c r="E680" s="14">
        <f t="shared" ca="1" si="102"/>
        <v>1.2003936519365632</v>
      </c>
      <c r="F680" s="14">
        <f t="shared" ca="1" si="103"/>
        <v>-7.6837623000449051E-2</v>
      </c>
      <c r="G680" s="14">
        <f t="shared" ca="1" si="104"/>
        <v>0.25246517756156539</v>
      </c>
      <c r="H680" s="15">
        <f t="shared" ca="1" si="105"/>
        <v>0.88500675344090063</v>
      </c>
      <c r="I680" s="14">
        <f ca="1">IF(G680&lt;0.05,1,0)*$B$1*$B$2</f>
        <v>0</v>
      </c>
      <c r="J680" s="14">
        <f ca="1">IF(H680&lt;0.05,1,0)*$B$1*$B$2</f>
        <v>0</v>
      </c>
      <c r="K680" s="15">
        <f t="shared" ca="1" si="106"/>
        <v>0</v>
      </c>
      <c r="P680" s="3">
        <v>676</v>
      </c>
      <c r="Q680" s="4">
        <f t="shared" ca="1" si="107"/>
        <v>0.25246517756156539</v>
      </c>
      <c r="R680" s="4">
        <f t="shared" ca="1" si="108"/>
        <v>0.88500675344090063</v>
      </c>
      <c r="S680" s="4">
        <f ca="1">$B$1*Q680*$B$2</f>
        <v>10.098607102462616</v>
      </c>
      <c r="T680" s="4">
        <f ca="1">$B$1*R680*$B$2</f>
        <v>35.400270137636028</v>
      </c>
      <c r="U680" s="7">
        <f t="shared" ca="1" si="109"/>
        <v>45.498877240098643</v>
      </c>
    </row>
    <row r="681" spans="2:21" x14ac:dyDescent="0.3">
      <c r="B681" s="13">
        <f t="shared" ca="1" si="100"/>
        <v>9.2285667571215257E-2</v>
      </c>
      <c r="C681" s="14">
        <f t="shared" ca="1" si="100"/>
        <v>0.78760030297494354</v>
      </c>
      <c r="D681" s="14">
        <f t="shared" ca="1" si="101"/>
        <v>-1.3268106241956688</v>
      </c>
      <c r="E681" s="14">
        <f t="shared" ca="1" si="102"/>
        <v>0.79812251998833716</v>
      </c>
      <c r="F681" s="14">
        <f t="shared" ca="1" si="103"/>
        <v>-0.84623602085678362</v>
      </c>
      <c r="G681" s="14">
        <f t="shared" ca="1" si="104"/>
        <v>9.2285667571215257E-2</v>
      </c>
      <c r="H681" s="15">
        <f t="shared" ca="1" si="105"/>
        <v>0.78760030297494343</v>
      </c>
      <c r="I681" s="14">
        <f ca="1">IF(G681&lt;0.05,1,0)*$B$1*$B$2</f>
        <v>0</v>
      </c>
      <c r="J681" s="14">
        <f ca="1">IF(H681&lt;0.05,1,0)*$B$1*$B$2</f>
        <v>0</v>
      </c>
      <c r="K681" s="15">
        <f t="shared" ca="1" si="106"/>
        <v>0</v>
      </c>
      <c r="P681" s="3">
        <v>677</v>
      </c>
      <c r="Q681" s="4">
        <f t="shared" ca="1" si="107"/>
        <v>9.2285667571215257E-2</v>
      </c>
      <c r="R681" s="4">
        <f t="shared" ca="1" si="108"/>
        <v>0.78760030297494343</v>
      </c>
      <c r="S681" s="4">
        <f ca="1">$B$1*Q681*$B$2</f>
        <v>3.6914267028486103</v>
      </c>
      <c r="T681" s="4">
        <f ca="1">$B$1*R681*$B$2</f>
        <v>31.504012118997736</v>
      </c>
      <c r="U681" s="7">
        <f t="shared" ca="1" si="109"/>
        <v>35.195438821846345</v>
      </c>
    </row>
    <row r="682" spans="2:21" x14ac:dyDescent="0.3">
      <c r="B682" s="13">
        <f t="shared" ca="1" si="100"/>
        <v>0.98678634059868786</v>
      </c>
      <c r="C682" s="14">
        <f t="shared" ca="1" si="100"/>
        <v>3.3795299035958792E-2</v>
      </c>
      <c r="D682" s="14">
        <f t="shared" ca="1" si="101"/>
        <v>2.2198740453683143</v>
      </c>
      <c r="E682" s="14">
        <f t="shared" ca="1" si="102"/>
        <v>-1.8277265723096137</v>
      </c>
      <c r="F682" s="14">
        <f t="shared" ca="1" si="103"/>
        <v>1.2011990983193241</v>
      </c>
      <c r="G682" s="14">
        <f t="shared" ca="1" si="104"/>
        <v>0.98678634059868786</v>
      </c>
      <c r="H682" s="15">
        <f t="shared" ca="1" si="105"/>
        <v>3.3795299035958792E-2</v>
      </c>
      <c r="I682" s="14">
        <f ca="1">IF(G682&lt;0.05,1,0)*$B$1*$B$2</f>
        <v>0</v>
      </c>
      <c r="J682" s="14">
        <f ca="1">IF(H682&lt;0.05,1,0)*$B$1*$B$2</f>
        <v>40</v>
      </c>
      <c r="K682" s="15">
        <f t="shared" ca="1" si="106"/>
        <v>40</v>
      </c>
      <c r="P682" s="3">
        <v>678</v>
      </c>
      <c r="Q682" s="4">
        <f t="shared" ca="1" si="107"/>
        <v>0.98678634059868786</v>
      </c>
      <c r="R682" s="4">
        <f t="shared" ca="1" si="108"/>
        <v>3.3795299035958792E-2</v>
      </c>
      <c r="S682" s="4">
        <f ca="1">$B$1*Q682*$B$2</f>
        <v>39.471453623947518</v>
      </c>
      <c r="T682" s="4">
        <f ca="1">$B$1*R682*$B$2</f>
        <v>1.3518119614383517</v>
      </c>
      <c r="U682" s="7">
        <f t="shared" ca="1" si="109"/>
        <v>40.823265585385869</v>
      </c>
    </row>
    <row r="683" spans="2:21" x14ac:dyDescent="0.3">
      <c r="B683" s="13">
        <f t="shared" ca="1" si="100"/>
        <v>0.61864824527741957</v>
      </c>
      <c r="C683" s="14">
        <f t="shared" ca="1" si="100"/>
        <v>0.3174412164161089</v>
      </c>
      <c r="D683" s="14">
        <f t="shared" ca="1" si="101"/>
        <v>0.30193251364102014</v>
      </c>
      <c r="E683" s="14">
        <f t="shared" ca="1" si="102"/>
        <v>-0.47486607570965561</v>
      </c>
      <c r="F683" s="14">
        <f t="shared" ca="1" si="103"/>
        <v>6.4749938703505844E-2</v>
      </c>
      <c r="G683" s="14">
        <f t="shared" ca="1" si="104"/>
        <v>0.61864824527741957</v>
      </c>
      <c r="H683" s="15">
        <f t="shared" ca="1" si="105"/>
        <v>0.31744121641610878</v>
      </c>
      <c r="I683" s="14">
        <f ca="1">IF(G683&lt;0.05,1,0)*$B$1*$B$2</f>
        <v>0</v>
      </c>
      <c r="J683" s="14">
        <f ca="1">IF(H683&lt;0.05,1,0)*$B$1*$B$2</f>
        <v>0</v>
      </c>
      <c r="K683" s="15">
        <f t="shared" ca="1" si="106"/>
        <v>0</v>
      </c>
      <c r="P683" s="3">
        <v>679</v>
      </c>
      <c r="Q683" s="4">
        <f t="shared" ca="1" si="107"/>
        <v>0.61864824527741957</v>
      </c>
      <c r="R683" s="4">
        <f t="shared" ca="1" si="108"/>
        <v>0.31744121641610878</v>
      </c>
      <c r="S683" s="4">
        <f ca="1">$B$1*Q683*$B$2</f>
        <v>24.745929811096786</v>
      </c>
      <c r="T683" s="4">
        <f ca="1">$B$1*R683*$B$2</f>
        <v>12.697648656644352</v>
      </c>
      <c r="U683" s="7">
        <f t="shared" ca="1" si="109"/>
        <v>37.443578467741141</v>
      </c>
    </row>
    <row r="684" spans="2:21" x14ac:dyDescent="0.3">
      <c r="B684" s="13">
        <f t="shared" ca="1" si="100"/>
        <v>0.31834724737914355</v>
      </c>
      <c r="C684" s="14">
        <f t="shared" ca="1" si="100"/>
        <v>0.69059215435497212</v>
      </c>
      <c r="D684" s="14">
        <f t="shared" ca="1" si="101"/>
        <v>-0.47232546771253692</v>
      </c>
      <c r="E684" s="14">
        <f t="shared" ca="1" si="102"/>
        <v>0.49752951986575816</v>
      </c>
      <c r="F684" s="14">
        <f t="shared" ca="1" si="103"/>
        <v>-0.20822483108896811</v>
      </c>
      <c r="G684" s="14">
        <f t="shared" ca="1" si="104"/>
        <v>0.31834724737914355</v>
      </c>
      <c r="H684" s="15">
        <f t="shared" ca="1" si="105"/>
        <v>0.69059215435497223</v>
      </c>
      <c r="I684" s="14">
        <f ca="1">IF(G684&lt;0.05,1,0)*$B$1*$B$2</f>
        <v>0</v>
      </c>
      <c r="J684" s="14">
        <f ca="1">IF(H684&lt;0.05,1,0)*$B$1*$B$2</f>
        <v>0</v>
      </c>
      <c r="K684" s="15">
        <f t="shared" ca="1" si="106"/>
        <v>0</v>
      </c>
      <c r="P684" s="3">
        <v>680</v>
      </c>
      <c r="Q684" s="4">
        <f t="shared" ca="1" si="107"/>
        <v>0.31834724737914355</v>
      </c>
      <c r="R684" s="4">
        <f t="shared" ca="1" si="108"/>
        <v>0.69059215435497223</v>
      </c>
      <c r="S684" s="4">
        <f ca="1">$B$1*Q684*$B$2</f>
        <v>12.733889895165744</v>
      </c>
      <c r="T684" s="4">
        <f ca="1">$B$1*R684*$B$2</f>
        <v>27.623686174198891</v>
      </c>
      <c r="U684" s="7">
        <f t="shared" ca="1" si="109"/>
        <v>40.357576069364633</v>
      </c>
    </row>
    <row r="685" spans="2:21" x14ac:dyDescent="0.3">
      <c r="B685" s="13">
        <f t="shared" ca="1" si="100"/>
        <v>0.20772703283388971</v>
      </c>
      <c r="C685" s="14">
        <f t="shared" ca="1" si="100"/>
        <v>0.77237542821317096</v>
      </c>
      <c r="D685" s="14">
        <f t="shared" ca="1" si="101"/>
        <v>-0.81433325158326497</v>
      </c>
      <c r="E685" s="14">
        <f t="shared" ca="1" si="102"/>
        <v>0.74669259015344203</v>
      </c>
      <c r="F685" s="14">
        <f t="shared" ca="1" si="103"/>
        <v>-0.40742417218798982</v>
      </c>
      <c r="G685" s="14">
        <f t="shared" ca="1" si="104"/>
        <v>0.20772703283388963</v>
      </c>
      <c r="H685" s="15">
        <f t="shared" ca="1" si="105"/>
        <v>0.77237542821317084</v>
      </c>
      <c r="I685" s="14">
        <f ca="1">IF(G685&lt;0.05,1,0)*$B$1*$B$2</f>
        <v>0</v>
      </c>
      <c r="J685" s="14">
        <f ca="1">IF(H685&lt;0.05,1,0)*$B$1*$B$2</f>
        <v>0</v>
      </c>
      <c r="K685" s="15">
        <f t="shared" ca="1" si="106"/>
        <v>0</v>
      </c>
      <c r="P685" s="3">
        <v>681</v>
      </c>
      <c r="Q685" s="4">
        <f t="shared" ca="1" si="107"/>
        <v>0.20772703283388963</v>
      </c>
      <c r="R685" s="4">
        <f t="shared" ca="1" si="108"/>
        <v>0.77237542821317084</v>
      </c>
      <c r="S685" s="4">
        <f ca="1">$B$1*Q685*$B$2</f>
        <v>8.3090813133555859</v>
      </c>
      <c r="T685" s="4">
        <f ca="1">$B$1*R685*$B$2</f>
        <v>30.895017128526831</v>
      </c>
      <c r="U685" s="7">
        <f t="shared" ca="1" si="109"/>
        <v>39.204098441882415</v>
      </c>
    </row>
    <row r="686" spans="2:21" x14ac:dyDescent="0.3">
      <c r="B686" s="13">
        <f t="shared" ca="1" si="100"/>
        <v>0.86244739478971311</v>
      </c>
      <c r="C686" s="14">
        <f t="shared" ca="1" si="100"/>
        <v>0.87609433674997028</v>
      </c>
      <c r="D686" s="14">
        <f t="shared" ca="1" si="101"/>
        <v>1.0913811337943775</v>
      </c>
      <c r="E686" s="14">
        <f t="shared" ca="1" si="102"/>
        <v>1.1556818213530375</v>
      </c>
      <c r="F686" s="14">
        <f t="shared" ca="1" si="103"/>
        <v>1.4859930474314313</v>
      </c>
      <c r="G686" s="14">
        <f t="shared" ca="1" si="104"/>
        <v>0.86244739478971322</v>
      </c>
      <c r="H686" s="15">
        <f t="shared" ca="1" si="105"/>
        <v>0.87609433674997028</v>
      </c>
      <c r="I686" s="14">
        <f ca="1">IF(G686&lt;0.05,1,0)*$B$1*$B$2</f>
        <v>0</v>
      </c>
      <c r="J686" s="14">
        <f ca="1">IF(H686&lt;0.05,1,0)*$B$1*$B$2</f>
        <v>0</v>
      </c>
      <c r="K686" s="15">
        <f t="shared" ca="1" si="106"/>
        <v>0</v>
      </c>
      <c r="P686" s="3">
        <v>682</v>
      </c>
      <c r="Q686" s="4">
        <f t="shared" ca="1" si="107"/>
        <v>0.86244739478971322</v>
      </c>
      <c r="R686" s="4">
        <f t="shared" ca="1" si="108"/>
        <v>0.87609433674997028</v>
      </c>
      <c r="S686" s="4">
        <f ca="1">$B$1*Q686*$B$2</f>
        <v>34.497895791588533</v>
      </c>
      <c r="T686" s="4">
        <f ca="1">$B$1*R686*$B$2</f>
        <v>35.043773469998818</v>
      </c>
      <c r="U686" s="7">
        <f t="shared" ca="1" si="109"/>
        <v>69.541669261587344</v>
      </c>
    </row>
    <row r="687" spans="2:21" x14ac:dyDescent="0.3">
      <c r="B687" s="13">
        <f t="shared" ca="1" si="100"/>
        <v>0.83841396592867623</v>
      </c>
      <c r="C687" s="14">
        <f t="shared" ca="1" si="100"/>
        <v>0.27904451803668795</v>
      </c>
      <c r="D687" s="14">
        <f t="shared" ca="1" si="101"/>
        <v>0.98796034788037079</v>
      </c>
      <c r="E687" s="14">
        <f t="shared" ca="1" si="102"/>
        <v>-0.58568229205463751</v>
      </c>
      <c r="F687" s="14">
        <f t="shared" ca="1" si="103"/>
        <v>0.63387132068358976</v>
      </c>
      <c r="G687" s="14">
        <f t="shared" ca="1" si="104"/>
        <v>0.83841396592867634</v>
      </c>
      <c r="H687" s="15">
        <f t="shared" ca="1" si="105"/>
        <v>0.27904451803668795</v>
      </c>
      <c r="I687" s="14">
        <f ca="1">IF(G687&lt;0.05,1,0)*$B$1*$B$2</f>
        <v>0</v>
      </c>
      <c r="J687" s="14">
        <f ca="1">IF(H687&lt;0.05,1,0)*$B$1*$B$2</f>
        <v>0</v>
      </c>
      <c r="K687" s="15">
        <f t="shared" ca="1" si="106"/>
        <v>0</v>
      </c>
      <c r="P687" s="3">
        <v>683</v>
      </c>
      <c r="Q687" s="4">
        <f t="shared" ca="1" si="107"/>
        <v>0.83841396592867634</v>
      </c>
      <c r="R687" s="4">
        <f t="shared" ca="1" si="108"/>
        <v>0.27904451803668795</v>
      </c>
      <c r="S687" s="4">
        <f ca="1">$B$1*Q687*$B$2</f>
        <v>33.53655863714706</v>
      </c>
      <c r="T687" s="4">
        <f ca="1">$B$1*R687*$B$2</f>
        <v>11.161780721467519</v>
      </c>
      <c r="U687" s="7">
        <f t="shared" ca="1" si="109"/>
        <v>44.698339358614575</v>
      </c>
    </row>
    <row r="688" spans="2:21" x14ac:dyDescent="0.3">
      <c r="B688" s="13">
        <f t="shared" ca="1" si="100"/>
        <v>3.5290754530308166E-2</v>
      </c>
      <c r="C688" s="14">
        <f t="shared" ca="1" si="100"/>
        <v>0.84837958078466569</v>
      </c>
      <c r="D688" s="14">
        <f t="shared" ca="1" si="101"/>
        <v>-1.8081605981237792</v>
      </c>
      <c r="E688" s="14">
        <f t="shared" ca="1" si="102"/>
        <v>1.0295083917906531</v>
      </c>
      <c r="F688" s="14">
        <f t="shared" ca="1" si="103"/>
        <v>-1.178592234177148</v>
      </c>
      <c r="G688" s="14">
        <f t="shared" ca="1" si="104"/>
        <v>3.5290754530308187E-2</v>
      </c>
      <c r="H688" s="15">
        <f t="shared" ca="1" si="105"/>
        <v>0.8483795807846658</v>
      </c>
      <c r="I688" s="14">
        <f ca="1">IF(G688&lt;0.05,1,0)*$B$1*$B$2</f>
        <v>40</v>
      </c>
      <c r="J688" s="14">
        <f ca="1">IF(H688&lt;0.05,1,0)*$B$1*$B$2</f>
        <v>0</v>
      </c>
      <c r="K688" s="15">
        <f t="shared" ca="1" si="106"/>
        <v>40</v>
      </c>
      <c r="P688" s="3">
        <v>684</v>
      </c>
      <c r="Q688" s="4">
        <f t="shared" ca="1" si="107"/>
        <v>3.5290754530308187E-2</v>
      </c>
      <c r="R688" s="4">
        <f t="shared" ca="1" si="108"/>
        <v>0.8483795807846658</v>
      </c>
      <c r="S688" s="4">
        <f ca="1">$B$1*Q688*$B$2</f>
        <v>1.4116301812123275</v>
      </c>
      <c r="T688" s="4">
        <f ca="1">$B$1*R688*$B$2</f>
        <v>33.935183231386638</v>
      </c>
      <c r="U688" s="7">
        <f t="shared" ca="1" si="109"/>
        <v>35.346813412598962</v>
      </c>
    </row>
    <row r="689" spans="2:21" x14ac:dyDescent="0.3">
      <c r="B689" s="13">
        <f t="shared" ca="1" si="100"/>
        <v>0.8273692737363143</v>
      </c>
      <c r="C689" s="14">
        <f t="shared" ca="1" si="100"/>
        <v>0.10309915595723729</v>
      </c>
      <c r="D689" s="14">
        <f t="shared" ca="1" si="101"/>
        <v>0.94382036389329238</v>
      </c>
      <c r="E689" s="14">
        <f t="shared" ca="1" si="102"/>
        <v>-1.2640883658979285</v>
      </c>
      <c r="F689" s="14">
        <f t="shared" ca="1" si="103"/>
        <v>0.29843498323850959</v>
      </c>
      <c r="G689" s="14">
        <f t="shared" ca="1" si="104"/>
        <v>0.82736927373631453</v>
      </c>
      <c r="H689" s="15">
        <f t="shared" ca="1" si="105"/>
        <v>0.10309915595723723</v>
      </c>
      <c r="I689" s="14">
        <f ca="1">IF(G689&lt;0.05,1,0)*$B$1*$B$2</f>
        <v>0</v>
      </c>
      <c r="J689" s="14">
        <f ca="1">IF(H689&lt;0.05,1,0)*$B$1*$B$2</f>
        <v>0</v>
      </c>
      <c r="K689" s="15">
        <f t="shared" ca="1" si="106"/>
        <v>0</v>
      </c>
      <c r="P689" s="3">
        <v>685</v>
      </c>
      <c r="Q689" s="4">
        <f t="shared" ca="1" si="107"/>
        <v>0.82736927373631453</v>
      </c>
      <c r="R689" s="4">
        <f t="shared" ca="1" si="108"/>
        <v>0.10309915595723723</v>
      </c>
      <c r="S689" s="4">
        <f ca="1">$B$1*Q689*$B$2</f>
        <v>33.094770949452588</v>
      </c>
      <c r="T689" s="4">
        <f ca="1">$B$1*R689*$B$2</f>
        <v>4.1239662382894897</v>
      </c>
      <c r="U689" s="7">
        <f t="shared" ca="1" si="109"/>
        <v>37.218737187742079</v>
      </c>
    </row>
    <row r="690" spans="2:21" x14ac:dyDescent="0.3">
      <c r="B690" s="13">
        <f t="shared" ca="1" si="100"/>
        <v>0.34566299897686759</v>
      </c>
      <c r="C690" s="14">
        <f t="shared" ca="1" si="100"/>
        <v>0.69948398650742183</v>
      </c>
      <c r="D690" s="14">
        <f t="shared" ca="1" si="101"/>
        <v>-0.39705622717092909</v>
      </c>
      <c r="E690" s="14">
        <f t="shared" ca="1" si="102"/>
        <v>0.52291698108663742</v>
      </c>
      <c r="F690" s="14">
        <f t="shared" ca="1" si="103"/>
        <v>-0.12941637681203402</v>
      </c>
      <c r="G690" s="14">
        <f t="shared" ca="1" si="104"/>
        <v>0.34566299897686753</v>
      </c>
      <c r="H690" s="15">
        <f t="shared" ca="1" si="105"/>
        <v>0.69948398650742194</v>
      </c>
      <c r="I690" s="14">
        <f ca="1">IF(G690&lt;0.05,1,0)*$B$1*$B$2</f>
        <v>0</v>
      </c>
      <c r="J690" s="14">
        <f ca="1">IF(H690&lt;0.05,1,0)*$B$1*$B$2</f>
        <v>0</v>
      </c>
      <c r="K690" s="15">
        <f t="shared" ca="1" si="106"/>
        <v>0</v>
      </c>
      <c r="P690" s="3">
        <v>686</v>
      </c>
      <c r="Q690" s="4">
        <f t="shared" ca="1" si="107"/>
        <v>0.34566299897686753</v>
      </c>
      <c r="R690" s="4">
        <f t="shared" ca="1" si="108"/>
        <v>0.69948398650742194</v>
      </c>
      <c r="S690" s="4">
        <f ca="1">$B$1*Q690*$B$2</f>
        <v>13.826519959074702</v>
      </c>
      <c r="T690" s="4">
        <f ca="1">$B$1*R690*$B$2</f>
        <v>27.979359460296877</v>
      </c>
      <c r="U690" s="7">
        <f t="shared" ca="1" si="109"/>
        <v>41.805879419371578</v>
      </c>
    </row>
    <row r="691" spans="2:21" x14ac:dyDescent="0.3">
      <c r="B691" s="13">
        <f t="shared" ca="1" si="100"/>
        <v>6.5149105110245853E-2</v>
      </c>
      <c r="C691" s="14">
        <f t="shared" ca="1" si="100"/>
        <v>0.74305284763160862</v>
      </c>
      <c r="D691" s="14">
        <f t="shared" ca="1" si="101"/>
        <v>-1.5129269704644634</v>
      </c>
      <c r="E691" s="14">
        <f t="shared" ca="1" si="102"/>
        <v>0.65278591575059797</v>
      </c>
      <c r="F691" s="14">
        <f t="shared" ca="1" si="103"/>
        <v>-1.077091489565666</v>
      </c>
      <c r="G691" s="14">
        <f t="shared" ca="1" si="104"/>
        <v>6.5149105110245867E-2</v>
      </c>
      <c r="H691" s="15">
        <f t="shared" ca="1" si="105"/>
        <v>0.74305284763160862</v>
      </c>
      <c r="I691" s="14">
        <f ca="1">IF(G691&lt;0.05,1,0)*$B$1*$B$2</f>
        <v>0</v>
      </c>
      <c r="J691" s="14">
        <f ca="1">IF(H691&lt;0.05,1,0)*$B$1*$B$2</f>
        <v>0</v>
      </c>
      <c r="K691" s="15">
        <f t="shared" ca="1" si="106"/>
        <v>0</v>
      </c>
      <c r="P691" s="3">
        <v>687</v>
      </c>
      <c r="Q691" s="4">
        <f t="shared" ca="1" si="107"/>
        <v>6.5149105110245867E-2</v>
      </c>
      <c r="R691" s="4">
        <f t="shared" ca="1" si="108"/>
        <v>0.74305284763160862</v>
      </c>
      <c r="S691" s="4">
        <f ca="1">$B$1*Q691*$B$2</f>
        <v>2.605964204409835</v>
      </c>
      <c r="T691" s="4">
        <f ca="1">$B$1*R691*$B$2</f>
        <v>29.722113905264344</v>
      </c>
      <c r="U691" s="7">
        <f t="shared" ca="1" si="109"/>
        <v>32.32807810967418</v>
      </c>
    </row>
    <row r="692" spans="2:21" x14ac:dyDescent="0.3">
      <c r="B692" s="13">
        <f t="shared" ca="1" si="100"/>
        <v>2.592606011273324E-2</v>
      </c>
      <c r="C692" s="14">
        <f t="shared" ca="1" si="100"/>
        <v>0.13510300089767557</v>
      </c>
      <c r="D692" s="14">
        <f t="shared" ca="1" si="101"/>
        <v>-1.9443594496624836</v>
      </c>
      <c r="E692" s="14">
        <f t="shared" ca="1" si="102"/>
        <v>-1.1025882807896974</v>
      </c>
      <c r="F692" s="14">
        <f t="shared" ca="1" si="103"/>
        <v>-2.2305305939256894</v>
      </c>
      <c r="G692" s="14">
        <f t="shared" ca="1" si="104"/>
        <v>2.5926060112733264E-2</v>
      </c>
      <c r="H692" s="15">
        <f t="shared" ca="1" si="105"/>
        <v>0.13510300089767549</v>
      </c>
      <c r="I692" s="14">
        <f ca="1">IF(G692&lt;0.05,1,0)*$B$1*$B$2</f>
        <v>40</v>
      </c>
      <c r="J692" s="14">
        <f ca="1">IF(H692&lt;0.05,1,0)*$B$1*$B$2</f>
        <v>0</v>
      </c>
      <c r="K692" s="15">
        <f t="shared" ca="1" si="106"/>
        <v>40</v>
      </c>
      <c r="P692" s="3">
        <v>688</v>
      </c>
      <c r="Q692" s="4">
        <f t="shared" ca="1" si="107"/>
        <v>2.5926060112733264E-2</v>
      </c>
      <c r="R692" s="4">
        <f t="shared" ca="1" si="108"/>
        <v>0.13510300089767549</v>
      </c>
      <c r="S692" s="4">
        <f ca="1">$B$1*Q692*$B$2</f>
        <v>1.0370424045093305</v>
      </c>
      <c r="T692" s="4">
        <f ca="1">$B$1*R692*$B$2</f>
        <v>5.4041200359070203</v>
      </c>
      <c r="U692" s="7">
        <f t="shared" ca="1" si="109"/>
        <v>6.4411624404163508</v>
      </c>
    </row>
    <row r="693" spans="2:21" x14ac:dyDescent="0.3">
      <c r="B693" s="13">
        <f t="shared" ca="1" si="100"/>
        <v>0.81586639874111988</v>
      </c>
      <c r="C693" s="14">
        <f t="shared" ca="1" si="100"/>
        <v>0.6140433880364975</v>
      </c>
      <c r="D693" s="14">
        <f t="shared" ca="1" si="101"/>
        <v>0.89972389756904869</v>
      </c>
      <c r="E693" s="14">
        <f t="shared" ca="1" si="102"/>
        <v>0.28987322764978529</v>
      </c>
      <c r="F693" s="14">
        <f t="shared" ca="1" si="103"/>
        <v>0.93610431838848129</v>
      </c>
      <c r="G693" s="14">
        <f t="shared" ca="1" si="104"/>
        <v>0.81586639874111966</v>
      </c>
      <c r="H693" s="15">
        <f t="shared" ca="1" si="105"/>
        <v>0.6140433880364975</v>
      </c>
      <c r="I693" s="14">
        <f ca="1">IF(G693&lt;0.05,1,0)*$B$1*$B$2</f>
        <v>0</v>
      </c>
      <c r="J693" s="14">
        <f ca="1">IF(H693&lt;0.05,1,0)*$B$1*$B$2</f>
        <v>0</v>
      </c>
      <c r="K693" s="15">
        <f t="shared" ca="1" si="106"/>
        <v>0</v>
      </c>
      <c r="P693" s="3">
        <v>689</v>
      </c>
      <c r="Q693" s="4">
        <f t="shared" ca="1" si="107"/>
        <v>0.81586639874111966</v>
      </c>
      <c r="R693" s="4">
        <f t="shared" ca="1" si="108"/>
        <v>0.6140433880364975</v>
      </c>
      <c r="S693" s="4">
        <f ca="1">$B$1*Q693*$B$2</f>
        <v>32.634655949644788</v>
      </c>
      <c r="T693" s="4">
        <f ca="1">$B$1*R693*$B$2</f>
        <v>24.561735521459902</v>
      </c>
      <c r="U693" s="7">
        <f t="shared" ca="1" si="109"/>
        <v>57.19639147110469</v>
      </c>
    </row>
    <row r="694" spans="2:21" x14ac:dyDescent="0.3">
      <c r="B694" s="13">
        <f t="shared" ca="1" si="100"/>
        <v>0.97613999215695368</v>
      </c>
      <c r="C694" s="14">
        <f t="shared" ca="1" si="100"/>
        <v>0.54342438993646591</v>
      </c>
      <c r="D694" s="14">
        <f t="shared" ca="1" si="101"/>
        <v>1.9798532957737307</v>
      </c>
      <c r="E694" s="14">
        <f t="shared" ca="1" si="102"/>
        <v>0.10906464076401891</v>
      </c>
      <c r="F694" s="14">
        <f t="shared" ca="1" si="103"/>
        <v>1.8294081409367502</v>
      </c>
      <c r="G694" s="14">
        <f t="shared" ca="1" si="104"/>
        <v>0.97613999215695368</v>
      </c>
      <c r="H694" s="15">
        <f t="shared" ca="1" si="105"/>
        <v>0.54342438993646591</v>
      </c>
      <c r="I694" s="14">
        <f ca="1">IF(G694&lt;0.05,1,0)*$B$1*$B$2</f>
        <v>0</v>
      </c>
      <c r="J694" s="14">
        <f ca="1">IF(H694&lt;0.05,1,0)*$B$1*$B$2</f>
        <v>0</v>
      </c>
      <c r="K694" s="15">
        <f t="shared" ca="1" si="106"/>
        <v>0</v>
      </c>
      <c r="P694" s="3">
        <v>690</v>
      </c>
      <c r="Q694" s="4">
        <f t="shared" ca="1" si="107"/>
        <v>0.97613999215695368</v>
      </c>
      <c r="R694" s="4">
        <f t="shared" ca="1" si="108"/>
        <v>0.54342438993646591</v>
      </c>
      <c r="S694" s="4">
        <f ca="1">$B$1*Q694*$B$2</f>
        <v>39.045599686278152</v>
      </c>
      <c r="T694" s="4">
        <f ca="1">$B$1*R694*$B$2</f>
        <v>21.736975597458638</v>
      </c>
      <c r="U694" s="7">
        <f t="shared" ca="1" si="109"/>
        <v>60.78257528373679</v>
      </c>
    </row>
    <row r="695" spans="2:21" x14ac:dyDescent="0.3">
      <c r="B695" s="13">
        <f t="shared" ca="1" si="100"/>
        <v>0.17035551642636393</v>
      </c>
      <c r="C695" s="14">
        <f t="shared" ca="1" si="100"/>
        <v>0.542705554111098</v>
      </c>
      <c r="D695" s="14">
        <f t="shared" ca="1" si="101"/>
        <v>-0.95276128752332023</v>
      </c>
      <c r="E695" s="14">
        <f t="shared" ca="1" si="102"/>
        <v>0.10725221616469956</v>
      </c>
      <c r="F695" s="14">
        <f t="shared" ca="1" si="103"/>
        <v>-0.81073500159771772</v>
      </c>
      <c r="G695" s="14">
        <f t="shared" ca="1" si="104"/>
        <v>0.17035551642636385</v>
      </c>
      <c r="H695" s="15">
        <f t="shared" ca="1" si="105"/>
        <v>0.542705554111098</v>
      </c>
      <c r="I695" s="14">
        <f ca="1">IF(G695&lt;0.05,1,0)*$B$1*$B$2</f>
        <v>0</v>
      </c>
      <c r="J695" s="14">
        <f ca="1">IF(H695&lt;0.05,1,0)*$B$1*$B$2</f>
        <v>0</v>
      </c>
      <c r="K695" s="15">
        <f t="shared" ca="1" si="106"/>
        <v>0</v>
      </c>
      <c r="P695" s="3">
        <v>691</v>
      </c>
      <c r="Q695" s="4">
        <f t="shared" ca="1" si="107"/>
        <v>0.17035551642636385</v>
      </c>
      <c r="R695" s="4">
        <f t="shared" ca="1" si="108"/>
        <v>0.542705554111098</v>
      </c>
      <c r="S695" s="4">
        <f ca="1">$B$1*Q695*$B$2</f>
        <v>6.8142206570545545</v>
      </c>
      <c r="T695" s="4">
        <f ca="1">$B$1*R695*$B$2</f>
        <v>21.708222164443921</v>
      </c>
      <c r="U695" s="7">
        <f t="shared" ca="1" si="109"/>
        <v>28.522442821498476</v>
      </c>
    </row>
    <row r="696" spans="2:21" x14ac:dyDescent="0.3">
      <c r="B696" s="13">
        <f t="shared" ca="1" si="100"/>
        <v>0.43553097280483577</v>
      </c>
      <c r="C696" s="14">
        <f t="shared" ca="1" si="100"/>
        <v>0.15888174925178422</v>
      </c>
      <c r="D696" s="14">
        <f t="shared" ca="1" si="101"/>
        <v>-0.1623097391925036</v>
      </c>
      <c r="E696" s="14">
        <f t="shared" ca="1" si="102"/>
        <v>-0.99906439336794517</v>
      </c>
      <c r="F696" s="14">
        <f t="shared" ca="1" si="103"/>
        <v>-0.58156083815131721</v>
      </c>
      <c r="G696" s="14">
        <f t="shared" ca="1" si="104"/>
        <v>0.43553097280483577</v>
      </c>
      <c r="H696" s="15">
        <f t="shared" ca="1" si="105"/>
        <v>0.15888174925178369</v>
      </c>
      <c r="I696" s="14">
        <f ca="1">IF(G696&lt;0.05,1,0)*$B$1*$B$2</f>
        <v>0</v>
      </c>
      <c r="J696" s="14">
        <f ca="1">IF(H696&lt;0.05,1,0)*$B$1*$B$2</f>
        <v>0</v>
      </c>
      <c r="K696" s="15">
        <f t="shared" ca="1" si="106"/>
        <v>0</v>
      </c>
      <c r="P696" s="3">
        <v>692</v>
      </c>
      <c r="Q696" s="4">
        <f t="shared" ca="1" si="107"/>
        <v>0.43553097280483577</v>
      </c>
      <c r="R696" s="4">
        <f t="shared" ca="1" si="108"/>
        <v>0.15888174925178369</v>
      </c>
      <c r="S696" s="4">
        <f ca="1">$B$1*Q696*$B$2</f>
        <v>17.421238912193431</v>
      </c>
      <c r="T696" s="4">
        <f ca="1">$B$1*R696*$B$2</f>
        <v>6.3552699700713475</v>
      </c>
      <c r="U696" s="7">
        <f t="shared" ca="1" si="109"/>
        <v>23.776508882264778</v>
      </c>
    </row>
    <row r="697" spans="2:21" x14ac:dyDescent="0.3">
      <c r="B697" s="13">
        <f t="shared" ca="1" si="100"/>
        <v>0.28979104463317606</v>
      </c>
      <c r="C697" s="14">
        <f t="shared" ca="1" si="100"/>
        <v>0.8212475135283378</v>
      </c>
      <c r="D697" s="14">
        <f t="shared" ca="1" si="101"/>
        <v>-0.55399526059869153</v>
      </c>
      <c r="E697" s="14">
        <f t="shared" ca="1" si="102"/>
        <v>0.92012972423427064</v>
      </c>
      <c r="F697" s="14">
        <f t="shared" ca="1" si="103"/>
        <v>-9.7520486250309124E-2</v>
      </c>
      <c r="G697" s="14">
        <f t="shared" ca="1" si="104"/>
        <v>0.28979104463317595</v>
      </c>
      <c r="H697" s="15">
        <f t="shared" ca="1" si="105"/>
        <v>0.82124751352833747</v>
      </c>
      <c r="I697" s="14">
        <f ca="1">IF(G697&lt;0.05,1,0)*$B$1*$B$2</f>
        <v>0</v>
      </c>
      <c r="J697" s="14">
        <f ca="1">IF(H697&lt;0.05,1,0)*$B$1*$B$2</f>
        <v>0</v>
      </c>
      <c r="K697" s="15">
        <f t="shared" ca="1" si="106"/>
        <v>0</v>
      </c>
      <c r="P697" s="3">
        <v>693</v>
      </c>
      <c r="Q697" s="4">
        <f t="shared" ca="1" si="107"/>
        <v>0.28979104463317595</v>
      </c>
      <c r="R697" s="4">
        <f t="shared" ca="1" si="108"/>
        <v>0.82124751352833747</v>
      </c>
      <c r="S697" s="4">
        <f ca="1">$B$1*Q697*$B$2</f>
        <v>11.59164178532704</v>
      </c>
      <c r="T697" s="4">
        <f ca="1">$B$1*R697*$B$2</f>
        <v>32.849900541133501</v>
      </c>
      <c r="U697" s="7">
        <f t="shared" ca="1" si="109"/>
        <v>44.441542326460542</v>
      </c>
    </row>
    <row r="698" spans="2:21" x14ac:dyDescent="0.3">
      <c r="B698" s="13">
        <f t="shared" ca="1" si="100"/>
        <v>0.26964965020294607</v>
      </c>
      <c r="C698" s="14">
        <f t="shared" ca="1" si="100"/>
        <v>0.16586699560560969</v>
      </c>
      <c r="D698" s="14">
        <f t="shared" ca="1" si="101"/>
        <v>-0.61387292873716581</v>
      </c>
      <c r="E698" s="14">
        <f t="shared" ca="1" si="102"/>
        <v>-0.97062712943855345</v>
      </c>
      <c r="F698" s="14">
        <f t="shared" ca="1" si="103"/>
        <v>-0.97557219277161189</v>
      </c>
      <c r="G698" s="14">
        <f t="shared" ca="1" si="104"/>
        <v>0.26964965020294596</v>
      </c>
      <c r="H698" s="15">
        <f t="shared" ca="1" si="105"/>
        <v>0.16586699560560983</v>
      </c>
      <c r="I698" s="14">
        <f ca="1">IF(G698&lt;0.05,1,0)*$B$1*$B$2</f>
        <v>0</v>
      </c>
      <c r="J698" s="14">
        <f ca="1">IF(H698&lt;0.05,1,0)*$B$1*$B$2</f>
        <v>0</v>
      </c>
      <c r="K698" s="15">
        <f t="shared" ca="1" si="106"/>
        <v>0</v>
      </c>
      <c r="P698" s="3">
        <v>694</v>
      </c>
      <c r="Q698" s="4">
        <f t="shared" ca="1" si="107"/>
        <v>0.26964965020294596</v>
      </c>
      <c r="R698" s="4">
        <f t="shared" ca="1" si="108"/>
        <v>0.16586699560560983</v>
      </c>
      <c r="S698" s="4">
        <f ca="1">$B$1*Q698*$B$2</f>
        <v>10.785986008117838</v>
      </c>
      <c r="T698" s="4">
        <f ca="1">$B$1*R698*$B$2</f>
        <v>6.6346798242243938</v>
      </c>
      <c r="U698" s="7">
        <f t="shared" ca="1" si="109"/>
        <v>17.42066583234223</v>
      </c>
    </row>
    <row r="699" spans="2:21" x14ac:dyDescent="0.3">
      <c r="B699" s="13">
        <f t="shared" ca="1" si="100"/>
        <v>0.76120027280228375</v>
      </c>
      <c r="C699" s="14">
        <f t="shared" ca="1" si="100"/>
        <v>0.86977708095982864</v>
      </c>
      <c r="D699" s="14">
        <f t="shared" ca="1" si="101"/>
        <v>0.71016881887803329</v>
      </c>
      <c r="E699" s="14">
        <f t="shared" ca="1" si="102"/>
        <v>1.1253379877508261</v>
      </c>
      <c r="F699" s="14">
        <f t="shared" ca="1" si="103"/>
        <v>1.1296753935835562</v>
      </c>
      <c r="G699" s="14">
        <f t="shared" ca="1" si="104"/>
        <v>0.76120027280228386</v>
      </c>
      <c r="H699" s="15">
        <f t="shared" ca="1" si="105"/>
        <v>0.86977708095982875</v>
      </c>
      <c r="I699" s="14">
        <f ca="1">IF(G699&lt;0.05,1,0)*$B$1*$B$2</f>
        <v>0</v>
      </c>
      <c r="J699" s="14">
        <f ca="1">IF(H699&lt;0.05,1,0)*$B$1*$B$2</f>
        <v>0</v>
      </c>
      <c r="K699" s="15">
        <f t="shared" ca="1" si="106"/>
        <v>0</v>
      </c>
      <c r="P699" s="3">
        <v>695</v>
      </c>
      <c r="Q699" s="4">
        <f t="shared" ca="1" si="107"/>
        <v>0.76120027280228386</v>
      </c>
      <c r="R699" s="4">
        <f t="shared" ca="1" si="108"/>
        <v>0.86977708095982875</v>
      </c>
      <c r="S699" s="4">
        <f ca="1">$B$1*Q699*$B$2</f>
        <v>30.448010912091355</v>
      </c>
      <c r="T699" s="4">
        <f ca="1">$B$1*R699*$B$2</f>
        <v>34.791083238393149</v>
      </c>
      <c r="U699" s="7">
        <f t="shared" ca="1" si="109"/>
        <v>65.239094150484505</v>
      </c>
    </row>
    <row r="700" spans="2:21" x14ac:dyDescent="0.3">
      <c r="B700" s="13">
        <f t="shared" ca="1" si="100"/>
        <v>0.45783731545659523</v>
      </c>
      <c r="C700" s="14">
        <f t="shared" ca="1" si="100"/>
        <v>0.11350591248684638</v>
      </c>
      <c r="D700" s="14">
        <f t="shared" ca="1" si="101"/>
        <v>-0.10588369491077147</v>
      </c>
      <c r="E700" s="14">
        <f t="shared" ca="1" si="102"/>
        <v>-1.2080921341813065</v>
      </c>
      <c r="F700" s="14">
        <f t="shared" ca="1" si="103"/>
        <v>-0.62189047815796361</v>
      </c>
      <c r="G700" s="14">
        <f t="shared" ca="1" si="104"/>
        <v>0.45783731545659523</v>
      </c>
      <c r="H700" s="15">
        <f t="shared" ca="1" si="105"/>
        <v>0.11350591248684627</v>
      </c>
      <c r="I700" s="14">
        <f ca="1">IF(G700&lt;0.05,1,0)*$B$1*$B$2</f>
        <v>0</v>
      </c>
      <c r="J700" s="14">
        <f ca="1">IF(H700&lt;0.05,1,0)*$B$1*$B$2</f>
        <v>0</v>
      </c>
      <c r="K700" s="15">
        <f t="shared" ca="1" si="106"/>
        <v>0</v>
      </c>
      <c r="P700" s="3">
        <v>696</v>
      </c>
      <c r="Q700" s="4">
        <f t="shared" ca="1" si="107"/>
        <v>0.45783731545659523</v>
      </c>
      <c r="R700" s="4">
        <f t="shared" ca="1" si="108"/>
        <v>0.11350591248684627</v>
      </c>
      <c r="S700" s="4">
        <f ca="1">$B$1*Q700*$B$2</f>
        <v>18.313492618263808</v>
      </c>
      <c r="T700" s="4">
        <f ca="1">$B$1*R700*$B$2</f>
        <v>4.5402364994738509</v>
      </c>
      <c r="U700" s="7">
        <f t="shared" ca="1" si="109"/>
        <v>22.853729117737657</v>
      </c>
    </row>
    <row r="701" spans="2:21" x14ac:dyDescent="0.3">
      <c r="B701" s="13">
        <f t="shared" ca="1" si="100"/>
        <v>0.93702401032329397</v>
      </c>
      <c r="C701" s="14">
        <f t="shared" ca="1" si="100"/>
        <v>0.19881488739563158</v>
      </c>
      <c r="D701" s="14">
        <f t="shared" ca="1" si="101"/>
        <v>1.5302616397719888</v>
      </c>
      <c r="E701" s="14">
        <f t="shared" ca="1" si="102"/>
        <v>-0.84586192560270934</v>
      </c>
      <c r="F701" s="14">
        <f t="shared" ca="1" si="103"/>
        <v>1.008532810405697</v>
      </c>
      <c r="G701" s="14">
        <f t="shared" ca="1" si="104"/>
        <v>0.93702401032329408</v>
      </c>
      <c r="H701" s="15">
        <f t="shared" ca="1" si="105"/>
        <v>0.19881488739563155</v>
      </c>
      <c r="I701" s="14">
        <f ca="1">IF(G701&lt;0.05,1,0)*$B$1*$B$2</f>
        <v>0</v>
      </c>
      <c r="J701" s="14">
        <f ca="1">IF(H701&lt;0.05,1,0)*$B$1*$B$2</f>
        <v>0</v>
      </c>
      <c r="K701" s="15">
        <f t="shared" ca="1" si="106"/>
        <v>0</v>
      </c>
      <c r="P701" s="3">
        <v>697</v>
      </c>
      <c r="Q701" s="4">
        <f t="shared" ca="1" si="107"/>
        <v>0.93702401032329408</v>
      </c>
      <c r="R701" s="4">
        <f t="shared" ca="1" si="108"/>
        <v>0.19881488739563155</v>
      </c>
      <c r="S701" s="4">
        <f ca="1">$B$1*Q701*$B$2</f>
        <v>37.480960412931765</v>
      </c>
      <c r="T701" s="4">
        <f ca="1">$B$1*R701*$B$2</f>
        <v>7.9525954958252631</v>
      </c>
      <c r="U701" s="7">
        <f t="shared" ca="1" si="109"/>
        <v>45.433555908757029</v>
      </c>
    </row>
    <row r="702" spans="2:21" x14ac:dyDescent="0.3">
      <c r="B702" s="13">
        <f t="shared" ca="1" si="100"/>
        <v>0.3375708907645808</v>
      </c>
      <c r="C702" s="14">
        <f t="shared" ca="1" si="100"/>
        <v>0.42641878956162282</v>
      </c>
      <c r="D702" s="14">
        <f t="shared" ca="1" si="101"/>
        <v>-0.41910173667980483</v>
      </c>
      <c r="E702" s="14">
        <f t="shared" ca="1" si="102"/>
        <v>-0.18549910891167884</v>
      </c>
      <c r="F702" s="14">
        <f t="shared" ca="1" si="103"/>
        <v>-0.45804874999810963</v>
      </c>
      <c r="G702" s="14">
        <f t="shared" ca="1" si="104"/>
        <v>0.3375708907645808</v>
      </c>
      <c r="H702" s="15">
        <f t="shared" ca="1" si="105"/>
        <v>0.42641878956162282</v>
      </c>
      <c r="I702" s="14">
        <f ca="1">IF(G702&lt;0.05,1,0)*$B$1*$B$2</f>
        <v>0</v>
      </c>
      <c r="J702" s="14">
        <f ca="1">IF(H702&lt;0.05,1,0)*$B$1*$B$2</f>
        <v>0</v>
      </c>
      <c r="K702" s="15">
        <f t="shared" ca="1" si="106"/>
        <v>0</v>
      </c>
      <c r="P702" s="3">
        <v>698</v>
      </c>
      <c r="Q702" s="4">
        <f t="shared" ca="1" si="107"/>
        <v>0.3375708907645808</v>
      </c>
      <c r="R702" s="4">
        <f t="shared" ca="1" si="108"/>
        <v>0.42641878956162282</v>
      </c>
      <c r="S702" s="4">
        <f ca="1">$B$1*Q702*$B$2</f>
        <v>13.502835630583233</v>
      </c>
      <c r="T702" s="4">
        <f ca="1">$B$1*R702*$B$2</f>
        <v>17.056751582464912</v>
      </c>
      <c r="U702" s="7">
        <f t="shared" ca="1" si="109"/>
        <v>30.559587213048147</v>
      </c>
    </row>
    <row r="703" spans="2:21" x14ac:dyDescent="0.3">
      <c r="B703" s="13">
        <f t="shared" ca="1" si="100"/>
        <v>3.5281998076766019E-3</v>
      </c>
      <c r="C703" s="14">
        <f t="shared" ca="1" si="100"/>
        <v>0.39432008286125897</v>
      </c>
      <c r="D703" s="14">
        <f t="shared" ca="1" si="101"/>
        <v>-2.6941707916690421</v>
      </c>
      <c r="E703" s="14">
        <f t="shared" ca="1" si="102"/>
        <v>-0.26807684889897321</v>
      </c>
      <c r="F703" s="14">
        <f t="shared" ca="1" si="103"/>
        <v>-2.5416057018474829</v>
      </c>
      <c r="G703" s="14">
        <f t="shared" ca="1" si="104"/>
        <v>3.5281998076766023E-3</v>
      </c>
      <c r="H703" s="15">
        <f t="shared" ca="1" si="105"/>
        <v>0.39432008286125891</v>
      </c>
      <c r="I703" s="14">
        <f ca="1">IF(G703&lt;0.05,1,0)*$B$1*$B$2</f>
        <v>40</v>
      </c>
      <c r="J703" s="14">
        <f ca="1">IF(H703&lt;0.05,1,0)*$B$1*$B$2</f>
        <v>0</v>
      </c>
      <c r="K703" s="15">
        <f t="shared" ca="1" si="106"/>
        <v>40</v>
      </c>
      <c r="P703" s="3">
        <v>699</v>
      </c>
      <c r="Q703" s="4">
        <f t="shared" ca="1" si="107"/>
        <v>3.5281998076766023E-3</v>
      </c>
      <c r="R703" s="4">
        <f t="shared" ca="1" si="108"/>
        <v>0.39432008286125891</v>
      </c>
      <c r="S703" s="4">
        <f ca="1">$B$1*Q703*$B$2</f>
        <v>0.1411279923070641</v>
      </c>
      <c r="T703" s="4">
        <f ca="1">$B$1*R703*$B$2</f>
        <v>15.772803314450357</v>
      </c>
      <c r="U703" s="7">
        <f t="shared" ca="1" si="109"/>
        <v>15.913931306757421</v>
      </c>
    </row>
    <row r="704" spans="2:21" x14ac:dyDescent="0.3">
      <c r="B704" s="13">
        <f t="shared" ca="1" si="100"/>
        <v>0.6058900242328138</v>
      </c>
      <c r="C704" s="14">
        <f t="shared" ca="1" si="100"/>
        <v>0.52885667712223816</v>
      </c>
      <c r="D704" s="14">
        <f t="shared" ca="1" si="101"/>
        <v>0.26862281764573309</v>
      </c>
      <c r="E704" s="14">
        <f t="shared" ca="1" si="102"/>
        <v>7.2396153589289622E-2</v>
      </c>
      <c r="F704" s="14">
        <f t="shared" ca="1" si="103"/>
        <v>0.27331728762083607</v>
      </c>
      <c r="G704" s="14">
        <f t="shared" ca="1" si="104"/>
        <v>0.6058900242328138</v>
      </c>
      <c r="H704" s="15">
        <f t="shared" ca="1" si="105"/>
        <v>0.52885667712223816</v>
      </c>
      <c r="I704" s="14">
        <f ca="1">IF(G704&lt;0.05,1,0)*$B$1*$B$2</f>
        <v>0</v>
      </c>
      <c r="J704" s="14">
        <f ca="1">IF(H704&lt;0.05,1,0)*$B$1*$B$2</f>
        <v>0</v>
      </c>
      <c r="K704" s="15">
        <f t="shared" ca="1" si="106"/>
        <v>0</v>
      </c>
      <c r="P704" s="3">
        <v>700</v>
      </c>
      <c r="Q704" s="4">
        <f t="shared" ca="1" si="107"/>
        <v>0.6058900242328138</v>
      </c>
      <c r="R704" s="4">
        <f t="shared" ca="1" si="108"/>
        <v>0.52885667712223816</v>
      </c>
      <c r="S704" s="4">
        <f ca="1">$B$1*Q704*$B$2</f>
        <v>24.235600969312554</v>
      </c>
      <c r="T704" s="4">
        <f ca="1">$B$1*R704*$B$2</f>
        <v>21.154267084889526</v>
      </c>
      <c r="U704" s="7">
        <f t="shared" ca="1" si="109"/>
        <v>45.389868054202083</v>
      </c>
    </row>
    <row r="705" spans="2:21" x14ac:dyDescent="0.3">
      <c r="B705" s="13">
        <f t="shared" ca="1" si="100"/>
        <v>0.3577795213538788</v>
      </c>
      <c r="C705" s="14">
        <f t="shared" ca="1" si="100"/>
        <v>0.87978668353648504</v>
      </c>
      <c r="D705" s="14">
        <f t="shared" ca="1" si="101"/>
        <v>-0.36440039211551978</v>
      </c>
      <c r="E705" s="14">
        <f t="shared" ca="1" si="102"/>
        <v>1.1739210929028554</v>
      </c>
      <c r="F705" s="14">
        <f t="shared" ca="1" si="103"/>
        <v>0.18373998826146903</v>
      </c>
      <c r="G705" s="14">
        <f t="shared" ca="1" si="104"/>
        <v>0.3577795213538788</v>
      </c>
      <c r="H705" s="15">
        <f t="shared" ca="1" si="105"/>
        <v>0.87978668353648504</v>
      </c>
      <c r="I705" s="14">
        <f ca="1">IF(G705&lt;0.05,1,0)*$B$1*$B$2</f>
        <v>0</v>
      </c>
      <c r="J705" s="14">
        <f ca="1">IF(H705&lt;0.05,1,0)*$B$1*$B$2</f>
        <v>0</v>
      </c>
      <c r="K705" s="15">
        <f t="shared" ca="1" si="106"/>
        <v>0</v>
      </c>
      <c r="P705" s="3">
        <v>701</v>
      </c>
      <c r="Q705" s="4">
        <f t="shared" ca="1" si="107"/>
        <v>0.3577795213538788</v>
      </c>
      <c r="R705" s="4">
        <f t="shared" ca="1" si="108"/>
        <v>0.87978668353648504</v>
      </c>
      <c r="S705" s="4">
        <f ca="1">$B$1*Q705*$B$2</f>
        <v>14.311180854155152</v>
      </c>
      <c r="T705" s="4">
        <f ca="1">$B$1*R705*$B$2</f>
        <v>35.191467341459401</v>
      </c>
      <c r="U705" s="7">
        <f t="shared" ca="1" si="109"/>
        <v>49.502648195614555</v>
      </c>
    </row>
    <row r="706" spans="2:21" x14ac:dyDescent="0.3">
      <c r="B706" s="13">
        <f t="shared" ca="1" si="100"/>
        <v>0.80714310438831283</v>
      </c>
      <c r="C706" s="14">
        <f t="shared" ca="1" si="100"/>
        <v>0.37099692161014031</v>
      </c>
      <c r="D706" s="14">
        <f t="shared" ca="1" si="101"/>
        <v>0.86741659721780151</v>
      </c>
      <c r="E706" s="14">
        <f t="shared" ca="1" si="102"/>
        <v>-0.32921413036653535</v>
      </c>
      <c r="F706" s="14">
        <f t="shared" ca="1" si="103"/>
        <v>0.63717382499068609</v>
      </c>
      <c r="G706" s="14">
        <f t="shared" ca="1" si="104"/>
        <v>0.80714310438831283</v>
      </c>
      <c r="H706" s="15">
        <f t="shared" ca="1" si="105"/>
        <v>0.37099692161014031</v>
      </c>
      <c r="I706" s="14">
        <f ca="1">IF(G706&lt;0.05,1,0)*$B$1*$B$2</f>
        <v>0</v>
      </c>
      <c r="J706" s="14">
        <f ca="1">IF(H706&lt;0.05,1,0)*$B$1*$B$2</f>
        <v>0</v>
      </c>
      <c r="K706" s="15">
        <f t="shared" ca="1" si="106"/>
        <v>0</v>
      </c>
      <c r="P706" s="3">
        <v>702</v>
      </c>
      <c r="Q706" s="4">
        <f t="shared" ca="1" si="107"/>
        <v>0.80714310438831283</v>
      </c>
      <c r="R706" s="4">
        <f t="shared" ca="1" si="108"/>
        <v>0.37099692161014031</v>
      </c>
      <c r="S706" s="4">
        <f ca="1">$B$1*Q706*$B$2</f>
        <v>32.285724175532515</v>
      </c>
      <c r="T706" s="4">
        <f ca="1">$B$1*R706*$B$2</f>
        <v>14.839876864405614</v>
      </c>
      <c r="U706" s="7">
        <f t="shared" ca="1" si="109"/>
        <v>47.125601039938132</v>
      </c>
    </row>
    <row r="707" spans="2:21" x14ac:dyDescent="0.3">
      <c r="B707" s="13">
        <f t="shared" ca="1" si="100"/>
        <v>0.99288981065795479</v>
      </c>
      <c r="C707" s="14">
        <f t="shared" ca="1" si="100"/>
        <v>0.22709951610459589</v>
      </c>
      <c r="D707" s="14">
        <f t="shared" ca="1" si="101"/>
        <v>2.4516477650366437</v>
      </c>
      <c r="E707" s="14">
        <f t="shared" ca="1" si="102"/>
        <v>-0.74843298618102694</v>
      </c>
      <c r="F707" s="14">
        <f t="shared" ca="1" si="103"/>
        <v>1.8802486132554324</v>
      </c>
      <c r="G707" s="14">
        <f t="shared" ca="1" si="104"/>
        <v>0.99288981065795479</v>
      </c>
      <c r="H707" s="15">
        <f t="shared" ca="1" si="105"/>
        <v>0.22709951610459583</v>
      </c>
      <c r="I707" s="14">
        <f ca="1">IF(G707&lt;0.05,1,0)*$B$1*$B$2</f>
        <v>0</v>
      </c>
      <c r="J707" s="14">
        <f ca="1">IF(H707&lt;0.05,1,0)*$B$1*$B$2</f>
        <v>0</v>
      </c>
      <c r="K707" s="15">
        <f t="shared" ca="1" si="106"/>
        <v>0</v>
      </c>
      <c r="P707" s="3">
        <v>703</v>
      </c>
      <c r="Q707" s="4">
        <f t="shared" ca="1" si="107"/>
        <v>0.99288981065795479</v>
      </c>
      <c r="R707" s="4">
        <f t="shared" ca="1" si="108"/>
        <v>0.22709951610459583</v>
      </c>
      <c r="S707" s="4">
        <f ca="1">$B$1*Q707*$B$2</f>
        <v>39.715592426318196</v>
      </c>
      <c r="T707" s="4">
        <f ca="1">$B$1*R707*$B$2</f>
        <v>9.0839806441838338</v>
      </c>
      <c r="U707" s="7">
        <f t="shared" ca="1" si="109"/>
        <v>48.799573070502028</v>
      </c>
    </row>
    <row r="708" spans="2:21" x14ac:dyDescent="0.3">
      <c r="B708" s="13">
        <f t="shared" ca="1" si="100"/>
        <v>0.66988469858874156</v>
      </c>
      <c r="C708" s="14">
        <f t="shared" ca="1" si="100"/>
        <v>0.21389587882709138</v>
      </c>
      <c r="D708" s="14">
        <f t="shared" ca="1" si="101"/>
        <v>0.43959480657421951</v>
      </c>
      <c r="E708" s="14">
        <f t="shared" ca="1" si="102"/>
        <v>-0.79297608272696662</v>
      </c>
      <c r="F708" s="14">
        <f t="shared" ca="1" si="103"/>
        <v>4.9985064991637962E-2</v>
      </c>
      <c r="G708" s="14">
        <f t="shared" ca="1" si="104"/>
        <v>0.66988469858874167</v>
      </c>
      <c r="H708" s="15">
        <f t="shared" ca="1" si="105"/>
        <v>0.21389587882709127</v>
      </c>
      <c r="I708" s="14">
        <f ca="1">IF(G708&lt;0.05,1,0)*$B$1*$B$2</f>
        <v>0</v>
      </c>
      <c r="J708" s="14">
        <f ca="1">IF(H708&lt;0.05,1,0)*$B$1*$B$2</f>
        <v>0</v>
      </c>
      <c r="K708" s="15">
        <f t="shared" ca="1" si="106"/>
        <v>0</v>
      </c>
      <c r="P708" s="3">
        <v>704</v>
      </c>
      <c r="Q708" s="4">
        <f t="shared" ca="1" si="107"/>
        <v>0.66988469858874167</v>
      </c>
      <c r="R708" s="4">
        <f t="shared" ca="1" si="108"/>
        <v>0.21389587882709127</v>
      </c>
      <c r="S708" s="4">
        <f ca="1">$B$1*Q708*$B$2</f>
        <v>26.79538794354967</v>
      </c>
      <c r="T708" s="4">
        <f ca="1">$B$1*R708*$B$2</f>
        <v>8.5558351530836507</v>
      </c>
      <c r="U708" s="7">
        <f t="shared" ca="1" si="109"/>
        <v>35.351223096633319</v>
      </c>
    </row>
    <row r="709" spans="2:21" x14ac:dyDescent="0.3">
      <c r="B709" s="13">
        <f t="shared" ca="1" si="100"/>
        <v>5.7590803015678982E-2</v>
      </c>
      <c r="C709" s="14">
        <f t="shared" ca="1" si="100"/>
        <v>0.20775594610880921</v>
      </c>
      <c r="D709" s="14">
        <f t="shared" ca="1" si="101"/>
        <v>-1.5753243074513537</v>
      </c>
      <c r="E709" s="14">
        <f t="shared" ca="1" si="102"/>
        <v>-0.81423228722389385</v>
      </c>
      <c r="F709" s="14">
        <f t="shared" ca="1" si="103"/>
        <v>-1.7727075023639118</v>
      </c>
      <c r="G709" s="14">
        <f t="shared" ca="1" si="104"/>
        <v>5.7590803015678961E-2</v>
      </c>
      <c r="H709" s="15">
        <f t="shared" ca="1" si="105"/>
        <v>0.20775594610880913</v>
      </c>
      <c r="I709" s="14">
        <f ca="1">IF(G709&lt;0.05,1,0)*$B$1*$B$2</f>
        <v>0</v>
      </c>
      <c r="J709" s="14">
        <f ca="1">IF(H709&lt;0.05,1,0)*$B$1*$B$2</f>
        <v>0</v>
      </c>
      <c r="K709" s="15">
        <f t="shared" ca="1" si="106"/>
        <v>0</v>
      </c>
      <c r="P709" s="3">
        <v>705</v>
      </c>
      <c r="Q709" s="4">
        <f t="shared" ca="1" si="107"/>
        <v>5.7590803015678961E-2</v>
      </c>
      <c r="R709" s="4">
        <f t="shared" ca="1" si="108"/>
        <v>0.20775594610880913</v>
      </c>
      <c r="S709" s="4">
        <f ca="1">$B$1*Q709*$B$2</f>
        <v>2.3036321206271584</v>
      </c>
      <c r="T709" s="4">
        <f ca="1">$B$1*R709*$B$2</f>
        <v>8.3102378443523648</v>
      </c>
      <c r="U709" s="7">
        <f t="shared" ca="1" si="109"/>
        <v>10.613869964979523</v>
      </c>
    </row>
    <row r="710" spans="2:21" x14ac:dyDescent="0.3">
      <c r="B710" s="13">
        <f t="shared" ref="B710:C773" ca="1" si="110">RAND()</f>
        <v>0.85508360092013369</v>
      </c>
      <c r="C710" s="14">
        <f t="shared" ca="1" si="110"/>
        <v>0.69947806954550218</v>
      </c>
      <c r="D710" s="14">
        <f t="shared" ref="D710:D773" ca="1" si="111">_xlfn.NORM.S.INV(B710)</f>
        <v>1.0584884841215543</v>
      </c>
      <c r="E710" s="14">
        <f t="shared" ref="E710:E773" ca="1" si="112">_xlfn.NORM.S.INV(C710)</f>
        <v>0.52289997658179377</v>
      </c>
      <c r="F710" s="14">
        <f t="shared" ref="F710:F773" ca="1" si="113">($Y$5*D710)+(SQRT(1-$Y$5^2)*E710)</f>
        <v>1.1805664512593812</v>
      </c>
      <c r="G710" s="14">
        <f t="shared" ref="G710:G773" ca="1" si="114">_xlfn.NORM.S.DIST(D710,TRUE)</f>
        <v>0.85508360092013369</v>
      </c>
      <c r="H710" s="15">
        <f t="shared" ref="H710:H773" ca="1" si="115">_xlfn.NORM.S.DIST(E710,TRUE)</f>
        <v>0.69947806954550229</v>
      </c>
      <c r="I710" s="14">
        <f ca="1">IF(G710&lt;0.05,1,0)*$B$1*$B$2</f>
        <v>0</v>
      </c>
      <c r="J710" s="14">
        <f ca="1">IF(H710&lt;0.05,1,0)*$B$1*$B$2</f>
        <v>0</v>
      </c>
      <c r="K710" s="15">
        <f t="shared" ref="K710:K773" ca="1" si="116">I710+J710</f>
        <v>0</v>
      </c>
      <c r="P710" s="3">
        <v>706</v>
      </c>
      <c r="Q710" s="4">
        <f t="shared" ref="Q710:Q773" ca="1" si="117">G710</f>
        <v>0.85508360092013369</v>
      </c>
      <c r="R710" s="4">
        <f t="shared" ref="R710:R773" ca="1" si="118">H710</f>
        <v>0.69947806954550229</v>
      </c>
      <c r="S710" s="4">
        <f ca="1">$B$1*Q710*$B$2</f>
        <v>34.203344036805348</v>
      </c>
      <c r="T710" s="4">
        <f ca="1">$B$1*R710*$B$2</f>
        <v>27.979122781820095</v>
      </c>
      <c r="U710" s="7">
        <f t="shared" ref="U710:U773" ca="1" si="119">S710+T710</f>
        <v>62.182466818625443</v>
      </c>
    </row>
    <row r="711" spans="2:21" x14ac:dyDescent="0.3">
      <c r="B711" s="13">
        <f t="shared" ca="1" si="110"/>
        <v>0.39679479818304164</v>
      </c>
      <c r="C711" s="14">
        <f t="shared" ca="1" si="110"/>
        <v>0.81470556972617802</v>
      </c>
      <c r="D711" s="14">
        <f t="shared" ca="1" si="111"/>
        <v>-0.26165219919609189</v>
      </c>
      <c r="E711" s="14">
        <f t="shared" ca="1" si="112"/>
        <v>0.89537088233070439</v>
      </c>
      <c r="F711" s="14">
        <f t="shared" ca="1" si="113"/>
        <v>0.15479614003035602</v>
      </c>
      <c r="G711" s="14">
        <f t="shared" ca="1" si="114"/>
        <v>0.39679479818304164</v>
      </c>
      <c r="H711" s="15">
        <f t="shared" ca="1" si="115"/>
        <v>0.8147055697261778</v>
      </c>
      <c r="I711" s="14">
        <f ca="1">IF(G711&lt;0.05,1,0)*$B$1*$B$2</f>
        <v>0</v>
      </c>
      <c r="J711" s="14">
        <f ca="1">IF(H711&lt;0.05,1,0)*$B$1*$B$2</f>
        <v>0</v>
      </c>
      <c r="K711" s="15">
        <f t="shared" ca="1" si="116"/>
        <v>0</v>
      </c>
      <c r="P711" s="3">
        <v>707</v>
      </c>
      <c r="Q711" s="4">
        <f t="shared" ca="1" si="117"/>
        <v>0.39679479818304164</v>
      </c>
      <c r="R711" s="4">
        <f t="shared" ca="1" si="118"/>
        <v>0.8147055697261778</v>
      </c>
      <c r="S711" s="4">
        <f ca="1">$B$1*Q711*$B$2</f>
        <v>15.871791927321667</v>
      </c>
      <c r="T711" s="4">
        <f ca="1">$B$1*R711*$B$2</f>
        <v>32.588222789047116</v>
      </c>
      <c r="U711" s="7">
        <f t="shared" ca="1" si="119"/>
        <v>48.460014716368782</v>
      </c>
    </row>
    <row r="712" spans="2:21" x14ac:dyDescent="0.3">
      <c r="B712" s="13">
        <f t="shared" ca="1" si="110"/>
        <v>0.91633627593834965</v>
      </c>
      <c r="C712" s="14">
        <f t="shared" ca="1" si="110"/>
        <v>6.8729248049650526E-2</v>
      </c>
      <c r="D712" s="14">
        <f t="shared" ca="1" si="111"/>
        <v>1.3808423199028113</v>
      </c>
      <c r="E712" s="14">
        <f t="shared" ca="1" si="112"/>
        <v>-1.4853221914159245</v>
      </c>
      <c r="F712" s="14">
        <f t="shared" ca="1" si="113"/>
        <v>0.59532115481449122</v>
      </c>
      <c r="G712" s="14">
        <f t="shared" ca="1" si="114"/>
        <v>0.91633627593834965</v>
      </c>
      <c r="H712" s="15">
        <f t="shared" ca="1" si="115"/>
        <v>6.8729248049650582E-2</v>
      </c>
      <c r="I712" s="14">
        <f ca="1">IF(G712&lt;0.05,1,0)*$B$1*$B$2</f>
        <v>0</v>
      </c>
      <c r="J712" s="14">
        <f ca="1">IF(H712&lt;0.05,1,0)*$B$1*$B$2</f>
        <v>0</v>
      </c>
      <c r="K712" s="15">
        <f t="shared" ca="1" si="116"/>
        <v>0</v>
      </c>
      <c r="P712" s="3">
        <v>708</v>
      </c>
      <c r="Q712" s="4">
        <f t="shared" ca="1" si="117"/>
        <v>0.91633627593834965</v>
      </c>
      <c r="R712" s="4">
        <f t="shared" ca="1" si="118"/>
        <v>6.8729248049650582E-2</v>
      </c>
      <c r="S712" s="4">
        <f ca="1">$B$1*Q712*$B$2</f>
        <v>36.653451037533983</v>
      </c>
      <c r="T712" s="4">
        <f ca="1">$B$1*R712*$B$2</f>
        <v>2.7491699219860237</v>
      </c>
      <c r="U712" s="7">
        <f t="shared" ca="1" si="119"/>
        <v>39.402620959520007</v>
      </c>
    </row>
    <row r="713" spans="2:21" x14ac:dyDescent="0.3">
      <c r="B713" s="13">
        <f t="shared" ca="1" si="110"/>
        <v>0.14767935428868673</v>
      </c>
      <c r="C713" s="14">
        <f t="shared" ca="1" si="110"/>
        <v>0.63991295638523449</v>
      </c>
      <c r="D713" s="14">
        <f t="shared" ca="1" si="111"/>
        <v>-1.0464383194858937</v>
      </c>
      <c r="E713" s="14">
        <f t="shared" ca="1" si="112"/>
        <v>0.35822613921919161</v>
      </c>
      <c r="F713" s="14">
        <f t="shared" ca="1" si="113"/>
        <v>-0.7856473335581855</v>
      </c>
      <c r="G713" s="14">
        <f t="shared" ca="1" si="114"/>
        <v>0.14767935428868698</v>
      </c>
      <c r="H713" s="15">
        <f t="shared" ca="1" si="115"/>
        <v>0.63991295638523449</v>
      </c>
      <c r="I713" s="14">
        <f ca="1">IF(G713&lt;0.05,1,0)*$B$1*$B$2</f>
        <v>0</v>
      </c>
      <c r="J713" s="14">
        <f ca="1">IF(H713&lt;0.05,1,0)*$B$1*$B$2</f>
        <v>0</v>
      </c>
      <c r="K713" s="15">
        <f t="shared" ca="1" si="116"/>
        <v>0</v>
      </c>
      <c r="P713" s="3">
        <v>709</v>
      </c>
      <c r="Q713" s="4">
        <f t="shared" ca="1" si="117"/>
        <v>0.14767935428868698</v>
      </c>
      <c r="R713" s="4">
        <f t="shared" ca="1" si="118"/>
        <v>0.63991295638523449</v>
      </c>
      <c r="S713" s="4">
        <f ca="1">$B$1*Q713*$B$2</f>
        <v>5.9071741715474797</v>
      </c>
      <c r="T713" s="4">
        <f ca="1">$B$1*R713*$B$2</f>
        <v>25.596518255409379</v>
      </c>
      <c r="U713" s="7">
        <f t="shared" ca="1" si="119"/>
        <v>31.50369242695686</v>
      </c>
    </row>
    <row r="714" spans="2:21" x14ac:dyDescent="0.3">
      <c r="B714" s="13">
        <f t="shared" ca="1" si="110"/>
        <v>0.75953290630959724</v>
      </c>
      <c r="C714" s="14">
        <f t="shared" ca="1" si="110"/>
        <v>0.98000086441691558</v>
      </c>
      <c r="D714" s="14">
        <f t="shared" ca="1" si="111"/>
        <v>0.70480083736824306</v>
      </c>
      <c r="E714" s="14">
        <f t="shared" ca="1" si="112"/>
        <v>2.0537667641230324</v>
      </c>
      <c r="F714" s="14">
        <f t="shared" ca="1" si="113"/>
        <v>1.5295369314729022</v>
      </c>
      <c r="G714" s="14">
        <f t="shared" ca="1" si="114"/>
        <v>0.75953290630959724</v>
      </c>
      <c r="H714" s="15">
        <f t="shared" ca="1" si="115"/>
        <v>0.98000086441691558</v>
      </c>
      <c r="I714" s="14">
        <f ca="1">IF(G714&lt;0.05,1,0)*$B$1*$B$2</f>
        <v>0</v>
      </c>
      <c r="J714" s="14">
        <f ca="1">IF(H714&lt;0.05,1,0)*$B$1*$B$2</f>
        <v>0</v>
      </c>
      <c r="K714" s="15">
        <f t="shared" ca="1" si="116"/>
        <v>0</v>
      </c>
      <c r="P714" s="3">
        <v>710</v>
      </c>
      <c r="Q714" s="4">
        <f t="shared" ca="1" si="117"/>
        <v>0.75953290630959724</v>
      </c>
      <c r="R714" s="4">
        <f t="shared" ca="1" si="118"/>
        <v>0.98000086441691558</v>
      </c>
      <c r="S714" s="4">
        <f ca="1">$B$1*Q714*$B$2</f>
        <v>30.381316252383893</v>
      </c>
      <c r="T714" s="4">
        <f ca="1">$B$1*R714*$B$2</f>
        <v>39.200034576676629</v>
      </c>
      <c r="U714" s="7">
        <f t="shared" ca="1" si="119"/>
        <v>69.581350829060526</v>
      </c>
    </row>
    <row r="715" spans="2:21" x14ac:dyDescent="0.3">
      <c r="B715" s="13">
        <f t="shared" ca="1" si="110"/>
        <v>0.45033885856028211</v>
      </c>
      <c r="C715" s="14">
        <f t="shared" ca="1" si="110"/>
        <v>0.99333307291762907</v>
      </c>
      <c r="D715" s="14">
        <f t="shared" ca="1" si="111"/>
        <v>-0.12480526752438362</v>
      </c>
      <c r="E715" s="14">
        <f t="shared" ca="1" si="112"/>
        <v>2.4747256973519458</v>
      </c>
      <c r="F715" s="14">
        <f t="shared" ca="1" si="113"/>
        <v>0.96638318200208984</v>
      </c>
      <c r="G715" s="14">
        <f t="shared" ca="1" si="114"/>
        <v>0.45033885856028211</v>
      </c>
      <c r="H715" s="15">
        <f t="shared" ca="1" si="115"/>
        <v>0.99333307291762907</v>
      </c>
      <c r="I715" s="14">
        <f ca="1">IF(G715&lt;0.05,1,0)*$B$1*$B$2</f>
        <v>0</v>
      </c>
      <c r="J715" s="14">
        <f ca="1">IF(H715&lt;0.05,1,0)*$B$1*$B$2</f>
        <v>0</v>
      </c>
      <c r="K715" s="15">
        <f t="shared" ca="1" si="116"/>
        <v>0</v>
      </c>
      <c r="P715" s="3">
        <v>711</v>
      </c>
      <c r="Q715" s="4">
        <f t="shared" ca="1" si="117"/>
        <v>0.45033885856028211</v>
      </c>
      <c r="R715" s="4">
        <f t="shared" ca="1" si="118"/>
        <v>0.99333307291762907</v>
      </c>
      <c r="S715" s="4">
        <f ca="1">$B$1*Q715*$B$2</f>
        <v>18.013554342411286</v>
      </c>
      <c r="T715" s="4">
        <f ca="1">$B$1*R715*$B$2</f>
        <v>39.733322916705163</v>
      </c>
      <c r="U715" s="7">
        <f t="shared" ca="1" si="119"/>
        <v>57.746877259116445</v>
      </c>
    </row>
    <row r="716" spans="2:21" x14ac:dyDescent="0.3">
      <c r="B716" s="13">
        <f t="shared" ca="1" si="110"/>
        <v>0.9253698362369922</v>
      </c>
      <c r="C716" s="14">
        <f t="shared" ca="1" si="110"/>
        <v>0.33179119065738194</v>
      </c>
      <c r="D716" s="14">
        <f t="shared" ca="1" si="111"/>
        <v>1.4421490597342281</v>
      </c>
      <c r="E716" s="14">
        <f t="shared" ca="1" si="112"/>
        <v>-0.43497251002699333</v>
      </c>
      <c r="F716" s="14">
        <f t="shared" ca="1" si="113"/>
        <v>1.1083340323182158</v>
      </c>
      <c r="G716" s="14">
        <f t="shared" ca="1" si="114"/>
        <v>0.9253698362369922</v>
      </c>
      <c r="H716" s="15">
        <f t="shared" ca="1" si="115"/>
        <v>0.33179119065738194</v>
      </c>
      <c r="I716" s="14">
        <f ca="1">IF(G716&lt;0.05,1,0)*$B$1*$B$2</f>
        <v>0</v>
      </c>
      <c r="J716" s="14">
        <f ca="1">IF(H716&lt;0.05,1,0)*$B$1*$B$2</f>
        <v>0</v>
      </c>
      <c r="K716" s="15">
        <f t="shared" ca="1" si="116"/>
        <v>0</v>
      </c>
      <c r="P716" s="3">
        <v>712</v>
      </c>
      <c r="Q716" s="4">
        <f t="shared" ca="1" si="117"/>
        <v>0.9253698362369922</v>
      </c>
      <c r="R716" s="4">
        <f t="shared" ca="1" si="118"/>
        <v>0.33179119065738194</v>
      </c>
      <c r="S716" s="4">
        <f ca="1">$B$1*Q716*$B$2</f>
        <v>37.01479344947969</v>
      </c>
      <c r="T716" s="4">
        <f ca="1">$B$1*R716*$B$2</f>
        <v>13.271647626295277</v>
      </c>
      <c r="U716" s="7">
        <f t="shared" ca="1" si="119"/>
        <v>50.286441075774967</v>
      </c>
    </row>
    <row r="717" spans="2:21" x14ac:dyDescent="0.3">
      <c r="B717" s="13">
        <f t="shared" ca="1" si="110"/>
        <v>0.64135016996817062</v>
      </c>
      <c r="C717" s="14">
        <f t="shared" ca="1" si="110"/>
        <v>0.31371207300246173</v>
      </c>
      <c r="D717" s="14">
        <f t="shared" ca="1" si="111"/>
        <v>0.36207008208197727</v>
      </c>
      <c r="E717" s="14">
        <f t="shared" ca="1" si="112"/>
        <v>-0.48535556588886608</v>
      </c>
      <c r="F717" s="14">
        <f t="shared" ca="1" si="113"/>
        <v>0.11430148753432318</v>
      </c>
      <c r="G717" s="14">
        <f t="shared" ca="1" si="114"/>
        <v>0.64135016996817074</v>
      </c>
      <c r="H717" s="15">
        <f t="shared" ca="1" si="115"/>
        <v>0.31371207300246162</v>
      </c>
      <c r="I717" s="14">
        <f ca="1">IF(G717&lt;0.05,1,0)*$B$1*$B$2</f>
        <v>0</v>
      </c>
      <c r="J717" s="14">
        <f ca="1">IF(H717&lt;0.05,1,0)*$B$1*$B$2</f>
        <v>0</v>
      </c>
      <c r="K717" s="15">
        <f t="shared" ca="1" si="116"/>
        <v>0</v>
      </c>
      <c r="P717" s="3">
        <v>713</v>
      </c>
      <c r="Q717" s="4">
        <f t="shared" ca="1" si="117"/>
        <v>0.64135016996817074</v>
      </c>
      <c r="R717" s="4">
        <f t="shared" ca="1" si="118"/>
        <v>0.31371207300246162</v>
      </c>
      <c r="S717" s="4">
        <f ca="1">$B$1*Q717*$B$2</f>
        <v>25.654006798726829</v>
      </c>
      <c r="T717" s="4">
        <f ca="1">$B$1*R717*$B$2</f>
        <v>12.548482920098465</v>
      </c>
      <c r="U717" s="7">
        <f t="shared" ca="1" si="119"/>
        <v>38.202489718825291</v>
      </c>
    </row>
    <row r="718" spans="2:21" x14ac:dyDescent="0.3">
      <c r="B718" s="13">
        <f t="shared" ca="1" si="110"/>
        <v>0.15404279459021275</v>
      </c>
      <c r="C718" s="14">
        <f t="shared" ca="1" si="110"/>
        <v>0.65940313363136116</v>
      </c>
      <c r="D718" s="14">
        <f t="shared" ca="1" si="111"/>
        <v>-1.0192472727002548</v>
      </c>
      <c r="E718" s="14">
        <f t="shared" ca="1" si="112"/>
        <v>0.41083471954547257</v>
      </c>
      <c r="F718" s="14">
        <f t="shared" ca="1" si="113"/>
        <v>-0.73824384293057044</v>
      </c>
      <c r="G718" s="14">
        <f t="shared" ca="1" si="114"/>
        <v>0.15404279459021297</v>
      </c>
      <c r="H718" s="15">
        <f t="shared" ca="1" si="115"/>
        <v>0.65940313363136127</v>
      </c>
      <c r="I718" s="14">
        <f ca="1">IF(G718&lt;0.05,1,0)*$B$1*$B$2</f>
        <v>0</v>
      </c>
      <c r="J718" s="14">
        <f ca="1">IF(H718&lt;0.05,1,0)*$B$1*$B$2</f>
        <v>0</v>
      </c>
      <c r="K718" s="15">
        <f t="shared" ca="1" si="116"/>
        <v>0</v>
      </c>
      <c r="P718" s="3">
        <v>714</v>
      </c>
      <c r="Q718" s="4">
        <f t="shared" ca="1" si="117"/>
        <v>0.15404279459021297</v>
      </c>
      <c r="R718" s="4">
        <f t="shared" ca="1" si="118"/>
        <v>0.65940313363136127</v>
      </c>
      <c r="S718" s="4">
        <f ca="1">$B$1*Q718*$B$2</f>
        <v>6.1617117836085189</v>
      </c>
      <c r="T718" s="4">
        <f ca="1">$B$1*R718*$B$2</f>
        <v>26.376125345254451</v>
      </c>
      <c r="U718" s="7">
        <f t="shared" ca="1" si="119"/>
        <v>32.537837128862968</v>
      </c>
    </row>
    <row r="719" spans="2:21" x14ac:dyDescent="0.3">
      <c r="B719" s="13">
        <f t="shared" ca="1" si="110"/>
        <v>0.2823666655256859</v>
      </c>
      <c r="C719" s="14">
        <f t="shared" ca="1" si="110"/>
        <v>0.4111247897606457</v>
      </c>
      <c r="D719" s="14">
        <f t="shared" ca="1" si="111"/>
        <v>-0.57582521101668938</v>
      </c>
      <c r="E719" s="14">
        <f t="shared" ca="1" si="112"/>
        <v>-0.22465255141651083</v>
      </c>
      <c r="F719" s="14">
        <f t="shared" ca="1" si="113"/>
        <v>-0.61616646681833498</v>
      </c>
      <c r="G719" s="14">
        <f t="shared" ca="1" si="114"/>
        <v>0.2823666655256859</v>
      </c>
      <c r="H719" s="15">
        <f t="shared" ca="1" si="115"/>
        <v>0.41112478976064565</v>
      </c>
      <c r="I719" s="14">
        <f ca="1">IF(G719&lt;0.05,1,0)*$B$1*$B$2</f>
        <v>0</v>
      </c>
      <c r="J719" s="14">
        <f ca="1">IF(H719&lt;0.05,1,0)*$B$1*$B$2</f>
        <v>0</v>
      </c>
      <c r="K719" s="15">
        <f t="shared" ca="1" si="116"/>
        <v>0</v>
      </c>
      <c r="P719" s="3">
        <v>715</v>
      </c>
      <c r="Q719" s="4">
        <f t="shared" ca="1" si="117"/>
        <v>0.2823666655256859</v>
      </c>
      <c r="R719" s="4">
        <f t="shared" ca="1" si="118"/>
        <v>0.41112478976064565</v>
      </c>
      <c r="S719" s="4">
        <f ca="1">$B$1*Q719*$B$2</f>
        <v>11.294666621027437</v>
      </c>
      <c r="T719" s="4">
        <f ca="1">$B$1*R719*$B$2</f>
        <v>16.444991590425825</v>
      </c>
      <c r="U719" s="7">
        <f t="shared" ca="1" si="119"/>
        <v>27.739658211453261</v>
      </c>
    </row>
    <row r="720" spans="2:21" x14ac:dyDescent="0.3">
      <c r="B720" s="13">
        <f t="shared" ca="1" si="110"/>
        <v>0.47461850286246532</v>
      </c>
      <c r="C720" s="14">
        <f t="shared" ca="1" si="110"/>
        <v>1.2855987539815983E-2</v>
      </c>
      <c r="D720" s="14">
        <f t="shared" ca="1" si="111"/>
        <v>-6.3664960332998941E-2</v>
      </c>
      <c r="E720" s="14">
        <f t="shared" ca="1" si="112"/>
        <v>-2.2305345699333263</v>
      </c>
      <c r="F720" s="14">
        <f t="shared" ca="1" si="113"/>
        <v>-1.0295659423410315</v>
      </c>
      <c r="G720" s="14">
        <f t="shared" ca="1" si="114"/>
        <v>0.47461850286246532</v>
      </c>
      <c r="H720" s="15">
        <f t="shared" ca="1" si="115"/>
        <v>1.2855987539815986E-2</v>
      </c>
      <c r="I720" s="14">
        <f ca="1">IF(G720&lt;0.05,1,0)*$B$1*$B$2</f>
        <v>0</v>
      </c>
      <c r="J720" s="14">
        <f ca="1">IF(H720&lt;0.05,1,0)*$B$1*$B$2</f>
        <v>40</v>
      </c>
      <c r="K720" s="15">
        <f t="shared" ca="1" si="116"/>
        <v>40</v>
      </c>
      <c r="P720" s="3">
        <v>716</v>
      </c>
      <c r="Q720" s="4">
        <f t="shared" ca="1" si="117"/>
        <v>0.47461850286246532</v>
      </c>
      <c r="R720" s="4">
        <f t="shared" ca="1" si="118"/>
        <v>1.2855987539815986E-2</v>
      </c>
      <c r="S720" s="4">
        <f ca="1">$B$1*Q720*$B$2</f>
        <v>18.984740114498614</v>
      </c>
      <c r="T720" s="4">
        <f ca="1">$B$1*R720*$B$2</f>
        <v>0.51423950159263954</v>
      </c>
      <c r="U720" s="7">
        <f t="shared" ca="1" si="119"/>
        <v>19.498979616091255</v>
      </c>
    </row>
    <row r="721" spans="2:21" x14ac:dyDescent="0.3">
      <c r="B721" s="13">
        <f t="shared" ca="1" si="110"/>
        <v>3.7278173641746015E-3</v>
      </c>
      <c r="C721" s="14">
        <f t="shared" ca="1" si="110"/>
        <v>0.64569440958654445</v>
      </c>
      <c r="D721" s="14">
        <f t="shared" ca="1" si="111"/>
        <v>-2.6757764928397076</v>
      </c>
      <c r="E721" s="14">
        <f t="shared" ca="1" si="112"/>
        <v>0.37372196637328881</v>
      </c>
      <c r="F721" s="14">
        <f t="shared" ca="1" si="113"/>
        <v>-2.2452972151154897</v>
      </c>
      <c r="G721" s="14">
        <f t="shared" ca="1" si="114"/>
        <v>3.7278173641745955E-3</v>
      </c>
      <c r="H721" s="15">
        <f t="shared" ca="1" si="115"/>
        <v>0.64569440958654445</v>
      </c>
      <c r="I721" s="14">
        <f ca="1">IF(G721&lt;0.05,1,0)*$B$1*$B$2</f>
        <v>40</v>
      </c>
      <c r="J721" s="14">
        <f ca="1">IF(H721&lt;0.05,1,0)*$B$1*$B$2</f>
        <v>0</v>
      </c>
      <c r="K721" s="15">
        <f t="shared" ca="1" si="116"/>
        <v>40</v>
      </c>
      <c r="P721" s="3">
        <v>717</v>
      </c>
      <c r="Q721" s="4">
        <f t="shared" ca="1" si="117"/>
        <v>3.7278173641745955E-3</v>
      </c>
      <c r="R721" s="4">
        <f t="shared" ca="1" si="118"/>
        <v>0.64569440958654445</v>
      </c>
      <c r="S721" s="4">
        <f ca="1">$B$1*Q721*$B$2</f>
        <v>0.14911269456698381</v>
      </c>
      <c r="T721" s="4">
        <f ca="1">$B$1*R721*$B$2</f>
        <v>25.827776383461778</v>
      </c>
      <c r="U721" s="7">
        <f t="shared" ca="1" si="119"/>
        <v>25.976889078028762</v>
      </c>
    </row>
    <row r="722" spans="2:21" x14ac:dyDescent="0.3">
      <c r="B722" s="13">
        <f t="shared" ca="1" si="110"/>
        <v>0.75652223437888433</v>
      </c>
      <c r="C722" s="14">
        <f t="shared" ca="1" si="110"/>
        <v>0.15863376801124696</v>
      </c>
      <c r="D722" s="14">
        <f t="shared" ca="1" si="111"/>
        <v>0.69515921092587107</v>
      </c>
      <c r="E722" s="14">
        <f t="shared" ca="1" si="112"/>
        <v>-1.0000887994787935</v>
      </c>
      <c r="F722" s="14">
        <f t="shared" ca="1" si="113"/>
        <v>0.18971468868378671</v>
      </c>
      <c r="G722" s="14">
        <f t="shared" ca="1" si="114"/>
        <v>0.75652223437888433</v>
      </c>
      <c r="H722" s="15">
        <f t="shared" ca="1" si="115"/>
        <v>0.15863376801124807</v>
      </c>
      <c r="I722" s="14">
        <f ca="1">IF(G722&lt;0.05,1,0)*$B$1*$B$2</f>
        <v>0</v>
      </c>
      <c r="J722" s="14">
        <f ca="1">IF(H722&lt;0.05,1,0)*$B$1*$B$2</f>
        <v>0</v>
      </c>
      <c r="K722" s="15">
        <f t="shared" ca="1" si="116"/>
        <v>0</v>
      </c>
      <c r="P722" s="3">
        <v>718</v>
      </c>
      <c r="Q722" s="4">
        <f t="shared" ca="1" si="117"/>
        <v>0.75652223437888433</v>
      </c>
      <c r="R722" s="4">
        <f t="shared" ca="1" si="118"/>
        <v>0.15863376801124807</v>
      </c>
      <c r="S722" s="4">
        <f ca="1">$B$1*Q722*$B$2</f>
        <v>30.260889375155376</v>
      </c>
      <c r="T722" s="4">
        <f ca="1">$B$1*R722*$B$2</f>
        <v>6.3453507204499227</v>
      </c>
      <c r="U722" s="7">
        <f t="shared" ca="1" si="119"/>
        <v>36.606240095605301</v>
      </c>
    </row>
    <row r="723" spans="2:21" x14ac:dyDescent="0.3">
      <c r="B723" s="13">
        <f t="shared" ca="1" si="110"/>
        <v>0.13544767017423243</v>
      </c>
      <c r="C723" s="14">
        <f t="shared" ca="1" si="110"/>
        <v>0.40916181962898102</v>
      </c>
      <c r="D723" s="14">
        <f t="shared" ca="1" si="111"/>
        <v>-1.1010030255940246</v>
      </c>
      <c r="E723" s="14">
        <f t="shared" ca="1" si="112"/>
        <v>-0.22970161579114859</v>
      </c>
      <c r="F723" s="14">
        <f t="shared" ca="1" si="113"/>
        <v>-1.0910273360747846</v>
      </c>
      <c r="G723" s="14">
        <f t="shared" ca="1" si="114"/>
        <v>0.13544767017423237</v>
      </c>
      <c r="H723" s="15">
        <f t="shared" ca="1" si="115"/>
        <v>0.40916181962898102</v>
      </c>
      <c r="I723" s="14">
        <f ca="1">IF(G723&lt;0.05,1,0)*$B$1*$B$2</f>
        <v>0</v>
      </c>
      <c r="J723" s="14">
        <f ca="1">IF(H723&lt;0.05,1,0)*$B$1*$B$2</f>
        <v>0</v>
      </c>
      <c r="K723" s="15">
        <f t="shared" ca="1" si="116"/>
        <v>0</v>
      </c>
      <c r="P723" s="3">
        <v>719</v>
      </c>
      <c r="Q723" s="4">
        <f t="shared" ca="1" si="117"/>
        <v>0.13544767017423237</v>
      </c>
      <c r="R723" s="4">
        <f t="shared" ca="1" si="118"/>
        <v>0.40916181962898102</v>
      </c>
      <c r="S723" s="4">
        <f ca="1">$B$1*Q723*$B$2</f>
        <v>5.4179068069692953</v>
      </c>
      <c r="T723" s="4">
        <f ca="1">$B$1*R723*$B$2</f>
        <v>16.366472785159242</v>
      </c>
      <c r="U723" s="7">
        <f t="shared" ca="1" si="119"/>
        <v>21.784379592128538</v>
      </c>
    </row>
    <row r="724" spans="2:21" x14ac:dyDescent="0.3">
      <c r="B724" s="13">
        <f t="shared" ca="1" si="110"/>
        <v>0.75891316038333578</v>
      </c>
      <c r="C724" s="14">
        <f t="shared" ca="1" si="110"/>
        <v>0.47350569475641746</v>
      </c>
      <c r="D724" s="14">
        <f t="shared" ca="1" si="111"/>
        <v>0.70281077845524387</v>
      </c>
      <c r="E724" s="14">
        <f t="shared" ca="1" si="112"/>
        <v>-6.6460267712234858E-2</v>
      </c>
      <c r="F724" s="14">
        <f t="shared" ca="1" si="113"/>
        <v>0.6035603415378904</v>
      </c>
      <c r="G724" s="14">
        <f t="shared" ca="1" si="114"/>
        <v>0.75891316038333589</v>
      </c>
      <c r="H724" s="15">
        <f t="shared" ca="1" si="115"/>
        <v>0.47350569475641746</v>
      </c>
      <c r="I724" s="14">
        <f ca="1">IF(G724&lt;0.05,1,0)*$B$1*$B$2</f>
        <v>0</v>
      </c>
      <c r="J724" s="14">
        <f ca="1">IF(H724&lt;0.05,1,0)*$B$1*$B$2</f>
        <v>0</v>
      </c>
      <c r="K724" s="15">
        <f t="shared" ca="1" si="116"/>
        <v>0</v>
      </c>
      <c r="P724" s="3">
        <v>720</v>
      </c>
      <c r="Q724" s="4">
        <f t="shared" ca="1" si="117"/>
        <v>0.75891316038333589</v>
      </c>
      <c r="R724" s="4">
        <f t="shared" ca="1" si="118"/>
        <v>0.47350569475641746</v>
      </c>
      <c r="S724" s="4">
        <f ca="1">$B$1*Q724*$B$2</f>
        <v>30.356526415333434</v>
      </c>
      <c r="T724" s="4">
        <f ca="1">$B$1*R724*$B$2</f>
        <v>18.940227790256699</v>
      </c>
      <c r="U724" s="7">
        <f t="shared" ca="1" si="119"/>
        <v>49.296754205590133</v>
      </c>
    </row>
    <row r="725" spans="2:21" x14ac:dyDescent="0.3">
      <c r="B725" s="13">
        <f t="shared" ca="1" si="110"/>
        <v>0.74166241542474831</v>
      </c>
      <c r="C725" s="14">
        <f t="shared" ca="1" si="110"/>
        <v>0.70830141859341655</v>
      </c>
      <c r="D725" s="14">
        <f t="shared" ca="1" si="111"/>
        <v>0.6484790306622723</v>
      </c>
      <c r="E725" s="14">
        <f t="shared" ca="1" si="112"/>
        <v>0.54842929944994123</v>
      </c>
      <c r="F725" s="14">
        <f t="shared" ca="1" si="113"/>
        <v>0.8226859169939551</v>
      </c>
      <c r="G725" s="14">
        <f t="shared" ca="1" si="114"/>
        <v>0.74166241542474831</v>
      </c>
      <c r="H725" s="15">
        <f t="shared" ca="1" si="115"/>
        <v>0.70830141859341667</v>
      </c>
      <c r="I725" s="14">
        <f ca="1">IF(G725&lt;0.05,1,0)*$B$1*$B$2</f>
        <v>0</v>
      </c>
      <c r="J725" s="14">
        <f ca="1">IF(H725&lt;0.05,1,0)*$B$1*$B$2</f>
        <v>0</v>
      </c>
      <c r="K725" s="15">
        <f t="shared" ca="1" si="116"/>
        <v>0</v>
      </c>
      <c r="P725" s="3">
        <v>721</v>
      </c>
      <c r="Q725" s="4">
        <f t="shared" ca="1" si="117"/>
        <v>0.74166241542474831</v>
      </c>
      <c r="R725" s="4">
        <f t="shared" ca="1" si="118"/>
        <v>0.70830141859341667</v>
      </c>
      <c r="S725" s="4">
        <f ca="1">$B$1*Q725*$B$2</f>
        <v>29.666496616989935</v>
      </c>
      <c r="T725" s="4">
        <f ca="1">$B$1*R725*$B$2</f>
        <v>28.332056743736668</v>
      </c>
      <c r="U725" s="7">
        <f t="shared" ca="1" si="119"/>
        <v>57.998553360726604</v>
      </c>
    </row>
    <row r="726" spans="2:21" x14ac:dyDescent="0.3">
      <c r="B726" s="13">
        <f t="shared" ca="1" si="110"/>
        <v>0.60125577310314526</v>
      </c>
      <c r="C726" s="14">
        <f t="shared" ca="1" si="110"/>
        <v>0.51635491586607707</v>
      </c>
      <c r="D726" s="14">
        <f t="shared" ca="1" si="111"/>
        <v>0.25659886173484131</v>
      </c>
      <c r="E726" s="14">
        <f t="shared" ca="1" si="112"/>
        <v>4.1007184513731892E-2</v>
      </c>
      <c r="F726" s="14">
        <f t="shared" ca="1" si="113"/>
        <v>0.24881359288680552</v>
      </c>
      <c r="G726" s="14">
        <f t="shared" ca="1" si="114"/>
        <v>0.60125577310314526</v>
      </c>
      <c r="H726" s="15">
        <f t="shared" ca="1" si="115"/>
        <v>0.51635491586607707</v>
      </c>
      <c r="I726" s="14">
        <f ca="1">IF(G726&lt;0.05,1,0)*$B$1*$B$2</f>
        <v>0</v>
      </c>
      <c r="J726" s="14">
        <f ca="1">IF(H726&lt;0.05,1,0)*$B$1*$B$2</f>
        <v>0</v>
      </c>
      <c r="K726" s="15">
        <f t="shared" ca="1" si="116"/>
        <v>0</v>
      </c>
      <c r="P726" s="3">
        <v>722</v>
      </c>
      <c r="Q726" s="4">
        <f t="shared" ca="1" si="117"/>
        <v>0.60125577310314526</v>
      </c>
      <c r="R726" s="4">
        <f t="shared" ca="1" si="118"/>
        <v>0.51635491586607707</v>
      </c>
      <c r="S726" s="4">
        <f ca="1">$B$1*Q726*$B$2</f>
        <v>24.050230924125813</v>
      </c>
      <c r="T726" s="4">
        <f ca="1">$B$1*R726*$B$2</f>
        <v>20.654196634643085</v>
      </c>
      <c r="U726" s="7">
        <f t="shared" ca="1" si="119"/>
        <v>44.704427558768899</v>
      </c>
    </row>
    <row r="727" spans="2:21" x14ac:dyDescent="0.3">
      <c r="B727" s="13">
        <f t="shared" ca="1" si="110"/>
        <v>0.19802352155328884</v>
      </c>
      <c r="C727" s="14">
        <f t="shared" ca="1" si="110"/>
        <v>0.63105888786937725</v>
      </c>
      <c r="D727" s="14">
        <f t="shared" ca="1" si="111"/>
        <v>-0.84870216160102552</v>
      </c>
      <c r="E727" s="14">
        <f t="shared" ca="1" si="112"/>
        <v>0.33465914408418901</v>
      </c>
      <c r="F727" s="14">
        <f t="shared" ca="1" si="113"/>
        <v>-0.61795740648144326</v>
      </c>
      <c r="G727" s="14">
        <f t="shared" ca="1" si="114"/>
        <v>0.19802352155328878</v>
      </c>
      <c r="H727" s="15">
        <f t="shared" ca="1" si="115"/>
        <v>0.63105888786937725</v>
      </c>
      <c r="I727" s="14">
        <f ca="1">IF(G727&lt;0.05,1,0)*$B$1*$B$2</f>
        <v>0</v>
      </c>
      <c r="J727" s="14">
        <f ca="1">IF(H727&lt;0.05,1,0)*$B$1*$B$2</f>
        <v>0</v>
      </c>
      <c r="K727" s="15">
        <f t="shared" ca="1" si="116"/>
        <v>0</v>
      </c>
      <c r="P727" s="3">
        <v>723</v>
      </c>
      <c r="Q727" s="4">
        <f t="shared" ca="1" si="117"/>
        <v>0.19802352155328878</v>
      </c>
      <c r="R727" s="4">
        <f t="shared" ca="1" si="118"/>
        <v>0.63105888786937725</v>
      </c>
      <c r="S727" s="4">
        <f ca="1">$B$1*Q727*$B$2</f>
        <v>7.9209408621315518</v>
      </c>
      <c r="T727" s="4">
        <f ca="1">$B$1*R727*$B$2</f>
        <v>25.242355514775092</v>
      </c>
      <c r="U727" s="7">
        <f t="shared" ca="1" si="119"/>
        <v>33.163296376906644</v>
      </c>
    </row>
    <row r="728" spans="2:21" x14ac:dyDescent="0.3">
      <c r="B728" s="13">
        <f t="shared" ca="1" si="110"/>
        <v>0.98782061438310242</v>
      </c>
      <c r="C728" s="14">
        <f t="shared" ca="1" si="110"/>
        <v>0.2538358468828219</v>
      </c>
      <c r="D728" s="14">
        <f t="shared" ca="1" si="111"/>
        <v>2.2514228026448651</v>
      </c>
      <c r="E728" s="14">
        <f t="shared" ca="1" si="112"/>
        <v>-0.66246744222536935</v>
      </c>
      <c r="F728" s="14">
        <f t="shared" ca="1" si="113"/>
        <v>1.7375176589757535</v>
      </c>
      <c r="G728" s="14">
        <f t="shared" ca="1" si="114"/>
        <v>0.98782061438310242</v>
      </c>
      <c r="H728" s="15">
        <f t="shared" ca="1" si="115"/>
        <v>0.25383584688282179</v>
      </c>
      <c r="I728" s="14">
        <f ca="1">IF(G728&lt;0.05,1,0)*$B$1*$B$2</f>
        <v>0</v>
      </c>
      <c r="J728" s="14">
        <f ca="1">IF(H728&lt;0.05,1,0)*$B$1*$B$2</f>
        <v>0</v>
      </c>
      <c r="K728" s="15">
        <f t="shared" ca="1" si="116"/>
        <v>0</v>
      </c>
      <c r="P728" s="3">
        <v>724</v>
      </c>
      <c r="Q728" s="4">
        <f t="shared" ca="1" si="117"/>
        <v>0.98782061438310242</v>
      </c>
      <c r="R728" s="4">
        <f t="shared" ca="1" si="118"/>
        <v>0.25383584688282179</v>
      </c>
      <c r="S728" s="4">
        <f ca="1">$B$1*Q728*$B$2</f>
        <v>39.512824575324096</v>
      </c>
      <c r="T728" s="4">
        <f ca="1">$B$1*R728*$B$2</f>
        <v>10.153433875312873</v>
      </c>
      <c r="U728" s="7">
        <f t="shared" ca="1" si="119"/>
        <v>49.666258450636967</v>
      </c>
    </row>
    <row r="729" spans="2:21" x14ac:dyDescent="0.3">
      <c r="B729" s="13">
        <f t="shared" ca="1" si="110"/>
        <v>0.75358182017168462</v>
      </c>
      <c r="C729" s="14">
        <f t="shared" ca="1" si="110"/>
        <v>0.55955061361922342</v>
      </c>
      <c r="D729" s="14">
        <f t="shared" ca="1" si="111"/>
        <v>0.68580456119828226</v>
      </c>
      <c r="E729" s="14">
        <f t="shared" ca="1" si="112"/>
        <v>0.14982995840180463</v>
      </c>
      <c r="F729" s="14">
        <f t="shared" ca="1" si="113"/>
        <v>0.68253346981729091</v>
      </c>
      <c r="G729" s="14">
        <f t="shared" ca="1" si="114"/>
        <v>0.75358182017168485</v>
      </c>
      <c r="H729" s="15">
        <f t="shared" ca="1" si="115"/>
        <v>0.55955061361922342</v>
      </c>
      <c r="I729" s="14">
        <f ca="1">IF(G729&lt;0.05,1,0)*$B$1*$B$2</f>
        <v>0</v>
      </c>
      <c r="J729" s="14">
        <f ca="1">IF(H729&lt;0.05,1,0)*$B$1*$B$2</f>
        <v>0</v>
      </c>
      <c r="K729" s="15">
        <f t="shared" ca="1" si="116"/>
        <v>0</v>
      </c>
      <c r="P729" s="3">
        <v>725</v>
      </c>
      <c r="Q729" s="4">
        <f t="shared" ca="1" si="117"/>
        <v>0.75358182017168485</v>
      </c>
      <c r="R729" s="4">
        <f t="shared" ca="1" si="118"/>
        <v>0.55955061361922342</v>
      </c>
      <c r="S729" s="4">
        <f ca="1">$B$1*Q729*$B$2</f>
        <v>30.143272806867397</v>
      </c>
      <c r="T729" s="4">
        <f ca="1">$B$1*R729*$B$2</f>
        <v>22.382024544768939</v>
      </c>
      <c r="U729" s="7">
        <f t="shared" ca="1" si="119"/>
        <v>52.52529735163634</v>
      </c>
    </row>
    <row r="730" spans="2:21" x14ac:dyDescent="0.3">
      <c r="B730" s="13">
        <f t="shared" ca="1" si="110"/>
        <v>0.67515892716331727</v>
      </c>
      <c r="C730" s="14">
        <f t="shared" ca="1" si="110"/>
        <v>0.48008939138170625</v>
      </c>
      <c r="D730" s="14">
        <f t="shared" ca="1" si="111"/>
        <v>0.45420380356395845</v>
      </c>
      <c r="E730" s="14">
        <f t="shared" ca="1" si="112"/>
        <v>-4.9929231770851221E-2</v>
      </c>
      <c r="F730" s="14">
        <f t="shared" ca="1" si="113"/>
        <v>0.38701977564578655</v>
      </c>
      <c r="G730" s="14">
        <f t="shared" ca="1" si="114"/>
        <v>0.67515892716331727</v>
      </c>
      <c r="H730" s="15">
        <f t="shared" ca="1" si="115"/>
        <v>0.48008939138170625</v>
      </c>
      <c r="I730" s="14">
        <f ca="1">IF(G730&lt;0.05,1,0)*$B$1*$B$2</f>
        <v>0</v>
      </c>
      <c r="J730" s="14">
        <f ca="1">IF(H730&lt;0.05,1,0)*$B$1*$B$2</f>
        <v>0</v>
      </c>
      <c r="K730" s="15">
        <f t="shared" ca="1" si="116"/>
        <v>0</v>
      </c>
      <c r="P730" s="3">
        <v>726</v>
      </c>
      <c r="Q730" s="4">
        <f t="shared" ca="1" si="117"/>
        <v>0.67515892716331727</v>
      </c>
      <c r="R730" s="4">
        <f t="shared" ca="1" si="118"/>
        <v>0.48008939138170625</v>
      </c>
      <c r="S730" s="4">
        <f ca="1">$B$1*Q730*$B$2</f>
        <v>27.006357086532688</v>
      </c>
      <c r="T730" s="4">
        <f ca="1">$B$1*R730*$B$2</f>
        <v>19.203575655268253</v>
      </c>
      <c r="U730" s="7">
        <f t="shared" ca="1" si="119"/>
        <v>46.209932741800941</v>
      </c>
    </row>
    <row r="731" spans="2:21" x14ac:dyDescent="0.3">
      <c r="B731" s="13">
        <f t="shared" ca="1" si="110"/>
        <v>0.6852680751758411</v>
      </c>
      <c r="C731" s="14">
        <f t="shared" ca="1" si="110"/>
        <v>0.71239880317974769</v>
      </c>
      <c r="D731" s="14">
        <f t="shared" ca="1" si="111"/>
        <v>0.48248162349432722</v>
      </c>
      <c r="E731" s="14">
        <f t="shared" ca="1" si="112"/>
        <v>0.56040621462955809</v>
      </c>
      <c r="F731" s="14">
        <f t="shared" ca="1" si="113"/>
        <v>0.67850886683513534</v>
      </c>
      <c r="G731" s="14">
        <f t="shared" ca="1" si="114"/>
        <v>0.6852680751758411</v>
      </c>
      <c r="H731" s="15">
        <f t="shared" ca="1" si="115"/>
        <v>0.7123988031797478</v>
      </c>
      <c r="I731" s="14">
        <f ca="1">IF(G731&lt;0.05,1,0)*$B$1*$B$2</f>
        <v>0</v>
      </c>
      <c r="J731" s="14">
        <f ca="1">IF(H731&lt;0.05,1,0)*$B$1*$B$2</f>
        <v>0</v>
      </c>
      <c r="K731" s="15">
        <f t="shared" ca="1" si="116"/>
        <v>0</v>
      </c>
      <c r="P731" s="3">
        <v>727</v>
      </c>
      <c r="Q731" s="4">
        <f t="shared" ca="1" si="117"/>
        <v>0.6852680751758411</v>
      </c>
      <c r="R731" s="4">
        <f t="shared" ca="1" si="118"/>
        <v>0.7123988031797478</v>
      </c>
      <c r="S731" s="4">
        <f ca="1">$B$1*Q731*$B$2</f>
        <v>27.410723007033642</v>
      </c>
      <c r="T731" s="4">
        <f ca="1">$B$1*R731*$B$2</f>
        <v>28.495952127189913</v>
      </c>
      <c r="U731" s="7">
        <f t="shared" ca="1" si="119"/>
        <v>55.906675134223555</v>
      </c>
    </row>
    <row r="732" spans="2:21" x14ac:dyDescent="0.3">
      <c r="B732" s="13">
        <f t="shared" ca="1" si="110"/>
        <v>3.0507956303416295E-2</v>
      </c>
      <c r="C732" s="14">
        <f t="shared" ca="1" si="110"/>
        <v>0.97530866440950392</v>
      </c>
      <c r="D732" s="14">
        <f t="shared" ca="1" si="111"/>
        <v>-1.8733801245205772</v>
      </c>
      <c r="E732" s="14">
        <f t="shared" ca="1" si="112"/>
        <v>1.9652728068428995</v>
      </c>
      <c r="F732" s="14">
        <f t="shared" ca="1" si="113"/>
        <v>-0.82939955591684689</v>
      </c>
      <c r="G732" s="14">
        <f t="shared" ca="1" si="114"/>
        <v>3.0507956303416281E-2</v>
      </c>
      <c r="H732" s="15">
        <f t="shared" ca="1" si="115"/>
        <v>0.97530866440950392</v>
      </c>
      <c r="I732" s="14">
        <f ca="1">IF(G732&lt;0.05,1,0)*$B$1*$B$2</f>
        <v>40</v>
      </c>
      <c r="J732" s="14">
        <f ca="1">IF(H732&lt;0.05,1,0)*$B$1*$B$2</f>
        <v>0</v>
      </c>
      <c r="K732" s="15">
        <f t="shared" ca="1" si="116"/>
        <v>40</v>
      </c>
      <c r="P732" s="3">
        <v>728</v>
      </c>
      <c r="Q732" s="4">
        <f t="shared" ca="1" si="117"/>
        <v>3.0507956303416281E-2</v>
      </c>
      <c r="R732" s="4">
        <f t="shared" ca="1" si="118"/>
        <v>0.97530866440950392</v>
      </c>
      <c r="S732" s="4">
        <f ca="1">$B$1*Q732*$B$2</f>
        <v>1.2203182521366513</v>
      </c>
      <c r="T732" s="4">
        <f ca="1">$B$1*R732*$B$2</f>
        <v>39.01234657638016</v>
      </c>
      <c r="U732" s="7">
        <f t="shared" ca="1" si="119"/>
        <v>40.23266482851681</v>
      </c>
    </row>
    <row r="733" spans="2:21" x14ac:dyDescent="0.3">
      <c r="B733" s="13">
        <f t="shared" ca="1" si="110"/>
        <v>0.80390532806124271</v>
      </c>
      <c r="C733" s="14">
        <f t="shared" ca="1" si="110"/>
        <v>0.27833094923945167</v>
      </c>
      <c r="D733" s="14">
        <f t="shared" ca="1" si="111"/>
        <v>0.85565372426652864</v>
      </c>
      <c r="E733" s="14">
        <f t="shared" ca="1" si="112"/>
        <v>-0.58780692031008874</v>
      </c>
      <c r="F733" s="14">
        <f t="shared" ca="1" si="113"/>
        <v>0.51386925544532158</v>
      </c>
      <c r="G733" s="14">
        <f t="shared" ca="1" si="114"/>
        <v>0.80390532806124304</v>
      </c>
      <c r="H733" s="15">
        <f t="shared" ca="1" si="115"/>
        <v>0.27833094923945167</v>
      </c>
      <c r="I733" s="14">
        <f ca="1">IF(G733&lt;0.05,1,0)*$B$1*$B$2</f>
        <v>0</v>
      </c>
      <c r="J733" s="14">
        <f ca="1">IF(H733&lt;0.05,1,0)*$B$1*$B$2</f>
        <v>0</v>
      </c>
      <c r="K733" s="15">
        <f t="shared" ca="1" si="116"/>
        <v>0</v>
      </c>
      <c r="P733" s="3">
        <v>729</v>
      </c>
      <c r="Q733" s="4">
        <f t="shared" ca="1" si="117"/>
        <v>0.80390532806124304</v>
      </c>
      <c r="R733" s="4">
        <f t="shared" ca="1" si="118"/>
        <v>0.27833094923945167</v>
      </c>
      <c r="S733" s="4">
        <f ca="1">$B$1*Q733*$B$2</f>
        <v>32.156213122449721</v>
      </c>
      <c r="T733" s="4">
        <f ca="1">$B$1*R733*$B$2</f>
        <v>11.133237969578069</v>
      </c>
      <c r="U733" s="7">
        <f t="shared" ca="1" si="119"/>
        <v>43.28945109202779</v>
      </c>
    </row>
    <row r="734" spans="2:21" x14ac:dyDescent="0.3">
      <c r="B734" s="13">
        <f t="shared" ca="1" si="110"/>
        <v>0.24147578646717038</v>
      </c>
      <c r="C734" s="14">
        <f t="shared" ca="1" si="110"/>
        <v>0.74418179723661626</v>
      </c>
      <c r="D734" s="14">
        <f t="shared" ca="1" si="111"/>
        <v>-0.70156325631773719</v>
      </c>
      <c r="E734" s="14">
        <f t="shared" ca="1" si="112"/>
        <v>0.65629177985506326</v>
      </c>
      <c r="F734" s="14">
        <f t="shared" ca="1" si="113"/>
        <v>-0.34533597609949723</v>
      </c>
      <c r="G734" s="14">
        <f t="shared" ca="1" si="114"/>
        <v>0.24147578646717038</v>
      </c>
      <c r="H734" s="15">
        <f t="shared" ca="1" si="115"/>
        <v>0.74418179723661637</v>
      </c>
      <c r="I734" s="14">
        <f ca="1">IF(G734&lt;0.05,1,0)*$B$1*$B$2</f>
        <v>0</v>
      </c>
      <c r="J734" s="14">
        <f ca="1">IF(H734&lt;0.05,1,0)*$B$1*$B$2</f>
        <v>0</v>
      </c>
      <c r="K734" s="15">
        <f t="shared" ca="1" si="116"/>
        <v>0</v>
      </c>
      <c r="P734" s="3">
        <v>730</v>
      </c>
      <c r="Q734" s="4">
        <f t="shared" ca="1" si="117"/>
        <v>0.24147578646717038</v>
      </c>
      <c r="R734" s="4">
        <f t="shared" ca="1" si="118"/>
        <v>0.74418179723661637</v>
      </c>
      <c r="S734" s="4">
        <f ca="1">$B$1*Q734*$B$2</f>
        <v>9.6590314586868153</v>
      </c>
      <c r="T734" s="4">
        <f ca="1">$B$1*R734*$B$2</f>
        <v>29.767271889464656</v>
      </c>
      <c r="U734" s="7">
        <f t="shared" ca="1" si="119"/>
        <v>39.426303348151471</v>
      </c>
    </row>
    <row r="735" spans="2:21" x14ac:dyDescent="0.3">
      <c r="B735" s="13">
        <f t="shared" ca="1" si="110"/>
        <v>0.72742492929710922</v>
      </c>
      <c r="C735" s="14">
        <f t="shared" ca="1" si="110"/>
        <v>8.7014720220572772E-2</v>
      </c>
      <c r="D735" s="14">
        <f t="shared" ca="1" si="111"/>
        <v>0.60504342826217528</v>
      </c>
      <c r="E735" s="14">
        <f t="shared" ca="1" si="112"/>
        <v>-1.3593697856386615</v>
      </c>
      <c r="F735" s="14">
        <f t="shared" ca="1" si="113"/>
        <v>-4.7996466814189453E-2</v>
      </c>
      <c r="G735" s="14">
        <f t="shared" ca="1" si="114"/>
        <v>0.72742492929710934</v>
      </c>
      <c r="H735" s="15">
        <f t="shared" ca="1" si="115"/>
        <v>8.7014720220572897E-2</v>
      </c>
      <c r="I735" s="14">
        <f ca="1">IF(G735&lt;0.05,1,0)*$B$1*$B$2</f>
        <v>0</v>
      </c>
      <c r="J735" s="14">
        <f ca="1">IF(H735&lt;0.05,1,0)*$B$1*$B$2</f>
        <v>0</v>
      </c>
      <c r="K735" s="15">
        <f t="shared" ca="1" si="116"/>
        <v>0</v>
      </c>
      <c r="P735" s="3">
        <v>731</v>
      </c>
      <c r="Q735" s="4">
        <f t="shared" ca="1" si="117"/>
        <v>0.72742492929710934</v>
      </c>
      <c r="R735" s="4">
        <f t="shared" ca="1" si="118"/>
        <v>8.7014720220572897E-2</v>
      </c>
      <c r="S735" s="4">
        <f ca="1">$B$1*Q735*$B$2</f>
        <v>29.096997171884375</v>
      </c>
      <c r="T735" s="4">
        <f ca="1">$B$1*R735*$B$2</f>
        <v>3.4805888088229162</v>
      </c>
      <c r="U735" s="7">
        <f t="shared" ca="1" si="119"/>
        <v>32.577585980707291</v>
      </c>
    </row>
    <row r="736" spans="2:21" x14ac:dyDescent="0.3">
      <c r="B736" s="13">
        <f t="shared" ca="1" si="110"/>
        <v>0.63125034063095331</v>
      </c>
      <c r="C736" s="14">
        <f t="shared" ca="1" si="110"/>
        <v>0.63018859597885557</v>
      </c>
      <c r="D736" s="14">
        <f t="shared" ca="1" si="111"/>
        <v>0.33516672847404744</v>
      </c>
      <c r="E736" s="14">
        <f t="shared" ca="1" si="112"/>
        <v>0.33235288851329037</v>
      </c>
      <c r="F736" s="14">
        <f t="shared" ca="1" si="113"/>
        <v>0.44651932108896997</v>
      </c>
      <c r="G736" s="14">
        <f t="shared" ca="1" si="114"/>
        <v>0.63125034063095331</v>
      </c>
      <c r="H736" s="15">
        <f t="shared" ca="1" si="115"/>
        <v>0.63018859597885557</v>
      </c>
      <c r="I736" s="14">
        <f ca="1">IF(G736&lt;0.05,1,0)*$B$1*$B$2</f>
        <v>0</v>
      </c>
      <c r="J736" s="14">
        <f ca="1">IF(H736&lt;0.05,1,0)*$B$1*$B$2</f>
        <v>0</v>
      </c>
      <c r="K736" s="15">
        <f t="shared" ca="1" si="116"/>
        <v>0</v>
      </c>
      <c r="P736" s="3">
        <v>732</v>
      </c>
      <c r="Q736" s="4">
        <f t="shared" ca="1" si="117"/>
        <v>0.63125034063095331</v>
      </c>
      <c r="R736" s="4">
        <f t="shared" ca="1" si="118"/>
        <v>0.63018859597885557</v>
      </c>
      <c r="S736" s="4">
        <f ca="1">$B$1*Q736*$B$2</f>
        <v>25.250013625238132</v>
      </c>
      <c r="T736" s="4">
        <f ca="1">$B$1*R736*$B$2</f>
        <v>25.207543839154226</v>
      </c>
      <c r="U736" s="7">
        <f t="shared" ca="1" si="119"/>
        <v>50.457557464392359</v>
      </c>
    </row>
    <row r="737" spans="2:21" x14ac:dyDescent="0.3">
      <c r="B737" s="13">
        <f t="shared" ca="1" si="110"/>
        <v>0.21491522435594301</v>
      </c>
      <c r="C737" s="14">
        <f t="shared" ca="1" si="110"/>
        <v>0.17237427656855109</v>
      </c>
      <c r="D737" s="14">
        <f t="shared" ca="1" si="111"/>
        <v>-0.78948182442972847</v>
      </c>
      <c r="E737" s="14">
        <f t="shared" ca="1" si="112"/>
        <v>-0.94482436000197612</v>
      </c>
      <c r="F737" s="14">
        <f t="shared" ca="1" si="113"/>
        <v>-1.1223730324511663</v>
      </c>
      <c r="G737" s="14">
        <f t="shared" ca="1" si="114"/>
        <v>0.21491522435594293</v>
      </c>
      <c r="H737" s="15">
        <f t="shared" ca="1" si="115"/>
        <v>0.17237427656855114</v>
      </c>
      <c r="I737" s="14">
        <f ca="1">IF(G737&lt;0.05,1,0)*$B$1*$B$2</f>
        <v>0</v>
      </c>
      <c r="J737" s="14">
        <f ca="1">IF(H737&lt;0.05,1,0)*$B$1*$B$2</f>
        <v>0</v>
      </c>
      <c r="K737" s="15">
        <f t="shared" ca="1" si="116"/>
        <v>0</v>
      </c>
      <c r="P737" s="3">
        <v>733</v>
      </c>
      <c r="Q737" s="4">
        <f t="shared" ca="1" si="117"/>
        <v>0.21491522435594293</v>
      </c>
      <c r="R737" s="4">
        <f t="shared" ca="1" si="118"/>
        <v>0.17237427656855114</v>
      </c>
      <c r="S737" s="4">
        <f ca="1">$B$1*Q737*$B$2</f>
        <v>8.5966089742377179</v>
      </c>
      <c r="T737" s="4">
        <f ca="1">$B$1*R737*$B$2</f>
        <v>6.8949710627420462</v>
      </c>
      <c r="U737" s="7">
        <f t="shared" ca="1" si="119"/>
        <v>15.491580036979764</v>
      </c>
    </row>
    <row r="738" spans="2:21" x14ac:dyDescent="0.3">
      <c r="B738" s="13">
        <f t="shared" ca="1" si="110"/>
        <v>0.37793995808181702</v>
      </c>
      <c r="C738" s="14">
        <f t="shared" ca="1" si="110"/>
        <v>1.3742328910464674E-2</v>
      </c>
      <c r="D738" s="14">
        <f t="shared" ca="1" si="111"/>
        <v>-0.31089569651088933</v>
      </c>
      <c r="E738" s="14">
        <f t="shared" ca="1" si="112"/>
        <v>-2.2045646616941998</v>
      </c>
      <c r="F738" s="14">
        <f t="shared" ca="1" si="113"/>
        <v>-1.2407535843423951</v>
      </c>
      <c r="G738" s="14">
        <f t="shared" ca="1" si="114"/>
        <v>0.37793995808181696</v>
      </c>
      <c r="H738" s="15">
        <f t="shared" ca="1" si="115"/>
        <v>1.3742328910464684E-2</v>
      </c>
      <c r="I738" s="14">
        <f ca="1">IF(G738&lt;0.05,1,0)*$B$1*$B$2</f>
        <v>0</v>
      </c>
      <c r="J738" s="14">
        <f ca="1">IF(H738&lt;0.05,1,0)*$B$1*$B$2</f>
        <v>40</v>
      </c>
      <c r="K738" s="15">
        <f t="shared" ca="1" si="116"/>
        <v>40</v>
      </c>
      <c r="P738" s="3">
        <v>734</v>
      </c>
      <c r="Q738" s="4">
        <f t="shared" ca="1" si="117"/>
        <v>0.37793995808181696</v>
      </c>
      <c r="R738" s="4">
        <f t="shared" ca="1" si="118"/>
        <v>1.3742328910464684E-2</v>
      </c>
      <c r="S738" s="4">
        <f ca="1">$B$1*Q738*$B$2</f>
        <v>15.117598323272681</v>
      </c>
      <c r="T738" s="4">
        <f ca="1">$B$1*R738*$B$2</f>
        <v>0.5496931564185874</v>
      </c>
      <c r="U738" s="7">
        <f t="shared" ca="1" si="119"/>
        <v>15.667291479691269</v>
      </c>
    </row>
    <row r="739" spans="2:21" x14ac:dyDescent="0.3">
      <c r="B739" s="13">
        <f t="shared" ca="1" si="110"/>
        <v>0.50554952985968249</v>
      </c>
      <c r="C739" s="14">
        <f t="shared" ca="1" si="110"/>
        <v>0.66260548173612599</v>
      </c>
      <c r="D739" s="14">
        <f t="shared" ca="1" si="111"/>
        <v>1.3911057116354873E-2</v>
      </c>
      <c r="E739" s="14">
        <f t="shared" ca="1" si="112"/>
        <v>0.41958446842180286</v>
      </c>
      <c r="F739" s="14">
        <f t="shared" ca="1" si="113"/>
        <v>0.19541258101770653</v>
      </c>
      <c r="G739" s="14">
        <f t="shared" ca="1" si="114"/>
        <v>0.50554952985968249</v>
      </c>
      <c r="H739" s="15">
        <f t="shared" ca="1" si="115"/>
        <v>0.6626054817361261</v>
      </c>
      <c r="I739" s="14">
        <f ca="1">IF(G739&lt;0.05,1,0)*$B$1*$B$2</f>
        <v>0</v>
      </c>
      <c r="J739" s="14">
        <f ca="1">IF(H739&lt;0.05,1,0)*$B$1*$B$2</f>
        <v>0</v>
      </c>
      <c r="K739" s="15">
        <f t="shared" ca="1" si="116"/>
        <v>0</v>
      </c>
      <c r="P739" s="3">
        <v>735</v>
      </c>
      <c r="Q739" s="4">
        <f t="shared" ca="1" si="117"/>
        <v>0.50554952985968249</v>
      </c>
      <c r="R739" s="4">
        <f t="shared" ca="1" si="118"/>
        <v>0.6626054817361261</v>
      </c>
      <c r="S739" s="4">
        <f ca="1">$B$1*Q739*$B$2</f>
        <v>20.2219811943873</v>
      </c>
      <c r="T739" s="4">
        <f ca="1">$B$1*R739*$B$2</f>
        <v>26.504219269445045</v>
      </c>
      <c r="U739" s="7">
        <f t="shared" ca="1" si="119"/>
        <v>46.726200463832342</v>
      </c>
    </row>
    <row r="740" spans="2:21" x14ac:dyDescent="0.3">
      <c r="B740" s="13">
        <f t="shared" ca="1" si="110"/>
        <v>0.13469615795011147</v>
      </c>
      <c r="C740" s="14">
        <f t="shared" ca="1" si="110"/>
        <v>5.7260356326771289E-2</v>
      </c>
      <c r="D740" s="14">
        <f t="shared" ca="1" si="111"/>
        <v>-1.104463067525117</v>
      </c>
      <c r="E740" s="14">
        <f t="shared" ca="1" si="112"/>
        <v>-1.5781954612002185</v>
      </c>
      <c r="F740" s="14">
        <f t="shared" ca="1" si="113"/>
        <v>-1.6819362136252369</v>
      </c>
      <c r="G740" s="14">
        <f t="shared" ca="1" si="114"/>
        <v>0.13469615795011142</v>
      </c>
      <c r="H740" s="15">
        <f t="shared" ca="1" si="115"/>
        <v>5.7260356326771261E-2</v>
      </c>
      <c r="I740" s="14">
        <f ca="1">IF(G740&lt;0.05,1,0)*$B$1*$B$2</f>
        <v>0</v>
      </c>
      <c r="J740" s="14">
        <f ca="1">IF(H740&lt;0.05,1,0)*$B$1*$B$2</f>
        <v>0</v>
      </c>
      <c r="K740" s="15">
        <f t="shared" ca="1" si="116"/>
        <v>0</v>
      </c>
      <c r="P740" s="3">
        <v>736</v>
      </c>
      <c r="Q740" s="4">
        <f t="shared" ca="1" si="117"/>
        <v>0.13469615795011142</v>
      </c>
      <c r="R740" s="4">
        <f t="shared" ca="1" si="118"/>
        <v>5.7260356326771261E-2</v>
      </c>
      <c r="S740" s="4">
        <f ca="1">$B$1*Q740*$B$2</f>
        <v>5.3878463180044571</v>
      </c>
      <c r="T740" s="4">
        <f ca="1">$B$1*R740*$B$2</f>
        <v>2.2904142530708507</v>
      </c>
      <c r="U740" s="7">
        <f t="shared" ca="1" si="119"/>
        <v>7.6782605710753078</v>
      </c>
    </row>
    <row r="741" spans="2:21" x14ac:dyDescent="0.3">
      <c r="B741" s="13">
        <f t="shared" ca="1" si="110"/>
        <v>3.7928958366517662E-5</v>
      </c>
      <c r="C741" s="14">
        <f t="shared" ca="1" si="110"/>
        <v>0.66235169762451085</v>
      </c>
      <c r="D741" s="14">
        <f t="shared" ca="1" si="111"/>
        <v>-3.957122869898221</v>
      </c>
      <c r="E741" s="14">
        <f t="shared" ca="1" si="112"/>
        <v>0.41888989185207198</v>
      </c>
      <c r="F741" s="14">
        <f t="shared" ca="1" si="113"/>
        <v>-3.3788207122030127</v>
      </c>
      <c r="G741" s="14">
        <f t="shared" ca="1" si="114"/>
        <v>3.7928958366517689E-5</v>
      </c>
      <c r="H741" s="15">
        <f t="shared" ca="1" si="115"/>
        <v>0.66235169762451085</v>
      </c>
      <c r="I741" s="14">
        <f ca="1">IF(G741&lt;0.05,1,0)*$B$1*$B$2</f>
        <v>40</v>
      </c>
      <c r="J741" s="14">
        <f ca="1">IF(H741&lt;0.05,1,0)*$B$1*$B$2</f>
        <v>0</v>
      </c>
      <c r="K741" s="15">
        <f t="shared" ca="1" si="116"/>
        <v>40</v>
      </c>
      <c r="P741" s="3">
        <v>737</v>
      </c>
      <c r="Q741" s="4">
        <f t="shared" ca="1" si="117"/>
        <v>3.7928958366517689E-5</v>
      </c>
      <c r="R741" s="4">
        <f t="shared" ca="1" si="118"/>
        <v>0.66235169762451085</v>
      </c>
      <c r="S741" s="4">
        <f ca="1">$B$1*Q741*$B$2</f>
        <v>1.5171583346607076E-3</v>
      </c>
      <c r="T741" s="4">
        <f ca="1">$B$1*R741*$B$2</f>
        <v>26.494067904980433</v>
      </c>
      <c r="U741" s="7">
        <f t="shared" ca="1" si="119"/>
        <v>26.495585063315094</v>
      </c>
    </row>
    <row r="742" spans="2:21" x14ac:dyDescent="0.3">
      <c r="B742" s="13">
        <f t="shared" ca="1" si="110"/>
        <v>5.1499501001528447E-3</v>
      </c>
      <c r="C742" s="14">
        <f t="shared" ca="1" si="110"/>
        <v>0.81568840044634605</v>
      </c>
      <c r="D742" s="14">
        <f t="shared" ca="1" si="111"/>
        <v>-2.5655950337013675</v>
      </c>
      <c r="E742" s="14">
        <f t="shared" ca="1" si="112"/>
        <v>0.8990553127032973</v>
      </c>
      <c r="F742" s="14">
        <f t="shared" ca="1" si="113"/>
        <v>-1.9171464050585274</v>
      </c>
      <c r="G742" s="14">
        <f t="shared" ca="1" si="114"/>
        <v>5.1499501001528517E-3</v>
      </c>
      <c r="H742" s="15">
        <f t="shared" ca="1" si="115"/>
        <v>0.81568840044634605</v>
      </c>
      <c r="I742" s="14">
        <f ca="1">IF(G742&lt;0.05,1,0)*$B$1*$B$2</f>
        <v>40</v>
      </c>
      <c r="J742" s="14">
        <f ca="1">IF(H742&lt;0.05,1,0)*$B$1*$B$2</f>
        <v>0</v>
      </c>
      <c r="K742" s="15">
        <f t="shared" ca="1" si="116"/>
        <v>40</v>
      </c>
      <c r="P742" s="3">
        <v>738</v>
      </c>
      <c r="Q742" s="4">
        <f t="shared" ca="1" si="117"/>
        <v>5.1499501001528517E-3</v>
      </c>
      <c r="R742" s="4">
        <f t="shared" ca="1" si="118"/>
        <v>0.81568840044634605</v>
      </c>
      <c r="S742" s="4">
        <f ca="1">$B$1*Q742*$B$2</f>
        <v>0.20599800400611407</v>
      </c>
      <c r="T742" s="4">
        <f ca="1">$B$1*R742*$B$2</f>
        <v>32.627536017853849</v>
      </c>
      <c r="U742" s="7">
        <f t="shared" ca="1" si="119"/>
        <v>32.833534021859961</v>
      </c>
    </row>
    <row r="743" spans="2:21" x14ac:dyDescent="0.3">
      <c r="B743" s="13">
        <f t="shared" ca="1" si="110"/>
        <v>0.12090737952558595</v>
      </c>
      <c r="C743" s="14">
        <f t="shared" ca="1" si="110"/>
        <v>0.86392883886911598</v>
      </c>
      <c r="D743" s="14">
        <f t="shared" ca="1" si="111"/>
        <v>-1.1704628421581149</v>
      </c>
      <c r="E743" s="14">
        <f t="shared" ca="1" si="112"/>
        <v>1.0981423794955449</v>
      </c>
      <c r="F743" s="14">
        <f t="shared" ca="1" si="113"/>
        <v>-0.5747473921582662</v>
      </c>
      <c r="G743" s="14">
        <f t="shared" ca="1" si="114"/>
        <v>0.12090737952558596</v>
      </c>
      <c r="H743" s="15">
        <f t="shared" ca="1" si="115"/>
        <v>0.86392883886911598</v>
      </c>
      <c r="I743" s="14">
        <f ca="1">IF(G743&lt;0.05,1,0)*$B$1*$B$2</f>
        <v>0</v>
      </c>
      <c r="J743" s="14">
        <f ca="1">IF(H743&lt;0.05,1,0)*$B$1*$B$2</f>
        <v>0</v>
      </c>
      <c r="K743" s="15">
        <f t="shared" ca="1" si="116"/>
        <v>0</v>
      </c>
      <c r="P743" s="3">
        <v>739</v>
      </c>
      <c r="Q743" s="4">
        <f t="shared" ca="1" si="117"/>
        <v>0.12090737952558596</v>
      </c>
      <c r="R743" s="4">
        <f t="shared" ca="1" si="118"/>
        <v>0.86392883886911598</v>
      </c>
      <c r="S743" s="4">
        <f ca="1">$B$1*Q743*$B$2</f>
        <v>4.8362951810234387</v>
      </c>
      <c r="T743" s="4">
        <f ca="1">$B$1*R743*$B$2</f>
        <v>34.557153554764639</v>
      </c>
      <c r="U743" s="7">
        <f t="shared" ca="1" si="119"/>
        <v>39.393448735788077</v>
      </c>
    </row>
    <row r="744" spans="2:21" x14ac:dyDescent="0.3">
      <c r="B744" s="13">
        <f t="shared" ca="1" si="110"/>
        <v>0.72485835214988203</v>
      </c>
      <c r="C744" s="14">
        <f t="shared" ca="1" si="110"/>
        <v>0.90003116912200798</v>
      </c>
      <c r="D744" s="14">
        <f t="shared" ca="1" si="111"/>
        <v>0.59733566750328471</v>
      </c>
      <c r="E744" s="14">
        <f t="shared" ca="1" si="112"/>
        <v>1.2817291892834632</v>
      </c>
      <c r="F744" s="14">
        <f t="shared" ca="1" si="113"/>
        <v>1.0962949016602495</v>
      </c>
      <c r="G744" s="14">
        <f t="shared" ca="1" si="114"/>
        <v>0.72485835214988215</v>
      </c>
      <c r="H744" s="15">
        <f t="shared" ca="1" si="115"/>
        <v>0.90003116912200787</v>
      </c>
      <c r="I744" s="14">
        <f ca="1">IF(G744&lt;0.05,1,0)*$B$1*$B$2</f>
        <v>0</v>
      </c>
      <c r="J744" s="14">
        <f ca="1">IF(H744&lt;0.05,1,0)*$B$1*$B$2</f>
        <v>0</v>
      </c>
      <c r="K744" s="15">
        <f t="shared" ca="1" si="116"/>
        <v>0</v>
      </c>
      <c r="P744" s="3">
        <v>740</v>
      </c>
      <c r="Q744" s="4">
        <f t="shared" ca="1" si="117"/>
        <v>0.72485835214988215</v>
      </c>
      <c r="R744" s="4">
        <f t="shared" ca="1" si="118"/>
        <v>0.90003116912200787</v>
      </c>
      <c r="S744" s="4">
        <f ca="1">$B$1*Q744*$B$2</f>
        <v>28.994334085995288</v>
      </c>
      <c r="T744" s="4">
        <f ca="1">$B$1*R744*$B$2</f>
        <v>36.001246764880314</v>
      </c>
      <c r="U744" s="7">
        <f t="shared" ca="1" si="119"/>
        <v>64.995580850875598</v>
      </c>
    </row>
    <row r="745" spans="2:21" x14ac:dyDescent="0.3">
      <c r="B745" s="13">
        <f t="shared" ca="1" si="110"/>
        <v>0.22464409010078268</v>
      </c>
      <c r="C745" s="14">
        <f t="shared" ca="1" si="110"/>
        <v>0.78408775378451001</v>
      </c>
      <c r="D745" s="14">
        <f t="shared" ca="1" si="111"/>
        <v>-0.75660227127455604</v>
      </c>
      <c r="E745" s="14">
        <f t="shared" ca="1" si="112"/>
        <v>0.78607339055216841</v>
      </c>
      <c r="F745" s="14">
        <f t="shared" ca="1" si="113"/>
        <v>-0.33830059698477233</v>
      </c>
      <c r="G745" s="14">
        <f t="shared" ca="1" si="114"/>
        <v>0.22464409010078276</v>
      </c>
      <c r="H745" s="15">
        <f t="shared" ca="1" si="115"/>
        <v>0.78408775378451001</v>
      </c>
      <c r="I745" s="14">
        <f ca="1">IF(G745&lt;0.05,1,0)*$B$1*$B$2</f>
        <v>0</v>
      </c>
      <c r="J745" s="14">
        <f ca="1">IF(H745&lt;0.05,1,0)*$B$1*$B$2</f>
        <v>0</v>
      </c>
      <c r="K745" s="15">
        <f t="shared" ca="1" si="116"/>
        <v>0</v>
      </c>
      <c r="P745" s="3">
        <v>741</v>
      </c>
      <c r="Q745" s="4">
        <f t="shared" ca="1" si="117"/>
        <v>0.22464409010078276</v>
      </c>
      <c r="R745" s="4">
        <f t="shared" ca="1" si="118"/>
        <v>0.78408775378451001</v>
      </c>
      <c r="S745" s="4">
        <f ca="1">$B$1*Q745*$B$2</f>
        <v>8.9857636040313107</v>
      </c>
      <c r="T745" s="4">
        <f ca="1">$B$1*R745*$B$2</f>
        <v>31.3635101513804</v>
      </c>
      <c r="U745" s="7">
        <f t="shared" ca="1" si="119"/>
        <v>40.349273755411708</v>
      </c>
    </row>
    <row r="746" spans="2:21" x14ac:dyDescent="0.3">
      <c r="B746" s="13">
        <f t="shared" ca="1" si="110"/>
        <v>0.44547199348842592</v>
      </c>
      <c r="C746" s="14">
        <f t="shared" ca="1" si="110"/>
        <v>0.66958074444701721</v>
      </c>
      <c r="D746" s="14">
        <f t="shared" ca="1" si="111"/>
        <v>-0.13710982450822692</v>
      </c>
      <c r="E746" s="14">
        <f t="shared" ca="1" si="112"/>
        <v>0.43875577120288339</v>
      </c>
      <c r="F746" s="14">
        <f t="shared" ca="1" si="113"/>
        <v>6.7850364699457932E-2</v>
      </c>
      <c r="G746" s="14">
        <f t="shared" ca="1" si="114"/>
        <v>0.44547199348842592</v>
      </c>
      <c r="H746" s="15">
        <f t="shared" ca="1" si="115"/>
        <v>0.66958074444701732</v>
      </c>
      <c r="I746" s="14">
        <f ca="1">IF(G746&lt;0.05,1,0)*$B$1*$B$2</f>
        <v>0</v>
      </c>
      <c r="J746" s="14">
        <f ca="1">IF(H746&lt;0.05,1,0)*$B$1*$B$2</f>
        <v>0</v>
      </c>
      <c r="K746" s="15">
        <f t="shared" ca="1" si="116"/>
        <v>0</v>
      </c>
      <c r="P746" s="3">
        <v>742</v>
      </c>
      <c r="Q746" s="4">
        <f t="shared" ca="1" si="117"/>
        <v>0.44547199348842592</v>
      </c>
      <c r="R746" s="4">
        <f t="shared" ca="1" si="118"/>
        <v>0.66958074444701732</v>
      </c>
      <c r="S746" s="4">
        <f ca="1">$B$1*Q746*$B$2</f>
        <v>17.818879739537035</v>
      </c>
      <c r="T746" s="4">
        <f ca="1">$B$1*R746*$B$2</f>
        <v>26.783229777880695</v>
      </c>
      <c r="U746" s="7">
        <f t="shared" ca="1" si="119"/>
        <v>44.60210951741773</v>
      </c>
    </row>
    <row r="747" spans="2:21" x14ac:dyDescent="0.3">
      <c r="B747" s="13">
        <f t="shared" ca="1" si="110"/>
        <v>0.84753928365272224</v>
      </c>
      <c r="C747" s="14">
        <f t="shared" ca="1" si="110"/>
        <v>0.35076640726540109</v>
      </c>
      <c r="D747" s="14">
        <f t="shared" ca="1" si="111"/>
        <v>1.0259366778128418</v>
      </c>
      <c r="E747" s="14">
        <f t="shared" ca="1" si="112"/>
        <v>-0.38325214969125104</v>
      </c>
      <c r="F747" s="14">
        <f t="shared" ca="1" si="113"/>
        <v>0.75628727099166904</v>
      </c>
      <c r="G747" s="14">
        <f t="shared" ca="1" si="114"/>
        <v>0.8475392836527218</v>
      </c>
      <c r="H747" s="15">
        <f t="shared" ca="1" si="115"/>
        <v>0.35076640726540109</v>
      </c>
      <c r="I747" s="14">
        <f ca="1">IF(G747&lt;0.05,1,0)*$B$1*$B$2</f>
        <v>0</v>
      </c>
      <c r="J747" s="14">
        <f ca="1">IF(H747&lt;0.05,1,0)*$B$1*$B$2</f>
        <v>0</v>
      </c>
      <c r="K747" s="15">
        <f t="shared" ca="1" si="116"/>
        <v>0</v>
      </c>
      <c r="P747" s="3">
        <v>743</v>
      </c>
      <c r="Q747" s="4">
        <f t="shared" ca="1" si="117"/>
        <v>0.8475392836527218</v>
      </c>
      <c r="R747" s="4">
        <f t="shared" ca="1" si="118"/>
        <v>0.35076640726540109</v>
      </c>
      <c r="S747" s="4">
        <f ca="1">$B$1*Q747*$B$2</f>
        <v>33.901571346108874</v>
      </c>
      <c r="T747" s="4">
        <f ca="1">$B$1*R747*$B$2</f>
        <v>14.030656290616044</v>
      </c>
      <c r="U747" s="7">
        <f t="shared" ca="1" si="119"/>
        <v>47.932227636724917</v>
      </c>
    </row>
    <row r="748" spans="2:21" x14ac:dyDescent="0.3">
      <c r="B748" s="13">
        <f t="shared" ca="1" si="110"/>
        <v>0.11411608206388202</v>
      </c>
      <c r="C748" s="14">
        <f t="shared" ca="1" si="110"/>
        <v>0.68122246841351342</v>
      </c>
      <c r="D748" s="14">
        <f t="shared" ca="1" si="111"/>
        <v>-1.2049252392748702</v>
      </c>
      <c r="E748" s="14">
        <f t="shared" ca="1" si="112"/>
        <v>0.47111997255541471</v>
      </c>
      <c r="F748" s="14">
        <f t="shared" ca="1" si="113"/>
        <v>-0.87907628028211238</v>
      </c>
      <c r="G748" s="14">
        <f t="shared" ca="1" si="114"/>
        <v>0.11411608206388199</v>
      </c>
      <c r="H748" s="15">
        <f t="shared" ca="1" si="115"/>
        <v>0.68122246841351353</v>
      </c>
      <c r="I748" s="14">
        <f ca="1">IF(G748&lt;0.05,1,0)*$B$1*$B$2</f>
        <v>0</v>
      </c>
      <c r="J748" s="14">
        <f ca="1">IF(H748&lt;0.05,1,0)*$B$1*$B$2</f>
        <v>0</v>
      </c>
      <c r="K748" s="15">
        <f t="shared" ca="1" si="116"/>
        <v>0</v>
      </c>
      <c r="P748" s="3">
        <v>744</v>
      </c>
      <c r="Q748" s="4">
        <f t="shared" ca="1" si="117"/>
        <v>0.11411608206388199</v>
      </c>
      <c r="R748" s="4">
        <f t="shared" ca="1" si="118"/>
        <v>0.68122246841351353</v>
      </c>
      <c r="S748" s="4">
        <f ca="1">$B$1*Q748*$B$2</f>
        <v>4.5646432825552798</v>
      </c>
      <c r="T748" s="4">
        <f ca="1">$B$1*R748*$B$2</f>
        <v>27.248898736540543</v>
      </c>
      <c r="U748" s="7">
        <f t="shared" ca="1" si="119"/>
        <v>31.813542019095824</v>
      </c>
    </row>
    <row r="749" spans="2:21" x14ac:dyDescent="0.3">
      <c r="B749" s="13">
        <f t="shared" ca="1" si="110"/>
        <v>0.9548814907856692</v>
      </c>
      <c r="C749" s="14">
        <f t="shared" ca="1" si="110"/>
        <v>0.10612590131114596</v>
      </c>
      <c r="D749" s="14">
        <f t="shared" ca="1" si="111"/>
        <v>1.6941487617576445</v>
      </c>
      <c r="E749" s="14">
        <f t="shared" ca="1" si="112"/>
        <v>-1.2473974458576418</v>
      </c>
      <c r="F749" s="14">
        <f t="shared" ca="1" si="113"/>
        <v>0.98100594468945934</v>
      </c>
      <c r="G749" s="14">
        <f t="shared" ca="1" si="114"/>
        <v>0.9548814907856692</v>
      </c>
      <c r="H749" s="15">
        <f t="shared" ca="1" si="115"/>
        <v>0.10612590131114588</v>
      </c>
      <c r="I749" s="14">
        <f ca="1">IF(G749&lt;0.05,1,0)*$B$1*$B$2</f>
        <v>0</v>
      </c>
      <c r="J749" s="14">
        <f ca="1">IF(H749&lt;0.05,1,0)*$B$1*$B$2</f>
        <v>0</v>
      </c>
      <c r="K749" s="15">
        <f t="shared" ca="1" si="116"/>
        <v>0</v>
      </c>
      <c r="P749" s="3">
        <v>745</v>
      </c>
      <c r="Q749" s="4">
        <f t="shared" ca="1" si="117"/>
        <v>0.9548814907856692</v>
      </c>
      <c r="R749" s="4">
        <f t="shared" ca="1" si="118"/>
        <v>0.10612590131114588</v>
      </c>
      <c r="S749" s="4">
        <f ca="1">$B$1*Q749*$B$2</f>
        <v>38.195259631426772</v>
      </c>
      <c r="T749" s="4">
        <f ca="1">$B$1*R749*$B$2</f>
        <v>4.2450360524458359</v>
      </c>
      <c r="U749" s="7">
        <f t="shared" ca="1" si="119"/>
        <v>42.440295683872606</v>
      </c>
    </row>
    <row r="750" spans="2:21" x14ac:dyDescent="0.3">
      <c r="B750" s="13">
        <f t="shared" ca="1" si="110"/>
        <v>0.95548158866941257</v>
      </c>
      <c r="C750" s="14">
        <f t="shared" ca="1" si="110"/>
        <v>0.384263866669732</v>
      </c>
      <c r="D750" s="14">
        <f t="shared" ca="1" si="111"/>
        <v>1.7005004987914525</v>
      </c>
      <c r="E750" s="14">
        <f t="shared" ca="1" si="112"/>
        <v>-0.29430122935591646</v>
      </c>
      <c r="F750" s="14">
        <f t="shared" ca="1" si="113"/>
        <v>1.4021675171400847</v>
      </c>
      <c r="G750" s="14">
        <f t="shared" ca="1" si="114"/>
        <v>0.95548158866941257</v>
      </c>
      <c r="H750" s="15">
        <f t="shared" ca="1" si="115"/>
        <v>0.384263866669732</v>
      </c>
      <c r="I750" s="14">
        <f ca="1">IF(G750&lt;0.05,1,0)*$B$1*$B$2</f>
        <v>0</v>
      </c>
      <c r="J750" s="14">
        <f ca="1">IF(H750&lt;0.05,1,0)*$B$1*$B$2</f>
        <v>0</v>
      </c>
      <c r="K750" s="15">
        <f t="shared" ca="1" si="116"/>
        <v>0</v>
      </c>
      <c r="P750" s="3">
        <v>746</v>
      </c>
      <c r="Q750" s="4">
        <f t="shared" ca="1" si="117"/>
        <v>0.95548158866941257</v>
      </c>
      <c r="R750" s="4">
        <f t="shared" ca="1" si="118"/>
        <v>0.384263866669732</v>
      </c>
      <c r="S750" s="4">
        <f ca="1">$B$1*Q750*$B$2</f>
        <v>38.21926354677651</v>
      </c>
      <c r="T750" s="4">
        <f ca="1">$B$1*R750*$B$2</f>
        <v>15.370554666789282</v>
      </c>
      <c r="U750" s="7">
        <f t="shared" ca="1" si="119"/>
        <v>53.589818213565792</v>
      </c>
    </row>
    <row r="751" spans="2:21" x14ac:dyDescent="0.3">
      <c r="B751" s="13">
        <f t="shared" ca="1" si="110"/>
        <v>0.91830963100124952</v>
      </c>
      <c r="C751" s="14">
        <f t="shared" ca="1" si="110"/>
        <v>0.96518258962674741</v>
      </c>
      <c r="D751" s="14">
        <f t="shared" ca="1" si="111"/>
        <v>1.3937909626689093</v>
      </c>
      <c r="E751" s="14">
        <f t="shared" ca="1" si="112"/>
        <v>1.8142787543682932</v>
      </c>
      <c r="F751" s="14">
        <f t="shared" ca="1" si="113"/>
        <v>2.0452376409724424</v>
      </c>
      <c r="G751" s="14">
        <f t="shared" ca="1" si="114"/>
        <v>0.91830963100124929</v>
      </c>
      <c r="H751" s="15">
        <f t="shared" ca="1" si="115"/>
        <v>0.96518258962674741</v>
      </c>
      <c r="I751" s="14">
        <f ca="1">IF(G751&lt;0.05,1,0)*$B$1*$B$2</f>
        <v>0</v>
      </c>
      <c r="J751" s="14">
        <f ca="1">IF(H751&lt;0.05,1,0)*$B$1*$B$2</f>
        <v>0</v>
      </c>
      <c r="K751" s="15">
        <f t="shared" ca="1" si="116"/>
        <v>0</v>
      </c>
      <c r="P751" s="3">
        <v>747</v>
      </c>
      <c r="Q751" s="4">
        <f t="shared" ca="1" si="117"/>
        <v>0.91830963100124929</v>
      </c>
      <c r="R751" s="4">
        <f t="shared" ca="1" si="118"/>
        <v>0.96518258962674741</v>
      </c>
      <c r="S751" s="4">
        <f ca="1">$B$1*Q751*$B$2</f>
        <v>36.732385240049972</v>
      </c>
      <c r="T751" s="4">
        <f ca="1">$B$1*R751*$B$2</f>
        <v>38.6073035850699</v>
      </c>
      <c r="U751" s="7">
        <f t="shared" ca="1" si="119"/>
        <v>75.339688825119879</v>
      </c>
    </row>
    <row r="752" spans="2:21" x14ac:dyDescent="0.3">
      <c r="B752" s="13">
        <f t="shared" ca="1" si="110"/>
        <v>0.67674291592212132</v>
      </c>
      <c r="C752" s="14">
        <f t="shared" ca="1" si="110"/>
        <v>7.6436013777224199E-2</v>
      </c>
      <c r="D752" s="14">
        <f t="shared" ca="1" si="111"/>
        <v>0.45861011983485028</v>
      </c>
      <c r="E752" s="14">
        <f t="shared" ca="1" si="112"/>
        <v>-1.4294601263136273</v>
      </c>
      <c r="F752" s="14">
        <f t="shared" ca="1" si="113"/>
        <v>-0.21033811559083343</v>
      </c>
      <c r="G752" s="14">
        <f t="shared" ca="1" si="114"/>
        <v>0.67674291592212132</v>
      </c>
      <c r="H752" s="15">
        <f t="shared" ca="1" si="115"/>
        <v>7.643601377722424E-2</v>
      </c>
      <c r="I752" s="14">
        <f ca="1">IF(G752&lt;0.05,1,0)*$B$1*$B$2</f>
        <v>0</v>
      </c>
      <c r="J752" s="14">
        <f ca="1">IF(H752&lt;0.05,1,0)*$B$1*$B$2</f>
        <v>0</v>
      </c>
      <c r="K752" s="15">
        <f t="shared" ca="1" si="116"/>
        <v>0</v>
      </c>
      <c r="P752" s="3">
        <v>748</v>
      </c>
      <c r="Q752" s="4">
        <f t="shared" ca="1" si="117"/>
        <v>0.67674291592212132</v>
      </c>
      <c r="R752" s="4">
        <f t="shared" ca="1" si="118"/>
        <v>7.643601377722424E-2</v>
      </c>
      <c r="S752" s="4">
        <f ca="1">$B$1*Q752*$B$2</f>
        <v>27.069716636884852</v>
      </c>
      <c r="T752" s="4">
        <f ca="1">$B$1*R752*$B$2</f>
        <v>3.0574405510889697</v>
      </c>
      <c r="U752" s="7">
        <f t="shared" ca="1" si="119"/>
        <v>30.127157187973822</v>
      </c>
    </row>
    <row r="753" spans="2:21" x14ac:dyDescent="0.3">
      <c r="B753" s="13">
        <f t="shared" ca="1" si="110"/>
        <v>0.50366753052023838</v>
      </c>
      <c r="C753" s="14">
        <f t="shared" ca="1" si="110"/>
        <v>0.11378436707957262</v>
      </c>
      <c r="D753" s="14">
        <f t="shared" ca="1" si="111"/>
        <v>9.1932651949849873E-3</v>
      </c>
      <c r="E753" s="14">
        <f t="shared" ca="1" si="112"/>
        <v>-1.2066454012134524</v>
      </c>
      <c r="F753" s="14">
        <f t="shared" ca="1" si="113"/>
        <v>-0.51769059778226634</v>
      </c>
      <c r="G753" s="14">
        <f t="shared" ca="1" si="114"/>
        <v>0.50366753052023838</v>
      </c>
      <c r="H753" s="15">
        <f t="shared" ca="1" si="115"/>
        <v>0.11378436707957258</v>
      </c>
      <c r="I753" s="14">
        <f ca="1">IF(G753&lt;0.05,1,0)*$B$1*$B$2</f>
        <v>0</v>
      </c>
      <c r="J753" s="14">
        <f ca="1">IF(H753&lt;0.05,1,0)*$B$1*$B$2</f>
        <v>0</v>
      </c>
      <c r="K753" s="15">
        <f t="shared" ca="1" si="116"/>
        <v>0</v>
      </c>
      <c r="P753" s="3">
        <v>749</v>
      </c>
      <c r="Q753" s="4">
        <f t="shared" ca="1" si="117"/>
        <v>0.50366753052023838</v>
      </c>
      <c r="R753" s="4">
        <f t="shared" ca="1" si="118"/>
        <v>0.11378436707957258</v>
      </c>
      <c r="S753" s="4">
        <f ca="1">$B$1*Q753*$B$2</f>
        <v>20.146701220809536</v>
      </c>
      <c r="T753" s="4">
        <f ca="1">$B$1*R753*$B$2</f>
        <v>4.5513746831829032</v>
      </c>
      <c r="U753" s="7">
        <f t="shared" ca="1" si="119"/>
        <v>24.698075903992439</v>
      </c>
    </row>
    <row r="754" spans="2:21" x14ac:dyDescent="0.3">
      <c r="B754" s="13">
        <f t="shared" ca="1" si="110"/>
        <v>4.0612350083531812E-2</v>
      </c>
      <c r="C754" s="14">
        <f t="shared" ca="1" si="110"/>
        <v>0.40688117879376862</v>
      </c>
      <c r="D754" s="14">
        <f t="shared" ca="1" si="111"/>
        <v>-1.7436238588373658</v>
      </c>
      <c r="E754" s="14">
        <f t="shared" ca="1" si="112"/>
        <v>-0.23557515082553598</v>
      </c>
      <c r="F754" s="14">
        <f t="shared" ca="1" si="113"/>
        <v>-1.6719463005594155</v>
      </c>
      <c r="G754" s="14">
        <f t="shared" ca="1" si="114"/>
        <v>4.0612350083531805E-2</v>
      </c>
      <c r="H754" s="15">
        <f t="shared" ca="1" si="115"/>
        <v>0.40688117879376856</v>
      </c>
      <c r="I754" s="14">
        <f ca="1">IF(G754&lt;0.05,1,0)*$B$1*$B$2</f>
        <v>40</v>
      </c>
      <c r="J754" s="14">
        <f ca="1">IF(H754&lt;0.05,1,0)*$B$1*$B$2</f>
        <v>0</v>
      </c>
      <c r="K754" s="15">
        <f t="shared" ca="1" si="116"/>
        <v>40</v>
      </c>
      <c r="P754" s="3">
        <v>750</v>
      </c>
      <c r="Q754" s="4">
        <f t="shared" ca="1" si="117"/>
        <v>4.0612350083531805E-2</v>
      </c>
      <c r="R754" s="4">
        <f t="shared" ca="1" si="118"/>
        <v>0.40688117879376856</v>
      </c>
      <c r="S754" s="4">
        <f ca="1">$B$1*Q754*$B$2</f>
        <v>1.6244940033412723</v>
      </c>
      <c r="T754" s="4">
        <f ca="1">$B$1*R754*$B$2</f>
        <v>16.275247151750744</v>
      </c>
      <c r="U754" s="7">
        <f t="shared" ca="1" si="119"/>
        <v>17.899741155092016</v>
      </c>
    </row>
    <row r="755" spans="2:21" x14ac:dyDescent="0.3">
      <c r="B755" s="13">
        <f t="shared" ca="1" si="110"/>
        <v>0.23733494788598986</v>
      </c>
      <c r="C755" s="14">
        <f t="shared" ca="1" si="110"/>
        <v>0.17297957027141209</v>
      </c>
      <c r="D755" s="14">
        <f t="shared" ca="1" si="111"/>
        <v>-0.71490152315690836</v>
      </c>
      <c r="E755" s="14">
        <f t="shared" ca="1" si="112"/>
        <v>-0.94245617093895606</v>
      </c>
      <c r="F755" s="14">
        <f t="shared" ca="1" si="113"/>
        <v>-1.054218491625138</v>
      </c>
      <c r="G755" s="14">
        <f t="shared" ca="1" si="114"/>
        <v>0.23733494788598972</v>
      </c>
      <c r="H755" s="15">
        <f t="shared" ca="1" si="115"/>
        <v>0.17297957027141206</v>
      </c>
      <c r="I755" s="14">
        <f ca="1">IF(G755&lt;0.05,1,0)*$B$1*$B$2</f>
        <v>0</v>
      </c>
      <c r="J755" s="14">
        <f ca="1">IF(H755&lt;0.05,1,0)*$B$1*$B$2</f>
        <v>0</v>
      </c>
      <c r="K755" s="15">
        <f t="shared" ca="1" si="116"/>
        <v>0</v>
      </c>
      <c r="P755" s="3">
        <v>751</v>
      </c>
      <c r="Q755" s="4">
        <f t="shared" ca="1" si="117"/>
        <v>0.23733494788598972</v>
      </c>
      <c r="R755" s="4">
        <f t="shared" ca="1" si="118"/>
        <v>0.17297957027141206</v>
      </c>
      <c r="S755" s="4">
        <f ca="1">$B$1*Q755*$B$2</f>
        <v>9.4933979154395889</v>
      </c>
      <c r="T755" s="4">
        <f ca="1">$B$1*R755*$B$2</f>
        <v>6.9191828108564826</v>
      </c>
      <c r="U755" s="7">
        <f t="shared" ca="1" si="119"/>
        <v>16.412580726296071</v>
      </c>
    </row>
    <row r="756" spans="2:21" x14ac:dyDescent="0.3">
      <c r="B756" s="13">
        <f t="shared" ca="1" si="110"/>
        <v>0.84931348910445059</v>
      </c>
      <c r="C756" s="14">
        <f t="shared" ca="1" si="110"/>
        <v>0.41870936171266715</v>
      </c>
      <c r="D756" s="14">
        <f t="shared" ca="1" si="111"/>
        <v>1.0334934765243777</v>
      </c>
      <c r="E756" s="14">
        <f t="shared" ca="1" si="112"/>
        <v>-0.20519634696075434</v>
      </c>
      <c r="F756" s="14">
        <f t="shared" ca="1" si="113"/>
        <v>0.84070111487337629</v>
      </c>
      <c r="G756" s="14">
        <f t="shared" ca="1" si="114"/>
        <v>0.84931348910445092</v>
      </c>
      <c r="H756" s="15">
        <f t="shared" ca="1" si="115"/>
        <v>0.41870936171266715</v>
      </c>
      <c r="I756" s="14">
        <f ca="1">IF(G756&lt;0.05,1,0)*$B$1*$B$2</f>
        <v>0</v>
      </c>
      <c r="J756" s="14">
        <f ca="1">IF(H756&lt;0.05,1,0)*$B$1*$B$2</f>
        <v>0</v>
      </c>
      <c r="K756" s="15">
        <f t="shared" ca="1" si="116"/>
        <v>0</v>
      </c>
      <c r="P756" s="3">
        <v>752</v>
      </c>
      <c r="Q756" s="4">
        <f t="shared" ca="1" si="117"/>
        <v>0.84931348910445092</v>
      </c>
      <c r="R756" s="4">
        <f t="shared" ca="1" si="118"/>
        <v>0.41870936171266715</v>
      </c>
      <c r="S756" s="4">
        <f ca="1">$B$1*Q756*$B$2</f>
        <v>33.972539564178042</v>
      </c>
      <c r="T756" s="4">
        <f ca="1">$B$1*R756*$B$2</f>
        <v>16.748374468506686</v>
      </c>
      <c r="U756" s="7">
        <f t="shared" ca="1" si="119"/>
        <v>50.720914032684732</v>
      </c>
    </row>
    <row r="757" spans="2:21" x14ac:dyDescent="0.3">
      <c r="B757" s="13">
        <f t="shared" ca="1" si="110"/>
        <v>0.17140899005557086</v>
      </c>
      <c r="C757" s="14">
        <f t="shared" ca="1" si="110"/>
        <v>1.289786500045853E-3</v>
      </c>
      <c r="D757" s="14">
        <f t="shared" ca="1" si="111"/>
        <v>-0.94861201062819145</v>
      </c>
      <c r="E757" s="14">
        <f t="shared" ca="1" si="112"/>
        <v>-3.0138476585153318</v>
      </c>
      <c r="F757" s="14">
        <f t="shared" ca="1" si="113"/>
        <v>-2.167456547034873</v>
      </c>
      <c r="G757" s="14">
        <f t="shared" ca="1" si="114"/>
        <v>0.17140899005557125</v>
      </c>
      <c r="H757" s="15">
        <f t="shared" ca="1" si="115"/>
        <v>1.2897865000458522E-3</v>
      </c>
      <c r="I757" s="14">
        <f ca="1">IF(G757&lt;0.05,1,0)*$B$1*$B$2</f>
        <v>0</v>
      </c>
      <c r="J757" s="14">
        <f ca="1">IF(H757&lt;0.05,1,0)*$B$1*$B$2</f>
        <v>40</v>
      </c>
      <c r="K757" s="15">
        <f t="shared" ca="1" si="116"/>
        <v>40</v>
      </c>
      <c r="P757" s="3">
        <v>753</v>
      </c>
      <c r="Q757" s="4">
        <f t="shared" ca="1" si="117"/>
        <v>0.17140899005557125</v>
      </c>
      <c r="R757" s="4">
        <f t="shared" ca="1" si="118"/>
        <v>1.2897865000458522E-3</v>
      </c>
      <c r="S757" s="4">
        <f ca="1">$B$1*Q757*$B$2</f>
        <v>6.8563596022228497</v>
      </c>
      <c r="T757" s="4">
        <f ca="1">$B$1*R757*$B$2</f>
        <v>5.1591460001834094E-2</v>
      </c>
      <c r="U757" s="7">
        <f t="shared" ca="1" si="119"/>
        <v>6.9079510622246838</v>
      </c>
    </row>
    <row r="758" spans="2:21" x14ac:dyDescent="0.3">
      <c r="B758" s="13">
        <f t="shared" ca="1" si="110"/>
        <v>0.71236571274900018</v>
      </c>
      <c r="C758" s="14">
        <f t="shared" ca="1" si="110"/>
        <v>0.6832269249286208</v>
      </c>
      <c r="D758" s="14">
        <f t="shared" ca="1" si="111"/>
        <v>0.56030916882838377</v>
      </c>
      <c r="E758" s="14">
        <f t="shared" ca="1" si="112"/>
        <v>0.4767415803299655</v>
      </c>
      <c r="F758" s="14">
        <f t="shared" ca="1" si="113"/>
        <v>0.71208508902976519</v>
      </c>
      <c r="G758" s="14">
        <f t="shared" ca="1" si="114"/>
        <v>0.71236571274900018</v>
      </c>
      <c r="H758" s="15">
        <f t="shared" ca="1" si="115"/>
        <v>0.68322692492862092</v>
      </c>
      <c r="I758" s="14">
        <f ca="1">IF(G758&lt;0.05,1,0)*$B$1*$B$2</f>
        <v>0</v>
      </c>
      <c r="J758" s="14">
        <f ca="1">IF(H758&lt;0.05,1,0)*$B$1*$B$2</f>
        <v>0</v>
      </c>
      <c r="K758" s="15">
        <f t="shared" ca="1" si="116"/>
        <v>0</v>
      </c>
      <c r="P758" s="3">
        <v>754</v>
      </c>
      <c r="Q758" s="4">
        <f t="shared" ca="1" si="117"/>
        <v>0.71236571274900018</v>
      </c>
      <c r="R758" s="4">
        <f t="shared" ca="1" si="118"/>
        <v>0.68322692492862092</v>
      </c>
      <c r="S758" s="4">
        <f ca="1">$B$1*Q758*$B$2</f>
        <v>28.494628509960009</v>
      </c>
      <c r="T758" s="4">
        <f ca="1">$B$1*R758*$B$2</f>
        <v>27.329076997144838</v>
      </c>
      <c r="U758" s="7">
        <f t="shared" ca="1" si="119"/>
        <v>55.823705507104847</v>
      </c>
    </row>
    <row r="759" spans="2:21" x14ac:dyDescent="0.3">
      <c r="B759" s="13">
        <f t="shared" ca="1" si="110"/>
        <v>0.48291508507117009</v>
      </c>
      <c r="C759" s="14">
        <f t="shared" ca="1" si="110"/>
        <v>0.39648245951843908</v>
      </c>
      <c r="D759" s="14">
        <f t="shared" ca="1" si="111"/>
        <v>-4.2838629763343149E-2</v>
      </c>
      <c r="E759" s="14">
        <f t="shared" ca="1" si="112"/>
        <v>-0.26246246605112056</v>
      </c>
      <c r="F759" s="14">
        <f t="shared" ca="1" si="113"/>
        <v>-0.15295950338593975</v>
      </c>
      <c r="G759" s="14">
        <f t="shared" ca="1" si="114"/>
        <v>0.48291508507117009</v>
      </c>
      <c r="H759" s="15">
        <f t="shared" ca="1" si="115"/>
        <v>0.39648245951843908</v>
      </c>
      <c r="I759" s="14">
        <f ca="1">IF(G759&lt;0.05,1,0)*$B$1*$B$2</f>
        <v>0</v>
      </c>
      <c r="J759" s="14">
        <f ca="1">IF(H759&lt;0.05,1,0)*$B$1*$B$2</f>
        <v>0</v>
      </c>
      <c r="K759" s="15">
        <f t="shared" ca="1" si="116"/>
        <v>0</v>
      </c>
      <c r="P759" s="3">
        <v>755</v>
      </c>
      <c r="Q759" s="4">
        <f t="shared" ca="1" si="117"/>
        <v>0.48291508507117009</v>
      </c>
      <c r="R759" s="4">
        <f t="shared" ca="1" si="118"/>
        <v>0.39648245951843908</v>
      </c>
      <c r="S759" s="4">
        <f ca="1">$B$1*Q759*$B$2</f>
        <v>19.316603402846805</v>
      </c>
      <c r="T759" s="4">
        <f ca="1">$B$1*R759*$B$2</f>
        <v>15.859298380737563</v>
      </c>
      <c r="U759" s="7">
        <f t="shared" ca="1" si="119"/>
        <v>35.175901783584365</v>
      </c>
    </row>
    <row r="760" spans="2:21" x14ac:dyDescent="0.3">
      <c r="B760" s="13">
        <f t="shared" ca="1" si="110"/>
        <v>0.75704833873748745</v>
      </c>
      <c r="C760" s="14">
        <f t="shared" ca="1" si="110"/>
        <v>0.28561435876248653</v>
      </c>
      <c r="D760" s="14">
        <f t="shared" ca="1" si="111"/>
        <v>0.69683937325899914</v>
      </c>
      <c r="E760" s="14">
        <f t="shared" ca="1" si="112"/>
        <v>-0.56624283088462313</v>
      </c>
      <c r="F760" s="14">
        <f t="shared" ca="1" si="113"/>
        <v>0.38033590820005281</v>
      </c>
      <c r="G760" s="14">
        <f t="shared" ca="1" si="114"/>
        <v>0.75704833873748756</v>
      </c>
      <c r="H760" s="15">
        <f t="shared" ca="1" si="115"/>
        <v>0.28561435876248653</v>
      </c>
      <c r="I760" s="14">
        <f ca="1">IF(G760&lt;0.05,1,0)*$B$1*$B$2</f>
        <v>0</v>
      </c>
      <c r="J760" s="14">
        <f ca="1">IF(H760&lt;0.05,1,0)*$B$1*$B$2</f>
        <v>0</v>
      </c>
      <c r="K760" s="15">
        <f t="shared" ca="1" si="116"/>
        <v>0</v>
      </c>
      <c r="P760" s="3">
        <v>756</v>
      </c>
      <c r="Q760" s="4">
        <f t="shared" ca="1" si="117"/>
        <v>0.75704833873748756</v>
      </c>
      <c r="R760" s="4">
        <f t="shared" ca="1" si="118"/>
        <v>0.28561435876248653</v>
      </c>
      <c r="S760" s="4">
        <f ca="1">$B$1*Q760*$B$2</f>
        <v>30.281933549499502</v>
      </c>
      <c r="T760" s="4">
        <f ca="1">$B$1*R760*$B$2</f>
        <v>11.424574350499462</v>
      </c>
      <c r="U760" s="7">
        <f t="shared" ca="1" si="119"/>
        <v>41.706507899998968</v>
      </c>
    </row>
    <row r="761" spans="2:21" x14ac:dyDescent="0.3">
      <c r="B761" s="13">
        <f t="shared" ca="1" si="110"/>
        <v>0.25128789995273138</v>
      </c>
      <c r="C761" s="14">
        <f t="shared" ca="1" si="110"/>
        <v>6.7002269131598458E-2</v>
      </c>
      <c r="D761" s="14">
        <f t="shared" ca="1" si="111"/>
        <v>-0.67044242113086594</v>
      </c>
      <c r="E761" s="14">
        <f t="shared" ca="1" si="112"/>
        <v>-1.4984955872511143</v>
      </c>
      <c r="F761" s="14">
        <f t="shared" ca="1" si="113"/>
        <v>-1.2565772622347036</v>
      </c>
      <c r="G761" s="14">
        <f t="shared" ca="1" si="114"/>
        <v>0.25128789995273138</v>
      </c>
      <c r="H761" s="15">
        <f t="shared" ca="1" si="115"/>
        <v>6.7002269131598444E-2</v>
      </c>
      <c r="I761" s="14">
        <f ca="1">IF(G761&lt;0.05,1,0)*$B$1*$B$2</f>
        <v>0</v>
      </c>
      <c r="J761" s="14">
        <f ca="1">IF(H761&lt;0.05,1,0)*$B$1*$B$2</f>
        <v>0</v>
      </c>
      <c r="K761" s="15">
        <f t="shared" ca="1" si="116"/>
        <v>0</v>
      </c>
      <c r="P761" s="3">
        <v>757</v>
      </c>
      <c r="Q761" s="4">
        <f t="shared" ca="1" si="117"/>
        <v>0.25128789995273138</v>
      </c>
      <c r="R761" s="4">
        <f t="shared" ca="1" si="118"/>
        <v>6.7002269131598444E-2</v>
      </c>
      <c r="S761" s="4">
        <f ca="1">$B$1*Q761*$B$2</f>
        <v>10.051515998109256</v>
      </c>
      <c r="T761" s="4">
        <f ca="1">$B$1*R761*$B$2</f>
        <v>2.6800907652639379</v>
      </c>
      <c r="U761" s="7">
        <f t="shared" ca="1" si="119"/>
        <v>12.731606763373193</v>
      </c>
    </row>
    <row r="762" spans="2:21" x14ac:dyDescent="0.3">
      <c r="B762" s="13">
        <f t="shared" ca="1" si="110"/>
        <v>0.89949988427618455</v>
      </c>
      <c r="C762" s="14">
        <f t="shared" ca="1" si="110"/>
        <v>0.58415140605386018</v>
      </c>
      <c r="D762" s="14">
        <f t="shared" ca="1" si="111"/>
        <v>1.2787070633151338</v>
      </c>
      <c r="E762" s="14">
        <f t="shared" ca="1" si="112"/>
        <v>0.21252536939055405</v>
      </c>
      <c r="F762" s="14">
        <f t="shared" ca="1" si="113"/>
        <v>1.2434740177948282</v>
      </c>
      <c r="G762" s="14">
        <f t="shared" ca="1" si="114"/>
        <v>0.89949988427618466</v>
      </c>
      <c r="H762" s="15">
        <f t="shared" ca="1" si="115"/>
        <v>0.58415140605386018</v>
      </c>
      <c r="I762" s="14">
        <f ca="1">IF(G762&lt;0.05,1,0)*$B$1*$B$2</f>
        <v>0</v>
      </c>
      <c r="J762" s="14">
        <f ca="1">IF(H762&lt;0.05,1,0)*$B$1*$B$2</f>
        <v>0</v>
      </c>
      <c r="K762" s="15">
        <f t="shared" ca="1" si="116"/>
        <v>0</v>
      </c>
      <c r="P762" s="3">
        <v>758</v>
      </c>
      <c r="Q762" s="4">
        <f t="shared" ca="1" si="117"/>
        <v>0.89949988427618466</v>
      </c>
      <c r="R762" s="4">
        <f t="shared" ca="1" si="118"/>
        <v>0.58415140605386018</v>
      </c>
      <c r="S762" s="4">
        <f ca="1">$B$1*Q762*$B$2</f>
        <v>35.979995371047387</v>
      </c>
      <c r="T762" s="4">
        <f ca="1">$B$1*R762*$B$2</f>
        <v>23.366056242154407</v>
      </c>
      <c r="U762" s="7">
        <f t="shared" ca="1" si="119"/>
        <v>59.346051613201794</v>
      </c>
    </row>
    <row r="763" spans="2:21" x14ac:dyDescent="0.3">
      <c r="B763" s="13">
        <f t="shared" ca="1" si="110"/>
        <v>0.67383255690678368</v>
      </c>
      <c r="C763" s="14">
        <f t="shared" ca="1" si="110"/>
        <v>0.72788558775380852</v>
      </c>
      <c r="D763" s="14">
        <f t="shared" ca="1" si="111"/>
        <v>0.45052090198972738</v>
      </c>
      <c r="E763" s="14">
        <f t="shared" ca="1" si="112"/>
        <v>0.60643064428452675</v>
      </c>
      <c r="F763" s="14">
        <f t="shared" ca="1" si="113"/>
        <v>0.66980580126100597</v>
      </c>
      <c r="G763" s="14">
        <f t="shared" ca="1" si="114"/>
        <v>0.67383255690678379</v>
      </c>
      <c r="H763" s="15">
        <f t="shared" ca="1" si="115"/>
        <v>0.72788558775380863</v>
      </c>
      <c r="I763" s="14">
        <f ca="1">IF(G763&lt;0.05,1,0)*$B$1*$B$2</f>
        <v>0</v>
      </c>
      <c r="J763" s="14">
        <f ca="1">IF(H763&lt;0.05,1,0)*$B$1*$B$2</f>
        <v>0</v>
      </c>
      <c r="K763" s="15">
        <f t="shared" ca="1" si="116"/>
        <v>0</v>
      </c>
      <c r="P763" s="3">
        <v>759</v>
      </c>
      <c r="Q763" s="4">
        <f t="shared" ca="1" si="117"/>
        <v>0.67383255690678379</v>
      </c>
      <c r="R763" s="4">
        <f t="shared" ca="1" si="118"/>
        <v>0.72788558775380863</v>
      </c>
      <c r="S763" s="4">
        <f ca="1">$B$1*Q763*$B$2</f>
        <v>26.953302276271355</v>
      </c>
      <c r="T763" s="4">
        <f ca="1">$B$1*R763*$B$2</f>
        <v>29.115423510152347</v>
      </c>
      <c r="U763" s="7">
        <f t="shared" ca="1" si="119"/>
        <v>56.068725786423698</v>
      </c>
    </row>
    <row r="764" spans="2:21" x14ac:dyDescent="0.3">
      <c r="B764" s="13">
        <f t="shared" ca="1" si="110"/>
        <v>0.34407094813617123</v>
      </c>
      <c r="C764" s="14">
        <f t="shared" ca="1" si="110"/>
        <v>0.36536090813350597</v>
      </c>
      <c r="D764" s="14">
        <f t="shared" ca="1" si="111"/>
        <v>-0.40137792934834904</v>
      </c>
      <c r="E764" s="14">
        <f t="shared" ca="1" si="112"/>
        <v>-0.34416551323150263</v>
      </c>
      <c r="F764" s="14">
        <f t="shared" ca="1" si="113"/>
        <v>-0.5112584056163072</v>
      </c>
      <c r="G764" s="14">
        <f t="shared" ca="1" si="114"/>
        <v>0.34407094813617123</v>
      </c>
      <c r="H764" s="15">
        <f t="shared" ca="1" si="115"/>
        <v>0.36536090813350597</v>
      </c>
      <c r="I764" s="14">
        <f ca="1">IF(G764&lt;0.05,1,0)*$B$1*$B$2</f>
        <v>0</v>
      </c>
      <c r="J764" s="14">
        <f ca="1">IF(H764&lt;0.05,1,0)*$B$1*$B$2</f>
        <v>0</v>
      </c>
      <c r="K764" s="15">
        <f t="shared" ca="1" si="116"/>
        <v>0</v>
      </c>
      <c r="P764" s="3">
        <v>760</v>
      </c>
      <c r="Q764" s="4">
        <f t="shared" ca="1" si="117"/>
        <v>0.34407094813617123</v>
      </c>
      <c r="R764" s="4">
        <f t="shared" ca="1" si="118"/>
        <v>0.36536090813350597</v>
      </c>
      <c r="S764" s="4">
        <f ca="1">$B$1*Q764*$B$2</f>
        <v>13.762837925446849</v>
      </c>
      <c r="T764" s="4">
        <f ca="1">$B$1*R764*$B$2</f>
        <v>14.61443632534024</v>
      </c>
      <c r="U764" s="7">
        <f t="shared" ca="1" si="119"/>
        <v>28.377274250787089</v>
      </c>
    </row>
    <row r="765" spans="2:21" x14ac:dyDescent="0.3">
      <c r="B765" s="13">
        <f t="shared" ca="1" si="110"/>
        <v>0.93775182320908934</v>
      </c>
      <c r="C765" s="14">
        <f t="shared" ca="1" si="110"/>
        <v>0.35201109293607524</v>
      </c>
      <c r="D765" s="14">
        <f t="shared" ca="1" si="111"/>
        <v>1.5361713790266684</v>
      </c>
      <c r="E765" s="14">
        <f t="shared" ca="1" si="112"/>
        <v>-0.37989658034528567</v>
      </c>
      <c r="F765" s="14">
        <f t="shared" ca="1" si="113"/>
        <v>1.2169611608518238</v>
      </c>
      <c r="G765" s="14">
        <f t="shared" ca="1" si="114"/>
        <v>0.93775182320908934</v>
      </c>
      <c r="H765" s="15">
        <f t="shared" ca="1" si="115"/>
        <v>0.35201109293607524</v>
      </c>
      <c r="I765" s="14">
        <f ca="1">IF(G765&lt;0.05,1,0)*$B$1*$B$2</f>
        <v>0</v>
      </c>
      <c r="J765" s="14">
        <f ca="1">IF(H765&lt;0.05,1,0)*$B$1*$B$2</f>
        <v>0</v>
      </c>
      <c r="K765" s="15">
        <f t="shared" ca="1" si="116"/>
        <v>0</v>
      </c>
      <c r="P765" s="3">
        <v>761</v>
      </c>
      <c r="Q765" s="4">
        <f t="shared" ca="1" si="117"/>
        <v>0.93775182320908934</v>
      </c>
      <c r="R765" s="4">
        <f t="shared" ca="1" si="118"/>
        <v>0.35201109293607524</v>
      </c>
      <c r="S765" s="4">
        <f ca="1">$B$1*Q765*$B$2</f>
        <v>37.510072928363577</v>
      </c>
      <c r="T765" s="4">
        <f ca="1">$B$1*R765*$B$2</f>
        <v>14.080443717443011</v>
      </c>
      <c r="U765" s="7">
        <f t="shared" ca="1" si="119"/>
        <v>51.590516645806588</v>
      </c>
    </row>
    <row r="766" spans="2:21" x14ac:dyDescent="0.3">
      <c r="B766" s="13">
        <f t="shared" ca="1" si="110"/>
        <v>0.11598866749311032</v>
      </c>
      <c r="C766" s="14">
        <f t="shared" ca="1" si="110"/>
        <v>0.99472167331208805</v>
      </c>
      <c r="D766" s="14">
        <f t="shared" ca="1" si="111"/>
        <v>-1.1952808095314071</v>
      </c>
      <c r="E766" s="14">
        <f t="shared" ca="1" si="112"/>
        <v>2.5570417920856396</v>
      </c>
      <c r="F766" s="14">
        <f t="shared" ca="1" si="113"/>
        <v>3.8835948032877932E-2</v>
      </c>
      <c r="G766" s="14">
        <f t="shared" ca="1" si="114"/>
        <v>0.11598866749311025</v>
      </c>
      <c r="H766" s="15">
        <f t="shared" ca="1" si="115"/>
        <v>0.99472167331208805</v>
      </c>
      <c r="I766" s="14">
        <f ca="1">IF(G766&lt;0.05,1,0)*$B$1*$B$2</f>
        <v>0</v>
      </c>
      <c r="J766" s="14">
        <f ca="1">IF(H766&lt;0.05,1,0)*$B$1*$B$2</f>
        <v>0</v>
      </c>
      <c r="K766" s="15">
        <f t="shared" ca="1" si="116"/>
        <v>0</v>
      </c>
      <c r="P766" s="3">
        <v>762</v>
      </c>
      <c r="Q766" s="4">
        <f t="shared" ca="1" si="117"/>
        <v>0.11598866749311025</v>
      </c>
      <c r="R766" s="4">
        <f t="shared" ca="1" si="118"/>
        <v>0.99472167331208805</v>
      </c>
      <c r="S766" s="4">
        <f ca="1">$B$1*Q766*$B$2</f>
        <v>4.6395466997244101</v>
      </c>
      <c r="T766" s="4">
        <f ca="1">$B$1*R766*$B$2</f>
        <v>39.788866932483529</v>
      </c>
      <c r="U766" s="7">
        <f t="shared" ca="1" si="119"/>
        <v>44.428413632207942</v>
      </c>
    </row>
    <row r="767" spans="2:21" x14ac:dyDescent="0.3">
      <c r="B767" s="13">
        <f t="shared" ca="1" si="110"/>
        <v>0.12491665239432415</v>
      </c>
      <c r="C767" s="14">
        <f t="shared" ca="1" si="110"/>
        <v>0.36792989332421389</v>
      </c>
      <c r="D767" s="14">
        <f t="shared" ca="1" si="111"/>
        <v>-1.1507543626175634</v>
      </c>
      <c r="E767" s="14">
        <f t="shared" ca="1" si="112"/>
        <v>-0.33734109150714825</v>
      </c>
      <c r="F767" s="14">
        <f t="shared" ca="1" si="113"/>
        <v>-1.1827224990941436</v>
      </c>
      <c r="G767" s="14">
        <f t="shared" ca="1" si="114"/>
        <v>0.12491665239432419</v>
      </c>
      <c r="H767" s="15">
        <f t="shared" ca="1" si="115"/>
        <v>0.36792989332421383</v>
      </c>
      <c r="I767" s="14">
        <f ca="1">IF(G767&lt;0.05,1,0)*$B$1*$B$2</f>
        <v>0</v>
      </c>
      <c r="J767" s="14">
        <f ca="1">IF(H767&lt;0.05,1,0)*$B$1*$B$2</f>
        <v>0</v>
      </c>
      <c r="K767" s="15">
        <f t="shared" ca="1" si="116"/>
        <v>0</v>
      </c>
      <c r="P767" s="3">
        <v>763</v>
      </c>
      <c r="Q767" s="4">
        <f t="shared" ca="1" si="117"/>
        <v>0.12491665239432419</v>
      </c>
      <c r="R767" s="4">
        <f t="shared" ca="1" si="118"/>
        <v>0.36792989332421383</v>
      </c>
      <c r="S767" s="4">
        <f ca="1">$B$1*Q767*$B$2</f>
        <v>4.9966660957729676</v>
      </c>
      <c r="T767" s="4">
        <f ca="1">$B$1*R767*$B$2</f>
        <v>14.717195732968555</v>
      </c>
      <c r="U767" s="7">
        <f t="shared" ca="1" si="119"/>
        <v>19.713861828741521</v>
      </c>
    </row>
    <row r="768" spans="2:21" x14ac:dyDescent="0.3">
      <c r="B768" s="13">
        <f t="shared" ca="1" si="110"/>
        <v>0.2752181547056477</v>
      </c>
      <c r="C768" s="14">
        <f t="shared" ca="1" si="110"/>
        <v>0.98737780014498622</v>
      </c>
      <c r="D768" s="14">
        <f t="shared" ca="1" si="111"/>
        <v>-0.59710645365942527</v>
      </c>
      <c r="E768" s="14">
        <f t="shared" ca="1" si="112"/>
        <v>2.2376421628767988</v>
      </c>
      <c r="F768" s="14">
        <f t="shared" ca="1" si="113"/>
        <v>0.4379697976850917</v>
      </c>
      <c r="G768" s="14">
        <f t="shared" ca="1" si="114"/>
        <v>0.2752181547056477</v>
      </c>
      <c r="H768" s="15">
        <f t="shared" ca="1" si="115"/>
        <v>0.98737780014498622</v>
      </c>
      <c r="I768" s="14">
        <f ca="1">IF(G768&lt;0.05,1,0)*$B$1*$B$2</f>
        <v>0</v>
      </c>
      <c r="J768" s="14">
        <f ca="1">IF(H768&lt;0.05,1,0)*$B$1*$B$2</f>
        <v>0</v>
      </c>
      <c r="K768" s="15">
        <f t="shared" ca="1" si="116"/>
        <v>0</v>
      </c>
      <c r="P768" s="3">
        <v>764</v>
      </c>
      <c r="Q768" s="4">
        <f t="shared" ca="1" si="117"/>
        <v>0.2752181547056477</v>
      </c>
      <c r="R768" s="4">
        <f t="shared" ca="1" si="118"/>
        <v>0.98737780014498622</v>
      </c>
      <c r="S768" s="4">
        <f ca="1">$B$1*Q768*$B$2</f>
        <v>11.008726188225909</v>
      </c>
      <c r="T768" s="4">
        <f ca="1">$B$1*R768*$B$2</f>
        <v>39.495112005799456</v>
      </c>
      <c r="U768" s="7">
        <f t="shared" ca="1" si="119"/>
        <v>50.503838194025363</v>
      </c>
    </row>
    <row r="769" spans="2:21" x14ac:dyDescent="0.3">
      <c r="B769" s="13">
        <f t="shared" ca="1" si="110"/>
        <v>0.41055876346570574</v>
      </c>
      <c r="C769" s="14">
        <f t="shared" ca="1" si="110"/>
        <v>0.5336376871408276</v>
      </c>
      <c r="D769" s="14">
        <f t="shared" ca="1" si="111"/>
        <v>-0.2261078658631836</v>
      </c>
      <c r="E769" s="14">
        <f t="shared" ca="1" si="112"/>
        <v>8.4417334277592931E-2</v>
      </c>
      <c r="F769" s="14">
        <f t="shared" ca="1" si="113"/>
        <v>-0.16670041635695329</v>
      </c>
      <c r="G769" s="14">
        <f t="shared" ca="1" si="114"/>
        <v>0.41055876346570574</v>
      </c>
      <c r="H769" s="15">
        <f t="shared" ca="1" si="115"/>
        <v>0.5336376871408276</v>
      </c>
      <c r="I769" s="14">
        <f ca="1">IF(G769&lt;0.05,1,0)*$B$1*$B$2</f>
        <v>0</v>
      </c>
      <c r="J769" s="14">
        <f ca="1">IF(H769&lt;0.05,1,0)*$B$1*$B$2</f>
        <v>0</v>
      </c>
      <c r="K769" s="15">
        <f t="shared" ca="1" si="116"/>
        <v>0</v>
      </c>
      <c r="P769" s="3">
        <v>765</v>
      </c>
      <c r="Q769" s="4">
        <f t="shared" ca="1" si="117"/>
        <v>0.41055876346570574</v>
      </c>
      <c r="R769" s="4">
        <f t="shared" ca="1" si="118"/>
        <v>0.5336376871408276</v>
      </c>
      <c r="S769" s="4">
        <f ca="1">$B$1*Q769*$B$2</f>
        <v>16.42235053862823</v>
      </c>
      <c r="T769" s="4">
        <f ca="1">$B$1*R769*$B$2</f>
        <v>21.345507485633107</v>
      </c>
      <c r="U769" s="7">
        <f t="shared" ca="1" si="119"/>
        <v>37.767858024261336</v>
      </c>
    </row>
    <row r="770" spans="2:21" x14ac:dyDescent="0.3">
      <c r="B770" s="13">
        <f t="shared" ca="1" si="110"/>
        <v>0.34735209709801851</v>
      </c>
      <c r="C770" s="14">
        <f t="shared" ca="1" si="110"/>
        <v>0.87785691392596465</v>
      </c>
      <c r="D770" s="14">
        <f t="shared" ca="1" si="111"/>
        <v>-0.39247917678694183</v>
      </c>
      <c r="E770" s="14">
        <f t="shared" ca="1" si="112"/>
        <v>1.1643401981443771</v>
      </c>
      <c r="F770" s="14">
        <f t="shared" ca="1" si="113"/>
        <v>0.15429286685309868</v>
      </c>
      <c r="G770" s="14">
        <f t="shared" ca="1" si="114"/>
        <v>0.34735209709801845</v>
      </c>
      <c r="H770" s="15">
        <f t="shared" ca="1" si="115"/>
        <v>0.87785691392596465</v>
      </c>
      <c r="I770" s="14">
        <f ca="1">IF(G770&lt;0.05,1,0)*$B$1*$B$2</f>
        <v>0</v>
      </c>
      <c r="J770" s="14">
        <f ca="1">IF(H770&lt;0.05,1,0)*$B$1*$B$2</f>
        <v>0</v>
      </c>
      <c r="K770" s="15">
        <f t="shared" ca="1" si="116"/>
        <v>0</v>
      </c>
      <c r="P770" s="3">
        <v>766</v>
      </c>
      <c r="Q770" s="4">
        <f t="shared" ca="1" si="117"/>
        <v>0.34735209709801845</v>
      </c>
      <c r="R770" s="4">
        <f t="shared" ca="1" si="118"/>
        <v>0.87785691392596465</v>
      </c>
      <c r="S770" s="4">
        <f ca="1">$B$1*Q770*$B$2</f>
        <v>13.894083883920738</v>
      </c>
      <c r="T770" s="4">
        <f ca="1">$B$1*R770*$B$2</f>
        <v>35.114276557038586</v>
      </c>
      <c r="U770" s="7">
        <f t="shared" ca="1" si="119"/>
        <v>49.008360440959322</v>
      </c>
    </row>
    <row r="771" spans="2:21" x14ac:dyDescent="0.3">
      <c r="B771" s="13">
        <f t="shared" ca="1" si="110"/>
        <v>0.46458301762983467</v>
      </c>
      <c r="C771" s="14">
        <f t="shared" ca="1" si="110"/>
        <v>0.27416887287140823</v>
      </c>
      <c r="D771" s="14">
        <f t="shared" ca="1" si="111"/>
        <v>-8.8894146868763652E-2</v>
      </c>
      <c r="E771" s="14">
        <f t="shared" ca="1" si="112"/>
        <v>-0.60025283628232129</v>
      </c>
      <c r="F771" s="14">
        <f t="shared" ca="1" si="113"/>
        <v>-0.34164887757471757</v>
      </c>
      <c r="G771" s="14">
        <f t="shared" ca="1" si="114"/>
        <v>0.46458301762983467</v>
      </c>
      <c r="H771" s="15">
        <f t="shared" ca="1" si="115"/>
        <v>0.27416887287140812</v>
      </c>
      <c r="I771" s="14">
        <f ca="1">IF(G771&lt;0.05,1,0)*$B$1*$B$2</f>
        <v>0</v>
      </c>
      <c r="J771" s="14">
        <f ca="1">IF(H771&lt;0.05,1,0)*$B$1*$B$2</f>
        <v>0</v>
      </c>
      <c r="K771" s="15">
        <f t="shared" ca="1" si="116"/>
        <v>0</v>
      </c>
      <c r="P771" s="3">
        <v>767</v>
      </c>
      <c r="Q771" s="4">
        <f t="shared" ca="1" si="117"/>
        <v>0.46458301762983467</v>
      </c>
      <c r="R771" s="4">
        <f t="shared" ca="1" si="118"/>
        <v>0.27416887287140812</v>
      </c>
      <c r="S771" s="4">
        <f ca="1">$B$1*Q771*$B$2</f>
        <v>18.583320705193387</v>
      </c>
      <c r="T771" s="4">
        <f ca="1">$B$1*R771*$B$2</f>
        <v>10.966754914856326</v>
      </c>
      <c r="U771" s="7">
        <f t="shared" ca="1" si="119"/>
        <v>29.550075620049711</v>
      </c>
    </row>
    <row r="772" spans="2:21" x14ac:dyDescent="0.3">
      <c r="B772" s="13">
        <f t="shared" ca="1" si="110"/>
        <v>0.29354971561779875</v>
      </c>
      <c r="C772" s="14">
        <f t="shared" ca="1" si="110"/>
        <v>0.20471870430344263</v>
      </c>
      <c r="D772" s="14">
        <f t="shared" ca="1" si="111"/>
        <v>-0.5430441115892769</v>
      </c>
      <c r="E772" s="14">
        <f t="shared" ca="1" si="112"/>
        <v>-0.82488407446316792</v>
      </c>
      <c r="F772" s="14">
        <f t="shared" ca="1" si="113"/>
        <v>-0.84829833250245201</v>
      </c>
      <c r="G772" s="14">
        <f t="shared" ca="1" si="114"/>
        <v>0.29354971561779875</v>
      </c>
      <c r="H772" s="15">
        <f t="shared" ca="1" si="115"/>
        <v>0.20471870430344261</v>
      </c>
      <c r="I772" s="14">
        <f ca="1">IF(G772&lt;0.05,1,0)*$B$1*$B$2</f>
        <v>0</v>
      </c>
      <c r="J772" s="14">
        <f ca="1">IF(H772&lt;0.05,1,0)*$B$1*$B$2</f>
        <v>0</v>
      </c>
      <c r="K772" s="15">
        <f t="shared" ca="1" si="116"/>
        <v>0</v>
      </c>
      <c r="P772" s="3">
        <v>768</v>
      </c>
      <c r="Q772" s="4">
        <f t="shared" ca="1" si="117"/>
        <v>0.29354971561779875</v>
      </c>
      <c r="R772" s="4">
        <f t="shared" ca="1" si="118"/>
        <v>0.20471870430344261</v>
      </c>
      <c r="S772" s="4">
        <f ca="1">$B$1*Q772*$B$2</f>
        <v>11.741988624711951</v>
      </c>
      <c r="T772" s="4">
        <f ca="1">$B$1*R772*$B$2</f>
        <v>8.1887481721377053</v>
      </c>
      <c r="U772" s="7">
        <f t="shared" ca="1" si="119"/>
        <v>19.930736796849658</v>
      </c>
    </row>
    <row r="773" spans="2:21" x14ac:dyDescent="0.3">
      <c r="B773" s="13">
        <f t="shared" ca="1" si="110"/>
        <v>0.14197590885432954</v>
      </c>
      <c r="C773" s="14">
        <f t="shared" ca="1" si="110"/>
        <v>0.80118517339310502</v>
      </c>
      <c r="D773" s="14">
        <f t="shared" ca="1" si="111"/>
        <v>-1.0714840966031376</v>
      </c>
      <c r="E773" s="14">
        <f t="shared" ca="1" si="112"/>
        <v>0.84586214351319089</v>
      </c>
      <c r="F773" s="14">
        <f t="shared" ca="1" si="113"/>
        <v>-0.59563292656875422</v>
      </c>
      <c r="G773" s="14">
        <f t="shared" ca="1" si="114"/>
        <v>0.1419759088543294</v>
      </c>
      <c r="H773" s="15">
        <f t="shared" ca="1" si="115"/>
        <v>0.80118517339310502</v>
      </c>
      <c r="I773" s="14">
        <f ca="1">IF(G773&lt;0.05,1,0)*$B$1*$B$2</f>
        <v>0</v>
      </c>
      <c r="J773" s="14">
        <f ca="1">IF(H773&lt;0.05,1,0)*$B$1*$B$2</f>
        <v>0</v>
      </c>
      <c r="K773" s="15">
        <f t="shared" ca="1" si="116"/>
        <v>0</v>
      </c>
      <c r="P773" s="3">
        <v>769</v>
      </c>
      <c r="Q773" s="4">
        <f t="shared" ca="1" si="117"/>
        <v>0.1419759088543294</v>
      </c>
      <c r="R773" s="4">
        <f t="shared" ca="1" si="118"/>
        <v>0.80118517339310502</v>
      </c>
      <c r="S773" s="4">
        <f ca="1">$B$1*Q773*$B$2</f>
        <v>5.6790363541731761</v>
      </c>
      <c r="T773" s="4">
        <f ca="1">$B$1*R773*$B$2</f>
        <v>32.047406935724204</v>
      </c>
      <c r="U773" s="7">
        <f t="shared" ca="1" si="119"/>
        <v>37.726443289897382</v>
      </c>
    </row>
    <row r="774" spans="2:21" x14ac:dyDescent="0.3">
      <c r="B774" s="13">
        <f t="shared" ref="B774:C837" ca="1" si="120">RAND()</f>
        <v>0.66006556256883075</v>
      </c>
      <c r="C774" s="14">
        <f t="shared" ca="1" si="120"/>
        <v>0.83087223684718348</v>
      </c>
      <c r="D774" s="14">
        <f t="shared" ref="D774:D837" ca="1" si="121">_xlfn.NORM.S.INV(B774)</f>
        <v>0.41264206814223053</v>
      </c>
      <c r="E774" s="14">
        <f t="shared" ref="E774:E837" ca="1" si="122">_xlfn.NORM.S.INV(C774)</f>
        <v>0.95761778764001793</v>
      </c>
      <c r="F774" s="14">
        <f t="shared" ref="F774:F837" ca="1" si="123">($Y$5*D774)+(SQRT(1-$Y$5^2)*E774)</f>
        <v>0.78879377761399061</v>
      </c>
      <c r="G774" s="14">
        <f t="shared" ref="G774:G837" ca="1" si="124">_xlfn.NORM.S.DIST(D774,TRUE)</f>
        <v>0.66006556256883075</v>
      </c>
      <c r="H774" s="15">
        <f t="shared" ref="H774:H837" ca="1" si="125">_xlfn.NORM.S.DIST(E774,TRUE)</f>
        <v>0.83087223684718314</v>
      </c>
      <c r="I774" s="14">
        <f ca="1">IF(G774&lt;0.05,1,0)*$B$1*$B$2</f>
        <v>0</v>
      </c>
      <c r="J774" s="14">
        <f ca="1">IF(H774&lt;0.05,1,0)*$B$1*$B$2</f>
        <v>0</v>
      </c>
      <c r="K774" s="15">
        <f t="shared" ref="K774:K837" ca="1" si="126">I774+J774</f>
        <v>0</v>
      </c>
      <c r="P774" s="3">
        <v>770</v>
      </c>
      <c r="Q774" s="4">
        <f t="shared" ref="Q774:Q837" ca="1" si="127">G774</f>
        <v>0.66006556256883075</v>
      </c>
      <c r="R774" s="4">
        <f t="shared" ref="R774:R837" ca="1" si="128">H774</f>
        <v>0.83087223684718314</v>
      </c>
      <c r="S774" s="4">
        <f ca="1">$B$1*Q774*$B$2</f>
        <v>26.402622502753232</v>
      </c>
      <c r="T774" s="4">
        <f ca="1">$B$1*R774*$B$2</f>
        <v>33.234889473887328</v>
      </c>
      <c r="U774" s="7">
        <f t="shared" ref="U774:U837" ca="1" si="129">S774+T774</f>
        <v>59.63751197664056</v>
      </c>
    </row>
    <row r="775" spans="2:21" x14ac:dyDescent="0.3">
      <c r="B775" s="13">
        <f t="shared" ca="1" si="120"/>
        <v>9.4915905919889632E-2</v>
      </c>
      <c r="C775" s="14">
        <f t="shared" ca="1" si="120"/>
        <v>0.58802253395047721</v>
      </c>
      <c r="D775" s="14">
        <f t="shared" ca="1" si="121"/>
        <v>-1.3110768182353911</v>
      </c>
      <c r="E775" s="14">
        <f t="shared" ca="1" si="122"/>
        <v>0.22246112590049547</v>
      </c>
      <c r="F775" s="14">
        <f t="shared" ca="1" si="123"/>
        <v>-1.0830005797451983</v>
      </c>
      <c r="G775" s="14">
        <f t="shared" ca="1" si="124"/>
        <v>9.4915905919889673E-2</v>
      </c>
      <c r="H775" s="15">
        <f t="shared" ca="1" si="125"/>
        <v>0.58802253395047721</v>
      </c>
      <c r="I775" s="14">
        <f ca="1">IF(G775&lt;0.05,1,0)*$B$1*$B$2</f>
        <v>0</v>
      </c>
      <c r="J775" s="14">
        <f ca="1">IF(H775&lt;0.05,1,0)*$B$1*$B$2</f>
        <v>0</v>
      </c>
      <c r="K775" s="15">
        <f t="shared" ca="1" si="126"/>
        <v>0</v>
      </c>
      <c r="P775" s="3">
        <v>771</v>
      </c>
      <c r="Q775" s="4">
        <f t="shared" ca="1" si="127"/>
        <v>9.4915905919889673E-2</v>
      </c>
      <c r="R775" s="4">
        <f t="shared" ca="1" si="128"/>
        <v>0.58802253395047721</v>
      </c>
      <c r="S775" s="4">
        <f ca="1">$B$1*Q775*$B$2</f>
        <v>3.796636236795587</v>
      </c>
      <c r="T775" s="4">
        <f ca="1">$B$1*R775*$B$2</f>
        <v>23.520901358019088</v>
      </c>
      <c r="U775" s="7">
        <f t="shared" ca="1" si="129"/>
        <v>27.317537594814674</v>
      </c>
    </row>
    <row r="776" spans="2:21" x14ac:dyDescent="0.3">
      <c r="B776" s="13">
        <f t="shared" ca="1" si="120"/>
        <v>0.25662446117804982</v>
      </c>
      <c r="C776" s="14">
        <f t="shared" ca="1" si="120"/>
        <v>0.64722833496238608</v>
      </c>
      <c r="D776" s="14">
        <f t="shared" ca="1" si="121"/>
        <v>-0.65378718729453777</v>
      </c>
      <c r="E776" s="14">
        <f t="shared" ca="1" si="122"/>
        <v>0.37784824697550928</v>
      </c>
      <c r="F776" s="14">
        <f t="shared" ca="1" si="123"/>
        <v>-0.42370823610905972</v>
      </c>
      <c r="G776" s="14">
        <f t="shared" ca="1" si="124"/>
        <v>0.25662446117804982</v>
      </c>
      <c r="H776" s="15">
        <f t="shared" ca="1" si="125"/>
        <v>0.64722833496238608</v>
      </c>
      <c r="I776" s="14">
        <f ca="1">IF(G776&lt;0.05,1,0)*$B$1*$B$2</f>
        <v>0</v>
      </c>
      <c r="J776" s="14">
        <f ca="1">IF(H776&lt;0.05,1,0)*$B$1*$B$2</f>
        <v>0</v>
      </c>
      <c r="K776" s="15">
        <f t="shared" ca="1" si="126"/>
        <v>0</v>
      </c>
      <c r="P776" s="3">
        <v>772</v>
      </c>
      <c r="Q776" s="4">
        <f t="shared" ca="1" si="127"/>
        <v>0.25662446117804982</v>
      </c>
      <c r="R776" s="4">
        <f t="shared" ca="1" si="128"/>
        <v>0.64722833496238608</v>
      </c>
      <c r="S776" s="4">
        <f ca="1">$B$1*Q776*$B$2</f>
        <v>10.264978447121994</v>
      </c>
      <c r="T776" s="4">
        <f ca="1">$B$1*R776*$B$2</f>
        <v>25.889133398495446</v>
      </c>
      <c r="U776" s="7">
        <f t="shared" ca="1" si="129"/>
        <v>36.154111845617436</v>
      </c>
    </row>
    <row r="777" spans="2:21" x14ac:dyDescent="0.3">
      <c r="B777" s="13">
        <f t="shared" ca="1" si="120"/>
        <v>0.82470237029883564</v>
      </c>
      <c r="C777" s="14">
        <f t="shared" ca="1" si="120"/>
        <v>0.43133831987010895</v>
      </c>
      <c r="D777" s="14">
        <f t="shared" ca="1" si="121"/>
        <v>0.93343530413722187</v>
      </c>
      <c r="E777" s="14">
        <f t="shared" ca="1" si="122"/>
        <v>-0.17296792497096186</v>
      </c>
      <c r="F777" s="14">
        <f t="shared" ca="1" si="123"/>
        <v>0.76469680318126498</v>
      </c>
      <c r="G777" s="14">
        <f t="shared" ca="1" si="124"/>
        <v>0.82470237029883564</v>
      </c>
      <c r="H777" s="15">
        <f t="shared" ca="1" si="125"/>
        <v>0.43133831987010895</v>
      </c>
      <c r="I777" s="14">
        <f ca="1">IF(G777&lt;0.05,1,0)*$B$1*$B$2</f>
        <v>0</v>
      </c>
      <c r="J777" s="14">
        <f ca="1">IF(H777&lt;0.05,1,0)*$B$1*$B$2</f>
        <v>0</v>
      </c>
      <c r="K777" s="15">
        <f t="shared" ca="1" si="126"/>
        <v>0</v>
      </c>
      <c r="P777" s="3">
        <v>773</v>
      </c>
      <c r="Q777" s="4">
        <f t="shared" ca="1" si="127"/>
        <v>0.82470237029883564</v>
      </c>
      <c r="R777" s="4">
        <f t="shared" ca="1" si="128"/>
        <v>0.43133831987010895</v>
      </c>
      <c r="S777" s="4">
        <f ca="1">$B$1*Q777*$B$2</f>
        <v>32.988094811953424</v>
      </c>
      <c r="T777" s="4">
        <f ca="1">$B$1*R777*$B$2</f>
        <v>17.253532794804357</v>
      </c>
      <c r="U777" s="7">
        <f t="shared" ca="1" si="129"/>
        <v>50.241627606757781</v>
      </c>
    </row>
    <row r="778" spans="2:21" x14ac:dyDescent="0.3">
      <c r="B778" s="13">
        <f t="shared" ca="1" si="120"/>
        <v>0.84742147061738915</v>
      </c>
      <c r="C778" s="14">
        <f t="shared" ca="1" si="120"/>
        <v>0.49284242972964354</v>
      </c>
      <c r="D778" s="14">
        <f t="shared" ca="1" si="121"/>
        <v>1.0254369546969795</v>
      </c>
      <c r="E778" s="14">
        <f t="shared" ca="1" si="122"/>
        <v>-1.7942330658314704E-2</v>
      </c>
      <c r="F778" s="14">
        <f t="shared" ca="1" si="123"/>
        <v>0.91507237861216306</v>
      </c>
      <c r="G778" s="14">
        <f t="shared" ca="1" si="124"/>
        <v>0.84742147061738826</v>
      </c>
      <c r="H778" s="15">
        <f t="shared" ca="1" si="125"/>
        <v>0.49284242972964354</v>
      </c>
      <c r="I778" s="14">
        <f ca="1">IF(G778&lt;0.05,1,0)*$B$1*$B$2</f>
        <v>0</v>
      </c>
      <c r="J778" s="14">
        <f ca="1">IF(H778&lt;0.05,1,0)*$B$1*$B$2</f>
        <v>0</v>
      </c>
      <c r="K778" s="15">
        <f t="shared" ca="1" si="126"/>
        <v>0</v>
      </c>
      <c r="P778" s="3">
        <v>774</v>
      </c>
      <c r="Q778" s="4">
        <f t="shared" ca="1" si="127"/>
        <v>0.84742147061738826</v>
      </c>
      <c r="R778" s="4">
        <f t="shared" ca="1" si="128"/>
        <v>0.49284242972964354</v>
      </c>
      <c r="S778" s="4">
        <f ca="1">$B$1*Q778*$B$2</f>
        <v>33.896858824695528</v>
      </c>
      <c r="T778" s="4">
        <f ca="1">$B$1*R778*$B$2</f>
        <v>19.713697189185744</v>
      </c>
      <c r="U778" s="7">
        <f t="shared" ca="1" si="129"/>
        <v>53.610556013881272</v>
      </c>
    </row>
    <row r="779" spans="2:21" x14ac:dyDescent="0.3">
      <c r="B779" s="13">
        <f t="shared" ca="1" si="120"/>
        <v>0.13171276926687669</v>
      </c>
      <c r="C779" s="14">
        <f t="shared" ca="1" si="120"/>
        <v>0.29610627163200776</v>
      </c>
      <c r="D779" s="14">
        <f t="shared" ca="1" si="121"/>
        <v>-1.1183312651142396</v>
      </c>
      <c r="E779" s="14">
        <f t="shared" ca="1" si="122"/>
        <v>-0.53563252809312922</v>
      </c>
      <c r="F779" s="14">
        <f t="shared" ca="1" si="123"/>
        <v>-1.2399749446859318</v>
      </c>
      <c r="G779" s="14">
        <f t="shared" ca="1" si="124"/>
        <v>0.13171276926687667</v>
      </c>
      <c r="H779" s="15">
        <f t="shared" ca="1" si="125"/>
        <v>0.29610627163200764</v>
      </c>
      <c r="I779" s="14">
        <f ca="1">IF(G779&lt;0.05,1,0)*$B$1*$B$2</f>
        <v>0</v>
      </c>
      <c r="J779" s="14">
        <f ca="1">IF(H779&lt;0.05,1,0)*$B$1*$B$2</f>
        <v>0</v>
      </c>
      <c r="K779" s="15">
        <f t="shared" ca="1" si="126"/>
        <v>0</v>
      </c>
      <c r="P779" s="3">
        <v>775</v>
      </c>
      <c r="Q779" s="4">
        <f t="shared" ca="1" si="127"/>
        <v>0.13171276926687667</v>
      </c>
      <c r="R779" s="4">
        <f t="shared" ca="1" si="128"/>
        <v>0.29610627163200764</v>
      </c>
      <c r="S779" s="4">
        <f ca="1">$B$1*Q779*$B$2</f>
        <v>5.2685107706750669</v>
      </c>
      <c r="T779" s="4">
        <f ca="1">$B$1*R779*$B$2</f>
        <v>11.844250865280307</v>
      </c>
      <c r="U779" s="7">
        <f t="shared" ca="1" si="129"/>
        <v>17.112761635955373</v>
      </c>
    </row>
    <row r="780" spans="2:21" x14ac:dyDescent="0.3">
      <c r="B780" s="13">
        <f t="shared" ca="1" si="120"/>
        <v>0.50349224076009869</v>
      </c>
      <c r="C780" s="14">
        <f t="shared" ca="1" si="120"/>
        <v>0.65839757331800453</v>
      </c>
      <c r="D780" s="14">
        <f t="shared" ca="1" si="121"/>
        <v>8.7538612313209641E-3</v>
      </c>
      <c r="E780" s="14">
        <f t="shared" ca="1" si="122"/>
        <v>0.4080937432092262</v>
      </c>
      <c r="F780" s="14">
        <f t="shared" ca="1" si="123"/>
        <v>0.18576241372221433</v>
      </c>
      <c r="G780" s="14">
        <f t="shared" ca="1" si="124"/>
        <v>0.50349224076009869</v>
      </c>
      <c r="H780" s="15">
        <f t="shared" ca="1" si="125"/>
        <v>0.65839757331800453</v>
      </c>
      <c r="I780" s="14">
        <f ca="1">IF(G780&lt;0.05,1,0)*$B$1*$B$2</f>
        <v>0</v>
      </c>
      <c r="J780" s="14">
        <f ca="1">IF(H780&lt;0.05,1,0)*$B$1*$B$2</f>
        <v>0</v>
      </c>
      <c r="K780" s="15">
        <f t="shared" ca="1" si="126"/>
        <v>0</v>
      </c>
      <c r="P780" s="3">
        <v>776</v>
      </c>
      <c r="Q780" s="4">
        <f t="shared" ca="1" si="127"/>
        <v>0.50349224076009869</v>
      </c>
      <c r="R780" s="4">
        <f t="shared" ca="1" si="128"/>
        <v>0.65839757331800453</v>
      </c>
      <c r="S780" s="4">
        <f ca="1">$B$1*Q780*$B$2</f>
        <v>20.13968963040395</v>
      </c>
      <c r="T780" s="4">
        <f ca="1">$B$1*R780*$B$2</f>
        <v>26.335902932720185</v>
      </c>
      <c r="U780" s="7">
        <f t="shared" ca="1" si="129"/>
        <v>46.475592563124138</v>
      </c>
    </row>
    <row r="781" spans="2:21" x14ac:dyDescent="0.3">
      <c r="B781" s="13">
        <f t="shared" ca="1" si="120"/>
        <v>0.96323652544240146</v>
      </c>
      <c r="C781" s="14">
        <f t="shared" ca="1" si="120"/>
        <v>0.23322454664940018</v>
      </c>
      <c r="D781" s="14">
        <f t="shared" ca="1" si="121"/>
        <v>1.7895458575609868</v>
      </c>
      <c r="E781" s="14">
        <f t="shared" ca="1" si="122"/>
        <v>-0.72826874128819619</v>
      </c>
      <c r="F781" s="14">
        <f t="shared" ca="1" si="123"/>
        <v>1.293146287103407</v>
      </c>
      <c r="G781" s="14">
        <f t="shared" ca="1" si="124"/>
        <v>0.96323652544240146</v>
      </c>
      <c r="H781" s="15">
        <f t="shared" ca="1" si="125"/>
        <v>0.23322454664940021</v>
      </c>
      <c r="I781" s="14">
        <f ca="1">IF(G781&lt;0.05,1,0)*$B$1*$B$2</f>
        <v>0</v>
      </c>
      <c r="J781" s="14">
        <f ca="1">IF(H781&lt;0.05,1,0)*$B$1*$B$2</f>
        <v>0</v>
      </c>
      <c r="K781" s="15">
        <f t="shared" ca="1" si="126"/>
        <v>0</v>
      </c>
      <c r="P781" s="3">
        <v>777</v>
      </c>
      <c r="Q781" s="4">
        <f t="shared" ca="1" si="127"/>
        <v>0.96323652544240146</v>
      </c>
      <c r="R781" s="4">
        <f t="shared" ca="1" si="128"/>
        <v>0.23322454664940021</v>
      </c>
      <c r="S781" s="4">
        <f ca="1">$B$1*Q781*$B$2</f>
        <v>38.529461017696065</v>
      </c>
      <c r="T781" s="4">
        <f ca="1">$B$1*R781*$B$2</f>
        <v>9.3289818659760098</v>
      </c>
      <c r="U781" s="7">
        <f t="shared" ca="1" si="129"/>
        <v>47.858442883672076</v>
      </c>
    </row>
    <row r="782" spans="2:21" x14ac:dyDescent="0.3">
      <c r="B782" s="13">
        <f t="shared" ca="1" si="120"/>
        <v>0.30729353352117017</v>
      </c>
      <c r="C782" s="14">
        <f t="shared" ca="1" si="120"/>
        <v>0.71354064224270319</v>
      </c>
      <c r="D782" s="14">
        <f t="shared" ca="1" si="121"/>
        <v>-0.50353658230554021</v>
      </c>
      <c r="E782" s="14">
        <f t="shared" ca="1" si="122"/>
        <v>0.56375818126106569</v>
      </c>
      <c r="F782" s="14">
        <f t="shared" ca="1" si="123"/>
        <v>-0.20744643000385918</v>
      </c>
      <c r="G782" s="14">
        <f t="shared" ca="1" si="124"/>
        <v>0.30729353352117011</v>
      </c>
      <c r="H782" s="15">
        <f t="shared" ca="1" si="125"/>
        <v>0.71354064224270319</v>
      </c>
      <c r="I782" s="14">
        <f ca="1">IF(G782&lt;0.05,1,0)*$B$1*$B$2</f>
        <v>0</v>
      </c>
      <c r="J782" s="14">
        <f ca="1">IF(H782&lt;0.05,1,0)*$B$1*$B$2</f>
        <v>0</v>
      </c>
      <c r="K782" s="15">
        <f t="shared" ca="1" si="126"/>
        <v>0</v>
      </c>
      <c r="P782" s="3">
        <v>778</v>
      </c>
      <c r="Q782" s="4">
        <f t="shared" ca="1" si="127"/>
        <v>0.30729353352117011</v>
      </c>
      <c r="R782" s="4">
        <f t="shared" ca="1" si="128"/>
        <v>0.71354064224270319</v>
      </c>
      <c r="S782" s="4">
        <f ca="1">$B$1*Q782*$B$2</f>
        <v>12.291741340846805</v>
      </c>
      <c r="T782" s="4">
        <f ca="1">$B$1*R782*$B$2</f>
        <v>28.541625689708127</v>
      </c>
      <c r="U782" s="7">
        <f t="shared" ca="1" si="129"/>
        <v>40.833367030554932</v>
      </c>
    </row>
    <row r="783" spans="2:21" x14ac:dyDescent="0.3">
      <c r="B783" s="13">
        <f t="shared" ca="1" si="120"/>
        <v>5.3418714477840745E-2</v>
      </c>
      <c r="C783" s="14">
        <f t="shared" ca="1" si="120"/>
        <v>0.61107589118474082</v>
      </c>
      <c r="D783" s="14">
        <f t="shared" ca="1" si="121"/>
        <v>-1.612572445183732</v>
      </c>
      <c r="E783" s="14">
        <f t="shared" ca="1" si="122"/>
        <v>0.28212427834627085</v>
      </c>
      <c r="F783" s="14">
        <f t="shared" ca="1" si="123"/>
        <v>-1.3283400787822854</v>
      </c>
      <c r="G783" s="14">
        <f t="shared" ca="1" si="124"/>
        <v>5.3418714477840794E-2</v>
      </c>
      <c r="H783" s="15">
        <f t="shared" ca="1" si="125"/>
        <v>0.61107589118474082</v>
      </c>
      <c r="I783" s="14">
        <f ca="1">IF(G783&lt;0.05,1,0)*$B$1*$B$2</f>
        <v>0</v>
      </c>
      <c r="J783" s="14">
        <f ca="1">IF(H783&lt;0.05,1,0)*$B$1*$B$2</f>
        <v>0</v>
      </c>
      <c r="K783" s="15">
        <f t="shared" ca="1" si="126"/>
        <v>0</v>
      </c>
      <c r="P783" s="3">
        <v>779</v>
      </c>
      <c r="Q783" s="4">
        <f t="shared" ca="1" si="127"/>
        <v>5.3418714477840794E-2</v>
      </c>
      <c r="R783" s="4">
        <f t="shared" ca="1" si="128"/>
        <v>0.61107589118474082</v>
      </c>
      <c r="S783" s="4">
        <f ca="1">$B$1*Q783*$B$2</f>
        <v>2.136748579113632</v>
      </c>
      <c r="T783" s="4">
        <f ca="1">$B$1*R783*$B$2</f>
        <v>24.443035647389635</v>
      </c>
      <c r="U783" s="7">
        <f t="shared" ca="1" si="129"/>
        <v>26.579784226503268</v>
      </c>
    </row>
    <row r="784" spans="2:21" x14ac:dyDescent="0.3">
      <c r="B784" s="13">
        <f t="shared" ca="1" si="120"/>
        <v>0.37390161180156289</v>
      </c>
      <c r="C784" s="14">
        <f t="shared" ca="1" si="120"/>
        <v>0.29262997594636053</v>
      </c>
      <c r="D784" s="14">
        <f t="shared" ca="1" si="121"/>
        <v>-0.32153733530404599</v>
      </c>
      <c r="E784" s="14">
        <f t="shared" ca="1" si="122"/>
        <v>-0.5457177745659002</v>
      </c>
      <c r="F784" s="14">
        <f t="shared" ca="1" si="123"/>
        <v>-0.52725646487630839</v>
      </c>
      <c r="G784" s="14">
        <f t="shared" ca="1" si="124"/>
        <v>0.37390161180156289</v>
      </c>
      <c r="H784" s="15">
        <f t="shared" ca="1" si="125"/>
        <v>0.29262997594636053</v>
      </c>
      <c r="I784" s="14">
        <f ca="1">IF(G784&lt;0.05,1,0)*$B$1*$B$2</f>
        <v>0</v>
      </c>
      <c r="J784" s="14">
        <f ca="1">IF(H784&lt;0.05,1,0)*$B$1*$B$2</f>
        <v>0</v>
      </c>
      <c r="K784" s="15">
        <f t="shared" ca="1" si="126"/>
        <v>0</v>
      </c>
      <c r="P784" s="3">
        <v>780</v>
      </c>
      <c r="Q784" s="4">
        <f t="shared" ca="1" si="127"/>
        <v>0.37390161180156289</v>
      </c>
      <c r="R784" s="4">
        <f t="shared" ca="1" si="128"/>
        <v>0.29262997594636053</v>
      </c>
      <c r="S784" s="4">
        <f ca="1">$B$1*Q784*$B$2</f>
        <v>14.956064472062517</v>
      </c>
      <c r="T784" s="4">
        <f ca="1">$B$1*R784*$B$2</f>
        <v>11.705199037854422</v>
      </c>
      <c r="U784" s="7">
        <f t="shared" ca="1" si="129"/>
        <v>26.661263509916939</v>
      </c>
    </row>
    <row r="785" spans="2:21" x14ac:dyDescent="0.3">
      <c r="B785" s="13">
        <f t="shared" ca="1" si="120"/>
        <v>0.94455490305008094</v>
      </c>
      <c r="C785" s="14">
        <f t="shared" ca="1" si="120"/>
        <v>0.92639633575355462</v>
      </c>
      <c r="D785" s="14">
        <f t="shared" ca="1" si="121"/>
        <v>1.5942047012321292</v>
      </c>
      <c r="E785" s="14">
        <f t="shared" ca="1" si="122"/>
        <v>1.4494665741440589</v>
      </c>
      <c r="F785" s="14">
        <f t="shared" ca="1" si="123"/>
        <v>2.066592062982322</v>
      </c>
      <c r="G785" s="14">
        <f t="shared" ca="1" si="124"/>
        <v>0.94455490305008083</v>
      </c>
      <c r="H785" s="15">
        <f t="shared" ca="1" si="125"/>
        <v>0.92639633575355451</v>
      </c>
      <c r="I785" s="14">
        <f ca="1">IF(G785&lt;0.05,1,0)*$B$1*$B$2</f>
        <v>0</v>
      </c>
      <c r="J785" s="14">
        <f ca="1">IF(H785&lt;0.05,1,0)*$B$1*$B$2</f>
        <v>0</v>
      </c>
      <c r="K785" s="15">
        <f t="shared" ca="1" si="126"/>
        <v>0</v>
      </c>
      <c r="P785" s="3">
        <v>781</v>
      </c>
      <c r="Q785" s="4">
        <f t="shared" ca="1" si="127"/>
        <v>0.94455490305008083</v>
      </c>
      <c r="R785" s="4">
        <f t="shared" ca="1" si="128"/>
        <v>0.92639633575355451</v>
      </c>
      <c r="S785" s="4">
        <f ca="1">$B$1*Q785*$B$2</f>
        <v>37.782196122003235</v>
      </c>
      <c r="T785" s="4">
        <f ca="1">$B$1*R785*$B$2</f>
        <v>37.055853430142179</v>
      </c>
      <c r="U785" s="7">
        <f t="shared" ca="1" si="129"/>
        <v>74.838049552145407</v>
      </c>
    </row>
    <row r="786" spans="2:21" x14ac:dyDescent="0.3">
      <c r="B786" s="13">
        <f t="shared" ca="1" si="120"/>
        <v>0.96128625765055542</v>
      </c>
      <c r="C786" s="14">
        <f t="shared" ca="1" si="120"/>
        <v>0.19971802053867771</v>
      </c>
      <c r="D786" s="14">
        <f t="shared" ca="1" si="121"/>
        <v>1.7658114631921422</v>
      </c>
      <c r="E786" s="14">
        <f t="shared" ca="1" si="122"/>
        <v>-0.84262886736580411</v>
      </c>
      <c r="F786" s="14">
        <f t="shared" ca="1" si="123"/>
        <v>1.2219369088971603</v>
      </c>
      <c r="G786" s="14">
        <f t="shared" ca="1" si="124"/>
        <v>0.96128625765055542</v>
      </c>
      <c r="H786" s="15">
        <f t="shared" ca="1" si="125"/>
        <v>0.19971802053867777</v>
      </c>
      <c r="I786" s="14">
        <f ca="1">IF(G786&lt;0.05,1,0)*$B$1*$B$2</f>
        <v>0</v>
      </c>
      <c r="J786" s="14">
        <f ca="1">IF(H786&lt;0.05,1,0)*$B$1*$B$2</f>
        <v>0</v>
      </c>
      <c r="K786" s="15">
        <f t="shared" ca="1" si="126"/>
        <v>0</v>
      </c>
      <c r="P786" s="3">
        <v>782</v>
      </c>
      <c r="Q786" s="4">
        <f t="shared" ca="1" si="127"/>
        <v>0.96128625765055542</v>
      </c>
      <c r="R786" s="4">
        <f t="shared" ca="1" si="128"/>
        <v>0.19971802053867777</v>
      </c>
      <c r="S786" s="4">
        <f ca="1">$B$1*Q786*$B$2</f>
        <v>38.451450306022224</v>
      </c>
      <c r="T786" s="4">
        <f ca="1">$B$1*R786*$B$2</f>
        <v>7.9887208215471111</v>
      </c>
      <c r="U786" s="7">
        <f t="shared" ca="1" si="129"/>
        <v>46.440171127569336</v>
      </c>
    </row>
    <row r="787" spans="2:21" x14ac:dyDescent="0.3">
      <c r="B787" s="13">
        <f t="shared" ca="1" si="120"/>
        <v>0.353791231294872</v>
      </c>
      <c r="C787" s="14">
        <f t="shared" ca="1" si="120"/>
        <v>0.46333941968036163</v>
      </c>
      <c r="D787" s="14">
        <f t="shared" ca="1" si="121"/>
        <v>-0.37510488709217804</v>
      </c>
      <c r="E787" s="14">
        <f t="shared" ca="1" si="122"/>
        <v>-9.202416600360859E-2</v>
      </c>
      <c r="F787" s="14">
        <f t="shared" ca="1" si="123"/>
        <v>-0.3777068023802943</v>
      </c>
      <c r="G787" s="14">
        <f t="shared" ca="1" si="124"/>
        <v>0.35379123129487194</v>
      </c>
      <c r="H787" s="15">
        <f t="shared" ca="1" si="125"/>
        <v>0.46333941968036163</v>
      </c>
      <c r="I787" s="14">
        <f ca="1">IF(G787&lt;0.05,1,0)*$B$1*$B$2</f>
        <v>0</v>
      </c>
      <c r="J787" s="14">
        <f ca="1">IF(H787&lt;0.05,1,0)*$B$1*$B$2</f>
        <v>0</v>
      </c>
      <c r="K787" s="15">
        <f t="shared" ca="1" si="126"/>
        <v>0</v>
      </c>
      <c r="P787" s="3">
        <v>783</v>
      </c>
      <c r="Q787" s="4">
        <f t="shared" ca="1" si="127"/>
        <v>0.35379123129487194</v>
      </c>
      <c r="R787" s="4">
        <f t="shared" ca="1" si="128"/>
        <v>0.46333941968036163</v>
      </c>
      <c r="S787" s="4">
        <f ca="1">$B$1*Q787*$B$2</f>
        <v>14.151649251794879</v>
      </c>
      <c r="T787" s="4">
        <f ca="1">$B$1*R787*$B$2</f>
        <v>18.533576787214468</v>
      </c>
      <c r="U787" s="7">
        <f t="shared" ca="1" si="129"/>
        <v>32.685226039009351</v>
      </c>
    </row>
    <row r="788" spans="2:21" x14ac:dyDescent="0.3">
      <c r="B788" s="13">
        <f t="shared" ca="1" si="120"/>
        <v>0.98382939427442984</v>
      </c>
      <c r="C788" s="14">
        <f t="shared" ca="1" si="120"/>
        <v>0.76142023116850721</v>
      </c>
      <c r="D788" s="14">
        <f t="shared" ca="1" si="121"/>
        <v>2.1401677622787867</v>
      </c>
      <c r="E788" s="14">
        <f t="shared" ca="1" si="122"/>
        <v>0.71087848794508235</v>
      </c>
      <c r="F788" s="14">
        <f t="shared" ca="1" si="123"/>
        <v>2.2360157350598691</v>
      </c>
      <c r="G788" s="14">
        <f t="shared" ca="1" si="124"/>
        <v>0.98382939427442984</v>
      </c>
      <c r="H788" s="15">
        <f t="shared" ca="1" si="125"/>
        <v>0.76142023116850721</v>
      </c>
      <c r="I788" s="14">
        <f ca="1">IF(G788&lt;0.05,1,0)*$B$1*$B$2</f>
        <v>0</v>
      </c>
      <c r="J788" s="14">
        <f ca="1">IF(H788&lt;0.05,1,0)*$B$1*$B$2</f>
        <v>0</v>
      </c>
      <c r="K788" s="15">
        <f t="shared" ca="1" si="126"/>
        <v>0</v>
      </c>
      <c r="P788" s="3">
        <v>784</v>
      </c>
      <c r="Q788" s="4">
        <f t="shared" ca="1" si="127"/>
        <v>0.98382939427442984</v>
      </c>
      <c r="R788" s="4">
        <f t="shared" ca="1" si="128"/>
        <v>0.76142023116850721</v>
      </c>
      <c r="S788" s="4">
        <f ca="1">$B$1*Q788*$B$2</f>
        <v>39.353175770977195</v>
      </c>
      <c r="T788" s="4">
        <f ca="1">$B$1*R788*$B$2</f>
        <v>30.456809246740292</v>
      </c>
      <c r="U788" s="7">
        <f t="shared" ca="1" si="129"/>
        <v>69.80998501771748</v>
      </c>
    </row>
    <row r="789" spans="2:21" x14ac:dyDescent="0.3">
      <c r="B789" s="13">
        <f t="shared" ca="1" si="120"/>
        <v>0.28120758622253805</v>
      </c>
      <c r="C789" s="14">
        <f t="shared" ca="1" si="120"/>
        <v>0.42704245592289436</v>
      </c>
      <c r="D789" s="14">
        <f t="shared" ca="1" si="121"/>
        <v>-0.57925789332083832</v>
      </c>
      <c r="E789" s="14">
        <f t="shared" ca="1" si="122"/>
        <v>-0.18390891384869343</v>
      </c>
      <c r="F789" s="14">
        <f t="shared" ca="1" si="123"/>
        <v>-0.60149614101703275</v>
      </c>
      <c r="G789" s="14">
        <f t="shared" ca="1" si="124"/>
        <v>0.28120758622253794</v>
      </c>
      <c r="H789" s="15">
        <f t="shared" ca="1" si="125"/>
        <v>0.42704245592289436</v>
      </c>
      <c r="I789" s="14">
        <f ca="1">IF(G789&lt;0.05,1,0)*$B$1*$B$2</f>
        <v>0</v>
      </c>
      <c r="J789" s="14">
        <f ca="1">IF(H789&lt;0.05,1,0)*$B$1*$B$2</f>
        <v>0</v>
      </c>
      <c r="K789" s="15">
        <f t="shared" ca="1" si="126"/>
        <v>0</v>
      </c>
      <c r="P789" s="3">
        <v>785</v>
      </c>
      <c r="Q789" s="4">
        <f t="shared" ca="1" si="127"/>
        <v>0.28120758622253794</v>
      </c>
      <c r="R789" s="4">
        <f t="shared" ca="1" si="128"/>
        <v>0.42704245592289436</v>
      </c>
      <c r="S789" s="4">
        <f ca="1">$B$1*Q789*$B$2</f>
        <v>11.248303448901519</v>
      </c>
      <c r="T789" s="4">
        <f ca="1">$B$1*R789*$B$2</f>
        <v>17.081698236915777</v>
      </c>
      <c r="U789" s="7">
        <f t="shared" ca="1" si="129"/>
        <v>28.330001685817294</v>
      </c>
    </row>
    <row r="790" spans="2:21" x14ac:dyDescent="0.3">
      <c r="B790" s="13">
        <f t="shared" ca="1" si="120"/>
        <v>0.52414345313660282</v>
      </c>
      <c r="C790" s="14">
        <f t="shared" ca="1" si="120"/>
        <v>0.89504985215567923</v>
      </c>
      <c r="D790" s="14">
        <f t="shared" ca="1" si="121"/>
        <v>6.0555651394895701E-2</v>
      </c>
      <c r="E790" s="14">
        <f t="shared" ca="1" si="122"/>
        <v>1.2538396460207306</v>
      </c>
      <c r="F790" s="14">
        <f t="shared" ca="1" si="123"/>
        <v>0.60103611709632354</v>
      </c>
      <c r="G790" s="14">
        <f t="shared" ca="1" si="124"/>
        <v>0.52414345313660282</v>
      </c>
      <c r="H790" s="15">
        <f t="shared" ca="1" si="125"/>
        <v>0.89504985215567923</v>
      </c>
      <c r="I790" s="14">
        <f ca="1">IF(G790&lt;0.05,1,0)*$B$1*$B$2</f>
        <v>0</v>
      </c>
      <c r="J790" s="14">
        <f ca="1">IF(H790&lt;0.05,1,0)*$B$1*$B$2</f>
        <v>0</v>
      </c>
      <c r="K790" s="15">
        <f t="shared" ca="1" si="126"/>
        <v>0</v>
      </c>
      <c r="P790" s="3">
        <v>786</v>
      </c>
      <c r="Q790" s="4">
        <f t="shared" ca="1" si="127"/>
        <v>0.52414345313660282</v>
      </c>
      <c r="R790" s="4">
        <f t="shared" ca="1" si="128"/>
        <v>0.89504985215567923</v>
      </c>
      <c r="S790" s="4">
        <f ca="1">$B$1*Q790*$B$2</f>
        <v>20.965738125464114</v>
      </c>
      <c r="T790" s="4">
        <f ca="1">$B$1*R790*$B$2</f>
        <v>35.801994086227175</v>
      </c>
      <c r="U790" s="7">
        <f t="shared" ca="1" si="129"/>
        <v>56.767732211691289</v>
      </c>
    </row>
    <row r="791" spans="2:21" x14ac:dyDescent="0.3">
      <c r="B791" s="13">
        <f t="shared" ca="1" si="120"/>
        <v>0.77860242651013711</v>
      </c>
      <c r="C791" s="14">
        <f t="shared" ca="1" si="120"/>
        <v>0.56725916464392057</v>
      </c>
      <c r="D791" s="14">
        <f t="shared" ca="1" si="121"/>
        <v>0.76748173792325902</v>
      </c>
      <c r="E791" s="14">
        <f t="shared" ca="1" si="122"/>
        <v>0.16940044855018407</v>
      </c>
      <c r="F791" s="14">
        <f t="shared" ca="1" si="123"/>
        <v>0.76457350775300448</v>
      </c>
      <c r="G791" s="14">
        <f t="shared" ca="1" si="124"/>
        <v>0.77860242651013711</v>
      </c>
      <c r="H791" s="15">
        <f t="shared" ca="1" si="125"/>
        <v>0.56725916464392057</v>
      </c>
      <c r="I791" s="14">
        <f ca="1">IF(G791&lt;0.05,1,0)*$B$1*$B$2</f>
        <v>0</v>
      </c>
      <c r="J791" s="14">
        <f ca="1">IF(H791&lt;0.05,1,0)*$B$1*$B$2</f>
        <v>0</v>
      </c>
      <c r="K791" s="15">
        <f t="shared" ca="1" si="126"/>
        <v>0</v>
      </c>
      <c r="P791" s="3">
        <v>787</v>
      </c>
      <c r="Q791" s="4">
        <f t="shared" ca="1" si="127"/>
        <v>0.77860242651013711</v>
      </c>
      <c r="R791" s="4">
        <f t="shared" ca="1" si="128"/>
        <v>0.56725916464392057</v>
      </c>
      <c r="S791" s="4">
        <f ca="1">$B$1*Q791*$B$2</f>
        <v>31.144097060405485</v>
      </c>
      <c r="T791" s="4">
        <f ca="1">$B$1*R791*$B$2</f>
        <v>22.690366585756824</v>
      </c>
      <c r="U791" s="7">
        <f t="shared" ca="1" si="129"/>
        <v>53.834463646162305</v>
      </c>
    </row>
    <row r="792" spans="2:21" x14ac:dyDescent="0.3">
      <c r="B792" s="13">
        <f t="shared" ca="1" si="120"/>
        <v>0.71980482648673505</v>
      </c>
      <c r="C792" s="14">
        <f t="shared" ca="1" si="120"/>
        <v>0.69522320859587172</v>
      </c>
      <c r="D792" s="14">
        <f t="shared" ca="1" si="121"/>
        <v>0.58226180726812404</v>
      </c>
      <c r="E792" s="14">
        <f t="shared" ca="1" si="122"/>
        <v>0.51071079192258029</v>
      </c>
      <c r="F792" s="14">
        <f t="shared" ca="1" si="123"/>
        <v>0.74664929967792726</v>
      </c>
      <c r="G792" s="14">
        <f t="shared" ca="1" si="124"/>
        <v>0.71980482648673516</v>
      </c>
      <c r="H792" s="15">
        <f t="shared" ca="1" si="125"/>
        <v>0.69522320859587183</v>
      </c>
      <c r="I792" s="14">
        <f ca="1">IF(G792&lt;0.05,1,0)*$B$1*$B$2</f>
        <v>0</v>
      </c>
      <c r="J792" s="14">
        <f ca="1">IF(H792&lt;0.05,1,0)*$B$1*$B$2</f>
        <v>0</v>
      </c>
      <c r="K792" s="15">
        <f t="shared" ca="1" si="126"/>
        <v>0</v>
      </c>
      <c r="P792" s="3">
        <v>788</v>
      </c>
      <c r="Q792" s="4">
        <f t="shared" ca="1" si="127"/>
        <v>0.71980482648673516</v>
      </c>
      <c r="R792" s="4">
        <f t="shared" ca="1" si="128"/>
        <v>0.69522320859587183</v>
      </c>
      <c r="S792" s="4">
        <f ca="1">$B$1*Q792*$B$2</f>
        <v>28.792193059469408</v>
      </c>
      <c r="T792" s="4">
        <f ca="1">$B$1*R792*$B$2</f>
        <v>27.808928343834875</v>
      </c>
      <c r="U792" s="7">
        <f t="shared" ca="1" si="129"/>
        <v>56.601121403304283</v>
      </c>
    </row>
    <row r="793" spans="2:21" x14ac:dyDescent="0.3">
      <c r="B793" s="13">
        <f t="shared" ca="1" si="120"/>
        <v>0.41473734882637936</v>
      </c>
      <c r="C793" s="14">
        <f t="shared" ca="1" si="120"/>
        <v>0.60807703558485882</v>
      </c>
      <c r="D793" s="14">
        <f t="shared" ca="1" si="121"/>
        <v>-0.21537533620182087</v>
      </c>
      <c r="E793" s="14">
        <f t="shared" ca="1" si="122"/>
        <v>0.27431061351010705</v>
      </c>
      <c r="F793" s="14">
        <f t="shared" ca="1" si="123"/>
        <v>-7.4268578238518859E-2</v>
      </c>
      <c r="G793" s="14">
        <f t="shared" ca="1" si="124"/>
        <v>0.41473734882637936</v>
      </c>
      <c r="H793" s="15">
        <f t="shared" ca="1" si="125"/>
        <v>0.60807703558485882</v>
      </c>
      <c r="I793" s="14">
        <f ca="1">IF(G793&lt;0.05,1,0)*$B$1*$B$2</f>
        <v>0</v>
      </c>
      <c r="J793" s="14">
        <f ca="1">IF(H793&lt;0.05,1,0)*$B$1*$B$2</f>
        <v>0</v>
      </c>
      <c r="K793" s="15">
        <f t="shared" ca="1" si="126"/>
        <v>0</v>
      </c>
      <c r="P793" s="3">
        <v>789</v>
      </c>
      <c r="Q793" s="4">
        <f t="shared" ca="1" si="127"/>
        <v>0.41473734882637936</v>
      </c>
      <c r="R793" s="4">
        <f t="shared" ca="1" si="128"/>
        <v>0.60807703558485882</v>
      </c>
      <c r="S793" s="4">
        <f ca="1">$B$1*Q793*$B$2</f>
        <v>16.589493953055175</v>
      </c>
      <c r="T793" s="4">
        <f ca="1">$B$1*R793*$B$2</f>
        <v>24.323081423394356</v>
      </c>
      <c r="U793" s="7">
        <f t="shared" ca="1" si="129"/>
        <v>40.912575376449531</v>
      </c>
    </row>
    <row r="794" spans="2:21" x14ac:dyDescent="0.3">
      <c r="B794" s="13">
        <f t="shared" ca="1" si="120"/>
        <v>1.7463363784548047E-2</v>
      </c>
      <c r="C794" s="14">
        <f t="shared" ca="1" si="120"/>
        <v>0.4884711400478936</v>
      </c>
      <c r="D794" s="14">
        <f t="shared" ca="1" si="121"/>
        <v>-2.1092068887404776</v>
      </c>
      <c r="E794" s="14">
        <f t="shared" ca="1" si="122"/>
        <v>-2.890258983582868E-2</v>
      </c>
      <c r="F794" s="14">
        <f t="shared" ca="1" si="123"/>
        <v>-1.9108845466965281</v>
      </c>
      <c r="G794" s="14">
        <f t="shared" ca="1" si="124"/>
        <v>1.7463363784548075E-2</v>
      </c>
      <c r="H794" s="15">
        <f t="shared" ca="1" si="125"/>
        <v>0.4884711400478936</v>
      </c>
      <c r="I794" s="14">
        <f ca="1">IF(G794&lt;0.05,1,0)*$B$1*$B$2</f>
        <v>40</v>
      </c>
      <c r="J794" s="14">
        <f ca="1">IF(H794&lt;0.05,1,0)*$B$1*$B$2</f>
        <v>0</v>
      </c>
      <c r="K794" s="15">
        <f t="shared" ca="1" si="126"/>
        <v>40</v>
      </c>
      <c r="P794" s="3">
        <v>790</v>
      </c>
      <c r="Q794" s="4">
        <f t="shared" ca="1" si="127"/>
        <v>1.7463363784548075E-2</v>
      </c>
      <c r="R794" s="4">
        <f t="shared" ca="1" si="128"/>
        <v>0.4884711400478936</v>
      </c>
      <c r="S794" s="4">
        <f ca="1">$B$1*Q794*$B$2</f>
        <v>0.698534551381923</v>
      </c>
      <c r="T794" s="4">
        <f ca="1">$B$1*R794*$B$2</f>
        <v>19.538845601915746</v>
      </c>
      <c r="U794" s="7">
        <f t="shared" ca="1" si="129"/>
        <v>20.237380153297668</v>
      </c>
    </row>
    <row r="795" spans="2:21" x14ac:dyDescent="0.3">
      <c r="B795" s="13">
        <f t="shared" ca="1" si="120"/>
        <v>0.25444589389632555</v>
      </c>
      <c r="C795" s="14">
        <f t="shared" ca="1" si="120"/>
        <v>0.93835748536165919</v>
      </c>
      <c r="D795" s="14">
        <f t="shared" ca="1" si="121"/>
        <v>-0.66056427210680502</v>
      </c>
      <c r="E795" s="14">
        <f t="shared" ca="1" si="122"/>
        <v>1.5411304951937193</v>
      </c>
      <c r="F795" s="14">
        <f t="shared" ca="1" si="123"/>
        <v>7.7255363839697111E-2</v>
      </c>
      <c r="G795" s="14">
        <f t="shared" ca="1" si="124"/>
        <v>0.25444589389632555</v>
      </c>
      <c r="H795" s="15">
        <f t="shared" ca="1" si="125"/>
        <v>0.93835748536165919</v>
      </c>
      <c r="I795" s="14">
        <f ca="1">IF(G795&lt;0.05,1,0)*$B$1*$B$2</f>
        <v>0</v>
      </c>
      <c r="J795" s="14">
        <f ca="1">IF(H795&lt;0.05,1,0)*$B$1*$B$2</f>
        <v>0</v>
      </c>
      <c r="K795" s="15">
        <f t="shared" ca="1" si="126"/>
        <v>0</v>
      </c>
      <c r="P795" s="3">
        <v>791</v>
      </c>
      <c r="Q795" s="4">
        <f t="shared" ca="1" si="127"/>
        <v>0.25444589389632555</v>
      </c>
      <c r="R795" s="4">
        <f t="shared" ca="1" si="128"/>
        <v>0.93835748536165919</v>
      </c>
      <c r="S795" s="4">
        <f ca="1">$B$1*Q795*$B$2</f>
        <v>10.177835755853023</v>
      </c>
      <c r="T795" s="4">
        <f ca="1">$B$1*R795*$B$2</f>
        <v>37.534299414466368</v>
      </c>
      <c r="U795" s="7">
        <f t="shared" ca="1" si="129"/>
        <v>47.712135170319392</v>
      </c>
    </row>
    <row r="796" spans="2:21" x14ac:dyDescent="0.3">
      <c r="B796" s="13">
        <f t="shared" ca="1" si="120"/>
        <v>9.976101530303183E-2</v>
      </c>
      <c r="C796" s="14">
        <f t="shared" ca="1" si="120"/>
        <v>0.66877840053238347</v>
      </c>
      <c r="D796" s="14">
        <f t="shared" ca="1" si="121"/>
        <v>-1.2829145046883974</v>
      </c>
      <c r="E796" s="14">
        <f t="shared" ca="1" si="122"/>
        <v>0.43654246120666629</v>
      </c>
      <c r="F796" s="14">
        <f t="shared" ca="1" si="123"/>
        <v>-0.96433860692311946</v>
      </c>
      <c r="G796" s="14">
        <f t="shared" ca="1" si="124"/>
        <v>9.9761015303031803E-2</v>
      </c>
      <c r="H796" s="15">
        <f t="shared" ca="1" si="125"/>
        <v>0.66877840053238358</v>
      </c>
      <c r="I796" s="14">
        <f ca="1">IF(G796&lt;0.05,1,0)*$B$1*$B$2</f>
        <v>0</v>
      </c>
      <c r="J796" s="14">
        <f ca="1">IF(H796&lt;0.05,1,0)*$B$1*$B$2</f>
        <v>0</v>
      </c>
      <c r="K796" s="15">
        <f t="shared" ca="1" si="126"/>
        <v>0</v>
      </c>
      <c r="P796" s="3">
        <v>792</v>
      </c>
      <c r="Q796" s="4">
        <f t="shared" ca="1" si="127"/>
        <v>9.9761015303031803E-2</v>
      </c>
      <c r="R796" s="4">
        <f t="shared" ca="1" si="128"/>
        <v>0.66877840053238358</v>
      </c>
      <c r="S796" s="4">
        <f ca="1">$B$1*Q796*$B$2</f>
        <v>3.9904406121212723</v>
      </c>
      <c r="T796" s="4">
        <f ca="1">$B$1*R796*$B$2</f>
        <v>26.751136021295345</v>
      </c>
      <c r="U796" s="7">
        <f t="shared" ca="1" si="129"/>
        <v>30.741576633416617</v>
      </c>
    </row>
    <row r="797" spans="2:21" x14ac:dyDescent="0.3">
      <c r="B797" s="13">
        <f t="shared" ca="1" si="120"/>
        <v>0.95239519428686503</v>
      </c>
      <c r="C797" s="14">
        <f t="shared" ca="1" si="120"/>
        <v>0.8865681442395994</v>
      </c>
      <c r="D797" s="14">
        <f t="shared" ca="1" si="121"/>
        <v>1.668534791074096</v>
      </c>
      <c r="E797" s="14">
        <f t="shared" ca="1" si="122"/>
        <v>1.2084773277173533</v>
      </c>
      <c r="F797" s="14">
        <f t="shared" ca="1" si="123"/>
        <v>2.0284443666746892</v>
      </c>
      <c r="G797" s="14">
        <f t="shared" ca="1" si="124"/>
        <v>0.95239519428686503</v>
      </c>
      <c r="H797" s="15">
        <f t="shared" ca="1" si="125"/>
        <v>0.88656814423959951</v>
      </c>
      <c r="I797" s="14">
        <f ca="1">IF(G797&lt;0.05,1,0)*$B$1*$B$2</f>
        <v>0</v>
      </c>
      <c r="J797" s="14">
        <f ca="1">IF(H797&lt;0.05,1,0)*$B$1*$B$2</f>
        <v>0</v>
      </c>
      <c r="K797" s="15">
        <f t="shared" ca="1" si="126"/>
        <v>0</v>
      </c>
      <c r="P797" s="3">
        <v>793</v>
      </c>
      <c r="Q797" s="4">
        <f t="shared" ca="1" si="127"/>
        <v>0.95239519428686503</v>
      </c>
      <c r="R797" s="4">
        <f t="shared" ca="1" si="128"/>
        <v>0.88656814423959951</v>
      </c>
      <c r="S797" s="4">
        <f ca="1">$B$1*Q797*$B$2</f>
        <v>38.095807771474604</v>
      </c>
      <c r="T797" s="4">
        <f ca="1">$B$1*R797*$B$2</f>
        <v>35.462725769583983</v>
      </c>
      <c r="U797" s="7">
        <f t="shared" ca="1" si="129"/>
        <v>73.55853354105858</v>
      </c>
    </row>
    <row r="798" spans="2:21" x14ac:dyDescent="0.3">
      <c r="B798" s="13">
        <f t="shared" ca="1" si="120"/>
        <v>0.40334794878465252</v>
      </c>
      <c r="C798" s="14">
        <f t="shared" ca="1" si="120"/>
        <v>0.22580099731551839</v>
      </c>
      <c r="D798" s="14">
        <f t="shared" ca="1" si="121"/>
        <v>-0.2446907412494444</v>
      </c>
      <c r="E798" s="14">
        <f t="shared" ca="1" si="122"/>
        <v>-0.75274694387577523</v>
      </c>
      <c r="F798" s="14">
        <f t="shared" ca="1" si="123"/>
        <v>-0.54833645296585865</v>
      </c>
      <c r="G798" s="14">
        <f t="shared" ca="1" si="124"/>
        <v>0.40334794878465252</v>
      </c>
      <c r="H798" s="15">
        <f t="shared" ca="1" si="125"/>
        <v>0.22580099731551839</v>
      </c>
      <c r="I798" s="14">
        <f ca="1">IF(G798&lt;0.05,1,0)*$B$1*$B$2</f>
        <v>0</v>
      </c>
      <c r="J798" s="14">
        <f ca="1">IF(H798&lt;0.05,1,0)*$B$1*$B$2</f>
        <v>0</v>
      </c>
      <c r="K798" s="15">
        <f t="shared" ca="1" si="126"/>
        <v>0</v>
      </c>
      <c r="P798" s="3">
        <v>794</v>
      </c>
      <c r="Q798" s="4">
        <f t="shared" ca="1" si="127"/>
        <v>0.40334794878465252</v>
      </c>
      <c r="R798" s="4">
        <f t="shared" ca="1" si="128"/>
        <v>0.22580099731551839</v>
      </c>
      <c r="S798" s="4">
        <f ca="1">$B$1*Q798*$B$2</f>
        <v>16.133917951386103</v>
      </c>
      <c r="T798" s="4">
        <f ca="1">$B$1*R798*$B$2</f>
        <v>9.0320398926207357</v>
      </c>
      <c r="U798" s="7">
        <f t="shared" ca="1" si="129"/>
        <v>25.16595784400684</v>
      </c>
    </row>
    <row r="799" spans="2:21" x14ac:dyDescent="0.3">
      <c r="B799" s="13">
        <f t="shared" ca="1" si="120"/>
        <v>0.85539143283826047</v>
      </c>
      <c r="C799" s="14">
        <f t="shared" ca="1" si="120"/>
        <v>0.71284874933259645</v>
      </c>
      <c r="D799" s="14">
        <f t="shared" ca="1" si="121"/>
        <v>1.0598405746154358</v>
      </c>
      <c r="E799" s="14">
        <f t="shared" ca="1" si="122"/>
        <v>0.56172631648444893</v>
      </c>
      <c r="F799" s="14">
        <f t="shared" ca="1" si="123"/>
        <v>1.1987073419021981</v>
      </c>
      <c r="G799" s="14">
        <f t="shared" ca="1" si="124"/>
        <v>0.85539143283826047</v>
      </c>
      <c r="H799" s="15">
        <f t="shared" ca="1" si="125"/>
        <v>0.71284874933259657</v>
      </c>
      <c r="I799" s="14">
        <f ca="1">IF(G799&lt;0.05,1,0)*$B$1*$B$2</f>
        <v>0</v>
      </c>
      <c r="J799" s="14">
        <f ca="1">IF(H799&lt;0.05,1,0)*$B$1*$B$2</f>
        <v>0</v>
      </c>
      <c r="K799" s="15">
        <f t="shared" ca="1" si="126"/>
        <v>0</v>
      </c>
      <c r="P799" s="3">
        <v>795</v>
      </c>
      <c r="Q799" s="4">
        <f t="shared" ca="1" si="127"/>
        <v>0.85539143283826047</v>
      </c>
      <c r="R799" s="4">
        <f t="shared" ca="1" si="128"/>
        <v>0.71284874933259657</v>
      </c>
      <c r="S799" s="4">
        <f ca="1">$B$1*Q799*$B$2</f>
        <v>34.215657313530421</v>
      </c>
      <c r="T799" s="4">
        <f ca="1">$B$1*R799*$B$2</f>
        <v>28.513949973303866</v>
      </c>
      <c r="U799" s="7">
        <f t="shared" ca="1" si="129"/>
        <v>62.729607286834288</v>
      </c>
    </row>
    <row r="800" spans="2:21" x14ac:dyDescent="0.3">
      <c r="B800" s="13">
        <f t="shared" ca="1" si="120"/>
        <v>0.72777045657209971</v>
      </c>
      <c r="C800" s="14">
        <f t="shared" ca="1" si="120"/>
        <v>0.10866396849930204</v>
      </c>
      <c r="D800" s="14">
        <f t="shared" ca="1" si="121"/>
        <v>0.60608383166094237</v>
      </c>
      <c r="E800" s="14">
        <f t="shared" ca="1" si="122"/>
        <v>-1.233664528124081</v>
      </c>
      <c r="F800" s="14">
        <f t="shared" ca="1" si="123"/>
        <v>7.733547662482243E-3</v>
      </c>
      <c r="G800" s="14">
        <f t="shared" ca="1" si="124"/>
        <v>0.72777045657209982</v>
      </c>
      <c r="H800" s="15">
        <f t="shared" ca="1" si="125"/>
        <v>0.10866396849930192</v>
      </c>
      <c r="I800" s="14">
        <f ca="1">IF(G800&lt;0.05,1,0)*$B$1*$B$2</f>
        <v>0</v>
      </c>
      <c r="J800" s="14">
        <f ca="1">IF(H800&lt;0.05,1,0)*$B$1*$B$2</f>
        <v>0</v>
      </c>
      <c r="K800" s="15">
        <f t="shared" ca="1" si="126"/>
        <v>0</v>
      </c>
      <c r="P800" s="3">
        <v>796</v>
      </c>
      <c r="Q800" s="4">
        <f t="shared" ca="1" si="127"/>
        <v>0.72777045657209982</v>
      </c>
      <c r="R800" s="4">
        <f t="shared" ca="1" si="128"/>
        <v>0.10866396849930192</v>
      </c>
      <c r="S800" s="4">
        <f ca="1">$B$1*Q800*$B$2</f>
        <v>29.110818262883996</v>
      </c>
      <c r="T800" s="4">
        <f ca="1">$B$1*R800*$B$2</f>
        <v>4.3465587399720773</v>
      </c>
      <c r="U800" s="7">
        <f t="shared" ca="1" si="129"/>
        <v>33.45737700285607</v>
      </c>
    </row>
    <row r="801" spans="2:21" x14ac:dyDescent="0.3">
      <c r="B801" s="13">
        <f t="shared" ca="1" si="120"/>
        <v>0.87958658384400479</v>
      </c>
      <c r="C801" s="14">
        <f t="shared" ca="1" si="120"/>
        <v>0.76435214000181706</v>
      </c>
      <c r="D801" s="14">
        <f t="shared" ca="1" si="121"/>
        <v>1.1729226333374181</v>
      </c>
      <c r="E801" s="14">
        <f t="shared" ca="1" si="122"/>
        <v>0.72037243035575915</v>
      </c>
      <c r="F801" s="14">
        <f t="shared" ca="1" si="123"/>
        <v>1.3696334325670307</v>
      </c>
      <c r="G801" s="14">
        <f t="shared" ca="1" si="124"/>
        <v>0.8795865838440049</v>
      </c>
      <c r="H801" s="15">
        <f t="shared" ca="1" si="125"/>
        <v>0.76435214000181706</v>
      </c>
      <c r="I801" s="14">
        <f ca="1">IF(G801&lt;0.05,1,0)*$B$1*$B$2</f>
        <v>0</v>
      </c>
      <c r="J801" s="14">
        <f ca="1">IF(H801&lt;0.05,1,0)*$B$1*$B$2</f>
        <v>0</v>
      </c>
      <c r="K801" s="15">
        <f t="shared" ca="1" si="126"/>
        <v>0</v>
      </c>
      <c r="P801" s="3">
        <v>797</v>
      </c>
      <c r="Q801" s="4">
        <f t="shared" ca="1" si="127"/>
        <v>0.8795865838440049</v>
      </c>
      <c r="R801" s="4">
        <f t="shared" ca="1" si="128"/>
        <v>0.76435214000181706</v>
      </c>
      <c r="S801" s="4">
        <f ca="1">$B$1*Q801*$B$2</f>
        <v>35.183463353760196</v>
      </c>
      <c r="T801" s="4">
        <f ca="1">$B$1*R801*$B$2</f>
        <v>30.574085600072682</v>
      </c>
      <c r="U801" s="7">
        <f t="shared" ca="1" si="129"/>
        <v>65.757548953832881</v>
      </c>
    </row>
    <row r="802" spans="2:21" x14ac:dyDescent="0.3">
      <c r="B802" s="13">
        <f t="shared" ca="1" si="120"/>
        <v>0.44799861409615249</v>
      </c>
      <c r="C802" s="14">
        <f t="shared" ca="1" si="120"/>
        <v>0.86140253642827747</v>
      </c>
      <c r="D802" s="14">
        <f t="shared" ca="1" si="121"/>
        <v>-0.13071947187264918</v>
      </c>
      <c r="E802" s="14">
        <f t="shared" ca="1" si="122"/>
        <v>1.0866422910882627</v>
      </c>
      <c r="F802" s="14">
        <f t="shared" ca="1" si="123"/>
        <v>0.35600886877774018</v>
      </c>
      <c r="G802" s="14">
        <f t="shared" ca="1" si="124"/>
        <v>0.44799861409615249</v>
      </c>
      <c r="H802" s="15">
        <f t="shared" ca="1" si="125"/>
        <v>0.86140253642827758</v>
      </c>
      <c r="I802" s="14">
        <f ca="1">IF(G802&lt;0.05,1,0)*$B$1*$B$2</f>
        <v>0</v>
      </c>
      <c r="J802" s="14">
        <f ca="1">IF(H802&lt;0.05,1,0)*$B$1*$B$2</f>
        <v>0</v>
      </c>
      <c r="K802" s="15">
        <f t="shared" ca="1" si="126"/>
        <v>0</v>
      </c>
      <c r="P802" s="3">
        <v>798</v>
      </c>
      <c r="Q802" s="4">
        <f t="shared" ca="1" si="127"/>
        <v>0.44799861409615249</v>
      </c>
      <c r="R802" s="4">
        <f t="shared" ca="1" si="128"/>
        <v>0.86140253642827758</v>
      </c>
      <c r="S802" s="4">
        <f ca="1">$B$1*Q802*$B$2</f>
        <v>17.919944563846098</v>
      </c>
      <c r="T802" s="4">
        <f ca="1">$B$1*R802*$B$2</f>
        <v>34.456101457131105</v>
      </c>
      <c r="U802" s="7">
        <f t="shared" ca="1" si="129"/>
        <v>52.376046020977199</v>
      </c>
    </row>
    <row r="803" spans="2:21" x14ac:dyDescent="0.3">
      <c r="B803" s="13">
        <f t="shared" ca="1" si="120"/>
        <v>0.96615210954558661</v>
      </c>
      <c r="C803" s="14">
        <f t="shared" ca="1" si="120"/>
        <v>0.79901811009948998</v>
      </c>
      <c r="D803" s="14">
        <f t="shared" ca="1" si="121"/>
        <v>1.8270265277620252</v>
      </c>
      <c r="E803" s="14">
        <f t="shared" ca="1" si="122"/>
        <v>0.83811916587310931</v>
      </c>
      <c r="F803" s="14">
        <f t="shared" ca="1" si="123"/>
        <v>2.0096515496543712</v>
      </c>
      <c r="G803" s="14">
        <f t="shared" ca="1" si="124"/>
        <v>0.96615210954558661</v>
      </c>
      <c r="H803" s="15">
        <f t="shared" ca="1" si="125"/>
        <v>0.79901811009949009</v>
      </c>
      <c r="I803" s="14">
        <f ca="1">IF(G803&lt;0.05,1,0)*$B$1*$B$2</f>
        <v>0</v>
      </c>
      <c r="J803" s="14">
        <f ca="1">IF(H803&lt;0.05,1,0)*$B$1*$B$2</f>
        <v>0</v>
      </c>
      <c r="K803" s="15">
        <f t="shared" ca="1" si="126"/>
        <v>0</v>
      </c>
      <c r="P803" s="3">
        <v>799</v>
      </c>
      <c r="Q803" s="4">
        <f t="shared" ca="1" si="127"/>
        <v>0.96615210954558661</v>
      </c>
      <c r="R803" s="4">
        <f t="shared" ca="1" si="128"/>
        <v>0.79901811009949009</v>
      </c>
      <c r="S803" s="4">
        <f ca="1">$B$1*Q803*$B$2</f>
        <v>38.646084381823471</v>
      </c>
      <c r="T803" s="4">
        <f ca="1">$B$1*R803*$B$2</f>
        <v>31.960724403979608</v>
      </c>
      <c r="U803" s="7">
        <f t="shared" ca="1" si="129"/>
        <v>70.606808785803082</v>
      </c>
    </row>
    <row r="804" spans="2:21" x14ac:dyDescent="0.3">
      <c r="B804" s="13">
        <f t="shared" ca="1" si="120"/>
        <v>3.1631297673372694E-2</v>
      </c>
      <c r="C804" s="14">
        <f t="shared" ca="1" si="120"/>
        <v>0.42643681264581246</v>
      </c>
      <c r="D804" s="14">
        <f t="shared" ca="1" si="121"/>
        <v>-1.8573414178109018</v>
      </c>
      <c r="E804" s="14">
        <f t="shared" ca="1" si="122"/>
        <v>-0.18545314793875739</v>
      </c>
      <c r="F804" s="14">
        <f t="shared" ca="1" si="123"/>
        <v>-1.7524444290924659</v>
      </c>
      <c r="G804" s="14">
        <f t="shared" ca="1" si="124"/>
        <v>3.1631297673372714E-2</v>
      </c>
      <c r="H804" s="15">
        <f t="shared" ca="1" si="125"/>
        <v>0.42643681264581246</v>
      </c>
      <c r="I804" s="14">
        <f ca="1">IF(G804&lt;0.05,1,0)*$B$1*$B$2</f>
        <v>40</v>
      </c>
      <c r="J804" s="14">
        <f ca="1">IF(H804&lt;0.05,1,0)*$B$1*$B$2</f>
        <v>0</v>
      </c>
      <c r="K804" s="15">
        <f t="shared" ca="1" si="126"/>
        <v>40</v>
      </c>
      <c r="P804" s="3">
        <v>800</v>
      </c>
      <c r="Q804" s="4">
        <f t="shared" ca="1" si="127"/>
        <v>3.1631297673372714E-2</v>
      </c>
      <c r="R804" s="4">
        <f t="shared" ca="1" si="128"/>
        <v>0.42643681264581246</v>
      </c>
      <c r="S804" s="4">
        <f ca="1">$B$1*Q804*$B$2</f>
        <v>1.2652519069349086</v>
      </c>
      <c r="T804" s="4">
        <f ca="1">$B$1*R804*$B$2</f>
        <v>17.0574725058325</v>
      </c>
      <c r="U804" s="7">
        <f t="shared" ca="1" si="129"/>
        <v>18.322724412767407</v>
      </c>
    </row>
    <row r="805" spans="2:21" x14ac:dyDescent="0.3">
      <c r="B805" s="13">
        <f t="shared" ca="1" si="120"/>
        <v>0.41692715689739479</v>
      </c>
      <c r="C805" s="14">
        <f t="shared" ca="1" si="120"/>
        <v>0.11722005870585217</v>
      </c>
      <c r="D805" s="14">
        <f t="shared" ca="1" si="121"/>
        <v>-0.20976087128785098</v>
      </c>
      <c r="E805" s="14">
        <f t="shared" ca="1" si="122"/>
        <v>-1.1889988552204231</v>
      </c>
      <c r="F805" s="14">
        <f t="shared" ca="1" si="123"/>
        <v>-0.70705736954820309</v>
      </c>
      <c r="G805" s="14">
        <f t="shared" ca="1" si="124"/>
        <v>0.41692715689739479</v>
      </c>
      <c r="H805" s="15">
        <f t="shared" ca="1" si="125"/>
        <v>0.11722005870585193</v>
      </c>
      <c r="I805" s="14">
        <f ca="1">IF(G805&lt;0.05,1,0)*$B$1*$B$2</f>
        <v>0</v>
      </c>
      <c r="J805" s="14">
        <f ca="1">IF(H805&lt;0.05,1,0)*$B$1*$B$2</f>
        <v>0</v>
      </c>
      <c r="K805" s="15">
        <f t="shared" ca="1" si="126"/>
        <v>0</v>
      </c>
      <c r="P805" s="3">
        <v>801</v>
      </c>
      <c r="Q805" s="4">
        <f t="shared" ca="1" si="127"/>
        <v>0.41692715689739479</v>
      </c>
      <c r="R805" s="4">
        <f t="shared" ca="1" si="128"/>
        <v>0.11722005870585193</v>
      </c>
      <c r="S805" s="4">
        <f ca="1">$B$1*Q805*$B$2</f>
        <v>16.677086275895793</v>
      </c>
      <c r="T805" s="4">
        <f ca="1">$B$1*R805*$B$2</f>
        <v>4.688802348234077</v>
      </c>
      <c r="U805" s="7">
        <f t="shared" ca="1" si="129"/>
        <v>21.36588862412987</v>
      </c>
    </row>
    <row r="806" spans="2:21" x14ac:dyDescent="0.3">
      <c r="B806" s="13">
        <f t="shared" ca="1" si="120"/>
        <v>9.4383898544793121E-2</v>
      </c>
      <c r="C806" s="14">
        <f t="shared" ca="1" si="120"/>
        <v>0.76937457317322644</v>
      </c>
      <c r="D806" s="14">
        <f t="shared" ca="1" si="121"/>
        <v>-1.3142330277273373</v>
      </c>
      <c r="E806" s="14">
        <f t="shared" ca="1" si="122"/>
        <v>0.73678870394204266</v>
      </c>
      <c r="F806" s="14">
        <f t="shared" ca="1" si="123"/>
        <v>-0.86165097463203655</v>
      </c>
      <c r="G806" s="14">
        <f t="shared" ca="1" si="124"/>
        <v>9.4383898544793135E-2</v>
      </c>
      <c r="H806" s="15">
        <f t="shared" ca="1" si="125"/>
        <v>0.76937457317322644</v>
      </c>
      <c r="I806" s="14">
        <f ca="1">IF(G806&lt;0.05,1,0)*$B$1*$B$2</f>
        <v>0</v>
      </c>
      <c r="J806" s="14">
        <f ca="1">IF(H806&lt;0.05,1,0)*$B$1*$B$2</f>
        <v>0</v>
      </c>
      <c r="K806" s="15">
        <f t="shared" ca="1" si="126"/>
        <v>0</v>
      </c>
      <c r="P806" s="3">
        <v>802</v>
      </c>
      <c r="Q806" s="4">
        <f t="shared" ca="1" si="127"/>
        <v>9.4383898544793135E-2</v>
      </c>
      <c r="R806" s="4">
        <f t="shared" ca="1" si="128"/>
        <v>0.76937457317322644</v>
      </c>
      <c r="S806" s="4">
        <f ca="1">$B$1*Q806*$B$2</f>
        <v>3.7753559417917253</v>
      </c>
      <c r="T806" s="4">
        <f ca="1">$B$1*R806*$B$2</f>
        <v>30.774982926929056</v>
      </c>
      <c r="U806" s="7">
        <f t="shared" ca="1" si="129"/>
        <v>34.550338868720779</v>
      </c>
    </row>
    <row r="807" spans="2:21" x14ac:dyDescent="0.3">
      <c r="B807" s="13">
        <f t="shared" ca="1" si="120"/>
        <v>0.21888123489598699</v>
      </c>
      <c r="C807" s="14">
        <f t="shared" ca="1" si="120"/>
        <v>0.40301360284034682</v>
      </c>
      <c r="D807" s="14">
        <f t="shared" ca="1" si="121"/>
        <v>-0.77597716330237287</v>
      </c>
      <c r="E807" s="14">
        <f t="shared" ca="1" si="122"/>
        <v>-0.2455543823726975</v>
      </c>
      <c r="F807" s="14">
        <f t="shared" ca="1" si="123"/>
        <v>-0.80541412076274899</v>
      </c>
      <c r="G807" s="14">
        <f t="shared" ca="1" si="124"/>
        <v>0.21888123489598688</v>
      </c>
      <c r="H807" s="15">
        <f t="shared" ca="1" si="125"/>
        <v>0.40301360284034682</v>
      </c>
      <c r="I807" s="14">
        <f ca="1">IF(G807&lt;0.05,1,0)*$B$1*$B$2</f>
        <v>0</v>
      </c>
      <c r="J807" s="14">
        <f ca="1">IF(H807&lt;0.05,1,0)*$B$1*$B$2</f>
        <v>0</v>
      </c>
      <c r="K807" s="15">
        <f t="shared" ca="1" si="126"/>
        <v>0</v>
      </c>
      <c r="P807" s="3">
        <v>803</v>
      </c>
      <c r="Q807" s="4">
        <f t="shared" ca="1" si="127"/>
        <v>0.21888123489598688</v>
      </c>
      <c r="R807" s="4">
        <f t="shared" ca="1" si="128"/>
        <v>0.40301360284034682</v>
      </c>
      <c r="S807" s="4">
        <f ca="1">$B$1*Q807*$B$2</f>
        <v>8.7552493958394759</v>
      </c>
      <c r="T807" s="4">
        <f ca="1">$B$1*R807*$B$2</f>
        <v>16.120544113613871</v>
      </c>
      <c r="U807" s="7">
        <f t="shared" ca="1" si="129"/>
        <v>24.875793509453345</v>
      </c>
    </row>
    <row r="808" spans="2:21" x14ac:dyDescent="0.3">
      <c r="B808" s="13">
        <f t="shared" ca="1" si="120"/>
        <v>0.25021077843923123</v>
      </c>
      <c r="C808" s="14">
        <f t="shared" ca="1" si="120"/>
        <v>0.46386202377156527</v>
      </c>
      <c r="D808" s="14">
        <f t="shared" ca="1" si="121"/>
        <v>-0.67382660716578435</v>
      </c>
      <c r="E808" s="14">
        <f t="shared" ca="1" si="122"/>
        <v>-9.0708712572866002E-2</v>
      </c>
      <c r="F808" s="14">
        <f t="shared" ca="1" si="123"/>
        <v>-0.64598295758958602</v>
      </c>
      <c r="G808" s="14">
        <f t="shared" ca="1" si="124"/>
        <v>0.25021077843923123</v>
      </c>
      <c r="H808" s="15">
        <f t="shared" ca="1" si="125"/>
        <v>0.46386202377156527</v>
      </c>
      <c r="I808" s="14">
        <f ca="1">IF(G808&lt;0.05,1,0)*$B$1*$B$2</f>
        <v>0</v>
      </c>
      <c r="J808" s="14">
        <f ca="1">IF(H808&lt;0.05,1,0)*$B$1*$B$2</f>
        <v>0</v>
      </c>
      <c r="K808" s="15">
        <f t="shared" ca="1" si="126"/>
        <v>0</v>
      </c>
      <c r="P808" s="3">
        <v>804</v>
      </c>
      <c r="Q808" s="4">
        <f t="shared" ca="1" si="127"/>
        <v>0.25021077843923123</v>
      </c>
      <c r="R808" s="4">
        <f t="shared" ca="1" si="128"/>
        <v>0.46386202377156527</v>
      </c>
      <c r="S808" s="4">
        <f ca="1">$B$1*Q808*$B$2</f>
        <v>10.00843113756925</v>
      </c>
      <c r="T808" s="4">
        <f ca="1">$B$1*R808*$B$2</f>
        <v>18.554480950862612</v>
      </c>
      <c r="U808" s="7">
        <f t="shared" ca="1" si="129"/>
        <v>28.562912088431862</v>
      </c>
    </row>
    <row r="809" spans="2:21" x14ac:dyDescent="0.3">
      <c r="B809" s="13">
        <f t="shared" ca="1" si="120"/>
        <v>0.45370422266004928</v>
      </c>
      <c r="C809" s="14">
        <f t="shared" ca="1" si="120"/>
        <v>0.46255625370136833</v>
      </c>
      <c r="D809" s="14">
        <f t="shared" ca="1" si="121"/>
        <v>-0.11630800030498975</v>
      </c>
      <c r="E809" s="14">
        <f t="shared" ca="1" si="122"/>
        <v>-9.3995781970437342E-2</v>
      </c>
      <c r="F809" s="14">
        <f t="shared" ca="1" si="123"/>
        <v>-0.14564901174731265</v>
      </c>
      <c r="G809" s="14">
        <f t="shared" ca="1" si="124"/>
        <v>0.45370422266004928</v>
      </c>
      <c r="H809" s="15">
        <f t="shared" ca="1" si="125"/>
        <v>0.46255625370136833</v>
      </c>
      <c r="I809" s="14">
        <f ca="1">IF(G809&lt;0.05,1,0)*$B$1*$B$2</f>
        <v>0</v>
      </c>
      <c r="J809" s="14">
        <f ca="1">IF(H809&lt;0.05,1,0)*$B$1*$B$2</f>
        <v>0</v>
      </c>
      <c r="K809" s="15">
        <f t="shared" ca="1" si="126"/>
        <v>0</v>
      </c>
      <c r="P809" s="3">
        <v>805</v>
      </c>
      <c r="Q809" s="4">
        <f t="shared" ca="1" si="127"/>
        <v>0.45370422266004928</v>
      </c>
      <c r="R809" s="4">
        <f t="shared" ca="1" si="128"/>
        <v>0.46255625370136833</v>
      </c>
      <c r="S809" s="4">
        <f ca="1">$B$1*Q809*$B$2</f>
        <v>18.148168906401974</v>
      </c>
      <c r="T809" s="4">
        <f ca="1">$B$1*R809*$B$2</f>
        <v>18.502250148054735</v>
      </c>
      <c r="U809" s="7">
        <f t="shared" ca="1" si="129"/>
        <v>36.650419054456705</v>
      </c>
    </row>
    <row r="810" spans="2:21" x14ac:dyDescent="0.3">
      <c r="B810" s="13">
        <f t="shared" ca="1" si="120"/>
        <v>0.76418457900941805</v>
      </c>
      <c r="C810" s="14">
        <f t="shared" ca="1" si="120"/>
        <v>0.33443980679046981</v>
      </c>
      <c r="D810" s="14">
        <f t="shared" ca="1" si="121"/>
        <v>0.71982809900969957</v>
      </c>
      <c r="E810" s="14">
        <f t="shared" ca="1" si="122"/>
        <v>-0.42768617904148371</v>
      </c>
      <c r="F810" s="14">
        <f t="shared" ca="1" si="123"/>
        <v>0.46142120570964262</v>
      </c>
      <c r="G810" s="14">
        <f t="shared" ca="1" si="124"/>
        <v>0.76418457900941816</v>
      </c>
      <c r="H810" s="15">
        <f t="shared" ca="1" si="125"/>
        <v>0.33443980679046981</v>
      </c>
      <c r="I810" s="14">
        <f ca="1">IF(G810&lt;0.05,1,0)*$B$1*$B$2</f>
        <v>0</v>
      </c>
      <c r="J810" s="14">
        <f ca="1">IF(H810&lt;0.05,1,0)*$B$1*$B$2</f>
        <v>0</v>
      </c>
      <c r="K810" s="15">
        <f t="shared" ca="1" si="126"/>
        <v>0</v>
      </c>
      <c r="P810" s="3">
        <v>806</v>
      </c>
      <c r="Q810" s="4">
        <f t="shared" ca="1" si="127"/>
        <v>0.76418457900941816</v>
      </c>
      <c r="R810" s="4">
        <f t="shared" ca="1" si="128"/>
        <v>0.33443980679046981</v>
      </c>
      <c r="S810" s="4">
        <f ca="1">$B$1*Q810*$B$2</f>
        <v>30.567383160376728</v>
      </c>
      <c r="T810" s="4">
        <f ca="1">$B$1*R810*$B$2</f>
        <v>13.377592271618793</v>
      </c>
      <c r="U810" s="7">
        <f t="shared" ca="1" si="129"/>
        <v>43.944975431995523</v>
      </c>
    </row>
    <row r="811" spans="2:21" x14ac:dyDescent="0.3">
      <c r="B811" s="13">
        <f t="shared" ca="1" si="120"/>
        <v>0.85384067212342218</v>
      </c>
      <c r="C811" s="14">
        <f t="shared" ca="1" si="120"/>
        <v>0.8034941506579748</v>
      </c>
      <c r="D811" s="14">
        <f t="shared" ca="1" si="121"/>
        <v>1.0530487368694692</v>
      </c>
      <c r="E811" s="14">
        <f t="shared" ca="1" si="122"/>
        <v>0.85416838309158583</v>
      </c>
      <c r="F811" s="14">
        <f t="shared" ca="1" si="123"/>
        <v>1.3200672294488982</v>
      </c>
      <c r="G811" s="14">
        <f t="shared" ca="1" si="124"/>
        <v>0.85384067212342218</v>
      </c>
      <c r="H811" s="15">
        <f t="shared" ca="1" si="125"/>
        <v>0.80349415065797491</v>
      </c>
      <c r="I811" s="14">
        <f ca="1">IF(G811&lt;0.05,1,0)*$B$1*$B$2</f>
        <v>0</v>
      </c>
      <c r="J811" s="14">
        <f ca="1">IF(H811&lt;0.05,1,0)*$B$1*$B$2</f>
        <v>0</v>
      </c>
      <c r="K811" s="15">
        <f t="shared" ca="1" si="126"/>
        <v>0</v>
      </c>
      <c r="P811" s="3">
        <v>807</v>
      </c>
      <c r="Q811" s="4">
        <f t="shared" ca="1" si="127"/>
        <v>0.85384067212342218</v>
      </c>
      <c r="R811" s="4">
        <f t="shared" ca="1" si="128"/>
        <v>0.80349415065797491</v>
      </c>
      <c r="S811" s="4">
        <f ca="1">$B$1*Q811*$B$2</f>
        <v>34.153626884936891</v>
      </c>
      <c r="T811" s="4">
        <f ca="1">$B$1*R811*$B$2</f>
        <v>32.139766026318995</v>
      </c>
      <c r="U811" s="7">
        <f t="shared" ca="1" si="129"/>
        <v>66.293392911255893</v>
      </c>
    </row>
    <row r="812" spans="2:21" x14ac:dyDescent="0.3">
      <c r="B812" s="13">
        <f t="shared" ca="1" si="120"/>
        <v>0.34951305081921946</v>
      </c>
      <c r="C812" s="14">
        <f t="shared" ca="1" si="120"/>
        <v>0.78684566144675272</v>
      </c>
      <c r="D812" s="14">
        <f t="shared" ca="1" si="121"/>
        <v>-0.3866354610294982</v>
      </c>
      <c r="E812" s="14">
        <f t="shared" ca="1" si="122"/>
        <v>0.79552413549254741</v>
      </c>
      <c r="F812" s="14">
        <f t="shared" ca="1" si="123"/>
        <v>-1.2109835505911826E-3</v>
      </c>
      <c r="G812" s="14">
        <f t="shared" ca="1" si="124"/>
        <v>0.34951305081921941</v>
      </c>
      <c r="H812" s="15">
        <f t="shared" ca="1" si="125"/>
        <v>0.78684566144675294</v>
      </c>
      <c r="I812" s="14">
        <f ca="1">IF(G812&lt;0.05,1,0)*$B$1*$B$2</f>
        <v>0</v>
      </c>
      <c r="J812" s="14">
        <f ca="1">IF(H812&lt;0.05,1,0)*$B$1*$B$2</f>
        <v>0</v>
      </c>
      <c r="K812" s="15">
        <f t="shared" ca="1" si="126"/>
        <v>0</v>
      </c>
      <c r="P812" s="3">
        <v>808</v>
      </c>
      <c r="Q812" s="4">
        <f t="shared" ca="1" si="127"/>
        <v>0.34951305081921941</v>
      </c>
      <c r="R812" s="4">
        <f t="shared" ca="1" si="128"/>
        <v>0.78684566144675294</v>
      </c>
      <c r="S812" s="4">
        <f ca="1">$B$1*Q812*$B$2</f>
        <v>13.980522032768775</v>
      </c>
      <c r="T812" s="4">
        <f ca="1">$B$1*R812*$B$2</f>
        <v>31.473826457870121</v>
      </c>
      <c r="U812" s="7">
        <f t="shared" ca="1" si="129"/>
        <v>45.454348490638893</v>
      </c>
    </row>
    <row r="813" spans="2:21" x14ac:dyDescent="0.3">
      <c r="B813" s="13">
        <f t="shared" ca="1" si="120"/>
        <v>0.38027738683580881</v>
      </c>
      <c r="C813" s="14">
        <f t="shared" ca="1" si="120"/>
        <v>0.80191819851154533</v>
      </c>
      <c r="D813" s="14">
        <f t="shared" ca="1" si="121"/>
        <v>-0.30475235217585211</v>
      </c>
      <c r="E813" s="14">
        <f t="shared" ca="1" si="122"/>
        <v>0.84849275973122751</v>
      </c>
      <c r="F813" s="14">
        <f t="shared" ca="1" si="123"/>
        <v>9.5572302441168822E-2</v>
      </c>
      <c r="G813" s="14">
        <f t="shared" ca="1" si="124"/>
        <v>0.38027738683580881</v>
      </c>
      <c r="H813" s="15">
        <f t="shared" ca="1" si="125"/>
        <v>0.80191819851154533</v>
      </c>
      <c r="I813" s="14">
        <f ca="1">IF(G813&lt;0.05,1,0)*$B$1*$B$2</f>
        <v>0</v>
      </c>
      <c r="J813" s="14">
        <f ca="1">IF(H813&lt;0.05,1,0)*$B$1*$B$2</f>
        <v>0</v>
      </c>
      <c r="K813" s="15">
        <f t="shared" ca="1" si="126"/>
        <v>0</v>
      </c>
      <c r="P813" s="3">
        <v>809</v>
      </c>
      <c r="Q813" s="4">
        <f t="shared" ca="1" si="127"/>
        <v>0.38027738683580881</v>
      </c>
      <c r="R813" s="4">
        <f t="shared" ca="1" si="128"/>
        <v>0.80191819851154533</v>
      </c>
      <c r="S813" s="4">
        <f ca="1">$B$1*Q813*$B$2</f>
        <v>15.211095473432351</v>
      </c>
      <c r="T813" s="4">
        <f ca="1">$B$1*R813*$B$2</f>
        <v>32.076727940461815</v>
      </c>
      <c r="U813" s="7">
        <f t="shared" ca="1" si="129"/>
        <v>47.287823413894166</v>
      </c>
    </row>
    <row r="814" spans="2:21" x14ac:dyDescent="0.3">
      <c r="B814" s="13">
        <f t="shared" ca="1" si="120"/>
        <v>0.17105391283901616</v>
      </c>
      <c r="C814" s="14">
        <f t="shared" ca="1" si="120"/>
        <v>0.80271458009851016</v>
      </c>
      <c r="D814" s="14">
        <f t="shared" ca="1" si="121"/>
        <v>-0.95000871245708129</v>
      </c>
      <c r="E814" s="14">
        <f t="shared" ca="1" si="122"/>
        <v>0.85135741531524867</v>
      </c>
      <c r="F814" s="14">
        <f t="shared" ca="1" si="123"/>
        <v>-0.48390974739205767</v>
      </c>
      <c r="G814" s="14">
        <f t="shared" ca="1" si="124"/>
        <v>0.1710539128390165</v>
      </c>
      <c r="H814" s="15">
        <f t="shared" ca="1" si="125"/>
        <v>0.80271458009851027</v>
      </c>
      <c r="I814" s="14">
        <f ca="1">IF(G814&lt;0.05,1,0)*$B$1*$B$2</f>
        <v>0</v>
      </c>
      <c r="J814" s="14">
        <f ca="1">IF(H814&lt;0.05,1,0)*$B$1*$B$2</f>
        <v>0</v>
      </c>
      <c r="K814" s="15">
        <f t="shared" ca="1" si="126"/>
        <v>0</v>
      </c>
      <c r="P814" s="3">
        <v>810</v>
      </c>
      <c r="Q814" s="4">
        <f t="shared" ca="1" si="127"/>
        <v>0.1710539128390165</v>
      </c>
      <c r="R814" s="4">
        <f t="shared" ca="1" si="128"/>
        <v>0.80271458009851027</v>
      </c>
      <c r="S814" s="4">
        <f ca="1">$B$1*Q814*$B$2</f>
        <v>6.8421565135606599</v>
      </c>
      <c r="T814" s="4">
        <f ca="1">$B$1*R814*$B$2</f>
        <v>32.108583203940412</v>
      </c>
      <c r="U814" s="7">
        <f t="shared" ca="1" si="129"/>
        <v>38.950739717501072</v>
      </c>
    </row>
    <row r="815" spans="2:21" x14ac:dyDescent="0.3">
      <c r="B815" s="13">
        <f t="shared" ca="1" si="120"/>
        <v>0.93896559887584463</v>
      </c>
      <c r="C815" s="14">
        <f t="shared" ca="1" si="120"/>
        <v>0.49615524696229973</v>
      </c>
      <c r="D815" s="14">
        <f t="shared" ca="1" si="121"/>
        <v>1.5461481091677853</v>
      </c>
      <c r="E815" s="14">
        <f t="shared" ca="1" si="122"/>
        <v>-9.6375158626898303E-3</v>
      </c>
      <c r="F815" s="14">
        <f t="shared" ca="1" si="123"/>
        <v>1.3873324024797833</v>
      </c>
      <c r="G815" s="14">
        <f t="shared" ca="1" si="124"/>
        <v>0.93896559887584463</v>
      </c>
      <c r="H815" s="15">
        <f t="shared" ca="1" si="125"/>
        <v>0.49615524696229973</v>
      </c>
      <c r="I815" s="14">
        <f ca="1">IF(G815&lt;0.05,1,0)*$B$1*$B$2</f>
        <v>0</v>
      </c>
      <c r="J815" s="14">
        <f ca="1">IF(H815&lt;0.05,1,0)*$B$1*$B$2</f>
        <v>0</v>
      </c>
      <c r="K815" s="15">
        <f t="shared" ca="1" si="126"/>
        <v>0</v>
      </c>
      <c r="P815" s="3">
        <v>811</v>
      </c>
      <c r="Q815" s="4">
        <f t="shared" ca="1" si="127"/>
        <v>0.93896559887584463</v>
      </c>
      <c r="R815" s="4">
        <f t="shared" ca="1" si="128"/>
        <v>0.49615524696229973</v>
      </c>
      <c r="S815" s="4">
        <f ca="1">$B$1*Q815*$B$2</f>
        <v>37.558623955033788</v>
      </c>
      <c r="T815" s="4">
        <f ca="1">$B$1*R815*$B$2</f>
        <v>19.84620987849199</v>
      </c>
      <c r="U815" s="7">
        <f t="shared" ca="1" si="129"/>
        <v>57.404833833525778</v>
      </c>
    </row>
    <row r="816" spans="2:21" x14ac:dyDescent="0.3">
      <c r="B816" s="13">
        <f t="shared" ca="1" si="120"/>
        <v>0.27719095732489429</v>
      </c>
      <c r="C816" s="14">
        <f t="shared" ca="1" si="120"/>
        <v>0.21620600664111289</v>
      </c>
      <c r="D816" s="14">
        <f t="shared" ca="1" si="121"/>
        <v>-0.59120672901064286</v>
      </c>
      <c r="E816" s="14">
        <f t="shared" ca="1" si="122"/>
        <v>-0.78507087778488882</v>
      </c>
      <c r="F816" s="14">
        <f t="shared" ca="1" si="123"/>
        <v>-0.87429051808768865</v>
      </c>
      <c r="G816" s="14">
        <f t="shared" ca="1" si="124"/>
        <v>0.27719095732489429</v>
      </c>
      <c r="H816" s="15">
        <f t="shared" ca="1" si="125"/>
        <v>0.21620600664111306</v>
      </c>
      <c r="I816" s="14">
        <f ca="1">IF(G816&lt;0.05,1,0)*$B$1*$B$2</f>
        <v>0</v>
      </c>
      <c r="J816" s="14">
        <f ca="1">IF(H816&lt;0.05,1,0)*$B$1*$B$2</f>
        <v>0</v>
      </c>
      <c r="K816" s="15">
        <f t="shared" ca="1" si="126"/>
        <v>0</v>
      </c>
      <c r="P816" s="3">
        <v>812</v>
      </c>
      <c r="Q816" s="4">
        <f t="shared" ca="1" si="127"/>
        <v>0.27719095732489429</v>
      </c>
      <c r="R816" s="4">
        <f t="shared" ca="1" si="128"/>
        <v>0.21620600664111306</v>
      </c>
      <c r="S816" s="4">
        <f ca="1">$B$1*Q816*$B$2</f>
        <v>11.087638292995772</v>
      </c>
      <c r="T816" s="4">
        <f ca="1">$B$1*R816*$B$2</f>
        <v>8.6482402656445228</v>
      </c>
      <c r="U816" s="7">
        <f t="shared" ca="1" si="129"/>
        <v>19.735878558640295</v>
      </c>
    </row>
    <row r="817" spans="2:21" x14ac:dyDescent="0.3">
      <c r="B817" s="13">
        <f t="shared" ca="1" si="120"/>
        <v>0.88302186890822598</v>
      </c>
      <c r="C817" s="14">
        <f t="shared" ca="1" si="120"/>
        <v>0.2362072183615983</v>
      </c>
      <c r="D817" s="14">
        <f t="shared" ca="1" si="121"/>
        <v>1.1902293454466861</v>
      </c>
      <c r="E817" s="14">
        <f t="shared" ca="1" si="122"/>
        <v>-0.71855615462673472</v>
      </c>
      <c r="F817" s="14">
        <f t="shared" ca="1" si="123"/>
        <v>0.75799504457430533</v>
      </c>
      <c r="G817" s="14">
        <f t="shared" ca="1" si="124"/>
        <v>0.88302186890822609</v>
      </c>
      <c r="H817" s="15">
        <f t="shared" ca="1" si="125"/>
        <v>0.23620721836159819</v>
      </c>
      <c r="I817" s="14">
        <f ca="1">IF(G817&lt;0.05,1,0)*$B$1*$B$2</f>
        <v>0</v>
      </c>
      <c r="J817" s="14">
        <f ca="1">IF(H817&lt;0.05,1,0)*$B$1*$B$2</f>
        <v>0</v>
      </c>
      <c r="K817" s="15">
        <f t="shared" ca="1" si="126"/>
        <v>0</v>
      </c>
      <c r="P817" s="3">
        <v>813</v>
      </c>
      <c r="Q817" s="4">
        <f t="shared" ca="1" si="127"/>
        <v>0.88302186890822609</v>
      </c>
      <c r="R817" s="4">
        <f t="shared" ca="1" si="128"/>
        <v>0.23620721836159819</v>
      </c>
      <c r="S817" s="4">
        <f ca="1">$B$1*Q817*$B$2</f>
        <v>35.320874756329047</v>
      </c>
      <c r="T817" s="4">
        <f ca="1">$B$1*R817*$B$2</f>
        <v>9.4482887344639277</v>
      </c>
      <c r="U817" s="7">
        <f t="shared" ca="1" si="129"/>
        <v>44.769163490792977</v>
      </c>
    </row>
    <row r="818" spans="2:21" x14ac:dyDescent="0.3">
      <c r="B818" s="13">
        <f t="shared" ca="1" si="120"/>
        <v>0.83467921453250371</v>
      </c>
      <c r="C818" s="14">
        <f t="shared" ca="1" si="120"/>
        <v>0.86367561079846211</v>
      </c>
      <c r="D818" s="14">
        <f t="shared" ca="1" si="121"/>
        <v>0.9728224137199577</v>
      </c>
      <c r="E818" s="14">
        <f t="shared" ca="1" si="122"/>
        <v>1.0969831033751989</v>
      </c>
      <c r="F818" s="14">
        <f t="shared" ca="1" si="123"/>
        <v>1.3537040213863742</v>
      </c>
      <c r="G818" s="14">
        <f t="shared" ca="1" si="124"/>
        <v>0.83467921453250338</v>
      </c>
      <c r="H818" s="15">
        <f t="shared" ca="1" si="125"/>
        <v>0.86367561079846222</v>
      </c>
      <c r="I818" s="14">
        <f ca="1">IF(G818&lt;0.05,1,0)*$B$1*$B$2</f>
        <v>0</v>
      </c>
      <c r="J818" s="14">
        <f ca="1">IF(H818&lt;0.05,1,0)*$B$1*$B$2</f>
        <v>0</v>
      </c>
      <c r="K818" s="15">
        <f t="shared" ca="1" si="126"/>
        <v>0</v>
      </c>
      <c r="P818" s="3">
        <v>814</v>
      </c>
      <c r="Q818" s="4">
        <f t="shared" ca="1" si="127"/>
        <v>0.83467921453250338</v>
      </c>
      <c r="R818" s="4">
        <f t="shared" ca="1" si="128"/>
        <v>0.86367561079846222</v>
      </c>
      <c r="S818" s="4">
        <f ca="1">$B$1*Q818*$B$2</f>
        <v>33.387168581300138</v>
      </c>
      <c r="T818" s="4">
        <f ca="1">$B$1*R818*$B$2</f>
        <v>34.547024431938489</v>
      </c>
      <c r="U818" s="7">
        <f t="shared" ca="1" si="129"/>
        <v>67.934193013238627</v>
      </c>
    </row>
    <row r="819" spans="2:21" x14ac:dyDescent="0.3">
      <c r="B819" s="13">
        <f t="shared" ca="1" si="120"/>
        <v>0.59513778152028107</v>
      </c>
      <c r="C819" s="14">
        <f t="shared" ca="1" si="120"/>
        <v>0.20639349417952046</v>
      </c>
      <c r="D819" s="14">
        <f t="shared" ca="1" si="121"/>
        <v>0.24078154096280349</v>
      </c>
      <c r="E819" s="14">
        <f t="shared" ca="1" si="122"/>
        <v>-0.81899899258338971</v>
      </c>
      <c r="F819" s="14">
        <f t="shared" ca="1" si="123"/>
        <v>-0.14028999748673812</v>
      </c>
      <c r="G819" s="14">
        <f t="shared" ca="1" si="124"/>
        <v>0.59513778152028107</v>
      </c>
      <c r="H819" s="15">
        <f t="shared" ca="1" si="125"/>
        <v>0.20639349417952027</v>
      </c>
      <c r="I819" s="14">
        <f ca="1">IF(G819&lt;0.05,1,0)*$B$1*$B$2</f>
        <v>0</v>
      </c>
      <c r="J819" s="14">
        <f ca="1">IF(H819&lt;0.05,1,0)*$B$1*$B$2</f>
        <v>0</v>
      </c>
      <c r="K819" s="15">
        <f t="shared" ca="1" si="126"/>
        <v>0</v>
      </c>
      <c r="P819" s="3">
        <v>815</v>
      </c>
      <c r="Q819" s="4">
        <f t="shared" ca="1" si="127"/>
        <v>0.59513778152028107</v>
      </c>
      <c r="R819" s="4">
        <f t="shared" ca="1" si="128"/>
        <v>0.20639349417952027</v>
      </c>
      <c r="S819" s="4">
        <f ca="1">$B$1*Q819*$B$2</f>
        <v>23.805511260811244</v>
      </c>
      <c r="T819" s="4">
        <f ca="1">$B$1*R819*$B$2</f>
        <v>8.2557397671808115</v>
      </c>
      <c r="U819" s="7">
        <f t="shared" ca="1" si="129"/>
        <v>32.061251027992057</v>
      </c>
    </row>
    <row r="820" spans="2:21" x14ac:dyDescent="0.3">
      <c r="B820" s="13">
        <f t="shared" ca="1" si="120"/>
        <v>9.3282083884793532E-2</v>
      </c>
      <c r="C820" s="14">
        <f t="shared" ca="1" si="120"/>
        <v>0.17947400955872495</v>
      </c>
      <c r="D820" s="14">
        <f t="shared" ca="1" si="121"/>
        <v>-1.32081166937287</v>
      </c>
      <c r="E820" s="14">
        <f t="shared" ca="1" si="122"/>
        <v>-0.91737146709617556</v>
      </c>
      <c r="F820" s="14">
        <f t="shared" ca="1" si="123"/>
        <v>-1.5886034543115706</v>
      </c>
      <c r="G820" s="14">
        <f t="shared" ca="1" si="124"/>
        <v>9.3282083884793546E-2</v>
      </c>
      <c r="H820" s="15">
        <f t="shared" ca="1" si="125"/>
        <v>0.17947400955872503</v>
      </c>
      <c r="I820" s="14">
        <f ca="1">IF(G820&lt;0.05,1,0)*$B$1*$B$2</f>
        <v>0</v>
      </c>
      <c r="J820" s="14">
        <f ca="1">IF(H820&lt;0.05,1,0)*$B$1*$B$2</f>
        <v>0</v>
      </c>
      <c r="K820" s="15">
        <f t="shared" ca="1" si="126"/>
        <v>0</v>
      </c>
      <c r="P820" s="3">
        <v>816</v>
      </c>
      <c r="Q820" s="4">
        <f t="shared" ca="1" si="127"/>
        <v>9.3282083884793546E-2</v>
      </c>
      <c r="R820" s="4">
        <f t="shared" ca="1" si="128"/>
        <v>0.17947400955872503</v>
      </c>
      <c r="S820" s="4">
        <f ca="1">$B$1*Q820*$B$2</f>
        <v>3.7312833553917422</v>
      </c>
      <c r="T820" s="4">
        <f ca="1">$B$1*R820*$B$2</f>
        <v>7.1789603823490014</v>
      </c>
      <c r="U820" s="7">
        <f t="shared" ca="1" si="129"/>
        <v>10.910243737740743</v>
      </c>
    </row>
    <row r="821" spans="2:21" x14ac:dyDescent="0.3">
      <c r="B821" s="13">
        <f t="shared" ca="1" si="120"/>
        <v>0.36001346209211715</v>
      </c>
      <c r="C821" s="14">
        <f t="shared" ca="1" si="120"/>
        <v>0.94139715245223954</v>
      </c>
      <c r="D821" s="14">
        <f t="shared" ca="1" si="121"/>
        <v>-0.35842280990658348</v>
      </c>
      <c r="E821" s="14">
        <f t="shared" ca="1" si="122"/>
        <v>1.5666107862534551</v>
      </c>
      <c r="F821" s="14">
        <f t="shared" ca="1" si="123"/>
        <v>0.3602892811980356</v>
      </c>
      <c r="G821" s="14">
        <f t="shared" ca="1" si="124"/>
        <v>0.3600134620921171</v>
      </c>
      <c r="H821" s="15">
        <f t="shared" ca="1" si="125"/>
        <v>0.94139715245223954</v>
      </c>
      <c r="I821" s="14">
        <f ca="1">IF(G821&lt;0.05,1,0)*$B$1*$B$2</f>
        <v>0</v>
      </c>
      <c r="J821" s="14">
        <f ca="1">IF(H821&lt;0.05,1,0)*$B$1*$B$2</f>
        <v>0</v>
      </c>
      <c r="K821" s="15">
        <f t="shared" ca="1" si="126"/>
        <v>0</v>
      </c>
      <c r="P821" s="3">
        <v>817</v>
      </c>
      <c r="Q821" s="4">
        <f t="shared" ca="1" si="127"/>
        <v>0.3600134620921171</v>
      </c>
      <c r="R821" s="4">
        <f t="shared" ca="1" si="128"/>
        <v>0.94139715245223954</v>
      </c>
      <c r="S821" s="4">
        <f ca="1">$B$1*Q821*$B$2</f>
        <v>14.400538483684684</v>
      </c>
      <c r="T821" s="4">
        <f ca="1">$B$1*R821*$B$2</f>
        <v>37.655886098089582</v>
      </c>
      <c r="U821" s="7">
        <f t="shared" ca="1" si="129"/>
        <v>52.056424581774266</v>
      </c>
    </row>
    <row r="822" spans="2:21" x14ac:dyDescent="0.3">
      <c r="B822" s="13">
        <f t="shared" ca="1" si="120"/>
        <v>0.3969284589195774</v>
      </c>
      <c r="C822" s="14">
        <f t="shared" ca="1" si="120"/>
        <v>0.22031327071052553</v>
      </c>
      <c r="D822" s="14">
        <f t="shared" ca="1" si="121"/>
        <v>-0.26130550992509277</v>
      </c>
      <c r="E822" s="14">
        <f t="shared" ca="1" si="122"/>
        <v>-0.77113563345686775</v>
      </c>
      <c r="F822" s="14">
        <f t="shared" ca="1" si="123"/>
        <v>-0.57130518873275427</v>
      </c>
      <c r="G822" s="14">
        <f t="shared" ca="1" si="124"/>
        <v>0.3969284589195774</v>
      </c>
      <c r="H822" s="15">
        <f t="shared" ca="1" si="125"/>
        <v>0.22031327071052539</v>
      </c>
      <c r="I822" s="14">
        <f ca="1">IF(G822&lt;0.05,1,0)*$B$1*$B$2</f>
        <v>0</v>
      </c>
      <c r="J822" s="14">
        <f ca="1">IF(H822&lt;0.05,1,0)*$B$1*$B$2</f>
        <v>0</v>
      </c>
      <c r="K822" s="15">
        <f t="shared" ca="1" si="126"/>
        <v>0</v>
      </c>
      <c r="P822" s="3">
        <v>818</v>
      </c>
      <c r="Q822" s="4">
        <f t="shared" ca="1" si="127"/>
        <v>0.3969284589195774</v>
      </c>
      <c r="R822" s="4">
        <f t="shared" ca="1" si="128"/>
        <v>0.22031327071052539</v>
      </c>
      <c r="S822" s="4">
        <f ca="1">$B$1*Q822*$B$2</f>
        <v>15.877138356783096</v>
      </c>
      <c r="T822" s="4">
        <f ca="1">$B$1*R822*$B$2</f>
        <v>8.812530828421016</v>
      </c>
      <c r="U822" s="7">
        <f t="shared" ca="1" si="129"/>
        <v>24.68966918520411</v>
      </c>
    </row>
    <row r="823" spans="2:21" x14ac:dyDescent="0.3">
      <c r="B823" s="13">
        <f t="shared" ca="1" si="120"/>
        <v>0.25462035048718368</v>
      </c>
      <c r="C823" s="14">
        <f t="shared" ca="1" si="120"/>
        <v>0.29243521547316753</v>
      </c>
      <c r="D823" s="14">
        <f t="shared" ca="1" si="121"/>
        <v>-0.66002045798993714</v>
      </c>
      <c r="E823" s="14">
        <f t="shared" ca="1" si="122"/>
        <v>-0.54628443917358926</v>
      </c>
      <c r="F823" s="14">
        <f t="shared" ca="1" si="123"/>
        <v>-0.83213827866959011</v>
      </c>
      <c r="G823" s="14">
        <f t="shared" ca="1" si="124"/>
        <v>0.25462035048718362</v>
      </c>
      <c r="H823" s="15">
        <f t="shared" ca="1" si="125"/>
        <v>0.29243521547316753</v>
      </c>
      <c r="I823" s="14">
        <f ca="1">IF(G823&lt;0.05,1,0)*$B$1*$B$2</f>
        <v>0</v>
      </c>
      <c r="J823" s="14">
        <f ca="1">IF(H823&lt;0.05,1,0)*$B$1*$B$2</f>
        <v>0</v>
      </c>
      <c r="K823" s="15">
        <f t="shared" ca="1" si="126"/>
        <v>0</v>
      </c>
      <c r="P823" s="3">
        <v>819</v>
      </c>
      <c r="Q823" s="4">
        <f t="shared" ca="1" si="127"/>
        <v>0.25462035048718362</v>
      </c>
      <c r="R823" s="4">
        <f t="shared" ca="1" si="128"/>
        <v>0.29243521547316753</v>
      </c>
      <c r="S823" s="4">
        <f ca="1">$B$1*Q823*$B$2</f>
        <v>10.184814019487346</v>
      </c>
      <c r="T823" s="4">
        <f ca="1">$B$1*R823*$B$2</f>
        <v>11.697408618926701</v>
      </c>
      <c r="U823" s="7">
        <f t="shared" ca="1" si="129"/>
        <v>21.882222638414049</v>
      </c>
    </row>
    <row r="824" spans="2:21" x14ac:dyDescent="0.3">
      <c r="B824" s="13">
        <f t="shared" ca="1" si="120"/>
        <v>0.76146252698945882</v>
      </c>
      <c r="C824" s="14">
        <f t="shared" ca="1" si="120"/>
        <v>0.20744347823393283</v>
      </c>
      <c r="D824" s="14">
        <f t="shared" ca="1" si="121"/>
        <v>0.71101499133550716</v>
      </c>
      <c r="E824" s="14">
        <f t="shared" ca="1" si="122"/>
        <v>-0.81532385674449837</v>
      </c>
      <c r="F824" s="14">
        <f t="shared" ca="1" si="123"/>
        <v>0.28452206242124639</v>
      </c>
      <c r="G824" s="14">
        <f t="shared" ca="1" si="124"/>
        <v>0.76146252698945882</v>
      </c>
      <c r="H824" s="15">
        <f t="shared" ca="1" si="125"/>
        <v>0.20744347823393278</v>
      </c>
      <c r="I824" s="14">
        <f ca="1">IF(G824&lt;0.05,1,0)*$B$1*$B$2</f>
        <v>0</v>
      </c>
      <c r="J824" s="14">
        <f ca="1">IF(H824&lt;0.05,1,0)*$B$1*$B$2</f>
        <v>0</v>
      </c>
      <c r="K824" s="15">
        <f t="shared" ca="1" si="126"/>
        <v>0</v>
      </c>
      <c r="P824" s="3">
        <v>820</v>
      </c>
      <c r="Q824" s="4">
        <f t="shared" ca="1" si="127"/>
        <v>0.76146252698945882</v>
      </c>
      <c r="R824" s="4">
        <f t="shared" ca="1" si="128"/>
        <v>0.20744347823393278</v>
      </c>
      <c r="S824" s="4">
        <f ca="1">$B$1*Q824*$B$2</f>
        <v>30.458501079578355</v>
      </c>
      <c r="T824" s="4">
        <f ca="1">$B$1*R824*$B$2</f>
        <v>8.2977391293573106</v>
      </c>
      <c r="U824" s="7">
        <f t="shared" ca="1" si="129"/>
        <v>38.756240208935665</v>
      </c>
    </row>
    <row r="825" spans="2:21" x14ac:dyDescent="0.3">
      <c r="B825" s="13">
        <f t="shared" ca="1" si="120"/>
        <v>0.12201900027940615</v>
      </c>
      <c r="C825" s="14">
        <f t="shared" ca="1" si="120"/>
        <v>6.6413125608291157E-2</v>
      </c>
      <c r="D825" s="14">
        <f t="shared" ca="1" si="121"/>
        <v>-1.1649530434953532</v>
      </c>
      <c r="E825" s="14">
        <f t="shared" ca="1" si="122"/>
        <v>-1.5030496110614067</v>
      </c>
      <c r="F825" s="14">
        <f t="shared" ca="1" si="123"/>
        <v>-1.7036218753202963</v>
      </c>
      <c r="G825" s="14">
        <f t="shared" ca="1" si="124"/>
        <v>0.12201900027940614</v>
      </c>
      <c r="H825" s="15">
        <f t="shared" ca="1" si="125"/>
        <v>6.6413125608291171E-2</v>
      </c>
      <c r="I825" s="14">
        <f ca="1">IF(G825&lt;0.05,1,0)*$B$1*$B$2</f>
        <v>0</v>
      </c>
      <c r="J825" s="14">
        <f ca="1">IF(H825&lt;0.05,1,0)*$B$1*$B$2</f>
        <v>0</v>
      </c>
      <c r="K825" s="15">
        <f t="shared" ca="1" si="126"/>
        <v>0</v>
      </c>
      <c r="P825" s="3">
        <v>821</v>
      </c>
      <c r="Q825" s="4">
        <f t="shared" ca="1" si="127"/>
        <v>0.12201900027940614</v>
      </c>
      <c r="R825" s="4">
        <f t="shared" ca="1" si="128"/>
        <v>6.6413125608291171E-2</v>
      </c>
      <c r="S825" s="4">
        <f ca="1">$B$1*Q825*$B$2</f>
        <v>4.8807600111762461</v>
      </c>
      <c r="T825" s="4">
        <f ca="1">$B$1*R825*$B$2</f>
        <v>2.6565250243316472</v>
      </c>
      <c r="U825" s="7">
        <f t="shared" ca="1" si="129"/>
        <v>7.5372850355078933</v>
      </c>
    </row>
    <row r="826" spans="2:21" x14ac:dyDescent="0.3">
      <c r="B826" s="13">
        <f t="shared" ca="1" si="120"/>
        <v>0.54358575501863338</v>
      </c>
      <c r="C826" s="14">
        <f t="shared" ca="1" si="120"/>
        <v>0.44273417462498788</v>
      </c>
      <c r="D826" s="14">
        <f t="shared" ca="1" si="121"/>
        <v>0.1094715449274624</v>
      </c>
      <c r="E826" s="14">
        <f t="shared" ca="1" si="122"/>
        <v>-0.14404067660872991</v>
      </c>
      <c r="F826" s="14">
        <f t="shared" ca="1" si="123"/>
        <v>3.5738515125048526E-2</v>
      </c>
      <c r="G826" s="14">
        <f t="shared" ca="1" si="124"/>
        <v>0.54358575501863338</v>
      </c>
      <c r="H826" s="15">
        <f t="shared" ca="1" si="125"/>
        <v>0.44273417462498788</v>
      </c>
      <c r="I826" s="14">
        <f ca="1">IF(G826&lt;0.05,1,0)*$B$1*$B$2</f>
        <v>0</v>
      </c>
      <c r="J826" s="14">
        <f ca="1">IF(H826&lt;0.05,1,0)*$B$1*$B$2</f>
        <v>0</v>
      </c>
      <c r="K826" s="15">
        <f t="shared" ca="1" si="126"/>
        <v>0</v>
      </c>
      <c r="P826" s="3">
        <v>822</v>
      </c>
      <c r="Q826" s="4">
        <f t="shared" ca="1" si="127"/>
        <v>0.54358575501863338</v>
      </c>
      <c r="R826" s="4">
        <f t="shared" ca="1" si="128"/>
        <v>0.44273417462498788</v>
      </c>
      <c r="S826" s="4">
        <f ca="1">$B$1*Q826*$B$2</f>
        <v>21.743430200745337</v>
      </c>
      <c r="T826" s="4">
        <f ca="1">$B$1*R826*$B$2</f>
        <v>17.709366984999516</v>
      </c>
      <c r="U826" s="7">
        <f t="shared" ca="1" si="129"/>
        <v>39.452797185744856</v>
      </c>
    </row>
    <row r="827" spans="2:21" x14ac:dyDescent="0.3">
      <c r="B827" s="13">
        <f t="shared" ca="1" si="120"/>
        <v>0.18261729937735749</v>
      </c>
      <c r="C827" s="14">
        <f t="shared" ca="1" si="120"/>
        <v>7.9976309479676821E-2</v>
      </c>
      <c r="D827" s="14">
        <f t="shared" ca="1" si="121"/>
        <v>-0.90543572115064119</v>
      </c>
      <c r="E827" s="14">
        <f t="shared" ca="1" si="122"/>
        <v>-1.4052309319006773</v>
      </c>
      <c r="F827" s="14">
        <f t="shared" ca="1" si="123"/>
        <v>-1.4274181114848308</v>
      </c>
      <c r="G827" s="14">
        <f t="shared" ca="1" si="124"/>
        <v>0.18261729937735791</v>
      </c>
      <c r="H827" s="15">
        <f t="shared" ca="1" si="125"/>
        <v>7.9976309479676572E-2</v>
      </c>
      <c r="I827" s="14">
        <f ca="1">IF(G827&lt;0.05,1,0)*$B$1*$B$2</f>
        <v>0</v>
      </c>
      <c r="J827" s="14">
        <f ca="1">IF(H827&lt;0.05,1,0)*$B$1*$B$2</f>
        <v>0</v>
      </c>
      <c r="K827" s="15">
        <f t="shared" ca="1" si="126"/>
        <v>0</v>
      </c>
      <c r="P827" s="3">
        <v>823</v>
      </c>
      <c r="Q827" s="4">
        <f t="shared" ca="1" si="127"/>
        <v>0.18261729937735791</v>
      </c>
      <c r="R827" s="4">
        <f t="shared" ca="1" si="128"/>
        <v>7.9976309479676572E-2</v>
      </c>
      <c r="S827" s="4">
        <f ca="1">$B$1*Q827*$B$2</f>
        <v>7.3046919750943164</v>
      </c>
      <c r="T827" s="4">
        <f ca="1">$B$1*R827*$B$2</f>
        <v>3.1990523791870631</v>
      </c>
      <c r="U827" s="7">
        <f t="shared" ca="1" si="129"/>
        <v>10.50374435428138</v>
      </c>
    </row>
    <row r="828" spans="2:21" x14ac:dyDescent="0.3">
      <c r="B828" s="13">
        <f t="shared" ca="1" si="120"/>
        <v>0.22375624198423294</v>
      </c>
      <c r="C828" s="14">
        <f t="shared" ca="1" si="120"/>
        <v>0.83060292530566371</v>
      </c>
      <c r="D828" s="14">
        <f t="shared" ca="1" si="121"/>
        <v>-0.75956861720526236</v>
      </c>
      <c r="E828" s="14">
        <f t="shared" ca="1" si="122"/>
        <v>0.95655056759788504</v>
      </c>
      <c r="F828" s="14">
        <f t="shared" ca="1" si="123"/>
        <v>-0.26666102963017096</v>
      </c>
      <c r="G828" s="14">
        <f t="shared" ca="1" si="124"/>
        <v>0.22375624198423294</v>
      </c>
      <c r="H828" s="15">
        <f t="shared" ca="1" si="125"/>
        <v>0.83060292530566371</v>
      </c>
      <c r="I828" s="14">
        <f ca="1">IF(G828&lt;0.05,1,0)*$B$1*$B$2</f>
        <v>0</v>
      </c>
      <c r="J828" s="14">
        <f ca="1">IF(H828&lt;0.05,1,0)*$B$1*$B$2</f>
        <v>0</v>
      </c>
      <c r="K828" s="15">
        <f t="shared" ca="1" si="126"/>
        <v>0</v>
      </c>
      <c r="P828" s="3">
        <v>824</v>
      </c>
      <c r="Q828" s="4">
        <f t="shared" ca="1" si="127"/>
        <v>0.22375624198423294</v>
      </c>
      <c r="R828" s="4">
        <f t="shared" ca="1" si="128"/>
        <v>0.83060292530566371</v>
      </c>
      <c r="S828" s="4">
        <f ca="1">$B$1*Q828*$B$2</f>
        <v>8.9502496793693194</v>
      </c>
      <c r="T828" s="4">
        <f ca="1">$B$1*R828*$B$2</f>
        <v>33.22411701222655</v>
      </c>
      <c r="U828" s="7">
        <f t="shared" ca="1" si="129"/>
        <v>42.174366691595871</v>
      </c>
    </row>
    <row r="829" spans="2:21" x14ac:dyDescent="0.3">
      <c r="B829" s="13">
        <f t="shared" ca="1" si="120"/>
        <v>0.12918572051005428</v>
      </c>
      <c r="C829" s="14">
        <f t="shared" ca="1" si="120"/>
        <v>0.34192180048178678</v>
      </c>
      <c r="D829" s="14">
        <f t="shared" ca="1" si="121"/>
        <v>-1.1302487075762495</v>
      </c>
      <c r="E829" s="14">
        <f t="shared" ca="1" si="122"/>
        <v>-0.40722382986219485</v>
      </c>
      <c r="F829" s="14">
        <f t="shared" ca="1" si="123"/>
        <v>-1.1947285889957153</v>
      </c>
      <c r="G829" s="14">
        <f t="shared" ca="1" si="124"/>
        <v>0.12918572051005411</v>
      </c>
      <c r="H829" s="15">
        <f t="shared" ca="1" si="125"/>
        <v>0.34192180048178678</v>
      </c>
      <c r="I829" s="14">
        <f ca="1">IF(G829&lt;0.05,1,0)*$B$1*$B$2</f>
        <v>0</v>
      </c>
      <c r="J829" s="14">
        <f ca="1">IF(H829&lt;0.05,1,0)*$B$1*$B$2</f>
        <v>0</v>
      </c>
      <c r="K829" s="15">
        <f t="shared" ca="1" si="126"/>
        <v>0</v>
      </c>
      <c r="P829" s="3">
        <v>825</v>
      </c>
      <c r="Q829" s="4">
        <f t="shared" ca="1" si="127"/>
        <v>0.12918572051005411</v>
      </c>
      <c r="R829" s="4">
        <f t="shared" ca="1" si="128"/>
        <v>0.34192180048178678</v>
      </c>
      <c r="S829" s="4">
        <f ca="1">$B$1*Q829*$B$2</f>
        <v>5.167428820402165</v>
      </c>
      <c r="T829" s="4">
        <f ca="1">$B$1*R829*$B$2</f>
        <v>13.676872019271471</v>
      </c>
      <c r="U829" s="7">
        <f t="shared" ca="1" si="129"/>
        <v>18.844300839673636</v>
      </c>
    </row>
    <row r="830" spans="2:21" x14ac:dyDescent="0.3">
      <c r="B830" s="13">
        <f t="shared" ca="1" si="120"/>
        <v>0.97623511304751343</v>
      </c>
      <c r="C830" s="14">
        <f t="shared" ca="1" si="120"/>
        <v>0.19287044220162963</v>
      </c>
      <c r="D830" s="14">
        <f t="shared" ca="1" si="121"/>
        <v>1.981548697531571</v>
      </c>
      <c r="E830" s="14">
        <f t="shared" ca="1" si="122"/>
        <v>-0.86736713259576137</v>
      </c>
      <c r="F830" s="14">
        <f t="shared" ca="1" si="123"/>
        <v>1.4053172599850574</v>
      </c>
      <c r="G830" s="14">
        <f t="shared" ca="1" si="124"/>
        <v>0.97623511304751343</v>
      </c>
      <c r="H830" s="15">
        <f t="shared" ca="1" si="125"/>
        <v>0.1928704422016298</v>
      </c>
      <c r="I830" s="14">
        <f ca="1">IF(G830&lt;0.05,1,0)*$B$1*$B$2</f>
        <v>0</v>
      </c>
      <c r="J830" s="14">
        <f ca="1">IF(H830&lt;0.05,1,0)*$B$1*$B$2</f>
        <v>0</v>
      </c>
      <c r="K830" s="15">
        <f t="shared" ca="1" si="126"/>
        <v>0</v>
      </c>
      <c r="P830" s="3">
        <v>826</v>
      </c>
      <c r="Q830" s="4">
        <f t="shared" ca="1" si="127"/>
        <v>0.97623511304751343</v>
      </c>
      <c r="R830" s="4">
        <f t="shared" ca="1" si="128"/>
        <v>0.1928704422016298</v>
      </c>
      <c r="S830" s="4">
        <f ca="1">$B$1*Q830*$B$2</f>
        <v>39.049404521900541</v>
      </c>
      <c r="T830" s="4">
        <f ca="1">$B$1*R830*$B$2</f>
        <v>7.7148176880651924</v>
      </c>
      <c r="U830" s="7">
        <f t="shared" ca="1" si="129"/>
        <v>46.764222209965737</v>
      </c>
    </row>
    <row r="831" spans="2:21" x14ac:dyDescent="0.3">
      <c r="B831" s="13">
        <f t="shared" ca="1" si="120"/>
        <v>0.49709410920193764</v>
      </c>
      <c r="C831" s="14">
        <f t="shared" ca="1" si="120"/>
        <v>0.71277538315441846</v>
      </c>
      <c r="D831" s="14">
        <f t="shared" ca="1" si="121"/>
        <v>-7.284052449072308E-3</v>
      </c>
      <c r="E831" s="14">
        <f t="shared" ca="1" si="122"/>
        <v>0.56151099992068898</v>
      </c>
      <c r="F831" s="14">
        <f t="shared" ca="1" si="123"/>
        <v>0.23820132322991072</v>
      </c>
      <c r="G831" s="14">
        <f t="shared" ca="1" si="124"/>
        <v>0.49709410920193764</v>
      </c>
      <c r="H831" s="15">
        <f t="shared" ca="1" si="125"/>
        <v>0.71277538315441857</v>
      </c>
      <c r="I831" s="14">
        <f ca="1">IF(G831&lt;0.05,1,0)*$B$1*$B$2</f>
        <v>0</v>
      </c>
      <c r="J831" s="14">
        <f ca="1">IF(H831&lt;0.05,1,0)*$B$1*$B$2</f>
        <v>0</v>
      </c>
      <c r="K831" s="15">
        <f t="shared" ca="1" si="126"/>
        <v>0</v>
      </c>
      <c r="P831" s="3">
        <v>827</v>
      </c>
      <c r="Q831" s="4">
        <f t="shared" ca="1" si="127"/>
        <v>0.49709410920193764</v>
      </c>
      <c r="R831" s="4">
        <f t="shared" ca="1" si="128"/>
        <v>0.71277538315441857</v>
      </c>
      <c r="S831" s="4">
        <f ca="1">$B$1*Q831*$B$2</f>
        <v>19.883764368077507</v>
      </c>
      <c r="T831" s="4">
        <f ca="1">$B$1*R831*$B$2</f>
        <v>28.511015326176746</v>
      </c>
      <c r="U831" s="7">
        <f t="shared" ca="1" si="129"/>
        <v>48.394779694254254</v>
      </c>
    </row>
    <row r="832" spans="2:21" x14ac:dyDescent="0.3">
      <c r="B832" s="13">
        <f t="shared" ca="1" si="120"/>
        <v>0.42799513153879387</v>
      </c>
      <c r="C832" s="14">
        <f t="shared" ca="1" si="120"/>
        <v>9.6233306125382834E-3</v>
      </c>
      <c r="D832" s="14">
        <f t="shared" ca="1" si="121"/>
        <v>-0.18148072256222555</v>
      </c>
      <c r="E832" s="14">
        <f t="shared" ca="1" si="122"/>
        <v>-2.3407187215287215</v>
      </c>
      <c r="F832" s="14">
        <f t="shared" ca="1" si="123"/>
        <v>-1.1836282865457448</v>
      </c>
      <c r="G832" s="14">
        <f t="shared" ca="1" si="124"/>
        <v>0.42799513153879387</v>
      </c>
      <c r="H832" s="15">
        <f t="shared" ca="1" si="125"/>
        <v>9.6233306125382903E-3</v>
      </c>
      <c r="I832" s="14">
        <f ca="1">IF(G832&lt;0.05,1,0)*$B$1*$B$2</f>
        <v>0</v>
      </c>
      <c r="J832" s="14">
        <f ca="1">IF(H832&lt;0.05,1,0)*$B$1*$B$2</f>
        <v>40</v>
      </c>
      <c r="K832" s="15">
        <f t="shared" ca="1" si="126"/>
        <v>40</v>
      </c>
      <c r="P832" s="3">
        <v>828</v>
      </c>
      <c r="Q832" s="4">
        <f t="shared" ca="1" si="127"/>
        <v>0.42799513153879387</v>
      </c>
      <c r="R832" s="4">
        <f t="shared" ca="1" si="128"/>
        <v>9.6233306125382903E-3</v>
      </c>
      <c r="S832" s="4">
        <f ca="1">$B$1*Q832*$B$2</f>
        <v>17.119805261551758</v>
      </c>
      <c r="T832" s="4">
        <f ca="1">$B$1*R832*$B$2</f>
        <v>0.38493322450153161</v>
      </c>
      <c r="U832" s="7">
        <f t="shared" ca="1" si="129"/>
        <v>17.504738486053288</v>
      </c>
    </row>
    <row r="833" spans="2:21" x14ac:dyDescent="0.3">
      <c r="B833" s="13">
        <f t="shared" ca="1" si="120"/>
        <v>0.21245010485674365</v>
      </c>
      <c r="C833" s="14">
        <f t="shared" ca="1" si="120"/>
        <v>0.40196804976182376</v>
      </c>
      <c r="D833" s="14">
        <f t="shared" ca="1" si="121"/>
        <v>-0.79794878770033661</v>
      </c>
      <c r="E833" s="14">
        <f t="shared" ca="1" si="122"/>
        <v>-0.2482563113424073</v>
      </c>
      <c r="F833" s="14">
        <f t="shared" ca="1" si="123"/>
        <v>-0.82636632625407525</v>
      </c>
      <c r="G833" s="14">
        <f t="shared" ca="1" si="124"/>
        <v>0.21245010485674362</v>
      </c>
      <c r="H833" s="15">
        <f t="shared" ca="1" si="125"/>
        <v>0.40196804976182376</v>
      </c>
      <c r="I833" s="14">
        <f ca="1">IF(G833&lt;0.05,1,0)*$B$1*$B$2</f>
        <v>0</v>
      </c>
      <c r="J833" s="14">
        <f ca="1">IF(H833&lt;0.05,1,0)*$B$1*$B$2</f>
        <v>0</v>
      </c>
      <c r="K833" s="15">
        <f t="shared" ca="1" si="126"/>
        <v>0</v>
      </c>
      <c r="P833" s="3">
        <v>829</v>
      </c>
      <c r="Q833" s="4">
        <f t="shared" ca="1" si="127"/>
        <v>0.21245010485674362</v>
      </c>
      <c r="R833" s="4">
        <f t="shared" ca="1" si="128"/>
        <v>0.40196804976182376</v>
      </c>
      <c r="S833" s="4">
        <f ca="1">$B$1*Q833*$B$2</f>
        <v>8.4980041942697451</v>
      </c>
      <c r="T833" s="4">
        <f ca="1">$B$1*R833*$B$2</f>
        <v>16.078721990472953</v>
      </c>
      <c r="U833" s="7">
        <f t="shared" ca="1" si="129"/>
        <v>24.576726184742697</v>
      </c>
    </row>
    <row r="834" spans="2:21" x14ac:dyDescent="0.3">
      <c r="B834" s="13">
        <f t="shared" ca="1" si="120"/>
        <v>0.90051535847267405</v>
      </c>
      <c r="C834" s="14">
        <f t="shared" ca="1" si="120"/>
        <v>0.63279639300366275</v>
      </c>
      <c r="D834" s="14">
        <f t="shared" ca="1" si="121"/>
        <v>1.2844936527136455</v>
      </c>
      <c r="E834" s="14">
        <f t="shared" ca="1" si="122"/>
        <v>0.3392688402052646</v>
      </c>
      <c r="F834" s="14">
        <f t="shared" ca="1" si="123"/>
        <v>1.3039281463569807</v>
      </c>
      <c r="G834" s="14">
        <f t="shared" ca="1" si="124"/>
        <v>0.90051535847267417</v>
      </c>
      <c r="H834" s="15">
        <f t="shared" ca="1" si="125"/>
        <v>0.63279639300366275</v>
      </c>
      <c r="I834" s="14">
        <f ca="1">IF(G834&lt;0.05,1,0)*$B$1*$B$2</f>
        <v>0</v>
      </c>
      <c r="J834" s="14">
        <f ca="1">IF(H834&lt;0.05,1,0)*$B$1*$B$2</f>
        <v>0</v>
      </c>
      <c r="K834" s="15">
        <f t="shared" ca="1" si="126"/>
        <v>0</v>
      </c>
      <c r="P834" s="3">
        <v>830</v>
      </c>
      <c r="Q834" s="4">
        <f t="shared" ca="1" si="127"/>
        <v>0.90051535847267417</v>
      </c>
      <c r="R834" s="4">
        <f t="shared" ca="1" si="128"/>
        <v>0.63279639300366275</v>
      </c>
      <c r="S834" s="4">
        <f ca="1">$B$1*Q834*$B$2</f>
        <v>36.020614338906967</v>
      </c>
      <c r="T834" s="4">
        <f ca="1">$B$1*R834*$B$2</f>
        <v>25.311855720146511</v>
      </c>
      <c r="U834" s="7">
        <f t="shared" ca="1" si="129"/>
        <v>61.332470059053477</v>
      </c>
    </row>
    <row r="835" spans="2:21" x14ac:dyDescent="0.3">
      <c r="B835" s="13">
        <f t="shared" ca="1" si="120"/>
        <v>0.20914080786657707</v>
      </c>
      <c r="C835" s="14">
        <f t="shared" ca="1" si="120"/>
        <v>0.83254707769024039</v>
      </c>
      <c r="D835" s="14">
        <f t="shared" ca="1" si="121"/>
        <v>-0.80940606327144304</v>
      </c>
      <c r="E835" s="14">
        <f t="shared" ca="1" si="122"/>
        <v>0.96427944253834075</v>
      </c>
      <c r="F835" s="14">
        <f t="shared" ca="1" si="123"/>
        <v>-0.30814579260846253</v>
      </c>
      <c r="G835" s="14">
        <f t="shared" ca="1" si="124"/>
        <v>0.20914080786657702</v>
      </c>
      <c r="H835" s="15">
        <f t="shared" ca="1" si="125"/>
        <v>0.83254707769024061</v>
      </c>
      <c r="I835" s="14">
        <f ca="1">IF(G835&lt;0.05,1,0)*$B$1*$B$2</f>
        <v>0</v>
      </c>
      <c r="J835" s="14">
        <f ca="1">IF(H835&lt;0.05,1,0)*$B$1*$B$2</f>
        <v>0</v>
      </c>
      <c r="K835" s="15">
        <f t="shared" ca="1" si="126"/>
        <v>0</v>
      </c>
      <c r="P835" s="3">
        <v>831</v>
      </c>
      <c r="Q835" s="4">
        <f t="shared" ca="1" si="127"/>
        <v>0.20914080786657702</v>
      </c>
      <c r="R835" s="4">
        <f t="shared" ca="1" si="128"/>
        <v>0.83254707769024061</v>
      </c>
      <c r="S835" s="4">
        <f ca="1">$B$1*Q835*$B$2</f>
        <v>8.3656323146630811</v>
      </c>
      <c r="T835" s="4">
        <f ca="1">$B$1*R835*$B$2</f>
        <v>33.301883107609626</v>
      </c>
      <c r="U835" s="7">
        <f t="shared" ca="1" si="129"/>
        <v>41.667515422272707</v>
      </c>
    </row>
    <row r="836" spans="2:21" x14ac:dyDescent="0.3">
      <c r="B836" s="13">
        <f t="shared" ca="1" si="120"/>
        <v>8.8848481558050474E-2</v>
      </c>
      <c r="C836" s="14">
        <f t="shared" ca="1" si="120"/>
        <v>0.70263202646945921</v>
      </c>
      <c r="D836" s="14">
        <f t="shared" ca="1" si="121"/>
        <v>-1.3478800578248029</v>
      </c>
      <c r="E836" s="14">
        <f t="shared" ca="1" si="122"/>
        <v>0.5319856316402154</v>
      </c>
      <c r="F836" s="14">
        <f t="shared" ca="1" si="123"/>
        <v>-0.98120489126878752</v>
      </c>
      <c r="G836" s="14">
        <f t="shared" ca="1" si="124"/>
        <v>8.8848481558050529E-2</v>
      </c>
      <c r="H836" s="15">
        <f t="shared" ca="1" si="125"/>
        <v>0.70263202646945921</v>
      </c>
      <c r="I836" s="14">
        <f ca="1">IF(G836&lt;0.05,1,0)*$B$1*$B$2</f>
        <v>0</v>
      </c>
      <c r="J836" s="14">
        <f ca="1">IF(H836&lt;0.05,1,0)*$B$1*$B$2</f>
        <v>0</v>
      </c>
      <c r="K836" s="15">
        <f t="shared" ca="1" si="126"/>
        <v>0</v>
      </c>
      <c r="P836" s="3">
        <v>832</v>
      </c>
      <c r="Q836" s="4">
        <f t="shared" ca="1" si="127"/>
        <v>8.8848481558050529E-2</v>
      </c>
      <c r="R836" s="4">
        <f t="shared" ca="1" si="128"/>
        <v>0.70263202646945921</v>
      </c>
      <c r="S836" s="4">
        <f ca="1">$B$1*Q836*$B$2</f>
        <v>3.5539392623220212</v>
      </c>
      <c r="T836" s="4">
        <f ca="1">$B$1*R836*$B$2</f>
        <v>28.105281058778374</v>
      </c>
      <c r="U836" s="7">
        <f t="shared" ca="1" si="129"/>
        <v>31.659220321100396</v>
      </c>
    </row>
    <row r="837" spans="2:21" x14ac:dyDescent="0.3">
      <c r="B837" s="13">
        <f t="shared" ca="1" si="120"/>
        <v>0.16299644444944028</v>
      </c>
      <c r="C837" s="14">
        <f t="shared" ca="1" si="120"/>
        <v>0.72362769871180921</v>
      </c>
      <c r="D837" s="14">
        <f t="shared" ca="1" si="121"/>
        <v>-0.98221713265477661</v>
      </c>
      <c r="E837" s="14">
        <f t="shared" ca="1" si="122"/>
        <v>0.59365243501805598</v>
      </c>
      <c r="F837" s="14">
        <f t="shared" ca="1" si="123"/>
        <v>-0.6252283222062438</v>
      </c>
      <c r="G837" s="14">
        <f t="shared" ca="1" si="124"/>
        <v>0.16299644444944023</v>
      </c>
      <c r="H837" s="15">
        <f t="shared" ca="1" si="125"/>
        <v>0.72362769871180921</v>
      </c>
      <c r="I837" s="14">
        <f ca="1">IF(G837&lt;0.05,1,0)*$B$1*$B$2</f>
        <v>0</v>
      </c>
      <c r="J837" s="14">
        <f ca="1">IF(H837&lt;0.05,1,0)*$B$1*$B$2</f>
        <v>0</v>
      </c>
      <c r="K837" s="15">
        <f t="shared" ca="1" si="126"/>
        <v>0</v>
      </c>
      <c r="P837" s="3">
        <v>833</v>
      </c>
      <c r="Q837" s="4">
        <f t="shared" ca="1" si="127"/>
        <v>0.16299644444944023</v>
      </c>
      <c r="R837" s="4">
        <f t="shared" ca="1" si="128"/>
        <v>0.72362769871180921</v>
      </c>
      <c r="S837" s="4">
        <f ca="1">$B$1*Q837*$B$2</f>
        <v>6.5198577779776095</v>
      </c>
      <c r="T837" s="4">
        <f ca="1">$B$1*R837*$B$2</f>
        <v>28.945107948472369</v>
      </c>
      <c r="U837" s="7">
        <f t="shared" ca="1" si="129"/>
        <v>35.464965726449975</v>
      </c>
    </row>
    <row r="838" spans="2:21" x14ac:dyDescent="0.3">
      <c r="B838" s="13">
        <f t="shared" ref="B838:C869" ca="1" si="130">RAND()</f>
        <v>0.87975632979769935</v>
      </c>
      <c r="C838" s="14">
        <f t="shared" ca="1" si="130"/>
        <v>3.3732486087737823E-2</v>
      </c>
      <c r="D838" s="14">
        <f t="shared" ref="D838:D901" ca="1" si="131">_xlfn.NORM.S.INV(B838)</f>
        <v>1.1737695582006922</v>
      </c>
      <c r="E838" s="14">
        <f t="shared" ref="E838:E901" ca="1" si="132">_xlfn.NORM.S.INV(C838)</f>
        <v>-1.8285638511490077</v>
      </c>
      <c r="F838" s="14">
        <f t="shared" ref="F838:F901" ca="1" si="133">($Y$5*D838)+(SQRT(1-$Y$5^2)*E838)</f>
        <v>0.25934009848361561</v>
      </c>
      <c r="G838" s="14">
        <f t="shared" ref="G838:G901" ca="1" si="134">_xlfn.NORM.S.DIST(D838,TRUE)</f>
        <v>0.87975632979769947</v>
      </c>
      <c r="H838" s="15">
        <f t="shared" ref="H838:H901" ca="1" si="135">_xlfn.NORM.S.DIST(E838,TRUE)</f>
        <v>3.3732486087737809E-2</v>
      </c>
      <c r="I838" s="14">
        <f ca="1">IF(G838&lt;0.05,1,0)*$B$1*$B$2</f>
        <v>0</v>
      </c>
      <c r="J838" s="14">
        <f ca="1">IF(H838&lt;0.05,1,0)*$B$1*$B$2</f>
        <v>40</v>
      </c>
      <c r="K838" s="15">
        <f t="shared" ref="K838:K901" ca="1" si="136">I838+J838</f>
        <v>40</v>
      </c>
      <c r="P838" s="3">
        <v>834</v>
      </c>
      <c r="Q838" s="4">
        <f t="shared" ref="Q838:Q901" ca="1" si="137">G838</f>
        <v>0.87975632979769947</v>
      </c>
      <c r="R838" s="4">
        <f t="shared" ref="R838:R901" ca="1" si="138">H838</f>
        <v>3.3732486087737809E-2</v>
      </c>
      <c r="S838" s="4">
        <f ca="1">$B$1*Q838*$B$2</f>
        <v>35.190253191907978</v>
      </c>
      <c r="T838" s="4">
        <f ca="1">$B$1*R838*$B$2</f>
        <v>1.3492994435095125</v>
      </c>
      <c r="U838" s="7">
        <f t="shared" ref="U838:U901" ca="1" si="139">S838+T838</f>
        <v>36.539552635417493</v>
      </c>
    </row>
    <row r="839" spans="2:21" x14ac:dyDescent="0.3">
      <c r="B839" s="13">
        <f t="shared" ca="1" si="130"/>
        <v>2.6363440957896223E-2</v>
      </c>
      <c r="C839" s="14">
        <f t="shared" ca="1" si="130"/>
        <v>0.11829191005687412</v>
      </c>
      <c r="D839" s="14">
        <f t="shared" ca="1" si="131"/>
        <v>-1.9371510494029009</v>
      </c>
      <c r="E839" s="14">
        <f t="shared" ca="1" si="132"/>
        <v>-1.1835687416667431</v>
      </c>
      <c r="F839" s="14">
        <f t="shared" ca="1" si="133"/>
        <v>-2.2593415982285041</v>
      </c>
      <c r="G839" s="14">
        <f t="shared" ca="1" si="134"/>
        <v>2.636344095789624E-2</v>
      </c>
      <c r="H839" s="15">
        <f t="shared" ca="1" si="135"/>
        <v>0.11829191005687399</v>
      </c>
      <c r="I839" s="14">
        <f ca="1">IF(G839&lt;0.05,1,0)*$B$1*$B$2</f>
        <v>40</v>
      </c>
      <c r="J839" s="14">
        <f ca="1">IF(H839&lt;0.05,1,0)*$B$1*$B$2</f>
        <v>0</v>
      </c>
      <c r="K839" s="15">
        <f t="shared" ca="1" si="136"/>
        <v>40</v>
      </c>
      <c r="P839" s="3">
        <v>835</v>
      </c>
      <c r="Q839" s="4">
        <f t="shared" ca="1" si="137"/>
        <v>2.636344095789624E-2</v>
      </c>
      <c r="R839" s="4">
        <f t="shared" ca="1" si="138"/>
        <v>0.11829191005687399</v>
      </c>
      <c r="S839" s="4">
        <f ca="1">$B$1*Q839*$B$2</f>
        <v>1.0545376383158496</v>
      </c>
      <c r="T839" s="4">
        <f ca="1">$B$1*R839*$B$2</f>
        <v>4.7316764022749593</v>
      </c>
      <c r="U839" s="7">
        <f t="shared" ca="1" si="139"/>
        <v>5.7862140405908091</v>
      </c>
    </row>
    <row r="840" spans="2:21" x14ac:dyDescent="0.3">
      <c r="B840" s="13">
        <f t="shared" ca="1" si="130"/>
        <v>0.524473563135754</v>
      </c>
      <c r="C840" s="14">
        <f t="shared" ca="1" si="130"/>
        <v>0.57225789632480095</v>
      </c>
      <c r="D840" s="14">
        <f t="shared" ca="1" si="131"/>
        <v>6.1384653895191842E-2</v>
      </c>
      <c r="E840" s="14">
        <f t="shared" ca="1" si="132"/>
        <v>0.18212553814292018</v>
      </c>
      <c r="F840" s="14">
        <f t="shared" ca="1" si="133"/>
        <v>0.1346328700859678</v>
      </c>
      <c r="G840" s="14">
        <f t="shared" ca="1" si="134"/>
        <v>0.524473563135754</v>
      </c>
      <c r="H840" s="15">
        <f t="shared" ca="1" si="135"/>
        <v>0.57225789632480106</v>
      </c>
      <c r="I840" s="14">
        <f ca="1">IF(G840&lt;0.05,1,0)*$B$1*$B$2</f>
        <v>0</v>
      </c>
      <c r="J840" s="14">
        <f ca="1">IF(H840&lt;0.05,1,0)*$B$1*$B$2</f>
        <v>0</v>
      </c>
      <c r="K840" s="15">
        <f t="shared" ca="1" si="136"/>
        <v>0</v>
      </c>
      <c r="P840" s="3">
        <v>836</v>
      </c>
      <c r="Q840" s="4">
        <f t="shared" ca="1" si="137"/>
        <v>0.524473563135754</v>
      </c>
      <c r="R840" s="4">
        <f t="shared" ca="1" si="138"/>
        <v>0.57225789632480106</v>
      </c>
      <c r="S840" s="4">
        <f ca="1">$B$1*Q840*$B$2</f>
        <v>20.97894252543016</v>
      </c>
      <c r="T840" s="4">
        <f ca="1">$B$1*R840*$B$2</f>
        <v>22.890315852992046</v>
      </c>
      <c r="U840" s="7">
        <f t="shared" ca="1" si="139"/>
        <v>43.869258378422202</v>
      </c>
    </row>
    <row r="841" spans="2:21" x14ac:dyDescent="0.3">
      <c r="B841" s="13">
        <f t="shared" ca="1" si="130"/>
        <v>0.42362601303241032</v>
      </c>
      <c r="C841" s="14">
        <f t="shared" ca="1" si="130"/>
        <v>0.4514692797742329</v>
      </c>
      <c r="D841" s="14">
        <f t="shared" ca="1" si="131"/>
        <v>-0.19262581503795403</v>
      </c>
      <c r="E841" s="14">
        <f t="shared" ca="1" si="132"/>
        <v>-0.12195007232623309</v>
      </c>
      <c r="F841" s="14">
        <f t="shared" ca="1" si="133"/>
        <v>-0.22652003767691126</v>
      </c>
      <c r="G841" s="14">
        <f t="shared" ca="1" si="134"/>
        <v>0.42362601303241032</v>
      </c>
      <c r="H841" s="15">
        <f t="shared" ca="1" si="135"/>
        <v>0.4514692797742329</v>
      </c>
      <c r="I841" s="14">
        <f ca="1">IF(G841&lt;0.05,1,0)*$B$1*$B$2</f>
        <v>0</v>
      </c>
      <c r="J841" s="14">
        <f ca="1">IF(H841&lt;0.05,1,0)*$B$1*$B$2</f>
        <v>0</v>
      </c>
      <c r="K841" s="15">
        <f t="shared" ca="1" si="136"/>
        <v>0</v>
      </c>
      <c r="P841" s="3">
        <v>837</v>
      </c>
      <c r="Q841" s="4">
        <f t="shared" ca="1" si="137"/>
        <v>0.42362601303241032</v>
      </c>
      <c r="R841" s="4">
        <f t="shared" ca="1" si="138"/>
        <v>0.4514692797742329</v>
      </c>
      <c r="S841" s="4">
        <f ca="1">$B$1*Q841*$B$2</f>
        <v>16.945040521296416</v>
      </c>
      <c r="T841" s="4">
        <f ca="1">$B$1*R841*$B$2</f>
        <v>18.058771190969317</v>
      </c>
      <c r="U841" s="7">
        <f t="shared" ca="1" si="139"/>
        <v>35.00381171226573</v>
      </c>
    </row>
    <row r="842" spans="2:21" x14ac:dyDescent="0.3">
      <c r="B842" s="13">
        <f t="shared" ca="1" si="130"/>
        <v>4.513636298248791E-2</v>
      </c>
      <c r="C842" s="14">
        <f t="shared" ca="1" si="130"/>
        <v>0.67269960565461095</v>
      </c>
      <c r="D842" s="14">
        <f t="shared" ca="1" si="131"/>
        <v>-1.6939608328114266</v>
      </c>
      <c r="E842" s="14">
        <f t="shared" ca="1" si="132"/>
        <v>0.44737989625116426</v>
      </c>
      <c r="F842" s="14">
        <f t="shared" ca="1" si="133"/>
        <v>-1.3295563738172305</v>
      </c>
      <c r="G842" s="14">
        <f t="shared" ca="1" si="134"/>
        <v>4.5136362982487931E-2</v>
      </c>
      <c r="H842" s="15">
        <f t="shared" ca="1" si="135"/>
        <v>0.67269960565461095</v>
      </c>
      <c r="I842" s="14">
        <f ca="1">IF(G842&lt;0.05,1,0)*$B$1*$B$2</f>
        <v>40</v>
      </c>
      <c r="J842" s="14">
        <f ca="1">IF(H842&lt;0.05,1,0)*$B$1*$B$2</f>
        <v>0</v>
      </c>
      <c r="K842" s="15">
        <f t="shared" ca="1" si="136"/>
        <v>40</v>
      </c>
      <c r="P842" s="3">
        <v>838</v>
      </c>
      <c r="Q842" s="4">
        <f t="shared" ca="1" si="137"/>
        <v>4.5136362982487931E-2</v>
      </c>
      <c r="R842" s="4">
        <f t="shared" ca="1" si="138"/>
        <v>0.67269960565461095</v>
      </c>
      <c r="S842" s="4">
        <f ca="1">$B$1*Q842*$B$2</f>
        <v>1.8054545192995173</v>
      </c>
      <c r="T842" s="4">
        <f ca="1">$B$1*R842*$B$2</f>
        <v>26.907984226184439</v>
      </c>
      <c r="U842" s="7">
        <f t="shared" ca="1" si="139"/>
        <v>28.713438745483955</v>
      </c>
    </row>
    <row r="843" spans="2:21" x14ac:dyDescent="0.3">
      <c r="B843" s="13">
        <f t="shared" ca="1" si="130"/>
        <v>0.7785391481472157</v>
      </c>
      <c r="C843" s="14">
        <f t="shared" ca="1" si="130"/>
        <v>0.67854374761164937</v>
      </c>
      <c r="D843" s="14">
        <f t="shared" ca="1" si="131"/>
        <v>0.76726881837312377</v>
      </c>
      <c r="E843" s="14">
        <f t="shared" ca="1" si="132"/>
        <v>0.46363049134071088</v>
      </c>
      <c r="F843" s="14">
        <f t="shared" ca="1" si="133"/>
        <v>0.89263378242563818</v>
      </c>
      <c r="G843" s="14">
        <f t="shared" ca="1" si="134"/>
        <v>0.7785391481472157</v>
      </c>
      <c r="H843" s="15">
        <f t="shared" ca="1" si="135"/>
        <v>0.67854374761164948</v>
      </c>
      <c r="I843" s="14">
        <f ca="1">IF(G843&lt;0.05,1,0)*$B$1*$B$2</f>
        <v>0</v>
      </c>
      <c r="J843" s="14">
        <f ca="1">IF(H843&lt;0.05,1,0)*$B$1*$B$2</f>
        <v>0</v>
      </c>
      <c r="K843" s="15">
        <f t="shared" ca="1" si="136"/>
        <v>0</v>
      </c>
      <c r="P843" s="3">
        <v>839</v>
      </c>
      <c r="Q843" s="4">
        <f t="shared" ca="1" si="137"/>
        <v>0.7785391481472157</v>
      </c>
      <c r="R843" s="4">
        <f t="shared" ca="1" si="138"/>
        <v>0.67854374761164948</v>
      </c>
      <c r="S843" s="4">
        <f ca="1">$B$1*Q843*$B$2</f>
        <v>31.141565925888631</v>
      </c>
      <c r="T843" s="4">
        <f ca="1">$B$1*R843*$B$2</f>
        <v>27.141749904465982</v>
      </c>
      <c r="U843" s="7">
        <f t="shared" ca="1" si="139"/>
        <v>58.28331583035461</v>
      </c>
    </row>
    <row r="844" spans="2:21" x14ac:dyDescent="0.3">
      <c r="B844" s="13">
        <f t="shared" ca="1" si="130"/>
        <v>0.44898309727712615</v>
      </c>
      <c r="C844" s="14">
        <f t="shared" ca="1" si="130"/>
        <v>0.41422982194789915</v>
      </c>
      <c r="D844" s="14">
        <f t="shared" ca="1" si="131"/>
        <v>-0.12823096659972688</v>
      </c>
      <c r="E844" s="14">
        <f t="shared" ca="1" si="132"/>
        <v>-0.21667755126053964</v>
      </c>
      <c r="F844" s="14">
        <f t="shared" ca="1" si="133"/>
        <v>-0.20985542486760883</v>
      </c>
      <c r="G844" s="14">
        <f t="shared" ca="1" si="134"/>
        <v>0.44898309727712615</v>
      </c>
      <c r="H844" s="15">
        <f t="shared" ca="1" si="135"/>
        <v>0.41422982194789915</v>
      </c>
      <c r="I844" s="14">
        <f ca="1">IF(G844&lt;0.05,1,0)*$B$1*$B$2</f>
        <v>0</v>
      </c>
      <c r="J844" s="14">
        <f ca="1">IF(H844&lt;0.05,1,0)*$B$1*$B$2</f>
        <v>0</v>
      </c>
      <c r="K844" s="15">
        <f t="shared" ca="1" si="136"/>
        <v>0</v>
      </c>
      <c r="P844" s="3">
        <v>840</v>
      </c>
      <c r="Q844" s="4">
        <f t="shared" ca="1" si="137"/>
        <v>0.44898309727712615</v>
      </c>
      <c r="R844" s="4">
        <f t="shared" ca="1" si="138"/>
        <v>0.41422982194789915</v>
      </c>
      <c r="S844" s="4">
        <f ca="1">$B$1*Q844*$B$2</f>
        <v>17.959323891085045</v>
      </c>
      <c r="T844" s="4">
        <f ca="1">$B$1*R844*$B$2</f>
        <v>16.569192877915967</v>
      </c>
      <c r="U844" s="7">
        <f t="shared" ca="1" si="139"/>
        <v>34.528516769001016</v>
      </c>
    </row>
    <row r="845" spans="2:21" x14ac:dyDescent="0.3">
      <c r="B845" s="13">
        <f t="shared" ca="1" si="130"/>
        <v>0.79687130172708842</v>
      </c>
      <c r="C845" s="14">
        <f t="shared" ca="1" si="130"/>
        <v>0.53810982986873879</v>
      </c>
      <c r="D845" s="14">
        <f t="shared" ca="1" si="131"/>
        <v>0.83049779050107908</v>
      </c>
      <c r="E845" s="14">
        <f t="shared" ca="1" si="132"/>
        <v>9.5672930908769244E-2</v>
      </c>
      <c r="F845" s="14">
        <f t="shared" ca="1" si="133"/>
        <v>0.78915087519733862</v>
      </c>
      <c r="G845" s="14">
        <f t="shared" ca="1" si="134"/>
        <v>0.79687130172708842</v>
      </c>
      <c r="H845" s="15">
        <f t="shared" ca="1" si="135"/>
        <v>0.53810982986873879</v>
      </c>
      <c r="I845" s="14">
        <f ca="1">IF(G845&lt;0.05,1,0)*$B$1*$B$2</f>
        <v>0</v>
      </c>
      <c r="J845" s="14">
        <f ca="1">IF(H845&lt;0.05,1,0)*$B$1*$B$2</f>
        <v>0</v>
      </c>
      <c r="K845" s="15">
        <f t="shared" ca="1" si="136"/>
        <v>0</v>
      </c>
      <c r="P845" s="3">
        <v>841</v>
      </c>
      <c r="Q845" s="4">
        <f t="shared" ca="1" si="137"/>
        <v>0.79687130172708842</v>
      </c>
      <c r="R845" s="4">
        <f t="shared" ca="1" si="138"/>
        <v>0.53810982986873879</v>
      </c>
      <c r="S845" s="4">
        <f ca="1">$B$1*Q845*$B$2</f>
        <v>31.874852069083541</v>
      </c>
      <c r="T845" s="4">
        <f ca="1">$B$1*R845*$B$2</f>
        <v>21.524393194749553</v>
      </c>
      <c r="U845" s="7">
        <f t="shared" ca="1" si="139"/>
        <v>53.399245263833095</v>
      </c>
    </row>
    <row r="846" spans="2:21" x14ac:dyDescent="0.3">
      <c r="B846" s="13">
        <f t="shared" ca="1" si="130"/>
        <v>0.53641183576903784</v>
      </c>
      <c r="C846" s="14">
        <f t="shared" ca="1" si="130"/>
        <v>0.32765877178585245</v>
      </c>
      <c r="D846" s="14">
        <f t="shared" ca="1" si="131"/>
        <v>9.1398028199812575E-2</v>
      </c>
      <c r="E846" s="14">
        <f t="shared" ca="1" si="132"/>
        <v>-0.44638724661982221</v>
      </c>
      <c r="F846" s="14">
        <f t="shared" ca="1" si="133"/>
        <v>-0.11231746439028595</v>
      </c>
      <c r="G846" s="14">
        <f t="shared" ca="1" si="134"/>
        <v>0.53641183576903784</v>
      </c>
      <c r="H846" s="15">
        <f t="shared" ca="1" si="135"/>
        <v>0.32765877178585234</v>
      </c>
      <c r="I846" s="14">
        <f ca="1">IF(G846&lt;0.05,1,0)*$B$1*$B$2</f>
        <v>0</v>
      </c>
      <c r="J846" s="14">
        <f ca="1">IF(H846&lt;0.05,1,0)*$B$1*$B$2</f>
        <v>0</v>
      </c>
      <c r="K846" s="15">
        <f t="shared" ca="1" si="136"/>
        <v>0</v>
      </c>
      <c r="P846" s="3">
        <v>842</v>
      </c>
      <c r="Q846" s="4">
        <f t="shared" ca="1" si="137"/>
        <v>0.53641183576903784</v>
      </c>
      <c r="R846" s="4">
        <f t="shared" ca="1" si="138"/>
        <v>0.32765877178585234</v>
      </c>
      <c r="S846" s="4">
        <f ca="1">$B$1*Q846*$B$2</f>
        <v>21.456473430761516</v>
      </c>
      <c r="T846" s="4">
        <f ca="1">$B$1*R846*$B$2</f>
        <v>13.106350871434095</v>
      </c>
      <c r="U846" s="7">
        <f t="shared" ca="1" si="139"/>
        <v>34.562824302195608</v>
      </c>
    </row>
    <row r="847" spans="2:21" x14ac:dyDescent="0.3">
      <c r="B847" s="13">
        <f t="shared" ca="1" si="130"/>
        <v>0.17236552407648609</v>
      </c>
      <c r="C847" s="14">
        <f t="shared" ca="1" si="130"/>
        <v>0.94497502734584582</v>
      </c>
      <c r="D847" s="14">
        <f t="shared" ca="1" si="131"/>
        <v>-0.94485864266351216</v>
      </c>
      <c r="E847" s="14">
        <f t="shared" ca="1" si="132"/>
        <v>1.5979686903127515</v>
      </c>
      <c r="F847" s="14">
        <f t="shared" ca="1" si="133"/>
        <v>-0.15383437479562845</v>
      </c>
      <c r="G847" s="14">
        <f t="shared" ca="1" si="134"/>
        <v>0.17236552407648603</v>
      </c>
      <c r="H847" s="15">
        <f t="shared" ca="1" si="135"/>
        <v>0.94497502734584571</v>
      </c>
      <c r="I847" s="14">
        <f ca="1">IF(G847&lt;0.05,1,0)*$B$1*$B$2</f>
        <v>0</v>
      </c>
      <c r="J847" s="14">
        <f ca="1">IF(H847&lt;0.05,1,0)*$B$1*$B$2</f>
        <v>0</v>
      </c>
      <c r="K847" s="15">
        <f t="shared" ca="1" si="136"/>
        <v>0</v>
      </c>
      <c r="P847" s="3">
        <v>843</v>
      </c>
      <c r="Q847" s="4">
        <f t="shared" ca="1" si="137"/>
        <v>0.17236552407648603</v>
      </c>
      <c r="R847" s="4">
        <f t="shared" ca="1" si="138"/>
        <v>0.94497502734584571</v>
      </c>
      <c r="S847" s="4">
        <f ca="1">$B$1*Q847*$B$2</f>
        <v>6.8946209630594417</v>
      </c>
      <c r="T847" s="4">
        <f ca="1">$B$1*R847*$B$2</f>
        <v>37.79900109383383</v>
      </c>
      <c r="U847" s="7">
        <f t="shared" ca="1" si="139"/>
        <v>44.693622056893275</v>
      </c>
    </row>
    <row r="848" spans="2:21" x14ac:dyDescent="0.3">
      <c r="B848" s="13">
        <f t="shared" ca="1" si="130"/>
        <v>2.2390310006120129E-2</v>
      </c>
      <c r="C848" s="14">
        <f t="shared" ca="1" si="130"/>
        <v>0.21961537269182307</v>
      </c>
      <c r="D848" s="14">
        <f t="shared" ca="1" si="131"/>
        <v>-2.006709348695042</v>
      </c>
      <c r="E848" s="14">
        <f t="shared" ca="1" si="132"/>
        <v>-0.77349287238252007</v>
      </c>
      <c r="F848" s="14">
        <f t="shared" ca="1" si="133"/>
        <v>-2.1431961402519786</v>
      </c>
      <c r="G848" s="14">
        <f t="shared" ca="1" si="134"/>
        <v>2.2390310006120129E-2</v>
      </c>
      <c r="H848" s="15">
        <f t="shared" ca="1" si="135"/>
        <v>0.21961537269182307</v>
      </c>
      <c r="I848" s="14">
        <f ca="1">IF(G848&lt;0.05,1,0)*$B$1*$B$2</f>
        <v>40</v>
      </c>
      <c r="J848" s="14">
        <f ca="1">IF(H848&lt;0.05,1,0)*$B$1*$B$2</f>
        <v>0</v>
      </c>
      <c r="K848" s="15">
        <f t="shared" ca="1" si="136"/>
        <v>40</v>
      </c>
      <c r="P848" s="3">
        <v>844</v>
      </c>
      <c r="Q848" s="4">
        <f t="shared" ca="1" si="137"/>
        <v>2.2390310006120129E-2</v>
      </c>
      <c r="R848" s="4">
        <f t="shared" ca="1" si="138"/>
        <v>0.21961537269182307</v>
      </c>
      <c r="S848" s="4">
        <f ca="1">$B$1*Q848*$B$2</f>
        <v>0.89561240024480515</v>
      </c>
      <c r="T848" s="4">
        <f ca="1">$B$1*R848*$B$2</f>
        <v>8.784614907672923</v>
      </c>
      <c r="U848" s="7">
        <f t="shared" ca="1" si="139"/>
        <v>9.680227307917729</v>
      </c>
    </row>
    <row r="849" spans="2:21" x14ac:dyDescent="0.3">
      <c r="B849" s="13">
        <f t="shared" ca="1" si="130"/>
        <v>0.67945919964046275</v>
      </c>
      <c r="C849" s="14">
        <f t="shared" ca="1" si="130"/>
        <v>6.8311748045522758E-2</v>
      </c>
      <c r="D849" s="14">
        <f t="shared" ca="1" si="131"/>
        <v>0.46618707413210753</v>
      </c>
      <c r="E849" s="14">
        <f t="shared" ca="1" si="132"/>
        <v>-1.4884832505963745</v>
      </c>
      <c r="F849" s="14">
        <f t="shared" ca="1" si="133"/>
        <v>-0.22924644013135559</v>
      </c>
      <c r="G849" s="14">
        <f t="shared" ca="1" si="134"/>
        <v>0.67945919964046275</v>
      </c>
      <c r="H849" s="15">
        <f t="shared" ca="1" si="135"/>
        <v>6.8311748045522799E-2</v>
      </c>
      <c r="I849" s="14">
        <f ca="1">IF(G849&lt;0.05,1,0)*$B$1*$B$2</f>
        <v>0</v>
      </c>
      <c r="J849" s="14">
        <f ca="1">IF(H849&lt;0.05,1,0)*$B$1*$B$2</f>
        <v>0</v>
      </c>
      <c r="K849" s="15">
        <f t="shared" ca="1" si="136"/>
        <v>0</v>
      </c>
      <c r="P849" s="3">
        <v>845</v>
      </c>
      <c r="Q849" s="4">
        <f t="shared" ca="1" si="137"/>
        <v>0.67945919964046275</v>
      </c>
      <c r="R849" s="4">
        <f t="shared" ca="1" si="138"/>
        <v>6.8311748045522799E-2</v>
      </c>
      <c r="S849" s="4">
        <f ca="1">$B$1*Q849*$B$2</f>
        <v>27.178367985618507</v>
      </c>
      <c r="T849" s="4">
        <f ca="1">$B$1*R849*$B$2</f>
        <v>2.7324699218209121</v>
      </c>
      <c r="U849" s="7">
        <f t="shared" ca="1" si="139"/>
        <v>29.910837907439419</v>
      </c>
    </row>
    <row r="850" spans="2:21" x14ac:dyDescent="0.3">
      <c r="B850" s="13">
        <f t="shared" ca="1" si="130"/>
        <v>0.92836930346450786</v>
      </c>
      <c r="C850" s="14">
        <f t="shared" ca="1" si="130"/>
        <v>0.40716116300597027</v>
      </c>
      <c r="D850" s="14">
        <f t="shared" ca="1" si="131"/>
        <v>1.4637532027713944</v>
      </c>
      <c r="E850" s="14">
        <f t="shared" ca="1" si="132"/>
        <v>-0.2348536491667701</v>
      </c>
      <c r="F850" s="14">
        <f t="shared" ca="1" si="133"/>
        <v>1.2150075501702844</v>
      </c>
      <c r="G850" s="14">
        <f t="shared" ca="1" si="134"/>
        <v>0.92836930346450797</v>
      </c>
      <c r="H850" s="15">
        <f t="shared" ca="1" si="135"/>
        <v>0.40716116300597027</v>
      </c>
      <c r="I850" s="14">
        <f ca="1">IF(G850&lt;0.05,1,0)*$B$1*$B$2</f>
        <v>0</v>
      </c>
      <c r="J850" s="14">
        <f ca="1">IF(H850&lt;0.05,1,0)*$B$1*$B$2</f>
        <v>0</v>
      </c>
      <c r="K850" s="15">
        <f t="shared" ca="1" si="136"/>
        <v>0</v>
      </c>
      <c r="P850" s="3">
        <v>846</v>
      </c>
      <c r="Q850" s="4">
        <f t="shared" ca="1" si="137"/>
        <v>0.92836930346450797</v>
      </c>
      <c r="R850" s="4">
        <f t="shared" ca="1" si="138"/>
        <v>0.40716116300597027</v>
      </c>
      <c r="S850" s="4">
        <f ca="1">$B$1*Q850*$B$2</f>
        <v>37.134772138580324</v>
      </c>
      <c r="T850" s="4">
        <f ca="1">$B$1*R850*$B$2</f>
        <v>16.286446520238812</v>
      </c>
      <c r="U850" s="7">
        <f t="shared" ca="1" si="139"/>
        <v>53.421218658819136</v>
      </c>
    </row>
    <row r="851" spans="2:21" x14ac:dyDescent="0.3">
      <c r="B851" s="13">
        <f t="shared" ca="1" si="130"/>
        <v>0.74736077888875407</v>
      </c>
      <c r="C851" s="14">
        <f t="shared" ca="1" si="130"/>
        <v>0.38932913969262251</v>
      </c>
      <c r="D851" s="14">
        <f t="shared" ca="1" si="131"/>
        <v>0.66620755870474113</v>
      </c>
      <c r="E851" s="14">
        <f t="shared" ca="1" si="132"/>
        <v>-0.28106795452413375</v>
      </c>
      <c r="F851" s="14">
        <f t="shared" ca="1" si="133"/>
        <v>0.47707212183042857</v>
      </c>
      <c r="G851" s="14">
        <f t="shared" ca="1" si="134"/>
        <v>0.74736077888875418</v>
      </c>
      <c r="H851" s="15">
        <f t="shared" ca="1" si="135"/>
        <v>0.38932913969262251</v>
      </c>
      <c r="I851" s="14">
        <f ca="1">IF(G851&lt;0.05,1,0)*$B$1*$B$2</f>
        <v>0</v>
      </c>
      <c r="J851" s="14">
        <f ca="1">IF(H851&lt;0.05,1,0)*$B$1*$B$2</f>
        <v>0</v>
      </c>
      <c r="K851" s="15">
        <f t="shared" ca="1" si="136"/>
        <v>0</v>
      </c>
      <c r="P851" s="3">
        <v>847</v>
      </c>
      <c r="Q851" s="4">
        <f t="shared" ca="1" si="137"/>
        <v>0.74736077888875418</v>
      </c>
      <c r="R851" s="4">
        <f t="shared" ca="1" si="138"/>
        <v>0.38932913969262251</v>
      </c>
      <c r="S851" s="4">
        <f ca="1">$B$1*Q851*$B$2</f>
        <v>29.894431155550166</v>
      </c>
      <c r="T851" s="4">
        <f ca="1">$B$1*R851*$B$2</f>
        <v>15.573165587704901</v>
      </c>
      <c r="U851" s="7">
        <f t="shared" ca="1" si="139"/>
        <v>45.467596743255065</v>
      </c>
    </row>
    <row r="852" spans="2:21" x14ac:dyDescent="0.3">
      <c r="B852" s="13">
        <f t="shared" ca="1" si="130"/>
        <v>0.26767910361090375</v>
      </c>
      <c r="C852" s="14">
        <f t="shared" ca="1" si="130"/>
        <v>0.40678308967442056</v>
      </c>
      <c r="D852" s="14">
        <f t="shared" ca="1" si="131"/>
        <v>-0.61984747808486884</v>
      </c>
      <c r="E852" s="14">
        <f t="shared" ca="1" si="132"/>
        <v>-0.23582794929112894</v>
      </c>
      <c r="F852" s="14">
        <f t="shared" ca="1" si="133"/>
        <v>-0.66065775017862849</v>
      </c>
      <c r="G852" s="14">
        <f t="shared" ca="1" si="134"/>
        <v>0.26767910361090369</v>
      </c>
      <c r="H852" s="15">
        <f t="shared" ca="1" si="135"/>
        <v>0.40678308967442056</v>
      </c>
      <c r="I852" s="14">
        <f ca="1">IF(G852&lt;0.05,1,0)*$B$1*$B$2</f>
        <v>0</v>
      </c>
      <c r="J852" s="14">
        <f ca="1">IF(H852&lt;0.05,1,0)*$B$1*$B$2</f>
        <v>0</v>
      </c>
      <c r="K852" s="15">
        <f t="shared" ca="1" si="136"/>
        <v>0</v>
      </c>
      <c r="P852" s="3">
        <v>848</v>
      </c>
      <c r="Q852" s="4">
        <f t="shared" ca="1" si="137"/>
        <v>0.26767910361090369</v>
      </c>
      <c r="R852" s="4">
        <f t="shared" ca="1" si="138"/>
        <v>0.40678308967442056</v>
      </c>
      <c r="S852" s="4">
        <f ca="1">$B$1*Q852*$B$2</f>
        <v>10.707164144436149</v>
      </c>
      <c r="T852" s="4">
        <f ca="1">$B$1*R852*$B$2</f>
        <v>16.271323586976823</v>
      </c>
      <c r="U852" s="7">
        <f t="shared" ca="1" si="139"/>
        <v>26.978487731412972</v>
      </c>
    </row>
    <row r="853" spans="2:21" x14ac:dyDescent="0.3">
      <c r="B853" s="13">
        <f t="shared" ca="1" si="130"/>
        <v>0.6428288789908414</v>
      </c>
      <c r="C853" s="14">
        <f t="shared" ca="1" si="130"/>
        <v>0.96093626911308827</v>
      </c>
      <c r="D853" s="14">
        <f t="shared" ca="1" si="131"/>
        <v>0.36603060018471556</v>
      </c>
      <c r="E853" s="14">
        <f t="shared" ca="1" si="132"/>
        <v>1.7616558485581371</v>
      </c>
      <c r="F853" s="14">
        <f t="shared" ca="1" si="133"/>
        <v>1.0973155218824751</v>
      </c>
      <c r="G853" s="14">
        <f t="shared" ca="1" si="134"/>
        <v>0.6428288789908414</v>
      </c>
      <c r="H853" s="15">
        <f t="shared" ca="1" si="135"/>
        <v>0.96093626911308827</v>
      </c>
      <c r="I853" s="14">
        <f ca="1">IF(G853&lt;0.05,1,0)*$B$1*$B$2</f>
        <v>0</v>
      </c>
      <c r="J853" s="14">
        <f ca="1">IF(H853&lt;0.05,1,0)*$B$1*$B$2</f>
        <v>0</v>
      </c>
      <c r="K853" s="15">
        <f t="shared" ca="1" si="136"/>
        <v>0</v>
      </c>
      <c r="P853" s="3">
        <v>849</v>
      </c>
      <c r="Q853" s="4">
        <f t="shared" ca="1" si="137"/>
        <v>0.6428288789908414</v>
      </c>
      <c r="R853" s="4">
        <f t="shared" ca="1" si="138"/>
        <v>0.96093626911308827</v>
      </c>
      <c r="S853" s="4">
        <f ca="1">$B$1*Q853*$B$2</f>
        <v>25.713155159633658</v>
      </c>
      <c r="T853" s="4">
        <f ca="1">$B$1*R853*$B$2</f>
        <v>38.437450764523533</v>
      </c>
      <c r="U853" s="7">
        <f t="shared" ca="1" si="139"/>
        <v>64.15060592415719</v>
      </c>
    </row>
    <row r="854" spans="2:21" x14ac:dyDescent="0.3">
      <c r="B854" s="13">
        <f t="shared" ca="1" si="130"/>
        <v>0.47531520176588238</v>
      </c>
      <c r="C854" s="14">
        <f t="shared" ca="1" si="130"/>
        <v>0.40664918441450026</v>
      </c>
      <c r="D854" s="14">
        <f t="shared" ca="1" si="131"/>
        <v>-6.1915148943243223E-2</v>
      </c>
      <c r="E854" s="14">
        <f t="shared" ca="1" si="132"/>
        <v>-0.23617307861326381</v>
      </c>
      <c r="F854" s="14">
        <f t="shared" ca="1" si="133"/>
        <v>-0.15866909233492929</v>
      </c>
      <c r="G854" s="14">
        <f t="shared" ca="1" si="134"/>
        <v>0.47531520176588238</v>
      </c>
      <c r="H854" s="15">
        <f t="shared" ca="1" si="135"/>
        <v>0.40664918441450021</v>
      </c>
      <c r="I854" s="14">
        <f ca="1">IF(G854&lt;0.05,1,0)*$B$1*$B$2</f>
        <v>0</v>
      </c>
      <c r="J854" s="14">
        <f ca="1">IF(H854&lt;0.05,1,0)*$B$1*$B$2</f>
        <v>0</v>
      </c>
      <c r="K854" s="15">
        <f t="shared" ca="1" si="136"/>
        <v>0</v>
      </c>
      <c r="P854" s="3">
        <v>850</v>
      </c>
      <c r="Q854" s="4">
        <f t="shared" ca="1" si="137"/>
        <v>0.47531520176588238</v>
      </c>
      <c r="R854" s="4">
        <f t="shared" ca="1" si="138"/>
        <v>0.40664918441450021</v>
      </c>
      <c r="S854" s="4">
        <f ca="1">$B$1*Q854*$B$2</f>
        <v>19.012608070635295</v>
      </c>
      <c r="T854" s="4">
        <f ca="1">$B$1*R854*$B$2</f>
        <v>16.265967376580008</v>
      </c>
      <c r="U854" s="7">
        <f t="shared" ca="1" si="139"/>
        <v>35.278575447215303</v>
      </c>
    </row>
    <row r="855" spans="2:21" x14ac:dyDescent="0.3">
      <c r="B855" s="13">
        <f t="shared" ca="1" si="130"/>
        <v>0.52543236664853998</v>
      </c>
      <c r="C855" s="14">
        <f t="shared" ca="1" si="130"/>
        <v>0.2613941538451664</v>
      </c>
      <c r="D855" s="14">
        <f t="shared" ca="1" si="131"/>
        <v>6.3792730485083896E-2</v>
      </c>
      <c r="E855" s="14">
        <f t="shared" ca="1" si="132"/>
        <v>-0.63905322465348036</v>
      </c>
      <c r="F855" s="14">
        <f t="shared" ca="1" si="133"/>
        <v>-0.22114338514425608</v>
      </c>
      <c r="G855" s="14">
        <f t="shared" ca="1" si="134"/>
        <v>0.52543236664853998</v>
      </c>
      <c r="H855" s="15">
        <f t="shared" ca="1" si="135"/>
        <v>0.26139415384516629</v>
      </c>
      <c r="I855" s="14">
        <f ca="1">IF(G855&lt;0.05,1,0)*$B$1*$B$2</f>
        <v>0</v>
      </c>
      <c r="J855" s="14">
        <f ca="1">IF(H855&lt;0.05,1,0)*$B$1*$B$2</f>
        <v>0</v>
      </c>
      <c r="K855" s="15">
        <f t="shared" ca="1" si="136"/>
        <v>0</v>
      </c>
      <c r="P855" s="3">
        <v>851</v>
      </c>
      <c r="Q855" s="4">
        <f t="shared" ca="1" si="137"/>
        <v>0.52543236664853998</v>
      </c>
      <c r="R855" s="4">
        <f t="shared" ca="1" si="138"/>
        <v>0.26139415384516629</v>
      </c>
      <c r="S855" s="4">
        <f ca="1">$B$1*Q855*$B$2</f>
        <v>21.017294665941602</v>
      </c>
      <c r="T855" s="4">
        <f ca="1">$B$1*R855*$B$2</f>
        <v>10.455766153806652</v>
      </c>
      <c r="U855" s="7">
        <f t="shared" ca="1" si="139"/>
        <v>31.473060819748255</v>
      </c>
    </row>
    <row r="856" spans="2:21" x14ac:dyDescent="0.3">
      <c r="B856" s="13">
        <f t="shared" ca="1" si="130"/>
        <v>0.62681400980599467</v>
      </c>
      <c r="C856" s="14">
        <f t="shared" ca="1" si="130"/>
        <v>1.429976547470635E-2</v>
      </c>
      <c r="D856" s="14">
        <f t="shared" ca="1" si="131"/>
        <v>0.32342687317697261</v>
      </c>
      <c r="E856" s="14">
        <f t="shared" ca="1" si="132"/>
        <v>-2.1889629785114084</v>
      </c>
      <c r="F856" s="14">
        <f t="shared" ca="1" si="133"/>
        <v>-0.66306265558902688</v>
      </c>
      <c r="G856" s="14">
        <f t="shared" ca="1" si="134"/>
        <v>0.62681400980599467</v>
      </c>
      <c r="H856" s="15">
        <f t="shared" ca="1" si="135"/>
        <v>1.4299765474706332E-2</v>
      </c>
      <c r="I856" s="14">
        <f ca="1">IF(G856&lt;0.05,1,0)*$B$1*$B$2</f>
        <v>0</v>
      </c>
      <c r="J856" s="14">
        <f ca="1">IF(H856&lt;0.05,1,0)*$B$1*$B$2</f>
        <v>40</v>
      </c>
      <c r="K856" s="15">
        <f t="shared" ca="1" si="136"/>
        <v>40</v>
      </c>
      <c r="P856" s="3">
        <v>852</v>
      </c>
      <c r="Q856" s="4">
        <f t="shared" ca="1" si="137"/>
        <v>0.62681400980599467</v>
      </c>
      <c r="R856" s="4">
        <f t="shared" ca="1" si="138"/>
        <v>1.4299765474706332E-2</v>
      </c>
      <c r="S856" s="4">
        <f ca="1">$B$1*Q856*$B$2</f>
        <v>25.072560392239787</v>
      </c>
      <c r="T856" s="4">
        <f ca="1">$B$1*R856*$B$2</f>
        <v>0.57199061898825332</v>
      </c>
      <c r="U856" s="7">
        <f t="shared" ca="1" si="139"/>
        <v>25.644551011228039</v>
      </c>
    </row>
    <row r="857" spans="2:21" x14ac:dyDescent="0.3">
      <c r="B857" s="13">
        <f t="shared" ca="1" si="130"/>
        <v>0.91903866233050446</v>
      </c>
      <c r="C857" s="14">
        <f t="shared" ca="1" si="130"/>
        <v>0.45786165220230224</v>
      </c>
      <c r="D857" s="14">
        <f t="shared" ca="1" si="131"/>
        <v>1.3986342993907006</v>
      </c>
      <c r="E857" s="14">
        <f t="shared" ca="1" si="132"/>
        <v>-0.10582234901062339</v>
      </c>
      <c r="F857" s="14">
        <f t="shared" ca="1" si="133"/>
        <v>1.2126439769210908</v>
      </c>
      <c r="G857" s="14">
        <f t="shared" ca="1" si="134"/>
        <v>0.91903866233050457</v>
      </c>
      <c r="H857" s="15">
        <f t="shared" ca="1" si="135"/>
        <v>0.45786165220230224</v>
      </c>
      <c r="I857" s="14">
        <f ca="1">IF(G857&lt;0.05,1,0)*$B$1*$B$2</f>
        <v>0</v>
      </c>
      <c r="J857" s="14">
        <f ca="1">IF(H857&lt;0.05,1,0)*$B$1*$B$2</f>
        <v>0</v>
      </c>
      <c r="K857" s="15">
        <f t="shared" ca="1" si="136"/>
        <v>0</v>
      </c>
      <c r="P857" s="3">
        <v>853</v>
      </c>
      <c r="Q857" s="4">
        <f t="shared" ca="1" si="137"/>
        <v>0.91903866233050457</v>
      </c>
      <c r="R857" s="4">
        <f t="shared" ca="1" si="138"/>
        <v>0.45786165220230224</v>
      </c>
      <c r="S857" s="4">
        <f ca="1">$B$1*Q857*$B$2</f>
        <v>36.76154649322018</v>
      </c>
      <c r="T857" s="4">
        <f ca="1">$B$1*R857*$B$2</f>
        <v>18.31446608809209</v>
      </c>
      <c r="U857" s="7">
        <f t="shared" ca="1" si="139"/>
        <v>55.07601258131227</v>
      </c>
    </row>
    <row r="858" spans="2:21" x14ac:dyDescent="0.3">
      <c r="B858" s="13">
        <f t="shared" ca="1" si="130"/>
        <v>9.4625648207552926E-2</v>
      </c>
      <c r="C858" s="14">
        <f t="shared" ca="1" si="130"/>
        <v>0.1668414925144639</v>
      </c>
      <c r="D858" s="14">
        <f t="shared" ca="1" si="131"/>
        <v>-1.3127971922365527</v>
      </c>
      <c r="E858" s="14">
        <f t="shared" ca="1" si="132"/>
        <v>-0.96672208217607714</v>
      </c>
      <c r="F858" s="14">
        <f t="shared" ca="1" si="133"/>
        <v>-1.6029018592823716</v>
      </c>
      <c r="G858" s="14">
        <f t="shared" ca="1" si="134"/>
        <v>9.4625648207552829E-2</v>
      </c>
      <c r="H858" s="15">
        <f t="shared" ca="1" si="135"/>
        <v>0.1668414925144644</v>
      </c>
      <c r="I858" s="14">
        <f ca="1">IF(G858&lt;0.05,1,0)*$B$1*$B$2</f>
        <v>0</v>
      </c>
      <c r="J858" s="14">
        <f ca="1">IF(H858&lt;0.05,1,0)*$B$1*$B$2</f>
        <v>0</v>
      </c>
      <c r="K858" s="15">
        <f t="shared" ca="1" si="136"/>
        <v>0</v>
      </c>
      <c r="P858" s="3">
        <v>854</v>
      </c>
      <c r="Q858" s="4">
        <f t="shared" ca="1" si="137"/>
        <v>9.4625648207552829E-2</v>
      </c>
      <c r="R858" s="4">
        <f t="shared" ca="1" si="138"/>
        <v>0.1668414925144644</v>
      </c>
      <c r="S858" s="4">
        <f ca="1">$B$1*Q858*$B$2</f>
        <v>3.7850259283021135</v>
      </c>
      <c r="T858" s="4">
        <f ca="1">$B$1*R858*$B$2</f>
        <v>6.6736597005785754</v>
      </c>
      <c r="U858" s="7">
        <f t="shared" ca="1" si="139"/>
        <v>10.458685628880689</v>
      </c>
    </row>
    <row r="859" spans="2:21" x14ac:dyDescent="0.3">
      <c r="B859" s="13">
        <f t="shared" ca="1" si="130"/>
        <v>0.5801588306020582</v>
      </c>
      <c r="C859" s="14">
        <f t="shared" ca="1" si="130"/>
        <v>2.7250426109875048E-2</v>
      </c>
      <c r="D859" s="14">
        <f t="shared" ca="1" si="131"/>
        <v>0.20229982241647051</v>
      </c>
      <c r="E859" s="14">
        <f t="shared" ca="1" si="132"/>
        <v>-1.9228343854436192</v>
      </c>
      <c r="F859" s="14">
        <f t="shared" ca="1" si="133"/>
        <v>-0.65607423695656353</v>
      </c>
      <c r="G859" s="14">
        <f t="shared" ca="1" si="134"/>
        <v>0.5801588306020582</v>
      </c>
      <c r="H859" s="15">
        <f t="shared" ca="1" si="135"/>
        <v>2.7250426109875044E-2</v>
      </c>
      <c r="I859" s="14">
        <f ca="1">IF(G859&lt;0.05,1,0)*$B$1*$B$2</f>
        <v>0</v>
      </c>
      <c r="J859" s="14">
        <f ca="1">IF(H859&lt;0.05,1,0)*$B$1*$B$2</f>
        <v>40</v>
      </c>
      <c r="K859" s="15">
        <f t="shared" ca="1" si="136"/>
        <v>40</v>
      </c>
      <c r="P859" s="3">
        <v>855</v>
      </c>
      <c r="Q859" s="4">
        <f t="shared" ca="1" si="137"/>
        <v>0.5801588306020582</v>
      </c>
      <c r="R859" s="4">
        <f t="shared" ca="1" si="138"/>
        <v>2.7250426109875044E-2</v>
      </c>
      <c r="S859" s="4">
        <f ca="1">$B$1*Q859*$B$2</f>
        <v>23.206353224082331</v>
      </c>
      <c r="T859" s="4">
        <f ca="1">$B$1*R859*$B$2</f>
        <v>1.0900170443950017</v>
      </c>
      <c r="U859" s="7">
        <f t="shared" ca="1" si="139"/>
        <v>24.296370268477332</v>
      </c>
    </row>
    <row r="860" spans="2:21" x14ac:dyDescent="0.3">
      <c r="B860" s="13">
        <f t="shared" ca="1" si="130"/>
        <v>0.96344307648970517</v>
      </c>
      <c r="C860" s="14">
        <f t="shared" ca="1" si="130"/>
        <v>3.6946752469586897E-2</v>
      </c>
      <c r="D860" s="14">
        <f t="shared" ca="1" si="131"/>
        <v>1.7921193681457475</v>
      </c>
      <c r="E860" s="14">
        <f t="shared" ca="1" si="132"/>
        <v>-1.7872721998677956</v>
      </c>
      <c r="F860" s="14">
        <f t="shared" ca="1" si="133"/>
        <v>0.83385354094883779</v>
      </c>
      <c r="G860" s="14">
        <f t="shared" ca="1" si="134"/>
        <v>0.96344307648970517</v>
      </c>
      <c r="H860" s="15">
        <f t="shared" ca="1" si="135"/>
        <v>3.694675246958691E-2</v>
      </c>
      <c r="I860" s="14">
        <f ca="1">IF(G860&lt;0.05,1,0)*$B$1*$B$2</f>
        <v>0</v>
      </c>
      <c r="J860" s="14">
        <f ca="1">IF(H860&lt;0.05,1,0)*$B$1*$B$2</f>
        <v>40</v>
      </c>
      <c r="K860" s="15">
        <f t="shared" ca="1" si="136"/>
        <v>40</v>
      </c>
      <c r="P860" s="3">
        <v>856</v>
      </c>
      <c r="Q860" s="4">
        <f t="shared" ca="1" si="137"/>
        <v>0.96344307648970517</v>
      </c>
      <c r="R860" s="4">
        <f t="shared" ca="1" si="138"/>
        <v>3.694675246958691E-2</v>
      </c>
      <c r="S860" s="4">
        <f ca="1">$B$1*Q860*$B$2</f>
        <v>38.53772305958821</v>
      </c>
      <c r="T860" s="4">
        <f ca="1">$B$1*R860*$B$2</f>
        <v>1.4778700987834765</v>
      </c>
      <c r="U860" s="7">
        <f t="shared" ca="1" si="139"/>
        <v>40.015593158371686</v>
      </c>
    </row>
    <row r="861" spans="2:21" x14ac:dyDescent="0.3">
      <c r="B861" s="13">
        <f t="shared" ca="1" si="130"/>
        <v>0.52278358696858729</v>
      </c>
      <c r="C861" s="14">
        <f t="shared" ca="1" si="130"/>
        <v>0.33641553818919301</v>
      </c>
      <c r="D861" s="14">
        <f t="shared" ca="1" si="131"/>
        <v>5.714106329444206E-2</v>
      </c>
      <c r="E861" s="14">
        <f t="shared" ca="1" si="132"/>
        <v>-0.42226572017561959</v>
      </c>
      <c r="F861" s="14">
        <f t="shared" ca="1" si="133"/>
        <v>-0.13263440319169709</v>
      </c>
      <c r="G861" s="14">
        <f t="shared" ca="1" si="134"/>
        <v>0.52278358696858729</v>
      </c>
      <c r="H861" s="15">
        <f t="shared" ca="1" si="135"/>
        <v>0.3364155381891929</v>
      </c>
      <c r="I861" s="14">
        <f ca="1">IF(G861&lt;0.05,1,0)*$B$1*$B$2</f>
        <v>0</v>
      </c>
      <c r="J861" s="14">
        <f ca="1">IF(H861&lt;0.05,1,0)*$B$1*$B$2</f>
        <v>0</v>
      </c>
      <c r="K861" s="15">
        <f t="shared" ca="1" si="136"/>
        <v>0</v>
      </c>
      <c r="P861" s="3">
        <v>857</v>
      </c>
      <c r="Q861" s="4">
        <f t="shared" ca="1" si="137"/>
        <v>0.52278358696858729</v>
      </c>
      <c r="R861" s="4">
        <f t="shared" ca="1" si="138"/>
        <v>0.3364155381891929</v>
      </c>
      <c r="S861" s="4">
        <f ca="1">$B$1*Q861*$B$2</f>
        <v>20.911343478743493</v>
      </c>
      <c r="T861" s="4">
        <f ca="1">$B$1*R861*$B$2</f>
        <v>13.456621527567718</v>
      </c>
      <c r="U861" s="7">
        <f t="shared" ca="1" si="139"/>
        <v>34.367965006311209</v>
      </c>
    </row>
    <row r="862" spans="2:21" x14ac:dyDescent="0.3">
      <c r="B862" s="13">
        <f t="shared" ca="1" si="130"/>
        <v>0.60863828292706401</v>
      </c>
      <c r="C862" s="14">
        <f t="shared" ca="1" si="130"/>
        <v>1.4562620042638752E-2</v>
      </c>
      <c r="D862" s="14">
        <f t="shared" ca="1" si="131"/>
        <v>0.27577168323635198</v>
      </c>
      <c r="E862" s="14">
        <f t="shared" ca="1" si="132"/>
        <v>-2.1817872217863656</v>
      </c>
      <c r="F862" s="14">
        <f t="shared" ca="1" si="133"/>
        <v>-0.70282448669479602</v>
      </c>
      <c r="G862" s="14">
        <f t="shared" ca="1" si="134"/>
        <v>0.60863828292706401</v>
      </c>
      <c r="H862" s="15">
        <f t="shared" ca="1" si="135"/>
        <v>1.4562620042638769E-2</v>
      </c>
      <c r="I862" s="14">
        <f ca="1">IF(G862&lt;0.05,1,0)*$B$1*$B$2</f>
        <v>0</v>
      </c>
      <c r="J862" s="14">
        <f ca="1">IF(H862&lt;0.05,1,0)*$B$1*$B$2</f>
        <v>40</v>
      </c>
      <c r="K862" s="15">
        <f t="shared" ca="1" si="136"/>
        <v>40</v>
      </c>
      <c r="P862" s="3">
        <v>858</v>
      </c>
      <c r="Q862" s="4">
        <f t="shared" ca="1" si="137"/>
        <v>0.60863828292706401</v>
      </c>
      <c r="R862" s="4">
        <f t="shared" ca="1" si="138"/>
        <v>1.4562620042638769E-2</v>
      </c>
      <c r="S862" s="4">
        <f ca="1">$B$1*Q862*$B$2</f>
        <v>24.34553131708256</v>
      </c>
      <c r="T862" s="4">
        <f ca="1">$B$1*R862*$B$2</f>
        <v>0.58250480170555086</v>
      </c>
      <c r="U862" s="7">
        <f t="shared" ca="1" si="139"/>
        <v>24.928036118788111</v>
      </c>
    </row>
    <row r="863" spans="2:21" x14ac:dyDescent="0.3">
      <c r="B863" s="13">
        <f t="shared" ca="1" si="130"/>
        <v>0.66892824187833044</v>
      </c>
      <c r="C863" s="14">
        <f t="shared" ca="1" si="130"/>
        <v>0.14541431610412237</v>
      </c>
      <c r="D863" s="14">
        <f t="shared" ca="1" si="131"/>
        <v>0.43695564414594068</v>
      </c>
      <c r="E863" s="14">
        <f t="shared" ca="1" si="132"/>
        <v>-1.0563055696179311</v>
      </c>
      <c r="F863" s="14">
        <f t="shared" ca="1" si="133"/>
        <v>-6.7172843415026218E-2</v>
      </c>
      <c r="G863" s="14">
        <f t="shared" ca="1" si="134"/>
        <v>0.66892824187833044</v>
      </c>
      <c r="H863" s="15">
        <f t="shared" ca="1" si="135"/>
        <v>0.14541431610412242</v>
      </c>
      <c r="I863" s="14">
        <f ca="1">IF(G863&lt;0.05,1,0)*$B$1*$B$2</f>
        <v>0</v>
      </c>
      <c r="J863" s="14">
        <f ca="1">IF(H863&lt;0.05,1,0)*$B$1*$B$2</f>
        <v>0</v>
      </c>
      <c r="K863" s="15">
        <f t="shared" ca="1" si="136"/>
        <v>0</v>
      </c>
      <c r="P863" s="3">
        <v>859</v>
      </c>
      <c r="Q863" s="4">
        <f t="shared" ca="1" si="137"/>
        <v>0.66892824187833044</v>
      </c>
      <c r="R863" s="4">
        <f t="shared" ca="1" si="138"/>
        <v>0.14541431610412242</v>
      </c>
      <c r="S863" s="4">
        <f ca="1">$B$1*Q863*$B$2</f>
        <v>26.757129675133218</v>
      </c>
      <c r="T863" s="4">
        <f ca="1">$B$1*R863*$B$2</f>
        <v>5.8165726441648973</v>
      </c>
      <c r="U863" s="7">
        <f t="shared" ca="1" si="139"/>
        <v>32.573702319298114</v>
      </c>
    </row>
    <row r="864" spans="2:21" x14ac:dyDescent="0.3">
      <c r="B864" s="13">
        <f t="shared" ca="1" si="130"/>
        <v>0.20528906822973414</v>
      </c>
      <c r="C864" s="14">
        <f t="shared" ca="1" si="130"/>
        <v>0.28083022029705207</v>
      </c>
      <c r="D864" s="14">
        <f t="shared" ca="1" si="131"/>
        <v>-0.82287666039134755</v>
      </c>
      <c r="E864" s="14">
        <f t="shared" ca="1" si="132"/>
        <v>-0.58037695746851647</v>
      </c>
      <c r="F864" s="14">
        <f t="shared" ca="1" si="133"/>
        <v>-0.99356944502869948</v>
      </c>
      <c r="G864" s="14">
        <f t="shared" ca="1" si="134"/>
        <v>0.20528906822973408</v>
      </c>
      <c r="H864" s="15">
        <f t="shared" ca="1" si="135"/>
        <v>0.28083022029705196</v>
      </c>
      <c r="I864" s="14">
        <f ca="1">IF(G864&lt;0.05,1,0)*$B$1*$B$2</f>
        <v>0</v>
      </c>
      <c r="J864" s="14">
        <f ca="1">IF(H864&lt;0.05,1,0)*$B$1*$B$2</f>
        <v>0</v>
      </c>
      <c r="K864" s="15">
        <f t="shared" ca="1" si="136"/>
        <v>0</v>
      </c>
      <c r="P864" s="3">
        <v>860</v>
      </c>
      <c r="Q864" s="4">
        <f t="shared" ca="1" si="137"/>
        <v>0.20528906822973408</v>
      </c>
      <c r="R864" s="4">
        <f t="shared" ca="1" si="138"/>
        <v>0.28083022029705196</v>
      </c>
      <c r="S864" s="4">
        <f ca="1">$B$1*Q864*$B$2</f>
        <v>8.2115627291893638</v>
      </c>
      <c r="T864" s="4">
        <f ca="1">$B$1*R864*$B$2</f>
        <v>11.233208811882079</v>
      </c>
      <c r="U864" s="7">
        <f t="shared" ca="1" si="139"/>
        <v>19.444771541071443</v>
      </c>
    </row>
    <row r="865" spans="2:21" x14ac:dyDescent="0.3">
      <c r="B865" s="13">
        <f t="shared" ca="1" si="130"/>
        <v>0.56281247224912767</v>
      </c>
      <c r="C865" s="14">
        <f t="shared" ca="1" si="130"/>
        <v>0.89820510097517292</v>
      </c>
      <c r="D865" s="14">
        <f t="shared" ca="1" si="131"/>
        <v>0.15810373756989085</v>
      </c>
      <c r="E865" s="14">
        <f t="shared" ca="1" si="132"/>
        <v>1.2713903947220511</v>
      </c>
      <c r="F865" s="14">
        <f t="shared" ca="1" si="133"/>
        <v>0.69647958865107251</v>
      </c>
      <c r="G865" s="14">
        <f t="shared" ca="1" si="134"/>
        <v>0.56281247224912767</v>
      </c>
      <c r="H865" s="15">
        <f t="shared" ca="1" si="135"/>
        <v>0.89820510097517303</v>
      </c>
      <c r="I865" s="14">
        <f ca="1">IF(G865&lt;0.05,1,0)*$B$1*$B$2</f>
        <v>0</v>
      </c>
      <c r="J865" s="14">
        <f ca="1">IF(H865&lt;0.05,1,0)*$B$1*$B$2</f>
        <v>0</v>
      </c>
      <c r="K865" s="15">
        <f t="shared" ca="1" si="136"/>
        <v>0</v>
      </c>
      <c r="P865" s="3">
        <v>861</v>
      </c>
      <c r="Q865" s="4">
        <f t="shared" ca="1" si="137"/>
        <v>0.56281247224912767</v>
      </c>
      <c r="R865" s="4">
        <f t="shared" ca="1" si="138"/>
        <v>0.89820510097517303</v>
      </c>
      <c r="S865" s="4">
        <f ca="1">$B$1*Q865*$B$2</f>
        <v>22.512498889965109</v>
      </c>
      <c r="T865" s="4">
        <f ca="1">$B$1*R865*$B$2</f>
        <v>35.928204039006921</v>
      </c>
      <c r="U865" s="7">
        <f t="shared" ca="1" si="139"/>
        <v>58.44070292897203</v>
      </c>
    </row>
    <row r="866" spans="2:21" x14ac:dyDescent="0.3">
      <c r="B866" s="13">
        <f t="shared" ca="1" si="130"/>
        <v>0.75770881311289418</v>
      </c>
      <c r="C866" s="14">
        <f t="shared" ca="1" si="130"/>
        <v>0.67850152118429741</v>
      </c>
      <c r="D866" s="14">
        <f t="shared" ca="1" si="131"/>
        <v>0.6989514478418184</v>
      </c>
      <c r="E866" s="14">
        <f t="shared" ca="1" si="132"/>
        <v>0.46351263881069721</v>
      </c>
      <c r="F866" s="14">
        <f t="shared" ca="1" si="133"/>
        <v>0.83109677822060635</v>
      </c>
      <c r="G866" s="14">
        <f t="shared" ca="1" si="134"/>
        <v>0.75770881311289418</v>
      </c>
      <c r="H866" s="15">
        <f t="shared" ca="1" si="135"/>
        <v>0.67850152118429752</v>
      </c>
      <c r="I866" s="14">
        <f ca="1">IF(G866&lt;0.05,1,0)*$B$1*$B$2</f>
        <v>0</v>
      </c>
      <c r="J866" s="14">
        <f ca="1">IF(H866&lt;0.05,1,0)*$B$1*$B$2</f>
        <v>0</v>
      </c>
      <c r="K866" s="15">
        <f t="shared" ca="1" si="136"/>
        <v>0</v>
      </c>
      <c r="P866" s="3">
        <v>862</v>
      </c>
      <c r="Q866" s="4">
        <f t="shared" ca="1" si="137"/>
        <v>0.75770881311289418</v>
      </c>
      <c r="R866" s="4">
        <f t="shared" ca="1" si="138"/>
        <v>0.67850152118429752</v>
      </c>
      <c r="S866" s="4">
        <f ca="1">$B$1*Q866*$B$2</f>
        <v>30.308352524515769</v>
      </c>
      <c r="T866" s="4">
        <f ca="1">$B$1*R866*$B$2</f>
        <v>27.140060847371899</v>
      </c>
      <c r="U866" s="7">
        <f t="shared" ca="1" si="139"/>
        <v>57.448413371887668</v>
      </c>
    </row>
    <row r="867" spans="2:21" x14ac:dyDescent="0.3">
      <c r="B867" s="13">
        <f t="shared" ca="1" si="130"/>
        <v>0.3249933501451957</v>
      </c>
      <c r="C867" s="14">
        <f t="shared" ca="1" si="130"/>
        <v>0.22979849326440571</v>
      </c>
      <c r="D867" s="14">
        <f t="shared" ca="1" si="131"/>
        <v>-0.45378066645100706</v>
      </c>
      <c r="E867" s="14">
        <f t="shared" ca="1" si="132"/>
        <v>-0.73951063129959971</v>
      </c>
      <c r="F867" s="14">
        <f t="shared" ca="1" si="133"/>
        <v>-0.73074781075679851</v>
      </c>
      <c r="G867" s="14">
        <f t="shared" ca="1" si="134"/>
        <v>0.3249933501451957</v>
      </c>
      <c r="H867" s="15">
        <f t="shared" ca="1" si="135"/>
        <v>0.22979849326440549</v>
      </c>
      <c r="I867" s="14">
        <f ca="1">IF(G867&lt;0.05,1,0)*$B$1*$B$2</f>
        <v>0</v>
      </c>
      <c r="J867" s="14">
        <f ca="1">IF(H867&lt;0.05,1,0)*$B$1*$B$2</f>
        <v>0</v>
      </c>
      <c r="K867" s="15">
        <f t="shared" ca="1" si="136"/>
        <v>0</v>
      </c>
      <c r="P867" s="3">
        <v>863</v>
      </c>
      <c r="Q867" s="4">
        <f t="shared" ca="1" si="137"/>
        <v>0.3249933501451957</v>
      </c>
      <c r="R867" s="4">
        <f t="shared" ca="1" si="138"/>
        <v>0.22979849326440549</v>
      </c>
      <c r="S867" s="4">
        <f ca="1">$B$1*Q867*$B$2</f>
        <v>12.999734005807831</v>
      </c>
      <c r="T867" s="4">
        <f ca="1">$B$1*R867*$B$2</f>
        <v>9.1919397305762214</v>
      </c>
      <c r="U867" s="7">
        <f t="shared" ca="1" si="139"/>
        <v>22.191673736384054</v>
      </c>
    </row>
    <row r="868" spans="2:21" x14ac:dyDescent="0.3">
      <c r="B868" s="13">
        <f t="shared" ca="1" si="130"/>
        <v>1.6453992488015934E-2</v>
      </c>
      <c r="C868" s="14">
        <f t="shared" ca="1" si="130"/>
        <v>0.19954342428166161</v>
      </c>
      <c r="D868" s="14">
        <f t="shared" ca="1" si="131"/>
        <v>-2.1332041240174107</v>
      </c>
      <c r="E868" s="14">
        <f t="shared" ca="1" si="132"/>
        <v>-0.84325320389860581</v>
      </c>
      <c r="F868" s="14">
        <f t="shared" ca="1" si="133"/>
        <v>-2.2874492615767616</v>
      </c>
      <c r="G868" s="14">
        <f t="shared" ca="1" si="134"/>
        <v>1.6453992488015923E-2</v>
      </c>
      <c r="H868" s="15">
        <f t="shared" ca="1" si="135"/>
        <v>0.19954342428166166</v>
      </c>
      <c r="I868" s="14">
        <f ca="1">IF(G868&lt;0.05,1,0)*$B$1*$B$2</f>
        <v>40</v>
      </c>
      <c r="J868" s="14">
        <f ca="1">IF(H868&lt;0.05,1,0)*$B$1*$B$2</f>
        <v>0</v>
      </c>
      <c r="K868" s="15">
        <f t="shared" ca="1" si="136"/>
        <v>40</v>
      </c>
      <c r="P868" s="3">
        <v>864</v>
      </c>
      <c r="Q868" s="4">
        <f t="shared" ca="1" si="137"/>
        <v>1.6453992488015923E-2</v>
      </c>
      <c r="R868" s="4">
        <f t="shared" ca="1" si="138"/>
        <v>0.19954342428166166</v>
      </c>
      <c r="S868" s="4">
        <f ca="1">$B$1*Q868*$B$2</f>
        <v>0.65815969952063691</v>
      </c>
      <c r="T868" s="4">
        <f ca="1">$B$1*R868*$B$2</f>
        <v>7.9817369712664679</v>
      </c>
      <c r="U868" s="7">
        <f t="shared" ca="1" si="139"/>
        <v>8.6398966707871043</v>
      </c>
    </row>
    <row r="869" spans="2:21" x14ac:dyDescent="0.3">
      <c r="B869" s="13">
        <f t="shared" ca="1" si="130"/>
        <v>0.45930209581763537</v>
      </c>
      <c r="C869" s="14">
        <f t="shared" ca="1" si="130"/>
        <v>0.50278349063973715</v>
      </c>
      <c r="D869" s="14">
        <f t="shared" ca="1" si="131"/>
        <v>-0.10219210828916496</v>
      </c>
      <c r="E869" s="14">
        <f t="shared" ca="1" si="132"/>
        <v>6.9772329500086532E-3</v>
      </c>
      <c r="F869" s="14">
        <f t="shared" ca="1" si="133"/>
        <v>-8.8931592126785475E-2</v>
      </c>
      <c r="G869" s="14">
        <f t="shared" ca="1" si="134"/>
        <v>0.45930209581763537</v>
      </c>
      <c r="H869" s="15">
        <f t="shared" ca="1" si="135"/>
        <v>0.50278349063973715</v>
      </c>
      <c r="I869" s="14">
        <f ca="1">IF(G869&lt;0.05,1,0)*$B$1*$B$2</f>
        <v>0</v>
      </c>
      <c r="J869" s="14">
        <f ca="1">IF(H869&lt;0.05,1,0)*$B$1*$B$2</f>
        <v>0</v>
      </c>
      <c r="K869" s="15">
        <f t="shared" ca="1" si="136"/>
        <v>0</v>
      </c>
      <c r="P869" s="3">
        <v>865</v>
      </c>
      <c r="Q869" s="4">
        <f t="shared" ca="1" si="137"/>
        <v>0.45930209581763537</v>
      </c>
      <c r="R869" s="4">
        <f t="shared" ca="1" si="138"/>
        <v>0.50278349063973715</v>
      </c>
      <c r="S869" s="4">
        <f ca="1">$B$1*Q869*$B$2</f>
        <v>18.372083832705414</v>
      </c>
      <c r="T869" s="4">
        <f ca="1">$B$1*R869*$B$2</f>
        <v>20.111339625589487</v>
      </c>
      <c r="U869" s="7">
        <f t="shared" ca="1" si="139"/>
        <v>38.483423458294901</v>
      </c>
    </row>
    <row r="870" spans="2:21" x14ac:dyDescent="0.3">
      <c r="B870" s="13">
        <f t="shared" ref="B870:C901" ca="1" si="140">RAND()</f>
        <v>0.91675414409248757</v>
      </c>
      <c r="C870" s="14">
        <f t="shared" ca="1" si="140"/>
        <v>0.11001727118676197</v>
      </c>
      <c r="D870" s="14">
        <f t="shared" ca="1" si="131"/>
        <v>1.383564933684434</v>
      </c>
      <c r="E870" s="14">
        <f t="shared" ca="1" si="132"/>
        <v>-1.2264362745721029</v>
      </c>
      <c r="F870" s="14">
        <f t="shared" ca="1" si="133"/>
        <v>0.71061726216076082</v>
      </c>
      <c r="G870" s="14">
        <f t="shared" ca="1" si="134"/>
        <v>0.91675414409248768</v>
      </c>
      <c r="H870" s="15">
        <f t="shared" ca="1" si="135"/>
        <v>0.11001727118676191</v>
      </c>
      <c r="I870" s="14">
        <f ca="1">IF(G870&lt;0.05,1,0)*$B$1*$B$2</f>
        <v>0</v>
      </c>
      <c r="J870" s="14">
        <f ca="1">IF(H870&lt;0.05,1,0)*$B$1*$B$2</f>
        <v>0</v>
      </c>
      <c r="K870" s="15">
        <f t="shared" ca="1" si="136"/>
        <v>0</v>
      </c>
      <c r="P870" s="3">
        <v>866</v>
      </c>
      <c r="Q870" s="4">
        <f t="shared" ca="1" si="137"/>
        <v>0.91675414409248768</v>
      </c>
      <c r="R870" s="4">
        <f t="shared" ca="1" si="138"/>
        <v>0.11001727118676191</v>
      </c>
      <c r="S870" s="4">
        <f ca="1">$B$1*Q870*$B$2</f>
        <v>36.670165763699508</v>
      </c>
      <c r="T870" s="4">
        <f ca="1">$B$1*R870*$B$2</f>
        <v>4.4006908474704769</v>
      </c>
      <c r="U870" s="7">
        <f t="shared" ca="1" si="139"/>
        <v>41.070856611169987</v>
      </c>
    </row>
    <row r="871" spans="2:21" x14ac:dyDescent="0.3">
      <c r="B871" s="13">
        <f t="shared" ca="1" si="140"/>
        <v>0.22888437548410834</v>
      </c>
      <c r="C871" s="14">
        <f t="shared" ca="1" si="140"/>
        <v>0.61581641634761575</v>
      </c>
      <c r="D871" s="14">
        <f t="shared" ca="1" si="131"/>
        <v>-0.74252592396287742</v>
      </c>
      <c r="E871" s="14">
        <f t="shared" ca="1" si="132"/>
        <v>0.29451138200768306</v>
      </c>
      <c r="F871" s="14">
        <f t="shared" ca="1" si="133"/>
        <v>-0.5398987963771904</v>
      </c>
      <c r="G871" s="14">
        <f t="shared" ca="1" si="134"/>
        <v>0.22888437548410825</v>
      </c>
      <c r="H871" s="15">
        <f t="shared" ca="1" si="135"/>
        <v>0.61581641634761586</v>
      </c>
      <c r="I871" s="14">
        <f ca="1">IF(G871&lt;0.05,1,0)*$B$1*$B$2</f>
        <v>0</v>
      </c>
      <c r="J871" s="14">
        <f ca="1">IF(H871&lt;0.05,1,0)*$B$1*$B$2</f>
        <v>0</v>
      </c>
      <c r="K871" s="15">
        <f t="shared" ca="1" si="136"/>
        <v>0</v>
      </c>
      <c r="P871" s="3">
        <v>867</v>
      </c>
      <c r="Q871" s="4">
        <f t="shared" ca="1" si="137"/>
        <v>0.22888437548410825</v>
      </c>
      <c r="R871" s="4">
        <f t="shared" ca="1" si="138"/>
        <v>0.61581641634761586</v>
      </c>
      <c r="S871" s="4">
        <f ca="1">$B$1*Q871*$B$2</f>
        <v>9.15537501936433</v>
      </c>
      <c r="T871" s="4">
        <f ca="1">$B$1*R871*$B$2</f>
        <v>24.632656653904636</v>
      </c>
      <c r="U871" s="7">
        <f t="shared" ca="1" si="139"/>
        <v>33.788031673268968</v>
      </c>
    </row>
    <row r="872" spans="2:21" x14ac:dyDescent="0.3">
      <c r="B872" s="13">
        <f t="shared" ca="1" si="140"/>
        <v>8.7287040216787015E-2</v>
      </c>
      <c r="C872" s="14">
        <f t="shared" ca="1" si="140"/>
        <v>0.288779905091892</v>
      </c>
      <c r="D872" s="14">
        <f t="shared" ca="1" si="131"/>
        <v>-1.3576521700897213</v>
      </c>
      <c r="E872" s="14">
        <f t="shared" ca="1" si="132"/>
        <v>-0.5569526070120745</v>
      </c>
      <c r="F872" s="14">
        <f t="shared" ca="1" si="133"/>
        <v>-1.4646569661114648</v>
      </c>
      <c r="G872" s="14">
        <f t="shared" ca="1" si="134"/>
        <v>8.7287040216787057E-2</v>
      </c>
      <c r="H872" s="15">
        <f t="shared" ca="1" si="135"/>
        <v>0.288779905091892</v>
      </c>
      <c r="I872" s="14">
        <f ca="1">IF(G872&lt;0.05,1,0)*$B$1*$B$2</f>
        <v>0</v>
      </c>
      <c r="J872" s="14">
        <f ca="1">IF(H872&lt;0.05,1,0)*$B$1*$B$2</f>
        <v>0</v>
      </c>
      <c r="K872" s="15">
        <f t="shared" ca="1" si="136"/>
        <v>0</v>
      </c>
      <c r="P872" s="3">
        <v>868</v>
      </c>
      <c r="Q872" s="4">
        <f t="shared" ca="1" si="137"/>
        <v>8.7287040216787057E-2</v>
      </c>
      <c r="R872" s="4">
        <f t="shared" ca="1" si="138"/>
        <v>0.288779905091892</v>
      </c>
      <c r="S872" s="4">
        <f ca="1">$B$1*Q872*$B$2</f>
        <v>3.4914816086714824</v>
      </c>
      <c r="T872" s="4">
        <f ca="1">$B$1*R872*$B$2</f>
        <v>11.55119620367568</v>
      </c>
      <c r="U872" s="7">
        <f t="shared" ca="1" si="139"/>
        <v>15.042677812347161</v>
      </c>
    </row>
    <row r="873" spans="2:21" x14ac:dyDescent="0.3">
      <c r="B873" s="13">
        <f t="shared" ca="1" si="140"/>
        <v>0.28413619687485692</v>
      </c>
      <c r="C873" s="14">
        <f t="shared" ca="1" si="140"/>
        <v>0.53182968629706073</v>
      </c>
      <c r="D873" s="14">
        <f t="shared" ca="1" si="131"/>
        <v>-0.57059767671305017</v>
      </c>
      <c r="E873" s="14">
        <f t="shared" ca="1" si="132"/>
        <v>7.9870028549843083E-2</v>
      </c>
      <c r="F873" s="14">
        <f t="shared" ca="1" si="133"/>
        <v>-0.47872337073509769</v>
      </c>
      <c r="G873" s="14">
        <f t="shared" ca="1" si="134"/>
        <v>0.28413619687485681</v>
      </c>
      <c r="H873" s="15">
        <f t="shared" ca="1" si="135"/>
        <v>0.53182968629706073</v>
      </c>
      <c r="I873" s="14">
        <f ca="1">IF(G873&lt;0.05,1,0)*$B$1*$B$2</f>
        <v>0</v>
      </c>
      <c r="J873" s="14">
        <f ca="1">IF(H873&lt;0.05,1,0)*$B$1*$B$2</f>
        <v>0</v>
      </c>
      <c r="K873" s="15">
        <f t="shared" ca="1" si="136"/>
        <v>0</v>
      </c>
      <c r="P873" s="3">
        <v>869</v>
      </c>
      <c r="Q873" s="4">
        <f t="shared" ca="1" si="137"/>
        <v>0.28413619687485681</v>
      </c>
      <c r="R873" s="4">
        <f t="shared" ca="1" si="138"/>
        <v>0.53182968629706073</v>
      </c>
      <c r="S873" s="4">
        <f ca="1">$B$1*Q873*$B$2</f>
        <v>11.365447874994274</v>
      </c>
      <c r="T873" s="4">
        <f ca="1">$B$1*R873*$B$2</f>
        <v>21.273187451882432</v>
      </c>
      <c r="U873" s="7">
        <f t="shared" ca="1" si="139"/>
        <v>32.63863532687671</v>
      </c>
    </row>
    <row r="874" spans="2:21" x14ac:dyDescent="0.3">
      <c r="B874" s="13">
        <f t="shared" ca="1" si="140"/>
        <v>0.5082707519292502</v>
      </c>
      <c r="C874" s="14">
        <f t="shared" ca="1" si="140"/>
        <v>0.71434036935965151</v>
      </c>
      <c r="D874" s="14">
        <f t="shared" ca="1" si="131"/>
        <v>2.073318595437278E-2</v>
      </c>
      <c r="E874" s="14">
        <f t="shared" ca="1" si="132"/>
        <v>0.56610962414748078</v>
      </c>
      <c r="F874" s="14">
        <f t="shared" ca="1" si="133"/>
        <v>0.26542133162140163</v>
      </c>
      <c r="G874" s="14">
        <f t="shared" ca="1" si="134"/>
        <v>0.5082707519292502</v>
      </c>
      <c r="H874" s="15">
        <f t="shared" ca="1" si="135"/>
        <v>0.71434036935965151</v>
      </c>
      <c r="I874" s="14">
        <f ca="1">IF(G874&lt;0.05,1,0)*$B$1*$B$2</f>
        <v>0</v>
      </c>
      <c r="J874" s="14">
        <f ca="1">IF(H874&lt;0.05,1,0)*$B$1*$B$2</f>
        <v>0</v>
      </c>
      <c r="K874" s="15">
        <f t="shared" ca="1" si="136"/>
        <v>0</v>
      </c>
      <c r="P874" s="3">
        <v>870</v>
      </c>
      <c r="Q874" s="4">
        <f t="shared" ca="1" si="137"/>
        <v>0.5082707519292502</v>
      </c>
      <c r="R874" s="4">
        <f t="shared" ca="1" si="138"/>
        <v>0.71434036935965151</v>
      </c>
      <c r="S874" s="4">
        <f ca="1">$B$1*Q874*$B$2</f>
        <v>20.33083007717001</v>
      </c>
      <c r="T874" s="4">
        <f ca="1">$B$1*R874*$B$2</f>
        <v>28.573614774386062</v>
      </c>
      <c r="U874" s="7">
        <f t="shared" ca="1" si="139"/>
        <v>48.904444851556072</v>
      </c>
    </row>
    <row r="875" spans="2:21" x14ac:dyDescent="0.3">
      <c r="B875" s="13">
        <f t="shared" ca="1" si="140"/>
        <v>0.37835015259192262</v>
      </c>
      <c r="C875" s="14">
        <f t="shared" ca="1" si="140"/>
        <v>7.3832935281718637E-2</v>
      </c>
      <c r="D875" s="14">
        <f t="shared" ca="1" si="131"/>
        <v>-0.3098167606359209</v>
      </c>
      <c r="E875" s="14">
        <f t="shared" ca="1" si="132"/>
        <v>-1.4478254595592883</v>
      </c>
      <c r="F875" s="14">
        <f t="shared" ca="1" si="133"/>
        <v>-0.90992757118275591</v>
      </c>
      <c r="G875" s="14">
        <f t="shared" ca="1" si="134"/>
        <v>0.37835015259192262</v>
      </c>
      <c r="H875" s="15">
        <f t="shared" ca="1" si="135"/>
        <v>7.3832935281718623E-2</v>
      </c>
      <c r="I875" s="14">
        <f ca="1">IF(G875&lt;0.05,1,0)*$B$1*$B$2</f>
        <v>0</v>
      </c>
      <c r="J875" s="14">
        <f ca="1">IF(H875&lt;0.05,1,0)*$B$1*$B$2</f>
        <v>0</v>
      </c>
      <c r="K875" s="15">
        <f t="shared" ca="1" si="136"/>
        <v>0</v>
      </c>
      <c r="P875" s="3">
        <v>871</v>
      </c>
      <c r="Q875" s="4">
        <f t="shared" ca="1" si="137"/>
        <v>0.37835015259192262</v>
      </c>
      <c r="R875" s="4">
        <f t="shared" ca="1" si="138"/>
        <v>7.3832935281718623E-2</v>
      </c>
      <c r="S875" s="4">
        <f ca="1">$B$1*Q875*$B$2</f>
        <v>15.134006103676905</v>
      </c>
      <c r="T875" s="4">
        <f ca="1">$B$1*R875*$B$2</f>
        <v>2.953317411268745</v>
      </c>
      <c r="U875" s="7">
        <f t="shared" ca="1" si="139"/>
        <v>18.087323514945648</v>
      </c>
    </row>
    <row r="876" spans="2:21" x14ac:dyDescent="0.3">
      <c r="B876" s="13">
        <f t="shared" ca="1" si="140"/>
        <v>7.9501187812055507E-2</v>
      </c>
      <c r="C876" s="14">
        <f t="shared" ca="1" si="140"/>
        <v>0.64351096950806408</v>
      </c>
      <c r="D876" s="14">
        <f t="shared" ca="1" si="131"/>
        <v>-1.408434749407971</v>
      </c>
      <c r="E876" s="14">
        <f t="shared" ca="1" si="132"/>
        <v>0.3678594185696385</v>
      </c>
      <c r="F876" s="14">
        <f t="shared" ca="1" si="133"/>
        <v>-1.1072450713697057</v>
      </c>
      <c r="G876" s="14">
        <f t="shared" ca="1" si="134"/>
        <v>7.950118781205541E-2</v>
      </c>
      <c r="H876" s="15">
        <f t="shared" ca="1" si="135"/>
        <v>0.64351096950806408</v>
      </c>
      <c r="I876" s="14">
        <f ca="1">IF(G876&lt;0.05,1,0)*$B$1*$B$2</f>
        <v>0</v>
      </c>
      <c r="J876" s="14">
        <f ca="1">IF(H876&lt;0.05,1,0)*$B$1*$B$2</f>
        <v>0</v>
      </c>
      <c r="K876" s="15">
        <f t="shared" ca="1" si="136"/>
        <v>0</v>
      </c>
      <c r="P876" s="3">
        <v>872</v>
      </c>
      <c r="Q876" s="4">
        <f t="shared" ca="1" si="137"/>
        <v>7.950118781205541E-2</v>
      </c>
      <c r="R876" s="4">
        <f t="shared" ca="1" si="138"/>
        <v>0.64351096950806408</v>
      </c>
      <c r="S876" s="4">
        <f ca="1">$B$1*Q876*$B$2</f>
        <v>3.1800475124822167</v>
      </c>
      <c r="T876" s="4">
        <f ca="1">$B$1*R876*$B$2</f>
        <v>25.740438780322563</v>
      </c>
      <c r="U876" s="7">
        <f t="shared" ca="1" si="139"/>
        <v>28.920486292804782</v>
      </c>
    </row>
    <row r="877" spans="2:21" x14ac:dyDescent="0.3">
      <c r="B877" s="13">
        <f t="shared" ca="1" si="140"/>
        <v>0.43695126721694721</v>
      </c>
      <c r="C877" s="14">
        <f t="shared" ca="1" si="140"/>
        <v>0.81237781254806873</v>
      </c>
      <c r="D877" s="14">
        <f t="shared" ca="1" si="131"/>
        <v>-0.15870343158423403</v>
      </c>
      <c r="E877" s="14">
        <f t="shared" ca="1" si="132"/>
        <v>0.88669269024946629</v>
      </c>
      <c r="F877" s="14">
        <f t="shared" ca="1" si="133"/>
        <v>0.24366729465155293</v>
      </c>
      <c r="G877" s="14">
        <f t="shared" ca="1" si="134"/>
        <v>0.43695126721694721</v>
      </c>
      <c r="H877" s="15">
        <f t="shared" ca="1" si="135"/>
        <v>0.81237781254806885</v>
      </c>
      <c r="I877" s="14">
        <f ca="1">IF(G877&lt;0.05,1,0)*$B$1*$B$2</f>
        <v>0</v>
      </c>
      <c r="J877" s="14">
        <f ca="1">IF(H877&lt;0.05,1,0)*$B$1*$B$2</f>
        <v>0</v>
      </c>
      <c r="K877" s="15">
        <f t="shared" ca="1" si="136"/>
        <v>0</v>
      </c>
      <c r="P877" s="3">
        <v>873</v>
      </c>
      <c r="Q877" s="4">
        <f t="shared" ca="1" si="137"/>
        <v>0.43695126721694721</v>
      </c>
      <c r="R877" s="4">
        <f t="shared" ca="1" si="138"/>
        <v>0.81237781254806885</v>
      </c>
      <c r="S877" s="4">
        <f ca="1">$B$1*Q877*$B$2</f>
        <v>17.478050688677889</v>
      </c>
      <c r="T877" s="4">
        <f ca="1">$B$1*R877*$B$2</f>
        <v>32.495112501922755</v>
      </c>
      <c r="U877" s="7">
        <f t="shared" ca="1" si="139"/>
        <v>49.973163190600644</v>
      </c>
    </row>
    <row r="878" spans="2:21" x14ac:dyDescent="0.3">
      <c r="B878" s="13">
        <f t="shared" ca="1" si="140"/>
        <v>0.49647304522974334</v>
      </c>
      <c r="C878" s="14">
        <f t="shared" ca="1" si="140"/>
        <v>0.65127667799419198</v>
      </c>
      <c r="D878" s="14">
        <f t="shared" ca="1" si="131"/>
        <v>-8.840879718013589E-3</v>
      </c>
      <c r="E878" s="14">
        <f t="shared" ca="1" si="132"/>
        <v>0.3887695282240613</v>
      </c>
      <c r="F878" s="14">
        <f t="shared" ca="1" si="133"/>
        <v>0.16150391683945445</v>
      </c>
      <c r="G878" s="14">
        <f t="shared" ca="1" si="134"/>
        <v>0.49647304522974334</v>
      </c>
      <c r="H878" s="15">
        <f t="shared" ca="1" si="135"/>
        <v>0.65127667799419209</v>
      </c>
      <c r="I878" s="14">
        <f ca="1">IF(G878&lt;0.05,1,0)*$B$1*$B$2</f>
        <v>0</v>
      </c>
      <c r="J878" s="14">
        <f ca="1">IF(H878&lt;0.05,1,0)*$B$1*$B$2</f>
        <v>0</v>
      </c>
      <c r="K878" s="15">
        <f t="shared" ca="1" si="136"/>
        <v>0</v>
      </c>
      <c r="P878" s="3">
        <v>874</v>
      </c>
      <c r="Q878" s="4">
        <f t="shared" ca="1" si="137"/>
        <v>0.49647304522974334</v>
      </c>
      <c r="R878" s="4">
        <f t="shared" ca="1" si="138"/>
        <v>0.65127667799419209</v>
      </c>
      <c r="S878" s="4">
        <f ca="1">$B$1*Q878*$B$2</f>
        <v>19.858921809189734</v>
      </c>
      <c r="T878" s="4">
        <f ca="1">$B$1*R878*$B$2</f>
        <v>26.051067119767687</v>
      </c>
      <c r="U878" s="7">
        <f t="shared" ca="1" si="139"/>
        <v>45.909988928957418</v>
      </c>
    </row>
    <row r="879" spans="2:21" x14ac:dyDescent="0.3">
      <c r="B879" s="13">
        <f t="shared" ca="1" si="140"/>
        <v>0.189433105918697</v>
      </c>
      <c r="C879" s="14">
        <f t="shared" ca="1" si="140"/>
        <v>7.6504297160591594E-2</v>
      </c>
      <c r="D879" s="14">
        <f t="shared" ca="1" si="131"/>
        <v>-0.87998725883470386</v>
      </c>
      <c r="E879" s="14">
        <f t="shared" ca="1" si="132"/>
        <v>-1.4289848276291708</v>
      </c>
      <c r="F879" s="14">
        <f t="shared" ca="1" si="133"/>
        <v>-1.4148685785000779</v>
      </c>
      <c r="G879" s="14">
        <f t="shared" ca="1" si="134"/>
        <v>0.18943310591869694</v>
      </c>
      <c r="H879" s="15">
        <f t="shared" ca="1" si="135"/>
        <v>7.6504297160591775E-2</v>
      </c>
      <c r="I879" s="14">
        <f ca="1">IF(G879&lt;0.05,1,0)*$B$1*$B$2</f>
        <v>0</v>
      </c>
      <c r="J879" s="14">
        <f ca="1">IF(H879&lt;0.05,1,0)*$B$1*$B$2</f>
        <v>0</v>
      </c>
      <c r="K879" s="15">
        <f t="shared" ca="1" si="136"/>
        <v>0</v>
      </c>
      <c r="P879" s="3">
        <v>875</v>
      </c>
      <c r="Q879" s="4">
        <f t="shared" ca="1" si="137"/>
        <v>0.18943310591869694</v>
      </c>
      <c r="R879" s="4">
        <f t="shared" ca="1" si="138"/>
        <v>7.6504297160591775E-2</v>
      </c>
      <c r="S879" s="4">
        <f ca="1">$B$1*Q879*$B$2</f>
        <v>7.5773242367478773</v>
      </c>
      <c r="T879" s="4">
        <f ca="1">$B$1*R879*$B$2</f>
        <v>3.0601718864236709</v>
      </c>
      <c r="U879" s="7">
        <f t="shared" ca="1" si="139"/>
        <v>10.637496123171548</v>
      </c>
    </row>
    <row r="880" spans="2:21" x14ac:dyDescent="0.3">
      <c r="B880" s="13">
        <f t="shared" ca="1" si="140"/>
        <v>0.9176215002873801</v>
      </c>
      <c r="C880" s="14">
        <f t="shared" ca="1" si="140"/>
        <v>0.75188876912882707</v>
      </c>
      <c r="D880" s="14">
        <f t="shared" ca="1" si="131"/>
        <v>1.3892491540957224</v>
      </c>
      <c r="E880" s="14">
        <f t="shared" ca="1" si="132"/>
        <v>0.68044543304256266</v>
      </c>
      <c r="F880" s="14">
        <f t="shared" ca="1" si="133"/>
        <v>1.5469235266087804</v>
      </c>
      <c r="G880" s="14">
        <f t="shared" ca="1" si="134"/>
        <v>0.9176215002873801</v>
      </c>
      <c r="H880" s="15">
        <f t="shared" ca="1" si="135"/>
        <v>0.75188876912882707</v>
      </c>
      <c r="I880" s="14">
        <f ca="1">IF(G880&lt;0.05,1,0)*$B$1*$B$2</f>
        <v>0</v>
      </c>
      <c r="J880" s="14">
        <f ca="1">IF(H880&lt;0.05,1,0)*$B$1*$B$2</f>
        <v>0</v>
      </c>
      <c r="K880" s="15">
        <f t="shared" ca="1" si="136"/>
        <v>0</v>
      </c>
      <c r="P880" s="3">
        <v>876</v>
      </c>
      <c r="Q880" s="4">
        <f t="shared" ca="1" si="137"/>
        <v>0.9176215002873801</v>
      </c>
      <c r="R880" s="4">
        <f t="shared" ca="1" si="138"/>
        <v>0.75188876912882707</v>
      </c>
      <c r="S880" s="4">
        <f ca="1">$B$1*Q880*$B$2</f>
        <v>36.704860011495207</v>
      </c>
      <c r="T880" s="4">
        <f ca="1">$B$1*R880*$B$2</f>
        <v>30.075550765153082</v>
      </c>
      <c r="U880" s="7">
        <f t="shared" ca="1" si="139"/>
        <v>66.780410776648296</v>
      </c>
    </row>
    <row r="881" spans="2:21" x14ac:dyDescent="0.3">
      <c r="B881" s="13">
        <f t="shared" ca="1" si="140"/>
        <v>0.57812809205779891</v>
      </c>
      <c r="C881" s="14">
        <f t="shared" ca="1" si="140"/>
        <v>0.56740519662986844</v>
      </c>
      <c r="D881" s="14">
        <f t="shared" ca="1" si="131"/>
        <v>0.1971069869602273</v>
      </c>
      <c r="E881" s="14">
        <f t="shared" ca="1" si="132"/>
        <v>0.1697717981531498</v>
      </c>
      <c r="F881" s="14">
        <f t="shared" ca="1" si="133"/>
        <v>0.25139809942548108</v>
      </c>
      <c r="G881" s="14">
        <f t="shared" ca="1" si="134"/>
        <v>0.57812809205779891</v>
      </c>
      <c r="H881" s="15">
        <f t="shared" ca="1" si="135"/>
        <v>0.56740519662986844</v>
      </c>
      <c r="I881" s="14">
        <f ca="1">IF(G881&lt;0.05,1,0)*$B$1*$B$2</f>
        <v>0</v>
      </c>
      <c r="J881" s="14">
        <f ca="1">IF(H881&lt;0.05,1,0)*$B$1*$B$2</f>
        <v>0</v>
      </c>
      <c r="K881" s="15">
        <f t="shared" ca="1" si="136"/>
        <v>0</v>
      </c>
      <c r="P881" s="3">
        <v>877</v>
      </c>
      <c r="Q881" s="4">
        <f t="shared" ca="1" si="137"/>
        <v>0.57812809205779891</v>
      </c>
      <c r="R881" s="4">
        <f t="shared" ca="1" si="138"/>
        <v>0.56740519662986844</v>
      </c>
      <c r="S881" s="4">
        <f ca="1">$B$1*Q881*$B$2</f>
        <v>23.125123682311958</v>
      </c>
      <c r="T881" s="4">
        <f ca="1">$B$1*R881*$B$2</f>
        <v>22.696207865194737</v>
      </c>
      <c r="U881" s="7">
        <f t="shared" ca="1" si="139"/>
        <v>45.821331547506695</v>
      </c>
    </row>
    <row r="882" spans="2:21" x14ac:dyDescent="0.3">
      <c r="B882" s="13">
        <f t="shared" ca="1" si="140"/>
        <v>0.32224004687328622</v>
      </c>
      <c r="C882" s="14">
        <f t="shared" ca="1" si="140"/>
        <v>0.84709973724981114</v>
      </c>
      <c r="D882" s="14">
        <f t="shared" ca="1" si="131"/>
        <v>-0.4614439945790878</v>
      </c>
      <c r="E882" s="14">
        <f t="shared" ca="1" si="132"/>
        <v>1.0240735731063553</v>
      </c>
      <c r="F882" s="14">
        <f t="shared" ca="1" si="133"/>
        <v>3.1083726470942374E-2</v>
      </c>
      <c r="G882" s="14">
        <f t="shared" ca="1" si="134"/>
        <v>0.32224004687328611</v>
      </c>
      <c r="H882" s="15">
        <f t="shared" ca="1" si="135"/>
        <v>0.84709973724981102</v>
      </c>
      <c r="I882" s="14">
        <f ca="1">IF(G882&lt;0.05,1,0)*$B$1*$B$2</f>
        <v>0</v>
      </c>
      <c r="J882" s="14">
        <f ca="1">IF(H882&lt;0.05,1,0)*$B$1*$B$2</f>
        <v>0</v>
      </c>
      <c r="K882" s="15">
        <f t="shared" ca="1" si="136"/>
        <v>0</v>
      </c>
      <c r="P882" s="3">
        <v>878</v>
      </c>
      <c r="Q882" s="4">
        <f t="shared" ca="1" si="137"/>
        <v>0.32224004687328611</v>
      </c>
      <c r="R882" s="4">
        <f t="shared" ca="1" si="138"/>
        <v>0.84709973724981102</v>
      </c>
      <c r="S882" s="4">
        <f ca="1">$B$1*Q882*$B$2</f>
        <v>12.889601874931444</v>
      </c>
      <c r="T882" s="4">
        <f ca="1">$B$1*R882*$B$2</f>
        <v>33.883989489992437</v>
      </c>
      <c r="U882" s="7">
        <f t="shared" ca="1" si="139"/>
        <v>46.773591364923881</v>
      </c>
    </row>
    <row r="883" spans="2:21" x14ac:dyDescent="0.3">
      <c r="B883" s="13">
        <f t="shared" ca="1" si="140"/>
        <v>0.54241019345372987</v>
      </c>
      <c r="C883" s="14">
        <f t="shared" ca="1" si="140"/>
        <v>0.70645829959705986</v>
      </c>
      <c r="D883" s="14">
        <f t="shared" ca="1" si="131"/>
        <v>0.10650761599359311</v>
      </c>
      <c r="E883" s="14">
        <f t="shared" ca="1" si="132"/>
        <v>0.54306739485519362</v>
      </c>
      <c r="F883" s="14">
        <f t="shared" ca="1" si="133"/>
        <v>0.33257444376480272</v>
      </c>
      <c r="G883" s="14">
        <f t="shared" ca="1" si="134"/>
        <v>0.54241019345372987</v>
      </c>
      <c r="H883" s="15">
        <f t="shared" ca="1" si="135"/>
        <v>0.70645829959705986</v>
      </c>
      <c r="I883" s="14">
        <f ca="1">IF(G883&lt;0.05,1,0)*$B$1*$B$2</f>
        <v>0</v>
      </c>
      <c r="J883" s="14">
        <f ca="1">IF(H883&lt;0.05,1,0)*$B$1*$B$2</f>
        <v>0</v>
      </c>
      <c r="K883" s="15">
        <f t="shared" ca="1" si="136"/>
        <v>0</v>
      </c>
      <c r="P883" s="3">
        <v>879</v>
      </c>
      <c r="Q883" s="4">
        <f t="shared" ca="1" si="137"/>
        <v>0.54241019345372987</v>
      </c>
      <c r="R883" s="4">
        <f t="shared" ca="1" si="138"/>
        <v>0.70645829959705986</v>
      </c>
      <c r="S883" s="4">
        <f ca="1">$B$1*Q883*$B$2</f>
        <v>21.696407738149198</v>
      </c>
      <c r="T883" s="4">
        <f ca="1">$B$1*R883*$B$2</f>
        <v>28.2583319838824</v>
      </c>
      <c r="U883" s="7">
        <f t="shared" ca="1" si="139"/>
        <v>49.954739722031597</v>
      </c>
    </row>
    <row r="884" spans="2:21" x14ac:dyDescent="0.3">
      <c r="B884" s="13">
        <f t="shared" ca="1" si="140"/>
        <v>0.95874953756277981</v>
      </c>
      <c r="C884" s="14">
        <f t="shared" ca="1" si="140"/>
        <v>0.6366924463799144</v>
      </c>
      <c r="D884" s="14">
        <f t="shared" ca="1" si="131"/>
        <v>1.7363558995254833</v>
      </c>
      <c r="E884" s="14">
        <f t="shared" ca="1" si="132"/>
        <v>0.34963171366607687</v>
      </c>
      <c r="F884" s="14">
        <f t="shared" ca="1" si="133"/>
        <v>1.7151212403056726</v>
      </c>
      <c r="G884" s="14">
        <f t="shared" ca="1" si="134"/>
        <v>0.95874953756277981</v>
      </c>
      <c r="H884" s="15">
        <f t="shared" ca="1" si="135"/>
        <v>0.6366924463799144</v>
      </c>
      <c r="I884" s="14">
        <f ca="1">IF(G884&lt;0.05,1,0)*$B$1*$B$2</f>
        <v>0</v>
      </c>
      <c r="J884" s="14">
        <f ca="1">IF(H884&lt;0.05,1,0)*$B$1*$B$2</f>
        <v>0</v>
      </c>
      <c r="K884" s="15">
        <f t="shared" ca="1" si="136"/>
        <v>0</v>
      </c>
      <c r="P884" s="3">
        <v>880</v>
      </c>
      <c r="Q884" s="4">
        <f t="shared" ca="1" si="137"/>
        <v>0.95874953756277981</v>
      </c>
      <c r="R884" s="4">
        <f t="shared" ca="1" si="138"/>
        <v>0.6366924463799144</v>
      </c>
      <c r="S884" s="4">
        <f ca="1">$B$1*Q884*$B$2</f>
        <v>38.349981502511191</v>
      </c>
      <c r="T884" s="4">
        <f ca="1">$B$1*R884*$B$2</f>
        <v>25.467697855196576</v>
      </c>
      <c r="U884" s="7">
        <f t="shared" ca="1" si="139"/>
        <v>63.817679357707767</v>
      </c>
    </row>
    <row r="885" spans="2:21" x14ac:dyDescent="0.3">
      <c r="B885" s="13">
        <f t="shared" ca="1" si="140"/>
        <v>7.1577664640948169E-2</v>
      </c>
      <c r="C885" s="14">
        <f t="shared" ca="1" si="140"/>
        <v>0.62995398306975492</v>
      </c>
      <c r="D885" s="14">
        <f t="shared" ca="1" si="131"/>
        <v>-1.4641413570405826</v>
      </c>
      <c r="E885" s="14">
        <f t="shared" ca="1" si="132"/>
        <v>0.33173147203602182</v>
      </c>
      <c r="F885" s="14">
        <f t="shared" ca="1" si="133"/>
        <v>-1.1731288250368235</v>
      </c>
      <c r="G885" s="14">
        <f t="shared" ca="1" si="134"/>
        <v>7.1577664640948155E-2</v>
      </c>
      <c r="H885" s="15">
        <f t="shared" ca="1" si="135"/>
        <v>0.62995398306975492</v>
      </c>
      <c r="I885" s="14">
        <f ca="1">IF(G885&lt;0.05,1,0)*$B$1*$B$2</f>
        <v>0</v>
      </c>
      <c r="J885" s="14">
        <f ca="1">IF(H885&lt;0.05,1,0)*$B$1*$B$2</f>
        <v>0</v>
      </c>
      <c r="K885" s="15">
        <f t="shared" ca="1" si="136"/>
        <v>0</v>
      </c>
      <c r="P885" s="3">
        <v>881</v>
      </c>
      <c r="Q885" s="4">
        <f t="shared" ca="1" si="137"/>
        <v>7.1577664640948155E-2</v>
      </c>
      <c r="R885" s="4">
        <f t="shared" ca="1" si="138"/>
        <v>0.62995398306975492</v>
      </c>
      <c r="S885" s="4">
        <f ca="1">$B$1*Q885*$B$2</f>
        <v>2.8631065856379263</v>
      </c>
      <c r="T885" s="4">
        <f ca="1">$B$1*R885*$B$2</f>
        <v>25.198159322790197</v>
      </c>
      <c r="U885" s="7">
        <f t="shared" ca="1" si="139"/>
        <v>28.061265908428123</v>
      </c>
    </row>
    <row r="886" spans="2:21" x14ac:dyDescent="0.3">
      <c r="B886" s="13">
        <f t="shared" ca="1" si="140"/>
        <v>9.8141728726318656E-2</v>
      </c>
      <c r="C886" s="14">
        <f t="shared" ca="1" si="140"/>
        <v>0.1280948166975735</v>
      </c>
      <c r="D886" s="14">
        <f t="shared" ca="1" si="131"/>
        <v>-1.292212807734691</v>
      </c>
      <c r="E886" s="14">
        <f t="shared" ca="1" si="132"/>
        <v>-1.1354432823968628</v>
      </c>
      <c r="F886" s="14">
        <f t="shared" ca="1" si="133"/>
        <v>-1.6579197793702258</v>
      </c>
      <c r="G886" s="14">
        <f t="shared" ca="1" si="134"/>
        <v>9.8141728726318544E-2</v>
      </c>
      <c r="H886" s="15">
        <f t="shared" ca="1" si="135"/>
        <v>0.12809481669757342</v>
      </c>
      <c r="I886" s="14">
        <f ca="1">IF(G886&lt;0.05,1,0)*$B$1*$B$2</f>
        <v>0</v>
      </c>
      <c r="J886" s="14">
        <f ca="1">IF(H886&lt;0.05,1,0)*$B$1*$B$2</f>
        <v>0</v>
      </c>
      <c r="K886" s="15">
        <f t="shared" ca="1" si="136"/>
        <v>0</v>
      </c>
      <c r="P886" s="3">
        <v>882</v>
      </c>
      <c r="Q886" s="4">
        <f t="shared" ca="1" si="137"/>
        <v>9.8141728726318544E-2</v>
      </c>
      <c r="R886" s="4">
        <f t="shared" ca="1" si="138"/>
        <v>0.12809481669757342</v>
      </c>
      <c r="S886" s="4">
        <f ca="1">$B$1*Q886*$B$2</f>
        <v>3.9256691490527418</v>
      </c>
      <c r="T886" s="4">
        <f ca="1">$B$1*R886*$B$2</f>
        <v>5.1237926679029364</v>
      </c>
      <c r="U886" s="7">
        <f t="shared" ca="1" si="139"/>
        <v>9.0494618169556773</v>
      </c>
    </row>
    <row r="887" spans="2:21" x14ac:dyDescent="0.3">
      <c r="B887" s="13">
        <f t="shared" ca="1" si="140"/>
        <v>0.48027443369913647</v>
      </c>
      <c r="C887" s="14">
        <f t="shared" ca="1" si="140"/>
        <v>0.69585609913619551</v>
      </c>
      <c r="D887" s="14">
        <f t="shared" ca="1" si="131"/>
        <v>-4.9464826322720028E-2</v>
      </c>
      <c r="E887" s="14">
        <f t="shared" ca="1" si="132"/>
        <v>0.51251903509288343</v>
      </c>
      <c r="F887" s="14">
        <f t="shared" ca="1" si="133"/>
        <v>0.17888352437063743</v>
      </c>
      <c r="G887" s="14">
        <f t="shared" ca="1" si="134"/>
        <v>0.48027443369913647</v>
      </c>
      <c r="H887" s="15">
        <f t="shared" ca="1" si="135"/>
        <v>0.69585609913619562</v>
      </c>
      <c r="I887" s="14">
        <f ca="1">IF(G887&lt;0.05,1,0)*$B$1*$B$2</f>
        <v>0</v>
      </c>
      <c r="J887" s="14">
        <f ca="1">IF(H887&lt;0.05,1,0)*$B$1*$B$2</f>
        <v>0</v>
      </c>
      <c r="K887" s="15">
        <f t="shared" ca="1" si="136"/>
        <v>0</v>
      </c>
      <c r="P887" s="3">
        <v>883</v>
      </c>
      <c r="Q887" s="4">
        <f t="shared" ca="1" si="137"/>
        <v>0.48027443369913647</v>
      </c>
      <c r="R887" s="4">
        <f t="shared" ca="1" si="138"/>
        <v>0.69585609913619562</v>
      </c>
      <c r="S887" s="4">
        <f ca="1">$B$1*Q887*$B$2</f>
        <v>19.210977347965461</v>
      </c>
      <c r="T887" s="4">
        <f ca="1">$B$1*R887*$B$2</f>
        <v>27.834243965447826</v>
      </c>
      <c r="U887" s="7">
        <f t="shared" ca="1" si="139"/>
        <v>47.045221313413286</v>
      </c>
    </row>
    <row r="888" spans="2:21" x14ac:dyDescent="0.3">
      <c r="B888" s="13">
        <f t="shared" ca="1" si="140"/>
        <v>0.41802115476028323</v>
      </c>
      <c r="C888" s="14">
        <f t="shared" ca="1" si="140"/>
        <v>7.7431068368840839E-2</v>
      </c>
      <c r="D888" s="14">
        <f t="shared" ca="1" si="131"/>
        <v>-0.20695844809022729</v>
      </c>
      <c r="E888" s="14">
        <f t="shared" ca="1" si="132"/>
        <v>-1.4225655496219116</v>
      </c>
      <c r="F888" s="14">
        <f t="shared" ca="1" si="133"/>
        <v>-0.80634455041763531</v>
      </c>
      <c r="G888" s="14">
        <f t="shared" ca="1" si="134"/>
        <v>0.41802115476028318</v>
      </c>
      <c r="H888" s="15">
        <f t="shared" ca="1" si="135"/>
        <v>7.7431068368840769E-2</v>
      </c>
      <c r="I888" s="14">
        <f ca="1">IF(G888&lt;0.05,1,0)*$B$1*$B$2</f>
        <v>0</v>
      </c>
      <c r="J888" s="14">
        <f ca="1">IF(H888&lt;0.05,1,0)*$B$1*$B$2</f>
        <v>0</v>
      </c>
      <c r="K888" s="15">
        <f t="shared" ca="1" si="136"/>
        <v>0</v>
      </c>
      <c r="P888" s="3">
        <v>884</v>
      </c>
      <c r="Q888" s="4">
        <f t="shared" ca="1" si="137"/>
        <v>0.41802115476028318</v>
      </c>
      <c r="R888" s="4">
        <f t="shared" ca="1" si="138"/>
        <v>7.7431068368840769E-2</v>
      </c>
      <c r="S888" s="4">
        <f ca="1">$B$1*Q888*$B$2</f>
        <v>16.720846190411329</v>
      </c>
      <c r="T888" s="4">
        <f ca="1">$B$1*R888*$B$2</f>
        <v>3.0972427347536309</v>
      </c>
      <c r="U888" s="7">
        <f t="shared" ca="1" si="139"/>
        <v>19.818088925164961</v>
      </c>
    </row>
    <row r="889" spans="2:21" x14ac:dyDescent="0.3">
      <c r="B889" s="13">
        <f t="shared" ca="1" si="140"/>
        <v>0.74042471524083753</v>
      </c>
      <c r="C889" s="14">
        <f t="shared" ca="1" si="140"/>
        <v>0.38466069586467544</v>
      </c>
      <c r="D889" s="14">
        <f t="shared" ca="1" si="131"/>
        <v>0.64465533114267415</v>
      </c>
      <c r="E889" s="14">
        <f t="shared" ca="1" si="132"/>
        <v>-0.29326266102526749</v>
      </c>
      <c r="F889" s="14">
        <f t="shared" ca="1" si="133"/>
        <v>0.4523595676961103</v>
      </c>
      <c r="G889" s="14">
        <f t="shared" ca="1" si="134"/>
        <v>0.74042471524083764</v>
      </c>
      <c r="H889" s="15">
        <f t="shared" ca="1" si="135"/>
        <v>0.38466069586467544</v>
      </c>
      <c r="I889" s="14">
        <f ca="1">IF(G889&lt;0.05,1,0)*$B$1*$B$2</f>
        <v>0</v>
      </c>
      <c r="J889" s="14">
        <f ca="1">IF(H889&lt;0.05,1,0)*$B$1*$B$2</f>
        <v>0</v>
      </c>
      <c r="K889" s="15">
        <f t="shared" ca="1" si="136"/>
        <v>0</v>
      </c>
      <c r="P889" s="3">
        <v>885</v>
      </c>
      <c r="Q889" s="4">
        <f t="shared" ca="1" si="137"/>
        <v>0.74042471524083764</v>
      </c>
      <c r="R889" s="4">
        <f t="shared" ca="1" si="138"/>
        <v>0.38466069586467544</v>
      </c>
      <c r="S889" s="4">
        <f ca="1">$B$1*Q889*$B$2</f>
        <v>29.616988609633509</v>
      </c>
      <c r="T889" s="4">
        <f ca="1">$B$1*R889*$B$2</f>
        <v>15.386427834587018</v>
      </c>
      <c r="U889" s="7">
        <f t="shared" ca="1" si="139"/>
        <v>45.003416444220527</v>
      </c>
    </row>
    <row r="890" spans="2:21" x14ac:dyDescent="0.3">
      <c r="B890" s="13">
        <f t="shared" ca="1" si="140"/>
        <v>0.59773127813408566</v>
      </c>
      <c r="C890" s="14">
        <f t="shared" ca="1" si="140"/>
        <v>0.55410438289764186</v>
      </c>
      <c r="D890" s="14">
        <f t="shared" ca="1" si="131"/>
        <v>0.24747912660789007</v>
      </c>
      <c r="E890" s="14">
        <f t="shared" ca="1" si="132"/>
        <v>0.13603800800407498</v>
      </c>
      <c r="F890" s="14">
        <f t="shared" ca="1" si="133"/>
        <v>0.28202880688413506</v>
      </c>
      <c r="G890" s="14">
        <f t="shared" ca="1" si="134"/>
        <v>0.59773127813408566</v>
      </c>
      <c r="H890" s="15">
        <f t="shared" ca="1" si="135"/>
        <v>0.55410438289764186</v>
      </c>
      <c r="I890" s="14">
        <f ca="1">IF(G890&lt;0.05,1,0)*$B$1*$B$2</f>
        <v>0</v>
      </c>
      <c r="J890" s="14">
        <f ca="1">IF(H890&lt;0.05,1,0)*$B$1*$B$2</f>
        <v>0</v>
      </c>
      <c r="K890" s="15">
        <f t="shared" ca="1" si="136"/>
        <v>0</v>
      </c>
      <c r="P890" s="3">
        <v>886</v>
      </c>
      <c r="Q890" s="4">
        <f t="shared" ca="1" si="137"/>
        <v>0.59773127813408566</v>
      </c>
      <c r="R890" s="4">
        <f t="shared" ca="1" si="138"/>
        <v>0.55410438289764186</v>
      </c>
      <c r="S890" s="4">
        <f ca="1">$B$1*Q890*$B$2</f>
        <v>23.909251125363426</v>
      </c>
      <c r="T890" s="4">
        <f ca="1">$B$1*R890*$B$2</f>
        <v>22.164175315905677</v>
      </c>
      <c r="U890" s="7">
        <f t="shared" ca="1" si="139"/>
        <v>46.073426441269106</v>
      </c>
    </row>
    <row r="891" spans="2:21" x14ac:dyDescent="0.3">
      <c r="B891" s="13">
        <f t="shared" ca="1" si="140"/>
        <v>0.18291617601628263</v>
      </c>
      <c r="C891" s="14">
        <f t="shared" ca="1" si="140"/>
        <v>0.48085223533469257</v>
      </c>
      <c r="D891" s="14">
        <f t="shared" ca="1" si="131"/>
        <v>-0.9043075357461795</v>
      </c>
      <c r="E891" s="14">
        <f t="shared" ca="1" si="132"/>
        <v>-4.8014770949254507E-2</v>
      </c>
      <c r="F891" s="14">
        <f t="shared" ca="1" si="133"/>
        <v>-0.83480593560806682</v>
      </c>
      <c r="G891" s="14">
        <f t="shared" ca="1" si="134"/>
        <v>0.18291617601628243</v>
      </c>
      <c r="H891" s="15">
        <f t="shared" ca="1" si="135"/>
        <v>0.48085223533469257</v>
      </c>
      <c r="I891" s="14">
        <f ca="1">IF(G891&lt;0.05,1,0)*$B$1*$B$2</f>
        <v>0</v>
      </c>
      <c r="J891" s="14">
        <f ca="1">IF(H891&lt;0.05,1,0)*$B$1*$B$2</f>
        <v>0</v>
      </c>
      <c r="K891" s="15">
        <f t="shared" ca="1" si="136"/>
        <v>0</v>
      </c>
      <c r="P891" s="3">
        <v>887</v>
      </c>
      <c r="Q891" s="4">
        <f t="shared" ca="1" si="137"/>
        <v>0.18291617601628243</v>
      </c>
      <c r="R891" s="4">
        <f t="shared" ca="1" si="138"/>
        <v>0.48085223533469257</v>
      </c>
      <c r="S891" s="4">
        <f ca="1">$B$1*Q891*$B$2</f>
        <v>7.3166470406512971</v>
      </c>
      <c r="T891" s="4">
        <f ca="1">$B$1*R891*$B$2</f>
        <v>19.234089413387704</v>
      </c>
      <c r="U891" s="7">
        <f t="shared" ca="1" si="139"/>
        <v>26.550736454039001</v>
      </c>
    </row>
    <row r="892" spans="2:21" x14ac:dyDescent="0.3">
      <c r="B892" s="13">
        <f t="shared" ca="1" si="140"/>
        <v>0.10812902670641644</v>
      </c>
      <c r="C892" s="14">
        <f t="shared" ca="1" si="140"/>
        <v>2.310379202224988E-3</v>
      </c>
      <c r="D892" s="14">
        <f t="shared" ca="1" si="131"/>
        <v>-1.2365396054606617</v>
      </c>
      <c r="E892" s="14">
        <f t="shared" ca="1" si="132"/>
        <v>-2.8323476207207334</v>
      </c>
      <c r="F892" s="14">
        <f t="shared" ca="1" si="133"/>
        <v>-2.3474773500845498</v>
      </c>
      <c r="G892" s="14">
        <f t="shared" ca="1" si="134"/>
        <v>0.10812902670641637</v>
      </c>
      <c r="H892" s="15">
        <f t="shared" ca="1" si="135"/>
        <v>2.3103792022249885E-3</v>
      </c>
      <c r="I892" s="14">
        <f ca="1">IF(G892&lt;0.05,1,0)*$B$1*$B$2</f>
        <v>0</v>
      </c>
      <c r="J892" s="14">
        <f ca="1">IF(H892&lt;0.05,1,0)*$B$1*$B$2</f>
        <v>40</v>
      </c>
      <c r="K892" s="15">
        <f t="shared" ca="1" si="136"/>
        <v>40</v>
      </c>
      <c r="P892" s="3">
        <v>888</v>
      </c>
      <c r="Q892" s="4">
        <f t="shared" ca="1" si="137"/>
        <v>0.10812902670641637</v>
      </c>
      <c r="R892" s="4">
        <f t="shared" ca="1" si="138"/>
        <v>2.3103792022249885E-3</v>
      </c>
      <c r="S892" s="4">
        <f ca="1">$B$1*Q892*$B$2</f>
        <v>4.325161068256655</v>
      </c>
      <c r="T892" s="4">
        <f ca="1">$B$1*R892*$B$2</f>
        <v>9.241516808899955E-2</v>
      </c>
      <c r="U892" s="7">
        <f t="shared" ca="1" si="139"/>
        <v>4.4175762363456546</v>
      </c>
    </row>
    <row r="893" spans="2:21" x14ac:dyDescent="0.3">
      <c r="B893" s="13">
        <f t="shared" ca="1" si="140"/>
        <v>0.83819583644618312</v>
      </c>
      <c r="C893" s="14">
        <f t="shared" ca="1" si="140"/>
        <v>0.90576794047373876</v>
      </c>
      <c r="D893" s="14">
        <f t="shared" ca="1" si="131"/>
        <v>0.9870699926817772</v>
      </c>
      <c r="E893" s="14">
        <f t="shared" ca="1" si="132"/>
        <v>1.3151362396583752</v>
      </c>
      <c r="F893" s="14">
        <f t="shared" ca="1" si="133"/>
        <v>1.4616175899794941</v>
      </c>
      <c r="G893" s="14">
        <f t="shared" ca="1" si="134"/>
        <v>0.83819583644618301</v>
      </c>
      <c r="H893" s="15">
        <f t="shared" ca="1" si="135"/>
        <v>0.90576794047373876</v>
      </c>
      <c r="I893" s="14">
        <f ca="1">IF(G893&lt;0.05,1,0)*$B$1*$B$2</f>
        <v>0</v>
      </c>
      <c r="J893" s="14">
        <f ca="1">IF(H893&lt;0.05,1,0)*$B$1*$B$2</f>
        <v>0</v>
      </c>
      <c r="K893" s="15">
        <f t="shared" ca="1" si="136"/>
        <v>0</v>
      </c>
      <c r="P893" s="3">
        <v>889</v>
      </c>
      <c r="Q893" s="4">
        <f t="shared" ca="1" si="137"/>
        <v>0.83819583644618301</v>
      </c>
      <c r="R893" s="4">
        <f t="shared" ca="1" si="138"/>
        <v>0.90576794047373876</v>
      </c>
      <c r="S893" s="4">
        <f ca="1">$B$1*Q893*$B$2</f>
        <v>33.527833457847322</v>
      </c>
      <c r="T893" s="4">
        <f ca="1">$B$1*R893*$B$2</f>
        <v>36.230717618949555</v>
      </c>
      <c r="U893" s="7">
        <f t="shared" ca="1" si="139"/>
        <v>69.758551076796877</v>
      </c>
    </row>
    <row r="894" spans="2:21" x14ac:dyDescent="0.3">
      <c r="B894" s="13">
        <f t="shared" ca="1" si="140"/>
        <v>0.28412764133826551</v>
      </c>
      <c r="C894" s="14">
        <f t="shared" ca="1" si="140"/>
        <v>0.24237073824977762</v>
      </c>
      <c r="D894" s="14">
        <f t="shared" ca="1" si="131"/>
        <v>-0.57062291381510954</v>
      </c>
      <c r="E894" s="14">
        <f t="shared" ca="1" si="132"/>
        <v>-0.69869689230555898</v>
      </c>
      <c r="F894" s="14">
        <f t="shared" ca="1" si="133"/>
        <v>-0.81811553700618378</v>
      </c>
      <c r="G894" s="14">
        <f t="shared" ca="1" si="134"/>
        <v>0.28412764133826546</v>
      </c>
      <c r="H894" s="15">
        <f t="shared" ca="1" si="135"/>
        <v>0.24237073824977745</v>
      </c>
      <c r="I894" s="14">
        <f ca="1">IF(G894&lt;0.05,1,0)*$B$1*$B$2</f>
        <v>0</v>
      </c>
      <c r="J894" s="14">
        <f ca="1">IF(H894&lt;0.05,1,0)*$B$1*$B$2</f>
        <v>0</v>
      </c>
      <c r="K894" s="15">
        <f t="shared" ca="1" si="136"/>
        <v>0</v>
      </c>
      <c r="P894" s="3">
        <v>890</v>
      </c>
      <c r="Q894" s="4">
        <f t="shared" ca="1" si="137"/>
        <v>0.28412764133826546</v>
      </c>
      <c r="R894" s="4">
        <f t="shared" ca="1" si="138"/>
        <v>0.24237073824977745</v>
      </c>
      <c r="S894" s="4">
        <f ca="1">$B$1*Q894*$B$2</f>
        <v>11.36510565353062</v>
      </c>
      <c r="T894" s="4">
        <f ca="1">$B$1*R894*$B$2</f>
        <v>9.6948295299910985</v>
      </c>
      <c r="U894" s="7">
        <f t="shared" ca="1" si="139"/>
        <v>21.059935183521716</v>
      </c>
    </row>
    <row r="895" spans="2:21" x14ac:dyDescent="0.3">
      <c r="B895" s="13">
        <f t="shared" ca="1" si="140"/>
        <v>0.50006885519111099</v>
      </c>
      <c r="C895" s="14">
        <f t="shared" ca="1" si="140"/>
        <v>0.69953470483458824</v>
      </c>
      <c r="D895" s="14">
        <f t="shared" ca="1" si="131"/>
        <v>1.7259436975083746E-4</v>
      </c>
      <c r="E895" s="14">
        <f t="shared" ca="1" si="132"/>
        <v>0.52306274453047474</v>
      </c>
      <c r="F895" s="14">
        <f t="shared" ca="1" si="133"/>
        <v>0.22815309938671288</v>
      </c>
      <c r="G895" s="14">
        <f t="shared" ca="1" si="134"/>
        <v>0.50006885519111099</v>
      </c>
      <c r="H895" s="15">
        <f t="shared" ca="1" si="135"/>
        <v>0.69953470483458835</v>
      </c>
      <c r="I895" s="14">
        <f ca="1">IF(G895&lt;0.05,1,0)*$B$1*$B$2</f>
        <v>0</v>
      </c>
      <c r="J895" s="14">
        <f ca="1">IF(H895&lt;0.05,1,0)*$B$1*$B$2</f>
        <v>0</v>
      </c>
      <c r="K895" s="15">
        <f t="shared" ca="1" si="136"/>
        <v>0</v>
      </c>
      <c r="P895" s="3">
        <v>891</v>
      </c>
      <c r="Q895" s="4">
        <f t="shared" ca="1" si="137"/>
        <v>0.50006885519111099</v>
      </c>
      <c r="R895" s="4">
        <f t="shared" ca="1" si="138"/>
        <v>0.69953470483458835</v>
      </c>
      <c r="S895" s="4">
        <f ca="1">$B$1*Q895*$B$2</f>
        <v>20.002754207644443</v>
      </c>
      <c r="T895" s="4">
        <f ca="1">$B$1*R895*$B$2</f>
        <v>27.981388193383534</v>
      </c>
      <c r="U895" s="7">
        <f t="shared" ca="1" si="139"/>
        <v>47.984142401027981</v>
      </c>
    </row>
    <row r="896" spans="2:21" x14ac:dyDescent="0.3">
      <c r="B896" s="13">
        <f t="shared" ca="1" si="140"/>
        <v>0.20660313111808803</v>
      </c>
      <c r="C896" s="14">
        <f t="shared" ca="1" si="140"/>
        <v>0.44243076089725775</v>
      </c>
      <c r="D896" s="14">
        <f t="shared" ca="1" si="131"/>
        <v>-0.81826434227534794</v>
      </c>
      <c r="E896" s="14">
        <f t="shared" ca="1" si="132"/>
        <v>-0.14480919550453214</v>
      </c>
      <c r="F896" s="14">
        <f t="shared" ca="1" si="133"/>
        <v>-0.79955877297778111</v>
      </c>
      <c r="G896" s="14">
        <f t="shared" ca="1" si="134"/>
        <v>0.20660313111808806</v>
      </c>
      <c r="H896" s="15">
        <f t="shared" ca="1" si="135"/>
        <v>0.44243076089725775</v>
      </c>
      <c r="I896" s="14">
        <f ca="1">IF(G896&lt;0.05,1,0)*$B$1*$B$2</f>
        <v>0</v>
      </c>
      <c r="J896" s="14">
        <f ca="1">IF(H896&lt;0.05,1,0)*$B$1*$B$2</f>
        <v>0</v>
      </c>
      <c r="K896" s="15">
        <f t="shared" ca="1" si="136"/>
        <v>0</v>
      </c>
      <c r="P896" s="3">
        <v>892</v>
      </c>
      <c r="Q896" s="4">
        <f t="shared" ca="1" si="137"/>
        <v>0.20660313111808806</v>
      </c>
      <c r="R896" s="4">
        <f t="shared" ca="1" si="138"/>
        <v>0.44243076089725775</v>
      </c>
      <c r="S896" s="4">
        <f ca="1">$B$1*Q896*$B$2</f>
        <v>8.2641252447235232</v>
      </c>
      <c r="T896" s="4">
        <f ca="1">$B$1*R896*$B$2</f>
        <v>17.697230435890312</v>
      </c>
      <c r="U896" s="7">
        <f t="shared" ca="1" si="139"/>
        <v>25.961355680613835</v>
      </c>
    </row>
    <row r="897" spans="2:21" x14ac:dyDescent="0.3">
      <c r="B897" s="13">
        <f t="shared" ca="1" si="140"/>
        <v>0.59519633269218897</v>
      </c>
      <c r="C897" s="14">
        <f t="shared" ca="1" si="140"/>
        <v>2.9604121526042304E-3</v>
      </c>
      <c r="D897" s="14">
        <f t="shared" ca="1" si="131"/>
        <v>0.24093262643335669</v>
      </c>
      <c r="E897" s="14">
        <f t="shared" ca="1" si="132"/>
        <v>-2.7521342504972681</v>
      </c>
      <c r="F897" s="14">
        <f t="shared" ca="1" si="133"/>
        <v>-0.98278814390744329</v>
      </c>
      <c r="G897" s="14">
        <f t="shared" ca="1" si="134"/>
        <v>0.59519633269218897</v>
      </c>
      <c r="H897" s="15">
        <f t="shared" ca="1" si="135"/>
        <v>2.9604121526042317E-3</v>
      </c>
      <c r="I897" s="14">
        <f ca="1">IF(G897&lt;0.05,1,0)*$B$1*$B$2</f>
        <v>0</v>
      </c>
      <c r="J897" s="14">
        <f ca="1">IF(H897&lt;0.05,1,0)*$B$1*$B$2</f>
        <v>40</v>
      </c>
      <c r="K897" s="15">
        <f t="shared" ca="1" si="136"/>
        <v>40</v>
      </c>
      <c r="P897" s="3">
        <v>893</v>
      </c>
      <c r="Q897" s="4">
        <f t="shared" ca="1" si="137"/>
        <v>0.59519633269218897</v>
      </c>
      <c r="R897" s="4">
        <f t="shared" ca="1" si="138"/>
        <v>2.9604121526042317E-3</v>
      </c>
      <c r="S897" s="4">
        <f ca="1">$B$1*Q897*$B$2</f>
        <v>23.807853307687562</v>
      </c>
      <c r="T897" s="4">
        <f ca="1">$B$1*R897*$B$2</f>
        <v>0.11841648610416927</v>
      </c>
      <c r="U897" s="7">
        <f t="shared" ca="1" si="139"/>
        <v>23.926269793791732</v>
      </c>
    </row>
    <row r="898" spans="2:21" x14ac:dyDescent="0.3">
      <c r="B898" s="13">
        <f t="shared" ca="1" si="140"/>
        <v>0.62682747635733171</v>
      </c>
      <c r="C898" s="14">
        <f t="shared" ca="1" si="140"/>
        <v>0.82236266298118221</v>
      </c>
      <c r="D898" s="14">
        <f t="shared" ca="1" si="131"/>
        <v>0.32346244150887321</v>
      </c>
      <c r="E898" s="14">
        <f t="shared" ca="1" si="132"/>
        <v>0.92440657249301805</v>
      </c>
      <c r="F898" s="14">
        <f t="shared" ca="1" si="133"/>
        <v>0.69405568058217293</v>
      </c>
      <c r="G898" s="14">
        <f t="shared" ca="1" si="134"/>
        <v>0.62682747635733183</v>
      </c>
      <c r="H898" s="15">
        <f t="shared" ca="1" si="135"/>
        <v>0.82236266298118188</v>
      </c>
      <c r="I898" s="14">
        <f ca="1">IF(G898&lt;0.05,1,0)*$B$1*$B$2</f>
        <v>0</v>
      </c>
      <c r="J898" s="14">
        <f ca="1">IF(H898&lt;0.05,1,0)*$B$1*$B$2</f>
        <v>0</v>
      </c>
      <c r="K898" s="15">
        <f t="shared" ca="1" si="136"/>
        <v>0</v>
      </c>
      <c r="P898" s="3">
        <v>894</v>
      </c>
      <c r="Q898" s="4">
        <f t="shared" ca="1" si="137"/>
        <v>0.62682747635733183</v>
      </c>
      <c r="R898" s="4">
        <f t="shared" ca="1" si="138"/>
        <v>0.82236266298118188</v>
      </c>
      <c r="S898" s="4">
        <f ca="1">$B$1*Q898*$B$2</f>
        <v>25.073099054293273</v>
      </c>
      <c r="T898" s="4">
        <f ca="1">$B$1*R898*$B$2</f>
        <v>32.894506519247273</v>
      </c>
      <c r="U898" s="7">
        <f t="shared" ca="1" si="139"/>
        <v>57.967605573540546</v>
      </c>
    </row>
    <row r="899" spans="2:21" x14ac:dyDescent="0.3">
      <c r="B899" s="13">
        <f t="shared" ca="1" si="140"/>
        <v>0.5777078494685165</v>
      </c>
      <c r="C899" s="14">
        <f t="shared" ca="1" si="140"/>
        <v>0.313921865791701</v>
      </c>
      <c r="D899" s="14">
        <f t="shared" ca="1" si="131"/>
        <v>0.19603304567628907</v>
      </c>
      <c r="E899" s="14">
        <f t="shared" ca="1" si="132"/>
        <v>-0.4847640430011812</v>
      </c>
      <c r="F899" s="14">
        <f t="shared" ca="1" si="133"/>
        <v>-3.4874006381775235E-2</v>
      </c>
      <c r="G899" s="14">
        <f t="shared" ca="1" si="134"/>
        <v>0.5777078494685165</v>
      </c>
      <c r="H899" s="15">
        <f t="shared" ca="1" si="135"/>
        <v>0.313921865791701</v>
      </c>
      <c r="I899" s="14">
        <f ca="1">IF(G899&lt;0.05,1,0)*$B$1*$B$2</f>
        <v>0</v>
      </c>
      <c r="J899" s="14">
        <f ca="1">IF(H899&lt;0.05,1,0)*$B$1*$B$2</f>
        <v>0</v>
      </c>
      <c r="K899" s="15">
        <f t="shared" ca="1" si="136"/>
        <v>0</v>
      </c>
      <c r="P899" s="3">
        <v>895</v>
      </c>
      <c r="Q899" s="4">
        <f t="shared" ca="1" si="137"/>
        <v>0.5777078494685165</v>
      </c>
      <c r="R899" s="4">
        <f t="shared" ca="1" si="138"/>
        <v>0.313921865791701</v>
      </c>
      <c r="S899" s="4">
        <f ca="1">$B$1*Q899*$B$2</f>
        <v>23.108313978740661</v>
      </c>
      <c r="T899" s="4">
        <f ca="1">$B$1*R899*$B$2</f>
        <v>12.556874631668041</v>
      </c>
      <c r="U899" s="7">
        <f t="shared" ca="1" si="139"/>
        <v>35.665188610408705</v>
      </c>
    </row>
    <row r="900" spans="2:21" x14ac:dyDescent="0.3">
      <c r="B900" s="13">
        <f t="shared" ca="1" si="140"/>
        <v>0.77908678261807385</v>
      </c>
      <c r="C900" s="14">
        <f t="shared" ca="1" si="140"/>
        <v>0.4035440728829518</v>
      </c>
      <c r="D900" s="14">
        <f t="shared" ca="1" si="131"/>
        <v>0.76911265745881552</v>
      </c>
      <c r="E900" s="14">
        <f t="shared" ca="1" si="132"/>
        <v>-0.24418422267355974</v>
      </c>
      <c r="F900" s="14">
        <f t="shared" ca="1" si="133"/>
        <v>0.58576395668882597</v>
      </c>
      <c r="G900" s="14">
        <f t="shared" ca="1" si="134"/>
        <v>0.77908678261807396</v>
      </c>
      <c r="H900" s="15">
        <f t="shared" ca="1" si="135"/>
        <v>0.40354407288295174</v>
      </c>
      <c r="I900" s="14">
        <f ca="1">IF(G900&lt;0.05,1,0)*$B$1*$B$2</f>
        <v>0</v>
      </c>
      <c r="J900" s="14">
        <f ca="1">IF(H900&lt;0.05,1,0)*$B$1*$B$2</f>
        <v>0</v>
      </c>
      <c r="K900" s="15">
        <f t="shared" ca="1" si="136"/>
        <v>0</v>
      </c>
      <c r="P900" s="3">
        <v>896</v>
      </c>
      <c r="Q900" s="4">
        <f t="shared" ca="1" si="137"/>
        <v>0.77908678261807396</v>
      </c>
      <c r="R900" s="4">
        <f t="shared" ca="1" si="138"/>
        <v>0.40354407288295174</v>
      </c>
      <c r="S900" s="4">
        <f ca="1">$B$1*Q900*$B$2</f>
        <v>31.163471304722961</v>
      </c>
      <c r="T900" s="4">
        <f ca="1">$B$1*R900*$B$2</f>
        <v>16.141762915318068</v>
      </c>
      <c r="U900" s="7">
        <f t="shared" ca="1" si="139"/>
        <v>47.305234220041029</v>
      </c>
    </row>
    <row r="901" spans="2:21" x14ac:dyDescent="0.3">
      <c r="B901" s="13">
        <f t="shared" ca="1" si="140"/>
        <v>0.11275605857099302</v>
      </c>
      <c r="C901" s="14">
        <f t="shared" ca="1" si="140"/>
        <v>0.414024520970938</v>
      </c>
      <c r="D901" s="14">
        <f t="shared" ca="1" si="131"/>
        <v>-1.2120006883435597</v>
      </c>
      <c r="E901" s="14">
        <f t="shared" ca="1" si="132"/>
        <v>-0.21720441782722016</v>
      </c>
      <c r="F901" s="14">
        <f t="shared" ca="1" si="133"/>
        <v>-1.1854778302491473</v>
      </c>
      <c r="G901" s="14">
        <f t="shared" ca="1" si="134"/>
        <v>0.11275605857099311</v>
      </c>
      <c r="H901" s="15">
        <f t="shared" ca="1" si="135"/>
        <v>0.414024520970938</v>
      </c>
      <c r="I901" s="14">
        <f ca="1">IF(G901&lt;0.05,1,0)*$B$1*$B$2</f>
        <v>0</v>
      </c>
      <c r="J901" s="14">
        <f ca="1">IF(H901&lt;0.05,1,0)*$B$1*$B$2</f>
        <v>0</v>
      </c>
      <c r="K901" s="15">
        <f t="shared" ca="1" si="136"/>
        <v>0</v>
      </c>
      <c r="P901" s="3">
        <v>897</v>
      </c>
      <c r="Q901" s="4">
        <f t="shared" ca="1" si="137"/>
        <v>0.11275605857099311</v>
      </c>
      <c r="R901" s="4">
        <f t="shared" ca="1" si="138"/>
        <v>0.414024520970938</v>
      </c>
      <c r="S901" s="4">
        <f ca="1">$B$1*Q901*$B$2</f>
        <v>4.5102423428397245</v>
      </c>
      <c r="T901" s="4">
        <f ca="1">$B$1*R901*$B$2</f>
        <v>16.560980838837519</v>
      </c>
      <c r="U901" s="7">
        <f t="shared" ca="1" si="139"/>
        <v>21.071223181677244</v>
      </c>
    </row>
    <row r="902" spans="2:21" x14ac:dyDescent="0.3">
      <c r="B902" s="13">
        <f t="shared" ref="B902:C933" ca="1" si="141">RAND()</f>
        <v>0.6049902147369437</v>
      </c>
      <c r="C902" s="14">
        <f t="shared" ca="1" si="141"/>
        <v>5.3588475964991056E-2</v>
      </c>
      <c r="D902" s="14">
        <f t="shared" ref="D902:D965" ca="1" si="142">_xlfn.NORM.S.INV(B902)</f>
        <v>0.26628519988768229</v>
      </c>
      <c r="E902" s="14">
        <f t="shared" ref="E902:E965" ca="1" si="143">_xlfn.NORM.S.INV(C902)</f>
        <v>-1.6110127113534782</v>
      </c>
      <c r="F902" s="14">
        <f t="shared" ref="F902:F965" ca="1" si="144">($Y$5*D902)+(SQRT(1-$Y$5^2)*E902)</f>
        <v>-0.46256748065601305</v>
      </c>
      <c r="G902" s="14">
        <f t="shared" ref="G902:G965" ca="1" si="145">_xlfn.NORM.S.DIST(D902,TRUE)</f>
        <v>0.6049902147369437</v>
      </c>
      <c r="H902" s="15">
        <f t="shared" ref="H902:H965" ca="1" si="146">_xlfn.NORM.S.DIST(E902,TRUE)</f>
        <v>5.3588475964991097E-2</v>
      </c>
      <c r="I902" s="14">
        <f ca="1">IF(G902&lt;0.05,1,0)*$B$1*$B$2</f>
        <v>0</v>
      </c>
      <c r="J902" s="14">
        <f ca="1">IF(H902&lt;0.05,1,0)*$B$1*$B$2</f>
        <v>0</v>
      </c>
      <c r="K902" s="15">
        <f t="shared" ref="K902:K965" ca="1" si="147">I902+J902</f>
        <v>0</v>
      </c>
      <c r="P902" s="3">
        <v>898</v>
      </c>
      <c r="Q902" s="4">
        <f t="shared" ref="Q902:Q965" ca="1" si="148">G902</f>
        <v>0.6049902147369437</v>
      </c>
      <c r="R902" s="4">
        <f t="shared" ref="R902:R965" ca="1" si="149">H902</f>
        <v>5.3588475964991097E-2</v>
      </c>
      <c r="S902" s="4">
        <f ca="1">$B$1*Q902*$B$2</f>
        <v>24.199608589477748</v>
      </c>
      <c r="T902" s="4">
        <f ca="1">$B$1*R902*$B$2</f>
        <v>2.143539038599644</v>
      </c>
      <c r="U902" s="7">
        <f t="shared" ref="U902:U965" ca="1" si="150">S902+T902</f>
        <v>26.343147628077393</v>
      </c>
    </row>
    <row r="903" spans="2:21" x14ac:dyDescent="0.3">
      <c r="B903" s="13">
        <f t="shared" ca="1" si="141"/>
        <v>0.12145637524837705</v>
      </c>
      <c r="C903" s="14">
        <f t="shared" ca="1" si="141"/>
        <v>0.61077571835020394</v>
      </c>
      <c r="D903" s="14">
        <f t="shared" ca="1" si="142"/>
        <v>-1.167737289349376</v>
      </c>
      <c r="E903" s="14">
        <f t="shared" ca="1" si="143"/>
        <v>0.28134139502004479</v>
      </c>
      <c r="F903" s="14">
        <f t="shared" ca="1" si="144"/>
        <v>-0.92832968946172523</v>
      </c>
      <c r="G903" s="14">
        <f t="shared" ca="1" si="145"/>
        <v>0.12145637524837709</v>
      </c>
      <c r="H903" s="15">
        <f t="shared" ca="1" si="146"/>
        <v>0.61077571835020406</v>
      </c>
      <c r="I903" s="14">
        <f ca="1">IF(G903&lt;0.05,1,0)*$B$1*$B$2</f>
        <v>0</v>
      </c>
      <c r="J903" s="14">
        <f ca="1">IF(H903&lt;0.05,1,0)*$B$1*$B$2</f>
        <v>0</v>
      </c>
      <c r="K903" s="15">
        <f t="shared" ca="1" si="147"/>
        <v>0</v>
      </c>
      <c r="P903" s="3">
        <v>899</v>
      </c>
      <c r="Q903" s="4">
        <f t="shared" ca="1" si="148"/>
        <v>0.12145637524837709</v>
      </c>
      <c r="R903" s="4">
        <f t="shared" ca="1" si="149"/>
        <v>0.61077571835020406</v>
      </c>
      <c r="S903" s="4">
        <f ca="1">$B$1*Q903*$B$2</f>
        <v>4.8582550099350836</v>
      </c>
      <c r="T903" s="4">
        <f ca="1">$B$1*R903*$B$2</f>
        <v>24.431028734008166</v>
      </c>
      <c r="U903" s="7">
        <f t="shared" ca="1" si="150"/>
        <v>29.289283743943251</v>
      </c>
    </row>
    <row r="904" spans="2:21" x14ac:dyDescent="0.3">
      <c r="B904" s="13">
        <f t="shared" ca="1" si="141"/>
        <v>0.66318193099762324</v>
      </c>
      <c r="C904" s="14">
        <f t="shared" ca="1" si="141"/>
        <v>0.94126991946327321</v>
      </c>
      <c r="D904" s="14">
        <f t="shared" ca="1" si="142"/>
        <v>0.42116289368331533</v>
      </c>
      <c r="E904" s="14">
        <f t="shared" ca="1" si="143"/>
        <v>1.5655237157522686</v>
      </c>
      <c r="F904" s="14">
        <f t="shared" ca="1" si="144"/>
        <v>1.0614425713830271</v>
      </c>
      <c r="G904" s="14">
        <f t="shared" ca="1" si="145"/>
        <v>0.66318193099762324</v>
      </c>
      <c r="H904" s="15">
        <f t="shared" ca="1" si="146"/>
        <v>0.9412699194632731</v>
      </c>
      <c r="I904" s="14">
        <f ca="1">IF(G904&lt;0.05,1,0)*$B$1*$B$2</f>
        <v>0</v>
      </c>
      <c r="J904" s="14">
        <f ca="1">IF(H904&lt;0.05,1,0)*$B$1*$B$2</f>
        <v>0</v>
      </c>
      <c r="K904" s="15">
        <f t="shared" ca="1" si="147"/>
        <v>0</v>
      </c>
      <c r="P904" s="3">
        <v>900</v>
      </c>
      <c r="Q904" s="4">
        <f t="shared" ca="1" si="148"/>
        <v>0.66318193099762324</v>
      </c>
      <c r="R904" s="4">
        <f t="shared" ca="1" si="149"/>
        <v>0.9412699194632731</v>
      </c>
      <c r="S904" s="4">
        <f ca="1">$B$1*Q904*$B$2</f>
        <v>26.527277239904933</v>
      </c>
      <c r="T904" s="4">
        <f ca="1">$B$1*R904*$B$2</f>
        <v>37.650796778530925</v>
      </c>
      <c r="U904" s="7">
        <f t="shared" ca="1" si="150"/>
        <v>64.178074018435865</v>
      </c>
    </row>
    <row r="905" spans="2:21" x14ac:dyDescent="0.3">
      <c r="B905" s="13">
        <f t="shared" ca="1" si="141"/>
        <v>0.83754724234612343</v>
      </c>
      <c r="C905" s="14">
        <f t="shared" ca="1" si="141"/>
        <v>0.57267751139022594</v>
      </c>
      <c r="D905" s="14">
        <f t="shared" ca="1" si="142"/>
        <v>0.98442718861008538</v>
      </c>
      <c r="E905" s="14">
        <f t="shared" ca="1" si="143"/>
        <v>0.18319505121497501</v>
      </c>
      <c r="F905" s="14">
        <f t="shared" ca="1" si="144"/>
        <v>0.96583734126936027</v>
      </c>
      <c r="G905" s="14">
        <f t="shared" ca="1" si="145"/>
        <v>0.83754724234612388</v>
      </c>
      <c r="H905" s="15">
        <f t="shared" ca="1" si="146"/>
        <v>0.57267751139022594</v>
      </c>
      <c r="I905" s="14">
        <f ca="1">IF(G905&lt;0.05,1,0)*$B$1*$B$2</f>
        <v>0</v>
      </c>
      <c r="J905" s="14">
        <f ca="1">IF(H905&lt;0.05,1,0)*$B$1*$B$2</f>
        <v>0</v>
      </c>
      <c r="K905" s="15">
        <f t="shared" ca="1" si="147"/>
        <v>0</v>
      </c>
      <c r="P905" s="3">
        <v>901</v>
      </c>
      <c r="Q905" s="4">
        <f t="shared" ca="1" si="148"/>
        <v>0.83754724234612388</v>
      </c>
      <c r="R905" s="4">
        <f t="shared" ca="1" si="149"/>
        <v>0.57267751139022594</v>
      </c>
      <c r="S905" s="4">
        <f ca="1">$B$1*Q905*$B$2</f>
        <v>33.501889693844952</v>
      </c>
      <c r="T905" s="4">
        <f ca="1">$B$1*R905*$B$2</f>
        <v>22.90710045560904</v>
      </c>
      <c r="U905" s="7">
        <f t="shared" ca="1" si="150"/>
        <v>56.408990149453992</v>
      </c>
    </row>
    <row r="906" spans="2:21" x14ac:dyDescent="0.3">
      <c r="B906" s="13">
        <f t="shared" ca="1" si="141"/>
        <v>0.31904849593713824</v>
      </c>
      <c r="C906" s="14">
        <f t="shared" ca="1" si="141"/>
        <v>0.73775459771595553</v>
      </c>
      <c r="D906" s="14">
        <f t="shared" ca="1" si="142"/>
        <v>-0.47036118323584997</v>
      </c>
      <c r="E906" s="14">
        <f t="shared" ca="1" si="143"/>
        <v>0.63643826866884712</v>
      </c>
      <c r="F906" s="14">
        <f t="shared" ca="1" si="144"/>
        <v>-0.14590805521931571</v>
      </c>
      <c r="G906" s="14">
        <f t="shared" ca="1" si="145"/>
        <v>0.31904849593713819</v>
      </c>
      <c r="H906" s="15">
        <f t="shared" ca="1" si="146"/>
        <v>0.73775459771595564</v>
      </c>
      <c r="I906" s="14">
        <f ca="1">IF(G906&lt;0.05,1,0)*$B$1*$B$2</f>
        <v>0</v>
      </c>
      <c r="J906" s="14">
        <f ca="1">IF(H906&lt;0.05,1,0)*$B$1*$B$2</f>
        <v>0</v>
      </c>
      <c r="K906" s="15">
        <f t="shared" ca="1" si="147"/>
        <v>0</v>
      </c>
      <c r="P906" s="3">
        <v>902</v>
      </c>
      <c r="Q906" s="4">
        <f t="shared" ca="1" si="148"/>
        <v>0.31904849593713819</v>
      </c>
      <c r="R906" s="4">
        <f t="shared" ca="1" si="149"/>
        <v>0.73775459771595564</v>
      </c>
      <c r="S906" s="4">
        <f ca="1">$B$1*Q906*$B$2</f>
        <v>12.761939837485528</v>
      </c>
      <c r="T906" s="4">
        <f ca="1">$B$1*R906*$B$2</f>
        <v>29.510183908638226</v>
      </c>
      <c r="U906" s="7">
        <f t="shared" ca="1" si="150"/>
        <v>42.272123746123754</v>
      </c>
    </row>
    <row r="907" spans="2:21" x14ac:dyDescent="0.3">
      <c r="B907" s="13">
        <f t="shared" ca="1" si="141"/>
        <v>5.4893295182253055E-2</v>
      </c>
      <c r="C907" s="14">
        <f t="shared" ca="1" si="141"/>
        <v>0.83065289959067246</v>
      </c>
      <c r="D907" s="14">
        <f t="shared" ca="1" si="142"/>
        <v>-1.5991530913133574</v>
      </c>
      <c r="E907" s="14">
        <f t="shared" ca="1" si="143"/>
        <v>0.95674852191499038</v>
      </c>
      <c r="F907" s="14">
        <f t="shared" ca="1" si="144"/>
        <v>-1.0222007700410864</v>
      </c>
      <c r="G907" s="14">
        <f t="shared" ca="1" si="145"/>
        <v>5.4893295182253075E-2</v>
      </c>
      <c r="H907" s="15">
        <f t="shared" ca="1" si="146"/>
        <v>0.83065289959067212</v>
      </c>
      <c r="I907" s="14">
        <f ca="1">IF(G907&lt;0.05,1,0)*$B$1*$B$2</f>
        <v>0</v>
      </c>
      <c r="J907" s="14">
        <f ca="1">IF(H907&lt;0.05,1,0)*$B$1*$B$2</f>
        <v>0</v>
      </c>
      <c r="K907" s="15">
        <f t="shared" ca="1" si="147"/>
        <v>0</v>
      </c>
      <c r="P907" s="3">
        <v>903</v>
      </c>
      <c r="Q907" s="4">
        <f t="shared" ca="1" si="148"/>
        <v>5.4893295182253075E-2</v>
      </c>
      <c r="R907" s="4">
        <f t="shared" ca="1" si="149"/>
        <v>0.83065289959067212</v>
      </c>
      <c r="S907" s="4">
        <f ca="1">$B$1*Q907*$B$2</f>
        <v>2.1957318072901231</v>
      </c>
      <c r="T907" s="4">
        <f ca="1">$B$1*R907*$B$2</f>
        <v>33.22611598362689</v>
      </c>
      <c r="U907" s="7">
        <f t="shared" ca="1" si="150"/>
        <v>35.421847790917013</v>
      </c>
    </row>
    <row r="908" spans="2:21" x14ac:dyDescent="0.3">
      <c r="B908" s="13">
        <f t="shared" ca="1" si="141"/>
        <v>0.31905918548996903</v>
      </c>
      <c r="C908" s="14">
        <f t="shared" ca="1" si="141"/>
        <v>0.55847296714469796</v>
      </c>
      <c r="D908" s="14">
        <f t="shared" ca="1" si="142"/>
        <v>-0.4703312545261723</v>
      </c>
      <c r="E908" s="14">
        <f t="shared" ca="1" si="143"/>
        <v>0.14709876367207084</v>
      </c>
      <c r="F908" s="14">
        <f t="shared" ca="1" si="144"/>
        <v>-0.35917926451692223</v>
      </c>
      <c r="G908" s="14">
        <f t="shared" ca="1" si="145"/>
        <v>0.31905918548996903</v>
      </c>
      <c r="H908" s="15">
        <f t="shared" ca="1" si="146"/>
        <v>0.55847296714469796</v>
      </c>
      <c r="I908" s="14">
        <f ca="1">IF(G908&lt;0.05,1,0)*$B$1*$B$2</f>
        <v>0</v>
      </c>
      <c r="J908" s="14">
        <f ca="1">IF(H908&lt;0.05,1,0)*$B$1*$B$2</f>
        <v>0</v>
      </c>
      <c r="K908" s="15">
        <f t="shared" ca="1" si="147"/>
        <v>0</v>
      </c>
      <c r="P908" s="3">
        <v>904</v>
      </c>
      <c r="Q908" s="4">
        <f t="shared" ca="1" si="148"/>
        <v>0.31905918548996903</v>
      </c>
      <c r="R908" s="4">
        <f t="shared" ca="1" si="149"/>
        <v>0.55847296714469796</v>
      </c>
      <c r="S908" s="4">
        <f ca="1">$B$1*Q908*$B$2</f>
        <v>12.762367419598762</v>
      </c>
      <c r="T908" s="4">
        <f ca="1">$B$1*R908*$B$2</f>
        <v>22.33891868578792</v>
      </c>
      <c r="U908" s="7">
        <f t="shared" ca="1" si="150"/>
        <v>35.101286105386684</v>
      </c>
    </row>
    <row r="909" spans="2:21" x14ac:dyDescent="0.3">
      <c r="B909" s="13">
        <f t="shared" ca="1" si="141"/>
        <v>0.86783213446036189</v>
      </c>
      <c r="C909" s="14">
        <f t="shared" ca="1" si="141"/>
        <v>6.2533170892589029E-2</v>
      </c>
      <c r="D909" s="14">
        <f t="shared" ca="1" si="142"/>
        <v>1.116201877383622</v>
      </c>
      <c r="E909" s="14">
        <f t="shared" ca="1" si="143"/>
        <v>-1.5338508828775528</v>
      </c>
      <c r="F909" s="14">
        <f t="shared" ca="1" si="144"/>
        <v>0.33599159035287041</v>
      </c>
      <c r="G909" s="14">
        <f t="shared" ca="1" si="145"/>
        <v>0.86783213446036189</v>
      </c>
      <c r="H909" s="15">
        <f t="shared" ca="1" si="146"/>
        <v>6.2533170892589029E-2</v>
      </c>
      <c r="I909" s="14">
        <f ca="1">IF(G909&lt;0.05,1,0)*$B$1*$B$2</f>
        <v>0</v>
      </c>
      <c r="J909" s="14">
        <f ca="1">IF(H909&lt;0.05,1,0)*$B$1*$B$2</f>
        <v>0</v>
      </c>
      <c r="K909" s="15">
        <f t="shared" ca="1" si="147"/>
        <v>0</v>
      </c>
      <c r="P909" s="3">
        <v>905</v>
      </c>
      <c r="Q909" s="4">
        <f t="shared" ca="1" si="148"/>
        <v>0.86783213446036189</v>
      </c>
      <c r="R909" s="4">
        <f t="shared" ca="1" si="149"/>
        <v>6.2533170892589029E-2</v>
      </c>
      <c r="S909" s="4">
        <f ca="1">$B$1*Q909*$B$2</f>
        <v>34.713285378414476</v>
      </c>
      <c r="T909" s="4">
        <f ca="1">$B$1*R909*$B$2</f>
        <v>2.5013268357035616</v>
      </c>
      <c r="U909" s="7">
        <f t="shared" ca="1" si="150"/>
        <v>37.214612214118034</v>
      </c>
    </row>
    <row r="910" spans="2:21" x14ac:dyDescent="0.3">
      <c r="B910" s="13">
        <f t="shared" ca="1" si="141"/>
        <v>0.69191231727230651</v>
      </c>
      <c r="C910" s="14">
        <f t="shared" ca="1" si="141"/>
        <v>0.29847359951049246</v>
      </c>
      <c r="D910" s="14">
        <f t="shared" ca="1" si="142"/>
        <v>0.5012781715499639</v>
      </c>
      <c r="E910" s="14">
        <f t="shared" ca="1" si="143"/>
        <v>-0.52879567401687089</v>
      </c>
      <c r="F910" s="14">
        <f t="shared" ca="1" si="144"/>
        <v>0.22065366391286589</v>
      </c>
      <c r="G910" s="14">
        <f t="shared" ca="1" si="145"/>
        <v>0.69191231727230662</v>
      </c>
      <c r="H910" s="15">
        <f t="shared" ca="1" si="146"/>
        <v>0.29847359951049235</v>
      </c>
      <c r="I910" s="14">
        <f ca="1">IF(G910&lt;0.05,1,0)*$B$1*$B$2</f>
        <v>0</v>
      </c>
      <c r="J910" s="14">
        <f ca="1">IF(H910&lt;0.05,1,0)*$B$1*$B$2</f>
        <v>0</v>
      </c>
      <c r="K910" s="15">
        <f t="shared" ca="1" si="147"/>
        <v>0</v>
      </c>
      <c r="P910" s="3">
        <v>906</v>
      </c>
      <c r="Q910" s="4">
        <f t="shared" ca="1" si="148"/>
        <v>0.69191231727230662</v>
      </c>
      <c r="R910" s="4">
        <f t="shared" ca="1" si="149"/>
        <v>0.29847359951049235</v>
      </c>
      <c r="S910" s="4">
        <f ca="1">$B$1*Q910*$B$2</f>
        <v>27.676492690892264</v>
      </c>
      <c r="T910" s="4">
        <f ca="1">$B$1*R910*$B$2</f>
        <v>11.938943980419694</v>
      </c>
      <c r="U910" s="7">
        <f t="shared" ca="1" si="150"/>
        <v>39.615436671311954</v>
      </c>
    </row>
    <row r="911" spans="2:21" x14ac:dyDescent="0.3">
      <c r="B911" s="13">
        <f t="shared" ca="1" si="141"/>
        <v>0.74160663927565984</v>
      </c>
      <c r="C911" s="14">
        <f t="shared" ca="1" si="141"/>
        <v>0.87050822861398869</v>
      </c>
      <c r="D911" s="14">
        <f t="shared" ca="1" si="142"/>
        <v>0.64830651440622644</v>
      </c>
      <c r="E911" s="14">
        <f t="shared" ca="1" si="143"/>
        <v>1.1287968476648305</v>
      </c>
      <c r="F911" s="14">
        <f t="shared" ca="1" si="144"/>
        <v>1.075507001641431</v>
      </c>
      <c r="G911" s="14">
        <f t="shared" ca="1" si="145"/>
        <v>0.74160663927566006</v>
      </c>
      <c r="H911" s="15">
        <f t="shared" ca="1" si="146"/>
        <v>0.87050822861398891</v>
      </c>
      <c r="I911" s="14">
        <f ca="1">IF(G911&lt;0.05,1,0)*$B$1*$B$2</f>
        <v>0</v>
      </c>
      <c r="J911" s="14">
        <f ca="1">IF(H911&lt;0.05,1,0)*$B$1*$B$2</f>
        <v>0</v>
      </c>
      <c r="K911" s="15">
        <f t="shared" ca="1" si="147"/>
        <v>0</v>
      </c>
      <c r="P911" s="3">
        <v>907</v>
      </c>
      <c r="Q911" s="4">
        <f t="shared" ca="1" si="148"/>
        <v>0.74160663927566006</v>
      </c>
      <c r="R911" s="4">
        <f t="shared" ca="1" si="149"/>
        <v>0.87050822861398891</v>
      </c>
      <c r="S911" s="4">
        <f ca="1">$B$1*Q911*$B$2</f>
        <v>29.664265571026405</v>
      </c>
      <c r="T911" s="4">
        <f ca="1">$B$1*R911*$B$2</f>
        <v>34.820329144559558</v>
      </c>
      <c r="U911" s="7">
        <f t="shared" ca="1" si="150"/>
        <v>64.484594715585956</v>
      </c>
    </row>
    <row r="912" spans="2:21" x14ac:dyDescent="0.3">
      <c r="B912" s="13">
        <f t="shared" ca="1" si="141"/>
        <v>0.7507810944189991</v>
      </c>
      <c r="C912" s="14">
        <f t="shared" ca="1" si="141"/>
        <v>0.50073126292317272</v>
      </c>
      <c r="D912" s="14">
        <f t="shared" ca="1" si="142"/>
        <v>0.67694979123687027</v>
      </c>
      <c r="E912" s="14">
        <f t="shared" ca="1" si="143"/>
        <v>1.833005345868598E-3</v>
      </c>
      <c r="F912" s="14">
        <f t="shared" ca="1" si="144"/>
        <v>0.61005380061974435</v>
      </c>
      <c r="G912" s="14">
        <f t="shared" ca="1" si="145"/>
        <v>0.75078109441899921</v>
      </c>
      <c r="H912" s="15">
        <f t="shared" ca="1" si="146"/>
        <v>0.50073126292317272</v>
      </c>
      <c r="I912" s="14">
        <f ca="1">IF(G912&lt;0.05,1,0)*$B$1*$B$2</f>
        <v>0</v>
      </c>
      <c r="J912" s="14">
        <f ca="1">IF(H912&lt;0.05,1,0)*$B$1*$B$2</f>
        <v>0</v>
      </c>
      <c r="K912" s="15">
        <f t="shared" ca="1" si="147"/>
        <v>0</v>
      </c>
      <c r="P912" s="3">
        <v>908</v>
      </c>
      <c r="Q912" s="4">
        <f t="shared" ca="1" si="148"/>
        <v>0.75078109441899921</v>
      </c>
      <c r="R912" s="4">
        <f t="shared" ca="1" si="149"/>
        <v>0.50073126292317272</v>
      </c>
      <c r="S912" s="4">
        <f ca="1">$B$1*Q912*$B$2</f>
        <v>30.031243776759972</v>
      </c>
      <c r="T912" s="4">
        <f ca="1">$B$1*R912*$B$2</f>
        <v>20.029250516926908</v>
      </c>
      <c r="U912" s="7">
        <f t="shared" ca="1" si="150"/>
        <v>50.06049429368688</v>
      </c>
    </row>
    <row r="913" spans="2:21" x14ac:dyDescent="0.3">
      <c r="B913" s="13">
        <f t="shared" ca="1" si="141"/>
        <v>0.66831600154680459</v>
      </c>
      <c r="C913" s="14">
        <f t="shared" ca="1" si="141"/>
        <v>0.93491847858946853</v>
      </c>
      <c r="D913" s="14">
        <f t="shared" ca="1" si="142"/>
        <v>0.43526787944931189</v>
      </c>
      <c r="E913" s="14">
        <f t="shared" ca="1" si="143"/>
        <v>1.5134592570522962</v>
      </c>
      <c r="F913" s="14">
        <f t="shared" ca="1" si="144"/>
        <v>1.0514426871700913</v>
      </c>
      <c r="G913" s="14">
        <f t="shared" ca="1" si="145"/>
        <v>0.66831600154680471</v>
      </c>
      <c r="H913" s="15">
        <f t="shared" ca="1" si="146"/>
        <v>0.93491847858946853</v>
      </c>
      <c r="I913" s="14">
        <f ca="1">IF(G913&lt;0.05,1,0)*$B$1*$B$2</f>
        <v>0</v>
      </c>
      <c r="J913" s="14">
        <f ca="1">IF(H913&lt;0.05,1,0)*$B$1*$B$2</f>
        <v>0</v>
      </c>
      <c r="K913" s="15">
        <f t="shared" ca="1" si="147"/>
        <v>0</v>
      </c>
      <c r="P913" s="3">
        <v>909</v>
      </c>
      <c r="Q913" s="4">
        <f t="shared" ca="1" si="148"/>
        <v>0.66831600154680471</v>
      </c>
      <c r="R913" s="4">
        <f t="shared" ca="1" si="149"/>
        <v>0.93491847858946853</v>
      </c>
      <c r="S913" s="4">
        <f ca="1">$B$1*Q913*$B$2</f>
        <v>26.732640061872189</v>
      </c>
      <c r="T913" s="4">
        <f ca="1">$B$1*R913*$B$2</f>
        <v>37.396739143578742</v>
      </c>
      <c r="U913" s="7">
        <f t="shared" ca="1" si="150"/>
        <v>64.129379205450931</v>
      </c>
    </row>
    <row r="914" spans="2:21" x14ac:dyDescent="0.3">
      <c r="B914" s="13">
        <f t="shared" ca="1" si="141"/>
        <v>0.24337802450297252</v>
      </c>
      <c r="C914" s="14">
        <f t="shared" ca="1" si="141"/>
        <v>0.16234268607345281</v>
      </c>
      <c r="D914" s="14">
        <f t="shared" ca="1" si="142"/>
        <v>-0.69547759243752794</v>
      </c>
      <c r="E914" s="14">
        <f t="shared" ca="1" si="143"/>
        <v>-0.98487520885024438</v>
      </c>
      <c r="F914" s="14">
        <f t="shared" ca="1" si="144"/>
        <v>-1.0552269839314481</v>
      </c>
      <c r="G914" s="14">
        <f t="shared" ca="1" si="145"/>
        <v>0.24337802450297252</v>
      </c>
      <c r="H914" s="15">
        <f t="shared" ca="1" si="146"/>
        <v>0.1623426860734527</v>
      </c>
      <c r="I914" s="14">
        <f ca="1">IF(G914&lt;0.05,1,0)*$B$1*$B$2</f>
        <v>0</v>
      </c>
      <c r="J914" s="14">
        <f ca="1">IF(H914&lt;0.05,1,0)*$B$1*$B$2</f>
        <v>0</v>
      </c>
      <c r="K914" s="15">
        <f t="shared" ca="1" si="147"/>
        <v>0</v>
      </c>
      <c r="P914" s="3">
        <v>910</v>
      </c>
      <c r="Q914" s="4">
        <f t="shared" ca="1" si="148"/>
        <v>0.24337802450297252</v>
      </c>
      <c r="R914" s="4">
        <f t="shared" ca="1" si="149"/>
        <v>0.1623426860734527</v>
      </c>
      <c r="S914" s="4">
        <f ca="1">$B$1*Q914*$B$2</f>
        <v>9.7351209801189018</v>
      </c>
      <c r="T914" s="4">
        <f ca="1">$B$1*R914*$B$2</f>
        <v>6.493707442938109</v>
      </c>
      <c r="U914" s="7">
        <f t="shared" ca="1" si="150"/>
        <v>16.22882842305701</v>
      </c>
    </row>
    <row r="915" spans="2:21" x14ac:dyDescent="0.3">
      <c r="B915" s="13">
        <f t="shared" ca="1" si="141"/>
        <v>0.67782896106363255</v>
      </c>
      <c r="C915" s="14">
        <f t="shared" ca="1" si="141"/>
        <v>0.54491673042016309</v>
      </c>
      <c r="D915" s="14">
        <f t="shared" ca="1" si="142"/>
        <v>0.4616364125119346</v>
      </c>
      <c r="E915" s="14">
        <f t="shared" ca="1" si="143"/>
        <v>0.11282847946526084</v>
      </c>
      <c r="F915" s="14">
        <f t="shared" ca="1" si="144"/>
        <v>0.46465356525498375</v>
      </c>
      <c r="G915" s="14">
        <f t="shared" ca="1" si="145"/>
        <v>0.67782896106363255</v>
      </c>
      <c r="H915" s="15">
        <f t="shared" ca="1" si="146"/>
        <v>0.54491673042016309</v>
      </c>
      <c r="I915" s="14">
        <f ca="1">IF(G915&lt;0.05,1,0)*$B$1*$B$2</f>
        <v>0</v>
      </c>
      <c r="J915" s="14">
        <f ca="1">IF(H915&lt;0.05,1,0)*$B$1*$B$2</f>
        <v>0</v>
      </c>
      <c r="K915" s="15">
        <f t="shared" ca="1" si="147"/>
        <v>0</v>
      </c>
      <c r="P915" s="3">
        <v>911</v>
      </c>
      <c r="Q915" s="4">
        <f t="shared" ca="1" si="148"/>
        <v>0.67782896106363255</v>
      </c>
      <c r="R915" s="4">
        <f t="shared" ca="1" si="149"/>
        <v>0.54491673042016309</v>
      </c>
      <c r="S915" s="4">
        <f ca="1">$B$1*Q915*$B$2</f>
        <v>27.113158442545302</v>
      </c>
      <c r="T915" s="4">
        <f ca="1">$B$1*R915*$B$2</f>
        <v>21.796669216806524</v>
      </c>
      <c r="U915" s="7">
        <f t="shared" ca="1" si="150"/>
        <v>48.909827659351826</v>
      </c>
    </row>
    <row r="916" spans="2:21" x14ac:dyDescent="0.3">
      <c r="B916" s="13">
        <f t="shared" ca="1" si="141"/>
        <v>0.21517046749901203</v>
      </c>
      <c r="C916" s="14">
        <f t="shared" ca="1" si="141"/>
        <v>0.52228026527180682</v>
      </c>
      <c r="D916" s="14">
        <f t="shared" ca="1" si="142"/>
        <v>-0.78860837413651397</v>
      </c>
      <c r="E916" s="14">
        <f t="shared" ca="1" si="143"/>
        <v>5.587740681112361E-2</v>
      </c>
      <c r="F916" s="14">
        <f t="shared" ca="1" si="144"/>
        <v>-0.68539113977118271</v>
      </c>
      <c r="G916" s="14">
        <f t="shared" ca="1" si="145"/>
        <v>0.21517046749901189</v>
      </c>
      <c r="H916" s="15">
        <f t="shared" ca="1" si="146"/>
        <v>0.52228026527180682</v>
      </c>
      <c r="I916" s="14">
        <f ca="1">IF(G916&lt;0.05,1,0)*$B$1*$B$2</f>
        <v>0</v>
      </c>
      <c r="J916" s="14">
        <f ca="1">IF(H916&lt;0.05,1,0)*$B$1*$B$2</f>
        <v>0</v>
      </c>
      <c r="K916" s="15">
        <f t="shared" ca="1" si="147"/>
        <v>0</v>
      </c>
      <c r="P916" s="3">
        <v>912</v>
      </c>
      <c r="Q916" s="4">
        <f t="shared" ca="1" si="148"/>
        <v>0.21517046749901189</v>
      </c>
      <c r="R916" s="4">
        <f t="shared" ca="1" si="149"/>
        <v>0.52228026527180682</v>
      </c>
      <c r="S916" s="4">
        <f ca="1">$B$1*Q916*$B$2</f>
        <v>8.6068186999604759</v>
      </c>
      <c r="T916" s="4">
        <f ca="1">$B$1*R916*$B$2</f>
        <v>20.891210610872275</v>
      </c>
      <c r="U916" s="7">
        <f t="shared" ca="1" si="150"/>
        <v>29.498029310832749</v>
      </c>
    </row>
    <row r="917" spans="2:21" x14ac:dyDescent="0.3">
      <c r="B917" s="13">
        <f t="shared" ca="1" si="141"/>
        <v>0.13589431415596387</v>
      </c>
      <c r="C917" s="14">
        <f t="shared" ca="1" si="141"/>
        <v>0.8284913345523357</v>
      </c>
      <c r="D917" s="14">
        <f t="shared" ca="1" si="142"/>
        <v>-1.098952859584017</v>
      </c>
      <c r="E917" s="14">
        <f t="shared" ca="1" si="143"/>
        <v>0.94822026843708218</v>
      </c>
      <c r="F917" s="14">
        <f t="shared" ca="1" si="144"/>
        <v>-0.57573794099219022</v>
      </c>
      <c r="G917" s="14">
        <f t="shared" ca="1" si="145"/>
        <v>0.13589431415596379</v>
      </c>
      <c r="H917" s="15">
        <f t="shared" ca="1" si="146"/>
        <v>0.8284913345523357</v>
      </c>
      <c r="I917" s="14">
        <f ca="1">IF(G917&lt;0.05,1,0)*$B$1*$B$2</f>
        <v>0</v>
      </c>
      <c r="J917" s="14">
        <f ca="1">IF(H917&lt;0.05,1,0)*$B$1*$B$2</f>
        <v>0</v>
      </c>
      <c r="K917" s="15">
        <f t="shared" ca="1" si="147"/>
        <v>0</v>
      </c>
      <c r="P917" s="3">
        <v>913</v>
      </c>
      <c r="Q917" s="4">
        <f t="shared" ca="1" si="148"/>
        <v>0.13589431415596379</v>
      </c>
      <c r="R917" s="4">
        <f t="shared" ca="1" si="149"/>
        <v>0.8284913345523357</v>
      </c>
      <c r="S917" s="4">
        <f ca="1">$B$1*Q917*$B$2</f>
        <v>5.4357725662385512</v>
      </c>
      <c r="T917" s="4">
        <f ca="1">$B$1*R917*$B$2</f>
        <v>33.139653382093428</v>
      </c>
      <c r="U917" s="7">
        <f t="shared" ca="1" si="150"/>
        <v>38.575425948331983</v>
      </c>
    </row>
    <row r="918" spans="2:21" x14ac:dyDescent="0.3">
      <c r="B918" s="13">
        <f t="shared" ca="1" si="141"/>
        <v>0.68871098888047533</v>
      </c>
      <c r="C918" s="14">
        <f t="shared" ca="1" si="141"/>
        <v>0.10958486041382387</v>
      </c>
      <c r="D918" s="14">
        <f t="shared" ca="1" si="142"/>
        <v>0.49219991825871862</v>
      </c>
      <c r="E918" s="14">
        <f t="shared" ca="1" si="143"/>
        <v>-1.2287388880598737</v>
      </c>
      <c r="F918" s="14">
        <f t="shared" ca="1" si="144"/>
        <v>-9.2614937672305664E-2</v>
      </c>
      <c r="G918" s="14">
        <f t="shared" ca="1" si="145"/>
        <v>0.68871098888047544</v>
      </c>
      <c r="H918" s="15">
        <f t="shared" ca="1" si="146"/>
        <v>0.10958486041382384</v>
      </c>
      <c r="I918" s="14">
        <f ca="1">IF(G918&lt;0.05,1,0)*$B$1*$B$2</f>
        <v>0</v>
      </c>
      <c r="J918" s="14">
        <f ca="1">IF(H918&lt;0.05,1,0)*$B$1*$B$2</f>
        <v>0</v>
      </c>
      <c r="K918" s="15">
        <f t="shared" ca="1" si="147"/>
        <v>0</v>
      </c>
      <c r="P918" s="3">
        <v>914</v>
      </c>
      <c r="Q918" s="4">
        <f t="shared" ca="1" si="148"/>
        <v>0.68871098888047544</v>
      </c>
      <c r="R918" s="4">
        <f t="shared" ca="1" si="149"/>
        <v>0.10958486041382384</v>
      </c>
      <c r="S918" s="4">
        <f ca="1">$B$1*Q918*$B$2</f>
        <v>27.548439555219019</v>
      </c>
      <c r="T918" s="4">
        <f ca="1">$B$1*R918*$B$2</f>
        <v>4.3833944165529539</v>
      </c>
      <c r="U918" s="7">
        <f t="shared" ca="1" si="150"/>
        <v>31.931833971771972</v>
      </c>
    </row>
    <row r="919" spans="2:21" x14ac:dyDescent="0.3">
      <c r="B919" s="13">
        <f t="shared" ca="1" si="141"/>
        <v>0.5184627192530854</v>
      </c>
      <c r="C919" s="14">
        <f t="shared" ca="1" si="141"/>
        <v>0.99844391542229827</v>
      </c>
      <c r="D919" s="14">
        <f t="shared" ca="1" si="142"/>
        <v>4.6295706330442055E-2</v>
      </c>
      <c r="E919" s="14">
        <f t="shared" ca="1" si="143"/>
        <v>2.9564358973052731</v>
      </c>
      <c r="F919" s="14">
        <f t="shared" ca="1" si="144"/>
        <v>1.3303466666383654</v>
      </c>
      <c r="G919" s="14">
        <f t="shared" ca="1" si="145"/>
        <v>0.5184627192530854</v>
      </c>
      <c r="H919" s="15">
        <f t="shared" ca="1" si="146"/>
        <v>0.99844391542229827</v>
      </c>
      <c r="I919" s="14">
        <f ca="1">IF(G919&lt;0.05,1,0)*$B$1*$B$2</f>
        <v>0</v>
      </c>
      <c r="J919" s="14">
        <f ca="1">IF(H919&lt;0.05,1,0)*$B$1*$B$2</f>
        <v>0</v>
      </c>
      <c r="K919" s="15">
        <f t="shared" ca="1" si="147"/>
        <v>0</v>
      </c>
      <c r="P919" s="3">
        <v>915</v>
      </c>
      <c r="Q919" s="4">
        <f t="shared" ca="1" si="148"/>
        <v>0.5184627192530854</v>
      </c>
      <c r="R919" s="4">
        <f t="shared" ca="1" si="149"/>
        <v>0.99844391542229827</v>
      </c>
      <c r="S919" s="4">
        <f ca="1">$B$1*Q919*$B$2</f>
        <v>20.738508770123417</v>
      </c>
      <c r="T919" s="4">
        <f ca="1">$B$1*R919*$B$2</f>
        <v>39.937756616891932</v>
      </c>
      <c r="U919" s="7">
        <f t="shared" ca="1" si="150"/>
        <v>60.676265387015349</v>
      </c>
    </row>
    <row r="920" spans="2:21" x14ac:dyDescent="0.3">
      <c r="B920" s="13">
        <f t="shared" ca="1" si="141"/>
        <v>0.25931602627683992</v>
      </c>
      <c r="C920" s="14">
        <f t="shared" ca="1" si="141"/>
        <v>0.67935229966582344</v>
      </c>
      <c r="D920" s="14">
        <f t="shared" ca="1" si="142"/>
        <v>-0.64545549166139693</v>
      </c>
      <c r="E920" s="14">
        <f t="shared" ca="1" si="143"/>
        <v>0.46588837772464625</v>
      </c>
      <c r="F920" s="14">
        <f t="shared" ca="1" si="144"/>
        <v>-0.37783390674807343</v>
      </c>
      <c r="G920" s="14">
        <f t="shared" ca="1" si="145"/>
        <v>0.25931602627683981</v>
      </c>
      <c r="H920" s="15">
        <f t="shared" ca="1" si="146"/>
        <v>0.67935229966582344</v>
      </c>
      <c r="I920" s="14">
        <f ca="1">IF(G920&lt;0.05,1,0)*$B$1*$B$2</f>
        <v>0</v>
      </c>
      <c r="J920" s="14">
        <f ca="1">IF(H920&lt;0.05,1,0)*$B$1*$B$2</f>
        <v>0</v>
      </c>
      <c r="K920" s="15">
        <f t="shared" ca="1" si="147"/>
        <v>0</v>
      </c>
      <c r="P920" s="3">
        <v>916</v>
      </c>
      <c r="Q920" s="4">
        <f t="shared" ca="1" si="148"/>
        <v>0.25931602627683981</v>
      </c>
      <c r="R920" s="4">
        <f t="shared" ca="1" si="149"/>
        <v>0.67935229966582344</v>
      </c>
      <c r="S920" s="4">
        <f ca="1">$B$1*Q920*$B$2</f>
        <v>10.372641051073593</v>
      </c>
      <c r="T920" s="4">
        <f ca="1">$B$1*R920*$B$2</f>
        <v>27.174091986632938</v>
      </c>
      <c r="U920" s="7">
        <f t="shared" ca="1" si="150"/>
        <v>37.546733037706531</v>
      </c>
    </row>
    <row r="921" spans="2:21" x14ac:dyDescent="0.3">
      <c r="B921" s="13">
        <f t="shared" ca="1" si="141"/>
        <v>0.20643374586505858</v>
      </c>
      <c r="C921" s="14">
        <f t="shared" ca="1" si="141"/>
        <v>0.7318475503753763</v>
      </c>
      <c r="D921" s="14">
        <f t="shared" ca="1" si="142"/>
        <v>-0.81885790056171515</v>
      </c>
      <c r="E921" s="14">
        <f t="shared" ca="1" si="143"/>
        <v>0.61841031620207887</v>
      </c>
      <c r="F921" s="14">
        <f t="shared" ca="1" si="144"/>
        <v>-0.46741330310875417</v>
      </c>
      <c r="G921" s="14">
        <f t="shared" ca="1" si="145"/>
        <v>0.20643374586505842</v>
      </c>
      <c r="H921" s="15">
        <f t="shared" ca="1" si="146"/>
        <v>0.7318475503753763</v>
      </c>
      <c r="I921" s="14">
        <f ca="1">IF(G921&lt;0.05,1,0)*$B$1*$B$2</f>
        <v>0</v>
      </c>
      <c r="J921" s="14">
        <f ca="1">IF(H921&lt;0.05,1,0)*$B$1*$B$2</f>
        <v>0</v>
      </c>
      <c r="K921" s="15">
        <f t="shared" ca="1" si="147"/>
        <v>0</v>
      </c>
      <c r="P921" s="3">
        <v>917</v>
      </c>
      <c r="Q921" s="4">
        <f t="shared" ca="1" si="148"/>
        <v>0.20643374586505842</v>
      </c>
      <c r="R921" s="4">
        <f t="shared" ca="1" si="149"/>
        <v>0.7318475503753763</v>
      </c>
      <c r="S921" s="4">
        <f ca="1">$B$1*Q921*$B$2</f>
        <v>8.2573498346023371</v>
      </c>
      <c r="T921" s="4">
        <f ca="1">$B$1*R921*$B$2</f>
        <v>29.273902015015054</v>
      </c>
      <c r="U921" s="7">
        <f t="shared" ca="1" si="150"/>
        <v>37.531251849617391</v>
      </c>
    </row>
    <row r="922" spans="2:21" x14ac:dyDescent="0.3">
      <c r="B922" s="13">
        <f t="shared" ca="1" si="141"/>
        <v>8.0167885988594478E-2</v>
      </c>
      <c r="C922" s="14">
        <f t="shared" ca="1" si="141"/>
        <v>0.50805336101214393</v>
      </c>
      <c r="D922" s="14">
        <f t="shared" ca="1" si="142"/>
        <v>-1.4039431737553347</v>
      </c>
      <c r="E922" s="14">
        <f t="shared" ca="1" si="143"/>
        <v>2.0188153654212757E-2</v>
      </c>
      <c r="F922" s="14">
        <f t="shared" ca="1" si="144"/>
        <v>-1.2547490442162628</v>
      </c>
      <c r="G922" s="14">
        <f t="shared" ca="1" si="145"/>
        <v>8.0167885988594575E-2</v>
      </c>
      <c r="H922" s="15">
        <f t="shared" ca="1" si="146"/>
        <v>0.50805336101214393</v>
      </c>
      <c r="I922" s="14">
        <f ca="1">IF(G922&lt;0.05,1,0)*$B$1*$B$2</f>
        <v>0</v>
      </c>
      <c r="J922" s="14">
        <f ca="1">IF(H922&lt;0.05,1,0)*$B$1*$B$2</f>
        <v>0</v>
      </c>
      <c r="K922" s="15">
        <f t="shared" ca="1" si="147"/>
        <v>0</v>
      </c>
      <c r="P922" s="3">
        <v>918</v>
      </c>
      <c r="Q922" s="4">
        <f t="shared" ca="1" si="148"/>
        <v>8.0167885988594575E-2</v>
      </c>
      <c r="R922" s="4">
        <f t="shared" ca="1" si="149"/>
        <v>0.50805336101214393</v>
      </c>
      <c r="S922" s="4">
        <f ca="1">$B$1*Q922*$B$2</f>
        <v>3.2067154395437836</v>
      </c>
      <c r="T922" s="4">
        <f ca="1">$B$1*R922*$B$2</f>
        <v>20.322134440485758</v>
      </c>
      <c r="U922" s="7">
        <f t="shared" ca="1" si="150"/>
        <v>23.52884988002954</v>
      </c>
    </row>
    <row r="923" spans="2:21" x14ac:dyDescent="0.3">
      <c r="B923" s="13">
        <f t="shared" ca="1" si="141"/>
        <v>0.40509904592642298</v>
      </c>
      <c r="C923" s="14">
        <f t="shared" ca="1" si="141"/>
        <v>0.82762004920416765</v>
      </c>
      <c r="D923" s="14">
        <f t="shared" ca="1" si="142"/>
        <v>-0.24017048734619975</v>
      </c>
      <c r="E923" s="14">
        <f t="shared" ca="1" si="143"/>
        <v>0.94480213519798828</v>
      </c>
      <c r="F923" s="14">
        <f t="shared" ca="1" si="144"/>
        <v>0.19567626428536852</v>
      </c>
      <c r="G923" s="14">
        <f t="shared" ca="1" si="145"/>
        <v>0.40509904592642298</v>
      </c>
      <c r="H923" s="15">
        <f t="shared" ca="1" si="146"/>
        <v>0.8276200492041671</v>
      </c>
      <c r="I923" s="14">
        <f ca="1">IF(G923&lt;0.05,1,0)*$B$1*$B$2</f>
        <v>0</v>
      </c>
      <c r="J923" s="14">
        <f ca="1">IF(H923&lt;0.05,1,0)*$B$1*$B$2</f>
        <v>0</v>
      </c>
      <c r="K923" s="15">
        <f t="shared" ca="1" si="147"/>
        <v>0</v>
      </c>
      <c r="P923" s="3">
        <v>919</v>
      </c>
      <c r="Q923" s="4">
        <f t="shared" ca="1" si="148"/>
        <v>0.40509904592642298</v>
      </c>
      <c r="R923" s="4">
        <f t="shared" ca="1" si="149"/>
        <v>0.8276200492041671</v>
      </c>
      <c r="S923" s="4">
        <f ca="1">$B$1*Q923*$B$2</f>
        <v>16.203961837056919</v>
      </c>
      <c r="T923" s="4">
        <f ca="1">$B$1*R923*$B$2</f>
        <v>33.10480196816669</v>
      </c>
      <c r="U923" s="7">
        <f t="shared" ca="1" si="150"/>
        <v>49.308763805223606</v>
      </c>
    </row>
    <row r="924" spans="2:21" x14ac:dyDescent="0.3">
      <c r="B924" s="13">
        <f t="shared" ca="1" si="141"/>
        <v>0.98886995356796148</v>
      </c>
      <c r="C924" s="14">
        <f t="shared" ca="1" si="141"/>
        <v>0.45036598172377507</v>
      </c>
      <c r="D924" s="14">
        <f t="shared" ca="1" si="142"/>
        <v>2.2859002835651019</v>
      </c>
      <c r="E924" s="14">
        <f t="shared" ca="1" si="143"/>
        <v>-0.1247367485613297</v>
      </c>
      <c r="F924" s="14">
        <f t="shared" ca="1" si="144"/>
        <v>2.0029387670561238</v>
      </c>
      <c r="G924" s="14">
        <f t="shared" ca="1" si="145"/>
        <v>0.98886995356796148</v>
      </c>
      <c r="H924" s="15">
        <f t="shared" ca="1" si="146"/>
        <v>0.45036598172377507</v>
      </c>
      <c r="I924" s="14">
        <f ca="1">IF(G924&lt;0.05,1,0)*$B$1*$B$2</f>
        <v>0</v>
      </c>
      <c r="J924" s="14">
        <f ca="1">IF(H924&lt;0.05,1,0)*$B$1*$B$2</f>
        <v>0</v>
      </c>
      <c r="K924" s="15">
        <f t="shared" ca="1" si="147"/>
        <v>0</v>
      </c>
      <c r="P924" s="3">
        <v>920</v>
      </c>
      <c r="Q924" s="4">
        <f t="shared" ca="1" si="148"/>
        <v>0.98886995356796148</v>
      </c>
      <c r="R924" s="4">
        <f t="shared" ca="1" si="149"/>
        <v>0.45036598172377507</v>
      </c>
      <c r="S924" s="4">
        <f ca="1">$B$1*Q924*$B$2</f>
        <v>39.554798142718461</v>
      </c>
      <c r="T924" s="4">
        <f ca="1">$B$1*R924*$B$2</f>
        <v>18.014639268951004</v>
      </c>
      <c r="U924" s="7">
        <f t="shared" ca="1" si="150"/>
        <v>57.569437411669469</v>
      </c>
    </row>
    <row r="925" spans="2:21" x14ac:dyDescent="0.3">
      <c r="B925" s="13">
        <f t="shared" ca="1" si="141"/>
        <v>0.26642349692587664</v>
      </c>
      <c r="C925" s="14">
        <f t="shared" ca="1" si="141"/>
        <v>0.19365227450334976</v>
      </c>
      <c r="D925" s="14">
        <f t="shared" ca="1" si="142"/>
        <v>-0.62366594297091194</v>
      </c>
      <c r="E925" s="14">
        <f t="shared" ca="1" si="143"/>
        <v>-0.86451590121633493</v>
      </c>
      <c r="F925" s="14">
        <f t="shared" ca="1" si="144"/>
        <v>-0.93813309352242036</v>
      </c>
      <c r="G925" s="14">
        <f t="shared" ca="1" si="145"/>
        <v>0.26642349692587658</v>
      </c>
      <c r="H925" s="15">
        <f t="shared" ca="1" si="146"/>
        <v>0.19365227450334996</v>
      </c>
      <c r="I925" s="14">
        <f ca="1">IF(G925&lt;0.05,1,0)*$B$1*$B$2</f>
        <v>0</v>
      </c>
      <c r="J925" s="14">
        <f ca="1">IF(H925&lt;0.05,1,0)*$B$1*$B$2</f>
        <v>0</v>
      </c>
      <c r="K925" s="15">
        <f t="shared" ca="1" si="147"/>
        <v>0</v>
      </c>
      <c r="P925" s="3">
        <v>921</v>
      </c>
      <c r="Q925" s="4">
        <f t="shared" ca="1" si="148"/>
        <v>0.26642349692587658</v>
      </c>
      <c r="R925" s="4">
        <f t="shared" ca="1" si="149"/>
        <v>0.19365227450334996</v>
      </c>
      <c r="S925" s="4">
        <f ca="1">$B$1*Q925*$B$2</f>
        <v>10.656939877035065</v>
      </c>
      <c r="T925" s="4">
        <f ca="1">$B$1*R925*$B$2</f>
        <v>7.7460909801339985</v>
      </c>
      <c r="U925" s="7">
        <f t="shared" ca="1" si="150"/>
        <v>18.403030857169064</v>
      </c>
    </row>
    <row r="926" spans="2:21" x14ac:dyDescent="0.3">
      <c r="B926" s="13">
        <f t="shared" ca="1" si="141"/>
        <v>0.54159751760814956</v>
      </c>
      <c r="C926" s="14">
        <f t="shared" ca="1" si="141"/>
        <v>4.7904934837595059E-2</v>
      </c>
      <c r="D926" s="14">
        <f t="shared" ca="1" si="142"/>
        <v>0.10445917478761067</v>
      </c>
      <c r="E926" s="14">
        <f t="shared" ca="1" si="143"/>
        <v>-1.6655159224131377</v>
      </c>
      <c r="F926" s="14">
        <f t="shared" ca="1" si="144"/>
        <v>-0.63196830215682998</v>
      </c>
      <c r="G926" s="14">
        <f t="shared" ca="1" si="145"/>
        <v>0.54159751760814956</v>
      </c>
      <c r="H926" s="15">
        <f t="shared" ca="1" si="146"/>
        <v>4.7904934837595059E-2</v>
      </c>
      <c r="I926" s="14">
        <f ca="1">IF(G926&lt;0.05,1,0)*$B$1*$B$2</f>
        <v>0</v>
      </c>
      <c r="J926" s="14">
        <f ca="1">IF(H926&lt;0.05,1,0)*$B$1*$B$2</f>
        <v>40</v>
      </c>
      <c r="K926" s="15">
        <f t="shared" ca="1" si="147"/>
        <v>40</v>
      </c>
      <c r="P926" s="3">
        <v>922</v>
      </c>
      <c r="Q926" s="4">
        <f t="shared" ca="1" si="148"/>
        <v>0.54159751760814956</v>
      </c>
      <c r="R926" s="4">
        <f t="shared" ca="1" si="149"/>
        <v>4.7904934837595059E-2</v>
      </c>
      <c r="S926" s="4">
        <f ca="1">$B$1*Q926*$B$2</f>
        <v>21.663900704325982</v>
      </c>
      <c r="T926" s="4">
        <f ca="1">$B$1*R926*$B$2</f>
        <v>1.9161973935038024</v>
      </c>
      <c r="U926" s="7">
        <f t="shared" ca="1" si="150"/>
        <v>23.580098097829783</v>
      </c>
    </row>
    <row r="927" spans="2:21" x14ac:dyDescent="0.3">
      <c r="B927" s="13">
        <f t="shared" ca="1" si="141"/>
        <v>0.61774413798748939</v>
      </c>
      <c r="C927" s="14">
        <f t="shared" ca="1" si="141"/>
        <v>0.29767330740411957</v>
      </c>
      <c r="D927" s="14">
        <f t="shared" ca="1" si="142"/>
        <v>0.29956140916177965</v>
      </c>
      <c r="E927" s="14">
        <f t="shared" ca="1" si="143"/>
        <v>-0.53110414099900827</v>
      </c>
      <c r="F927" s="14">
        <f t="shared" ca="1" si="144"/>
        <v>3.8102340334536355E-2</v>
      </c>
      <c r="G927" s="14">
        <f t="shared" ca="1" si="145"/>
        <v>0.61774413798748939</v>
      </c>
      <c r="H927" s="15">
        <f t="shared" ca="1" si="146"/>
        <v>0.29767330740411951</v>
      </c>
      <c r="I927" s="14">
        <f ca="1">IF(G927&lt;0.05,1,0)*$B$1*$B$2</f>
        <v>0</v>
      </c>
      <c r="J927" s="14">
        <f ca="1">IF(H927&lt;0.05,1,0)*$B$1*$B$2</f>
        <v>0</v>
      </c>
      <c r="K927" s="15">
        <f t="shared" ca="1" si="147"/>
        <v>0</v>
      </c>
      <c r="P927" s="3">
        <v>923</v>
      </c>
      <c r="Q927" s="4">
        <f t="shared" ca="1" si="148"/>
        <v>0.61774413798748939</v>
      </c>
      <c r="R927" s="4">
        <f t="shared" ca="1" si="149"/>
        <v>0.29767330740411951</v>
      </c>
      <c r="S927" s="4">
        <f ca="1">$B$1*Q927*$B$2</f>
        <v>24.709765519499577</v>
      </c>
      <c r="T927" s="4">
        <f ca="1">$B$1*R927*$B$2</f>
        <v>11.906932296164781</v>
      </c>
      <c r="U927" s="7">
        <f t="shared" ca="1" si="150"/>
        <v>36.616697815664359</v>
      </c>
    </row>
    <row r="928" spans="2:21" x14ac:dyDescent="0.3">
      <c r="B928" s="13">
        <f t="shared" ca="1" si="141"/>
        <v>0.81583149226527363</v>
      </c>
      <c r="C928" s="14">
        <f t="shared" ca="1" si="141"/>
        <v>0.79887664676958625</v>
      </c>
      <c r="D928" s="14">
        <f t="shared" ca="1" si="142"/>
        <v>0.89959275258619043</v>
      </c>
      <c r="E928" s="14">
        <f t="shared" ca="1" si="143"/>
        <v>0.83761546132363207</v>
      </c>
      <c r="F928" s="14">
        <f t="shared" ca="1" si="144"/>
        <v>1.1747415922732627</v>
      </c>
      <c r="G928" s="14">
        <f t="shared" ca="1" si="145"/>
        <v>0.81583149226527407</v>
      </c>
      <c r="H928" s="15">
        <f t="shared" ca="1" si="146"/>
        <v>0.79887664676958625</v>
      </c>
      <c r="I928" s="14">
        <f ca="1">IF(G928&lt;0.05,1,0)*$B$1*$B$2</f>
        <v>0</v>
      </c>
      <c r="J928" s="14">
        <f ca="1">IF(H928&lt;0.05,1,0)*$B$1*$B$2</f>
        <v>0</v>
      </c>
      <c r="K928" s="15">
        <f t="shared" ca="1" si="147"/>
        <v>0</v>
      </c>
      <c r="P928" s="3">
        <v>924</v>
      </c>
      <c r="Q928" s="4">
        <f t="shared" ca="1" si="148"/>
        <v>0.81583149226527407</v>
      </c>
      <c r="R928" s="4">
        <f t="shared" ca="1" si="149"/>
        <v>0.79887664676958625</v>
      </c>
      <c r="S928" s="4">
        <f ca="1">$B$1*Q928*$B$2</f>
        <v>32.633259690610963</v>
      </c>
      <c r="T928" s="4">
        <f ca="1">$B$1*R928*$B$2</f>
        <v>31.95506587078345</v>
      </c>
      <c r="U928" s="7">
        <f t="shared" ca="1" si="150"/>
        <v>64.588325561394413</v>
      </c>
    </row>
    <row r="929" spans="2:21" x14ac:dyDescent="0.3">
      <c r="B929" s="13">
        <f t="shared" ca="1" si="141"/>
        <v>1.7389113730746475E-2</v>
      </c>
      <c r="C929" s="14">
        <f t="shared" ca="1" si="141"/>
        <v>0.8312607091515698</v>
      </c>
      <c r="D929" s="14">
        <f t="shared" ca="1" si="142"/>
        <v>-2.1109311815403657</v>
      </c>
      <c r="E929" s="14">
        <f t="shared" ca="1" si="143"/>
        <v>0.95915913873185998</v>
      </c>
      <c r="F929" s="14">
        <f t="shared" ca="1" si="144"/>
        <v>-1.4817502877357607</v>
      </c>
      <c r="G929" s="14">
        <f t="shared" ca="1" si="145"/>
        <v>1.738911373074651E-2</v>
      </c>
      <c r="H929" s="15">
        <f t="shared" ca="1" si="146"/>
        <v>0.83126070915156969</v>
      </c>
      <c r="I929" s="14">
        <f ca="1">IF(G929&lt;0.05,1,0)*$B$1*$B$2</f>
        <v>40</v>
      </c>
      <c r="J929" s="14">
        <f ca="1">IF(H929&lt;0.05,1,0)*$B$1*$B$2</f>
        <v>0</v>
      </c>
      <c r="K929" s="15">
        <f t="shared" ca="1" si="147"/>
        <v>40</v>
      </c>
      <c r="P929" s="3">
        <v>925</v>
      </c>
      <c r="Q929" s="4">
        <f t="shared" ca="1" si="148"/>
        <v>1.738911373074651E-2</v>
      </c>
      <c r="R929" s="4">
        <f t="shared" ca="1" si="149"/>
        <v>0.83126070915156969</v>
      </c>
      <c r="S929" s="4">
        <f ca="1">$B$1*Q929*$B$2</f>
        <v>0.69556454922986044</v>
      </c>
      <c r="T929" s="4">
        <f ca="1">$B$1*R929*$B$2</f>
        <v>33.250428366062792</v>
      </c>
      <c r="U929" s="7">
        <f t="shared" ca="1" si="150"/>
        <v>33.945992915292649</v>
      </c>
    </row>
    <row r="930" spans="2:21" x14ac:dyDescent="0.3">
      <c r="B930" s="13">
        <f t="shared" ca="1" si="141"/>
        <v>5.5989074157326235E-2</v>
      </c>
      <c r="C930" s="14">
        <f t="shared" ca="1" si="141"/>
        <v>0.99545934731889718</v>
      </c>
      <c r="D930" s="14">
        <f t="shared" ca="1" si="142"/>
        <v>-1.5893643943308506</v>
      </c>
      <c r="E930" s="14">
        <f t="shared" ca="1" si="143"/>
        <v>2.6089781015188498</v>
      </c>
      <c r="F930" s="14">
        <f t="shared" ca="1" si="144"/>
        <v>-0.29320076585463917</v>
      </c>
      <c r="G930" s="14">
        <f t="shared" ca="1" si="145"/>
        <v>5.598907415732627E-2</v>
      </c>
      <c r="H930" s="15">
        <f t="shared" ca="1" si="146"/>
        <v>0.99545934731889718</v>
      </c>
      <c r="I930" s="14">
        <f ca="1">IF(G930&lt;0.05,1,0)*$B$1*$B$2</f>
        <v>0</v>
      </c>
      <c r="J930" s="14">
        <f ca="1">IF(H930&lt;0.05,1,0)*$B$1*$B$2</f>
        <v>0</v>
      </c>
      <c r="K930" s="15">
        <f t="shared" ca="1" si="147"/>
        <v>0</v>
      </c>
      <c r="P930" s="3">
        <v>926</v>
      </c>
      <c r="Q930" s="4">
        <f t="shared" ca="1" si="148"/>
        <v>5.598907415732627E-2</v>
      </c>
      <c r="R930" s="4">
        <f t="shared" ca="1" si="149"/>
        <v>0.99545934731889718</v>
      </c>
      <c r="S930" s="4">
        <f ca="1">$B$1*Q930*$B$2</f>
        <v>2.2395629662930507</v>
      </c>
      <c r="T930" s="4">
        <f ca="1">$B$1*R930*$B$2</f>
        <v>39.818373892755886</v>
      </c>
      <c r="U930" s="7">
        <f t="shared" ca="1" si="150"/>
        <v>42.057936859048937</v>
      </c>
    </row>
    <row r="931" spans="2:21" x14ac:dyDescent="0.3">
      <c r="B931" s="13">
        <f t="shared" ca="1" si="141"/>
        <v>2.7742480847968709E-2</v>
      </c>
      <c r="C931" s="14">
        <f t="shared" ca="1" si="141"/>
        <v>0.72091206598708446</v>
      </c>
      <c r="D931" s="14">
        <f t="shared" ca="1" si="142"/>
        <v>-1.9150591417181821</v>
      </c>
      <c r="E931" s="14">
        <f t="shared" ca="1" si="143"/>
        <v>0.5855531077544881</v>
      </c>
      <c r="F931" s="14">
        <f t="shared" ca="1" si="144"/>
        <v>-1.4683165452685643</v>
      </c>
      <c r="G931" s="14">
        <f t="shared" ca="1" si="145"/>
        <v>2.7742480847968702E-2</v>
      </c>
      <c r="H931" s="15">
        <f t="shared" ca="1" si="146"/>
        <v>0.72091206598708446</v>
      </c>
      <c r="I931" s="14">
        <f ca="1">IF(G931&lt;0.05,1,0)*$B$1*$B$2</f>
        <v>40</v>
      </c>
      <c r="J931" s="14">
        <f ca="1">IF(H931&lt;0.05,1,0)*$B$1*$B$2</f>
        <v>0</v>
      </c>
      <c r="K931" s="15">
        <f t="shared" ca="1" si="147"/>
        <v>40</v>
      </c>
      <c r="P931" s="3">
        <v>927</v>
      </c>
      <c r="Q931" s="4">
        <f t="shared" ca="1" si="148"/>
        <v>2.7742480847968702E-2</v>
      </c>
      <c r="R931" s="4">
        <f t="shared" ca="1" si="149"/>
        <v>0.72091206598708446</v>
      </c>
      <c r="S931" s="4">
        <f ca="1">$B$1*Q931*$B$2</f>
        <v>1.1096992339187481</v>
      </c>
      <c r="T931" s="4">
        <f ca="1">$B$1*R931*$B$2</f>
        <v>28.836482639483382</v>
      </c>
      <c r="U931" s="7">
        <f t="shared" ca="1" si="150"/>
        <v>29.946181873402129</v>
      </c>
    </row>
    <row r="932" spans="2:21" x14ac:dyDescent="0.3">
      <c r="B932" s="13">
        <f t="shared" ca="1" si="141"/>
        <v>9.5073352842971914E-2</v>
      </c>
      <c r="C932" s="14">
        <f t="shared" ca="1" si="141"/>
        <v>0.96036387033631299</v>
      </c>
      <c r="D932" s="14">
        <f t="shared" ca="1" si="142"/>
        <v>-1.3101452424465834</v>
      </c>
      <c r="E932" s="14">
        <f t="shared" ca="1" si="143"/>
        <v>1.7549242866595771</v>
      </c>
      <c r="F932" s="14">
        <f t="shared" ca="1" si="144"/>
        <v>-0.41417695629049511</v>
      </c>
      <c r="G932" s="14">
        <f t="shared" ca="1" si="145"/>
        <v>9.5073352842971803E-2</v>
      </c>
      <c r="H932" s="15">
        <f t="shared" ca="1" si="146"/>
        <v>0.96036387033631299</v>
      </c>
      <c r="I932" s="14">
        <f ca="1">IF(G932&lt;0.05,1,0)*$B$1*$B$2</f>
        <v>0</v>
      </c>
      <c r="J932" s="14">
        <f ca="1">IF(H932&lt;0.05,1,0)*$B$1*$B$2</f>
        <v>0</v>
      </c>
      <c r="K932" s="15">
        <f t="shared" ca="1" si="147"/>
        <v>0</v>
      </c>
      <c r="P932" s="3">
        <v>928</v>
      </c>
      <c r="Q932" s="4">
        <f t="shared" ca="1" si="148"/>
        <v>9.5073352842971803E-2</v>
      </c>
      <c r="R932" s="4">
        <f t="shared" ca="1" si="149"/>
        <v>0.96036387033631299</v>
      </c>
      <c r="S932" s="4">
        <f ca="1">$B$1*Q932*$B$2</f>
        <v>3.8029341137188726</v>
      </c>
      <c r="T932" s="4">
        <f ca="1">$B$1*R932*$B$2</f>
        <v>38.414554813452526</v>
      </c>
      <c r="U932" s="7">
        <f t="shared" ca="1" si="150"/>
        <v>42.217488927171395</v>
      </c>
    </row>
    <row r="933" spans="2:21" x14ac:dyDescent="0.3">
      <c r="B933" s="13">
        <f t="shared" ca="1" si="141"/>
        <v>2.5608418511450015E-2</v>
      </c>
      <c r="C933" s="14">
        <f t="shared" ca="1" si="141"/>
        <v>0.92379670171986661</v>
      </c>
      <c r="D933" s="14">
        <f t="shared" ca="1" si="142"/>
        <v>-1.949658489598902</v>
      </c>
      <c r="E933" s="14">
        <f t="shared" ca="1" si="143"/>
        <v>1.4310824147348609</v>
      </c>
      <c r="F933" s="14">
        <f t="shared" ca="1" si="144"/>
        <v>-1.1308982780682699</v>
      </c>
      <c r="G933" s="14">
        <f t="shared" ca="1" si="145"/>
        <v>2.5608418511450012E-2</v>
      </c>
      <c r="H933" s="15">
        <f t="shared" ca="1" si="146"/>
        <v>0.9237967017198665</v>
      </c>
      <c r="I933" s="14">
        <f ca="1">IF(G933&lt;0.05,1,0)*$B$1*$B$2</f>
        <v>40</v>
      </c>
      <c r="J933" s="14">
        <f ca="1">IF(H933&lt;0.05,1,0)*$B$1*$B$2</f>
        <v>0</v>
      </c>
      <c r="K933" s="15">
        <f t="shared" ca="1" si="147"/>
        <v>40</v>
      </c>
      <c r="P933" s="3">
        <v>929</v>
      </c>
      <c r="Q933" s="4">
        <f t="shared" ca="1" si="148"/>
        <v>2.5608418511450012E-2</v>
      </c>
      <c r="R933" s="4">
        <f t="shared" ca="1" si="149"/>
        <v>0.9237967017198665</v>
      </c>
      <c r="S933" s="4">
        <f ca="1">$B$1*Q933*$B$2</f>
        <v>1.0243367404580004</v>
      </c>
      <c r="T933" s="4">
        <f ca="1">$B$1*R933*$B$2</f>
        <v>36.95186806879466</v>
      </c>
      <c r="U933" s="7">
        <f t="shared" ca="1" si="150"/>
        <v>37.976204809252657</v>
      </c>
    </row>
    <row r="934" spans="2:21" x14ac:dyDescent="0.3">
      <c r="B934" s="13">
        <f t="shared" ref="B934:C965" ca="1" si="151">RAND()</f>
        <v>0.42035054207440736</v>
      </c>
      <c r="C934" s="14">
        <f t="shared" ca="1" si="151"/>
        <v>0.84574066832805983</v>
      </c>
      <c r="D934" s="14">
        <f t="shared" ca="1" si="142"/>
        <v>-0.2009967898852619</v>
      </c>
      <c r="E934" s="14">
        <f t="shared" ca="1" si="143"/>
        <v>1.0183352470103548</v>
      </c>
      <c r="F934" s="14">
        <f t="shared" ca="1" si="144"/>
        <v>0.26298493233963083</v>
      </c>
      <c r="G934" s="14">
        <f t="shared" ca="1" si="145"/>
        <v>0.42035054207440736</v>
      </c>
      <c r="H934" s="15">
        <f t="shared" ca="1" si="146"/>
        <v>0.84574066832806039</v>
      </c>
      <c r="I934" s="14">
        <f ca="1">IF(G934&lt;0.05,1,0)*$B$1*$B$2</f>
        <v>0</v>
      </c>
      <c r="J934" s="14">
        <f ca="1">IF(H934&lt;0.05,1,0)*$B$1*$B$2</f>
        <v>0</v>
      </c>
      <c r="K934" s="15">
        <f t="shared" ca="1" si="147"/>
        <v>0</v>
      </c>
      <c r="P934" s="3">
        <v>930</v>
      </c>
      <c r="Q934" s="4">
        <f t="shared" ca="1" si="148"/>
        <v>0.42035054207440736</v>
      </c>
      <c r="R934" s="4">
        <f t="shared" ca="1" si="149"/>
        <v>0.84574066832806039</v>
      </c>
      <c r="S934" s="4">
        <f ca="1">$B$1*Q934*$B$2</f>
        <v>16.814021682976296</v>
      </c>
      <c r="T934" s="4">
        <f ca="1">$B$1*R934*$B$2</f>
        <v>33.829626733122417</v>
      </c>
      <c r="U934" s="7">
        <f t="shared" ca="1" si="150"/>
        <v>50.643648416098713</v>
      </c>
    </row>
    <row r="935" spans="2:21" x14ac:dyDescent="0.3">
      <c r="B935" s="13">
        <f t="shared" ca="1" si="151"/>
        <v>0.94696989311984048</v>
      </c>
      <c r="C935" s="14">
        <f t="shared" ca="1" si="151"/>
        <v>0.95114043635468604</v>
      </c>
      <c r="D935" s="14">
        <f t="shared" ca="1" si="142"/>
        <v>1.6161577367692421</v>
      </c>
      <c r="E935" s="14">
        <f t="shared" ca="1" si="143"/>
        <v>1.6560132909102954</v>
      </c>
      <c r="F935" s="14">
        <f t="shared" ca="1" si="144"/>
        <v>2.1763814215161377</v>
      </c>
      <c r="G935" s="14">
        <f t="shared" ca="1" si="145"/>
        <v>0.94696989311984048</v>
      </c>
      <c r="H935" s="15">
        <f t="shared" ca="1" si="146"/>
        <v>0.95114043635468604</v>
      </c>
      <c r="I935" s="14">
        <f ca="1">IF(G935&lt;0.05,1,0)*$B$1*$B$2</f>
        <v>0</v>
      </c>
      <c r="J935" s="14">
        <f ca="1">IF(H935&lt;0.05,1,0)*$B$1*$B$2</f>
        <v>0</v>
      </c>
      <c r="K935" s="15">
        <f t="shared" ca="1" si="147"/>
        <v>0</v>
      </c>
      <c r="P935" s="3">
        <v>931</v>
      </c>
      <c r="Q935" s="4">
        <f t="shared" ca="1" si="148"/>
        <v>0.94696989311984048</v>
      </c>
      <c r="R935" s="4">
        <f t="shared" ca="1" si="149"/>
        <v>0.95114043635468604</v>
      </c>
      <c r="S935" s="4">
        <f ca="1">$B$1*Q935*$B$2</f>
        <v>37.878795724793626</v>
      </c>
      <c r="T935" s="4">
        <f ca="1">$B$1*R935*$B$2</f>
        <v>38.045617454187443</v>
      </c>
      <c r="U935" s="7">
        <f t="shared" ca="1" si="150"/>
        <v>75.924413178981069</v>
      </c>
    </row>
    <row r="936" spans="2:21" x14ac:dyDescent="0.3">
      <c r="B936" s="13">
        <f t="shared" ca="1" si="151"/>
        <v>0.59470283099222443</v>
      </c>
      <c r="C936" s="14">
        <f t="shared" ca="1" si="151"/>
        <v>0.69063290266368493</v>
      </c>
      <c r="D936" s="14">
        <f t="shared" ca="1" si="142"/>
        <v>0.23965936622491557</v>
      </c>
      <c r="E936" s="14">
        <f t="shared" ca="1" si="143"/>
        <v>0.49764512142441086</v>
      </c>
      <c r="F936" s="14">
        <f t="shared" ca="1" si="144"/>
        <v>0.43261190900592744</v>
      </c>
      <c r="G936" s="14">
        <f t="shared" ca="1" si="145"/>
        <v>0.59470283099222443</v>
      </c>
      <c r="H936" s="15">
        <f t="shared" ca="1" si="146"/>
        <v>0.69063290266368493</v>
      </c>
      <c r="I936" s="14">
        <f ca="1">IF(G936&lt;0.05,1,0)*$B$1*$B$2</f>
        <v>0</v>
      </c>
      <c r="J936" s="14">
        <f ca="1">IF(H936&lt;0.05,1,0)*$B$1*$B$2</f>
        <v>0</v>
      </c>
      <c r="K936" s="15">
        <f t="shared" ca="1" si="147"/>
        <v>0</v>
      </c>
      <c r="P936" s="3">
        <v>932</v>
      </c>
      <c r="Q936" s="4">
        <f t="shared" ca="1" si="148"/>
        <v>0.59470283099222443</v>
      </c>
      <c r="R936" s="4">
        <f t="shared" ca="1" si="149"/>
        <v>0.69063290266368493</v>
      </c>
      <c r="S936" s="4">
        <f ca="1">$B$1*Q936*$B$2</f>
        <v>23.788113239688979</v>
      </c>
      <c r="T936" s="4">
        <f ca="1">$B$1*R936*$B$2</f>
        <v>27.625316106547402</v>
      </c>
      <c r="U936" s="7">
        <f t="shared" ca="1" si="150"/>
        <v>51.413429346236384</v>
      </c>
    </row>
    <row r="937" spans="2:21" x14ac:dyDescent="0.3">
      <c r="B937" s="13">
        <f t="shared" ca="1" si="151"/>
        <v>0.68805084125145211</v>
      </c>
      <c r="C937" s="14">
        <f t="shared" ca="1" si="151"/>
        <v>0.67568243864373634</v>
      </c>
      <c r="D937" s="14">
        <f t="shared" ca="1" si="142"/>
        <v>0.49033294562170604</v>
      </c>
      <c r="E937" s="14">
        <f t="shared" ca="1" si="143"/>
        <v>0.45565912035385386</v>
      </c>
      <c r="F937" s="14">
        <f t="shared" ca="1" si="144"/>
        <v>0.63991685689204403</v>
      </c>
      <c r="G937" s="14">
        <f t="shared" ca="1" si="145"/>
        <v>0.68805084125145211</v>
      </c>
      <c r="H937" s="15">
        <f t="shared" ca="1" si="146"/>
        <v>0.67568243864373634</v>
      </c>
      <c r="I937" s="14">
        <f ca="1">IF(G937&lt;0.05,1,0)*$B$1*$B$2</f>
        <v>0</v>
      </c>
      <c r="J937" s="14">
        <f ca="1">IF(H937&lt;0.05,1,0)*$B$1*$B$2</f>
        <v>0</v>
      </c>
      <c r="K937" s="15">
        <f t="shared" ca="1" si="147"/>
        <v>0</v>
      </c>
      <c r="P937" s="3">
        <v>933</v>
      </c>
      <c r="Q937" s="4">
        <f t="shared" ca="1" si="148"/>
        <v>0.68805084125145211</v>
      </c>
      <c r="R937" s="4">
        <f t="shared" ca="1" si="149"/>
        <v>0.67568243864373634</v>
      </c>
      <c r="S937" s="4">
        <f ca="1">$B$1*Q937*$B$2</f>
        <v>27.522033650058088</v>
      </c>
      <c r="T937" s="4">
        <f ca="1">$B$1*R937*$B$2</f>
        <v>27.027297545749452</v>
      </c>
      <c r="U937" s="7">
        <f t="shared" ca="1" si="150"/>
        <v>54.54933119580754</v>
      </c>
    </row>
    <row r="938" spans="2:21" x14ac:dyDescent="0.3">
      <c r="B938" s="13">
        <f t="shared" ca="1" si="151"/>
        <v>0.43887208426442859</v>
      </c>
      <c r="C938" s="14">
        <f t="shared" ca="1" si="151"/>
        <v>0.40915368649152983</v>
      </c>
      <c r="D938" s="14">
        <f t="shared" ca="1" si="142"/>
        <v>-0.15382950572049597</v>
      </c>
      <c r="E938" s="14">
        <f t="shared" ca="1" si="143"/>
        <v>-0.22972254758234076</v>
      </c>
      <c r="F938" s="14">
        <f t="shared" ca="1" si="144"/>
        <v>-0.2385802921448601</v>
      </c>
      <c r="G938" s="14">
        <f t="shared" ca="1" si="145"/>
        <v>0.43887208426442859</v>
      </c>
      <c r="H938" s="15">
        <f t="shared" ca="1" si="146"/>
        <v>0.40915368649152983</v>
      </c>
      <c r="I938" s="14">
        <f ca="1">IF(G938&lt;0.05,1,0)*$B$1*$B$2</f>
        <v>0</v>
      </c>
      <c r="J938" s="14">
        <f ca="1">IF(H938&lt;0.05,1,0)*$B$1*$B$2</f>
        <v>0</v>
      </c>
      <c r="K938" s="15">
        <f t="shared" ca="1" si="147"/>
        <v>0</v>
      </c>
      <c r="P938" s="3">
        <v>934</v>
      </c>
      <c r="Q938" s="4">
        <f t="shared" ca="1" si="148"/>
        <v>0.43887208426442859</v>
      </c>
      <c r="R938" s="4">
        <f t="shared" ca="1" si="149"/>
        <v>0.40915368649152983</v>
      </c>
      <c r="S938" s="4">
        <f ca="1">$B$1*Q938*$B$2</f>
        <v>17.554883370577144</v>
      </c>
      <c r="T938" s="4">
        <f ca="1">$B$1*R938*$B$2</f>
        <v>16.366147459661192</v>
      </c>
      <c r="U938" s="7">
        <f t="shared" ca="1" si="150"/>
        <v>33.921030830238337</v>
      </c>
    </row>
    <row r="939" spans="2:21" x14ac:dyDescent="0.3">
      <c r="B939" s="13">
        <f t="shared" ca="1" si="151"/>
        <v>0.14931453794048866</v>
      </c>
      <c r="C939" s="14">
        <f t="shared" ca="1" si="151"/>
        <v>3.8361685757931419E-2</v>
      </c>
      <c r="D939" s="14">
        <f t="shared" ca="1" si="142"/>
        <v>-1.0393777756981402</v>
      </c>
      <c r="E939" s="14">
        <f t="shared" ca="1" si="143"/>
        <v>-1.770022626612906</v>
      </c>
      <c r="F939" s="14">
        <f t="shared" ca="1" si="144"/>
        <v>-1.7069749738469344</v>
      </c>
      <c r="G939" s="14">
        <f t="shared" ca="1" si="145"/>
        <v>0.14931453794048877</v>
      </c>
      <c r="H939" s="15">
        <f t="shared" ca="1" si="146"/>
        <v>3.8361685757931425E-2</v>
      </c>
      <c r="I939" s="14">
        <f ca="1">IF(G939&lt;0.05,1,0)*$B$1*$B$2</f>
        <v>0</v>
      </c>
      <c r="J939" s="14">
        <f ca="1">IF(H939&lt;0.05,1,0)*$B$1*$B$2</f>
        <v>40</v>
      </c>
      <c r="K939" s="15">
        <f t="shared" ca="1" si="147"/>
        <v>40</v>
      </c>
      <c r="P939" s="3">
        <v>935</v>
      </c>
      <c r="Q939" s="4">
        <f t="shared" ca="1" si="148"/>
        <v>0.14931453794048877</v>
      </c>
      <c r="R939" s="4">
        <f t="shared" ca="1" si="149"/>
        <v>3.8361685757931425E-2</v>
      </c>
      <c r="S939" s="4">
        <f ca="1">$B$1*Q939*$B$2</f>
        <v>5.9725815176195516</v>
      </c>
      <c r="T939" s="4">
        <f ca="1">$B$1*R939*$B$2</f>
        <v>1.5344674303172572</v>
      </c>
      <c r="U939" s="7">
        <f t="shared" ca="1" si="150"/>
        <v>7.5070489479368092</v>
      </c>
    </row>
    <row r="940" spans="2:21" x14ac:dyDescent="0.3">
      <c r="B940" s="13">
        <f t="shared" ca="1" si="151"/>
        <v>0.5008277814576807</v>
      </c>
      <c r="C940" s="14">
        <f t="shared" ca="1" si="151"/>
        <v>0.53832560046441591</v>
      </c>
      <c r="D940" s="14">
        <f t="shared" ca="1" si="142"/>
        <v>2.0749418959403049E-3</v>
      </c>
      <c r="E940" s="14">
        <f t="shared" ca="1" si="143"/>
        <v>9.6216282721346524E-2</v>
      </c>
      <c r="F940" s="14">
        <f t="shared" ca="1" si="144"/>
        <v>4.3807153016895077E-2</v>
      </c>
      <c r="G940" s="14">
        <f t="shared" ca="1" si="145"/>
        <v>0.5008277814576807</v>
      </c>
      <c r="H940" s="15">
        <f t="shared" ca="1" si="146"/>
        <v>0.53832560046441591</v>
      </c>
      <c r="I940" s="14">
        <f ca="1">IF(G940&lt;0.05,1,0)*$B$1*$B$2</f>
        <v>0</v>
      </c>
      <c r="J940" s="14">
        <f ca="1">IF(H940&lt;0.05,1,0)*$B$1*$B$2</f>
        <v>0</v>
      </c>
      <c r="K940" s="15">
        <f t="shared" ca="1" si="147"/>
        <v>0</v>
      </c>
      <c r="P940" s="3">
        <v>936</v>
      </c>
      <c r="Q940" s="4">
        <f t="shared" ca="1" si="148"/>
        <v>0.5008277814576807</v>
      </c>
      <c r="R940" s="4">
        <f t="shared" ca="1" si="149"/>
        <v>0.53832560046441591</v>
      </c>
      <c r="S940" s="4">
        <f ca="1">$B$1*Q940*$B$2</f>
        <v>20.03311125830723</v>
      </c>
      <c r="T940" s="4">
        <f ca="1">$B$1*R940*$B$2</f>
        <v>21.53302401857664</v>
      </c>
      <c r="U940" s="7">
        <f t="shared" ca="1" si="150"/>
        <v>41.56613527688387</v>
      </c>
    </row>
    <row r="941" spans="2:21" x14ac:dyDescent="0.3">
      <c r="B941" s="13">
        <f t="shared" ca="1" si="151"/>
        <v>0.40572529421284564</v>
      </c>
      <c r="C941" s="14">
        <f t="shared" ca="1" si="151"/>
        <v>0.47734570948413302</v>
      </c>
      <c r="D941" s="14">
        <f t="shared" ca="1" si="142"/>
        <v>-0.23855509551719414</v>
      </c>
      <c r="E941" s="14">
        <f t="shared" ca="1" si="143"/>
        <v>-5.681643861661953E-2</v>
      </c>
      <c r="F941" s="14">
        <f t="shared" ca="1" si="144"/>
        <v>-0.23946529739164735</v>
      </c>
      <c r="G941" s="14">
        <f t="shared" ca="1" si="145"/>
        <v>0.40572529421284564</v>
      </c>
      <c r="H941" s="15">
        <f t="shared" ca="1" si="146"/>
        <v>0.47734570948413302</v>
      </c>
      <c r="I941" s="14">
        <f ca="1">IF(G941&lt;0.05,1,0)*$B$1*$B$2</f>
        <v>0</v>
      </c>
      <c r="J941" s="14">
        <f ca="1">IF(H941&lt;0.05,1,0)*$B$1*$B$2</f>
        <v>0</v>
      </c>
      <c r="K941" s="15">
        <f t="shared" ca="1" si="147"/>
        <v>0</v>
      </c>
      <c r="P941" s="3">
        <v>937</v>
      </c>
      <c r="Q941" s="4">
        <f t="shared" ca="1" si="148"/>
        <v>0.40572529421284564</v>
      </c>
      <c r="R941" s="4">
        <f t="shared" ca="1" si="149"/>
        <v>0.47734570948413302</v>
      </c>
      <c r="S941" s="4">
        <f ca="1">$B$1*Q941*$B$2</f>
        <v>16.229011768513825</v>
      </c>
      <c r="T941" s="4">
        <f ca="1">$B$1*R941*$B$2</f>
        <v>19.09382837936532</v>
      </c>
      <c r="U941" s="7">
        <f t="shared" ca="1" si="150"/>
        <v>35.322840147879148</v>
      </c>
    </row>
    <row r="942" spans="2:21" x14ac:dyDescent="0.3">
      <c r="B942" s="13">
        <f t="shared" ca="1" si="151"/>
        <v>8.6676680066939071E-2</v>
      </c>
      <c r="C942" s="14">
        <f t="shared" ca="1" si="151"/>
        <v>0.38628658940560545</v>
      </c>
      <c r="D942" s="14">
        <f t="shared" ca="1" si="142"/>
        <v>-1.3615075154697005</v>
      </c>
      <c r="E942" s="14">
        <f t="shared" ca="1" si="143"/>
        <v>-0.28901071381968435</v>
      </c>
      <c r="F942" s="14">
        <f t="shared" ca="1" si="144"/>
        <v>-1.3513336134367864</v>
      </c>
      <c r="G942" s="14">
        <f t="shared" ca="1" si="145"/>
        <v>8.6676680066939307E-2</v>
      </c>
      <c r="H942" s="15">
        <f t="shared" ca="1" si="146"/>
        <v>0.3862865894056054</v>
      </c>
      <c r="I942" s="14">
        <f ca="1">IF(G942&lt;0.05,1,0)*$B$1*$B$2</f>
        <v>0</v>
      </c>
      <c r="J942" s="14">
        <f ca="1">IF(H942&lt;0.05,1,0)*$B$1*$B$2</f>
        <v>0</v>
      </c>
      <c r="K942" s="15">
        <f t="shared" ca="1" si="147"/>
        <v>0</v>
      </c>
      <c r="P942" s="3">
        <v>938</v>
      </c>
      <c r="Q942" s="4">
        <f t="shared" ca="1" si="148"/>
        <v>8.6676680066939307E-2</v>
      </c>
      <c r="R942" s="4">
        <f t="shared" ca="1" si="149"/>
        <v>0.3862865894056054</v>
      </c>
      <c r="S942" s="4">
        <f ca="1">$B$1*Q942*$B$2</f>
        <v>3.4670672026775726</v>
      </c>
      <c r="T942" s="4">
        <f ca="1">$B$1*R942*$B$2</f>
        <v>15.451463576224217</v>
      </c>
      <c r="U942" s="7">
        <f t="shared" ca="1" si="150"/>
        <v>18.91853077890179</v>
      </c>
    </row>
    <row r="943" spans="2:21" x14ac:dyDescent="0.3">
      <c r="B943" s="13">
        <f t="shared" ca="1" si="151"/>
        <v>0.54897216769965984</v>
      </c>
      <c r="C943" s="14">
        <f t="shared" ca="1" si="151"/>
        <v>0.12062988061346269</v>
      </c>
      <c r="D943" s="14">
        <f t="shared" ca="1" si="142"/>
        <v>0.12306495189781946</v>
      </c>
      <c r="E943" s="14">
        <f t="shared" ca="1" si="143"/>
        <v>-1.1718438317074005</v>
      </c>
      <c r="F943" s="14">
        <f t="shared" ca="1" si="144"/>
        <v>-0.40003642729436661</v>
      </c>
      <c r="G943" s="14">
        <f t="shared" ca="1" si="145"/>
        <v>0.54897216769965984</v>
      </c>
      <c r="H943" s="15">
        <f t="shared" ca="1" si="146"/>
        <v>0.12062988061346261</v>
      </c>
      <c r="I943" s="14">
        <f ca="1">IF(G943&lt;0.05,1,0)*$B$1*$B$2</f>
        <v>0</v>
      </c>
      <c r="J943" s="14">
        <f ca="1">IF(H943&lt;0.05,1,0)*$B$1*$B$2</f>
        <v>0</v>
      </c>
      <c r="K943" s="15">
        <f t="shared" ca="1" si="147"/>
        <v>0</v>
      </c>
      <c r="P943" s="3">
        <v>939</v>
      </c>
      <c r="Q943" s="4">
        <f t="shared" ca="1" si="148"/>
        <v>0.54897216769965984</v>
      </c>
      <c r="R943" s="4">
        <f t="shared" ca="1" si="149"/>
        <v>0.12062988061346261</v>
      </c>
      <c r="S943" s="4">
        <f ca="1">$B$1*Q943*$B$2</f>
        <v>21.958886707986395</v>
      </c>
      <c r="T943" s="4">
        <f ca="1">$B$1*R943*$B$2</f>
        <v>4.8251952245385041</v>
      </c>
      <c r="U943" s="7">
        <f t="shared" ca="1" si="150"/>
        <v>26.784081932524899</v>
      </c>
    </row>
    <row r="944" spans="2:21" x14ac:dyDescent="0.3">
      <c r="B944" s="13">
        <f t="shared" ca="1" si="151"/>
        <v>0.11560410360589501</v>
      </c>
      <c r="C944" s="14">
        <f t="shared" ca="1" si="151"/>
        <v>0.94524208910705099</v>
      </c>
      <c r="D944" s="14">
        <f t="shared" ca="1" si="142"/>
        <v>-1.1972523594354352</v>
      </c>
      <c r="E944" s="14">
        <f t="shared" ca="1" si="143"/>
        <v>1.6003731775263699</v>
      </c>
      <c r="F944" s="14">
        <f t="shared" ca="1" si="144"/>
        <v>-0.37994062821283936</v>
      </c>
      <c r="G944" s="14">
        <f t="shared" ca="1" si="145"/>
        <v>0.115604103605895</v>
      </c>
      <c r="H944" s="15">
        <f t="shared" ca="1" si="146"/>
        <v>0.94524208910705099</v>
      </c>
      <c r="I944" s="14">
        <f ca="1">IF(G944&lt;0.05,1,0)*$B$1*$B$2</f>
        <v>0</v>
      </c>
      <c r="J944" s="14">
        <f ca="1">IF(H944&lt;0.05,1,0)*$B$1*$B$2</f>
        <v>0</v>
      </c>
      <c r="K944" s="15">
        <f t="shared" ca="1" si="147"/>
        <v>0</v>
      </c>
      <c r="P944" s="3">
        <v>940</v>
      </c>
      <c r="Q944" s="4">
        <f t="shared" ca="1" si="148"/>
        <v>0.115604103605895</v>
      </c>
      <c r="R944" s="4">
        <f t="shared" ca="1" si="149"/>
        <v>0.94524208910705099</v>
      </c>
      <c r="S944" s="4">
        <f ca="1">$B$1*Q944*$B$2</f>
        <v>4.6241641442358006</v>
      </c>
      <c r="T944" s="4">
        <f ca="1">$B$1*R944*$B$2</f>
        <v>37.809683564282039</v>
      </c>
      <c r="U944" s="7">
        <f t="shared" ca="1" si="150"/>
        <v>42.433847708517838</v>
      </c>
    </row>
    <row r="945" spans="2:21" x14ac:dyDescent="0.3">
      <c r="B945" s="13">
        <f t="shared" ca="1" si="151"/>
        <v>0.71737482913080008</v>
      </c>
      <c r="C945" s="14">
        <f t="shared" ca="1" si="151"/>
        <v>0.91485626390963837</v>
      </c>
      <c r="D945" s="14">
        <f t="shared" ca="1" si="142"/>
        <v>0.5750605579899406</v>
      </c>
      <c r="E945" s="14">
        <f t="shared" ca="1" si="143"/>
        <v>1.3712806921573442</v>
      </c>
      <c r="F945" s="14">
        <f t="shared" ca="1" si="144"/>
        <v>1.1152818982251835</v>
      </c>
      <c r="G945" s="14">
        <f t="shared" ca="1" si="145"/>
        <v>0.71737482913080008</v>
      </c>
      <c r="H945" s="15">
        <f t="shared" ca="1" si="146"/>
        <v>0.91485626390963848</v>
      </c>
      <c r="I945" s="14">
        <f ca="1">IF(G945&lt;0.05,1,0)*$B$1*$B$2</f>
        <v>0</v>
      </c>
      <c r="J945" s="14">
        <f ca="1">IF(H945&lt;0.05,1,0)*$B$1*$B$2</f>
        <v>0</v>
      </c>
      <c r="K945" s="15">
        <f t="shared" ca="1" si="147"/>
        <v>0</v>
      </c>
      <c r="P945" s="3">
        <v>941</v>
      </c>
      <c r="Q945" s="4">
        <f t="shared" ca="1" si="148"/>
        <v>0.71737482913080008</v>
      </c>
      <c r="R945" s="4">
        <f t="shared" ca="1" si="149"/>
        <v>0.91485626390963848</v>
      </c>
      <c r="S945" s="4">
        <f ca="1">$B$1*Q945*$B$2</f>
        <v>28.694993165232006</v>
      </c>
      <c r="T945" s="4">
        <f ca="1">$B$1*R945*$B$2</f>
        <v>36.594250556385539</v>
      </c>
      <c r="U945" s="7">
        <f t="shared" ca="1" si="150"/>
        <v>65.289243721617538</v>
      </c>
    </row>
    <row r="946" spans="2:21" x14ac:dyDescent="0.3">
      <c r="B946" s="13">
        <f t="shared" ca="1" si="151"/>
        <v>0.84875941331927374</v>
      </c>
      <c r="C946" s="14">
        <f t="shared" ca="1" si="151"/>
        <v>0.91001375730459932</v>
      </c>
      <c r="D946" s="14">
        <f t="shared" ca="1" si="142"/>
        <v>1.0311272014252435</v>
      </c>
      <c r="E946" s="14">
        <f t="shared" ca="1" si="143"/>
        <v>1.3408397558578256</v>
      </c>
      <c r="F946" s="14">
        <f t="shared" ca="1" si="144"/>
        <v>1.51247298080932</v>
      </c>
      <c r="G946" s="14">
        <f t="shared" ca="1" si="145"/>
        <v>0.84875941331927351</v>
      </c>
      <c r="H946" s="15">
        <f t="shared" ca="1" si="146"/>
        <v>0.91001375730459944</v>
      </c>
      <c r="I946" s="14">
        <f ca="1">IF(G946&lt;0.05,1,0)*$B$1*$B$2</f>
        <v>0</v>
      </c>
      <c r="J946" s="14">
        <f ca="1">IF(H946&lt;0.05,1,0)*$B$1*$B$2</f>
        <v>0</v>
      </c>
      <c r="K946" s="15">
        <f t="shared" ca="1" si="147"/>
        <v>0</v>
      </c>
      <c r="P946" s="3">
        <v>942</v>
      </c>
      <c r="Q946" s="4">
        <f t="shared" ca="1" si="148"/>
        <v>0.84875941331927351</v>
      </c>
      <c r="R946" s="4">
        <f t="shared" ca="1" si="149"/>
        <v>0.91001375730459944</v>
      </c>
      <c r="S946" s="4">
        <f ca="1">$B$1*Q946*$B$2</f>
        <v>33.950376532770939</v>
      </c>
      <c r="T946" s="4">
        <f ca="1">$B$1*R946*$B$2</f>
        <v>36.400550292183979</v>
      </c>
      <c r="U946" s="7">
        <f t="shared" ca="1" si="150"/>
        <v>70.350926824954911</v>
      </c>
    </row>
    <row r="947" spans="2:21" x14ac:dyDescent="0.3">
      <c r="B947" s="13">
        <f t="shared" ca="1" si="151"/>
        <v>0.21499647253389276</v>
      </c>
      <c r="C947" s="14">
        <f t="shared" ca="1" si="151"/>
        <v>3.9280250724105792E-2</v>
      </c>
      <c r="D947" s="14">
        <f t="shared" ca="1" si="142"/>
        <v>-0.78920372521480731</v>
      </c>
      <c r="E947" s="14">
        <f t="shared" ca="1" si="143"/>
        <v>-1.7591001382481777</v>
      </c>
      <c r="F947" s="14">
        <f t="shared" ca="1" si="144"/>
        <v>-1.4770573261125497</v>
      </c>
      <c r="G947" s="14">
        <f t="shared" ca="1" si="145"/>
        <v>0.21499647253389279</v>
      </c>
      <c r="H947" s="15">
        <f t="shared" ca="1" si="146"/>
        <v>3.928025072410582E-2</v>
      </c>
      <c r="I947" s="14">
        <f ca="1">IF(G947&lt;0.05,1,0)*$B$1*$B$2</f>
        <v>0</v>
      </c>
      <c r="J947" s="14">
        <f ca="1">IF(H947&lt;0.05,1,0)*$B$1*$B$2</f>
        <v>40</v>
      </c>
      <c r="K947" s="15">
        <f t="shared" ca="1" si="147"/>
        <v>40</v>
      </c>
      <c r="P947" s="3">
        <v>943</v>
      </c>
      <c r="Q947" s="4">
        <f t="shared" ca="1" si="148"/>
        <v>0.21499647253389279</v>
      </c>
      <c r="R947" s="4">
        <f t="shared" ca="1" si="149"/>
        <v>3.928025072410582E-2</v>
      </c>
      <c r="S947" s="4">
        <f ca="1">$B$1*Q947*$B$2</f>
        <v>8.5998589013557112</v>
      </c>
      <c r="T947" s="4">
        <f ca="1">$B$1*R947*$B$2</f>
        <v>1.5712100289642328</v>
      </c>
      <c r="U947" s="7">
        <f t="shared" ca="1" si="150"/>
        <v>10.171068930319944</v>
      </c>
    </row>
    <row r="948" spans="2:21" x14ac:dyDescent="0.3">
      <c r="B948" s="13">
        <f t="shared" ca="1" si="151"/>
        <v>0.61475115255644652</v>
      </c>
      <c r="C948" s="14">
        <f t="shared" ca="1" si="151"/>
        <v>0.46904954920769659</v>
      </c>
      <c r="D948" s="14">
        <f t="shared" ca="1" si="142"/>
        <v>0.29172395131709405</v>
      </c>
      <c r="E948" s="14">
        <f t="shared" ca="1" si="143"/>
        <v>-7.7659264506666326E-2</v>
      </c>
      <c r="F948" s="14">
        <f t="shared" ca="1" si="144"/>
        <v>0.22870066758395932</v>
      </c>
      <c r="G948" s="14">
        <f t="shared" ca="1" si="145"/>
        <v>0.61475115255644652</v>
      </c>
      <c r="H948" s="15">
        <f t="shared" ca="1" si="146"/>
        <v>0.46904954920769659</v>
      </c>
      <c r="I948" s="14">
        <f ca="1">IF(G948&lt;0.05,1,0)*$B$1*$B$2</f>
        <v>0</v>
      </c>
      <c r="J948" s="14">
        <f ca="1">IF(H948&lt;0.05,1,0)*$B$1*$B$2</f>
        <v>0</v>
      </c>
      <c r="K948" s="15">
        <f t="shared" ca="1" si="147"/>
        <v>0</v>
      </c>
      <c r="P948" s="3">
        <v>944</v>
      </c>
      <c r="Q948" s="4">
        <f t="shared" ca="1" si="148"/>
        <v>0.61475115255644652</v>
      </c>
      <c r="R948" s="4">
        <f t="shared" ca="1" si="149"/>
        <v>0.46904954920769659</v>
      </c>
      <c r="S948" s="4">
        <f ca="1">$B$1*Q948*$B$2</f>
        <v>24.590046102257862</v>
      </c>
      <c r="T948" s="4">
        <f ca="1">$B$1*R948*$B$2</f>
        <v>18.761981968307865</v>
      </c>
      <c r="U948" s="7">
        <f t="shared" ca="1" si="150"/>
        <v>43.352028070565723</v>
      </c>
    </row>
    <row r="949" spans="2:21" x14ac:dyDescent="0.3">
      <c r="B949" s="13">
        <f t="shared" ca="1" si="151"/>
        <v>0.78094344356153222</v>
      </c>
      <c r="C949" s="14">
        <f t="shared" ca="1" si="151"/>
        <v>0.26392659438824562</v>
      </c>
      <c r="D949" s="14">
        <f t="shared" ca="1" si="142"/>
        <v>0.77538344784245827</v>
      </c>
      <c r="E949" s="14">
        <f t="shared" ca="1" si="143"/>
        <v>-0.63128653601925167</v>
      </c>
      <c r="F949" s="14">
        <f t="shared" ca="1" si="144"/>
        <v>0.42267368156563578</v>
      </c>
      <c r="G949" s="14">
        <f t="shared" ca="1" si="145"/>
        <v>0.78094344356153234</v>
      </c>
      <c r="H949" s="15">
        <f t="shared" ca="1" si="146"/>
        <v>0.26392659438824551</v>
      </c>
      <c r="I949" s="14">
        <f ca="1">IF(G949&lt;0.05,1,0)*$B$1*$B$2</f>
        <v>0</v>
      </c>
      <c r="J949" s="14">
        <f ca="1">IF(H949&lt;0.05,1,0)*$B$1*$B$2</f>
        <v>0</v>
      </c>
      <c r="K949" s="15">
        <f t="shared" ca="1" si="147"/>
        <v>0</v>
      </c>
      <c r="P949" s="3">
        <v>945</v>
      </c>
      <c r="Q949" s="4">
        <f t="shared" ca="1" si="148"/>
        <v>0.78094344356153234</v>
      </c>
      <c r="R949" s="4">
        <f t="shared" ca="1" si="149"/>
        <v>0.26392659438824551</v>
      </c>
      <c r="S949" s="4">
        <f ca="1">$B$1*Q949*$B$2</f>
        <v>31.237737742461292</v>
      </c>
      <c r="T949" s="4">
        <f ca="1">$B$1*R949*$B$2</f>
        <v>10.557063775529821</v>
      </c>
      <c r="U949" s="7">
        <f t="shared" ca="1" si="150"/>
        <v>41.794801517991111</v>
      </c>
    </row>
    <row r="950" spans="2:21" x14ac:dyDescent="0.3">
      <c r="B950" s="13">
        <f t="shared" ca="1" si="151"/>
        <v>0.70519147694812812</v>
      </c>
      <c r="C950" s="14">
        <f t="shared" ca="1" si="151"/>
        <v>0.18020641493590606</v>
      </c>
      <c r="D950" s="14">
        <f t="shared" ca="1" si="142"/>
        <v>0.5393910633367911</v>
      </c>
      <c r="E950" s="14">
        <f t="shared" ca="1" si="143"/>
        <v>-0.91457872860884115</v>
      </c>
      <c r="F950" s="14">
        <f t="shared" ca="1" si="144"/>
        <v>8.6796331611327049E-2</v>
      </c>
      <c r="G950" s="14">
        <f t="shared" ca="1" si="145"/>
        <v>0.70519147694812823</v>
      </c>
      <c r="H950" s="15">
        <f t="shared" ca="1" si="146"/>
        <v>0.18020641493590595</v>
      </c>
      <c r="I950" s="14">
        <f ca="1">IF(G950&lt;0.05,1,0)*$B$1*$B$2</f>
        <v>0</v>
      </c>
      <c r="J950" s="14">
        <f ca="1">IF(H950&lt;0.05,1,0)*$B$1*$B$2</f>
        <v>0</v>
      </c>
      <c r="K950" s="15">
        <f t="shared" ca="1" si="147"/>
        <v>0</v>
      </c>
      <c r="P950" s="3">
        <v>946</v>
      </c>
      <c r="Q950" s="4">
        <f t="shared" ca="1" si="148"/>
        <v>0.70519147694812823</v>
      </c>
      <c r="R950" s="4">
        <f t="shared" ca="1" si="149"/>
        <v>0.18020641493590595</v>
      </c>
      <c r="S950" s="4">
        <f ca="1">$B$1*Q950*$B$2</f>
        <v>28.207659077925133</v>
      </c>
      <c r="T950" s="4">
        <f ca="1">$B$1*R950*$B$2</f>
        <v>7.2082565974362387</v>
      </c>
      <c r="U950" s="7">
        <f t="shared" ca="1" si="150"/>
        <v>35.415915675361369</v>
      </c>
    </row>
    <row r="951" spans="2:21" x14ac:dyDescent="0.3">
      <c r="B951" s="13">
        <f t="shared" ca="1" si="151"/>
        <v>0.72230958702234316</v>
      </c>
      <c r="C951" s="14">
        <f t="shared" ca="1" si="151"/>
        <v>0.91214438614113302</v>
      </c>
      <c r="D951" s="14">
        <f t="shared" ca="1" si="142"/>
        <v>0.58971635881460527</v>
      </c>
      <c r="E951" s="14">
        <f t="shared" ca="1" si="143"/>
        <v>1.3540788352762643</v>
      </c>
      <c r="F951" s="14">
        <f t="shared" ca="1" si="144"/>
        <v>1.120974003388794</v>
      </c>
      <c r="G951" s="14">
        <f t="shared" ca="1" si="145"/>
        <v>0.72230958702234327</v>
      </c>
      <c r="H951" s="15">
        <f t="shared" ca="1" si="146"/>
        <v>0.91214438614113302</v>
      </c>
      <c r="I951" s="14">
        <f ca="1">IF(G951&lt;0.05,1,0)*$B$1*$B$2</f>
        <v>0</v>
      </c>
      <c r="J951" s="14">
        <f ca="1">IF(H951&lt;0.05,1,0)*$B$1*$B$2</f>
        <v>0</v>
      </c>
      <c r="K951" s="15">
        <f t="shared" ca="1" si="147"/>
        <v>0</v>
      </c>
      <c r="P951" s="3">
        <v>947</v>
      </c>
      <c r="Q951" s="4">
        <f t="shared" ca="1" si="148"/>
        <v>0.72230958702234327</v>
      </c>
      <c r="R951" s="4">
        <f t="shared" ca="1" si="149"/>
        <v>0.91214438614113302</v>
      </c>
      <c r="S951" s="4">
        <f ca="1">$B$1*Q951*$B$2</f>
        <v>28.892383480893734</v>
      </c>
      <c r="T951" s="4">
        <f ca="1">$B$1*R951*$B$2</f>
        <v>36.485775445645324</v>
      </c>
      <c r="U951" s="7">
        <f t="shared" ca="1" si="150"/>
        <v>65.378158926539058</v>
      </c>
    </row>
    <row r="952" spans="2:21" x14ac:dyDescent="0.3">
      <c r="B952" s="13">
        <f t="shared" ca="1" si="151"/>
        <v>0.62517872556210552</v>
      </c>
      <c r="C952" s="14">
        <f t="shared" ca="1" si="151"/>
        <v>0.86175042174814753</v>
      </c>
      <c r="D952" s="14">
        <f t="shared" ca="1" si="142"/>
        <v>0.31911072797682177</v>
      </c>
      <c r="E952" s="14">
        <f t="shared" ca="1" si="143"/>
        <v>1.0882173740430467</v>
      </c>
      <c r="F952" s="14">
        <f t="shared" ca="1" si="144"/>
        <v>0.76154261138502377</v>
      </c>
      <c r="G952" s="14">
        <f t="shared" ca="1" si="145"/>
        <v>0.62517872556210552</v>
      </c>
      <c r="H952" s="15">
        <f t="shared" ca="1" si="146"/>
        <v>0.86175042174814764</v>
      </c>
      <c r="I952" s="14">
        <f ca="1">IF(G952&lt;0.05,1,0)*$B$1*$B$2</f>
        <v>0</v>
      </c>
      <c r="J952" s="14">
        <f ca="1">IF(H952&lt;0.05,1,0)*$B$1*$B$2</f>
        <v>0</v>
      </c>
      <c r="K952" s="15">
        <f t="shared" ca="1" si="147"/>
        <v>0</v>
      </c>
      <c r="P952" s="3">
        <v>948</v>
      </c>
      <c r="Q952" s="4">
        <f t="shared" ca="1" si="148"/>
        <v>0.62517872556210552</v>
      </c>
      <c r="R952" s="4">
        <f t="shared" ca="1" si="149"/>
        <v>0.86175042174814764</v>
      </c>
      <c r="S952" s="4">
        <f ca="1">$B$1*Q952*$B$2</f>
        <v>25.007149022484221</v>
      </c>
      <c r="T952" s="4">
        <f ca="1">$B$1*R952*$B$2</f>
        <v>34.470016869925907</v>
      </c>
      <c r="U952" s="7">
        <f t="shared" ca="1" si="150"/>
        <v>59.477165892410127</v>
      </c>
    </row>
    <row r="953" spans="2:21" x14ac:dyDescent="0.3">
      <c r="B953" s="13">
        <f t="shared" ca="1" si="151"/>
        <v>0.2894984596781448</v>
      </c>
      <c r="C953" s="14">
        <f t="shared" ca="1" si="151"/>
        <v>3.1923683340441822E-2</v>
      </c>
      <c r="D953" s="14">
        <f t="shared" ca="1" si="142"/>
        <v>-0.55485050389842272</v>
      </c>
      <c r="E953" s="14">
        <f t="shared" ca="1" si="143"/>
        <v>-1.853244188582603</v>
      </c>
      <c r="F953" s="14">
        <f t="shared" ca="1" si="144"/>
        <v>-1.3071758670821405</v>
      </c>
      <c r="G953" s="14">
        <f t="shared" ca="1" si="145"/>
        <v>0.28949845967814475</v>
      </c>
      <c r="H953" s="15">
        <f t="shared" ca="1" si="146"/>
        <v>3.1923683340441829E-2</v>
      </c>
      <c r="I953" s="14">
        <f ca="1">IF(G953&lt;0.05,1,0)*$B$1*$B$2</f>
        <v>0</v>
      </c>
      <c r="J953" s="14">
        <f ca="1">IF(H953&lt;0.05,1,0)*$B$1*$B$2</f>
        <v>40</v>
      </c>
      <c r="K953" s="15">
        <f t="shared" ca="1" si="147"/>
        <v>40</v>
      </c>
      <c r="P953" s="3">
        <v>949</v>
      </c>
      <c r="Q953" s="4">
        <f t="shared" ca="1" si="148"/>
        <v>0.28949845967814475</v>
      </c>
      <c r="R953" s="4">
        <f t="shared" ca="1" si="149"/>
        <v>3.1923683340441829E-2</v>
      </c>
      <c r="S953" s="4">
        <f ca="1">$B$1*Q953*$B$2</f>
        <v>11.579938387125791</v>
      </c>
      <c r="T953" s="4">
        <f ca="1">$B$1*R953*$B$2</f>
        <v>1.2769473336176733</v>
      </c>
      <c r="U953" s="7">
        <f t="shared" ca="1" si="150"/>
        <v>12.856885720743465</v>
      </c>
    </row>
    <row r="954" spans="2:21" x14ac:dyDescent="0.3">
      <c r="B954" s="13">
        <f t="shared" ca="1" si="151"/>
        <v>0.96150328267323881</v>
      </c>
      <c r="C954" s="14">
        <f t="shared" ca="1" si="151"/>
        <v>0.28327463412317444</v>
      </c>
      <c r="D954" s="14">
        <f t="shared" ca="1" si="142"/>
        <v>1.7684037228272158</v>
      </c>
      <c r="E954" s="14">
        <f t="shared" ca="1" si="143"/>
        <v>-0.57314094144251437</v>
      </c>
      <c r="F954" s="14">
        <f t="shared" ca="1" si="144"/>
        <v>1.3417370061291258</v>
      </c>
      <c r="G954" s="14">
        <f t="shared" ca="1" si="145"/>
        <v>0.96150328267323881</v>
      </c>
      <c r="H954" s="15">
        <f t="shared" ca="1" si="146"/>
        <v>0.28327463412317438</v>
      </c>
      <c r="I954" s="14">
        <f ca="1">IF(G954&lt;0.05,1,0)*$B$1*$B$2</f>
        <v>0</v>
      </c>
      <c r="J954" s="14">
        <f ca="1">IF(H954&lt;0.05,1,0)*$B$1*$B$2</f>
        <v>0</v>
      </c>
      <c r="K954" s="15">
        <f t="shared" ca="1" si="147"/>
        <v>0</v>
      </c>
      <c r="P954" s="3">
        <v>950</v>
      </c>
      <c r="Q954" s="4">
        <f t="shared" ca="1" si="148"/>
        <v>0.96150328267323881</v>
      </c>
      <c r="R954" s="4">
        <f t="shared" ca="1" si="149"/>
        <v>0.28327463412317438</v>
      </c>
      <c r="S954" s="4">
        <f ca="1">$B$1*Q954*$B$2</f>
        <v>38.460131306929554</v>
      </c>
      <c r="T954" s="4">
        <f ca="1">$B$1*R954*$B$2</f>
        <v>11.330985364926976</v>
      </c>
      <c r="U954" s="7">
        <f t="shared" ca="1" si="150"/>
        <v>49.791116671856528</v>
      </c>
    </row>
    <row r="955" spans="2:21" x14ac:dyDescent="0.3">
      <c r="B955" s="13">
        <f t="shared" ca="1" si="151"/>
        <v>0.14359909094983736</v>
      </c>
      <c r="C955" s="14">
        <f t="shared" ca="1" si="151"/>
        <v>0.4607086605878975</v>
      </c>
      <c r="D955" s="14">
        <f t="shared" ca="1" si="142"/>
        <v>-1.0642881557354984</v>
      </c>
      <c r="E955" s="14">
        <f t="shared" ca="1" si="143"/>
        <v>-9.8648549354476839E-2</v>
      </c>
      <c r="F955" s="14">
        <f t="shared" ca="1" si="144"/>
        <v>-1.0008592459182535</v>
      </c>
      <c r="G955" s="14">
        <f t="shared" ca="1" si="145"/>
        <v>0.14359909094983728</v>
      </c>
      <c r="H955" s="15">
        <f t="shared" ca="1" si="146"/>
        <v>0.4607086605878975</v>
      </c>
      <c r="I955" s="14">
        <f ca="1">IF(G955&lt;0.05,1,0)*$B$1*$B$2</f>
        <v>0</v>
      </c>
      <c r="J955" s="14">
        <f ca="1">IF(H955&lt;0.05,1,0)*$B$1*$B$2</f>
        <v>0</v>
      </c>
      <c r="K955" s="15">
        <f t="shared" ca="1" si="147"/>
        <v>0</v>
      </c>
      <c r="P955" s="3">
        <v>951</v>
      </c>
      <c r="Q955" s="4">
        <f t="shared" ca="1" si="148"/>
        <v>0.14359909094983728</v>
      </c>
      <c r="R955" s="4">
        <f t="shared" ca="1" si="149"/>
        <v>0.4607086605878975</v>
      </c>
      <c r="S955" s="4">
        <f ca="1">$B$1*Q955*$B$2</f>
        <v>5.7439636379934917</v>
      </c>
      <c r="T955" s="4">
        <f ca="1">$B$1*R955*$B$2</f>
        <v>18.428346423515901</v>
      </c>
      <c r="U955" s="7">
        <f t="shared" ca="1" si="150"/>
        <v>24.172310061509393</v>
      </c>
    </row>
    <row r="956" spans="2:21" x14ac:dyDescent="0.3">
      <c r="B956" s="13">
        <f t="shared" ca="1" si="151"/>
        <v>8.5774007289712628E-2</v>
      </c>
      <c r="C956" s="14">
        <f t="shared" ca="1" si="151"/>
        <v>0.59962653593291171</v>
      </c>
      <c r="D956" s="14">
        <f t="shared" ca="1" si="142"/>
        <v>-1.3672466279808531</v>
      </c>
      <c r="E956" s="14">
        <f t="shared" ca="1" si="143"/>
        <v>0.25238055565713369</v>
      </c>
      <c r="F956" s="14">
        <f t="shared" ca="1" si="144"/>
        <v>-1.1205118314403588</v>
      </c>
      <c r="G956" s="14">
        <f t="shared" ca="1" si="145"/>
        <v>8.5774007289712531E-2</v>
      </c>
      <c r="H956" s="15">
        <f t="shared" ca="1" si="146"/>
        <v>0.59962653593291182</v>
      </c>
      <c r="I956" s="14">
        <f ca="1">IF(G956&lt;0.05,1,0)*$B$1*$B$2</f>
        <v>0</v>
      </c>
      <c r="J956" s="14">
        <f ca="1">IF(H956&lt;0.05,1,0)*$B$1*$B$2</f>
        <v>0</v>
      </c>
      <c r="K956" s="15">
        <f t="shared" ca="1" si="147"/>
        <v>0</v>
      </c>
      <c r="P956" s="3">
        <v>952</v>
      </c>
      <c r="Q956" s="4">
        <f t="shared" ca="1" si="148"/>
        <v>8.5774007289712531E-2</v>
      </c>
      <c r="R956" s="4">
        <f t="shared" ca="1" si="149"/>
        <v>0.59962653593291182</v>
      </c>
      <c r="S956" s="4">
        <f ca="1">$B$1*Q956*$B$2</f>
        <v>3.4309602915885016</v>
      </c>
      <c r="T956" s="4">
        <f ca="1">$B$1*R956*$B$2</f>
        <v>23.985061437316475</v>
      </c>
      <c r="U956" s="7">
        <f t="shared" ca="1" si="150"/>
        <v>27.416021728904976</v>
      </c>
    </row>
    <row r="957" spans="2:21" x14ac:dyDescent="0.3">
      <c r="B957" s="13">
        <f t="shared" ca="1" si="151"/>
        <v>0.50651862968550021</v>
      </c>
      <c r="C957" s="14">
        <f t="shared" ca="1" si="151"/>
        <v>0.82502842352271688</v>
      </c>
      <c r="D957" s="14">
        <f t="shared" ca="1" si="142"/>
        <v>1.6340508638321153E-2</v>
      </c>
      <c r="E957" s="14">
        <f t="shared" ca="1" si="143"/>
        <v>0.93469956149232092</v>
      </c>
      <c r="F957" s="14">
        <f t="shared" ca="1" si="144"/>
        <v>0.4221325508861698</v>
      </c>
      <c r="G957" s="14">
        <f t="shared" ca="1" si="145"/>
        <v>0.50651862968550021</v>
      </c>
      <c r="H957" s="15">
        <f t="shared" ca="1" si="146"/>
        <v>0.82502842352271688</v>
      </c>
      <c r="I957" s="14">
        <f ca="1">IF(G957&lt;0.05,1,0)*$B$1*$B$2</f>
        <v>0</v>
      </c>
      <c r="J957" s="14">
        <f ca="1">IF(H957&lt;0.05,1,0)*$B$1*$B$2</f>
        <v>0</v>
      </c>
      <c r="K957" s="15">
        <f t="shared" ca="1" si="147"/>
        <v>0</v>
      </c>
      <c r="P957" s="3">
        <v>953</v>
      </c>
      <c r="Q957" s="4">
        <f t="shared" ca="1" si="148"/>
        <v>0.50651862968550021</v>
      </c>
      <c r="R957" s="4">
        <f t="shared" ca="1" si="149"/>
        <v>0.82502842352271688</v>
      </c>
      <c r="S957" s="4">
        <f ca="1">$B$1*Q957*$B$2</f>
        <v>20.26074518742001</v>
      </c>
      <c r="T957" s="4">
        <f ca="1">$B$1*R957*$B$2</f>
        <v>33.001136940908673</v>
      </c>
      <c r="U957" s="7">
        <f t="shared" ca="1" si="150"/>
        <v>53.261882128328679</v>
      </c>
    </row>
    <row r="958" spans="2:21" x14ac:dyDescent="0.3">
      <c r="B958" s="13">
        <f t="shared" ca="1" si="151"/>
        <v>8.7965081827334424E-2</v>
      </c>
      <c r="C958" s="14">
        <f t="shared" ca="1" si="151"/>
        <v>0.4044180007309689</v>
      </c>
      <c r="D958" s="14">
        <f t="shared" ca="1" si="142"/>
        <v>-1.3533928399210136</v>
      </c>
      <c r="E958" s="14">
        <f t="shared" ca="1" si="143"/>
        <v>-0.24192793824669959</v>
      </c>
      <c r="F958" s="14">
        <f t="shared" ca="1" si="144"/>
        <v>-1.3235074993725635</v>
      </c>
      <c r="G958" s="14">
        <f t="shared" ca="1" si="145"/>
        <v>8.7965081827334618E-2</v>
      </c>
      <c r="H958" s="15">
        <f t="shared" ca="1" si="146"/>
        <v>0.4044180007309689</v>
      </c>
      <c r="I958" s="14">
        <f ca="1">IF(G958&lt;0.05,1,0)*$B$1*$B$2</f>
        <v>0</v>
      </c>
      <c r="J958" s="14">
        <f ca="1">IF(H958&lt;0.05,1,0)*$B$1*$B$2</f>
        <v>0</v>
      </c>
      <c r="K958" s="15">
        <f t="shared" ca="1" si="147"/>
        <v>0</v>
      </c>
      <c r="P958" s="3">
        <v>954</v>
      </c>
      <c r="Q958" s="4">
        <f t="shared" ca="1" si="148"/>
        <v>8.7965081827334618E-2</v>
      </c>
      <c r="R958" s="4">
        <f t="shared" ca="1" si="149"/>
        <v>0.4044180007309689</v>
      </c>
      <c r="S958" s="4">
        <f ca="1">$B$1*Q958*$B$2</f>
        <v>3.5186032730933849</v>
      </c>
      <c r="T958" s="4">
        <f ca="1">$B$1*R958*$B$2</f>
        <v>16.176720029238759</v>
      </c>
      <c r="U958" s="7">
        <f t="shared" ca="1" si="150"/>
        <v>19.695323302332142</v>
      </c>
    </row>
    <row r="959" spans="2:21" x14ac:dyDescent="0.3">
      <c r="B959" s="13">
        <f t="shared" ca="1" si="151"/>
        <v>0.80142476065417967</v>
      </c>
      <c r="C959" s="14">
        <f t="shared" ca="1" si="151"/>
        <v>0.28314442966417752</v>
      </c>
      <c r="D959" s="14">
        <f t="shared" ca="1" si="142"/>
        <v>0.8467213085945795</v>
      </c>
      <c r="E959" s="14">
        <f t="shared" ca="1" si="143"/>
        <v>-0.57352561691042647</v>
      </c>
      <c r="F959" s="14">
        <f t="shared" ca="1" si="144"/>
        <v>0.51205515717068451</v>
      </c>
      <c r="G959" s="14">
        <f t="shared" ca="1" si="145"/>
        <v>0.80142476065417978</v>
      </c>
      <c r="H959" s="15">
        <f t="shared" ca="1" si="146"/>
        <v>0.28314442966417741</v>
      </c>
      <c r="I959" s="14">
        <f ca="1">IF(G959&lt;0.05,1,0)*$B$1*$B$2</f>
        <v>0</v>
      </c>
      <c r="J959" s="14">
        <f ca="1">IF(H959&lt;0.05,1,0)*$B$1*$B$2</f>
        <v>0</v>
      </c>
      <c r="K959" s="15">
        <f t="shared" ca="1" si="147"/>
        <v>0</v>
      </c>
      <c r="P959" s="3">
        <v>955</v>
      </c>
      <c r="Q959" s="4">
        <f t="shared" ca="1" si="148"/>
        <v>0.80142476065417978</v>
      </c>
      <c r="R959" s="4">
        <f t="shared" ca="1" si="149"/>
        <v>0.28314442966417741</v>
      </c>
      <c r="S959" s="4">
        <f ca="1">$B$1*Q959*$B$2</f>
        <v>32.056990426167197</v>
      </c>
      <c r="T959" s="4">
        <f ca="1">$B$1*R959*$B$2</f>
        <v>11.325777186567096</v>
      </c>
      <c r="U959" s="7">
        <f t="shared" ca="1" si="150"/>
        <v>43.382767612734291</v>
      </c>
    </row>
    <row r="960" spans="2:21" x14ac:dyDescent="0.3">
      <c r="B960" s="13">
        <f t="shared" ca="1" si="151"/>
        <v>0.23057296644331005</v>
      </c>
      <c r="C960" s="14">
        <f t="shared" ca="1" si="151"/>
        <v>0.30976864271157589</v>
      </c>
      <c r="D960" s="14">
        <f t="shared" ca="1" si="142"/>
        <v>-0.7369612198017429</v>
      </c>
      <c r="E960" s="14">
        <f t="shared" ca="1" si="143"/>
        <v>-0.49650624070774052</v>
      </c>
      <c r="F960" s="14">
        <f t="shared" ca="1" si="144"/>
        <v>-0.87968715062980074</v>
      </c>
      <c r="G960" s="14">
        <f t="shared" ca="1" si="145"/>
        <v>0.23057296644331002</v>
      </c>
      <c r="H960" s="15">
        <f t="shared" ca="1" si="146"/>
        <v>0.30976864271157578</v>
      </c>
      <c r="I960" s="14">
        <f ca="1">IF(G960&lt;0.05,1,0)*$B$1*$B$2</f>
        <v>0</v>
      </c>
      <c r="J960" s="14">
        <f ca="1">IF(H960&lt;0.05,1,0)*$B$1*$B$2</f>
        <v>0</v>
      </c>
      <c r="K960" s="15">
        <f t="shared" ca="1" si="147"/>
        <v>0</v>
      </c>
      <c r="P960" s="3">
        <v>956</v>
      </c>
      <c r="Q960" s="4">
        <f t="shared" ca="1" si="148"/>
        <v>0.23057296644331002</v>
      </c>
      <c r="R960" s="4">
        <f t="shared" ca="1" si="149"/>
        <v>0.30976864271157578</v>
      </c>
      <c r="S960" s="4">
        <f ca="1">$B$1*Q960*$B$2</f>
        <v>9.2229186577324</v>
      </c>
      <c r="T960" s="4">
        <f ca="1">$B$1*R960*$B$2</f>
        <v>12.390745708463031</v>
      </c>
      <c r="U960" s="7">
        <f t="shared" ca="1" si="150"/>
        <v>21.61366436619543</v>
      </c>
    </row>
    <row r="961" spans="2:21" x14ac:dyDescent="0.3">
      <c r="B961" s="13">
        <f t="shared" ca="1" si="151"/>
        <v>0.17871372565012034</v>
      </c>
      <c r="C961" s="14">
        <f t="shared" ca="1" si="151"/>
        <v>0.84209886334050732</v>
      </c>
      <c r="D961" s="14">
        <f t="shared" ca="1" si="142"/>
        <v>-0.92027809823748463</v>
      </c>
      <c r="E961" s="14">
        <f t="shared" ca="1" si="143"/>
        <v>1.0031214357672547</v>
      </c>
      <c r="F961" s="14">
        <f t="shared" ca="1" si="144"/>
        <v>-0.39099979175284727</v>
      </c>
      <c r="G961" s="14">
        <f t="shared" ca="1" si="145"/>
        <v>0.17871372565012031</v>
      </c>
      <c r="H961" s="15">
        <f t="shared" ca="1" si="146"/>
        <v>0.84209886334050821</v>
      </c>
      <c r="I961" s="14">
        <f ca="1">IF(G961&lt;0.05,1,0)*$B$1*$B$2</f>
        <v>0</v>
      </c>
      <c r="J961" s="14">
        <f ca="1">IF(H961&lt;0.05,1,0)*$B$1*$B$2</f>
        <v>0</v>
      </c>
      <c r="K961" s="15">
        <f t="shared" ca="1" si="147"/>
        <v>0</v>
      </c>
      <c r="P961" s="3">
        <v>957</v>
      </c>
      <c r="Q961" s="4">
        <f t="shared" ca="1" si="148"/>
        <v>0.17871372565012031</v>
      </c>
      <c r="R961" s="4">
        <f t="shared" ca="1" si="149"/>
        <v>0.84209886334050821</v>
      </c>
      <c r="S961" s="4">
        <f ca="1">$B$1*Q961*$B$2</f>
        <v>7.1485490260048126</v>
      </c>
      <c r="T961" s="4">
        <f ca="1">$B$1*R961*$B$2</f>
        <v>33.68395453362033</v>
      </c>
      <c r="U961" s="7">
        <f t="shared" ca="1" si="150"/>
        <v>40.832503559625145</v>
      </c>
    </row>
    <row r="962" spans="2:21" x14ac:dyDescent="0.3">
      <c r="B962" s="13">
        <f t="shared" ca="1" si="151"/>
        <v>0.21234841592201936</v>
      </c>
      <c r="C962" s="14">
        <f t="shared" ca="1" si="151"/>
        <v>0.32412556014546845</v>
      </c>
      <c r="D962" s="14">
        <f t="shared" ca="1" si="142"/>
        <v>-0.79829928675820017</v>
      </c>
      <c r="E962" s="14">
        <f t="shared" ca="1" si="143"/>
        <v>-0.45619310897598653</v>
      </c>
      <c r="F962" s="14">
        <f t="shared" ca="1" si="144"/>
        <v>-0.91731932415897655</v>
      </c>
      <c r="G962" s="14">
        <f t="shared" ca="1" si="145"/>
        <v>0.2123484159220195</v>
      </c>
      <c r="H962" s="15">
        <f t="shared" ca="1" si="146"/>
        <v>0.32412556014546845</v>
      </c>
      <c r="I962" s="14">
        <f ca="1">IF(G962&lt;0.05,1,0)*$B$1*$B$2</f>
        <v>0</v>
      </c>
      <c r="J962" s="14">
        <f ca="1">IF(H962&lt;0.05,1,0)*$B$1*$B$2</f>
        <v>0</v>
      </c>
      <c r="K962" s="15">
        <f t="shared" ca="1" si="147"/>
        <v>0</v>
      </c>
      <c r="P962" s="3">
        <v>958</v>
      </c>
      <c r="Q962" s="4">
        <f t="shared" ca="1" si="148"/>
        <v>0.2123484159220195</v>
      </c>
      <c r="R962" s="4">
        <f t="shared" ca="1" si="149"/>
        <v>0.32412556014546845</v>
      </c>
      <c r="S962" s="4">
        <f ca="1">$B$1*Q962*$B$2</f>
        <v>8.4939366368807807</v>
      </c>
      <c r="T962" s="4">
        <f ca="1">$B$1*R962*$B$2</f>
        <v>12.965022405818738</v>
      </c>
      <c r="U962" s="7">
        <f t="shared" ca="1" si="150"/>
        <v>21.458959042699519</v>
      </c>
    </row>
    <row r="963" spans="2:21" x14ac:dyDescent="0.3">
      <c r="B963" s="13">
        <f t="shared" ca="1" si="151"/>
        <v>0.54109320438480879</v>
      </c>
      <c r="C963" s="14">
        <f t="shared" ca="1" si="151"/>
        <v>1.2218828869237419E-2</v>
      </c>
      <c r="D963" s="14">
        <f t="shared" ca="1" si="142"/>
        <v>0.10318821729111868</v>
      </c>
      <c r="E963" s="14">
        <f t="shared" ca="1" si="143"/>
        <v>-2.2501778505687748</v>
      </c>
      <c r="F963" s="14">
        <f t="shared" ca="1" si="144"/>
        <v>-0.8879603900002786</v>
      </c>
      <c r="G963" s="14">
        <f t="shared" ca="1" si="145"/>
        <v>0.54109320438480879</v>
      </c>
      <c r="H963" s="15">
        <f t="shared" ca="1" si="146"/>
        <v>1.2218828869237409E-2</v>
      </c>
      <c r="I963" s="14">
        <f ca="1">IF(G963&lt;0.05,1,0)*$B$1*$B$2</f>
        <v>0</v>
      </c>
      <c r="J963" s="14">
        <f ca="1">IF(H963&lt;0.05,1,0)*$B$1*$B$2</f>
        <v>40</v>
      </c>
      <c r="K963" s="15">
        <f t="shared" ca="1" si="147"/>
        <v>40</v>
      </c>
      <c r="P963" s="3">
        <v>959</v>
      </c>
      <c r="Q963" s="4">
        <f t="shared" ca="1" si="148"/>
        <v>0.54109320438480879</v>
      </c>
      <c r="R963" s="4">
        <f t="shared" ca="1" si="149"/>
        <v>1.2218828869237409E-2</v>
      </c>
      <c r="S963" s="4">
        <f ca="1">$B$1*Q963*$B$2</f>
        <v>21.643728175392354</v>
      </c>
      <c r="T963" s="4">
        <f ca="1">$B$1*R963*$B$2</f>
        <v>0.48875315476949632</v>
      </c>
      <c r="U963" s="7">
        <f t="shared" ca="1" si="150"/>
        <v>22.132481330161852</v>
      </c>
    </row>
    <row r="964" spans="2:21" x14ac:dyDescent="0.3">
      <c r="B964" s="13">
        <f t="shared" ca="1" si="151"/>
        <v>4.7542126758436387E-2</v>
      </c>
      <c r="C964" s="14">
        <f t="shared" ca="1" si="151"/>
        <v>0.85119958754526226</v>
      </c>
      <c r="D964" s="14">
        <f t="shared" ca="1" si="142"/>
        <v>-1.6691671745940513</v>
      </c>
      <c r="E964" s="14">
        <f t="shared" ca="1" si="143"/>
        <v>1.0415921172036788</v>
      </c>
      <c r="F964" s="14">
        <f t="shared" ca="1" si="144"/>
        <v>-1.0482309792067053</v>
      </c>
      <c r="G964" s="14">
        <f t="shared" ca="1" si="145"/>
        <v>4.7542126758436394E-2</v>
      </c>
      <c r="H964" s="15">
        <f t="shared" ca="1" si="146"/>
        <v>0.85119958754526248</v>
      </c>
      <c r="I964" s="14">
        <f ca="1">IF(G964&lt;0.05,1,0)*$B$1*$B$2</f>
        <v>40</v>
      </c>
      <c r="J964" s="14">
        <f ca="1">IF(H964&lt;0.05,1,0)*$B$1*$B$2</f>
        <v>0</v>
      </c>
      <c r="K964" s="15">
        <f t="shared" ca="1" si="147"/>
        <v>40</v>
      </c>
      <c r="P964" s="3">
        <v>960</v>
      </c>
      <c r="Q964" s="4">
        <f t="shared" ca="1" si="148"/>
        <v>4.7542126758436394E-2</v>
      </c>
      <c r="R964" s="4">
        <f t="shared" ca="1" si="149"/>
        <v>0.85119958754526248</v>
      </c>
      <c r="S964" s="4">
        <f ca="1">$B$1*Q964*$B$2</f>
        <v>1.9016850703374559</v>
      </c>
      <c r="T964" s="4">
        <f ca="1">$B$1*R964*$B$2</f>
        <v>34.047983501810499</v>
      </c>
      <c r="U964" s="7">
        <f t="shared" ca="1" si="150"/>
        <v>35.949668572147957</v>
      </c>
    </row>
    <row r="965" spans="2:21" x14ac:dyDescent="0.3">
      <c r="B965" s="13">
        <f t="shared" ca="1" si="151"/>
        <v>0.36055420028655216</v>
      </c>
      <c r="C965" s="14">
        <f t="shared" ca="1" si="151"/>
        <v>0.51879060442926084</v>
      </c>
      <c r="D965" s="14">
        <f t="shared" ca="1" si="142"/>
        <v>-0.35697783302455932</v>
      </c>
      <c r="E965" s="14">
        <f t="shared" ca="1" si="143"/>
        <v>4.7118489590359643E-2</v>
      </c>
      <c r="F965" s="14">
        <f t="shared" ca="1" si="144"/>
        <v>-0.3007415762724383</v>
      </c>
      <c r="G965" s="14">
        <f t="shared" ca="1" si="145"/>
        <v>0.36055420028655216</v>
      </c>
      <c r="H965" s="15">
        <f t="shared" ca="1" si="146"/>
        <v>0.51879060442926084</v>
      </c>
      <c r="I965" s="14">
        <f ca="1">IF(G965&lt;0.05,1,0)*$B$1*$B$2</f>
        <v>0</v>
      </c>
      <c r="J965" s="14">
        <f ca="1">IF(H965&lt;0.05,1,0)*$B$1*$B$2</f>
        <v>0</v>
      </c>
      <c r="K965" s="15">
        <f t="shared" ca="1" si="147"/>
        <v>0</v>
      </c>
      <c r="P965" s="3">
        <v>961</v>
      </c>
      <c r="Q965" s="4">
        <f t="shared" ca="1" si="148"/>
        <v>0.36055420028655216</v>
      </c>
      <c r="R965" s="4">
        <f t="shared" ca="1" si="149"/>
        <v>0.51879060442926084</v>
      </c>
      <c r="S965" s="4">
        <f ca="1">$B$1*Q965*$B$2</f>
        <v>14.422168011462086</v>
      </c>
      <c r="T965" s="4">
        <f ca="1">$B$1*R965*$B$2</f>
        <v>20.751624177170434</v>
      </c>
      <c r="U965" s="7">
        <f t="shared" ca="1" si="150"/>
        <v>35.173792188632518</v>
      </c>
    </row>
    <row r="966" spans="2:21" x14ac:dyDescent="0.3">
      <c r="B966" s="13">
        <f t="shared" ref="B966:C1004" ca="1" si="152">RAND()</f>
        <v>0.31677022711167135</v>
      </c>
      <c r="C966" s="14">
        <f t="shared" ca="1" si="152"/>
        <v>0.37831920891345905</v>
      </c>
      <c r="D966" s="14">
        <f t="shared" ref="D966:D1004" ca="1" si="153">_xlfn.NORM.S.INV(B966)</f>
        <v>-0.47674957827431869</v>
      </c>
      <c r="E966" s="14">
        <f t="shared" ref="E966:E1004" ca="1" si="154">_xlfn.NORM.S.INV(C966)</f>
        <v>-0.30989813929632221</v>
      </c>
      <c r="F966" s="14">
        <f t="shared" ref="F966:F1004" ca="1" si="155">($Y$5*D966)+(SQRT(1-$Y$5^2)*E966)</f>
        <v>-0.56415608764528269</v>
      </c>
      <c r="G966" s="14">
        <f t="shared" ref="G966:G1004" ca="1" si="156">_xlfn.NORM.S.DIST(D966,TRUE)</f>
        <v>0.31677022711167135</v>
      </c>
      <c r="H966" s="15">
        <f t="shared" ref="H966:H1004" ca="1" si="157">_xlfn.NORM.S.DIST(E966,TRUE)</f>
        <v>0.37831920891345899</v>
      </c>
      <c r="I966" s="14">
        <f ca="1">IF(G966&lt;0.05,1,0)*$B$1*$B$2</f>
        <v>0</v>
      </c>
      <c r="J966" s="14">
        <f ca="1">IF(H966&lt;0.05,1,0)*$B$1*$B$2</f>
        <v>0</v>
      </c>
      <c r="K966" s="15">
        <f t="shared" ref="K966:K1004" ca="1" si="158">I966+J966</f>
        <v>0</v>
      </c>
      <c r="P966" s="3">
        <v>962</v>
      </c>
      <c r="Q966" s="4">
        <f t="shared" ref="Q966:Q1004" ca="1" si="159">G966</f>
        <v>0.31677022711167135</v>
      </c>
      <c r="R966" s="4">
        <f t="shared" ref="R966:R1004" ca="1" si="160">H966</f>
        <v>0.37831920891345899</v>
      </c>
      <c r="S966" s="4">
        <f ca="1">$B$1*Q966*$B$2</f>
        <v>12.670809084466855</v>
      </c>
      <c r="T966" s="4">
        <f ca="1">$B$1*R966*$B$2</f>
        <v>15.132768356538362</v>
      </c>
      <c r="U966" s="7">
        <f t="shared" ref="U966:U1004" ca="1" si="161">S966+T966</f>
        <v>27.803577441005217</v>
      </c>
    </row>
    <row r="967" spans="2:21" x14ac:dyDescent="0.3">
      <c r="B967" s="13">
        <f t="shared" ca="1" si="152"/>
        <v>0.56242105940804921</v>
      </c>
      <c r="C967" s="14">
        <f t="shared" ca="1" si="152"/>
        <v>0.54893412417176612</v>
      </c>
      <c r="D967" s="14">
        <f t="shared" ca="1" si="153"/>
        <v>0.15711034946756836</v>
      </c>
      <c r="E967" s="14">
        <f t="shared" ca="1" si="154"/>
        <v>0.12296886662183955</v>
      </c>
      <c r="F967" s="14">
        <f t="shared" ca="1" si="155"/>
        <v>0.19500020080144456</v>
      </c>
      <c r="G967" s="14">
        <f t="shared" ca="1" si="156"/>
        <v>0.56242105940804921</v>
      </c>
      <c r="H967" s="15">
        <f t="shared" ca="1" si="157"/>
        <v>0.54893412417176612</v>
      </c>
      <c r="I967" s="14">
        <f ca="1">IF(G967&lt;0.05,1,0)*$B$1*$B$2</f>
        <v>0</v>
      </c>
      <c r="J967" s="14">
        <f ca="1">IF(H967&lt;0.05,1,0)*$B$1*$B$2</f>
        <v>0</v>
      </c>
      <c r="K967" s="15">
        <f t="shared" ca="1" si="158"/>
        <v>0</v>
      </c>
      <c r="P967" s="3">
        <v>963</v>
      </c>
      <c r="Q967" s="4">
        <f t="shared" ca="1" si="159"/>
        <v>0.56242105940804921</v>
      </c>
      <c r="R967" s="4">
        <f t="shared" ca="1" si="160"/>
        <v>0.54893412417176612</v>
      </c>
      <c r="S967" s="4">
        <f ca="1">$B$1*Q967*$B$2</f>
        <v>22.496842376321968</v>
      </c>
      <c r="T967" s="4">
        <f ca="1">$B$1*R967*$B$2</f>
        <v>21.957364966870646</v>
      </c>
      <c r="U967" s="7">
        <f t="shared" ca="1" si="161"/>
        <v>44.454207343192614</v>
      </c>
    </row>
    <row r="968" spans="2:21" x14ac:dyDescent="0.3">
      <c r="B968" s="13">
        <f t="shared" ca="1" si="152"/>
        <v>0.41681867988811072</v>
      </c>
      <c r="C968" s="14">
        <f t="shared" ca="1" si="152"/>
        <v>0.56843087210675391</v>
      </c>
      <c r="D968" s="14">
        <f t="shared" ca="1" si="153"/>
        <v>-0.21003883922288344</v>
      </c>
      <c r="E968" s="14">
        <f t="shared" ca="1" si="154"/>
        <v>0.17238068529017236</v>
      </c>
      <c r="F968" s="14">
        <f t="shared" ca="1" si="155"/>
        <v>-0.11389595660078015</v>
      </c>
      <c r="G968" s="14">
        <f t="shared" ca="1" si="156"/>
        <v>0.41681867988811072</v>
      </c>
      <c r="H968" s="15">
        <f t="shared" ca="1" si="157"/>
        <v>0.56843087210675391</v>
      </c>
      <c r="I968" s="14">
        <f ca="1">IF(G968&lt;0.05,1,0)*$B$1*$B$2</f>
        <v>0</v>
      </c>
      <c r="J968" s="14">
        <f ca="1">IF(H968&lt;0.05,1,0)*$B$1*$B$2</f>
        <v>0</v>
      </c>
      <c r="K968" s="15">
        <f t="shared" ca="1" si="158"/>
        <v>0</v>
      </c>
      <c r="P968" s="3">
        <v>964</v>
      </c>
      <c r="Q968" s="4">
        <f t="shared" ca="1" si="159"/>
        <v>0.41681867988811072</v>
      </c>
      <c r="R968" s="4">
        <f t="shared" ca="1" si="160"/>
        <v>0.56843087210675391</v>
      </c>
      <c r="S968" s="4">
        <f ca="1">$B$1*Q968*$B$2</f>
        <v>16.67274719552443</v>
      </c>
      <c r="T968" s="4">
        <f ca="1">$B$1*R968*$B$2</f>
        <v>22.737234884270158</v>
      </c>
      <c r="U968" s="7">
        <f t="shared" ca="1" si="161"/>
        <v>39.409982079794588</v>
      </c>
    </row>
    <row r="969" spans="2:21" x14ac:dyDescent="0.3">
      <c r="B969" s="13">
        <f t="shared" ca="1" si="152"/>
        <v>0.81311905625733227</v>
      </c>
      <c r="C969" s="14">
        <f t="shared" ca="1" si="152"/>
        <v>0.88620167668462957</v>
      </c>
      <c r="D969" s="14">
        <f t="shared" ca="1" si="153"/>
        <v>0.88944887570520148</v>
      </c>
      <c r="E969" s="14">
        <f t="shared" ca="1" si="154"/>
        <v>1.206572956926719</v>
      </c>
      <c r="F969" s="14">
        <f t="shared" ca="1" si="155"/>
        <v>1.3264369468599435</v>
      </c>
      <c r="G969" s="14">
        <f t="shared" ca="1" si="156"/>
        <v>0.81311905625733227</v>
      </c>
      <c r="H969" s="15">
        <f t="shared" ca="1" si="157"/>
        <v>0.88620167668462968</v>
      </c>
      <c r="I969" s="14">
        <f ca="1">IF(G969&lt;0.05,1,0)*$B$1*$B$2</f>
        <v>0</v>
      </c>
      <c r="J969" s="14">
        <f ca="1">IF(H969&lt;0.05,1,0)*$B$1*$B$2</f>
        <v>0</v>
      </c>
      <c r="K969" s="15">
        <f t="shared" ca="1" si="158"/>
        <v>0</v>
      </c>
      <c r="P969" s="3">
        <v>965</v>
      </c>
      <c r="Q969" s="4">
        <f t="shared" ca="1" si="159"/>
        <v>0.81311905625733227</v>
      </c>
      <c r="R969" s="4">
        <f t="shared" ca="1" si="160"/>
        <v>0.88620167668462968</v>
      </c>
      <c r="S969" s="4">
        <f ca="1">$B$1*Q969*$B$2</f>
        <v>32.524762250293293</v>
      </c>
      <c r="T969" s="4">
        <f ca="1">$B$1*R969*$B$2</f>
        <v>35.448067067385189</v>
      </c>
      <c r="U969" s="7">
        <f t="shared" ca="1" si="161"/>
        <v>67.972829317678475</v>
      </c>
    </row>
    <row r="970" spans="2:21" x14ac:dyDescent="0.3">
      <c r="B970" s="13">
        <f t="shared" ca="1" si="152"/>
        <v>0.21826756608208076</v>
      </c>
      <c r="C970" s="14">
        <f t="shared" ca="1" si="152"/>
        <v>0.50868709707873827</v>
      </c>
      <c r="D970" s="14">
        <f t="shared" ca="1" si="153"/>
        <v>-0.7780574727874251</v>
      </c>
      <c r="E970" s="14">
        <f t="shared" ca="1" si="154"/>
        <v>2.1777044295934259E-2</v>
      </c>
      <c r="F970" s="14">
        <f t="shared" ca="1" si="155"/>
        <v>-0.690759331971184</v>
      </c>
      <c r="G970" s="14">
        <f t="shared" ca="1" si="156"/>
        <v>0.21826756608208076</v>
      </c>
      <c r="H970" s="15">
        <f t="shared" ca="1" si="157"/>
        <v>0.50868709707873827</v>
      </c>
      <c r="I970" s="14">
        <f ca="1">IF(G970&lt;0.05,1,0)*$B$1*$B$2</f>
        <v>0</v>
      </c>
      <c r="J970" s="14">
        <f ca="1">IF(H970&lt;0.05,1,0)*$B$1*$B$2</f>
        <v>0</v>
      </c>
      <c r="K970" s="15">
        <f t="shared" ca="1" si="158"/>
        <v>0</v>
      </c>
      <c r="P970" s="3">
        <v>966</v>
      </c>
      <c r="Q970" s="4">
        <f t="shared" ca="1" si="159"/>
        <v>0.21826756608208076</v>
      </c>
      <c r="R970" s="4">
        <f t="shared" ca="1" si="160"/>
        <v>0.50868709707873827</v>
      </c>
      <c r="S970" s="4">
        <f ca="1">$B$1*Q970*$B$2</f>
        <v>8.7307026432832302</v>
      </c>
      <c r="T970" s="4">
        <f ca="1">$B$1*R970*$B$2</f>
        <v>20.347483883149533</v>
      </c>
      <c r="U970" s="7">
        <f t="shared" ca="1" si="161"/>
        <v>29.078186526432763</v>
      </c>
    </row>
    <row r="971" spans="2:21" x14ac:dyDescent="0.3">
      <c r="B971" s="13">
        <f t="shared" ca="1" si="152"/>
        <v>0.15146757488753215</v>
      </c>
      <c r="C971" s="14">
        <f t="shared" ca="1" si="152"/>
        <v>0.13356170928348932</v>
      </c>
      <c r="D971" s="14">
        <f t="shared" ca="1" si="153"/>
        <v>-1.0301594749893339</v>
      </c>
      <c r="E971" s="14">
        <f t="shared" ca="1" si="154"/>
        <v>-1.1097113774724405</v>
      </c>
      <c r="F971" s="14">
        <f t="shared" ca="1" si="155"/>
        <v>-1.4108555025803691</v>
      </c>
      <c r="G971" s="14">
        <f t="shared" ca="1" si="156"/>
        <v>0.15146757488753174</v>
      </c>
      <c r="H971" s="15">
        <f t="shared" ca="1" si="157"/>
        <v>0.13356170928348929</v>
      </c>
      <c r="I971" s="14">
        <f ca="1">IF(G971&lt;0.05,1,0)*$B$1*$B$2</f>
        <v>0</v>
      </c>
      <c r="J971" s="14">
        <f ca="1">IF(H971&lt;0.05,1,0)*$B$1*$B$2</f>
        <v>0</v>
      </c>
      <c r="K971" s="15">
        <f t="shared" ca="1" si="158"/>
        <v>0</v>
      </c>
      <c r="P971" s="3">
        <v>967</v>
      </c>
      <c r="Q971" s="4">
        <f t="shared" ca="1" si="159"/>
        <v>0.15146757488753174</v>
      </c>
      <c r="R971" s="4">
        <f t="shared" ca="1" si="160"/>
        <v>0.13356170928348929</v>
      </c>
      <c r="S971" s="4">
        <f ca="1">$B$1*Q971*$B$2</f>
        <v>6.0587029955012701</v>
      </c>
      <c r="T971" s="4">
        <f ca="1">$B$1*R971*$B$2</f>
        <v>5.3424683713395718</v>
      </c>
      <c r="U971" s="7">
        <f t="shared" ca="1" si="161"/>
        <v>11.401171366840842</v>
      </c>
    </row>
    <row r="972" spans="2:21" x14ac:dyDescent="0.3">
      <c r="B972" s="13">
        <f t="shared" ca="1" si="152"/>
        <v>0.26744802347629448</v>
      </c>
      <c r="C972" s="14">
        <f t="shared" ca="1" si="152"/>
        <v>0.85426593171316378</v>
      </c>
      <c r="D972" s="14">
        <f t="shared" ca="1" si="153"/>
        <v>-0.62054954322756772</v>
      </c>
      <c r="E972" s="14">
        <f t="shared" ca="1" si="154"/>
        <v>1.0549063963947178</v>
      </c>
      <c r="F972" s="14">
        <f t="shared" ca="1" si="155"/>
        <v>-9.8671551226887588E-2</v>
      </c>
      <c r="G972" s="14">
        <f t="shared" ca="1" si="156"/>
        <v>0.26744802347629437</v>
      </c>
      <c r="H972" s="15">
        <f t="shared" ca="1" si="157"/>
        <v>0.85426593171316378</v>
      </c>
      <c r="I972" s="14">
        <f ca="1">IF(G972&lt;0.05,1,0)*$B$1*$B$2</f>
        <v>0</v>
      </c>
      <c r="J972" s="14">
        <f ca="1">IF(H972&lt;0.05,1,0)*$B$1*$B$2</f>
        <v>0</v>
      </c>
      <c r="K972" s="15">
        <f t="shared" ca="1" si="158"/>
        <v>0</v>
      </c>
      <c r="P972" s="3">
        <v>968</v>
      </c>
      <c r="Q972" s="4">
        <f t="shared" ca="1" si="159"/>
        <v>0.26744802347629437</v>
      </c>
      <c r="R972" s="4">
        <f t="shared" ca="1" si="160"/>
        <v>0.85426593171316378</v>
      </c>
      <c r="S972" s="4">
        <f ca="1">$B$1*Q972*$B$2</f>
        <v>10.697920939051777</v>
      </c>
      <c r="T972" s="4">
        <f ca="1">$B$1*R972*$B$2</f>
        <v>34.170637268526555</v>
      </c>
      <c r="U972" s="7">
        <f t="shared" ca="1" si="161"/>
        <v>44.868558207578332</v>
      </c>
    </row>
    <row r="973" spans="2:21" x14ac:dyDescent="0.3">
      <c r="B973" s="13">
        <f t="shared" ca="1" si="152"/>
        <v>0.73857177830746734</v>
      </c>
      <c r="C973" s="14">
        <f t="shared" ca="1" si="152"/>
        <v>0.55850232442789061</v>
      </c>
      <c r="D973" s="14">
        <f t="shared" ca="1" si="153"/>
        <v>0.63894848752974043</v>
      </c>
      <c r="E973" s="14">
        <f t="shared" ca="1" si="154"/>
        <v>0.14717315234566808</v>
      </c>
      <c r="F973" s="14">
        <f t="shared" ca="1" si="155"/>
        <v>0.63920492860447475</v>
      </c>
      <c r="G973" s="14">
        <f t="shared" ca="1" si="156"/>
        <v>0.73857177830746734</v>
      </c>
      <c r="H973" s="15">
        <f t="shared" ca="1" si="157"/>
        <v>0.55850232442789061</v>
      </c>
      <c r="I973" s="14">
        <f ca="1">IF(G973&lt;0.05,1,0)*$B$1*$B$2</f>
        <v>0</v>
      </c>
      <c r="J973" s="14">
        <f ca="1">IF(H973&lt;0.05,1,0)*$B$1*$B$2</f>
        <v>0</v>
      </c>
      <c r="K973" s="15">
        <f t="shared" ca="1" si="158"/>
        <v>0</v>
      </c>
      <c r="P973" s="3">
        <v>969</v>
      </c>
      <c r="Q973" s="4">
        <f t="shared" ca="1" si="159"/>
        <v>0.73857177830746734</v>
      </c>
      <c r="R973" s="4">
        <f t="shared" ca="1" si="160"/>
        <v>0.55850232442789061</v>
      </c>
      <c r="S973" s="4">
        <f ca="1">$B$1*Q973*$B$2</f>
        <v>29.542871132298696</v>
      </c>
      <c r="T973" s="4">
        <f ca="1">$B$1*R973*$B$2</f>
        <v>22.340092977115628</v>
      </c>
      <c r="U973" s="7">
        <f t="shared" ca="1" si="161"/>
        <v>51.882964109414324</v>
      </c>
    </row>
    <row r="974" spans="2:21" x14ac:dyDescent="0.3">
      <c r="B974" s="13">
        <f t="shared" ca="1" si="152"/>
        <v>0.44980817351941138</v>
      </c>
      <c r="C974" s="14">
        <f t="shared" ca="1" si="152"/>
        <v>0.7401132257252423</v>
      </c>
      <c r="D974" s="14">
        <f t="shared" ca="1" si="153"/>
        <v>-0.12614601073881548</v>
      </c>
      <c r="E974" s="14">
        <f t="shared" ca="1" si="154"/>
        <v>0.64369451324280869</v>
      </c>
      <c r="F974" s="14">
        <f t="shared" ca="1" si="155"/>
        <v>0.16704852370876669</v>
      </c>
      <c r="G974" s="14">
        <f t="shared" ca="1" si="156"/>
        <v>0.44980817351941138</v>
      </c>
      <c r="H974" s="15">
        <f t="shared" ca="1" si="157"/>
        <v>0.74011322572524241</v>
      </c>
      <c r="I974" s="14">
        <f ca="1">IF(G974&lt;0.05,1,0)*$B$1*$B$2</f>
        <v>0</v>
      </c>
      <c r="J974" s="14">
        <f ca="1">IF(H974&lt;0.05,1,0)*$B$1*$B$2</f>
        <v>0</v>
      </c>
      <c r="K974" s="15">
        <f t="shared" ca="1" si="158"/>
        <v>0</v>
      </c>
      <c r="P974" s="3">
        <v>970</v>
      </c>
      <c r="Q974" s="4">
        <f t="shared" ca="1" si="159"/>
        <v>0.44980817351941138</v>
      </c>
      <c r="R974" s="4">
        <f t="shared" ca="1" si="160"/>
        <v>0.74011322572524241</v>
      </c>
      <c r="S974" s="4">
        <f ca="1">$B$1*Q974*$B$2</f>
        <v>17.992326940776458</v>
      </c>
      <c r="T974" s="4">
        <f ca="1">$B$1*R974*$B$2</f>
        <v>29.604529029009697</v>
      </c>
      <c r="U974" s="7">
        <f t="shared" ca="1" si="161"/>
        <v>47.596855969786155</v>
      </c>
    </row>
    <row r="975" spans="2:21" x14ac:dyDescent="0.3">
      <c r="B975" s="13">
        <f t="shared" ca="1" si="152"/>
        <v>4.3666059599529072E-2</v>
      </c>
      <c r="C975" s="14">
        <f t="shared" ca="1" si="152"/>
        <v>0.22549996575769149</v>
      </c>
      <c r="D975" s="14">
        <f t="shared" ca="1" si="153"/>
        <v>-1.7096418641021922</v>
      </c>
      <c r="E975" s="14">
        <f t="shared" ca="1" si="154"/>
        <v>-0.75374903570251472</v>
      </c>
      <c r="F975" s="14">
        <f t="shared" ca="1" si="155"/>
        <v>-1.8672292652338223</v>
      </c>
      <c r="G975" s="14">
        <f t="shared" ca="1" si="156"/>
        <v>4.3666059599529045E-2</v>
      </c>
      <c r="H975" s="15">
        <f t="shared" ca="1" si="157"/>
        <v>0.22549996575769152</v>
      </c>
      <c r="I975" s="14">
        <f ca="1">IF(G975&lt;0.05,1,0)*$B$1*$B$2</f>
        <v>40</v>
      </c>
      <c r="J975" s="14">
        <f ca="1">IF(H975&lt;0.05,1,0)*$B$1*$B$2</f>
        <v>0</v>
      </c>
      <c r="K975" s="15">
        <f t="shared" ca="1" si="158"/>
        <v>40</v>
      </c>
      <c r="P975" s="3">
        <v>971</v>
      </c>
      <c r="Q975" s="4">
        <f t="shared" ca="1" si="159"/>
        <v>4.3666059599529045E-2</v>
      </c>
      <c r="R975" s="4">
        <f t="shared" ca="1" si="160"/>
        <v>0.22549996575769152</v>
      </c>
      <c r="S975" s="4">
        <f ca="1">$B$1*Q975*$B$2</f>
        <v>1.746642383981162</v>
      </c>
      <c r="T975" s="4">
        <f ca="1">$B$1*R975*$B$2</f>
        <v>9.0199986303076614</v>
      </c>
      <c r="U975" s="7">
        <f t="shared" ca="1" si="161"/>
        <v>10.766641014288822</v>
      </c>
    </row>
    <row r="976" spans="2:21" x14ac:dyDescent="0.3">
      <c r="B976" s="13">
        <f t="shared" ca="1" si="152"/>
        <v>0.78148592094840075</v>
      </c>
      <c r="C976" s="14">
        <f t="shared" ca="1" si="152"/>
        <v>0.3863453989490957</v>
      </c>
      <c r="D976" s="14">
        <f t="shared" ca="1" si="153"/>
        <v>0.77722140081706159</v>
      </c>
      <c r="E976" s="14">
        <f t="shared" ca="1" si="154"/>
        <v>-0.28885701667558883</v>
      </c>
      <c r="F976" s="14">
        <f t="shared" ca="1" si="155"/>
        <v>0.57358940625320187</v>
      </c>
      <c r="G976" s="14">
        <f t="shared" ca="1" si="156"/>
        <v>0.78148592094840075</v>
      </c>
      <c r="H976" s="15">
        <f t="shared" ca="1" si="157"/>
        <v>0.38634539894909564</v>
      </c>
      <c r="I976" s="14">
        <f ca="1">IF(G976&lt;0.05,1,0)*$B$1*$B$2</f>
        <v>0</v>
      </c>
      <c r="J976" s="14">
        <f ca="1">IF(H976&lt;0.05,1,0)*$B$1*$B$2</f>
        <v>0</v>
      </c>
      <c r="K976" s="15">
        <f t="shared" ca="1" si="158"/>
        <v>0</v>
      </c>
      <c r="P976" s="3">
        <v>972</v>
      </c>
      <c r="Q976" s="4">
        <f t="shared" ca="1" si="159"/>
        <v>0.78148592094840075</v>
      </c>
      <c r="R976" s="4">
        <f t="shared" ca="1" si="160"/>
        <v>0.38634539894909564</v>
      </c>
      <c r="S976" s="4">
        <f ca="1">$B$1*Q976*$B$2</f>
        <v>31.259436837936029</v>
      </c>
      <c r="T976" s="4">
        <f ca="1">$B$1*R976*$B$2</f>
        <v>15.453815957963826</v>
      </c>
      <c r="U976" s="7">
        <f t="shared" ca="1" si="161"/>
        <v>46.713252795899855</v>
      </c>
    </row>
    <row r="977" spans="2:21" x14ac:dyDescent="0.3">
      <c r="B977" s="13">
        <f t="shared" ca="1" si="152"/>
        <v>0.30631887452123385</v>
      </c>
      <c r="C977" s="14">
        <f t="shared" ca="1" si="152"/>
        <v>0.93139756012870889</v>
      </c>
      <c r="D977" s="14">
        <f t="shared" ca="1" si="153"/>
        <v>-0.50631184495242931</v>
      </c>
      <c r="E977" s="14">
        <f t="shared" ca="1" si="154"/>
        <v>1.4862807369054629</v>
      </c>
      <c r="F977" s="14">
        <f t="shared" ca="1" si="155"/>
        <v>0.19217409293302107</v>
      </c>
      <c r="G977" s="14">
        <f t="shared" ca="1" si="156"/>
        <v>0.30631887452123374</v>
      </c>
      <c r="H977" s="15">
        <f t="shared" ca="1" si="157"/>
        <v>0.93139756012870889</v>
      </c>
      <c r="I977" s="14">
        <f ca="1">IF(G977&lt;0.05,1,0)*$B$1*$B$2</f>
        <v>0</v>
      </c>
      <c r="J977" s="14">
        <f ca="1">IF(H977&lt;0.05,1,0)*$B$1*$B$2</f>
        <v>0</v>
      </c>
      <c r="K977" s="15">
        <f t="shared" ca="1" si="158"/>
        <v>0</v>
      </c>
      <c r="P977" s="3">
        <v>973</v>
      </c>
      <c r="Q977" s="4">
        <f t="shared" ca="1" si="159"/>
        <v>0.30631887452123374</v>
      </c>
      <c r="R977" s="4">
        <f t="shared" ca="1" si="160"/>
        <v>0.93139756012870889</v>
      </c>
      <c r="S977" s="4">
        <f ca="1">$B$1*Q977*$B$2</f>
        <v>12.25275498084935</v>
      </c>
      <c r="T977" s="4">
        <f ca="1">$B$1*R977*$B$2</f>
        <v>37.255902405148355</v>
      </c>
      <c r="U977" s="7">
        <f t="shared" ca="1" si="161"/>
        <v>49.508657385997708</v>
      </c>
    </row>
    <row r="978" spans="2:21" x14ac:dyDescent="0.3">
      <c r="B978" s="13">
        <f t="shared" ca="1" si="152"/>
        <v>0.65720517736323025</v>
      </c>
      <c r="C978" s="14">
        <f t="shared" ca="1" si="152"/>
        <v>0.24597582649047134</v>
      </c>
      <c r="D978" s="14">
        <f t="shared" ca="1" si="153"/>
        <v>0.40484745334599509</v>
      </c>
      <c r="E978" s="14">
        <f t="shared" ca="1" si="154"/>
        <v>-0.68720801711915225</v>
      </c>
      <c r="F978" s="14">
        <f t="shared" ca="1" si="155"/>
        <v>6.4815678030060275E-2</v>
      </c>
      <c r="G978" s="14">
        <f t="shared" ca="1" si="156"/>
        <v>0.65720517736323036</v>
      </c>
      <c r="H978" s="15">
        <f t="shared" ca="1" si="157"/>
        <v>0.24597582649047123</v>
      </c>
      <c r="I978" s="14">
        <f ca="1">IF(G978&lt;0.05,1,0)*$B$1*$B$2</f>
        <v>0</v>
      </c>
      <c r="J978" s="14">
        <f ca="1">IF(H978&lt;0.05,1,0)*$B$1*$B$2</f>
        <v>0</v>
      </c>
      <c r="K978" s="15">
        <f t="shared" ca="1" si="158"/>
        <v>0</v>
      </c>
      <c r="P978" s="3">
        <v>974</v>
      </c>
      <c r="Q978" s="4">
        <f t="shared" ca="1" si="159"/>
        <v>0.65720517736323036</v>
      </c>
      <c r="R978" s="4">
        <f t="shared" ca="1" si="160"/>
        <v>0.24597582649047123</v>
      </c>
      <c r="S978" s="4">
        <f ca="1">$B$1*Q978*$B$2</f>
        <v>26.288207094529213</v>
      </c>
      <c r="T978" s="4">
        <f ca="1">$B$1*R978*$B$2</f>
        <v>9.8390330596188491</v>
      </c>
      <c r="U978" s="7">
        <f t="shared" ca="1" si="161"/>
        <v>36.127240154148062</v>
      </c>
    </row>
    <row r="979" spans="2:21" x14ac:dyDescent="0.3">
      <c r="B979" s="13">
        <f t="shared" ca="1" si="152"/>
        <v>6.3132808458818745E-2</v>
      </c>
      <c r="C979" s="14">
        <f t="shared" ca="1" si="152"/>
        <v>0.53047610735939354</v>
      </c>
      <c r="D979" s="14">
        <f t="shared" ca="1" si="153"/>
        <v>-1.5289952683625645</v>
      </c>
      <c r="E979" s="14">
        <f t="shared" ca="1" si="154"/>
        <v>7.6466725960497625E-2</v>
      </c>
      <c r="F979" s="14">
        <f t="shared" ca="1" si="155"/>
        <v>-1.3427646684257852</v>
      </c>
      <c r="G979" s="14">
        <f t="shared" ca="1" si="156"/>
        <v>6.3132808458818732E-2</v>
      </c>
      <c r="H979" s="15">
        <f t="shared" ca="1" si="157"/>
        <v>0.53047610735939354</v>
      </c>
      <c r="I979" s="14">
        <f ca="1">IF(G979&lt;0.05,1,0)*$B$1*$B$2</f>
        <v>0</v>
      </c>
      <c r="J979" s="14">
        <f ca="1">IF(H979&lt;0.05,1,0)*$B$1*$B$2</f>
        <v>0</v>
      </c>
      <c r="K979" s="15">
        <f t="shared" ca="1" si="158"/>
        <v>0</v>
      </c>
      <c r="P979" s="3">
        <v>975</v>
      </c>
      <c r="Q979" s="4">
        <f t="shared" ca="1" si="159"/>
        <v>6.3132808458818732E-2</v>
      </c>
      <c r="R979" s="4">
        <f t="shared" ca="1" si="160"/>
        <v>0.53047610735939354</v>
      </c>
      <c r="S979" s="4">
        <f ca="1">$B$1*Q979*$B$2</f>
        <v>2.5253123383527494</v>
      </c>
      <c r="T979" s="4">
        <f ca="1">$B$1*R979*$B$2</f>
        <v>21.219044294375745</v>
      </c>
      <c r="U979" s="7">
        <f t="shared" ca="1" si="161"/>
        <v>23.744356632728493</v>
      </c>
    </row>
    <row r="980" spans="2:21" x14ac:dyDescent="0.3">
      <c r="B980" s="13">
        <f t="shared" ca="1" si="152"/>
        <v>0.22815054410262869</v>
      </c>
      <c r="C980" s="14">
        <f t="shared" ca="1" si="152"/>
        <v>2.0344950101368608E-3</v>
      </c>
      <c r="D980" s="14">
        <f t="shared" ca="1" si="153"/>
        <v>-0.74495142046542329</v>
      </c>
      <c r="E980" s="14">
        <f t="shared" ca="1" si="154"/>
        <v>-2.872763184273714</v>
      </c>
      <c r="F980" s="14">
        <f t="shared" ca="1" si="155"/>
        <v>-1.9226647193162041</v>
      </c>
      <c r="G980" s="14">
        <f t="shared" ca="1" si="156"/>
        <v>0.22815054410262864</v>
      </c>
      <c r="H980" s="15">
        <f t="shared" ca="1" si="157"/>
        <v>2.0344950101368608E-3</v>
      </c>
      <c r="I980" s="14">
        <f ca="1">IF(G980&lt;0.05,1,0)*$B$1*$B$2</f>
        <v>0</v>
      </c>
      <c r="J980" s="14">
        <f ca="1">IF(H980&lt;0.05,1,0)*$B$1*$B$2</f>
        <v>40</v>
      </c>
      <c r="K980" s="15">
        <f t="shared" ca="1" si="158"/>
        <v>40</v>
      </c>
      <c r="P980" s="3">
        <v>976</v>
      </c>
      <c r="Q980" s="4">
        <f t="shared" ca="1" si="159"/>
        <v>0.22815054410262864</v>
      </c>
      <c r="R980" s="4">
        <f t="shared" ca="1" si="160"/>
        <v>2.0344950101368608E-3</v>
      </c>
      <c r="S980" s="4">
        <f ca="1">$B$1*Q980*$B$2</f>
        <v>9.1260217641051451</v>
      </c>
      <c r="T980" s="4">
        <f ca="1">$B$1*R980*$B$2</f>
        <v>8.1379800405474434E-2</v>
      </c>
      <c r="U980" s="7">
        <f t="shared" ca="1" si="161"/>
        <v>9.2074015645106186</v>
      </c>
    </row>
    <row r="981" spans="2:21" x14ac:dyDescent="0.3">
      <c r="B981" s="13">
        <f t="shared" ca="1" si="152"/>
        <v>0.17026515297280265</v>
      </c>
      <c r="C981" s="14">
        <f t="shared" ca="1" si="152"/>
        <v>0.35291667917221214</v>
      </c>
      <c r="D981" s="14">
        <f t="shared" ca="1" si="153"/>
        <v>-0.95311796266817372</v>
      </c>
      <c r="E981" s="14">
        <f t="shared" ca="1" si="154"/>
        <v>-0.37745788257038948</v>
      </c>
      <c r="F981" s="14">
        <f t="shared" ca="1" si="155"/>
        <v>-1.0223362429580733</v>
      </c>
      <c r="G981" s="14">
        <f t="shared" ca="1" si="156"/>
        <v>0.17026515297280265</v>
      </c>
      <c r="H981" s="15">
        <f t="shared" ca="1" si="157"/>
        <v>0.35291667917221209</v>
      </c>
      <c r="I981" s="14">
        <f ca="1">IF(G981&lt;0.05,1,0)*$B$1*$B$2</f>
        <v>0</v>
      </c>
      <c r="J981" s="14">
        <f ca="1">IF(H981&lt;0.05,1,0)*$B$1*$B$2</f>
        <v>0</v>
      </c>
      <c r="K981" s="15">
        <f t="shared" ca="1" si="158"/>
        <v>0</v>
      </c>
      <c r="P981" s="3">
        <v>977</v>
      </c>
      <c r="Q981" s="4">
        <f t="shared" ca="1" si="159"/>
        <v>0.17026515297280265</v>
      </c>
      <c r="R981" s="4">
        <f t="shared" ca="1" si="160"/>
        <v>0.35291667917221209</v>
      </c>
      <c r="S981" s="4">
        <f ca="1">$B$1*Q981*$B$2</f>
        <v>6.8106061189121068</v>
      </c>
      <c r="T981" s="4">
        <f ca="1">$B$1*R981*$B$2</f>
        <v>14.116667166888485</v>
      </c>
      <c r="U981" s="7">
        <f t="shared" ca="1" si="161"/>
        <v>20.927273285800592</v>
      </c>
    </row>
    <row r="982" spans="2:21" x14ac:dyDescent="0.3">
      <c r="B982" s="13">
        <f t="shared" ca="1" si="152"/>
        <v>0.98860240083969986</v>
      </c>
      <c r="C982" s="14">
        <f t="shared" ca="1" si="152"/>
        <v>0.35894540838263678</v>
      </c>
      <c r="D982" s="14">
        <f t="shared" ca="1" si="153"/>
        <v>2.2768497693862617</v>
      </c>
      <c r="E982" s="14">
        <f t="shared" ca="1" si="154"/>
        <v>-0.36127909885807952</v>
      </c>
      <c r="F982" s="14">
        <f t="shared" ca="1" si="155"/>
        <v>1.8916868842140548</v>
      </c>
      <c r="G982" s="14">
        <f t="shared" ca="1" si="156"/>
        <v>0.98860240083969986</v>
      </c>
      <c r="H982" s="15">
        <f t="shared" ca="1" si="157"/>
        <v>0.35894540838263672</v>
      </c>
      <c r="I982" s="14">
        <f ca="1">IF(G982&lt;0.05,1,0)*$B$1*$B$2</f>
        <v>0</v>
      </c>
      <c r="J982" s="14">
        <f ca="1">IF(H982&lt;0.05,1,0)*$B$1*$B$2</f>
        <v>0</v>
      </c>
      <c r="K982" s="15">
        <f t="shared" ca="1" si="158"/>
        <v>0</v>
      </c>
      <c r="P982" s="3">
        <v>978</v>
      </c>
      <c r="Q982" s="4">
        <f t="shared" ca="1" si="159"/>
        <v>0.98860240083969986</v>
      </c>
      <c r="R982" s="4">
        <f t="shared" ca="1" si="160"/>
        <v>0.35894540838263672</v>
      </c>
      <c r="S982" s="4">
        <f ca="1">$B$1*Q982*$B$2</f>
        <v>39.544096033587998</v>
      </c>
      <c r="T982" s="4">
        <f ca="1">$B$1*R982*$B$2</f>
        <v>14.35781633530547</v>
      </c>
      <c r="U982" s="7">
        <f t="shared" ca="1" si="161"/>
        <v>53.90191236889347</v>
      </c>
    </row>
    <row r="983" spans="2:21" x14ac:dyDescent="0.3">
      <c r="B983" s="13">
        <f t="shared" ca="1" si="152"/>
        <v>0.88289628329419512</v>
      </c>
      <c r="C983" s="14">
        <f t="shared" ca="1" si="152"/>
        <v>0.70845601136016212</v>
      </c>
      <c r="D983" s="14">
        <f t="shared" ca="1" si="153"/>
        <v>1.1895903681212681</v>
      </c>
      <c r="E983" s="14">
        <f t="shared" ca="1" si="154"/>
        <v>0.54887974796227357</v>
      </c>
      <c r="F983" s="14">
        <f t="shared" ca="1" si="155"/>
        <v>1.3098824666615039</v>
      </c>
      <c r="G983" s="14">
        <f t="shared" ca="1" si="156"/>
        <v>0.88289628329419512</v>
      </c>
      <c r="H983" s="15">
        <f t="shared" ca="1" si="157"/>
        <v>0.70845601136016212</v>
      </c>
      <c r="I983" s="14">
        <f ca="1">IF(G983&lt;0.05,1,0)*$B$1*$B$2</f>
        <v>0</v>
      </c>
      <c r="J983" s="14">
        <f ca="1">IF(H983&lt;0.05,1,0)*$B$1*$B$2</f>
        <v>0</v>
      </c>
      <c r="K983" s="15">
        <f t="shared" ca="1" si="158"/>
        <v>0</v>
      </c>
      <c r="P983" s="3">
        <v>979</v>
      </c>
      <c r="Q983" s="4">
        <f t="shared" ca="1" si="159"/>
        <v>0.88289628329419512</v>
      </c>
      <c r="R983" s="4">
        <f t="shared" ca="1" si="160"/>
        <v>0.70845601136016212</v>
      </c>
      <c r="S983" s="4">
        <f ca="1">$B$1*Q983*$B$2</f>
        <v>35.31585133176781</v>
      </c>
      <c r="T983" s="4">
        <f ca="1">$B$1*R983*$B$2</f>
        <v>28.338240454406488</v>
      </c>
      <c r="U983" s="7">
        <f t="shared" ca="1" si="161"/>
        <v>63.654091786174298</v>
      </c>
    </row>
    <row r="984" spans="2:21" x14ac:dyDescent="0.3">
      <c r="B984" s="13">
        <f t="shared" ca="1" si="152"/>
        <v>0.27551695432502865</v>
      </c>
      <c r="C984" s="14">
        <f t="shared" ca="1" si="152"/>
        <v>0.95508316732638621</v>
      </c>
      <c r="D984" s="14">
        <f t="shared" ca="1" si="153"/>
        <v>-0.59621155299982598</v>
      </c>
      <c r="E984" s="14">
        <f t="shared" ca="1" si="154"/>
        <v>1.6962757783812401</v>
      </c>
      <c r="F984" s="14">
        <f t="shared" ca="1" si="155"/>
        <v>0.20279907213411863</v>
      </c>
      <c r="G984" s="14">
        <f t="shared" ca="1" si="156"/>
        <v>0.27551695432502854</v>
      </c>
      <c r="H984" s="15">
        <f t="shared" ca="1" si="157"/>
        <v>0.95508316732638621</v>
      </c>
      <c r="I984" s="14">
        <f ca="1">IF(G984&lt;0.05,1,0)*$B$1*$B$2</f>
        <v>0</v>
      </c>
      <c r="J984" s="14">
        <f ca="1">IF(H984&lt;0.05,1,0)*$B$1*$B$2</f>
        <v>0</v>
      </c>
      <c r="K984" s="15">
        <f t="shared" ca="1" si="158"/>
        <v>0</v>
      </c>
      <c r="P984" s="3">
        <v>980</v>
      </c>
      <c r="Q984" s="4">
        <f t="shared" ca="1" si="159"/>
        <v>0.27551695432502854</v>
      </c>
      <c r="R984" s="4">
        <f t="shared" ca="1" si="160"/>
        <v>0.95508316732638621</v>
      </c>
      <c r="S984" s="4">
        <f ca="1">$B$1*Q984*$B$2</f>
        <v>11.020678173001142</v>
      </c>
      <c r="T984" s="4">
        <f ca="1">$B$1*R984*$B$2</f>
        <v>38.203326693055452</v>
      </c>
      <c r="U984" s="7">
        <f t="shared" ca="1" si="161"/>
        <v>49.224004866056596</v>
      </c>
    </row>
    <row r="985" spans="2:21" x14ac:dyDescent="0.3">
      <c r="B985" s="13">
        <f t="shared" ca="1" si="152"/>
        <v>0.22179012654195518</v>
      </c>
      <c r="C985" s="14">
        <f t="shared" ca="1" si="152"/>
        <v>0.59648773849920411</v>
      </c>
      <c r="D985" s="14">
        <f t="shared" ca="1" si="153"/>
        <v>-0.76616143308396067</v>
      </c>
      <c r="E985" s="14">
        <f t="shared" ca="1" si="154"/>
        <v>0.24426637586453825</v>
      </c>
      <c r="F985" s="14">
        <f t="shared" ca="1" si="155"/>
        <v>-0.58307204500572019</v>
      </c>
      <c r="G985" s="14">
        <f t="shared" ca="1" si="156"/>
        <v>0.22179012654195507</v>
      </c>
      <c r="H985" s="15">
        <f t="shared" ca="1" si="157"/>
        <v>0.59648773849920411</v>
      </c>
      <c r="I985" s="14">
        <f ca="1">IF(G985&lt;0.05,1,0)*$B$1*$B$2</f>
        <v>0</v>
      </c>
      <c r="J985" s="14">
        <f ca="1">IF(H985&lt;0.05,1,0)*$B$1*$B$2</f>
        <v>0</v>
      </c>
      <c r="K985" s="15">
        <f t="shared" ca="1" si="158"/>
        <v>0</v>
      </c>
      <c r="P985" s="3">
        <v>981</v>
      </c>
      <c r="Q985" s="4">
        <f t="shared" ca="1" si="159"/>
        <v>0.22179012654195507</v>
      </c>
      <c r="R985" s="4">
        <f t="shared" ca="1" si="160"/>
        <v>0.59648773849920411</v>
      </c>
      <c r="S985" s="4">
        <f ca="1">$B$1*Q985*$B$2</f>
        <v>8.8716050616782027</v>
      </c>
      <c r="T985" s="4">
        <f ca="1">$B$1*R985*$B$2</f>
        <v>23.859509539968165</v>
      </c>
      <c r="U985" s="7">
        <f t="shared" ca="1" si="161"/>
        <v>32.731114601646368</v>
      </c>
    </row>
    <row r="986" spans="2:21" x14ac:dyDescent="0.3">
      <c r="B986" s="13">
        <f t="shared" ca="1" si="152"/>
        <v>0.91344322134717804</v>
      </c>
      <c r="C986" s="14">
        <f t="shared" ca="1" si="152"/>
        <v>0.12740376752683902</v>
      </c>
      <c r="D986" s="14">
        <f t="shared" ca="1" si="153"/>
        <v>1.362267256020506</v>
      </c>
      <c r="E986" s="14">
        <f t="shared" ca="1" si="154"/>
        <v>-1.1387497762175007</v>
      </c>
      <c r="F986" s="14">
        <f t="shared" ca="1" si="155"/>
        <v>0.72967101076729124</v>
      </c>
      <c r="G986" s="14">
        <f t="shared" ca="1" si="156"/>
        <v>0.91344322134717804</v>
      </c>
      <c r="H986" s="15">
        <f t="shared" ca="1" si="157"/>
        <v>0.12740376752683893</v>
      </c>
      <c r="I986" s="14">
        <f ca="1">IF(G986&lt;0.05,1,0)*$B$1*$B$2</f>
        <v>0</v>
      </c>
      <c r="J986" s="14">
        <f ca="1">IF(H986&lt;0.05,1,0)*$B$1*$B$2</f>
        <v>0</v>
      </c>
      <c r="K986" s="15">
        <f t="shared" ca="1" si="158"/>
        <v>0</v>
      </c>
      <c r="P986" s="3">
        <v>982</v>
      </c>
      <c r="Q986" s="4">
        <f t="shared" ca="1" si="159"/>
        <v>0.91344322134717804</v>
      </c>
      <c r="R986" s="4">
        <f t="shared" ca="1" si="160"/>
        <v>0.12740376752683893</v>
      </c>
      <c r="S986" s="4">
        <f ca="1">$B$1*Q986*$B$2</f>
        <v>36.537728853887124</v>
      </c>
      <c r="T986" s="4">
        <f ca="1">$B$1*R986*$B$2</f>
        <v>5.0961507010735581</v>
      </c>
      <c r="U986" s="7">
        <f t="shared" ca="1" si="161"/>
        <v>41.633879554960686</v>
      </c>
    </row>
    <row r="987" spans="2:21" x14ac:dyDescent="0.3">
      <c r="B987" s="13">
        <f t="shared" ca="1" si="152"/>
        <v>0.77664333378543482</v>
      </c>
      <c r="C987" s="14">
        <f t="shared" ca="1" si="152"/>
        <v>0.31354014519148277</v>
      </c>
      <c r="D987" s="14">
        <f t="shared" ca="1" si="153"/>
        <v>0.76090580266497054</v>
      </c>
      <c r="E987" s="14">
        <f t="shared" ca="1" si="154"/>
        <v>-0.48584045292041378</v>
      </c>
      <c r="F987" s="14">
        <f t="shared" ca="1" si="155"/>
        <v>0.47304227870206211</v>
      </c>
      <c r="G987" s="14">
        <f t="shared" ca="1" si="156"/>
        <v>0.77664333378543482</v>
      </c>
      <c r="H987" s="15">
        <f t="shared" ca="1" si="157"/>
        <v>0.31354014519148277</v>
      </c>
      <c r="I987" s="14">
        <f ca="1">IF(G987&lt;0.05,1,0)*$B$1*$B$2</f>
        <v>0</v>
      </c>
      <c r="J987" s="14">
        <f ca="1">IF(H987&lt;0.05,1,0)*$B$1*$B$2</f>
        <v>0</v>
      </c>
      <c r="K987" s="15">
        <f t="shared" ca="1" si="158"/>
        <v>0</v>
      </c>
      <c r="P987" s="3">
        <v>983</v>
      </c>
      <c r="Q987" s="4">
        <f t="shared" ca="1" si="159"/>
        <v>0.77664333378543482</v>
      </c>
      <c r="R987" s="4">
        <f t="shared" ca="1" si="160"/>
        <v>0.31354014519148277</v>
      </c>
      <c r="S987" s="4">
        <f ca="1">$B$1*Q987*$B$2</f>
        <v>31.065733351417396</v>
      </c>
      <c r="T987" s="4">
        <f ca="1">$B$1*R987*$B$2</f>
        <v>12.541605807659311</v>
      </c>
      <c r="U987" s="7">
        <f t="shared" ca="1" si="161"/>
        <v>43.607339159076709</v>
      </c>
    </row>
    <row r="988" spans="2:21" x14ac:dyDescent="0.3">
      <c r="B988" s="13">
        <f t="shared" ca="1" si="152"/>
        <v>0.62359917828925293</v>
      </c>
      <c r="C988" s="14">
        <f t="shared" ca="1" si="152"/>
        <v>0.52727373237007569</v>
      </c>
      <c r="D988" s="14">
        <f t="shared" ca="1" si="153"/>
        <v>0.31494733169308753</v>
      </c>
      <c r="E988" s="14">
        <f t="shared" ca="1" si="154"/>
        <v>6.8418450009240225E-2</v>
      </c>
      <c r="F988" s="14">
        <f t="shared" ca="1" si="155"/>
        <v>0.31327550947017557</v>
      </c>
      <c r="G988" s="14">
        <f t="shared" ca="1" si="156"/>
        <v>0.62359917828925293</v>
      </c>
      <c r="H988" s="15">
        <f t="shared" ca="1" si="157"/>
        <v>0.52727373237007569</v>
      </c>
      <c r="I988" s="14">
        <f ca="1">IF(G988&lt;0.05,1,0)*$B$1*$B$2</f>
        <v>0</v>
      </c>
      <c r="J988" s="14">
        <f ca="1">IF(H988&lt;0.05,1,0)*$B$1*$B$2</f>
        <v>0</v>
      </c>
      <c r="K988" s="15">
        <f t="shared" ca="1" si="158"/>
        <v>0</v>
      </c>
      <c r="P988" s="3">
        <v>984</v>
      </c>
      <c r="Q988" s="4">
        <f t="shared" ca="1" si="159"/>
        <v>0.62359917828925293</v>
      </c>
      <c r="R988" s="4">
        <f t="shared" ca="1" si="160"/>
        <v>0.52727373237007569</v>
      </c>
      <c r="S988" s="4">
        <f ca="1">$B$1*Q988*$B$2</f>
        <v>24.943967131570119</v>
      </c>
      <c r="T988" s="4">
        <f ca="1">$B$1*R988*$B$2</f>
        <v>21.090949294803028</v>
      </c>
      <c r="U988" s="7">
        <f t="shared" ca="1" si="161"/>
        <v>46.034916426373144</v>
      </c>
    </row>
    <row r="989" spans="2:21" x14ac:dyDescent="0.3">
      <c r="B989" s="13">
        <f t="shared" ca="1" si="152"/>
        <v>0.52550284154246052</v>
      </c>
      <c r="C989" s="14">
        <f t="shared" ca="1" si="152"/>
        <v>0.89549980591819545</v>
      </c>
      <c r="D989" s="14">
        <f t="shared" ca="1" si="153"/>
        <v>6.3969745661716634E-2</v>
      </c>
      <c r="E989" s="14">
        <f t="shared" ca="1" si="154"/>
        <v>1.256318855863195</v>
      </c>
      <c r="F989" s="14">
        <f t="shared" ca="1" si="155"/>
        <v>0.60518946445277566</v>
      </c>
      <c r="G989" s="14">
        <f t="shared" ca="1" si="156"/>
        <v>0.52550284154246052</v>
      </c>
      <c r="H989" s="15">
        <f t="shared" ca="1" si="157"/>
        <v>0.89549980591819556</v>
      </c>
      <c r="I989" s="14">
        <f ca="1">IF(G989&lt;0.05,1,0)*$B$1*$B$2</f>
        <v>0</v>
      </c>
      <c r="J989" s="14">
        <f ca="1">IF(H989&lt;0.05,1,0)*$B$1*$B$2</f>
        <v>0</v>
      </c>
      <c r="K989" s="15">
        <f t="shared" ca="1" si="158"/>
        <v>0</v>
      </c>
      <c r="P989" s="3">
        <v>985</v>
      </c>
      <c r="Q989" s="4">
        <f t="shared" ca="1" si="159"/>
        <v>0.52550284154246052</v>
      </c>
      <c r="R989" s="4">
        <f t="shared" ca="1" si="160"/>
        <v>0.89549980591819556</v>
      </c>
      <c r="S989" s="4">
        <f ca="1">$B$1*Q989*$B$2</f>
        <v>21.020113661698421</v>
      </c>
      <c r="T989" s="4">
        <f ca="1">$B$1*R989*$B$2</f>
        <v>35.819992236727828</v>
      </c>
      <c r="U989" s="7">
        <f t="shared" ca="1" si="161"/>
        <v>56.840105898426245</v>
      </c>
    </row>
    <row r="990" spans="2:21" x14ac:dyDescent="0.3">
      <c r="B990" s="13">
        <f t="shared" ca="1" si="152"/>
        <v>0.98906124006989371</v>
      </c>
      <c r="C990" s="14">
        <f t="shared" ca="1" si="152"/>
        <v>0.88490842836479611</v>
      </c>
      <c r="D990" s="14">
        <f t="shared" ca="1" si="153"/>
        <v>2.2924876418511846</v>
      </c>
      <c r="E990" s="14">
        <f t="shared" ca="1" si="154"/>
        <v>1.1998872219141707</v>
      </c>
      <c r="F990" s="14">
        <f t="shared" ca="1" si="155"/>
        <v>2.5862575920630295</v>
      </c>
      <c r="G990" s="14">
        <f t="shared" ca="1" si="156"/>
        <v>0.98906124006989371</v>
      </c>
      <c r="H990" s="15">
        <f t="shared" ca="1" si="157"/>
        <v>0.88490842836479611</v>
      </c>
      <c r="I990" s="14">
        <f ca="1">IF(G990&lt;0.05,1,0)*$B$1*$B$2</f>
        <v>0</v>
      </c>
      <c r="J990" s="14">
        <f ca="1">IF(H990&lt;0.05,1,0)*$B$1*$B$2</f>
        <v>0</v>
      </c>
      <c r="K990" s="15">
        <f t="shared" ca="1" si="158"/>
        <v>0</v>
      </c>
      <c r="P990" s="3">
        <v>986</v>
      </c>
      <c r="Q990" s="4">
        <f t="shared" ca="1" si="159"/>
        <v>0.98906124006989371</v>
      </c>
      <c r="R990" s="4">
        <f t="shared" ca="1" si="160"/>
        <v>0.88490842836479611</v>
      </c>
      <c r="S990" s="4">
        <f ca="1">$B$1*Q990*$B$2</f>
        <v>39.562449602795752</v>
      </c>
      <c r="T990" s="4">
        <f ca="1">$B$1*R990*$B$2</f>
        <v>35.396337134591846</v>
      </c>
      <c r="U990" s="7">
        <f t="shared" ca="1" si="161"/>
        <v>74.958786737387598</v>
      </c>
    </row>
    <row r="991" spans="2:21" x14ac:dyDescent="0.3">
      <c r="B991" s="13">
        <f t="shared" ca="1" si="152"/>
        <v>0.57240909759319658</v>
      </c>
      <c r="C991" s="14">
        <f t="shared" ca="1" si="152"/>
        <v>8.9351008871622506E-2</v>
      </c>
      <c r="D991" s="14">
        <f t="shared" ca="1" si="153"/>
        <v>0.18251089521246161</v>
      </c>
      <c r="E991" s="14">
        <f t="shared" ca="1" si="154"/>
        <v>-1.3447622714395744</v>
      </c>
      <c r="F991" s="14">
        <f t="shared" ca="1" si="155"/>
        <v>-0.42190847873791615</v>
      </c>
      <c r="G991" s="14">
        <f t="shared" ca="1" si="156"/>
        <v>0.57240909759319658</v>
      </c>
      <c r="H991" s="15">
        <f t="shared" ca="1" si="157"/>
        <v>8.9351008871622464E-2</v>
      </c>
      <c r="I991" s="14">
        <f ca="1">IF(G991&lt;0.05,1,0)*$B$1*$B$2</f>
        <v>0</v>
      </c>
      <c r="J991" s="14">
        <f ca="1">IF(H991&lt;0.05,1,0)*$B$1*$B$2</f>
        <v>0</v>
      </c>
      <c r="K991" s="15">
        <f t="shared" ca="1" si="158"/>
        <v>0</v>
      </c>
      <c r="P991" s="3">
        <v>987</v>
      </c>
      <c r="Q991" s="4">
        <f t="shared" ca="1" si="159"/>
        <v>0.57240909759319658</v>
      </c>
      <c r="R991" s="4">
        <f t="shared" ca="1" si="160"/>
        <v>8.9351008871622464E-2</v>
      </c>
      <c r="S991" s="4">
        <f ca="1">$B$1*Q991*$B$2</f>
        <v>22.896363903727863</v>
      </c>
      <c r="T991" s="4">
        <f ca="1">$B$1*R991*$B$2</f>
        <v>3.5740403548648985</v>
      </c>
      <c r="U991" s="7">
        <f t="shared" ca="1" si="161"/>
        <v>26.470404258592762</v>
      </c>
    </row>
    <row r="992" spans="2:21" x14ac:dyDescent="0.3">
      <c r="B992" s="13">
        <f t="shared" ca="1" si="152"/>
        <v>0.29942750997405332</v>
      </c>
      <c r="C992" s="14">
        <f t="shared" ca="1" si="152"/>
        <v>0.21356143622121282</v>
      </c>
      <c r="D992" s="14">
        <f t="shared" ca="1" si="153"/>
        <v>-0.52604776537122866</v>
      </c>
      <c r="E992" s="14">
        <f t="shared" ca="1" si="154"/>
        <v>-0.79412464348863432</v>
      </c>
      <c r="F992" s="14">
        <f t="shared" ca="1" si="155"/>
        <v>-0.81959389578832798</v>
      </c>
      <c r="G992" s="14">
        <f t="shared" ca="1" si="156"/>
        <v>0.29942750997405321</v>
      </c>
      <c r="H992" s="15">
        <f t="shared" ca="1" si="157"/>
        <v>0.21356143622121299</v>
      </c>
      <c r="I992" s="14">
        <f ca="1">IF(G992&lt;0.05,1,0)*$B$1*$B$2</f>
        <v>0</v>
      </c>
      <c r="J992" s="14">
        <f ca="1">IF(H992&lt;0.05,1,0)*$B$1*$B$2</f>
        <v>0</v>
      </c>
      <c r="K992" s="15">
        <f t="shared" ca="1" si="158"/>
        <v>0</v>
      </c>
      <c r="P992" s="3">
        <v>988</v>
      </c>
      <c r="Q992" s="4">
        <f t="shared" ca="1" si="159"/>
        <v>0.29942750997405321</v>
      </c>
      <c r="R992" s="4">
        <f t="shared" ca="1" si="160"/>
        <v>0.21356143622121299</v>
      </c>
      <c r="S992" s="4">
        <f ca="1">$B$1*Q992*$B$2</f>
        <v>11.977100398962129</v>
      </c>
      <c r="T992" s="4">
        <f ca="1">$B$1*R992*$B$2</f>
        <v>8.5424574488485199</v>
      </c>
      <c r="U992" s="7">
        <f t="shared" ca="1" si="161"/>
        <v>20.519557847810649</v>
      </c>
    </row>
    <row r="993" spans="2:21" x14ac:dyDescent="0.3">
      <c r="B993" s="13">
        <f t="shared" ca="1" si="152"/>
        <v>3.6420181807595875E-2</v>
      </c>
      <c r="C993" s="14">
        <f t="shared" ca="1" si="152"/>
        <v>0.89285177563585871</v>
      </c>
      <c r="D993" s="14">
        <f t="shared" ca="1" si="153"/>
        <v>-1.793829645477768</v>
      </c>
      <c r="E993" s="14">
        <f t="shared" ca="1" si="154"/>
        <v>1.2418377032138384</v>
      </c>
      <c r="F993" s="14">
        <f t="shared" ca="1" si="155"/>
        <v>-1.0731421756712138</v>
      </c>
      <c r="G993" s="14">
        <f t="shared" ca="1" si="156"/>
        <v>3.642018180759584E-2</v>
      </c>
      <c r="H993" s="15">
        <f t="shared" ca="1" si="157"/>
        <v>0.89285177563585882</v>
      </c>
      <c r="I993" s="14">
        <f ca="1">IF(G993&lt;0.05,1,0)*$B$1*$B$2</f>
        <v>40</v>
      </c>
      <c r="J993" s="14">
        <f ca="1">IF(H993&lt;0.05,1,0)*$B$1*$B$2</f>
        <v>0</v>
      </c>
      <c r="K993" s="15">
        <f t="shared" ca="1" si="158"/>
        <v>40</v>
      </c>
      <c r="P993" s="3">
        <v>989</v>
      </c>
      <c r="Q993" s="4">
        <f t="shared" ca="1" si="159"/>
        <v>3.642018180759584E-2</v>
      </c>
      <c r="R993" s="4">
        <f t="shared" ca="1" si="160"/>
        <v>0.89285177563585882</v>
      </c>
      <c r="S993" s="4">
        <f ca="1">$B$1*Q993*$B$2</f>
        <v>1.4568072723038337</v>
      </c>
      <c r="T993" s="4">
        <f ca="1">$B$1*R993*$B$2</f>
        <v>35.71407102543435</v>
      </c>
      <c r="U993" s="7">
        <f t="shared" ca="1" si="161"/>
        <v>37.170878297738184</v>
      </c>
    </row>
    <row r="994" spans="2:21" x14ac:dyDescent="0.3">
      <c r="B994" s="13">
        <f t="shared" ca="1" si="152"/>
        <v>0.69618179366757016</v>
      </c>
      <c r="C994" s="14">
        <f t="shared" ca="1" si="152"/>
        <v>0.39834068174071691</v>
      </c>
      <c r="D994" s="14">
        <f t="shared" ca="1" si="153"/>
        <v>0.51345023604529727</v>
      </c>
      <c r="E994" s="14">
        <f t="shared" ca="1" si="154"/>
        <v>-0.25764439541656742</v>
      </c>
      <c r="F994" s="14">
        <f t="shared" ca="1" si="155"/>
        <v>0.34980062414172247</v>
      </c>
      <c r="G994" s="14">
        <f t="shared" ca="1" si="156"/>
        <v>0.69618179366757016</v>
      </c>
      <c r="H994" s="15">
        <f t="shared" ca="1" si="157"/>
        <v>0.39834068174071691</v>
      </c>
      <c r="I994" s="14">
        <f ca="1">IF(G994&lt;0.05,1,0)*$B$1*$B$2</f>
        <v>0</v>
      </c>
      <c r="J994" s="14">
        <f ca="1">IF(H994&lt;0.05,1,0)*$B$1*$B$2</f>
        <v>0</v>
      </c>
      <c r="K994" s="15">
        <f t="shared" ca="1" si="158"/>
        <v>0</v>
      </c>
      <c r="P994" s="3">
        <v>990</v>
      </c>
      <c r="Q994" s="4">
        <f t="shared" ca="1" si="159"/>
        <v>0.69618179366757016</v>
      </c>
      <c r="R994" s="4">
        <f t="shared" ca="1" si="160"/>
        <v>0.39834068174071691</v>
      </c>
      <c r="S994" s="4">
        <f ca="1">$B$1*Q994*$B$2</f>
        <v>27.847271746702809</v>
      </c>
      <c r="T994" s="4">
        <f ca="1">$B$1*R994*$B$2</f>
        <v>15.933627269628676</v>
      </c>
      <c r="U994" s="7">
        <f t="shared" ca="1" si="161"/>
        <v>43.780899016331489</v>
      </c>
    </row>
    <row r="995" spans="2:21" x14ac:dyDescent="0.3">
      <c r="B995" s="13">
        <f t="shared" ca="1" si="152"/>
        <v>0.57944648028357515</v>
      </c>
      <c r="C995" s="14">
        <f t="shared" ca="1" si="152"/>
        <v>0.40308547891510216</v>
      </c>
      <c r="D995" s="14">
        <f t="shared" ca="1" si="153"/>
        <v>0.20047764547354702</v>
      </c>
      <c r="E995" s="14">
        <f t="shared" ca="1" si="154"/>
        <v>-0.24536870554603568</v>
      </c>
      <c r="F995" s="14">
        <f t="shared" ca="1" si="155"/>
        <v>7.34761417879366E-2</v>
      </c>
      <c r="G995" s="14">
        <f t="shared" ca="1" si="156"/>
        <v>0.57944648028357515</v>
      </c>
      <c r="H995" s="15">
        <f t="shared" ca="1" si="157"/>
        <v>0.4030854789151021</v>
      </c>
      <c r="I995" s="14">
        <f ca="1">IF(G995&lt;0.05,1,0)*$B$1*$B$2</f>
        <v>0</v>
      </c>
      <c r="J995" s="14">
        <f ca="1">IF(H995&lt;0.05,1,0)*$B$1*$B$2</f>
        <v>0</v>
      </c>
      <c r="K995" s="15">
        <f t="shared" ca="1" si="158"/>
        <v>0</v>
      </c>
      <c r="P995" s="3">
        <v>991</v>
      </c>
      <c r="Q995" s="4">
        <f t="shared" ca="1" si="159"/>
        <v>0.57944648028357515</v>
      </c>
      <c r="R995" s="4">
        <f t="shared" ca="1" si="160"/>
        <v>0.4030854789151021</v>
      </c>
      <c r="S995" s="4">
        <f ca="1">$B$1*Q995*$B$2</f>
        <v>23.177859211343005</v>
      </c>
      <c r="T995" s="4">
        <f ca="1">$B$1*R995*$B$2</f>
        <v>16.123419156604083</v>
      </c>
      <c r="U995" s="7">
        <f t="shared" ca="1" si="161"/>
        <v>39.301278367947091</v>
      </c>
    </row>
    <row r="996" spans="2:21" x14ac:dyDescent="0.3">
      <c r="B996" s="13">
        <f t="shared" ca="1" si="152"/>
        <v>0.59877235259013528</v>
      </c>
      <c r="C996" s="14">
        <f t="shared" ca="1" si="152"/>
        <v>0.14524437733186235</v>
      </c>
      <c r="D996" s="14">
        <f t="shared" ca="1" si="153"/>
        <v>0.25017076224812984</v>
      </c>
      <c r="E996" s="14">
        <f t="shared" ca="1" si="154"/>
        <v>-1.0570500308112265</v>
      </c>
      <c r="F996" s="14">
        <f t="shared" ca="1" si="155"/>
        <v>-0.2356037402339522</v>
      </c>
      <c r="G996" s="14">
        <f t="shared" ca="1" si="156"/>
        <v>0.59877235259013539</v>
      </c>
      <c r="H996" s="15">
        <f t="shared" ca="1" si="157"/>
        <v>0.14524437733186224</v>
      </c>
      <c r="I996" s="14">
        <f ca="1">IF(G996&lt;0.05,1,0)*$B$1*$B$2</f>
        <v>0</v>
      </c>
      <c r="J996" s="14">
        <f ca="1">IF(H996&lt;0.05,1,0)*$B$1*$B$2</f>
        <v>0</v>
      </c>
      <c r="K996" s="15">
        <f t="shared" ca="1" si="158"/>
        <v>0</v>
      </c>
      <c r="P996" s="3">
        <v>992</v>
      </c>
      <c r="Q996" s="4">
        <f t="shared" ca="1" si="159"/>
        <v>0.59877235259013539</v>
      </c>
      <c r="R996" s="4">
        <f t="shared" ca="1" si="160"/>
        <v>0.14524437733186224</v>
      </c>
      <c r="S996" s="4">
        <f ca="1">$B$1*Q996*$B$2</f>
        <v>23.950894103605417</v>
      </c>
      <c r="T996" s="4">
        <f ca="1">$B$1*R996*$B$2</f>
        <v>5.8097750932744896</v>
      </c>
      <c r="U996" s="7">
        <f t="shared" ca="1" si="161"/>
        <v>29.760669196879906</v>
      </c>
    </row>
    <row r="997" spans="2:21" x14ac:dyDescent="0.3">
      <c r="B997" s="13">
        <f t="shared" ca="1" si="152"/>
        <v>0.68361627703692129</v>
      </c>
      <c r="C997" s="14">
        <f t="shared" ca="1" si="152"/>
        <v>0.66446455549268879</v>
      </c>
      <c r="D997" s="14">
        <f t="shared" ca="1" si="153"/>
        <v>0.47783528368757189</v>
      </c>
      <c r="E997" s="14">
        <f t="shared" ca="1" si="154"/>
        <v>0.42467873317823968</v>
      </c>
      <c r="F997" s="14">
        <f t="shared" ca="1" si="155"/>
        <v>0.61516492345829676</v>
      </c>
      <c r="G997" s="14">
        <f t="shared" ca="1" si="156"/>
        <v>0.6836162770369214</v>
      </c>
      <c r="H997" s="15">
        <f t="shared" ca="1" si="157"/>
        <v>0.6644645554926889</v>
      </c>
      <c r="I997" s="14">
        <f ca="1">IF(G997&lt;0.05,1,0)*$B$1*$B$2</f>
        <v>0</v>
      </c>
      <c r="J997" s="14">
        <f ca="1">IF(H997&lt;0.05,1,0)*$B$1*$B$2</f>
        <v>0</v>
      </c>
      <c r="K997" s="15">
        <f t="shared" ca="1" si="158"/>
        <v>0</v>
      </c>
      <c r="P997" s="3">
        <v>993</v>
      </c>
      <c r="Q997" s="4">
        <f t="shared" ca="1" si="159"/>
        <v>0.6836162770369214</v>
      </c>
      <c r="R997" s="4">
        <f t="shared" ca="1" si="160"/>
        <v>0.6644645554926889</v>
      </c>
      <c r="S997" s="4">
        <f ca="1">$B$1*Q997*$B$2</f>
        <v>27.344651081476854</v>
      </c>
      <c r="T997" s="4">
        <f ca="1">$B$1*R997*$B$2</f>
        <v>26.578582219707556</v>
      </c>
      <c r="U997" s="7">
        <f t="shared" ca="1" si="161"/>
        <v>53.92323330118441</v>
      </c>
    </row>
    <row r="998" spans="2:21" x14ac:dyDescent="0.3">
      <c r="B998" s="13">
        <f t="shared" ca="1" si="152"/>
        <v>0.12986770845410334</v>
      </c>
      <c r="C998" s="14">
        <f t="shared" ca="1" si="152"/>
        <v>0.95128842815212078</v>
      </c>
      <c r="D998" s="14">
        <f t="shared" ca="1" si="153"/>
        <v>-1.127016707998759</v>
      </c>
      <c r="E998" s="14">
        <f t="shared" ca="1" si="154"/>
        <v>1.6574766607792795</v>
      </c>
      <c r="F998" s="14">
        <f t="shared" ca="1" si="155"/>
        <v>-0.29183771063747088</v>
      </c>
      <c r="G998" s="14">
        <f t="shared" ca="1" si="156"/>
        <v>0.12986770845410325</v>
      </c>
      <c r="H998" s="15">
        <f t="shared" ca="1" si="157"/>
        <v>0.95128842815212078</v>
      </c>
      <c r="I998" s="14">
        <f ca="1">IF(G998&lt;0.05,1,0)*$B$1*$B$2</f>
        <v>0</v>
      </c>
      <c r="J998" s="14">
        <f ca="1">IF(H998&lt;0.05,1,0)*$B$1*$B$2</f>
        <v>0</v>
      </c>
      <c r="K998" s="15">
        <f t="shared" ca="1" si="158"/>
        <v>0</v>
      </c>
      <c r="P998" s="3">
        <v>994</v>
      </c>
      <c r="Q998" s="4">
        <f t="shared" ca="1" si="159"/>
        <v>0.12986770845410325</v>
      </c>
      <c r="R998" s="4">
        <f t="shared" ca="1" si="160"/>
        <v>0.95128842815212078</v>
      </c>
      <c r="S998" s="4">
        <f ca="1">$B$1*Q998*$B$2</f>
        <v>5.1947083381641299</v>
      </c>
      <c r="T998" s="4">
        <f ca="1">$B$1*R998*$B$2</f>
        <v>38.051537126084831</v>
      </c>
      <c r="U998" s="7">
        <f t="shared" ca="1" si="161"/>
        <v>43.246245464248958</v>
      </c>
    </row>
    <row r="999" spans="2:21" x14ac:dyDescent="0.3">
      <c r="B999" s="13">
        <f t="shared" ca="1" si="152"/>
        <v>0.57500427814578603</v>
      </c>
      <c r="C999" s="14">
        <f t="shared" ca="1" si="152"/>
        <v>0.22325597789206597</v>
      </c>
      <c r="D999" s="14">
        <f t="shared" ca="1" si="153"/>
        <v>0.1891293435013531</v>
      </c>
      <c r="E999" s="14">
        <f t="shared" ca="1" si="154"/>
        <v>-0.76124297206557923</v>
      </c>
      <c r="F999" s="14">
        <f t="shared" ca="1" si="155"/>
        <v>-0.16160170952022371</v>
      </c>
      <c r="G999" s="14">
        <f t="shared" ca="1" si="156"/>
        <v>0.57500427814578603</v>
      </c>
      <c r="H999" s="15">
        <f t="shared" ca="1" si="157"/>
        <v>0.22325597789206597</v>
      </c>
      <c r="I999" s="14">
        <f ca="1">IF(G999&lt;0.05,1,0)*$B$1*$B$2</f>
        <v>0</v>
      </c>
      <c r="J999" s="14">
        <f ca="1">IF(H999&lt;0.05,1,0)*$B$1*$B$2</f>
        <v>0</v>
      </c>
      <c r="K999" s="15">
        <f t="shared" ca="1" si="158"/>
        <v>0</v>
      </c>
      <c r="P999" s="3">
        <v>995</v>
      </c>
      <c r="Q999" s="4">
        <f t="shared" ca="1" si="159"/>
        <v>0.57500427814578603</v>
      </c>
      <c r="R999" s="4">
        <f t="shared" ca="1" si="160"/>
        <v>0.22325597789206597</v>
      </c>
      <c r="S999" s="4">
        <f ca="1">$B$1*Q999*$B$2</f>
        <v>23.000171125831443</v>
      </c>
      <c r="T999" s="4">
        <f ca="1">$B$1*R999*$B$2</f>
        <v>8.9302391156826388</v>
      </c>
      <c r="U999" s="7">
        <f t="shared" ca="1" si="161"/>
        <v>31.930410241514082</v>
      </c>
    </row>
    <row r="1000" spans="2:21" x14ac:dyDescent="0.3">
      <c r="B1000" s="13">
        <f t="shared" ca="1" si="152"/>
        <v>0.60621241807834159</v>
      </c>
      <c r="C1000" s="14">
        <f t="shared" ca="1" si="152"/>
        <v>0.62324410888784787</v>
      </c>
      <c r="D1000" s="14">
        <f t="shared" ca="1" si="153"/>
        <v>0.26946072221783213</v>
      </c>
      <c r="E1000" s="14">
        <f t="shared" ca="1" si="154"/>
        <v>0.31401218763247535</v>
      </c>
      <c r="F1000" s="14">
        <f t="shared" ca="1" si="155"/>
        <v>0.37938938928905813</v>
      </c>
      <c r="G1000" s="14">
        <f t="shared" ca="1" si="156"/>
        <v>0.60621241807834159</v>
      </c>
      <c r="H1000" s="15">
        <f t="shared" ca="1" si="157"/>
        <v>0.62324410888784787</v>
      </c>
      <c r="I1000" s="14">
        <f ca="1">IF(G1000&lt;0.05,1,0)*$B$1*$B$2</f>
        <v>0</v>
      </c>
      <c r="J1000" s="14">
        <f ca="1">IF(H1000&lt;0.05,1,0)*$B$1*$B$2</f>
        <v>0</v>
      </c>
      <c r="K1000" s="15">
        <f t="shared" ca="1" si="158"/>
        <v>0</v>
      </c>
      <c r="P1000" s="3">
        <v>996</v>
      </c>
      <c r="Q1000" s="4">
        <f t="shared" ca="1" si="159"/>
        <v>0.60621241807834159</v>
      </c>
      <c r="R1000" s="4">
        <f t="shared" ca="1" si="160"/>
        <v>0.62324410888784787</v>
      </c>
      <c r="S1000" s="4">
        <f ca="1">$B$1*Q1000*$B$2</f>
        <v>24.248496723133666</v>
      </c>
      <c r="T1000" s="4">
        <f ca="1">$B$1*R1000*$B$2</f>
        <v>24.929764355513917</v>
      </c>
      <c r="U1000" s="7">
        <f t="shared" ca="1" si="161"/>
        <v>49.17826107864758</v>
      </c>
    </row>
    <row r="1001" spans="2:21" x14ac:dyDescent="0.3">
      <c r="B1001" s="13">
        <f t="shared" ca="1" si="152"/>
        <v>0.84244654932363128</v>
      </c>
      <c r="C1001" s="14">
        <f t="shared" ca="1" si="152"/>
        <v>0.71051383765633513</v>
      </c>
      <c r="D1001" s="14">
        <f t="shared" ca="1" si="153"/>
        <v>1.0045638712827971</v>
      </c>
      <c r="E1001" s="14">
        <f t="shared" ca="1" si="154"/>
        <v>0.55488645862597052</v>
      </c>
      <c r="F1001" s="14">
        <f t="shared" ca="1" si="155"/>
        <v>1.1459768839834943</v>
      </c>
      <c r="G1001" s="14">
        <f t="shared" ca="1" si="156"/>
        <v>0.84244654932363061</v>
      </c>
      <c r="H1001" s="15">
        <f t="shared" ca="1" si="157"/>
        <v>0.71051383765633513</v>
      </c>
      <c r="I1001" s="14">
        <f ca="1">IF(G1001&lt;0.05,1,0)*$B$1*$B$2</f>
        <v>0</v>
      </c>
      <c r="J1001" s="14">
        <f ca="1">IF(H1001&lt;0.05,1,0)*$B$1*$B$2</f>
        <v>0</v>
      </c>
      <c r="K1001" s="15">
        <f t="shared" ca="1" si="158"/>
        <v>0</v>
      </c>
      <c r="P1001" s="3">
        <v>997</v>
      </c>
      <c r="Q1001" s="4">
        <f t="shared" ca="1" si="159"/>
        <v>0.84244654932363061</v>
      </c>
      <c r="R1001" s="4">
        <f t="shared" ca="1" si="160"/>
        <v>0.71051383765633513</v>
      </c>
      <c r="S1001" s="4">
        <f ca="1">$B$1*Q1001*$B$2</f>
        <v>33.697861972945226</v>
      </c>
      <c r="T1001" s="4">
        <f ca="1">$B$1*R1001*$B$2</f>
        <v>28.420553506253409</v>
      </c>
      <c r="U1001" s="7">
        <f t="shared" ca="1" si="161"/>
        <v>62.118415479198632</v>
      </c>
    </row>
    <row r="1002" spans="2:21" x14ac:dyDescent="0.3">
      <c r="B1002" s="13">
        <f t="shared" ca="1" si="152"/>
        <v>0.64572400694153587</v>
      </c>
      <c r="C1002" s="14">
        <f t="shared" ca="1" si="152"/>
        <v>0.33324941194935687</v>
      </c>
      <c r="D1002" s="14">
        <f t="shared" ca="1" si="153"/>
        <v>0.37380152327045607</v>
      </c>
      <c r="E1002" s="14">
        <f t="shared" ca="1" si="154"/>
        <v>-0.43095811780075127</v>
      </c>
      <c r="F1002" s="14">
        <f t="shared" ca="1" si="155"/>
        <v>0.1485710825042133</v>
      </c>
      <c r="G1002" s="14">
        <f t="shared" ca="1" si="156"/>
        <v>0.64572400694153587</v>
      </c>
      <c r="H1002" s="15">
        <f t="shared" ca="1" si="157"/>
        <v>0.33324941194935687</v>
      </c>
      <c r="I1002" s="14">
        <f ca="1">IF(G1002&lt;0.05,1,0)*$B$1*$B$2</f>
        <v>0</v>
      </c>
      <c r="J1002" s="14">
        <f ca="1">IF(H1002&lt;0.05,1,0)*$B$1*$B$2</f>
        <v>0</v>
      </c>
      <c r="K1002" s="15">
        <f t="shared" ca="1" si="158"/>
        <v>0</v>
      </c>
      <c r="P1002" s="3">
        <v>998</v>
      </c>
      <c r="Q1002" s="4">
        <f t="shared" ca="1" si="159"/>
        <v>0.64572400694153587</v>
      </c>
      <c r="R1002" s="4">
        <f t="shared" ca="1" si="160"/>
        <v>0.33324941194935687</v>
      </c>
      <c r="S1002" s="4">
        <f ca="1">$B$1*Q1002*$B$2</f>
        <v>25.828960277661437</v>
      </c>
      <c r="T1002" s="4">
        <f ca="1">$B$1*R1002*$B$2</f>
        <v>13.329976477974277</v>
      </c>
      <c r="U1002" s="7">
        <f t="shared" ca="1" si="161"/>
        <v>39.158936755635715</v>
      </c>
    </row>
    <row r="1003" spans="2:21" x14ac:dyDescent="0.3">
      <c r="B1003" s="13">
        <f t="shared" ca="1" si="152"/>
        <v>0.82538468811927168</v>
      </c>
      <c r="C1003" s="14">
        <f t="shared" ca="1" si="152"/>
        <v>0.52299463791065126</v>
      </c>
      <c r="D1003" s="14">
        <f t="shared" ca="1" si="153"/>
        <v>0.93608267239381593</v>
      </c>
      <c r="E1003" s="14">
        <f t="shared" ca="1" si="154"/>
        <v>5.7670961967801526E-2</v>
      </c>
      <c r="F1003" s="14">
        <f t="shared" ca="1" si="155"/>
        <v>0.86761259467387686</v>
      </c>
      <c r="G1003" s="14">
        <f t="shared" ca="1" si="156"/>
        <v>0.82538468811927146</v>
      </c>
      <c r="H1003" s="15">
        <f t="shared" ca="1" si="157"/>
        <v>0.52299463791065126</v>
      </c>
      <c r="I1003" s="14">
        <f ca="1">IF(G1003&lt;0.05,1,0)*$B$1*$B$2</f>
        <v>0</v>
      </c>
      <c r="J1003" s="14">
        <f ca="1">IF(H1003&lt;0.05,1,0)*$B$1*$B$2</f>
        <v>0</v>
      </c>
      <c r="K1003" s="15">
        <f t="shared" ca="1" si="158"/>
        <v>0</v>
      </c>
      <c r="P1003" s="3">
        <v>999</v>
      </c>
      <c r="Q1003" s="4">
        <f t="shared" ca="1" si="159"/>
        <v>0.82538468811927146</v>
      </c>
      <c r="R1003" s="4">
        <f t="shared" ca="1" si="160"/>
        <v>0.52299463791065126</v>
      </c>
      <c r="S1003" s="4">
        <f ca="1">$B$1*Q1003*$B$2</f>
        <v>33.015387524770858</v>
      </c>
      <c r="T1003" s="4">
        <f ca="1">$B$1*R1003*$B$2</f>
        <v>20.919785516426053</v>
      </c>
      <c r="U1003" s="7">
        <f t="shared" ca="1" si="161"/>
        <v>53.935173041196911</v>
      </c>
    </row>
    <row r="1004" spans="2:21" ht="15" thickBot="1" x14ac:dyDescent="0.35">
      <c r="B1004" s="16">
        <f t="shared" ca="1" si="152"/>
        <v>0.37705178811560414</v>
      </c>
      <c r="C1004" s="17">
        <f t="shared" ca="1" si="152"/>
        <v>0.52376456527134718</v>
      </c>
      <c r="D1004" s="17">
        <f t="shared" ca="1" si="153"/>
        <v>-0.31323309529741694</v>
      </c>
      <c r="E1004" s="17">
        <f t="shared" ca="1" si="154"/>
        <v>5.9604204701956216E-2</v>
      </c>
      <c r="F1004" s="17">
        <f t="shared" ca="1" si="155"/>
        <v>-0.25592891527708139</v>
      </c>
      <c r="G1004" s="17">
        <f t="shared" ca="1" si="156"/>
        <v>0.37705178811560408</v>
      </c>
      <c r="H1004" s="18">
        <f t="shared" ca="1" si="157"/>
        <v>0.52376456527134718</v>
      </c>
      <c r="I1004" s="17">
        <f ca="1">IF(G1004&lt;0.05,1,0)*$B$1*$B$2</f>
        <v>0</v>
      </c>
      <c r="J1004" s="17">
        <f ca="1">IF(H1004&lt;0.05,1,0)*$B$1*$B$2</f>
        <v>0</v>
      </c>
      <c r="K1004" s="18">
        <f t="shared" ca="1" si="158"/>
        <v>0</v>
      </c>
      <c r="P1004" s="5">
        <v>1000</v>
      </c>
      <c r="Q1004" s="6">
        <f t="shared" ca="1" si="159"/>
        <v>0.37705178811560408</v>
      </c>
      <c r="R1004" s="6">
        <f t="shared" ca="1" si="160"/>
        <v>0.52376456527134718</v>
      </c>
      <c r="S1004" s="6">
        <f ca="1">$B$1*Q1004*$B$2</f>
        <v>15.082071524624164</v>
      </c>
      <c r="T1004" s="6">
        <f ca="1">$B$1*R1004*$B$2</f>
        <v>20.950582610853889</v>
      </c>
      <c r="U1004" s="8">
        <f t="shared" ca="1" si="161"/>
        <v>36.032654135478055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MCS_Gaussian_Copula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Rasane</dc:creator>
  <cp:lastModifiedBy>Abhishek Rasane</cp:lastModifiedBy>
  <dcterms:created xsi:type="dcterms:W3CDTF">2015-06-05T18:17:20Z</dcterms:created>
  <dcterms:modified xsi:type="dcterms:W3CDTF">2026-03-14T03:36:01Z</dcterms:modified>
</cp:coreProperties>
</file>