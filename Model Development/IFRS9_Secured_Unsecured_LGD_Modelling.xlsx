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bhishek\CRM\Self\IFRS9\ECL\LGD Term Structure\"/>
    </mc:Choice>
  </mc:AlternateContent>
  <xr:revisionPtr revIDLastSave="0" documentId="13_ncr:1_{D9649808-0265-4BC6-A83E-B33CEC1A7A6F}" xr6:coauthVersionLast="47" xr6:coauthVersionMax="47" xr10:uidLastSave="{00000000-0000-0000-0000-000000000000}"/>
  <bookViews>
    <workbookView xWindow="-108" yWindow="-108" windowWidth="23256" windowHeight="12456" tabRatio="990" activeTab="6" xr2:uid="{00000000-000D-0000-FFFF-FFFF00000000}"/>
  </bookViews>
  <sheets>
    <sheet name="Objectives" sheetId="1" r:id="rId1"/>
    <sheet name="MEF" sheetId="2" r:id="rId2"/>
    <sheet name="LGD_Chain Ladder" sheetId="4" r:id="rId3"/>
    <sheet name="Frye-Jacobs" sheetId="5" r:id="rId4"/>
    <sheet name="LGD Unsecured" sheetId="6" r:id="rId5"/>
    <sheet name="EAD Amort schedule" sheetId="8" r:id="rId6"/>
    <sheet name="LGD_Secured" sheetId="9" r:id="rId7"/>
    <sheet name="Sheet 1" sheetId="7" r:id="rId8"/>
    <sheet name="Sheet 2" sheetId="3" r:id="rId9"/>
    <sheet name="Sheet 3" sheetId="10" r:id="rId10"/>
    <sheet name="Sheet 4" sheetId="11" r:id="rId11"/>
  </sheets>
  <calcPr calcId="191029"/>
</workbook>
</file>

<file path=xl/calcChain.xml><?xml version="1.0" encoding="utf-8"?>
<calcChain xmlns="http://schemas.openxmlformats.org/spreadsheetml/2006/main">
  <c r="AM13" i="9" l="1"/>
  <c r="AM14" i="9" s="1"/>
  <c r="AM16" i="9" s="1"/>
  <c r="AL13" i="9"/>
  <c r="AL14" i="9" s="1"/>
  <c r="AL16" i="9" s="1"/>
  <c r="AK13" i="9"/>
  <c r="AK14" i="9" s="1"/>
  <c r="AK16" i="9" s="1"/>
  <c r="AJ13" i="9"/>
  <c r="AJ14" i="9" s="1"/>
  <c r="AJ16" i="9" s="1"/>
  <c r="AI13" i="9"/>
  <c r="AI14" i="9" s="1"/>
  <c r="AI16" i="9" s="1"/>
  <c r="AH13" i="9"/>
  <c r="AH14" i="9" s="1"/>
  <c r="AH16" i="9" s="1"/>
  <c r="AG13" i="9"/>
  <c r="AG14" i="9" s="1"/>
  <c r="AG16" i="9" s="1"/>
  <c r="AF13" i="9"/>
  <c r="AF14" i="9" s="1"/>
  <c r="AF16" i="9" s="1"/>
  <c r="AE13" i="9"/>
  <c r="AE14" i="9" s="1"/>
  <c r="AE16" i="9" s="1"/>
  <c r="AD13" i="9"/>
  <c r="AD14" i="9" s="1"/>
  <c r="AD16" i="9" s="1"/>
  <c r="AC13" i="9"/>
  <c r="AC14" i="9" s="1"/>
  <c r="AC16" i="9" s="1"/>
  <c r="AB13" i="9"/>
  <c r="AB14" i="9" s="1"/>
  <c r="AB16" i="9" s="1"/>
  <c r="AA13" i="9"/>
  <c r="AA14" i="9" s="1"/>
  <c r="AA16" i="9" s="1"/>
  <c r="Z13" i="9"/>
  <c r="Z14" i="9" s="1"/>
  <c r="Z16" i="9" s="1"/>
  <c r="Y13" i="9"/>
  <c r="Y14" i="9" s="1"/>
  <c r="Y16" i="9" s="1"/>
  <c r="X13" i="9"/>
  <c r="X14" i="9" s="1"/>
  <c r="X16" i="9" s="1"/>
  <c r="W13" i="9"/>
  <c r="W14" i="9" s="1"/>
  <c r="W16" i="9" s="1"/>
  <c r="V13" i="9"/>
  <c r="V14" i="9" s="1"/>
  <c r="V16" i="9" s="1"/>
  <c r="U13" i="9"/>
  <c r="U14" i="9" s="1"/>
  <c r="U16" i="9" s="1"/>
  <c r="T13" i="9"/>
  <c r="T14" i="9" s="1"/>
  <c r="T16" i="9" s="1"/>
  <c r="S13" i="9"/>
  <c r="S14" i="9" s="1"/>
  <c r="S16" i="9" s="1"/>
  <c r="R13" i="9"/>
  <c r="R14" i="9" s="1"/>
  <c r="R16" i="9" s="1"/>
  <c r="Q13" i="9"/>
  <c r="Q14" i="9" s="1"/>
  <c r="Q16" i="9" s="1"/>
  <c r="P13" i="9"/>
  <c r="P14" i="9" s="1"/>
  <c r="P16" i="9" s="1"/>
  <c r="O13" i="9"/>
  <c r="O14" i="9" s="1"/>
  <c r="O16" i="9" s="1"/>
  <c r="N13" i="9"/>
  <c r="N14" i="9" s="1"/>
  <c r="N16" i="9" s="1"/>
  <c r="M13" i="9"/>
  <c r="M14" i="9" s="1"/>
  <c r="M16" i="9" s="1"/>
  <c r="L13" i="9"/>
  <c r="L14" i="9" s="1"/>
  <c r="L16" i="9" s="1"/>
  <c r="K13" i="9"/>
  <c r="K14" i="9" s="1"/>
  <c r="K16" i="9" s="1"/>
  <c r="J13" i="9"/>
  <c r="J14" i="9" s="1"/>
  <c r="J16" i="9" s="1"/>
  <c r="I13" i="9"/>
  <c r="I14" i="9" s="1"/>
  <c r="I16" i="9" s="1"/>
  <c r="H13" i="9"/>
  <c r="H14" i="9" s="1"/>
  <c r="H16" i="9" s="1"/>
  <c r="G13" i="9"/>
  <c r="G14" i="9" s="1"/>
  <c r="G16" i="9" s="1"/>
  <c r="F13" i="9"/>
  <c r="F14" i="9" s="1"/>
  <c r="F16" i="9" s="1"/>
  <c r="E13" i="9"/>
  <c r="E14" i="9" s="1"/>
  <c r="E16" i="9" s="1"/>
  <c r="D13" i="9"/>
  <c r="D14" i="9" s="1"/>
  <c r="D16" i="9" s="1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K126" i="8"/>
  <c r="K123" i="8"/>
  <c r="K120" i="8"/>
  <c r="K117" i="8"/>
  <c r="K114" i="8"/>
  <c r="K111" i="8"/>
  <c r="K108" i="8"/>
  <c r="K105" i="8"/>
  <c r="K102" i="8"/>
  <c r="K99" i="8"/>
  <c r="K96" i="8"/>
  <c r="K93" i="8"/>
  <c r="K90" i="8"/>
  <c r="K87" i="8"/>
  <c r="K84" i="8"/>
  <c r="K81" i="8"/>
  <c r="K78" i="8"/>
  <c r="K75" i="8"/>
  <c r="K72" i="8"/>
  <c r="K69" i="8"/>
  <c r="K66" i="8"/>
  <c r="K63" i="8"/>
  <c r="K60" i="8"/>
  <c r="K57" i="8"/>
  <c r="K54" i="8"/>
  <c r="K51" i="8"/>
  <c r="K48" i="8"/>
  <c r="K45" i="8"/>
  <c r="K42" i="8"/>
  <c r="K39" i="8"/>
  <c r="K36" i="8"/>
  <c r="K33" i="8"/>
  <c r="K30" i="8"/>
  <c r="K27" i="8"/>
  <c r="K24" i="8"/>
  <c r="K21" i="8"/>
  <c r="K18" i="8"/>
  <c r="K15" i="8"/>
  <c r="K12" i="8"/>
  <c r="K9" i="8"/>
  <c r="E8" i="8"/>
  <c r="I8" i="8" s="1"/>
  <c r="E7" i="8"/>
  <c r="H7" i="8"/>
  <c r="I7" i="8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E18" i="6"/>
  <c r="E15" i="6"/>
  <c r="E13" i="6"/>
  <c r="E12" i="6"/>
  <c r="E11" i="6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D17" i="6"/>
  <c r="E17" i="6" s="1"/>
  <c r="D16" i="6"/>
  <c r="E16" i="6" s="1"/>
  <c r="D15" i="6"/>
  <c r="D14" i="6"/>
  <c r="E14" i="6" s="1"/>
  <c r="D13" i="6"/>
  <c r="D12" i="6"/>
  <c r="D11" i="6"/>
  <c r="D10" i="6"/>
  <c r="E10" i="6" s="1"/>
  <c r="J7" i="8" l="1"/>
  <c r="D8" i="8" s="1"/>
  <c r="C7" i="5"/>
  <c r="C68" i="4"/>
  <c r="C67" i="4"/>
  <c r="D66" i="4"/>
  <c r="C66" i="4"/>
  <c r="C70" i="4"/>
  <c r="C69" i="4"/>
  <c r="C65" i="4"/>
  <c r="C64" i="4"/>
  <c r="C63" i="4"/>
  <c r="C62" i="4"/>
  <c r="D61" i="4"/>
  <c r="C61" i="4"/>
  <c r="H29" i="4"/>
  <c r="H30" i="4"/>
  <c r="H31" i="4"/>
  <c r="H32" i="4"/>
  <c r="H33" i="4"/>
  <c r="G29" i="4"/>
  <c r="G30" i="4"/>
  <c r="G31" i="4"/>
  <c r="G32" i="4"/>
  <c r="G33" i="4"/>
  <c r="G34" i="4"/>
  <c r="F29" i="4"/>
  <c r="F30" i="4"/>
  <c r="F31" i="4"/>
  <c r="F32" i="4"/>
  <c r="F33" i="4"/>
  <c r="F34" i="4"/>
  <c r="F35" i="4"/>
  <c r="E29" i="4"/>
  <c r="E30" i="4"/>
  <c r="E31" i="4"/>
  <c r="E32" i="4"/>
  <c r="E33" i="4"/>
  <c r="E34" i="4"/>
  <c r="E35" i="4"/>
  <c r="E36" i="4"/>
  <c r="H28" i="4"/>
  <c r="G28" i="4"/>
  <c r="F28" i="4"/>
  <c r="E28" i="4"/>
  <c r="D28" i="4"/>
  <c r="D44" i="4" s="1"/>
  <c r="D29" i="4"/>
  <c r="D45" i="4" s="1"/>
  <c r="E45" i="4" s="1"/>
  <c r="E62" i="4" s="1"/>
  <c r="D30" i="4"/>
  <c r="D46" i="4" s="1"/>
  <c r="D63" i="4" s="1"/>
  <c r="D31" i="4"/>
  <c r="D47" i="4" s="1"/>
  <c r="E47" i="4" s="1"/>
  <c r="E64" i="4" s="1"/>
  <c r="D32" i="4"/>
  <c r="D48" i="4" s="1"/>
  <c r="E48" i="4" s="1"/>
  <c r="E65" i="4" s="1"/>
  <c r="D33" i="4"/>
  <c r="D49" i="4" s="1"/>
  <c r="D34" i="4"/>
  <c r="D50" i="4" s="1"/>
  <c r="E50" i="4" s="1"/>
  <c r="E67" i="4" s="1"/>
  <c r="D35" i="4"/>
  <c r="D51" i="4" s="1"/>
  <c r="D68" i="4" s="1"/>
  <c r="D36" i="4"/>
  <c r="D52" i="4" s="1"/>
  <c r="E52" i="4" s="1"/>
  <c r="E69" i="4" s="1"/>
  <c r="D37" i="4"/>
  <c r="D53" i="4" s="1"/>
  <c r="D70" i="4" s="1"/>
  <c r="D1" i="2"/>
  <c r="H8" i="8" l="1"/>
  <c r="J8" i="8"/>
  <c r="D9" i="8" s="1"/>
  <c r="E9" i="8" s="1"/>
  <c r="I9" i="8" s="1"/>
  <c r="D67" i="4"/>
  <c r="F45" i="4"/>
  <c r="D65" i="4"/>
  <c r="D64" i="4"/>
  <c r="D69" i="4"/>
  <c r="E49" i="4"/>
  <c r="E66" i="4" s="1"/>
  <c r="D62" i="4"/>
  <c r="F48" i="4"/>
  <c r="F65" i="4" s="1"/>
  <c r="E46" i="4"/>
  <c r="F47" i="4"/>
  <c r="F50" i="4"/>
  <c r="E51" i="4"/>
  <c r="E44" i="4"/>
  <c r="H9" i="8" l="1"/>
  <c r="J9" i="8"/>
  <c r="D10" i="8" s="1"/>
  <c r="E10" i="8" s="1"/>
  <c r="I10" i="8" s="1"/>
  <c r="G45" i="4"/>
  <c r="F62" i="4"/>
  <c r="F46" i="4"/>
  <c r="E63" i="4"/>
  <c r="G47" i="4"/>
  <c r="F64" i="4"/>
  <c r="G50" i="4"/>
  <c r="G67" i="4" s="1"/>
  <c r="F67" i="4"/>
  <c r="F49" i="4"/>
  <c r="E54" i="4"/>
  <c r="E70" i="4" s="1"/>
  <c r="F44" i="4"/>
  <c r="F61" i="4" s="1"/>
  <c r="E61" i="4"/>
  <c r="G48" i="4"/>
  <c r="F51" i="4"/>
  <c r="F68" i="4" s="1"/>
  <c r="E68" i="4"/>
  <c r="H10" i="8" l="1"/>
  <c r="J10" i="8"/>
  <c r="D11" i="8" s="1"/>
  <c r="E11" i="8" s="1"/>
  <c r="I11" i="8" s="1"/>
  <c r="H45" i="4"/>
  <c r="H62" i="4" s="1"/>
  <c r="I62" i="4" s="1"/>
  <c r="J62" i="4" s="1"/>
  <c r="G62" i="4"/>
  <c r="G49" i="4"/>
  <c r="F66" i="4"/>
  <c r="H48" i="4"/>
  <c r="H65" i="4" s="1"/>
  <c r="I65" i="4" s="1"/>
  <c r="J65" i="4" s="1"/>
  <c r="G65" i="4"/>
  <c r="F54" i="4"/>
  <c r="F69" i="4" s="1"/>
  <c r="G44" i="4"/>
  <c r="G61" i="4" s="1"/>
  <c r="H47" i="4"/>
  <c r="H64" i="4" s="1"/>
  <c r="I64" i="4" s="1"/>
  <c r="J64" i="4" s="1"/>
  <c r="G64" i="4"/>
  <c r="G46" i="4"/>
  <c r="F63" i="4"/>
  <c r="J11" i="8" l="1"/>
  <c r="D12" i="8" s="1"/>
  <c r="E12" i="8" s="1"/>
  <c r="I12" i="8" s="1"/>
  <c r="H11" i="8"/>
  <c r="H46" i="4"/>
  <c r="H63" i="4" s="1"/>
  <c r="I63" i="4" s="1"/>
  <c r="J63" i="4" s="1"/>
  <c r="G63" i="4"/>
  <c r="G54" i="4"/>
  <c r="G68" i="4" s="1"/>
  <c r="F70" i="4"/>
  <c r="H44" i="4"/>
  <c r="H49" i="4"/>
  <c r="H66" i="4" s="1"/>
  <c r="I66" i="4" s="1"/>
  <c r="J66" i="4" s="1"/>
  <c r="G66" i="4"/>
  <c r="J12" i="8" l="1"/>
  <c r="D13" i="8" s="1"/>
  <c r="E13" i="8" s="1"/>
  <c r="I13" i="8" s="1"/>
  <c r="H12" i="8"/>
  <c r="G70" i="4"/>
  <c r="H54" i="4"/>
  <c r="H67" i="4" s="1"/>
  <c r="I67" i="4" s="1"/>
  <c r="J67" i="4" s="1"/>
  <c r="H61" i="4"/>
  <c r="I61" i="4" s="1"/>
  <c r="J61" i="4" s="1"/>
  <c r="G69" i="4"/>
  <c r="H69" i="4" s="1"/>
  <c r="I69" i="4" s="1"/>
  <c r="J69" i="4" s="1"/>
  <c r="H13" i="8" l="1"/>
  <c r="J13" i="8"/>
  <c r="D14" i="8" s="1"/>
  <c r="E14" i="8" s="1"/>
  <c r="I14" i="8" s="1"/>
  <c r="J71" i="4"/>
  <c r="H68" i="4"/>
  <c r="I68" i="4" s="1"/>
  <c r="J68" i="4" s="1"/>
  <c r="H70" i="4"/>
  <c r="I70" i="4" s="1"/>
  <c r="J70" i="4" s="1"/>
  <c r="J14" i="8" l="1"/>
  <c r="D15" i="8" s="1"/>
  <c r="E15" i="8" s="1"/>
  <c r="I15" i="8" s="1"/>
  <c r="H14" i="8"/>
  <c r="H15" i="8" l="1"/>
  <c r="J15" i="8"/>
  <c r="D16" i="8" s="1"/>
  <c r="E16" i="8" s="1"/>
  <c r="I16" i="8" s="1"/>
  <c r="J16" i="8" l="1"/>
  <c r="D17" i="8" s="1"/>
  <c r="E17" i="8" s="1"/>
  <c r="I17" i="8" s="1"/>
  <c r="H16" i="8"/>
  <c r="J17" i="8" l="1"/>
  <c r="D18" i="8" s="1"/>
  <c r="E18" i="8" s="1"/>
  <c r="I18" i="8" s="1"/>
  <c r="H17" i="8"/>
  <c r="J18" i="8" l="1"/>
  <c r="D19" i="8" s="1"/>
  <c r="E19" i="8" s="1"/>
  <c r="I19" i="8" s="1"/>
  <c r="H18" i="8"/>
  <c r="J19" i="8" l="1"/>
  <c r="D20" i="8" s="1"/>
  <c r="E20" i="8" s="1"/>
  <c r="I20" i="8" s="1"/>
  <c r="H19" i="8"/>
  <c r="H20" i="8" l="1"/>
  <c r="J20" i="8"/>
  <c r="D21" i="8" s="1"/>
  <c r="E21" i="8" s="1"/>
  <c r="I21" i="8" s="1"/>
  <c r="H21" i="8" l="1"/>
  <c r="J21" i="8"/>
  <c r="D22" i="8" s="1"/>
  <c r="E22" i="8" s="1"/>
  <c r="I22" i="8" s="1"/>
  <c r="H22" i="8" l="1"/>
  <c r="J22" i="8"/>
  <c r="D23" i="8" s="1"/>
  <c r="E23" i="8" s="1"/>
  <c r="I23" i="8" s="1"/>
  <c r="H23" i="8" l="1"/>
  <c r="J23" i="8"/>
  <c r="D24" i="8" s="1"/>
  <c r="E24" i="8" s="1"/>
  <c r="I24" i="8" s="1"/>
  <c r="H24" i="8" l="1"/>
  <c r="J24" i="8"/>
  <c r="D25" i="8" s="1"/>
  <c r="E25" i="8" s="1"/>
  <c r="I25" i="8" s="1"/>
  <c r="J25" i="8" l="1"/>
  <c r="D26" i="8" s="1"/>
  <c r="E26" i="8" s="1"/>
  <c r="I26" i="8" s="1"/>
  <c r="H25" i="8"/>
  <c r="J26" i="8" l="1"/>
  <c r="D27" i="8" s="1"/>
  <c r="E27" i="8" s="1"/>
  <c r="I27" i="8" s="1"/>
  <c r="H26" i="8"/>
  <c r="J27" i="8" l="1"/>
  <c r="D28" i="8" s="1"/>
  <c r="E28" i="8" s="1"/>
  <c r="I28" i="8" s="1"/>
  <c r="H27" i="8"/>
  <c r="J28" i="8" l="1"/>
  <c r="D29" i="8" s="1"/>
  <c r="E29" i="8" s="1"/>
  <c r="I29" i="8" s="1"/>
  <c r="H28" i="8"/>
  <c r="J29" i="8" l="1"/>
  <c r="D30" i="8" s="1"/>
  <c r="E30" i="8" s="1"/>
  <c r="I30" i="8" s="1"/>
  <c r="H29" i="8"/>
  <c r="H30" i="8" l="1"/>
  <c r="J30" i="8"/>
  <c r="D31" i="8" s="1"/>
  <c r="E31" i="8" s="1"/>
  <c r="I31" i="8" s="1"/>
  <c r="H31" i="8" l="1"/>
  <c r="J31" i="8"/>
  <c r="D32" i="8" s="1"/>
  <c r="E32" i="8" s="1"/>
  <c r="I32" i="8" s="1"/>
  <c r="J32" i="8" l="1"/>
  <c r="D33" i="8" s="1"/>
  <c r="E33" i="8" s="1"/>
  <c r="I33" i="8" s="1"/>
  <c r="H32" i="8"/>
  <c r="J33" i="8" l="1"/>
  <c r="D34" i="8" s="1"/>
  <c r="E34" i="8" s="1"/>
  <c r="I34" i="8" s="1"/>
  <c r="H33" i="8"/>
  <c r="H34" i="8" l="1"/>
  <c r="J34" i="8"/>
  <c r="D35" i="8" s="1"/>
  <c r="E35" i="8" s="1"/>
  <c r="I35" i="8" s="1"/>
  <c r="H35" i="8" l="1"/>
  <c r="J35" i="8"/>
  <c r="D36" i="8" s="1"/>
  <c r="E36" i="8" s="1"/>
  <c r="I36" i="8" s="1"/>
  <c r="J36" i="8" l="1"/>
  <c r="D37" i="8" s="1"/>
  <c r="E37" i="8" s="1"/>
  <c r="I37" i="8" s="1"/>
  <c r="H36" i="8"/>
  <c r="H37" i="8" l="1"/>
  <c r="J37" i="8"/>
  <c r="D38" i="8" s="1"/>
  <c r="E38" i="8" s="1"/>
  <c r="I38" i="8" s="1"/>
  <c r="H38" i="8" l="1"/>
  <c r="J38" i="8"/>
  <c r="D39" i="8" s="1"/>
  <c r="E39" i="8" s="1"/>
  <c r="I39" i="8" s="1"/>
  <c r="H39" i="8" l="1"/>
  <c r="J39" i="8"/>
  <c r="D40" i="8" s="1"/>
  <c r="E40" i="8" s="1"/>
  <c r="I40" i="8" s="1"/>
  <c r="J40" i="8" l="1"/>
  <c r="D41" i="8" s="1"/>
  <c r="E41" i="8" s="1"/>
  <c r="I41" i="8" s="1"/>
  <c r="H40" i="8"/>
  <c r="J41" i="8" l="1"/>
  <c r="D42" i="8" s="1"/>
  <c r="E42" i="8" s="1"/>
  <c r="I42" i="8" s="1"/>
  <c r="H41" i="8"/>
  <c r="H42" i="8" l="1"/>
  <c r="J42" i="8"/>
  <c r="D43" i="8" s="1"/>
  <c r="E43" i="8" s="1"/>
  <c r="I43" i="8" s="1"/>
  <c r="J43" i="8" l="1"/>
  <c r="D44" i="8" s="1"/>
  <c r="E44" i="8" s="1"/>
  <c r="I44" i="8" s="1"/>
  <c r="H43" i="8"/>
  <c r="J44" i="8" l="1"/>
  <c r="D45" i="8" s="1"/>
  <c r="E45" i="8" s="1"/>
  <c r="I45" i="8" s="1"/>
  <c r="H44" i="8"/>
  <c r="J45" i="8" l="1"/>
  <c r="D46" i="8" s="1"/>
  <c r="E46" i="8" s="1"/>
  <c r="I46" i="8" s="1"/>
  <c r="H45" i="8"/>
  <c r="H46" i="8" l="1"/>
  <c r="J46" i="8"/>
  <c r="D47" i="8" s="1"/>
  <c r="E47" i="8" s="1"/>
  <c r="I47" i="8" s="1"/>
  <c r="H47" i="8" l="1"/>
  <c r="J47" i="8"/>
  <c r="D48" i="8" s="1"/>
  <c r="E48" i="8" s="1"/>
  <c r="I48" i="8" s="1"/>
  <c r="H48" i="8" l="1"/>
  <c r="J48" i="8"/>
  <c r="D49" i="8" s="1"/>
  <c r="E49" i="8" s="1"/>
  <c r="I49" i="8" s="1"/>
  <c r="J49" i="8" l="1"/>
  <c r="D50" i="8" s="1"/>
  <c r="E50" i="8" s="1"/>
  <c r="I50" i="8" s="1"/>
  <c r="H49" i="8"/>
  <c r="J50" i="8" l="1"/>
  <c r="D51" i="8" s="1"/>
  <c r="E51" i="8" s="1"/>
  <c r="I51" i="8" s="1"/>
  <c r="H50" i="8"/>
  <c r="H51" i="8" l="1"/>
  <c r="J51" i="8"/>
  <c r="D52" i="8" s="1"/>
  <c r="E52" i="8" s="1"/>
  <c r="I52" i="8" s="1"/>
  <c r="H52" i="8" l="1"/>
  <c r="J52" i="8"/>
  <c r="D53" i="8" s="1"/>
  <c r="E53" i="8" s="1"/>
  <c r="I53" i="8" s="1"/>
  <c r="J53" i="8" l="1"/>
  <c r="D54" i="8" s="1"/>
  <c r="E54" i="8" s="1"/>
  <c r="I54" i="8" s="1"/>
  <c r="H53" i="8"/>
  <c r="J54" i="8" l="1"/>
  <c r="D55" i="8" s="1"/>
  <c r="E55" i="8" s="1"/>
  <c r="I55" i="8" s="1"/>
  <c r="H54" i="8"/>
  <c r="J55" i="8" l="1"/>
  <c r="D56" i="8" s="1"/>
  <c r="E56" i="8" s="1"/>
  <c r="I56" i="8" s="1"/>
  <c r="H55" i="8"/>
  <c r="H56" i="8" l="1"/>
  <c r="J56" i="8"/>
  <c r="D57" i="8" s="1"/>
  <c r="E57" i="8" s="1"/>
  <c r="I57" i="8" s="1"/>
  <c r="H57" i="8" l="1"/>
  <c r="J57" i="8"/>
  <c r="D58" i="8" s="1"/>
  <c r="E58" i="8" s="1"/>
  <c r="I58" i="8" s="1"/>
  <c r="H58" i="8" l="1"/>
  <c r="J58" i="8"/>
  <c r="D59" i="8" s="1"/>
  <c r="E59" i="8" s="1"/>
  <c r="I59" i="8" s="1"/>
  <c r="J59" i="8" l="1"/>
  <c r="D60" i="8" s="1"/>
  <c r="E60" i="8" s="1"/>
  <c r="I60" i="8" s="1"/>
  <c r="H59" i="8"/>
  <c r="H60" i="8" l="1"/>
  <c r="J60" i="8"/>
  <c r="D61" i="8" s="1"/>
  <c r="E61" i="8" s="1"/>
  <c r="I61" i="8" s="1"/>
  <c r="J61" i="8" l="1"/>
  <c r="D62" i="8" s="1"/>
  <c r="E62" i="8" s="1"/>
  <c r="I62" i="8" s="1"/>
  <c r="H61" i="8"/>
  <c r="J62" i="8" l="1"/>
  <c r="D63" i="8" s="1"/>
  <c r="E63" i="8" s="1"/>
  <c r="I63" i="8" s="1"/>
  <c r="H62" i="8"/>
  <c r="J63" i="8" l="1"/>
  <c r="D64" i="8" s="1"/>
  <c r="E64" i="8" s="1"/>
  <c r="I64" i="8" s="1"/>
  <c r="H63" i="8"/>
  <c r="J64" i="8" l="1"/>
  <c r="D65" i="8" s="1"/>
  <c r="E65" i="8" s="1"/>
  <c r="I65" i="8" s="1"/>
  <c r="H64" i="8"/>
  <c r="J65" i="8" l="1"/>
  <c r="D66" i="8" s="1"/>
  <c r="E66" i="8" s="1"/>
  <c r="I66" i="8" s="1"/>
  <c r="H65" i="8"/>
  <c r="J66" i="8" l="1"/>
  <c r="D67" i="8" s="1"/>
  <c r="E67" i="8" s="1"/>
  <c r="I67" i="8" s="1"/>
  <c r="H66" i="8"/>
  <c r="H67" i="8" l="1"/>
  <c r="J67" i="8"/>
  <c r="D68" i="8" s="1"/>
  <c r="E68" i="8" s="1"/>
  <c r="I68" i="8" s="1"/>
  <c r="J68" i="8" l="1"/>
  <c r="D69" i="8" s="1"/>
  <c r="E69" i="8" s="1"/>
  <c r="I69" i="8" s="1"/>
  <c r="H68" i="8"/>
  <c r="J69" i="8" l="1"/>
  <c r="D70" i="8" s="1"/>
  <c r="E70" i="8" s="1"/>
  <c r="I70" i="8" s="1"/>
  <c r="H69" i="8"/>
  <c r="H70" i="8" l="1"/>
  <c r="J70" i="8"/>
  <c r="D71" i="8" s="1"/>
  <c r="E71" i="8" s="1"/>
  <c r="I71" i="8" s="1"/>
  <c r="J71" i="8" l="1"/>
  <c r="D72" i="8" s="1"/>
  <c r="E72" i="8" s="1"/>
  <c r="I72" i="8" s="1"/>
  <c r="H71" i="8"/>
  <c r="H72" i="8" l="1"/>
  <c r="J72" i="8"/>
  <c r="D73" i="8" s="1"/>
  <c r="E73" i="8" s="1"/>
  <c r="I73" i="8" s="1"/>
  <c r="J73" i="8" l="1"/>
  <c r="D74" i="8" s="1"/>
  <c r="E74" i="8" s="1"/>
  <c r="I74" i="8" s="1"/>
  <c r="H73" i="8"/>
  <c r="H74" i="8" l="1"/>
  <c r="J74" i="8"/>
  <c r="D75" i="8" s="1"/>
  <c r="E75" i="8" s="1"/>
  <c r="I75" i="8" s="1"/>
  <c r="J75" i="8" l="1"/>
  <c r="D76" i="8" s="1"/>
  <c r="E76" i="8" s="1"/>
  <c r="I76" i="8" s="1"/>
  <c r="H75" i="8"/>
  <c r="H76" i="8" l="1"/>
  <c r="J76" i="8"/>
  <c r="D77" i="8" s="1"/>
  <c r="E77" i="8" s="1"/>
  <c r="I77" i="8" s="1"/>
  <c r="H77" i="8" l="1"/>
  <c r="J77" i="8"/>
  <c r="D78" i="8" s="1"/>
  <c r="E78" i="8" s="1"/>
  <c r="I78" i="8" s="1"/>
  <c r="H78" i="8" l="1"/>
  <c r="J78" i="8"/>
  <c r="D79" i="8" s="1"/>
  <c r="E79" i="8" s="1"/>
  <c r="I79" i="8" s="1"/>
  <c r="H79" i="8" l="1"/>
  <c r="J79" i="8"/>
  <c r="D80" i="8" s="1"/>
  <c r="E80" i="8" s="1"/>
  <c r="I80" i="8" s="1"/>
  <c r="J80" i="8" l="1"/>
  <c r="D81" i="8" s="1"/>
  <c r="E81" i="8" s="1"/>
  <c r="I81" i="8" s="1"/>
  <c r="H80" i="8"/>
  <c r="J81" i="8" l="1"/>
  <c r="D82" i="8" s="1"/>
  <c r="E82" i="8" s="1"/>
  <c r="I82" i="8" s="1"/>
  <c r="H81" i="8"/>
  <c r="H82" i="8" l="1"/>
  <c r="J82" i="8"/>
  <c r="D83" i="8" s="1"/>
  <c r="E83" i="8" s="1"/>
  <c r="I83" i="8" s="1"/>
  <c r="H83" i="8" l="1"/>
  <c r="J83" i="8"/>
  <c r="D84" i="8" s="1"/>
  <c r="E84" i="8" s="1"/>
  <c r="I84" i="8" s="1"/>
  <c r="J84" i="8" l="1"/>
  <c r="D85" i="8" s="1"/>
  <c r="E85" i="8" s="1"/>
  <c r="I85" i="8" s="1"/>
  <c r="H84" i="8"/>
  <c r="H85" i="8" l="1"/>
  <c r="J85" i="8"/>
  <c r="D86" i="8" s="1"/>
  <c r="E86" i="8" s="1"/>
  <c r="I86" i="8" s="1"/>
  <c r="H86" i="8" l="1"/>
  <c r="J86" i="8"/>
  <c r="D87" i="8" s="1"/>
  <c r="E87" i="8" s="1"/>
  <c r="I87" i="8" s="1"/>
  <c r="H87" i="8" l="1"/>
  <c r="J87" i="8"/>
  <c r="D88" i="8" s="1"/>
  <c r="E88" i="8" s="1"/>
  <c r="I88" i="8" s="1"/>
  <c r="H88" i="8" l="1"/>
  <c r="J88" i="8"/>
  <c r="D89" i="8" s="1"/>
  <c r="E89" i="8" s="1"/>
  <c r="I89" i="8" s="1"/>
  <c r="H89" i="8" l="1"/>
  <c r="J89" i="8"/>
  <c r="D90" i="8" s="1"/>
  <c r="E90" i="8" s="1"/>
  <c r="I90" i="8" s="1"/>
  <c r="H90" i="8" l="1"/>
  <c r="J90" i="8"/>
  <c r="D91" i="8" s="1"/>
  <c r="E91" i="8" s="1"/>
  <c r="I91" i="8" s="1"/>
  <c r="J91" i="8" l="1"/>
  <c r="D92" i="8" s="1"/>
  <c r="E92" i="8" s="1"/>
  <c r="I92" i="8" s="1"/>
  <c r="H91" i="8"/>
  <c r="H92" i="8" l="1"/>
  <c r="J92" i="8"/>
  <c r="D93" i="8" s="1"/>
  <c r="E93" i="8" s="1"/>
  <c r="I93" i="8" s="1"/>
  <c r="J93" i="8" l="1"/>
  <c r="D94" i="8" s="1"/>
  <c r="E94" i="8" s="1"/>
  <c r="I94" i="8" s="1"/>
  <c r="H93" i="8"/>
  <c r="H94" i="8" l="1"/>
  <c r="J94" i="8"/>
  <c r="D95" i="8" s="1"/>
  <c r="E95" i="8" s="1"/>
  <c r="I95" i="8" s="1"/>
  <c r="J95" i="8" l="1"/>
  <c r="D96" i="8" s="1"/>
  <c r="E96" i="8" s="1"/>
  <c r="I96" i="8" s="1"/>
  <c r="H95" i="8"/>
  <c r="J96" i="8" l="1"/>
  <c r="D97" i="8" s="1"/>
  <c r="E97" i="8" s="1"/>
  <c r="I97" i="8" s="1"/>
  <c r="H96" i="8"/>
  <c r="J97" i="8" l="1"/>
  <c r="D98" i="8" s="1"/>
  <c r="E98" i="8" s="1"/>
  <c r="I98" i="8" s="1"/>
  <c r="H97" i="8"/>
  <c r="H98" i="8" l="1"/>
  <c r="J98" i="8"/>
  <c r="D99" i="8" s="1"/>
  <c r="E99" i="8" s="1"/>
  <c r="I99" i="8" s="1"/>
  <c r="H99" i="8" l="1"/>
  <c r="J99" i="8"/>
  <c r="D100" i="8" s="1"/>
  <c r="E100" i="8" s="1"/>
  <c r="I100" i="8" s="1"/>
  <c r="J100" i="8" l="1"/>
  <c r="D101" i="8" s="1"/>
  <c r="E101" i="8" s="1"/>
  <c r="I101" i="8" s="1"/>
  <c r="H100" i="8"/>
  <c r="H101" i="8" l="1"/>
  <c r="J101" i="8"/>
  <c r="D102" i="8" s="1"/>
  <c r="E102" i="8" s="1"/>
  <c r="I102" i="8" s="1"/>
  <c r="J102" i="8" l="1"/>
  <c r="D103" i="8" s="1"/>
  <c r="E103" i="8" s="1"/>
  <c r="I103" i="8" s="1"/>
  <c r="H102" i="8"/>
  <c r="J103" i="8" l="1"/>
  <c r="D104" i="8" s="1"/>
  <c r="E104" i="8" s="1"/>
  <c r="I104" i="8" s="1"/>
  <c r="H103" i="8"/>
  <c r="J104" i="8" l="1"/>
  <c r="D105" i="8" s="1"/>
  <c r="E105" i="8" s="1"/>
  <c r="I105" i="8" s="1"/>
  <c r="H104" i="8"/>
  <c r="J105" i="8" l="1"/>
  <c r="D106" i="8" s="1"/>
  <c r="E106" i="8" s="1"/>
  <c r="I106" i="8" s="1"/>
  <c r="H105" i="8"/>
  <c r="H106" i="8" l="1"/>
  <c r="J106" i="8"/>
  <c r="D107" i="8" s="1"/>
  <c r="E107" i="8" s="1"/>
  <c r="I107" i="8" s="1"/>
  <c r="H107" i="8" l="1"/>
  <c r="J107" i="8"/>
  <c r="D108" i="8" s="1"/>
  <c r="E108" i="8" s="1"/>
  <c r="I108" i="8" s="1"/>
  <c r="J108" i="8" l="1"/>
  <c r="D109" i="8" s="1"/>
  <c r="E109" i="8" s="1"/>
  <c r="I109" i="8" s="1"/>
  <c r="H108" i="8"/>
  <c r="J109" i="8" l="1"/>
  <c r="D110" i="8" s="1"/>
  <c r="E110" i="8" s="1"/>
  <c r="I110" i="8" s="1"/>
  <c r="H109" i="8"/>
  <c r="H110" i="8" l="1"/>
  <c r="J110" i="8"/>
  <c r="D111" i="8" s="1"/>
  <c r="E111" i="8" s="1"/>
  <c r="I111" i="8" s="1"/>
  <c r="H111" i="8" l="1"/>
  <c r="J111" i="8"/>
  <c r="D112" i="8" s="1"/>
  <c r="E112" i="8" s="1"/>
  <c r="I112" i="8" s="1"/>
  <c r="H112" i="8" l="1"/>
  <c r="J112" i="8"/>
  <c r="D113" i="8" s="1"/>
  <c r="E113" i="8" s="1"/>
  <c r="I113" i="8" s="1"/>
  <c r="J113" i="8" l="1"/>
  <c r="D114" i="8" s="1"/>
  <c r="E114" i="8" s="1"/>
  <c r="I114" i="8" s="1"/>
  <c r="H113" i="8"/>
  <c r="H114" i="8" l="1"/>
  <c r="J114" i="8"/>
  <c r="D115" i="8" s="1"/>
  <c r="E115" i="8" s="1"/>
  <c r="I115" i="8" s="1"/>
  <c r="J115" i="8" l="1"/>
  <c r="D116" i="8" s="1"/>
  <c r="E116" i="8" s="1"/>
  <c r="I116" i="8" s="1"/>
  <c r="H115" i="8"/>
  <c r="H116" i="8" l="1"/>
  <c r="J116" i="8"/>
  <c r="D117" i="8" s="1"/>
  <c r="E117" i="8" s="1"/>
  <c r="I117" i="8" s="1"/>
  <c r="J117" i="8" l="1"/>
  <c r="D118" i="8" s="1"/>
  <c r="E118" i="8" s="1"/>
  <c r="I118" i="8" s="1"/>
  <c r="H117" i="8"/>
  <c r="J118" i="8" l="1"/>
  <c r="D119" i="8" s="1"/>
  <c r="E119" i="8" s="1"/>
  <c r="I119" i="8" s="1"/>
  <c r="H118" i="8"/>
  <c r="H119" i="8" l="1"/>
  <c r="J119" i="8"/>
  <c r="D120" i="8" s="1"/>
  <c r="E120" i="8" s="1"/>
  <c r="I120" i="8" s="1"/>
  <c r="J120" i="8" l="1"/>
  <c r="D121" i="8" s="1"/>
  <c r="E121" i="8" s="1"/>
  <c r="I121" i="8" s="1"/>
  <c r="H120" i="8"/>
  <c r="H121" i="8" l="1"/>
  <c r="J121" i="8"/>
  <c r="D122" i="8" s="1"/>
  <c r="E122" i="8" s="1"/>
  <c r="I122" i="8" s="1"/>
  <c r="H122" i="8" l="1"/>
  <c r="J122" i="8"/>
  <c r="D123" i="8" s="1"/>
  <c r="E123" i="8" s="1"/>
  <c r="I123" i="8" s="1"/>
  <c r="J123" i="8" l="1"/>
  <c r="D124" i="8" s="1"/>
  <c r="E124" i="8" s="1"/>
  <c r="I124" i="8" s="1"/>
  <c r="H123" i="8"/>
  <c r="H124" i="8" l="1"/>
  <c r="J124" i="8"/>
  <c r="D125" i="8" s="1"/>
  <c r="E125" i="8" s="1"/>
  <c r="I125" i="8" s="1"/>
  <c r="H125" i="8" l="1"/>
  <c r="J125" i="8"/>
  <c r="D126" i="8" s="1"/>
  <c r="E126" i="8" s="1"/>
  <c r="I126" i="8" s="1"/>
  <c r="H126" i="8" l="1"/>
  <c r="J12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91899</author>
  </authors>
  <commentList>
    <comment ref="C10" authorId="0" shapeId="0" xr:uid="{AA211CF1-B5CF-4D7E-90A3-ED78A1D13B75}">
      <text>
        <r>
          <rPr>
            <b/>
            <sz val="9"/>
            <color indexed="81"/>
            <rFont val="Tahoma"/>
            <family val="2"/>
          </rPr>
          <t xml:space="preserve">Abhishek: </t>
        </r>
        <r>
          <rPr>
            <sz val="9"/>
            <color indexed="81"/>
            <rFont val="Tahoma"/>
            <family val="2"/>
          </rPr>
          <t>Quarterly Observed DR for each grade
IFRS9_PD_Term_Structure_Modelling_Retail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91899</author>
  </authors>
  <commentList>
    <comment ref="C8" authorId="0" shapeId="0" xr:uid="{C64D46E1-036A-427D-87CF-978DC05656D3}">
      <text>
        <r>
          <rPr>
            <b/>
            <sz val="9"/>
            <color indexed="81"/>
            <rFont val="Tahoma"/>
            <family val="2"/>
          </rPr>
          <t xml:space="preserve">Abhishek:
</t>
        </r>
        <r>
          <rPr>
            <sz val="9"/>
            <color indexed="81"/>
            <rFont val="Tahoma"/>
            <family val="2"/>
          </rPr>
          <t>Please refer Amort Schedule sheet</t>
        </r>
      </text>
    </comment>
    <comment ref="D9" authorId="0" shapeId="0" xr:uid="{A4D6B0A9-F22A-47C2-89DB-759699AD10B3}">
      <text>
        <r>
          <rPr>
            <b/>
            <sz val="9"/>
            <color indexed="81"/>
            <rFont val="Tahoma"/>
            <family val="2"/>
          </rPr>
          <t xml:space="preserve">Abhishek:
</t>
        </r>
        <r>
          <rPr>
            <sz val="9"/>
            <color indexed="81"/>
            <rFont val="Tahoma"/>
            <family val="2"/>
          </rPr>
          <t>At 15th month, the value of collateral is 75k against 100K loan we had initially</t>
        </r>
      </text>
    </comment>
    <comment ref="C10" authorId="0" shapeId="0" xr:uid="{48892208-0491-4626-966C-C117152E9371}">
      <text>
        <r>
          <rPr>
            <b/>
            <sz val="9"/>
            <color indexed="81"/>
            <rFont val="Tahoma"/>
            <family val="2"/>
          </rPr>
          <t xml:space="preserve">Abhishek:
</t>
        </r>
        <r>
          <rPr>
            <sz val="9"/>
            <color indexed="81"/>
            <rFont val="Tahoma"/>
            <family val="2"/>
          </rPr>
          <t>Taken from MEF Sheet as one of the input received from MEF team</t>
        </r>
      </text>
    </comment>
    <comment ref="C12" authorId="0" shapeId="0" xr:uid="{B4E8A2C1-2839-4986-A031-935DF5802021}">
      <text>
        <r>
          <rPr>
            <b/>
            <sz val="9"/>
            <color indexed="81"/>
            <rFont val="Tahoma"/>
            <family val="2"/>
          </rPr>
          <t xml:space="preserve">Abhishek:
</t>
        </r>
        <r>
          <rPr>
            <sz val="9"/>
            <color indexed="81"/>
            <rFont val="Tahoma"/>
            <family val="2"/>
          </rPr>
          <t xml:space="preserve"> Coll Value increases at HPI growth rate
Very important to model collateral value
</t>
        </r>
      </text>
    </comment>
    <comment ref="C13" authorId="0" shapeId="0" xr:uid="{82DE97C4-1B9D-4ED0-9B46-C5A34EE649BE}">
      <text>
        <r>
          <rPr>
            <b/>
            <sz val="9"/>
            <color indexed="81"/>
            <rFont val="Tahoma"/>
            <family val="2"/>
          </rPr>
          <t xml:space="preserve">Abhishek:
</t>
        </r>
        <r>
          <rPr>
            <sz val="9"/>
            <color indexed="81"/>
            <rFont val="Tahoma"/>
            <family val="2"/>
          </rPr>
          <t>Apply 20% Haircut</t>
        </r>
      </text>
    </comment>
  </commentList>
</comments>
</file>

<file path=xl/sharedStrings.xml><?xml version="1.0" encoding="utf-8"?>
<sst xmlns="http://schemas.openxmlformats.org/spreadsheetml/2006/main" count="88" uniqueCount="75">
  <si>
    <t>observation_date</t>
  </si>
  <si>
    <t xml:space="preserve">Performance </t>
  </si>
  <si>
    <t>Annual DR</t>
  </si>
  <si>
    <t>Default</t>
  </si>
  <si>
    <t>Sno</t>
  </si>
  <si>
    <t>Step1: Data Preparation</t>
  </si>
  <si>
    <t>and have not been restructured. These are the accounts that will be used in the analysis.</t>
  </si>
  <si>
    <t>Step2: Outstanding Amount</t>
  </si>
  <si>
    <t>For each year of default from (2013 to 2022 – here), obtain the outstanding amount for the accounts defaulted in that</t>
  </si>
  <si>
    <t>Year of Default</t>
  </si>
  <si>
    <t>Amount Outstanding</t>
  </si>
  <si>
    <t>Obtain the present value of the recoveries made in subsequent years to the year of default. In the PV formula below,</t>
  </si>
  <si>
    <t>the interest rate used is 10%, where 𝑌𝐷 is the year of default and 𝑦 is the year of recovery.</t>
  </si>
  <si>
    <t>Calculate the cumulatives recoveries against the year of default (𝑌𝐷) and conduct recovery analysis</t>
  </si>
  <si>
    <t>to ascertain the recovery pattern/trend.</t>
  </si>
  <si>
    <t>Step 5: Extrapolation of Cumulative recoveries</t>
  </si>
  <si>
    <t>Claim Reserving method</t>
  </si>
  <si>
    <t>Sum Recovery</t>
  </si>
  <si>
    <t>LGD</t>
  </si>
  <si>
    <t>PD</t>
  </si>
  <si>
    <t>k</t>
  </si>
  <si>
    <t>Rho</t>
  </si>
  <si>
    <t>Rating</t>
  </si>
  <si>
    <t>TTC PD</t>
  </si>
  <si>
    <t>E-LGD</t>
  </si>
  <si>
    <t>K</t>
  </si>
  <si>
    <t>Final Result</t>
  </si>
  <si>
    <t>Retail Model</t>
  </si>
  <si>
    <t>Forward Looking LGDs</t>
  </si>
  <si>
    <t>Amount</t>
  </si>
  <si>
    <t>Rate</t>
  </si>
  <si>
    <t>Period</t>
  </si>
  <si>
    <t>Beg Bal (P)</t>
  </si>
  <si>
    <t>SMM</t>
  </si>
  <si>
    <t>Prepayment</t>
  </si>
  <si>
    <t>Total Prin</t>
  </si>
  <si>
    <t>End bal</t>
  </si>
  <si>
    <t>EAD</t>
  </si>
  <si>
    <t>a</t>
  </si>
  <si>
    <t>25% cure rate</t>
  </si>
  <si>
    <t>b</t>
  </si>
  <si>
    <t>c</t>
  </si>
  <si>
    <t>Max LTV at which there is no loss</t>
  </si>
  <si>
    <t>Collateral at beg</t>
  </si>
  <si>
    <t>Collateral at end</t>
  </si>
  <si>
    <t>Sale Price</t>
  </si>
  <si>
    <t>LTV</t>
  </si>
  <si>
    <t>LGD is a lifetime concept. Once defaulted, need to track the recoveries for lifetime.</t>
  </si>
  <si>
    <t>Objective</t>
  </si>
  <si>
    <t>Model a lifetime recoveries for Secured and Unsecured loans</t>
  </si>
  <si>
    <t xml:space="preserve"> </t>
  </si>
  <si>
    <r>
      <t xml:space="preserve">Identify the active and closed accounts that have gone </t>
    </r>
    <r>
      <rPr>
        <b/>
        <i/>
        <sz val="11"/>
        <color theme="1"/>
        <rFont val="Calibri"/>
        <family val="2"/>
        <scheme val="minor"/>
      </rPr>
      <t>90DPD</t>
    </r>
  </si>
  <si>
    <t>Step 3: Present Value of Recoveries</t>
  </si>
  <si>
    <t>year and the year wise Recoveries made against this amount outstanding for crystalization period of 5 years</t>
  </si>
  <si>
    <t>Step 4: Estimation of Cumulative Recoveries</t>
  </si>
  <si>
    <t>CLM factor</t>
  </si>
  <si>
    <t>This intuative as recoveries initially at higher and it decreases over the time</t>
  </si>
  <si>
    <t>AVG TTC LGD</t>
  </si>
  <si>
    <t>PD and LGD are correlated directly</t>
  </si>
  <si>
    <t>This spreadsheet illustrates the LGD function Frye-jacobs</t>
  </si>
  <si>
    <t>ELGD</t>
  </si>
  <si>
    <t>Corrlation betw PD and Expected Loss</t>
  </si>
  <si>
    <t>PIT LGD Model (Frye-Jacobs)</t>
  </si>
  <si>
    <t>Retail Portfolio</t>
  </si>
  <si>
    <t>Quarters</t>
  </si>
  <si>
    <t>Forward Looking PIT PD Term Structure (built in PD Retail Portfolio sheet)</t>
  </si>
  <si>
    <t>Final PIT LGD</t>
  </si>
  <si>
    <t>LGD = a.Max(LTV-0.7,0)</t>
  </si>
  <si>
    <t>Haircut of 20% (sale price is 80% of MV)</t>
  </si>
  <si>
    <t>After one year Quarterly Freq.</t>
  </si>
  <si>
    <t>Interest</t>
  </si>
  <si>
    <t>Principal</t>
  </si>
  <si>
    <t>Note</t>
  </si>
  <si>
    <t>Haircut and cure can be modelled as per difference economic conditions</t>
  </si>
  <si>
    <t xml:space="preserve">Quartely HPI Growth
(Base scenario)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</si>
</sst>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3" formatCode="_ * #,##0.00_ ;_ * \-#,##0.00_ ;_ * &quot;-&quot;??_ ;_ @_ "/>
    <numFmt numFmtId="164" formatCode="yyyy\-mm\-dd\ h:mm:ss"/>
    <numFmt numFmtId="176" formatCode="0.000%"/>
    <numFmt numFmtId="180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7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164" fontId="0" fillId="0" borderId="2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3" xfId="0" applyNumberFormat="1" applyBorder="1"/>
    <xf numFmtId="164" fontId="0" fillId="0" borderId="6" xfId="0" applyNumberFormat="1" applyBorder="1"/>
    <xf numFmtId="0" fontId="0" fillId="0" borderId="1" xfId="0" applyBorder="1"/>
    <xf numFmtId="10" fontId="0" fillId="0" borderId="9" xfId="1" applyNumberFormat="1" applyFont="1" applyBorder="1"/>
    <xf numFmtId="10" fontId="0" fillId="0" borderId="10" xfId="1" applyNumberFormat="1" applyFont="1" applyBorder="1"/>
    <xf numFmtId="0" fontId="2" fillId="2" borderId="1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1" xfId="0" applyFill="1" applyBorder="1"/>
    <xf numFmtId="0" fontId="0" fillId="0" borderId="11" xfId="0" applyBorder="1"/>
    <xf numFmtId="0" fontId="0" fillId="0" borderId="2" xfId="0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3" fontId="0" fillId="0" borderId="15" xfId="2" applyFont="1" applyBorder="1"/>
    <xf numFmtId="43" fontId="0" fillId="0" borderId="12" xfId="2" applyFont="1" applyBorder="1"/>
    <xf numFmtId="43" fontId="0" fillId="0" borderId="0" xfId="2" applyFont="1"/>
    <xf numFmtId="0" fontId="2" fillId="3" borderId="7" xfId="0" applyFont="1" applyFill="1" applyBorder="1"/>
    <xf numFmtId="43" fontId="0" fillId="0" borderId="15" xfId="0" applyNumberFormat="1" applyBorder="1"/>
    <xf numFmtId="43" fontId="0" fillId="0" borderId="0" xfId="0" applyNumberFormat="1"/>
    <xf numFmtId="43" fontId="0" fillId="0" borderId="16" xfId="2" applyFont="1" applyBorder="1"/>
    <xf numFmtId="0" fontId="4" fillId="0" borderId="0" xfId="0" applyFont="1"/>
    <xf numFmtId="43" fontId="0" fillId="0" borderId="2" xfId="0" applyNumberFormat="1" applyBorder="1"/>
    <xf numFmtId="0" fontId="0" fillId="0" borderId="3" xfId="0" applyBorder="1"/>
    <xf numFmtId="43" fontId="0" fillId="0" borderId="4" xfId="0" applyNumberForma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0" fillId="0" borderId="18" xfId="2" applyFont="1" applyBorder="1"/>
    <xf numFmtId="43" fontId="0" fillId="4" borderId="3" xfId="0" applyNumberFormat="1" applyFill="1" applyBorder="1"/>
    <xf numFmtId="43" fontId="0" fillId="4" borderId="0" xfId="0" applyNumberFormat="1" applyFill="1" applyBorder="1"/>
    <xf numFmtId="43" fontId="0" fillId="0" borderId="19" xfId="2" applyFont="1" applyBorder="1"/>
    <xf numFmtId="43" fontId="0" fillId="4" borderId="5" xfId="0" applyNumberFormat="1" applyFill="1" applyBorder="1"/>
    <xf numFmtId="43" fontId="0" fillId="4" borderId="6" xfId="0" applyNumberFormat="1" applyFill="1" applyBorder="1"/>
    <xf numFmtId="0" fontId="3" fillId="0" borderId="0" xfId="0" applyFont="1"/>
    <xf numFmtId="10" fontId="0" fillId="0" borderId="3" xfId="1" applyNumberFormat="1" applyFont="1" applyBorder="1"/>
    <xf numFmtId="10" fontId="0" fillId="0" borderId="6" xfId="1" applyNumberFormat="1" applyFont="1" applyBorder="1"/>
    <xf numFmtId="10" fontId="0" fillId="0" borderId="1" xfId="1" applyNumberFormat="1" applyFont="1" applyBorder="1"/>
    <xf numFmtId="2" fontId="0" fillId="2" borderId="7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0" fillId="0" borderId="0" xfId="1" applyFont="1"/>
    <xf numFmtId="10" fontId="0" fillId="0" borderId="0" xfId="0" applyNumberFormat="1"/>
    <xf numFmtId="10" fontId="0" fillId="0" borderId="2" xfId="1" applyNumberFormat="1" applyFont="1" applyBorder="1"/>
    <xf numFmtId="10" fontId="0" fillId="0" borderId="4" xfId="1" applyNumberFormat="1" applyFont="1" applyBorder="1"/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7" xfId="0" applyBorder="1"/>
    <xf numFmtId="9" fontId="0" fillId="0" borderId="14" xfId="0" applyNumberFormat="1" applyBorder="1"/>
    <xf numFmtId="9" fontId="0" fillId="0" borderId="6" xfId="0" applyNumberFormat="1" applyBorder="1"/>
    <xf numFmtId="0" fontId="0" fillId="3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5" fillId="7" borderId="7" xfId="0" applyFont="1" applyFill="1" applyBorder="1"/>
    <xf numFmtId="0" fontId="0" fillId="7" borderId="11" xfId="0" applyFill="1" applyBorder="1"/>
    <xf numFmtId="0" fontId="0" fillId="7" borderId="8" xfId="0" applyFill="1" applyBorder="1"/>
    <xf numFmtId="0" fontId="8" fillId="0" borderId="0" xfId="0" applyFont="1"/>
    <xf numFmtId="0" fontId="0" fillId="0" borderId="2" xfId="0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5" fillId="7" borderId="11" xfId="0" applyFont="1" applyFill="1" applyBorder="1"/>
    <xf numFmtId="10" fontId="0" fillId="0" borderId="0" xfId="0" applyNumberFormat="1" applyBorder="1" applyAlignment="1">
      <alignment horizontal="center" vertical="center"/>
    </xf>
    <xf numFmtId="0" fontId="0" fillId="0" borderId="0" xfId="0" applyBorder="1"/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2" borderId="13" xfId="0" applyFill="1" applyBorder="1"/>
    <xf numFmtId="0" fontId="0" fillId="0" borderId="1" xfId="0" applyBorder="1" applyAlignment="1">
      <alignment horizontal="center" vertical="center"/>
    </xf>
    <xf numFmtId="0" fontId="0" fillId="8" borderId="11" xfId="0" applyFill="1" applyBorder="1"/>
    <xf numFmtId="0" fontId="0" fillId="8" borderId="8" xfId="0" applyFill="1" applyBorder="1"/>
    <xf numFmtId="2" fontId="0" fillId="0" borderId="0" xfId="0" applyNumberFormat="1" applyBorder="1"/>
    <xf numFmtId="0" fontId="0" fillId="2" borderId="17" xfId="0" applyFill="1" applyBorder="1"/>
    <xf numFmtId="0" fontId="0" fillId="2" borderId="14" xfId="0" applyFill="1" applyBorder="1"/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7" xfId="0" applyFill="1" applyBorder="1"/>
    <xf numFmtId="0" fontId="8" fillId="8" borderId="20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0" fillId="7" borderId="7" xfId="0" applyFill="1" applyBorder="1"/>
    <xf numFmtId="0" fontId="0" fillId="0" borderId="8" xfId="0" applyBorder="1" applyAlignment="1">
      <alignment horizontal="center" vertical="center"/>
    </xf>
    <xf numFmtId="0" fontId="8" fillId="3" borderId="7" xfId="0" applyFont="1" applyFill="1" applyBorder="1"/>
    <xf numFmtId="0" fontId="8" fillId="3" borderId="11" xfId="0" applyFont="1" applyFill="1" applyBorder="1"/>
    <xf numFmtId="0" fontId="8" fillId="3" borderId="8" xfId="0" applyFont="1" applyFill="1" applyBorder="1"/>
    <xf numFmtId="0" fontId="4" fillId="0" borderId="11" xfId="0" applyFont="1" applyBorder="1"/>
    <xf numFmtId="0" fontId="4" fillId="0" borderId="8" xfId="0" applyFont="1" applyBorder="1"/>
    <xf numFmtId="0" fontId="4" fillId="0" borderId="5" xfId="0" applyFont="1" applyBorder="1"/>
    <xf numFmtId="0" fontId="4" fillId="0" borderId="6" xfId="0" applyFont="1" applyBorder="1"/>
    <xf numFmtId="0" fontId="0" fillId="4" borderId="17" xfId="0" applyFill="1" applyBorder="1"/>
    <xf numFmtId="0" fontId="0" fillId="4" borderId="13" xfId="0" applyFill="1" applyBorder="1"/>
    <xf numFmtId="0" fontId="0" fillId="4" borderId="14" xfId="0" applyFill="1" applyBorder="1"/>
    <xf numFmtId="8" fontId="0" fillId="0" borderId="0" xfId="0" applyNumberFormat="1"/>
    <xf numFmtId="8" fontId="0" fillId="0" borderId="0" xfId="0" applyNumberFormat="1" applyBorder="1"/>
    <xf numFmtId="8" fontId="0" fillId="0" borderId="5" xfId="0" applyNumberFormat="1" applyBorder="1"/>
    <xf numFmtId="0" fontId="0" fillId="4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8" fontId="0" fillId="0" borderId="3" xfId="0" applyNumberFormat="1" applyBorder="1"/>
    <xf numFmtId="8" fontId="0" fillId="0" borderId="6" xfId="0" applyNumberFormat="1" applyBorder="1"/>
    <xf numFmtId="180" fontId="0" fillId="0" borderId="0" xfId="0" applyNumberFormat="1" applyBorder="1"/>
    <xf numFmtId="180" fontId="0" fillId="0" borderId="2" xfId="0" applyNumberFormat="1" applyBorder="1"/>
    <xf numFmtId="180" fontId="0" fillId="0" borderId="3" xfId="0" applyNumberFormat="1" applyBorder="1"/>
    <xf numFmtId="0" fontId="2" fillId="0" borderId="20" xfId="0" applyFont="1" applyBorder="1"/>
    <xf numFmtId="0" fontId="2" fillId="0" borderId="9" xfId="0" applyFont="1" applyBorder="1"/>
    <xf numFmtId="0" fontId="2" fillId="0" borderId="10" xfId="0" applyFont="1" applyBorder="1"/>
    <xf numFmtId="0" fontId="9" fillId="2" borderId="1" xfId="0" applyFont="1" applyFill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4" fontId="0" fillId="0" borderId="0" xfId="0" applyNumberFormat="1" applyBorder="1"/>
    <xf numFmtId="164" fontId="0" fillId="0" borderId="0" xfId="0" applyNumberFormat="1" applyBorder="1"/>
    <xf numFmtId="0" fontId="4" fillId="0" borderId="8" xfId="0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2" fillId="0" borderId="10" xfId="0" applyFont="1" applyBorder="1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76125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Complete Recoveries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'LGD_Chain Ladder'!$B$61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Ladder'!$D$61:$H$61</c:f>
              <c:numCache>
                <c:formatCode>_(* #,##0.00_);_(* \(#,##0.00\);_(* "-"??_);_(@_)</c:formatCode>
                <c:ptCount val="5"/>
                <c:pt idx="0">
                  <c:v>2945002.9069441007</c:v>
                </c:pt>
                <c:pt idx="1">
                  <c:v>4001420.7362404014</c:v>
                </c:pt>
                <c:pt idx="2">
                  <c:v>4717583.9218732938</c:v>
                </c:pt>
                <c:pt idx="3">
                  <c:v>5176102.5543599669</c:v>
                </c:pt>
                <c:pt idx="4">
                  <c:v>5671821.233536128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1F-4B6F-A476-33F31E958B9A}"/>
            </c:ext>
          </c:extLst>
        </c:ser>
        <c:ser>
          <c:idx val="1"/>
          <c:order val="1"/>
          <c:tx>
            <c:strRef>
              <c:f>'LGD_Chain Ladder'!$B$62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Ladder'!$D$62:$H$62</c:f>
              <c:numCache>
                <c:formatCode>_(* #,##0.00_);_(* \(#,##0.00\);_(* "-"??_);_(@_)</c:formatCode>
                <c:ptCount val="5"/>
                <c:pt idx="0">
                  <c:v>2205913.647284518</c:v>
                </c:pt>
                <c:pt idx="1">
                  <c:v>3356670.5572521724</c:v>
                </c:pt>
                <c:pt idx="2">
                  <c:v>4164636.1231157198</c:v>
                </c:pt>
                <c:pt idx="3">
                  <c:v>4631208.5362022575</c:v>
                </c:pt>
                <c:pt idx="4">
                  <c:v>5179654.8109847791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1F-4B6F-A476-33F31E958B9A}"/>
            </c:ext>
          </c:extLst>
        </c:ser>
        <c:ser>
          <c:idx val="2"/>
          <c:order val="2"/>
          <c:tx>
            <c:strRef>
              <c:f>'LGD_Chain Ladder'!$B$63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Ladder'!$D$63:$H$63</c:f>
              <c:numCache>
                <c:formatCode>_(* #,##0.00_);_(* \(#,##0.00\);_(* "-"??_);_(@_)</c:formatCode>
                <c:ptCount val="5"/>
                <c:pt idx="0">
                  <c:v>3306701.5907386844</c:v>
                </c:pt>
                <c:pt idx="1">
                  <c:v>4924757.8567802617</c:v>
                </c:pt>
                <c:pt idx="2">
                  <c:v>5933473.8055591052</c:v>
                </c:pt>
                <c:pt idx="3">
                  <c:v>6518224.2870835913</c:v>
                </c:pt>
                <c:pt idx="4">
                  <c:v>7066087.7961583566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1F-4B6F-A476-33F31E958B9A}"/>
            </c:ext>
          </c:extLst>
        </c:ser>
        <c:ser>
          <c:idx val="3"/>
          <c:order val="3"/>
          <c:tx>
            <c:strRef>
              <c:f>'LGD_Chain Ladder'!$B$64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Ladder'!$D$64:$H$64</c:f>
              <c:numCache>
                <c:formatCode>_(* #,##0.00_);_(* \(#,##0.00\);_(* "-"??_);_(@_)</c:formatCode>
                <c:ptCount val="5"/>
                <c:pt idx="0">
                  <c:v>7109388.0822861819</c:v>
                </c:pt>
                <c:pt idx="1">
                  <c:v>9792977.4477496333</c:v>
                </c:pt>
                <c:pt idx="2">
                  <c:v>11328217.588904722</c:v>
                </c:pt>
                <c:pt idx="3">
                  <c:v>12888216.940041939</c:v>
                </c:pt>
                <c:pt idx="4">
                  <c:v>14517985.448154274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1F-4B6F-A476-33F31E958B9A}"/>
            </c:ext>
          </c:extLst>
        </c:ser>
        <c:ser>
          <c:idx val="4"/>
          <c:order val="4"/>
          <c:tx>
            <c:strRef>
              <c:f>'LGD_Chain Ladder'!$B$65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Ladder'!$D$65:$H$65</c:f>
              <c:numCache>
                <c:formatCode>_(* #,##0.00_);_(* \(#,##0.00\);_(* "-"??_);_(@_)</c:formatCode>
                <c:ptCount val="5"/>
                <c:pt idx="0">
                  <c:v>11956106.684403263</c:v>
                </c:pt>
                <c:pt idx="1">
                  <c:v>20728250.750518963</c:v>
                </c:pt>
                <c:pt idx="2">
                  <c:v>26831106.242630154</c:v>
                </c:pt>
                <c:pt idx="3">
                  <c:v>29891667.440635756</c:v>
                </c:pt>
                <c:pt idx="4">
                  <c:v>31882634.22134497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1F-4B6F-A476-33F31E958B9A}"/>
            </c:ext>
          </c:extLst>
        </c:ser>
        <c:ser>
          <c:idx val="5"/>
          <c:order val="5"/>
          <c:tx>
            <c:strRef>
              <c:f>'LGD_Chain Ladder'!$B$66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Ladder'!$D$66:$H$66</c:f>
              <c:numCache>
                <c:formatCode>_(* #,##0.00_);_(* \(#,##0.00\);_(* "-"??_);_(@_)</c:formatCode>
                <c:ptCount val="5"/>
                <c:pt idx="0">
                  <c:v>11838667.409090908</c:v>
                </c:pt>
                <c:pt idx="1">
                  <c:v>23710355.252066113</c:v>
                </c:pt>
                <c:pt idx="2">
                  <c:v>30918095.710368142</c:v>
                </c:pt>
                <c:pt idx="3">
                  <c:v>32838421.514616486</c:v>
                </c:pt>
                <c:pt idx="4">
                  <c:v>33198755.036295954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1F-4B6F-A476-33F31E958B9A}"/>
            </c:ext>
          </c:extLst>
        </c:ser>
        <c:ser>
          <c:idx val="6"/>
          <c:order val="6"/>
          <c:tx>
            <c:strRef>
              <c:f>'LGD_Chain Ladder'!$B$67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Ladder'!$D$67:$H$67</c:f>
              <c:numCache>
                <c:formatCode>_(* #,##0.00_);_(* \(#,##0.00\);_(* "-"??_);_(@_)</c:formatCode>
                <c:ptCount val="5"/>
                <c:pt idx="0">
                  <c:v>16907369.181818184</c:v>
                </c:pt>
                <c:pt idx="1">
                  <c:v>26979433.049586777</c:v>
                </c:pt>
                <c:pt idx="2">
                  <c:v>34648895.018031552</c:v>
                </c:pt>
                <c:pt idx="3">
                  <c:v>35464479.861962974</c:v>
                </c:pt>
                <c:pt idx="4">
                  <c:v>37614128.966129705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1F-4B6F-A476-33F31E958B9A}"/>
            </c:ext>
          </c:extLst>
        </c:ser>
        <c:ser>
          <c:idx val="7"/>
          <c:order val="7"/>
          <c:tx>
            <c:strRef>
              <c:f>'LGD_Chain Ladder'!$B$68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Ladder'!$D$68:$H$68</c:f>
              <c:numCache>
                <c:formatCode>_(* #,##0.00_);_(* \(#,##0.00\);_(* "-"??_);_(@_)</c:formatCode>
                <c:ptCount val="5"/>
                <c:pt idx="0">
                  <c:v>16348879.499999998</c:v>
                </c:pt>
                <c:pt idx="1">
                  <c:v>24613223.03719008</c:v>
                </c:pt>
                <c:pt idx="2">
                  <c:v>26169726.883921862</c:v>
                </c:pt>
                <c:pt idx="3">
                  <c:v>28127083.483297661</c:v>
                </c:pt>
                <c:pt idx="4">
                  <c:v>29831982.583694253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1F-4B6F-A476-33F31E958B9A}"/>
            </c:ext>
          </c:extLst>
        </c:ser>
        <c:ser>
          <c:idx val="8"/>
          <c:order val="8"/>
          <c:tx>
            <c:strRef>
              <c:f>'LGD_Chain Ladder'!$B$69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Ladder'!$D$69:$H$69</c:f>
              <c:numCache>
                <c:formatCode>_(* #,##0.00_);_(* \(#,##0.00\);_(* "-"??_);_(@_)</c:formatCode>
                <c:ptCount val="5"/>
                <c:pt idx="0">
                  <c:v>44318708.999999993</c:v>
                </c:pt>
                <c:pt idx="1">
                  <c:v>50070107.677685946</c:v>
                </c:pt>
                <c:pt idx="2">
                  <c:v>61348833.917955801</c:v>
                </c:pt>
                <c:pt idx="3">
                  <c:v>65937400.908584051</c:v>
                </c:pt>
                <c:pt idx="4">
                  <c:v>69934140.049998745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1F-4B6F-A476-33F31E958B9A}"/>
            </c:ext>
          </c:extLst>
        </c:ser>
        <c:ser>
          <c:idx val="9"/>
          <c:order val="9"/>
          <c:tx>
            <c:strRef>
              <c:f>'LGD_Chain Ladder'!$B$70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Ladder'!$D$60:$H$60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Ladder'!$D$70:$H$70</c:f>
              <c:numCache>
                <c:formatCode>_(* #,##0.00_);_(* \(#,##0.00\);_(* "-"??_);_(@_)</c:formatCode>
                <c:ptCount val="5"/>
                <c:pt idx="0">
                  <c:v>9043399.1636363622</c:v>
                </c:pt>
                <c:pt idx="1">
                  <c:v>13006122.309630476</c:v>
                </c:pt>
                <c:pt idx="2">
                  <c:v>15935864.221153524</c:v>
                </c:pt>
                <c:pt idx="3">
                  <c:v>17127782.239189673</c:v>
                </c:pt>
                <c:pt idx="4">
                  <c:v>18165968.105446421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51F-4B6F-A476-33F31E95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089312"/>
        <c:axId val="1789090272"/>
      </c:lineChart>
      <c:catAx>
        <c:axId val="17890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90272"/>
        <c:crosses val="autoZero"/>
        <c:auto val="1"/>
        <c:lblAlgn val="ctr"/>
        <c:lblOffset val="100"/>
        <c:noMultiLvlLbl val="0"/>
      </c:catAx>
      <c:valAx>
        <c:axId val="17890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Incomplete Recoveries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'LGD_Chain Ladder'!$B$44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Ladder'!$D$44:$H$44</c:f>
              <c:numCache>
                <c:formatCode>_(* #,##0.00_);_(* \(#,##0.00\);_(* "-"??_);_(@_)</c:formatCode>
                <c:ptCount val="5"/>
                <c:pt idx="0">
                  <c:v>2945002.9069441007</c:v>
                </c:pt>
                <c:pt idx="1">
                  <c:v>4001420.7362404014</c:v>
                </c:pt>
                <c:pt idx="2">
                  <c:v>4717583.9218732938</c:v>
                </c:pt>
                <c:pt idx="3">
                  <c:v>5176102.5543599669</c:v>
                </c:pt>
                <c:pt idx="4">
                  <c:v>5671821.233536128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E4F-9F94-A16B60AAE54E}"/>
            </c:ext>
          </c:extLst>
        </c:ser>
        <c:ser>
          <c:idx val="1"/>
          <c:order val="1"/>
          <c:tx>
            <c:strRef>
              <c:f>'LGD_Chain Ladder'!$B$45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Ladder'!$D$45:$H$45</c:f>
              <c:numCache>
                <c:formatCode>_(* #,##0.00_);_(* \(#,##0.00\);_(* "-"??_);_(@_)</c:formatCode>
                <c:ptCount val="5"/>
                <c:pt idx="0">
                  <c:v>2205913.647284518</c:v>
                </c:pt>
                <c:pt idx="1">
                  <c:v>3356670.5572521724</c:v>
                </c:pt>
                <c:pt idx="2">
                  <c:v>4164636.1231157198</c:v>
                </c:pt>
                <c:pt idx="3">
                  <c:v>4631208.5362022575</c:v>
                </c:pt>
                <c:pt idx="4">
                  <c:v>5179654.8109847791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E4F-9F94-A16B60AAE54E}"/>
            </c:ext>
          </c:extLst>
        </c:ser>
        <c:ser>
          <c:idx val="2"/>
          <c:order val="2"/>
          <c:tx>
            <c:strRef>
              <c:f>'LGD_Chain Ladder'!$B$46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Ladder'!$D$46:$H$46</c:f>
              <c:numCache>
                <c:formatCode>_(* #,##0.00_);_(* \(#,##0.00\);_(* "-"??_);_(@_)</c:formatCode>
                <c:ptCount val="5"/>
                <c:pt idx="0">
                  <c:v>3306701.5907386844</c:v>
                </c:pt>
                <c:pt idx="1">
                  <c:v>4924757.8567802617</c:v>
                </c:pt>
                <c:pt idx="2">
                  <c:v>5933473.8055591052</c:v>
                </c:pt>
                <c:pt idx="3">
                  <c:v>6518224.2870835913</c:v>
                </c:pt>
                <c:pt idx="4">
                  <c:v>7066087.7961583566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E4F-9F94-A16B60AAE54E}"/>
            </c:ext>
          </c:extLst>
        </c:ser>
        <c:ser>
          <c:idx val="3"/>
          <c:order val="3"/>
          <c:tx>
            <c:strRef>
              <c:f>'LGD_Chain Ladder'!$B$47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Ladder'!$D$47:$H$47</c:f>
              <c:numCache>
                <c:formatCode>_(* #,##0.00_);_(* \(#,##0.00\);_(* "-"??_);_(@_)</c:formatCode>
                <c:ptCount val="5"/>
                <c:pt idx="0">
                  <c:v>7109388.0822861819</c:v>
                </c:pt>
                <c:pt idx="1">
                  <c:v>9792977.4477496333</c:v>
                </c:pt>
                <c:pt idx="2">
                  <c:v>11328217.588904722</c:v>
                </c:pt>
                <c:pt idx="3">
                  <c:v>12888216.940041939</c:v>
                </c:pt>
                <c:pt idx="4">
                  <c:v>14517985.448154274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E4F-9F94-A16B60AAE54E}"/>
            </c:ext>
          </c:extLst>
        </c:ser>
        <c:ser>
          <c:idx val="4"/>
          <c:order val="4"/>
          <c:tx>
            <c:strRef>
              <c:f>'LGD_Chain Ladder'!$B$48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Ladder'!$D$48:$H$48</c:f>
              <c:numCache>
                <c:formatCode>_(* #,##0.00_);_(* \(#,##0.00\);_(* "-"??_);_(@_)</c:formatCode>
                <c:ptCount val="5"/>
                <c:pt idx="0">
                  <c:v>11956106.684403263</c:v>
                </c:pt>
                <c:pt idx="1">
                  <c:v>20728250.750518963</c:v>
                </c:pt>
                <c:pt idx="2">
                  <c:v>26831106.242630154</c:v>
                </c:pt>
                <c:pt idx="3">
                  <c:v>29891667.440635756</c:v>
                </c:pt>
                <c:pt idx="4">
                  <c:v>31882634.22134497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E4F-9F94-A16B60AAE54E}"/>
            </c:ext>
          </c:extLst>
        </c:ser>
        <c:ser>
          <c:idx val="5"/>
          <c:order val="5"/>
          <c:tx>
            <c:strRef>
              <c:f>'LGD_Chain Ladder'!$B$49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Ladder'!$D$49:$H$49</c:f>
              <c:numCache>
                <c:formatCode>_(* #,##0.00_);_(* \(#,##0.00\);_(* "-"??_);_(@_)</c:formatCode>
                <c:ptCount val="5"/>
                <c:pt idx="0">
                  <c:v>11838667.409090908</c:v>
                </c:pt>
                <c:pt idx="1">
                  <c:v>23710355.252066113</c:v>
                </c:pt>
                <c:pt idx="2">
                  <c:v>30918095.710368142</c:v>
                </c:pt>
                <c:pt idx="3">
                  <c:v>32838421.514616486</c:v>
                </c:pt>
                <c:pt idx="4">
                  <c:v>33198755.036295954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E4F-9F94-A16B60AAE54E}"/>
            </c:ext>
          </c:extLst>
        </c:ser>
        <c:ser>
          <c:idx val="6"/>
          <c:order val="6"/>
          <c:tx>
            <c:strRef>
              <c:f>'LGD_Chain Ladder'!$B$50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Ladder'!$D$50:$G$50</c:f>
              <c:numCache>
                <c:formatCode>_(* #,##0.00_);_(* \(#,##0.00\);_(* "-"??_);_(@_)</c:formatCode>
                <c:ptCount val="4"/>
                <c:pt idx="0">
                  <c:v>16907369.181818184</c:v>
                </c:pt>
                <c:pt idx="1">
                  <c:v>26979433.049586777</c:v>
                </c:pt>
                <c:pt idx="2">
                  <c:v>34648895.018031552</c:v>
                </c:pt>
                <c:pt idx="3">
                  <c:v>35464479.861962974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E4F-9F94-A16B60AAE54E}"/>
            </c:ext>
          </c:extLst>
        </c:ser>
        <c:ser>
          <c:idx val="7"/>
          <c:order val="7"/>
          <c:tx>
            <c:strRef>
              <c:f>'LGD_Chain Ladder'!$B$51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Ladder'!$D$51:$H$51</c:f>
              <c:numCache>
                <c:formatCode>_(* #,##0.00_);_(* \(#,##0.00\);_(* "-"??_);_(@_)</c:formatCode>
                <c:ptCount val="5"/>
                <c:pt idx="0">
                  <c:v>16348879.499999998</c:v>
                </c:pt>
                <c:pt idx="1">
                  <c:v>24613223.03719008</c:v>
                </c:pt>
                <c:pt idx="2">
                  <c:v>26169726.883921862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E4F-9F94-A16B60AAE54E}"/>
            </c:ext>
          </c:extLst>
        </c:ser>
        <c:ser>
          <c:idx val="8"/>
          <c:order val="8"/>
          <c:tx>
            <c:strRef>
              <c:f>'LGD_Chain Ladder'!$B$52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Ladder'!$D$52:$E$52</c:f>
              <c:numCache>
                <c:formatCode>_(* #,##0.00_);_(* \(#,##0.00\);_(* "-"??_);_(@_)</c:formatCode>
                <c:ptCount val="2"/>
                <c:pt idx="0">
                  <c:v>44318708.999999993</c:v>
                </c:pt>
                <c:pt idx="1">
                  <c:v>50070107.677685946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E4F-9F94-A16B60AAE54E}"/>
            </c:ext>
          </c:extLst>
        </c:ser>
        <c:ser>
          <c:idx val="9"/>
          <c:order val="9"/>
          <c:tx>
            <c:strRef>
              <c:f>'LGD_Chain Ladder'!$B$53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'LGD_Chain Ladder'!$D$43:$H$43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'LGD_Chain Ladder'!$D$53:$H$53</c:f>
              <c:numCache>
                <c:formatCode>_(* #,##0.00_);_(* \(#,##0.00\);_(* "-"??_);_(@_)</c:formatCode>
                <c:ptCount val="5"/>
                <c:pt idx="0">
                  <c:v>9043399.1636363622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E4F-9F94-A16B60AAE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685888"/>
        <c:axId val="1887692128"/>
      </c:lineChart>
      <c:catAx>
        <c:axId val="18876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692128"/>
        <c:crosses val="autoZero"/>
        <c:auto val="1"/>
        <c:lblAlgn val="ctr"/>
        <c:lblOffset val="100"/>
        <c:noMultiLvlLbl val="0"/>
      </c:catAx>
      <c:valAx>
        <c:axId val="18876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68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PD Vs. LGD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'Frye-Jacobs'!$D$8:$D$48</c:f>
              <c:numCache>
                <c:formatCode>0.00%</c:formatCode>
                <c:ptCount val="41"/>
                <c:pt idx="0">
                  <c:v>1E-4</c:v>
                </c:pt>
                <c:pt idx="1">
                  <c:v>1.2E-4</c:v>
                </c:pt>
                <c:pt idx="2">
                  <c:v>1.44E-4</c:v>
                </c:pt>
                <c:pt idx="3">
                  <c:v>1.728E-4</c:v>
                </c:pt>
                <c:pt idx="4">
                  <c:v>2.0735999999999999E-4</c:v>
                </c:pt>
                <c:pt idx="5">
                  <c:v>2.4883199999999999E-4</c:v>
                </c:pt>
                <c:pt idx="6">
                  <c:v>2.9859839999999999E-4</c:v>
                </c:pt>
                <c:pt idx="7">
                  <c:v>3.5831808E-4</c:v>
                </c:pt>
                <c:pt idx="8">
                  <c:v>4.29981696E-4</c:v>
                </c:pt>
                <c:pt idx="9">
                  <c:v>5.1597803519999998E-4</c:v>
                </c:pt>
                <c:pt idx="10">
                  <c:v>6.1917364223999999E-4</c:v>
                </c:pt>
                <c:pt idx="11">
                  <c:v>7.4300837068800002E-4</c:v>
                </c:pt>
                <c:pt idx="12">
                  <c:v>8.9161004482559997E-4</c:v>
                </c:pt>
                <c:pt idx="13">
                  <c:v>1.0699320537907199E-3</c:v>
                </c:pt>
                <c:pt idx="14">
                  <c:v>1.283918464548864E-3</c:v>
                </c:pt>
                <c:pt idx="15">
                  <c:v>1.540702157458637E-3</c:v>
                </c:pt>
                <c:pt idx="16">
                  <c:v>1.848842588950364E-3</c:v>
                </c:pt>
                <c:pt idx="17">
                  <c:v>2.218611106740436E-3</c:v>
                </c:pt>
                <c:pt idx="18">
                  <c:v>2.662333328088524E-3</c:v>
                </c:pt>
                <c:pt idx="19">
                  <c:v>3.1947999937062279E-3</c:v>
                </c:pt>
                <c:pt idx="20">
                  <c:v>3.833759992447474E-3</c:v>
                </c:pt>
                <c:pt idx="21">
                  <c:v>4.6005119909369686E-3</c:v>
                </c:pt>
                <c:pt idx="22">
                  <c:v>5.5206143891243621E-3</c:v>
                </c:pt>
                <c:pt idx="23">
                  <c:v>6.6247372669492348E-3</c:v>
                </c:pt>
                <c:pt idx="24">
                  <c:v>7.9496847203390821E-3</c:v>
                </c:pt>
                <c:pt idx="25">
                  <c:v>9.5396216644068974E-3</c:v>
                </c:pt>
                <c:pt idx="26">
                  <c:v>1.144754599728828E-2</c:v>
                </c:pt>
                <c:pt idx="27">
                  <c:v>1.373705519674593E-2</c:v>
                </c:pt>
                <c:pt idx="28">
                  <c:v>1.6484466236095119E-2</c:v>
                </c:pt>
                <c:pt idx="29">
                  <c:v>1.9781359483314141E-2</c:v>
                </c:pt>
                <c:pt idx="30">
                  <c:v>2.3737631379976969E-2</c:v>
                </c:pt>
                <c:pt idx="31">
                  <c:v>2.848515765597236E-2</c:v>
                </c:pt>
                <c:pt idx="32">
                  <c:v>3.4182189187166832E-2</c:v>
                </c:pt>
                <c:pt idx="33">
                  <c:v>4.1018627024600199E-2</c:v>
                </c:pt>
                <c:pt idx="34">
                  <c:v>4.99E-2</c:v>
                </c:pt>
                <c:pt idx="35">
                  <c:v>5.9880000000000003E-2</c:v>
                </c:pt>
                <c:pt idx="36">
                  <c:v>7.1855999999999989E-2</c:v>
                </c:pt>
                <c:pt idx="37">
                  <c:v>8.622719999999999E-2</c:v>
                </c:pt>
                <c:pt idx="38">
                  <c:v>0.10347264</c:v>
                </c:pt>
                <c:pt idx="39">
                  <c:v>0.02</c:v>
                </c:pt>
                <c:pt idx="40">
                  <c:v>0.02</c:v>
                </c:pt>
              </c:numCache>
            </c:numRef>
          </c:xVal>
          <c:yVal>
            <c:numRef>
              <c:f>'Frye-Jacobs'!$E$8:$E$48</c:f>
              <c:numCache>
                <c:formatCode>0.00%</c:formatCode>
                <c:ptCount val="41"/>
                <c:pt idx="0">
                  <c:v>9.8027193896013776E-2</c:v>
                </c:pt>
                <c:pt idx="1">
                  <c:v>0.10043664480525021</c:v>
                </c:pt>
                <c:pt idx="2">
                  <c:v>0.1029313567924499</c:v>
                </c:pt>
                <c:pt idx="3">
                  <c:v>0.1055155606498301</c:v>
                </c:pt>
                <c:pt idx="4">
                  <c:v>0.1081937700003883</c:v>
                </c:pt>
                <c:pt idx="5">
                  <c:v>0.11097080575181401</c:v>
                </c:pt>
                <c:pt idx="6">
                  <c:v>0.11385182319077169</c:v>
                </c:pt>
                <c:pt idx="7">
                  <c:v>0.1168423420636823</c:v>
                </c:pt>
                <c:pt idx="8">
                  <c:v>0.11994828004407571</c:v>
                </c:pt>
                <c:pt idx="9">
                  <c:v>0.1231759900502782</c:v>
                </c:pt>
                <c:pt idx="10">
                  <c:v>0.126532301952726</c:v>
                </c:pt>
                <c:pt idx="11">
                  <c:v>0.13002456930016371</c:v>
                </c:pt>
                <c:pt idx="12">
                  <c:v>0.1336607218014613</c:v>
                </c:pt>
                <c:pt idx="13">
                  <c:v>0.13744932442876501</c:v>
                </c:pt>
                <c:pt idx="14">
                  <c:v>0.14139964416316439</c:v>
                </c:pt>
                <c:pt idx="15">
                  <c:v>0.14552172559225079</c:v>
                </c:pt>
                <c:pt idx="16">
                  <c:v>0.1498264767978682</c:v>
                </c:pt>
                <c:pt idx="17">
                  <c:v>0.15432576725221189</c:v>
                </c:pt>
                <c:pt idx="18">
                  <c:v>0.15903253978435891</c:v>
                </c:pt>
                <c:pt idx="19">
                  <c:v>0.16396093910429049</c:v>
                </c:pt>
                <c:pt idx="20">
                  <c:v>0.1691264598997913</c:v>
                </c:pt>
                <c:pt idx="21">
                  <c:v>0.17454611818235061</c:v>
                </c:pt>
                <c:pt idx="22">
                  <c:v>0.18023865039015891</c:v>
                </c:pt>
                <c:pt idx="23">
                  <c:v>0.1862247458110709</c:v>
                </c:pt>
                <c:pt idx="24">
                  <c:v>0.19252731923585331</c:v>
                </c:pt>
                <c:pt idx="25">
                  <c:v>0.19917183248688361</c:v>
                </c:pt>
                <c:pt idx="26">
                  <c:v>0.20618667572037391</c:v>
                </c:pt>
                <c:pt idx="27">
                  <c:v>0.21360362235261471</c:v>
                </c:pt>
                <c:pt idx="28">
                  <c:v>0.22145837536786461</c:v>
                </c:pt>
                <c:pt idx="29">
                  <c:v>0.22979122799119381</c:v>
                </c:pt>
                <c:pt idx="30">
                  <c:v>0.23864786877892361</c:v>
                </c:pt>
                <c:pt idx="31">
                  <c:v>0.24808037086207979</c:v>
                </c:pt>
                <c:pt idx="32">
                  <c:v>0.25814841852071257</c:v>
                </c:pt>
                <c:pt idx="33">
                  <c:v>0.26892084320607612</c:v>
                </c:pt>
                <c:pt idx="34">
                  <c:v>0.281378384792971</c:v>
                </c:pt>
                <c:pt idx="35">
                  <c:v>0.2938829622528325</c:v>
                </c:pt>
                <c:pt idx="36">
                  <c:v>0.30738473899609198</c:v>
                </c:pt>
                <c:pt idx="37">
                  <c:v>0.32201692466387449</c:v>
                </c:pt>
                <c:pt idx="38">
                  <c:v>0.3379400505472962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2-4A56-82B6-1181B0E60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315936"/>
        <c:axId val="1654316416"/>
      </c:scatterChart>
      <c:valAx>
        <c:axId val="165431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16416"/>
        <c:crosses val="autoZero"/>
        <c:crossBetween val="midCat"/>
      </c:valAx>
      <c:valAx>
        <c:axId val="16543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1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500"/>
              <a:t>LGD Variation</a:t>
            </a:r>
            <a:r>
              <a:rPr lang="en-IN" sz="3500" baseline="0"/>
              <a:t> per Grade</a:t>
            </a:r>
            <a:endParaRPr lang="en-IN" sz="3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'LGD Unsecured'!$H$33:$AQ$33</c:f>
              <c:numCache>
                <c:formatCode>0.00%</c:formatCode>
                <c:ptCount val="36"/>
                <c:pt idx="0">
                  <c:v>0.66786979720330975</c:v>
                </c:pt>
                <c:pt idx="1">
                  <c:v>0.668034450386923</c:v>
                </c:pt>
                <c:pt idx="2">
                  <c:v>0.66761883305452485</c:v>
                </c:pt>
                <c:pt idx="3">
                  <c:v>0.66795235060143909</c:v>
                </c:pt>
                <c:pt idx="4">
                  <c:v>0.66753387380725904</c:v>
                </c:pt>
                <c:pt idx="5">
                  <c:v>0.66744815505719779</c:v>
                </c:pt>
                <c:pt idx="6">
                  <c:v>0.66744815505719779</c:v>
                </c:pt>
                <c:pt idx="7">
                  <c:v>0.66770309836357022</c:v>
                </c:pt>
                <c:pt idx="8">
                  <c:v>0.66718574080349424</c:v>
                </c:pt>
                <c:pt idx="9">
                  <c:v>0.66770309836357022</c:v>
                </c:pt>
                <c:pt idx="10">
                  <c:v>0.66736160837461433</c:v>
                </c:pt>
                <c:pt idx="11">
                  <c:v>0.66761883305452485</c:v>
                </c:pt>
                <c:pt idx="12">
                  <c:v>0.66736160837461433</c:v>
                </c:pt>
                <c:pt idx="13">
                  <c:v>0.66727416207708434</c:v>
                </c:pt>
                <c:pt idx="14">
                  <c:v>0.66786979720330975</c:v>
                </c:pt>
                <c:pt idx="15">
                  <c:v>0.66761883305452485</c:v>
                </c:pt>
                <c:pt idx="16">
                  <c:v>0.66727416207708434</c:v>
                </c:pt>
                <c:pt idx="17">
                  <c:v>0.668034450386923</c:v>
                </c:pt>
                <c:pt idx="18">
                  <c:v>0.66744815505719779</c:v>
                </c:pt>
                <c:pt idx="19">
                  <c:v>0.668034450386923</c:v>
                </c:pt>
                <c:pt idx="20">
                  <c:v>0.668034450386923</c:v>
                </c:pt>
                <c:pt idx="21">
                  <c:v>0.668034450386923</c:v>
                </c:pt>
                <c:pt idx="22">
                  <c:v>0.668034450386923</c:v>
                </c:pt>
                <c:pt idx="23">
                  <c:v>0.668034450386923</c:v>
                </c:pt>
                <c:pt idx="24">
                  <c:v>0.668034450386923</c:v>
                </c:pt>
                <c:pt idx="25">
                  <c:v>0.668034450386923</c:v>
                </c:pt>
                <c:pt idx="26">
                  <c:v>0.668034450386923</c:v>
                </c:pt>
                <c:pt idx="27">
                  <c:v>0.668034450386923</c:v>
                </c:pt>
                <c:pt idx="28">
                  <c:v>0.668034450386923</c:v>
                </c:pt>
                <c:pt idx="29">
                  <c:v>0.668034450386923</c:v>
                </c:pt>
                <c:pt idx="30">
                  <c:v>0.668034450386923</c:v>
                </c:pt>
                <c:pt idx="31">
                  <c:v>0.668034450386923</c:v>
                </c:pt>
                <c:pt idx="32">
                  <c:v>0.668034450386923</c:v>
                </c:pt>
                <c:pt idx="33">
                  <c:v>0.668034450386923</c:v>
                </c:pt>
                <c:pt idx="34">
                  <c:v>0.668034450386923</c:v>
                </c:pt>
                <c:pt idx="35">
                  <c:v>0.668034450386923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5-4EC6-85D7-0FB6AC572E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'LGD Unsecured'!$H$34:$AQ$34</c:f>
              <c:numCache>
                <c:formatCode>0.00%</c:formatCode>
                <c:ptCount val="36"/>
                <c:pt idx="0">
                  <c:v>0.66786979720330975</c:v>
                </c:pt>
                <c:pt idx="1">
                  <c:v>0.668034450386923</c:v>
                </c:pt>
                <c:pt idx="2">
                  <c:v>0.66761883305452485</c:v>
                </c:pt>
                <c:pt idx="3">
                  <c:v>0.66795235060143909</c:v>
                </c:pt>
                <c:pt idx="4">
                  <c:v>0.66753387380725904</c:v>
                </c:pt>
                <c:pt idx="5">
                  <c:v>0.66744815505719779</c:v>
                </c:pt>
                <c:pt idx="6">
                  <c:v>0.66744815505719779</c:v>
                </c:pt>
                <c:pt idx="7">
                  <c:v>0.66770309836357022</c:v>
                </c:pt>
                <c:pt idx="8">
                  <c:v>0.66718574080349424</c:v>
                </c:pt>
                <c:pt idx="9">
                  <c:v>0.66770309836357022</c:v>
                </c:pt>
                <c:pt idx="10">
                  <c:v>0.66736160837461433</c:v>
                </c:pt>
                <c:pt idx="11">
                  <c:v>0.66761883305452485</c:v>
                </c:pt>
                <c:pt idx="12">
                  <c:v>0.66736160837461433</c:v>
                </c:pt>
                <c:pt idx="13">
                  <c:v>0.66727416207708434</c:v>
                </c:pt>
                <c:pt idx="14">
                  <c:v>0.66786979720330975</c:v>
                </c:pt>
                <c:pt idx="15">
                  <c:v>0.66761883305452485</c:v>
                </c:pt>
                <c:pt idx="16">
                  <c:v>0.66727416207708434</c:v>
                </c:pt>
                <c:pt idx="17">
                  <c:v>0.668034450386923</c:v>
                </c:pt>
                <c:pt idx="18">
                  <c:v>0.66744815505719779</c:v>
                </c:pt>
                <c:pt idx="19">
                  <c:v>0.668034450386923</c:v>
                </c:pt>
                <c:pt idx="20">
                  <c:v>0.668034450386923</c:v>
                </c:pt>
                <c:pt idx="21">
                  <c:v>0.668034450386923</c:v>
                </c:pt>
                <c:pt idx="22">
                  <c:v>0.668034450386923</c:v>
                </c:pt>
                <c:pt idx="23">
                  <c:v>0.668034450386923</c:v>
                </c:pt>
                <c:pt idx="24">
                  <c:v>0.668034450386923</c:v>
                </c:pt>
                <c:pt idx="25">
                  <c:v>0.668034450386923</c:v>
                </c:pt>
                <c:pt idx="26">
                  <c:v>0.668034450386923</c:v>
                </c:pt>
                <c:pt idx="27">
                  <c:v>0.668034450386923</c:v>
                </c:pt>
                <c:pt idx="28">
                  <c:v>0.668034450386923</c:v>
                </c:pt>
                <c:pt idx="29">
                  <c:v>0.668034450386923</c:v>
                </c:pt>
                <c:pt idx="30">
                  <c:v>0.668034450386923</c:v>
                </c:pt>
                <c:pt idx="31">
                  <c:v>0.668034450386923</c:v>
                </c:pt>
                <c:pt idx="32">
                  <c:v>0.668034450386923</c:v>
                </c:pt>
                <c:pt idx="33">
                  <c:v>0.668034450386923</c:v>
                </c:pt>
                <c:pt idx="34">
                  <c:v>0.668034450386923</c:v>
                </c:pt>
                <c:pt idx="35">
                  <c:v>0.668034450386923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5-4EC6-85D7-0FB6AC572EB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'LGD Unsecured'!$H$35:$AQ$35</c:f>
              <c:numCache>
                <c:formatCode>0.00%</c:formatCode>
                <c:ptCount val="36"/>
                <c:pt idx="0">
                  <c:v>0.66786979720330975</c:v>
                </c:pt>
                <c:pt idx="1">
                  <c:v>0.668034450386923</c:v>
                </c:pt>
                <c:pt idx="2">
                  <c:v>0.66761883305452485</c:v>
                </c:pt>
                <c:pt idx="3">
                  <c:v>0.66795235060143909</c:v>
                </c:pt>
                <c:pt idx="4">
                  <c:v>0.66753387380725904</c:v>
                </c:pt>
                <c:pt idx="5">
                  <c:v>0.66744815505719779</c:v>
                </c:pt>
                <c:pt idx="6">
                  <c:v>0.66744815505719779</c:v>
                </c:pt>
                <c:pt idx="7">
                  <c:v>0.66770309836357022</c:v>
                </c:pt>
                <c:pt idx="8">
                  <c:v>0.66718574080349424</c:v>
                </c:pt>
                <c:pt idx="9">
                  <c:v>0.66770309836357022</c:v>
                </c:pt>
                <c:pt idx="10">
                  <c:v>0.66736160837461433</c:v>
                </c:pt>
                <c:pt idx="11">
                  <c:v>0.66761883305452485</c:v>
                </c:pt>
                <c:pt idx="12">
                  <c:v>0.66736160837461433</c:v>
                </c:pt>
                <c:pt idx="13">
                  <c:v>0.66727416207708434</c:v>
                </c:pt>
                <c:pt idx="14">
                  <c:v>0.66786979720330975</c:v>
                </c:pt>
                <c:pt idx="15">
                  <c:v>0.66761883305452485</c:v>
                </c:pt>
                <c:pt idx="16">
                  <c:v>0.66727416207708434</c:v>
                </c:pt>
                <c:pt idx="17">
                  <c:v>0.668034450386923</c:v>
                </c:pt>
                <c:pt idx="18">
                  <c:v>0.66744815505719779</c:v>
                </c:pt>
                <c:pt idx="19">
                  <c:v>0.668034450386923</c:v>
                </c:pt>
                <c:pt idx="20">
                  <c:v>0.668034450386923</c:v>
                </c:pt>
                <c:pt idx="21">
                  <c:v>0.668034450386923</c:v>
                </c:pt>
                <c:pt idx="22">
                  <c:v>0.668034450386923</c:v>
                </c:pt>
                <c:pt idx="23">
                  <c:v>0.668034450386923</c:v>
                </c:pt>
                <c:pt idx="24">
                  <c:v>0.668034450386923</c:v>
                </c:pt>
                <c:pt idx="25">
                  <c:v>0.668034450386923</c:v>
                </c:pt>
                <c:pt idx="26">
                  <c:v>0.668034450386923</c:v>
                </c:pt>
                <c:pt idx="27">
                  <c:v>0.668034450386923</c:v>
                </c:pt>
                <c:pt idx="28">
                  <c:v>0.668034450386923</c:v>
                </c:pt>
                <c:pt idx="29">
                  <c:v>0.668034450386923</c:v>
                </c:pt>
                <c:pt idx="30">
                  <c:v>0.668034450386923</c:v>
                </c:pt>
                <c:pt idx="31">
                  <c:v>0.668034450386923</c:v>
                </c:pt>
                <c:pt idx="32">
                  <c:v>0.668034450386923</c:v>
                </c:pt>
                <c:pt idx="33">
                  <c:v>0.668034450386923</c:v>
                </c:pt>
                <c:pt idx="34">
                  <c:v>0.668034450386923</c:v>
                </c:pt>
                <c:pt idx="35">
                  <c:v>0.668034450386923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5-4EC6-85D7-0FB6AC572EB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'LGD Unsecured'!$H$36:$AQ$36</c:f>
              <c:numCache>
                <c:formatCode>0.00%</c:formatCode>
                <c:ptCount val="36"/>
                <c:pt idx="0">
                  <c:v>0.66786979720330975</c:v>
                </c:pt>
                <c:pt idx="1">
                  <c:v>0.668034450386923</c:v>
                </c:pt>
                <c:pt idx="2">
                  <c:v>0.66761883305452485</c:v>
                </c:pt>
                <c:pt idx="3">
                  <c:v>0.66795235060143909</c:v>
                </c:pt>
                <c:pt idx="4">
                  <c:v>0.66753387380725904</c:v>
                </c:pt>
                <c:pt idx="5">
                  <c:v>0.66744815505719779</c:v>
                </c:pt>
                <c:pt idx="6">
                  <c:v>0.66744815505719779</c:v>
                </c:pt>
                <c:pt idx="7">
                  <c:v>0.66770309836357022</c:v>
                </c:pt>
                <c:pt idx="8">
                  <c:v>0.66718574080349424</c:v>
                </c:pt>
                <c:pt idx="9">
                  <c:v>0.66770309836357022</c:v>
                </c:pt>
                <c:pt idx="10">
                  <c:v>0.66736160837461433</c:v>
                </c:pt>
                <c:pt idx="11">
                  <c:v>0.66761883305452485</c:v>
                </c:pt>
                <c:pt idx="12">
                  <c:v>0.66736160837461433</c:v>
                </c:pt>
                <c:pt idx="13">
                  <c:v>0.66727416207708434</c:v>
                </c:pt>
                <c:pt idx="14">
                  <c:v>0.66786979720330975</c:v>
                </c:pt>
                <c:pt idx="15">
                  <c:v>0.66761883305452485</c:v>
                </c:pt>
                <c:pt idx="16">
                  <c:v>0.66727416207708434</c:v>
                </c:pt>
                <c:pt idx="17">
                  <c:v>0.668034450386923</c:v>
                </c:pt>
                <c:pt idx="18">
                  <c:v>0.66744815505719779</c:v>
                </c:pt>
                <c:pt idx="19">
                  <c:v>0.668034450386923</c:v>
                </c:pt>
                <c:pt idx="20">
                  <c:v>0.668034450386923</c:v>
                </c:pt>
                <c:pt idx="21">
                  <c:v>0.668034450386923</c:v>
                </c:pt>
                <c:pt idx="22">
                  <c:v>0.668034450386923</c:v>
                </c:pt>
                <c:pt idx="23">
                  <c:v>0.668034450386923</c:v>
                </c:pt>
                <c:pt idx="24">
                  <c:v>0.668034450386923</c:v>
                </c:pt>
                <c:pt idx="25">
                  <c:v>0.668034450386923</c:v>
                </c:pt>
                <c:pt idx="26">
                  <c:v>0.668034450386923</c:v>
                </c:pt>
                <c:pt idx="27">
                  <c:v>0.668034450386923</c:v>
                </c:pt>
                <c:pt idx="28">
                  <c:v>0.668034450386923</c:v>
                </c:pt>
                <c:pt idx="29">
                  <c:v>0.668034450386923</c:v>
                </c:pt>
                <c:pt idx="30">
                  <c:v>0.668034450386923</c:v>
                </c:pt>
                <c:pt idx="31">
                  <c:v>0.668034450386923</c:v>
                </c:pt>
                <c:pt idx="32">
                  <c:v>0.668034450386923</c:v>
                </c:pt>
                <c:pt idx="33">
                  <c:v>0.668034450386923</c:v>
                </c:pt>
                <c:pt idx="34">
                  <c:v>0.668034450386923</c:v>
                </c:pt>
                <c:pt idx="35">
                  <c:v>0.668034450386923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E5-4EC6-85D7-0FB6AC572EB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'LGD Unsecured'!$H$37:$AQ$37</c:f>
              <c:numCache>
                <c:formatCode>0.00%</c:formatCode>
                <c:ptCount val="36"/>
                <c:pt idx="0">
                  <c:v>0.66786979720330975</c:v>
                </c:pt>
                <c:pt idx="1">
                  <c:v>0.668034450386923</c:v>
                </c:pt>
                <c:pt idx="2">
                  <c:v>0.66761883305452485</c:v>
                </c:pt>
                <c:pt idx="3">
                  <c:v>0.66795235060143909</c:v>
                </c:pt>
                <c:pt idx="4">
                  <c:v>0.66753387380725904</c:v>
                </c:pt>
                <c:pt idx="5">
                  <c:v>0.66744815505719779</c:v>
                </c:pt>
                <c:pt idx="6">
                  <c:v>0.66744815505719779</c:v>
                </c:pt>
                <c:pt idx="7">
                  <c:v>0.66770309836357022</c:v>
                </c:pt>
                <c:pt idx="8">
                  <c:v>0.66718574080349424</c:v>
                </c:pt>
                <c:pt idx="9">
                  <c:v>0.66770309836357022</c:v>
                </c:pt>
                <c:pt idx="10">
                  <c:v>0.66736160837461433</c:v>
                </c:pt>
                <c:pt idx="11">
                  <c:v>0.66761883305452485</c:v>
                </c:pt>
                <c:pt idx="12">
                  <c:v>0.66736160837461433</c:v>
                </c:pt>
                <c:pt idx="13">
                  <c:v>0.66727416207708434</c:v>
                </c:pt>
                <c:pt idx="14">
                  <c:v>0.66786979720330975</c:v>
                </c:pt>
                <c:pt idx="15">
                  <c:v>0.66761883305452485</c:v>
                </c:pt>
                <c:pt idx="16">
                  <c:v>0.66727416207708434</c:v>
                </c:pt>
                <c:pt idx="17">
                  <c:v>0.668034450386923</c:v>
                </c:pt>
                <c:pt idx="18">
                  <c:v>0.66744815505719779</c:v>
                </c:pt>
                <c:pt idx="19">
                  <c:v>0.668034450386923</c:v>
                </c:pt>
                <c:pt idx="20">
                  <c:v>0.668034450386923</c:v>
                </c:pt>
                <c:pt idx="21">
                  <c:v>0.668034450386923</c:v>
                </c:pt>
                <c:pt idx="22">
                  <c:v>0.668034450386923</c:v>
                </c:pt>
                <c:pt idx="23">
                  <c:v>0.668034450386923</c:v>
                </c:pt>
                <c:pt idx="24">
                  <c:v>0.668034450386923</c:v>
                </c:pt>
                <c:pt idx="25">
                  <c:v>0.668034450386923</c:v>
                </c:pt>
                <c:pt idx="26">
                  <c:v>0.668034450386923</c:v>
                </c:pt>
                <c:pt idx="27">
                  <c:v>0.668034450386923</c:v>
                </c:pt>
                <c:pt idx="28">
                  <c:v>0.668034450386923</c:v>
                </c:pt>
                <c:pt idx="29">
                  <c:v>0.668034450386923</c:v>
                </c:pt>
                <c:pt idx="30">
                  <c:v>0.668034450386923</c:v>
                </c:pt>
                <c:pt idx="31">
                  <c:v>0.668034450386923</c:v>
                </c:pt>
                <c:pt idx="32">
                  <c:v>0.668034450386923</c:v>
                </c:pt>
                <c:pt idx="33">
                  <c:v>0.668034450386923</c:v>
                </c:pt>
                <c:pt idx="34">
                  <c:v>0.668034450386923</c:v>
                </c:pt>
                <c:pt idx="35">
                  <c:v>0.668034450386923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5-4EC6-85D7-0FB6AC572EB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'LGD Unsecured'!$H$38:$AQ$38</c:f>
              <c:numCache>
                <c:formatCode>0.00%</c:formatCode>
                <c:ptCount val="36"/>
                <c:pt idx="0">
                  <c:v>0.66786979720330975</c:v>
                </c:pt>
                <c:pt idx="1">
                  <c:v>0.668034450386923</c:v>
                </c:pt>
                <c:pt idx="2">
                  <c:v>0.66761883305452485</c:v>
                </c:pt>
                <c:pt idx="3">
                  <c:v>0.66795235060143909</c:v>
                </c:pt>
                <c:pt idx="4">
                  <c:v>0.66753387380725904</c:v>
                </c:pt>
                <c:pt idx="5">
                  <c:v>0.66744815505719779</c:v>
                </c:pt>
                <c:pt idx="6">
                  <c:v>0.66744815505719779</c:v>
                </c:pt>
                <c:pt idx="7">
                  <c:v>0.66770309836357022</c:v>
                </c:pt>
                <c:pt idx="8">
                  <c:v>0.66718574080349424</c:v>
                </c:pt>
                <c:pt idx="9">
                  <c:v>0.66770309836357022</c:v>
                </c:pt>
                <c:pt idx="10">
                  <c:v>0.66736160837461433</c:v>
                </c:pt>
                <c:pt idx="11">
                  <c:v>0.66761883305452485</c:v>
                </c:pt>
                <c:pt idx="12">
                  <c:v>0.66736160837461433</c:v>
                </c:pt>
                <c:pt idx="13">
                  <c:v>0.66727416207708434</c:v>
                </c:pt>
                <c:pt idx="14">
                  <c:v>0.66786979720330975</c:v>
                </c:pt>
                <c:pt idx="15">
                  <c:v>0.66761883305452485</c:v>
                </c:pt>
                <c:pt idx="16">
                  <c:v>0.66727416207708434</c:v>
                </c:pt>
                <c:pt idx="17">
                  <c:v>0.668034450386923</c:v>
                </c:pt>
                <c:pt idx="18">
                  <c:v>0.66744815505719779</c:v>
                </c:pt>
                <c:pt idx="19">
                  <c:v>0.668034450386923</c:v>
                </c:pt>
                <c:pt idx="20">
                  <c:v>0.668034450386923</c:v>
                </c:pt>
                <c:pt idx="21">
                  <c:v>0.668034450386923</c:v>
                </c:pt>
                <c:pt idx="22">
                  <c:v>0.668034450386923</c:v>
                </c:pt>
                <c:pt idx="23">
                  <c:v>0.668034450386923</c:v>
                </c:pt>
                <c:pt idx="24">
                  <c:v>0.668034450386923</c:v>
                </c:pt>
                <c:pt idx="25">
                  <c:v>0.668034450386923</c:v>
                </c:pt>
                <c:pt idx="26">
                  <c:v>0.668034450386923</c:v>
                </c:pt>
                <c:pt idx="27">
                  <c:v>0.668034450386923</c:v>
                </c:pt>
                <c:pt idx="28">
                  <c:v>0.668034450386923</c:v>
                </c:pt>
                <c:pt idx="29">
                  <c:v>0.668034450386923</c:v>
                </c:pt>
                <c:pt idx="30">
                  <c:v>0.668034450386923</c:v>
                </c:pt>
                <c:pt idx="31">
                  <c:v>0.668034450386923</c:v>
                </c:pt>
                <c:pt idx="32">
                  <c:v>0.668034450386923</c:v>
                </c:pt>
                <c:pt idx="33">
                  <c:v>0.668034450386923</c:v>
                </c:pt>
                <c:pt idx="34">
                  <c:v>0.668034450386923</c:v>
                </c:pt>
                <c:pt idx="35">
                  <c:v>0.668034450386923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E5-4EC6-85D7-0FB6AC572EB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'LGD Unsecured'!$H$39:$AQ$39</c:f>
              <c:numCache>
                <c:formatCode>0.00%</c:formatCode>
                <c:ptCount val="36"/>
                <c:pt idx="0">
                  <c:v>0.66775994328602017</c:v>
                </c:pt>
                <c:pt idx="1">
                  <c:v>0.66795244812108923</c:v>
                </c:pt>
                <c:pt idx="2">
                  <c:v>0.66746657702289003</c:v>
                </c:pt>
                <c:pt idx="3">
                  <c:v>0.66785645766605928</c:v>
                </c:pt>
                <c:pt idx="4">
                  <c:v>0.66736727680595553</c:v>
                </c:pt>
                <c:pt idx="5">
                  <c:v>0.66726709578377008</c:v>
                </c:pt>
                <c:pt idx="6">
                  <c:v>0.66726709578377008</c:v>
                </c:pt>
                <c:pt idx="7">
                  <c:v>0.6675650728968161</c:v>
                </c:pt>
                <c:pt idx="8">
                  <c:v>0.66696045062559084</c:v>
                </c:pt>
                <c:pt idx="9">
                  <c:v>0.6675650728968161</c:v>
                </c:pt>
                <c:pt idx="10">
                  <c:v>0.6671659541684144</c:v>
                </c:pt>
                <c:pt idx="11">
                  <c:v>0.66746657702289003</c:v>
                </c:pt>
                <c:pt idx="12">
                  <c:v>0.6671659541684144</c:v>
                </c:pt>
                <c:pt idx="13">
                  <c:v>0.66706376839491965</c:v>
                </c:pt>
                <c:pt idx="14">
                  <c:v>0.66775994328602017</c:v>
                </c:pt>
                <c:pt idx="15">
                  <c:v>0.66746657702289003</c:v>
                </c:pt>
                <c:pt idx="16">
                  <c:v>0.66706376839491965</c:v>
                </c:pt>
                <c:pt idx="17">
                  <c:v>0.66795244812108923</c:v>
                </c:pt>
                <c:pt idx="18">
                  <c:v>0.66726709578377008</c:v>
                </c:pt>
                <c:pt idx="19">
                  <c:v>0.66795244812108923</c:v>
                </c:pt>
                <c:pt idx="20">
                  <c:v>0.66795244812108923</c:v>
                </c:pt>
                <c:pt idx="21">
                  <c:v>0.66795244812108923</c:v>
                </c:pt>
                <c:pt idx="22">
                  <c:v>0.66795244812108923</c:v>
                </c:pt>
                <c:pt idx="23">
                  <c:v>0.66795244812108923</c:v>
                </c:pt>
                <c:pt idx="24">
                  <c:v>0.66795244812108923</c:v>
                </c:pt>
                <c:pt idx="25">
                  <c:v>0.66795244812108923</c:v>
                </c:pt>
                <c:pt idx="26">
                  <c:v>0.66795244812108923</c:v>
                </c:pt>
                <c:pt idx="27">
                  <c:v>0.66795244812108923</c:v>
                </c:pt>
                <c:pt idx="28">
                  <c:v>0.66795244812108923</c:v>
                </c:pt>
                <c:pt idx="29">
                  <c:v>0.66795244812108923</c:v>
                </c:pt>
                <c:pt idx="30">
                  <c:v>0.66795244812108923</c:v>
                </c:pt>
                <c:pt idx="31">
                  <c:v>0.66795244812108923</c:v>
                </c:pt>
                <c:pt idx="32">
                  <c:v>0.66795244812108923</c:v>
                </c:pt>
                <c:pt idx="33">
                  <c:v>0.66795244812108923</c:v>
                </c:pt>
                <c:pt idx="34">
                  <c:v>0.66795244812108923</c:v>
                </c:pt>
                <c:pt idx="35">
                  <c:v>0.66795244812108923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5-4EC6-85D7-0FB6AC572EB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'LGD Unsecured'!$H$40:$AQ$40</c:f>
              <c:numCache>
                <c:formatCode>0.00%</c:formatCode>
                <c:ptCount val="36"/>
                <c:pt idx="0">
                  <c:v>0.66761179507899482</c:v>
                </c:pt>
                <c:pt idx="1">
                  <c:v>0.66784192214423621</c:v>
                </c:pt>
                <c:pt idx="2">
                  <c:v>0.66726117634163373</c:v>
                </c:pt>
                <c:pt idx="3">
                  <c:v>0.6677271664574207</c:v>
                </c:pt>
                <c:pt idx="4">
                  <c:v>0.66714251927830337</c:v>
                </c:pt>
                <c:pt idx="5">
                  <c:v>0.66702282111296041</c:v>
                </c:pt>
                <c:pt idx="6">
                  <c:v>0.66702282111296041</c:v>
                </c:pt>
                <c:pt idx="7">
                  <c:v>0.66737888339564133</c:v>
                </c:pt>
                <c:pt idx="8">
                  <c:v>0.66665650676366828</c:v>
                </c:pt>
                <c:pt idx="9">
                  <c:v>0.66737888339564133</c:v>
                </c:pt>
                <c:pt idx="10">
                  <c:v>0.66690198681672608</c:v>
                </c:pt>
                <c:pt idx="11">
                  <c:v>0.66726117634163373</c:v>
                </c:pt>
                <c:pt idx="12">
                  <c:v>0.66690198681672608</c:v>
                </c:pt>
                <c:pt idx="13">
                  <c:v>0.6667799168880767</c:v>
                </c:pt>
                <c:pt idx="14">
                  <c:v>0.66761179507899482</c:v>
                </c:pt>
                <c:pt idx="15">
                  <c:v>0.66726117634163373</c:v>
                </c:pt>
                <c:pt idx="16">
                  <c:v>0.6667799168880767</c:v>
                </c:pt>
                <c:pt idx="17">
                  <c:v>0.66784192214423621</c:v>
                </c:pt>
                <c:pt idx="18">
                  <c:v>0.66702282111296041</c:v>
                </c:pt>
                <c:pt idx="19">
                  <c:v>0.66784192214423621</c:v>
                </c:pt>
                <c:pt idx="20">
                  <c:v>0.66784192214423621</c:v>
                </c:pt>
                <c:pt idx="21">
                  <c:v>0.66784192214423621</c:v>
                </c:pt>
                <c:pt idx="22">
                  <c:v>0.66784192214423621</c:v>
                </c:pt>
                <c:pt idx="23">
                  <c:v>0.66784192214423621</c:v>
                </c:pt>
                <c:pt idx="24">
                  <c:v>0.66784192214423621</c:v>
                </c:pt>
                <c:pt idx="25">
                  <c:v>0.66784192214423621</c:v>
                </c:pt>
                <c:pt idx="26">
                  <c:v>0.66784192214423621</c:v>
                </c:pt>
                <c:pt idx="27">
                  <c:v>0.66784192214423621</c:v>
                </c:pt>
                <c:pt idx="28">
                  <c:v>0.66784192214423621</c:v>
                </c:pt>
                <c:pt idx="29">
                  <c:v>0.66784192214423621</c:v>
                </c:pt>
                <c:pt idx="30">
                  <c:v>0.66784192214423621</c:v>
                </c:pt>
                <c:pt idx="31">
                  <c:v>0.66784192214423621</c:v>
                </c:pt>
                <c:pt idx="32">
                  <c:v>0.66784192214423621</c:v>
                </c:pt>
                <c:pt idx="33">
                  <c:v>0.66784192214423621</c:v>
                </c:pt>
                <c:pt idx="34">
                  <c:v>0.66784192214423621</c:v>
                </c:pt>
                <c:pt idx="35">
                  <c:v>0.66784192214423621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E5-4EC6-85D7-0FB6AC572EB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'LGD Unsecured'!$H$41:$AQ$41</c:f>
              <c:numCache>
                <c:formatCode>0.00%</c:formatCode>
                <c:ptCount val="36"/>
                <c:pt idx="0">
                  <c:v>0.66756671534692458</c:v>
                </c:pt>
                <c:pt idx="1">
                  <c:v>0.66780831038649702</c:v>
                </c:pt>
                <c:pt idx="2">
                  <c:v>0.66719865106635812</c:v>
                </c:pt>
                <c:pt idx="3">
                  <c:v>0.66768783430032941</c:v>
                </c:pt>
                <c:pt idx="4">
                  <c:v>0.6670740973930962</c:v>
                </c:pt>
                <c:pt idx="5">
                  <c:v>0.66694845463617736</c:v>
                </c:pt>
                <c:pt idx="6">
                  <c:v>0.66694845463617736</c:v>
                </c:pt>
                <c:pt idx="7">
                  <c:v>0.66732221118657453</c:v>
                </c:pt>
                <c:pt idx="8">
                  <c:v>0.66656397133768097</c:v>
                </c:pt>
                <c:pt idx="9">
                  <c:v>0.66732221118657453</c:v>
                </c:pt>
                <c:pt idx="10">
                  <c:v>0.66682162314557603</c:v>
                </c:pt>
                <c:pt idx="11">
                  <c:v>0.66719865106635812</c:v>
                </c:pt>
                <c:pt idx="12">
                  <c:v>0.66682162314557603</c:v>
                </c:pt>
                <c:pt idx="13">
                  <c:v>0.66669349858963778</c:v>
                </c:pt>
                <c:pt idx="14">
                  <c:v>0.66756671534692458</c:v>
                </c:pt>
                <c:pt idx="15">
                  <c:v>0.66719865106635812</c:v>
                </c:pt>
                <c:pt idx="16">
                  <c:v>0.66669349858963778</c:v>
                </c:pt>
                <c:pt idx="17">
                  <c:v>0.66780831038649702</c:v>
                </c:pt>
                <c:pt idx="18">
                  <c:v>0.66694845463617736</c:v>
                </c:pt>
                <c:pt idx="19">
                  <c:v>0.66780831038649702</c:v>
                </c:pt>
                <c:pt idx="20">
                  <c:v>0.66780831038649702</c:v>
                </c:pt>
                <c:pt idx="21">
                  <c:v>0.66780831038649702</c:v>
                </c:pt>
                <c:pt idx="22">
                  <c:v>0.66780831038649702</c:v>
                </c:pt>
                <c:pt idx="23">
                  <c:v>0.66780831038649702</c:v>
                </c:pt>
                <c:pt idx="24">
                  <c:v>0.66780831038649702</c:v>
                </c:pt>
                <c:pt idx="25">
                  <c:v>0.66780831038649702</c:v>
                </c:pt>
                <c:pt idx="26">
                  <c:v>0.66780831038649702</c:v>
                </c:pt>
                <c:pt idx="27">
                  <c:v>0.66780831038649702</c:v>
                </c:pt>
                <c:pt idx="28">
                  <c:v>0.66780831038649702</c:v>
                </c:pt>
                <c:pt idx="29">
                  <c:v>0.66780831038649702</c:v>
                </c:pt>
                <c:pt idx="30">
                  <c:v>0.66780831038649702</c:v>
                </c:pt>
                <c:pt idx="31">
                  <c:v>0.66780831038649702</c:v>
                </c:pt>
                <c:pt idx="32">
                  <c:v>0.66780831038649702</c:v>
                </c:pt>
                <c:pt idx="33">
                  <c:v>0.66780831038649702</c:v>
                </c:pt>
                <c:pt idx="34">
                  <c:v>0.66780831038649702</c:v>
                </c:pt>
                <c:pt idx="35">
                  <c:v>0.66780831038649702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E5-4EC6-85D7-0FB6AC572EB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'LGD Unsecured'!$H$42:$AQ$42</c:f>
              <c:numCache>
                <c:formatCode>0.00%</c:formatCode>
                <c:ptCount val="36"/>
                <c:pt idx="0">
                  <c:v>0.66738912164445074</c:v>
                </c:pt>
                <c:pt idx="1">
                  <c:v>0.66767602315124486</c:v>
                </c:pt>
                <c:pt idx="2">
                  <c:v>0.66695216639649058</c:v>
                </c:pt>
                <c:pt idx="3">
                  <c:v>0.6675329454845792</c:v>
                </c:pt>
                <c:pt idx="4">
                  <c:v>0.66680433595782451</c:v>
                </c:pt>
                <c:pt idx="5">
                  <c:v>0.66665523133680327</c:v>
                </c:pt>
                <c:pt idx="6">
                  <c:v>0.66665523133680327</c:v>
                </c:pt>
                <c:pt idx="7">
                  <c:v>0.66709883560965766</c:v>
                </c:pt>
                <c:pt idx="8">
                  <c:v>0.66619906633409753</c:v>
                </c:pt>
                <c:pt idx="9">
                  <c:v>0.66709883560965766</c:v>
                </c:pt>
                <c:pt idx="10">
                  <c:v>0.66650473474759542</c:v>
                </c:pt>
                <c:pt idx="11">
                  <c:v>0.66695216639649058</c:v>
                </c:pt>
                <c:pt idx="12">
                  <c:v>0.66650473474759542</c:v>
                </c:pt>
                <c:pt idx="13">
                  <c:v>0.66635272291245373</c:v>
                </c:pt>
                <c:pt idx="14">
                  <c:v>0.66738912164445074</c:v>
                </c:pt>
                <c:pt idx="15">
                  <c:v>0.66695216639649058</c:v>
                </c:pt>
                <c:pt idx="16">
                  <c:v>0.66635272291245373</c:v>
                </c:pt>
                <c:pt idx="17">
                  <c:v>0.66767602315124486</c:v>
                </c:pt>
                <c:pt idx="18">
                  <c:v>0.66665523133680327</c:v>
                </c:pt>
                <c:pt idx="19">
                  <c:v>0.66767602315124486</c:v>
                </c:pt>
                <c:pt idx="20">
                  <c:v>0.66767602315124486</c:v>
                </c:pt>
                <c:pt idx="21">
                  <c:v>0.66767602315124486</c:v>
                </c:pt>
                <c:pt idx="22">
                  <c:v>0.66767602315124486</c:v>
                </c:pt>
                <c:pt idx="23">
                  <c:v>0.66767602315124486</c:v>
                </c:pt>
                <c:pt idx="24">
                  <c:v>0.66767602315124486</c:v>
                </c:pt>
                <c:pt idx="25">
                  <c:v>0.66767602315124486</c:v>
                </c:pt>
                <c:pt idx="26">
                  <c:v>0.66767602315124486</c:v>
                </c:pt>
                <c:pt idx="27">
                  <c:v>0.66767602315124486</c:v>
                </c:pt>
                <c:pt idx="28">
                  <c:v>0.66767602315124486</c:v>
                </c:pt>
                <c:pt idx="29">
                  <c:v>0.66767602315124486</c:v>
                </c:pt>
                <c:pt idx="30">
                  <c:v>0.66767602315124486</c:v>
                </c:pt>
                <c:pt idx="31">
                  <c:v>0.66767602315124486</c:v>
                </c:pt>
                <c:pt idx="32">
                  <c:v>0.66767602315124486</c:v>
                </c:pt>
                <c:pt idx="33">
                  <c:v>0.66767602315124486</c:v>
                </c:pt>
                <c:pt idx="34">
                  <c:v>0.66767602315124486</c:v>
                </c:pt>
                <c:pt idx="35">
                  <c:v>0.66767602315124486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E5-4EC6-85D7-0FB6AC572EB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'LGD Unsecured'!$H$43:$AQ$43</c:f>
              <c:numCache>
                <c:formatCode>0.00%</c:formatCode>
                <c:ptCount val="36"/>
                <c:pt idx="0">
                  <c:v>0.66718729671830279</c:v>
                </c:pt>
                <c:pt idx="1">
                  <c:v>0.66752601167469283</c:v>
                </c:pt>
                <c:pt idx="2">
                  <c:v>0.66667162418406212</c:v>
                </c:pt>
                <c:pt idx="3">
                  <c:v>0.66735708191379239</c:v>
                </c:pt>
                <c:pt idx="4">
                  <c:v>0.66649721532394468</c:v>
                </c:pt>
                <c:pt idx="5">
                  <c:v>0.66632133032391061</c:v>
                </c:pt>
                <c:pt idx="6">
                  <c:v>0.66632133032391061</c:v>
                </c:pt>
                <c:pt idx="7">
                  <c:v>0.66684468956651477</c:v>
                </c:pt>
                <c:pt idx="8">
                  <c:v>0.66578340298629346</c:v>
                </c:pt>
                <c:pt idx="9">
                  <c:v>0.66684468956651477</c:v>
                </c:pt>
                <c:pt idx="10">
                  <c:v>0.66614383091204954</c:v>
                </c:pt>
                <c:pt idx="11">
                  <c:v>0.66667162418406212</c:v>
                </c:pt>
                <c:pt idx="12">
                  <c:v>0.66614383091204954</c:v>
                </c:pt>
                <c:pt idx="13">
                  <c:v>0.66596457243090756</c:v>
                </c:pt>
                <c:pt idx="14">
                  <c:v>0.66718729671830279</c:v>
                </c:pt>
                <c:pt idx="15">
                  <c:v>0.66667162418406212</c:v>
                </c:pt>
                <c:pt idx="16">
                  <c:v>0.66596457243090756</c:v>
                </c:pt>
                <c:pt idx="17">
                  <c:v>0.66752601167469283</c:v>
                </c:pt>
                <c:pt idx="18">
                  <c:v>0.66632133032391061</c:v>
                </c:pt>
                <c:pt idx="19">
                  <c:v>0.66752601167469283</c:v>
                </c:pt>
                <c:pt idx="20">
                  <c:v>0.66752601167469283</c:v>
                </c:pt>
                <c:pt idx="21">
                  <c:v>0.66752601167469283</c:v>
                </c:pt>
                <c:pt idx="22">
                  <c:v>0.66752601167469283</c:v>
                </c:pt>
                <c:pt idx="23">
                  <c:v>0.66752601167469283</c:v>
                </c:pt>
                <c:pt idx="24">
                  <c:v>0.66752601167469283</c:v>
                </c:pt>
                <c:pt idx="25">
                  <c:v>0.66752601167469283</c:v>
                </c:pt>
                <c:pt idx="26">
                  <c:v>0.66752601167469283</c:v>
                </c:pt>
                <c:pt idx="27">
                  <c:v>0.66752601167469283</c:v>
                </c:pt>
                <c:pt idx="28">
                  <c:v>0.66752601167469283</c:v>
                </c:pt>
                <c:pt idx="29">
                  <c:v>0.66752601167469283</c:v>
                </c:pt>
                <c:pt idx="30">
                  <c:v>0.66752601167469283</c:v>
                </c:pt>
                <c:pt idx="31">
                  <c:v>0.66752601167469283</c:v>
                </c:pt>
                <c:pt idx="32">
                  <c:v>0.66752601167469283</c:v>
                </c:pt>
                <c:pt idx="33">
                  <c:v>0.66752601167469283</c:v>
                </c:pt>
                <c:pt idx="34">
                  <c:v>0.66752601167469283</c:v>
                </c:pt>
                <c:pt idx="35">
                  <c:v>0.66752601167469283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E5-4EC6-85D7-0FB6AC572EB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'LGD Unsecured'!$H$44:$AQ$44</c:f>
              <c:numCache>
                <c:formatCode>0.00%</c:formatCode>
                <c:ptCount val="36"/>
                <c:pt idx="0">
                  <c:v>0.66695408505687459</c:v>
                </c:pt>
                <c:pt idx="1">
                  <c:v>0.66735321646112855</c:v>
                </c:pt>
                <c:pt idx="2">
                  <c:v>0.66634672886393098</c:v>
                </c:pt>
                <c:pt idx="3">
                  <c:v>0.66715413538435075</c:v>
                </c:pt>
                <c:pt idx="4">
                  <c:v>0.66614139167480302</c:v>
                </c:pt>
                <c:pt idx="5">
                  <c:v>0.6659343576332154</c:v>
                </c:pt>
                <c:pt idx="6">
                  <c:v>0.6659343576332154</c:v>
                </c:pt>
                <c:pt idx="7">
                  <c:v>0.66655052451934127</c:v>
                </c:pt>
                <c:pt idx="8">
                  <c:v>0.66530141858329617</c:v>
                </c:pt>
                <c:pt idx="9">
                  <c:v>0.66655052451934127</c:v>
                </c:pt>
                <c:pt idx="10">
                  <c:v>0.66572546494648299</c:v>
                </c:pt>
                <c:pt idx="11">
                  <c:v>0.66634672886393098</c:v>
                </c:pt>
                <c:pt idx="12">
                  <c:v>0.66572546494648299</c:v>
                </c:pt>
                <c:pt idx="13">
                  <c:v>0.66551454444352787</c:v>
                </c:pt>
                <c:pt idx="14">
                  <c:v>0.66695408505687459</c:v>
                </c:pt>
                <c:pt idx="15">
                  <c:v>0.66634672886393098</c:v>
                </c:pt>
                <c:pt idx="16">
                  <c:v>0.66551454444352787</c:v>
                </c:pt>
                <c:pt idx="17">
                  <c:v>0.66735321646112855</c:v>
                </c:pt>
                <c:pt idx="18">
                  <c:v>0.6659343576332154</c:v>
                </c:pt>
                <c:pt idx="19">
                  <c:v>0.66735321646112855</c:v>
                </c:pt>
                <c:pt idx="20">
                  <c:v>0.66735321646112855</c:v>
                </c:pt>
                <c:pt idx="21">
                  <c:v>0.66735321646112855</c:v>
                </c:pt>
                <c:pt idx="22">
                  <c:v>0.66735321646112855</c:v>
                </c:pt>
                <c:pt idx="23">
                  <c:v>0.66735321646112855</c:v>
                </c:pt>
                <c:pt idx="24">
                  <c:v>0.66735321646112855</c:v>
                </c:pt>
                <c:pt idx="25">
                  <c:v>0.66735321646112855</c:v>
                </c:pt>
                <c:pt idx="26">
                  <c:v>0.66735321646112855</c:v>
                </c:pt>
                <c:pt idx="27">
                  <c:v>0.66735321646112855</c:v>
                </c:pt>
                <c:pt idx="28">
                  <c:v>0.66735321646112855</c:v>
                </c:pt>
                <c:pt idx="29">
                  <c:v>0.66735321646112855</c:v>
                </c:pt>
                <c:pt idx="30">
                  <c:v>0.66735321646112855</c:v>
                </c:pt>
                <c:pt idx="31">
                  <c:v>0.66735321646112855</c:v>
                </c:pt>
                <c:pt idx="32">
                  <c:v>0.66735321646112855</c:v>
                </c:pt>
                <c:pt idx="33">
                  <c:v>0.66735321646112855</c:v>
                </c:pt>
                <c:pt idx="34">
                  <c:v>0.66735321646112855</c:v>
                </c:pt>
                <c:pt idx="35">
                  <c:v>0.66735321646112855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E5-4EC6-85D7-0FB6AC572EB3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'LGD Unsecured'!$H$45:$AQ$45</c:f>
              <c:numCache>
                <c:formatCode>0.00%</c:formatCode>
                <c:ptCount val="36"/>
                <c:pt idx="0">
                  <c:v>0.66670978140001491</c:v>
                </c:pt>
                <c:pt idx="1">
                  <c:v>0.66717290847010069</c:v>
                </c:pt>
                <c:pt idx="2">
                  <c:v>0.66600544378808546</c:v>
                </c:pt>
                <c:pt idx="3">
                  <c:v>0.66694188105452046</c:v>
                </c:pt>
                <c:pt idx="4">
                  <c:v>0.66576742733975947</c:v>
                </c:pt>
                <c:pt idx="5">
                  <c:v>0.66552749921294652</c:v>
                </c:pt>
                <c:pt idx="6">
                  <c:v>0.66552749921294652</c:v>
                </c:pt>
                <c:pt idx="7">
                  <c:v>0.66624172749256549</c:v>
                </c:pt>
                <c:pt idx="8">
                  <c:v>0.66479433912270314</c:v>
                </c:pt>
                <c:pt idx="9">
                  <c:v>0.66624172749256549</c:v>
                </c:pt>
                <c:pt idx="10">
                  <c:v>0.66528547314149666</c:v>
                </c:pt>
                <c:pt idx="11">
                  <c:v>0.66600544378808546</c:v>
                </c:pt>
                <c:pt idx="12">
                  <c:v>0.66528547314149666</c:v>
                </c:pt>
                <c:pt idx="13">
                  <c:v>0.6650411544909437</c:v>
                </c:pt>
                <c:pt idx="14">
                  <c:v>0.66670978140001491</c:v>
                </c:pt>
                <c:pt idx="15">
                  <c:v>0.66600544378808546</c:v>
                </c:pt>
                <c:pt idx="16">
                  <c:v>0.6650411544909437</c:v>
                </c:pt>
                <c:pt idx="17">
                  <c:v>0.66717290847010069</c:v>
                </c:pt>
                <c:pt idx="18">
                  <c:v>0.66552749921294652</c:v>
                </c:pt>
                <c:pt idx="19">
                  <c:v>0.66717290847010069</c:v>
                </c:pt>
                <c:pt idx="20">
                  <c:v>0.66717290847010069</c:v>
                </c:pt>
                <c:pt idx="21">
                  <c:v>0.66717290847010069</c:v>
                </c:pt>
                <c:pt idx="22">
                  <c:v>0.66717290847010069</c:v>
                </c:pt>
                <c:pt idx="23">
                  <c:v>0.66717290847010069</c:v>
                </c:pt>
                <c:pt idx="24">
                  <c:v>0.66717290847010069</c:v>
                </c:pt>
                <c:pt idx="25">
                  <c:v>0.66717290847010069</c:v>
                </c:pt>
                <c:pt idx="26">
                  <c:v>0.66717290847010069</c:v>
                </c:pt>
                <c:pt idx="27">
                  <c:v>0.66717290847010069</c:v>
                </c:pt>
                <c:pt idx="28">
                  <c:v>0.66717290847010069</c:v>
                </c:pt>
                <c:pt idx="29">
                  <c:v>0.66717290847010069</c:v>
                </c:pt>
                <c:pt idx="30">
                  <c:v>0.66717290847010069</c:v>
                </c:pt>
                <c:pt idx="31">
                  <c:v>0.66717290847010069</c:v>
                </c:pt>
                <c:pt idx="32">
                  <c:v>0.66717290847010069</c:v>
                </c:pt>
                <c:pt idx="33">
                  <c:v>0.66717290847010069</c:v>
                </c:pt>
                <c:pt idx="34">
                  <c:v>0.66717290847010069</c:v>
                </c:pt>
                <c:pt idx="35">
                  <c:v>0.66717290847010069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E5-4EC6-85D7-0FB6AC572EB3}"/>
            </c:ext>
          </c:extLst>
        </c:ser>
        <c:ser>
          <c:idx val="13"/>
          <c:order val="13"/>
          <c:spPr>
            <a:solidFill>
              <a:srgbClr val="92D050"/>
            </a:solidFill>
            <a:ln>
              <a:noFill/>
            </a:ln>
            <a:effectLst/>
          </c:spPr>
          <c:val>
            <c:numRef>
              <c:f>'LGD Unsecured'!$H$46:$AQ$46</c:f>
              <c:numCache>
                <c:formatCode>0.00%</c:formatCode>
                <c:ptCount val="36"/>
                <c:pt idx="0">
                  <c:v>0.66632291367474128</c:v>
                </c:pt>
                <c:pt idx="1">
                  <c:v>0.6668888939050166</c:v>
                </c:pt>
                <c:pt idx="2">
                  <c:v>0.66546301961608245</c:v>
                </c:pt>
                <c:pt idx="3">
                  <c:v>0.66660650218479889</c:v>
                </c:pt>
                <c:pt idx="4">
                  <c:v>0.66517267012909032</c:v>
                </c:pt>
                <c:pt idx="5">
                  <c:v>0.66488010742715709</c:v>
                </c:pt>
                <c:pt idx="6">
                  <c:v>0.66488010742715709</c:v>
                </c:pt>
                <c:pt idx="7">
                  <c:v>0.66575137198881429</c:v>
                </c:pt>
                <c:pt idx="8">
                  <c:v>0.66398684276930187</c:v>
                </c:pt>
                <c:pt idx="9">
                  <c:v>0.66575137198881429</c:v>
                </c:pt>
                <c:pt idx="10">
                  <c:v>0.6645851068302745</c:v>
                </c:pt>
                <c:pt idx="11">
                  <c:v>0.66546301961608245</c:v>
                </c:pt>
                <c:pt idx="12">
                  <c:v>0.6645851068302745</c:v>
                </c:pt>
                <c:pt idx="13">
                  <c:v>0.66428743383759048</c:v>
                </c:pt>
                <c:pt idx="14">
                  <c:v>0.66632291367474128</c:v>
                </c:pt>
                <c:pt idx="15">
                  <c:v>0.66546301961608245</c:v>
                </c:pt>
                <c:pt idx="16">
                  <c:v>0.66428743383759048</c:v>
                </c:pt>
                <c:pt idx="17">
                  <c:v>0.6668888939050166</c:v>
                </c:pt>
                <c:pt idx="18">
                  <c:v>0.66488010742715709</c:v>
                </c:pt>
                <c:pt idx="19">
                  <c:v>0.6668888939050166</c:v>
                </c:pt>
                <c:pt idx="20">
                  <c:v>0.6668888939050166</c:v>
                </c:pt>
                <c:pt idx="21">
                  <c:v>0.6668888939050166</c:v>
                </c:pt>
                <c:pt idx="22">
                  <c:v>0.6668888939050166</c:v>
                </c:pt>
                <c:pt idx="23">
                  <c:v>0.6668888939050166</c:v>
                </c:pt>
                <c:pt idx="24">
                  <c:v>0.6668888939050166</c:v>
                </c:pt>
                <c:pt idx="25">
                  <c:v>0.6668888939050166</c:v>
                </c:pt>
                <c:pt idx="26">
                  <c:v>0.6668888939050166</c:v>
                </c:pt>
                <c:pt idx="27">
                  <c:v>0.6668888939050166</c:v>
                </c:pt>
                <c:pt idx="28">
                  <c:v>0.6668888939050166</c:v>
                </c:pt>
                <c:pt idx="29">
                  <c:v>0.6668888939050166</c:v>
                </c:pt>
                <c:pt idx="30">
                  <c:v>0.6668888939050166</c:v>
                </c:pt>
                <c:pt idx="31">
                  <c:v>0.6668888939050166</c:v>
                </c:pt>
                <c:pt idx="32">
                  <c:v>0.6668888939050166</c:v>
                </c:pt>
                <c:pt idx="33">
                  <c:v>0.6668888939050166</c:v>
                </c:pt>
                <c:pt idx="34">
                  <c:v>0.6668888939050166</c:v>
                </c:pt>
                <c:pt idx="35">
                  <c:v>0.6668888939050166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BE5-4EC6-85D7-0FB6AC572EB3}"/>
            </c:ext>
          </c:extLst>
        </c:ser>
        <c:ser>
          <c:idx val="14"/>
          <c:order val="14"/>
          <c:spPr>
            <a:solidFill>
              <a:srgbClr val="FFFF00"/>
            </a:solidFill>
            <a:ln>
              <a:noFill/>
            </a:ln>
            <a:effectLst/>
          </c:spPr>
          <c:val>
            <c:numRef>
              <c:f>'LGD Unsecured'!$H$47:$AQ$47</c:f>
              <c:numCache>
                <c:formatCode>0.00%</c:formatCode>
                <c:ptCount val="36"/>
                <c:pt idx="0">
                  <c:v>0.66555637742990303</c:v>
                </c:pt>
                <c:pt idx="1">
                  <c:v>0.66633109187207873</c:v>
                </c:pt>
                <c:pt idx="2">
                  <c:v>0.66438205676222273</c:v>
                </c:pt>
                <c:pt idx="3">
                  <c:v>0.66594437561930264</c:v>
                </c:pt>
                <c:pt idx="4">
                  <c:v>0.66398626566227048</c:v>
                </c:pt>
                <c:pt idx="5">
                  <c:v>0.66358782471898803</c:v>
                </c:pt>
                <c:pt idx="6">
                  <c:v>0.66358782471898803</c:v>
                </c:pt>
                <c:pt idx="7">
                  <c:v>0.66477548707115941</c:v>
                </c:pt>
                <c:pt idx="8">
                  <c:v>0.66237354327635323</c:v>
                </c:pt>
                <c:pt idx="9">
                  <c:v>0.66477548707115941</c:v>
                </c:pt>
                <c:pt idx="10">
                  <c:v>0.66318643427321278</c:v>
                </c:pt>
                <c:pt idx="11">
                  <c:v>0.66438205676222273</c:v>
                </c:pt>
                <c:pt idx="12">
                  <c:v>0.66318643427321278</c:v>
                </c:pt>
                <c:pt idx="13">
                  <c:v>0.6627817824289286</c:v>
                </c:pt>
                <c:pt idx="14">
                  <c:v>0.66555637742990303</c:v>
                </c:pt>
                <c:pt idx="15">
                  <c:v>0.66438205676222273</c:v>
                </c:pt>
                <c:pt idx="16">
                  <c:v>0.6627817824289286</c:v>
                </c:pt>
                <c:pt idx="17">
                  <c:v>0.66633109187207873</c:v>
                </c:pt>
                <c:pt idx="18">
                  <c:v>0.66358782471898803</c:v>
                </c:pt>
                <c:pt idx="19">
                  <c:v>0.66633109187207873</c:v>
                </c:pt>
                <c:pt idx="20">
                  <c:v>0.66633109187207873</c:v>
                </c:pt>
                <c:pt idx="21">
                  <c:v>0.66633109187207873</c:v>
                </c:pt>
                <c:pt idx="22">
                  <c:v>0.66633109187207873</c:v>
                </c:pt>
                <c:pt idx="23">
                  <c:v>0.66633109187207873</c:v>
                </c:pt>
                <c:pt idx="24">
                  <c:v>0.66633109187207873</c:v>
                </c:pt>
                <c:pt idx="25">
                  <c:v>0.66633109187207873</c:v>
                </c:pt>
                <c:pt idx="26">
                  <c:v>0.66633109187207873</c:v>
                </c:pt>
                <c:pt idx="27">
                  <c:v>0.66633109187207873</c:v>
                </c:pt>
                <c:pt idx="28">
                  <c:v>0.66633109187207873</c:v>
                </c:pt>
                <c:pt idx="29">
                  <c:v>0.66633109187207873</c:v>
                </c:pt>
                <c:pt idx="30">
                  <c:v>0.66633109187207873</c:v>
                </c:pt>
                <c:pt idx="31">
                  <c:v>0.66633109187207873</c:v>
                </c:pt>
                <c:pt idx="32">
                  <c:v>0.66633109187207873</c:v>
                </c:pt>
                <c:pt idx="33">
                  <c:v>0.66633109187207873</c:v>
                </c:pt>
                <c:pt idx="34">
                  <c:v>0.66633109187207873</c:v>
                </c:pt>
                <c:pt idx="35">
                  <c:v>0.66633109187207873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E5-4EC6-85D7-0FB6AC572EB3}"/>
            </c:ext>
          </c:extLst>
        </c:ser>
        <c:ser>
          <c:idx val="15"/>
          <c:order val="15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val>
            <c:numRef>
              <c:f>'LGD Unsecured'!$H$48:$AQ$48</c:f>
              <c:numCache>
                <c:formatCode>0.00%</c:formatCode>
                <c:ptCount val="36"/>
                <c:pt idx="0">
                  <c:v>0.66365568581072876</c:v>
                </c:pt>
                <c:pt idx="1">
                  <c:v>0.6649671307836188</c:v>
                </c:pt>
                <c:pt idx="2">
                  <c:v>0.66168129624147609</c:v>
                </c:pt>
                <c:pt idx="3">
                  <c:v>0.66431159250685601</c:v>
                </c:pt>
                <c:pt idx="4">
                  <c:v>0.66101942941189618</c:v>
                </c:pt>
                <c:pt idx="5">
                  <c:v>0.66035491588297945</c:v>
                </c:pt>
                <c:pt idx="6">
                  <c:v>0.66035491588297945</c:v>
                </c:pt>
                <c:pt idx="7">
                  <c:v>0.66234098822588339</c:v>
                </c:pt>
                <c:pt idx="8">
                  <c:v>0.6583405709661353</c:v>
                </c:pt>
                <c:pt idx="9">
                  <c:v>0.66234098822588339</c:v>
                </c:pt>
                <c:pt idx="10">
                  <c:v>0.65968727112119441</c:v>
                </c:pt>
                <c:pt idx="11">
                  <c:v>0.66168129624147609</c:v>
                </c:pt>
                <c:pt idx="12">
                  <c:v>0.65968727112119441</c:v>
                </c:pt>
                <c:pt idx="13">
                  <c:v>0.65901599537900046</c:v>
                </c:pt>
                <c:pt idx="14">
                  <c:v>0.66365568581072876</c:v>
                </c:pt>
                <c:pt idx="15">
                  <c:v>0.66168129624147609</c:v>
                </c:pt>
                <c:pt idx="16">
                  <c:v>0.65901599537900046</c:v>
                </c:pt>
                <c:pt idx="17">
                  <c:v>0.6649671307836188</c:v>
                </c:pt>
                <c:pt idx="18">
                  <c:v>0.66035491588297945</c:v>
                </c:pt>
                <c:pt idx="19">
                  <c:v>0.6649671307836188</c:v>
                </c:pt>
                <c:pt idx="20">
                  <c:v>0.6649671307836188</c:v>
                </c:pt>
                <c:pt idx="21">
                  <c:v>0.6649671307836188</c:v>
                </c:pt>
                <c:pt idx="22">
                  <c:v>0.6649671307836188</c:v>
                </c:pt>
                <c:pt idx="23">
                  <c:v>0.6649671307836188</c:v>
                </c:pt>
                <c:pt idx="24">
                  <c:v>0.6649671307836188</c:v>
                </c:pt>
                <c:pt idx="25">
                  <c:v>0.6649671307836188</c:v>
                </c:pt>
                <c:pt idx="26">
                  <c:v>0.6649671307836188</c:v>
                </c:pt>
                <c:pt idx="27">
                  <c:v>0.6649671307836188</c:v>
                </c:pt>
                <c:pt idx="28">
                  <c:v>0.6649671307836188</c:v>
                </c:pt>
                <c:pt idx="29">
                  <c:v>0.6649671307836188</c:v>
                </c:pt>
                <c:pt idx="30">
                  <c:v>0.6649671307836188</c:v>
                </c:pt>
                <c:pt idx="31">
                  <c:v>0.6649671307836188</c:v>
                </c:pt>
                <c:pt idx="32">
                  <c:v>0.6649671307836188</c:v>
                </c:pt>
                <c:pt idx="33">
                  <c:v>0.6649671307836188</c:v>
                </c:pt>
                <c:pt idx="34">
                  <c:v>0.6649671307836188</c:v>
                </c:pt>
                <c:pt idx="35">
                  <c:v>0.6649671307836188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BE5-4EC6-85D7-0FB6AC572EB3}"/>
            </c:ext>
          </c:extLst>
        </c:ser>
        <c:ser>
          <c:idx val="16"/>
          <c:order val="16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val>
            <c:numRef>
              <c:f>'LGD Unsecured'!$H$49:$AQ$49</c:f>
              <c:numCache>
                <c:formatCode>0.00%</c:formatCode>
                <c:ptCount val="36"/>
                <c:pt idx="0">
                  <c:v>0.65800331677071211</c:v>
                </c:pt>
                <c:pt idx="1">
                  <c:v>0.66095772804119968</c:v>
                </c:pt>
                <c:pt idx="2">
                  <c:v>0.65366118747724189</c:v>
                </c:pt>
                <c:pt idx="3">
                  <c:v>0.6594736140391485</c:v>
                </c:pt>
                <c:pt idx="4">
                  <c:v>0.65223223795252627</c:v>
                </c:pt>
                <c:pt idx="5">
                  <c:v>0.65081033677793532</c:v>
                </c:pt>
                <c:pt idx="6">
                  <c:v>0.65081033677793532</c:v>
                </c:pt>
                <c:pt idx="7">
                  <c:v>0.65509847031570079</c:v>
                </c:pt>
                <c:pt idx="8">
                  <c:v>0.6465743239049907</c:v>
                </c:pt>
                <c:pt idx="9">
                  <c:v>0.65509847031570079</c:v>
                </c:pt>
                <c:pt idx="10">
                  <c:v>0.64939421848728773</c:v>
                </c:pt>
                <c:pt idx="11">
                  <c:v>0.65366118747724189</c:v>
                </c:pt>
                <c:pt idx="12">
                  <c:v>0.64939421848728773</c:v>
                </c:pt>
                <c:pt idx="13">
                  <c:v>0.64798263005715251</c:v>
                </c:pt>
                <c:pt idx="14">
                  <c:v>0.65800331677071211</c:v>
                </c:pt>
                <c:pt idx="15">
                  <c:v>0.65366118747724189</c:v>
                </c:pt>
                <c:pt idx="16">
                  <c:v>0.64798263005715251</c:v>
                </c:pt>
                <c:pt idx="17">
                  <c:v>0.66095772804119968</c:v>
                </c:pt>
                <c:pt idx="18">
                  <c:v>0.65081033677793532</c:v>
                </c:pt>
                <c:pt idx="19">
                  <c:v>0.66095772804119968</c:v>
                </c:pt>
                <c:pt idx="20">
                  <c:v>0.66095772804119968</c:v>
                </c:pt>
                <c:pt idx="21">
                  <c:v>0.66095772804119968</c:v>
                </c:pt>
                <c:pt idx="22">
                  <c:v>0.66095772804119968</c:v>
                </c:pt>
                <c:pt idx="23">
                  <c:v>0.66095772804119968</c:v>
                </c:pt>
                <c:pt idx="24">
                  <c:v>0.66095772804119968</c:v>
                </c:pt>
                <c:pt idx="25">
                  <c:v>0.66095772804119968</c:v>
                </c:pt>
                <c:pt idx="26">
                  <c:v>0.66095772804119968</c:v>
                </c:pt>
                <c:pt idx="27">
                  <c:v>0.66095772804119968</c:v>
                </c:pt>
                <c:pt idx="28">
                  <c:v>0.66095772804119968</c:v>
                </c:pt>
                <c:pt idx="29">
                  <c:v>0.66095772804119968</c:v>
                </c:pt>
                <c:pt idx="30">
                  <c:v>0.66095772804119968</c:v>
                </c:pt>
                <c:pt idx="31">
                  <c:v>0.66095772804119968</c:v>
                </c:pt>
                <c:pt idx="32">
                  <c:v>0.66095772804119968</c:v>
                </c:pt>
                <c:pt idx="33">
                  <c:v>0.66095772804119968</c:v>
                </c:pt>
                <c:pt idx="34">
                  <c:v>0.66095772804119968</c:v>
                </c:pt>
                <c:pt idx="35">
                  <c:v>0.66095772804119968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E5-4EC6-85D7-0FB6AC57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680224"/>
        <c:axId val="2136680704"/>
      </c:areaChart>
      <c:catAx>
        <c:axId val="21366802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80704"/>
        <c:crosses val="autoZero"/>
        <c:auto val="1"/>
        <c:lblAlgn val="ctr"/>
        <c:lblOffset val="100"/>
        <c:noMultiLvlLbl val="0"/>
      </c:catAx>
      <c:valAx>
        <c:axId val="21366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Amortization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'EAD Amort schedule'!$E$6</c:f>
              <c:strCache>
                <c:ptCount val="1"/>
                <c:pt idx="0">
                  <c:v>Principal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'EAD Amort schedule'!$E$7:$E$126</c:f>
              <c:numCache>
                <c:formatCode>"₹"#,##0.00_);[Red]\("₹"#,##0.00\)</c:formatCode>
                <c:ptCount val="120"/>
                <c:pt idx="0">
                  <c:v>434.70948402587362</c:v>
                </c:pt>
                <c:pt idx="1">
                  <c:v>439.05657886613221</c:v>
                </c:pt>
                <c:pt idx="2">
                  <c:v>443.44714465479353</c:v>
                </c:pt>
                <c:pt idx="3">
                  <c:v>447.88161610134159</c:v>
                </c:pt>
                <c:pt idx="4">
                  <c:v>452.36043226235489</c:v>
                </c:pt>
                <c:pt idx="5">
                  <c:v>456.88403658497856</c:v>
                </c:pt>
                <c:pt idx="6">
                  <c:v>461.45287695082823</c:v>
                </c:pt>
                <c:pt idx="7">
                  <c:v>466.06740572033664</c:v>
                </c:pt>
                <c:pt idx="8">
                  <c:v>470.72807977753985</c:v>
                </c:pt>
                <c:pt idx="9">
                  <c:v>475.43536057531531</c:v>
                </c:pt>
                <c:pt idx="10">
                  <c:v>480.18971418106844</c:v>
                </c:pt>
                <c:pt idx="11">
                  <c:v>484.99161132287924</c:v>
                </c:pt>
                <c:pt idx="12">
                  <c:v>489.84152743610792</c:v>
                </c:pt>
                <c:pt idx="13">
                  <c:v>494.73994271046911</c:v>
                </c:pt>
                <c:pt idx="14">
                  <c:v>499.68734213757386</c:v>
                </c:pt>
                <c:pt idx="15">
                  <c:v>504.68421555894957</c:v>
                </c:pt>
                <c:pt idx="16">
                  <c:v>509.73105771453885</c:v>
                </c:pt>
                <c:pt idx="17">
                  <c:v>514.82836829168423</c:v>
                </c:pt>
                <c:pt idx="18">
                  <c:v>519.97665197460094</c:v>
                </c:pt>
                <c:pt idx="19">
                  <c:v>525.17641849434699</c:v>
                </c:pt>
                <c:pt idx="20">
                  <c:v>530.42818267929056</c:v>
                </c:pt>
                <c:pt idx="21">
                  <c:v>535.73246450608349</c:v>
                </c:pt>
                <c:pt idx="22">
                  <c:v>541.08978915114449</c:v>
                </c:pt>
                <c:pt idx="23">
                  <c:v>546.50068704265584</c:v>
                </c:pt>
                <c:pt idx="24">
                  <c:v>551.96569391308242</c:v>
                </c:pt>
                <c:pt idx="25">
                  <c:v>557.48535085221329</c:v>
                </c:pt>
                <c:pt idx="26">
                  <c:v>563.0602043607355</c:v>
                </c:pt>
                <c:pt idx="27">
                  <c:v>568.69080640434277</c:v>
                </c:pt>
                <c:pt idx="28">
                  <c:v>574.37771446838644</c:v>
                </c:pt>
                <c:pt idx="29">
                  <c:v>580.12149161307013</c:v>
                </c:pt>
                <c:pt idx="30">
                  <c:v>585.92270652920081</c:v>
                </c:pt>
                <c:pt idx="31">
                  <c:v>591.78193359449278</c:v>
                </c:pt>
                <c:pt idx="32">
                  <c:v>597.69975293043751</c:v>
                </c:pt>
                <c:pt idx="33">
                  <c:v>603.67675045974204</c:v>
                </c:pt>
                <c:pt idx="34">
                  <c:v>609.71351796433953</c:v>
                </c:pt>
                <c:pt idx="35">
                  <c:v>615.8106531439829</c:v>
                </c:pt>
                <c:pt idx="36">
                  <c:v>621.96875967542269</c:v>
                </c:pt>
                <c:pt idx="37">
                  <c:v>628.18844727217697</c:v>
                </c:pt>
                <c:pt idx="38">
                  <c:v>634.47033174489877</c:v>
                </c:pt>
                <c:pt idx="39">
                  <c:v>640.81503506234787</c:v>
                </c:pt>
                <c:pt idx="40">
                  <c:v>647.22318541297125</c:v>
                </c:pt>
                <c:pt idx="41">
                  <c:v>653.69541726710099</c:v>
                </c:pt>
                <c:pt idx="42">
                  <c:v>660.23237143977224</c:v>
                </c:pt>
                <c:pt idx="43">
                  <c:v>666.83469515416994</c:v>
                </c:pt>
                <c:pt idx="44">
                  <c:v>673.50304210571164</c:v>
                </c:pt>
                <c:pt idx="45">
                  <c:v>680.23807252676852</c:v>
                </c:pt>
                <c:pt idx="46">
                  <c:v>687.04045325203595</c:v>
                </c:pt>
                <c:pt idx="47">
                  <c:v>693.91085778455658</c:v>
                </c:pt>
                <c:pt idx="48">
                  <c:v>700.84996636240203</c:v>
                </c:pt>
                <c:pt idx="49">
                  <c:v>707.85846602602601</c:v>
                </c:pt>
                <c:pt idx="50">
                  <c:v>714.93705068628674</c:v>
                </c:pt>
                <c:pt idx="51">
                  <c:v>722.08642119314925</c:v>
                </c:pt>
                <c:pt idx="52">
                  <c:v>729.30728540508062</c:v>
                </c:pt>
                <c:pt idx="53">
                  <c:v>736.60035825913167</c:v>
                </c:pt>
                <c:pt idx="54">
                  <c:v>743.9663618417228</c:v>
                </c:pt>
                <c:pt idx="55">
                  <c:v>751.40602546014009</c:v>
                </c:pt>
                <c:pt idx="56">
                  <c:v>758.92008571474128</c:v>
                </c:pt>
                <c:pt idx="57">
                  <c:v>766.50928657188888</c:v>
                </c:pt>
                <c:pt idx="58">
                  <c:v>774.17437943760785</c:v>
                </c:pt>
                <c:pt idx="59">
                  <c:v>781.91612323198399</c:v>
                </c:pt>
                <c:pt idx="60">
                  <c:v>789.73528446430385</c:v>
                </c:pt>
                <c:pt idx="61">
                  <c:v>797.63263730894687</c:v>
                </c:pt>
                <c:pt idx="62">
                  <c:v>805.60896368203646</c:v>
                </c:pt>
                <c:pt idx="63">
                  <c:v>813.66505331885674</c:v>
                </c:pt>
                <c:pt idx="64">
                  <c:v>821.80170385204531</c:v>
                </c:pt>
                <c:pt idx="65">
                  <c:v>830.01972089056551</c:v>
                </c:pt>
                <c:pt idx="66">
                  <c:v>838.31991809947124</c:v>
                </c:pt>
                <c:pt idx="67">
                  <c:v>846.70311728046613</c:v>
                </c:pt>
                <c:pt idx="68">
                  <c:v>855.17014845327037</c:v>
                </c:pt>
                <c:pt idx="69">
                  <c:v>863.7218499378032</c:v>
                </c:pt>
                <c:pt idx="70">
                  <c:v>872.35906843718146</c:v>
                </c:pt>
                <c:pt idx="71">
                  <c:v>881.08265912155321</c:v>
                </c:pt>
                <c:pt idx="72">
                  <c:v>889.89348571276889</c:v>
                </c:pt>
                <c:pt idx="73">
                  <c:v>898.79242056989676</c:v>
                </c:pt>
                <c:pt idx="74">
                  <c:v>907.78034477559572</c:v>
                </c:pt>
                <c:pt idx="75">
                  <c:v>916.85814822335158</c:v>
                </c:pt>
                <c:pt idx="76">
                  <c:v>926.02672970558524</c:v>
                </c:pt>
                <c:pt idx="77">
                  <c:v>935.28699700264121</c:v>
                </c:pt>
                <c:pt idx="78">
                  <c:v>944.63986697266739</c:v>
                </c:pt>
                <c:pt idx="79">
                  <c:v>954.08626564239387</c:v>
                </c:pt>
                <c:pt idx="80">
                  <c:v>963.62712829881832</c:v>
                </c:pt>
                <c:pt idx="81">
                  <c:v>973.26339958180631</c:v>
                </c:pt>
                <c:pt idx="82">
                  <c:v>982.99603357762453</c:v>
                </c:pt>
                <c:pt idx="83">
                  <c:v>992.82599391340057</c:v>
                </c:pt>
                <c:pt idx="84">
                  <c:v>1002.7542538525348</c:v>
                </c:pt>
                <c:pt idx="85">
                  <c:v>1012.7817963910601</c:v>
                </c:pt>
                <c:pt idx="86">
                  <c:v>1022.9096143549706</c:v>
                </c:pt>
                <c:pt idx="87">
                  <c:v>1033.1387104985204</c:v>
                </c:pt>
                <c:pt idx="88">
                  <c:v>1043.4700976035058</c:v>
                </c:pt>
                <c:pt idx="89">
                  <c:v>1053.9047985795407</c:v>
                </c:pt>
                <c:pt idx="90">
                  <c:v>1064.4438465653361</c:v>
                </c:pt>
                <c:pt idx="91">
                  <c:v>1075.0882850309893</c:v>
                </c:pt>
                <c:pt idx="92">
                  <c:v>1085.8391678812993</c:v>
                </c:pt>
                <c:pt idx="93">
                  <c:v>1096.6975595601125</c:v>
                </c:pt>
                <c:pt idx="94">
                  <c:v>1107.6645351557133</c:v>
                </c:pt>
                <c:pt idx="95">
                  <c:v>1118.7411805072707</c:v>
                </c:pt>
                <c:pt idx="96">
                  <c:v>1129.9285923123434</c:v>
                </c:pt>
                <c:pt idx="97">
                  <c:v>1141.227878235467</c:v>
                </c:pt>
                <c:pt idx="98">
                  <c:v>1152.6401570178214</c:v>
                </c:pt>
                <c:pt idx="99">
                  <c:v>1164.1665585879998</c:v>
                </c:pt>
                <c:pt idx="100">
                  <c:v>1175.8082241738798</c:v>
                </c:pt>
                <c:pt idx="101">
                  <c:v>1187.5663064156186</c:v>
                </c:pt>
                <c:pt idx="102">
                  <c:v>1199.441969479775</c:v>
                </c:pt>
                <c:pt idx="103">
                  <c:v>1211.4363891745725</c:v>
                </c:pt>
                <c:pt idx="104">
                  <c:v>1223.5507530663183</c:v>
                </c:pt>
                <c:pt idx="105">
                  <c:v>1235.7862605969815</c:v>
                </c:pt>
                <c:pt idx="106">
                  <c:v>1248.1441232029513</c:v>
                </c:pt>
                <c:pt idx="107">
                  <c:v>1260.6255644349808</c:v>
                </c:pt>
                <c:pt idx="108">
                  <c:v>1273.2318200793306</c:v>
                </c:pt>
                <c:pt idx="109">
                  <c:v>1285.964138280124</c:v>
                </c:pt>
                <c:pt idx="110">
                  <c:v>1298.8237796629253</c:v>
                </c:pt>
                <c:pt idx="111">
                  <c:v>1311.8120174595545</c:v>
                </c:pt>
                <c:pt idx="112">
                  <c:v>1324.9301376341502</c:v>
                </c:pt>
                <c:pt idx="113">
                  <c:v>1338.1794390104917</c:v>
                </c:pt>
                <c:pt idx="114">
                  <c:v>1351.5612334005966</c:v>
                </c:pt>
                <c:pt idx="115">
                  <c:v>1365.0768457346026</c:v>
                </c:pt>
                <c:pt idx="116">
                  <c:v>1378.7276141919492</c:v>
                </c:pt>
                <c:pt idx="117">
                  <c:v>1392.5148903338684</c:v>
                </c:pt>
                <c:pt idx="118">
                  <c:v>1406.4400392372072</c:v>
                </c:pt>
                <c:pt idx="119">
                  <c:v>1420.5044396295796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C-4495-B810-B33B47BA7A14}"/>
            </c:ext>
          </c:extLst>
        </c:ser>
        <c:ser>
          <c:idx val="1"/>
          <c:order val="1"/>
          <c:tx>
            <c:strRef>
              <c:f>'EAD Amort schedule'!$H$6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'EAD Amort schedule'!$H$7:$H$126</c:f>
              <c:numCache>
                <c:formatCode>"₹"#,##0.00_);[Red]\("₹"#,##0.00\)</c:formatCode>
                <c:ptCount val="120"/>
                <c:pt idx="0">
                  <c:v>1000</c:v>
                </c:pt>
                <c:pt idx="1">
                  <c:v>995.65290515974118</c:v>
                </c:pt>
                <c:pt idx="2">
                  <c:v>991.26233937107986</c:v>
                </c:pt>
                <c:pt idx="3">
                  <c:v>986.82786792453203</c:v>
                </c:pt>
                <c:pt idx="4">
                  <c:v>982.34905176351833</c:v>
                </c:pt>
                <c:pt idx="5">
                  <c:v>977.82544744089512</c:v>
                </c:pt>
                <c:pt idx="6">
                  <c:v>973.25660707504517</c:v>
                </c:pt>
                <c:pt idx="7">
                  <c:v>968.64207830553687</c:v>
                </c:pt>
                <c:pt idx="8">
                  <c:v>963.98140424833343</c:v>
                </c:pt>
                <c:pt idx="9">
                  <c:v>959.27412345055802</c:v>
                </c:pt>
                <c:pt idx="10">
                  <c:v>954.51976984480484</c:v>
                </c:pt>
                <c:pt idx="11">
                  <c:v>949.71787270299421</c:v>
                </c:pt>
                <c:pt idx="12">
                  <c:v>944.86795658976541</c:v>
                </c:pt>
                <c:pt idx="13">
                  <c:v>939.9695413154044</c:v>
                </c:pt>
                <c:pt idx="14">
                  <c:v>935.02214188829964</c:v>
                </c:pt>
                <c:pt idx="15">
                  <c:v>930.02526846692388</c:v>
                </c:pt>
                <c:pt idx="16">
                  <c:v>924.97842631133437</c:v>
                </c:pt>
                <c:pt idx="17">
                  <c:v>919.88111573418894</c:v>
                </c:pt>
                <c:pt idx="18">
                  <c:v>914.73283205127211</c:v>
                </c:pt>
                <c:pt idx="19">
                  <c:v>909.53306553152606</c:v>
                </c:pt>
                <c:pt idx="20">
                  <c:v>904.28130134658261</c:v>
                </c:pt>
                <c:pt idx="21">
                  <c:v>898.97701951978979</c:v>
                </c:pt>
                <c:pt idx="22">
                  <c:v>893.61969487472902</c:v>
                </c:pt>
                <c:pt idx="23">
                  <c:v>888.20879698321744</c:v>
                </c:pt>
                <c:pt idx="24">
                  <c:v>882.74379011279086</c:v>
                </c:pt>
                <c:pt idx="25">
                  <c:v>877.22413317366011</c:v>
                </c:pt>
                <c:pt idx="26">
                  <c:v>871.64927966513801</c:v>
                </c:pt>
                <c:pt idx="27">
                  <c:v>866.01867762153063</c:v>
                </c:pt>
                <c:pt idx="28">
                  <c:v>860.33176955748729</c:v>
                </c:pt>
                <c:pt idx="29">
                  <c:v>854.58799241280349</c:v>
                </c:pt>
                <c:pt idx="30">
                  <c:v>848.7867774966727</c:v>
                </c:pt>
                <c:pt idx="31">
                  <c:v>842.92755043138072</c:v>
                </c:pt>
                <c:pt idx="32">
                  <c:v>837.00973109543577</c:v>
                </c:pt>
                <c:pt idx="33">
                  <c:v>831.03273356613136</c:v>
                </c:pt>
                <c:pt idx="34">
                  <c:v>824.99596606153398</c:v>
                </c:pt>
                <c:pt idx="35">
                  <c:v>818.8988308818906</c:v>
                </c:pt>
                <c:pt idx="36">
                  <c:v>812.74072435045082</c:v>
                </c:pt>
                <c:pt idx="37">
                  <c:v>806.52103675369654</c:v>
                </c:pt>
                <c:pt idx="38">
                  <c:v>800.23915228097485</c:v>
                </c:pt>
                <c:pt idx="39">
                  <c:v>793.89444896352586</c:v>
                </c:pt>
                <c:pt idx="40">
                  <c:v>787.48629861290237</c:v>
                </c:pt>
                <c:pt idx="41">
                  <c:v>781.01406675877274</c:v>
                </c:pt>
                <c:pt idx="42">
                  <c:v>774.47711258610184</c:v>
                </c:pt>
                <c:pt idx="43">
                  <c:v>767.87478887170391</c:v>
                </c:pt>
                <c:pt idx="44">
                  <c:v>761.20644192016221</c:v>
                </c:pt>
                <c:pt idx="45">
                  <c:v>754.47141149910499</c:v>
                </c:pt>
                <c:pt idx="46">
                  <c:v>747.66903077383733</c:v>
                </c:pt>
                <c:pt idx="47">
                  <c:v>740.79862624131692</c:v>
                </c:pt>
                <c:pt idx="48">
                  <c:v>733.85951766347137</c:v>
                </c:pt>
                <c:pt idx="49">
                  <c:v>726.85101799984739</c:v>
                </c:pt>
                <c:pt idx="50">
                  <c:v>719.77243333958711</c:v>
                </c:pt>
                <c:pt idx="51">
                  <c:v>712.62306283272426</c:v>
                </c:pt>
                <c:pt idx="52">
                  <c:v>705.40219862079277</c:v>
                </c:pt>
                <c:pt idx="53">
                  <c:v>698.10912576674195</c:v>
                </c:pt>
                <c:pt idx="54">
                  <c:v>690.74312218415059</c:v>
                </c:pt>
                <c:pt idx="55">
                  <c:v>683.30345856573331</c:v>
                </c:pt>
                <c:pt idx="56">
                  <c:v>675.789398311132</c:v>
                </c:pt>
                <c:pt idx="57">
                  <c:v>668.20019745398463</c:v>
                </c:pt>
                <c:pt idx="58">
                  <c:v>660.53510458826565</c:v>
                </c:pt>
                <c:pt idx="59">
                  <c:v>652.79336079388963</c:v>
                </c:pt>
                <c:pt idx="60">
                  <c:v>644.97419956156989</c:v>
                </c:pt>
                <c:pt idx="61">
                  <c:v>637.07684671692687</c:v>
                </c:pt>
                <c:pt idx="62">
                  <c:v>629.10052034383739</c:v>
                </c:pt>
                <c:pt idx="63">
                  <c:v>621.04443070701689</c:v>
                </c:pt>
                <c:pt idx="64">
                  <c:v>612.90778017382843</c:v>
                </c:pt>
                <c:pt idx="65">
                  <c:v>604.68976313530777</c:v>
                </c:pt>
                <c:pt idx="66">
                  <c:v>596.38956592640204</c:v>
                </c:pt>
                <c:pt idx="67">
                  <c:v>588.00636674540749</c:v>
                </c:pt>
                <c:pt idx="68">
                  <c:v>579.53933557260268</c:v>
                </c:pt>
                <c:pt idx="69">
                  <c:v>570.98763408807008</c:v>
                </c:pt>
                <c:pt idx="70">
                  <c:v>562.35041558869216</c:v>
                </c:pt>
                <c:pt idx="71">
                  <c:v>553.6268249043203</c:v>
                </c:pt>
                <c:pt idx="72">
                  <c:v>544.81599831310473</c:v>
                </c:pt>
                <c:pt idx="73">
                  <c:v>535.9170634559772</c:v>
                </c:pt>
                <c:pt idx="74">
                  <c:v>526.92913925027813</c:v>
                </c:pt>
                <c:pt idx="75">
                  <c:v>517.85133580252216</c:v>
                </c:pt>
                <c:pt idx="76">
                  <c:v>508.68275432028872</c:v>
                </c:pt>
                <c:pt idx="77">
                  <c:v>499.42248702323292</c:v>
                </c:pt>
                <c:pt idx="78">
                  <c:v>490.06961705320646</c:v>
                </c:pt>
                <c:pt idx="79">
                  <c:v>480.62321838347975</c:v>
                </c:pt>
                <c:pt idx="80">
                  <c:v>471.08235572705593</c:v>
                </c:pt>
                <c:pt idx="81">
                  <c:v>461.44608444406771</c:v>
                </c:pt>
                <c:pt idx="82">
                  <c:v>451.71345044824966</c:v>
                </c:pt>
                <c:pt idx="83">
                  <c:v>441.8834901124734</c:v>
                </c:pt>
                <c:pt idx="84">
                  <c:v>431.95523017333937</c:v>
                </c:pt>
                <c:pt idx="85">
                  <c:v>421.92768763481399</c:v>
                </c:pt>
                <c:pt idx="86">
                  <c:v>411.79986967090343</c:v>
                </c:pt>
                <c:pt idx="87">
                  <c:v>401.57077352735377</c:v>
                </c:pt>
                <c:pt idx="88">
                  <c:v>391.23938642236857</c:v>
                </c:pt>
                <c:pt idx="89">
                  <c:v>380.80468544633345</c:v>
                </c:pt>
                <c:pt idx="90">
                  <c:v>370.26563746053807</c:v>
                </c:pt>
                <c:pt idx="91">
                  <c:v>359.62119899488471</c:v>
                </c:pt>
                <c:pt idx="92">
                  <c:v>348.87031614457482</c:v>
                </c:pt>
                <c:pt idx="93">
                  <c:v>338.01192446576187</c:v>
                </c:pt>
                <c:pt idx="94">
                  <c:v>327.04494887016079</c:v>
                </c:pt>
                <c:pt idx="95">
                  <c:v>315.96830351860359</c:v>
                </c:pt>
                <c:pt idx="96">
                  <c:v>304.78089171353093</c:v>
                </c:pt>
                <c:pt idx="97">
                  <c:v>293.48160579040746</c:v>
                </c:pt>
                <c:pt idx="98">
                  <c:v>282.06932700805282</c:v>
                </c:pt>
                <c:pt idx="99">
                  <c:v>270.5429254378746</c:v>
                </c:pt>
                <c:pt idx="100">
                  <c:v>258.90125985199461</c:v>
                </c:pt>
                <c:pt idx="101">
                  <c:v>247.1431776102558</c:v>
                </c:pt>
                <c:pt idx="102">
                  <c:v>235.26751454609962</c:v>
                </c:pt>
                <c:pt idx="103">
                  <c:v>223.27309485130186</c:v>
                </c:pt>
                <c:pt idx="104">
                  <c:v>211.15873095955612</c:v>
                </c:pt>
                <c:pt idx="105">
                  <c:v>198.9232234288929</c:v>
                </c:pt>
                <c:pt idx="106">
                  <c:v>186.56536082292314</c:v>
                </c:pt>
                <c:pt idx="107">
                  <c:v>174.0839195908936</c:v>
                </c:pt>
                <c:pt idx="108">
                  <c:v>161.4776639465438</c:v>
                </c:pt>
                <c:pt idx="109">
                  <c:v>148.74534574575048</c:v>
                </c:pt>
                <c:pt idx="110">
                  <c:v>135.88570436294927</c:v>
                </c:pt>
                <c:pt idx="111">
                  <c:v>122.89746656632001</c:v>
                </c:pt>
                <c:pt idx="112">
                  <c:v>109.77934639172447</c:v>
                </c:pt>
                <c:pt idx="113">
                  <c:v>96.530045015382953</c:v>
                </c:pt>
                <c:pt idx="114">
                  <c:v>83.148250625278038</c:v>
                </c:pt>
                <c:pt idx="115">
                  <c:v>69.632638291272059</c:v>
                </c:pt>
                <c:pt idx="116">
                  <c:v>55.981869833926048</c:v>
                </c:pt>
                <c:pt idx="117">
                  <c:v>42.194593692006556</c:v>
                </c:pt>
                <c:pt idx="118">
                  <c:v>28.269444788667869</c:v>
                </c:pt>
                <c:pt idx="119">
                  <c:v>14.205044396295799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5C-4495-B810-B33B47BA7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350272"/>
        <c:axId val="1154349792"/>
      </c:lineChart>
      <c:catAx>
        <c:axId val="11543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49792"/>
        <c:crosses val="autoZero"/>
        <c:auto val="1"/>
        <c:lblAlgn val="ctr"/>
        <c:lblOffset val="100"/>
        <c:noMultiLvlLbl val="0"/>
      </c:catAx>
      <c:valAx>
        <c:axId val="11543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5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LGD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val>
            <c:numRef>
              <c:f>LGD_Secured!$D$16:$AM$16</c:f>
              <c:numCache>
                <c:formatCode>0.00%</c:formatCode>
                <c:ptCount val="36"/>
                <c:pt idx="0">
                  <c:v>0.68768139898172831</c:v>
                </c:pt>
                <c:pt idx="1">
                  <c:v>0.66448039451223917</c:v>
                </c:pt>
                <c:pt idx="2">
                  <c:v>0.64180465359423544</c:v>
                </c:pt>
                <c:pt idx="3">
                  <c:v>0.61790490982705903</c:v>
                </c:pt>
                <c:pt idx="4">
                  <c:v>0.59446091519732902</c:v>
                </c:pt>
                <c:pt idx="5">
                  <c:v>0.57068565222812784</c:v>
                </c:pt>
                <c:pt idx="6">
                  <c:v>0.5463756544312226</c:v>
                </c:pt>
                <c:pt idx="7">
                  <c:v>0.52099948722466072</c:v>
                </c:pt>
                <c:pt idx="8">
                  <c:v>0.49609726914097158</c:v>
                </c:pt>
                <c:pt idx="9">
                  <c:v>0.46959903025909783</c:v>
                </c:pt>
                <c:pt idx="10">
                  <c:v>0.44316713641893618</c:v>
                </c:pt>
                <c:pt idx="11">
                  <c:v>0.41564528372003362</c:v>
                </c:pt>
                <c:pt idx="12">
                  <c:v>0.38796159355308729</c:v>
                </c:pt>
                <c:pt idx="13">
                  <c:v>0.35976584487483904</c:v>
                </c:pt>
                <c:pt idx="14">
                  <c:v>0.32989623063325541</c:v>
                </c:pt>
                <c:pt idx="15">
                  <c:v>0.29979264206605366</c:v>
                </c:pt>
                <c:pt idx="16">
                  <c:v>0.26952838848154348</c:v>
                </c:pt>
                <c:pt idx="17">
                  <c:v>0.23738912587308608</c:v>
                </c:pt>
                <c:pt idx="18">
                  <c:v>0.20541302697579436</c:v>
                </c:pt>
                <c:pt idx="19">
                  <c:v>0.17187056551706387</c:v>
                </c:pt>
                <c:pt idx="20">
                  <c:v>0.13761645253817975</c:v>
                </c:pt>
                <c:pt idx="21">
                  <c:v>0.1026310325556512</c:v>
                </c:pt>
                <c:pt idx="22">
                  <c:v>6.6894127167857365E-2</c:v>
                </c:pt>
                <c:pt idx="23">
                  <c:v>3.0385021076093505E-2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B-4DE6-9C75-808D30FCC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87264"/>
        <c:axId val="139084864"/>
      </c:areaChart>
      <c:catAx>
        <c:axId val="1390872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4864"/>
        <c:crosses val="autoZero"/>
        <c:auto val="1"/>
        <c:lblAlgn val="ctr"/>
        <c:lblOffset val="100"/>
        <c:noMultiLvlLbl val="0"/>
      </c:catAx>
      <c:valAx>
        <c:axId val="1390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160020</xdr:colOff>
      <xdr:row>58</xdr:row>
      <xdr:rowOff>156210</xdr:rowOff>
    </xdr:from>
    <xdr:to>
      <xdr:col>17</xdr:col>
      <xdr:colOff>464820</xdr:colOff>
      <xdr:row>73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A1C481-B45C-02E3-3D84-9BE57F5B5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609152</xdr:colOff>
      <xdr:row>37</xdr:row>
      <xdr:rowOff>47289</xdr:rowOff>
    </xdr:from>
    <xdr:to>
      <xdr:col>15</xdr:col>
      <xdr:colOff>266252</xdr:colOff>
      <xdr:row>52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9320AF-4466-B1A2-BF80-3F291B38D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7</xdr:row>
      <xdr:rowOff>49530</xdr:rowOff>
    </xdr:from>
    <xdr:to>
      <xdr:col>12</xdr:col>
      <xdr:colOff>601980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85344-15CF-2FA1-B2C4-7DA1E2B23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914400</xdr:colOff>
      <xdr:row>2</xdr:row>
      <xdr:rowOff>68580</xdr:rowOff>
    </xdr:from>
    <xdr:to>
      <xdr:col>7</xdr:col>
      <xdr:colOff>582605</xdr:colOff>
      <xdr:row>6</xdr:row>
      <xdr:rowOff>144851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E33E5-3603-AAFE-EB92-D3E53AA3C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518160"/>
          <a:ext cx="2530059" cy="823031"/>
        </a:xfrm>
        <a:prstGeom prst="rect">
          <a:avLst/>
        </a:prstGeom>
      </xdr:spPr>
    </xdr:pic>
    <xdr:clientData/>
  </xdr:twoCellAnchor>
  <xdr:twoCellAnchor>
    <xdr:from>
      <xdr:col>19</xdr:col>
      <xdr:colOff>10886</xdr:colOff>
      <xdr:row>5</xdr:row>
      <xdr:rowOff>171448</xdr:rowOff>
    </xdr:from>
    <xdr:to>
      <xdr:col>42</xdr:col>
      <xdr:colOff>552450</xdr:colOff>
      <xdr:row>46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4B17E-290D-672C-D9DC-DF607F71B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</xdr:row>
      <xdr:rowOff>0</xdr:rowOff>
    </xdr:from>
    <xdr:to>
      <xdr:col>23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597217-878F-41E0-B745-1A0014C2D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16</xdr:row>
      <xdr:rowOff>80010</xdr:rowOff>
    </xdr:from>
    <xdr:to>
      <xdr:col>16</xdr:col>
      <xdr:colOff>441960</xdr:colOff>
      <xdr:row>31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2692C-D67A-403C-6F6C-2D204E6FA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workbookViewId="0">
      <selection activeCell="C4" sqref="C4"/>
    </sheetView>
  </sheetViews>
  <sheetFormatPr defaultRowHeight="14.4" x14ac:dyDescent="0.3"/>
  <cols>
    <col min="3" max="3" width="69.88671875" bestFit="1" customWidth="1"/>
  </cols>
  <sheetData>
    <row r="1" spans="2:3" x14ac:dyDescent="0.3">
      <c r="C1" t="s">
        <v>47</v>
      </c>
    </row>
    <row r="3" spans="2:3" ht="15" thickBot="1" x14ac:dyDescent="0.35"/>
    <row r="4" spans="2:3" ht="15" thickBot="1" x14ac:dyDescent="0.35">
      <c r="B4" s="14" t="s">
        <v>48</v>
      </c>
      <c r="C4" s="8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81"/>
  <sheetViews>
    <sheetView workbookViewId="0">
      <selection activeCell="H16" sqref="H16"/>
    </sheetView>
  </sheetViews>
  <sheetFormatPr defaultRowHeight="14.4" x14ac:dyDescent="0.3"/>
  <cols>
    <col min="2" max="3" width="17" bestFit="1" customWidth="1"/>
    <col min="4" max="4" width="12" bestFit="1" customWidth="1"/>
  </cols>
  <sheetData>
    <row r="1" spans="2:4" ht="15" thickBot="1" x14ac:dyDescent="0.35">
      <c r="D1" s="2">
        <f>AVERAGE(D3:D80)</f>
        <v>6.9586247638415477E-2</v>
      </c>
    </row>
    <row r="2" spans="2:4" ht="15" thickBot="1" x14ac:dyDescent="0.35">
      <c r="B2" s="7" t="s">
        <v>0</v>
      </c>
      <c r="C2" s="8" t="s">
        <v>1</v>
      </c>
      <c r="D2" s="11" t="s">
        <v>2</v>
      </c>
    </row>
    <row r="3" spans="2:4" x14ac:dyDescent="0.3">
      <c r="B3" s="3">
        <v>37895</v>
      </c>
      <c r="C3" s="9">
        <v>37987</v>
      </c>
      <c r="D3" s="12">
        <v>5.0817399999999999E-2</v>
      </c>
    </row>
    <row r="4" spans="2:4" x14ac:dyDescent="0.3">
      <c r="B4" s="3">
        <v>37987</v>
      </c>
      <c r="C4" s="9">
        <v>38078</v>
      </c>
      <c r="D4" s="12">
        <v>4.6326560000000003E-2</v>
      </c>
    </row>
    <row r="5" spans="2:4" x14ac:dyDescent="0.3">
      <c r="B5" s="3">
        <v>38078</v>
      </c>
      <c r="C5" s="9">
        <v>38169</v>
      </c>
      <c r="D5" s="12">
        <v>4.3962960000000002E-2</v>
      </c>
    </row>
    <row r="6" spans="2:4" x14ac:dyDescent="0.3">
      <c r="B6" s="3">
        <v>38169</v>
      </c>
      <c r="C6" s="9">
        <v>38261</v>
      </c>
      <c r="D6" s="12">
        <v>4.1126639999999999E-2</v>
      </c>
    </row>
    <row r="7" spans="2:4" x14ac:dyDescent="0.3">
      <c r="B7" s="3">
        <v>38261</v>
      </c>
      <c r="C7" s="9">
        <v>38353</v>
      </c>
      <c r="D7" s="12">
        <v>3.8763039999999999E-2</v>
      </c>
    </row>
    <row r="8" spans="2:4" x14ac:dyDescent="0.3">
      <c r="B8" s="3">
        <v>38353</v>
      </c>
      <c r="C8" s="9">
        <v>38443</v>
      </c>
      <c r="D8" s="12">
        <v>3.78176E-2</v>
      </c>
    </row>
    <row r="9" spans="2:4" x14ac:dyDescent="0.3">
      <c r="B9" s="3">
        <v>38443</v>
      </c>
      <c r="C9" s="9">
        <v>38534</v>
      </c>
      <c r="D9" s="12">
        <v>3.7108519999999999E-2</v>
      </c>
    </row>
    <row r="10" spans="2:4" x14ac:dyDescent="0.3">
      <c r="B10" s="3">
        <v>38534</v>
      </c>
      <c r="C10" s="9">
        <v>38626</v>
      </c>
      <c r="D10" s="12">
        <v>3.6872160000000001E-2</v>
      </c>
    </row>
    <row r="11" spans="2:4" x14ac:dyDescent="0.3">
      <c r="B11" s="3">
        <v>38626</v>
      </c>
      <c r="C11" s="9">
        <v>38718</v>
      </c>
      <c r="D11" s="12">
        <v>3.6399439999999998E-2</v>
      </c>
    </row>
    <row r="12" spans="2:4" x14ac:dyDescent="0.3">
      <c r="B12" s="3">
        <v>38718</v>
      </c>
      <c r="C12" s="9">
        <v>38808</v>
      </c>
      <c r="D12" s="12">
        <v>3.5690359999999997E-2</v>
      </c>
    </row>
    <row r="13" spans="2:4" x14ac:dyDescent="0.3">
      <c r="B13" s="3">
        <v>38808</v>
      </c>
      <c r="C13" s="9">
        <v>38899</v>
      </c>
      <c r="D13" s="12">
        <v>3.5690359999999997E-2</v>
      </c>
    </row>
    <row r="14" spans="2:4" x14ac:dyDescent="0.3">
      <c r="B14" s="3">
        <v>38899</v>
      </c>
      <c r="C14" s="9">
        <v>38991</v>
      </c>
      <c r="D14" s="12">
        <v>3.7344879999999997E-2</v>
      </c>
    </row>
    <row r="15" spans="2:4" x14ac:dyDescent="0.3">
      <c r="B15" s="3">
        <v>38991</v>
      </c>
      <c r="C15" s="9">
        <v>39083</v>
      </c>
      <c r="D15" s="12">
        <v>3.9944840000000002E-2</v>
      </c>
    </row>
    <row r="16" spans="2:4" x14ac:dyDescent="0.3">
      <c r="B16" s="3">
        <v>39083</v>
      </c>
      <c r="C16" s="9">
        <v>39173</v>
      </c>
      <c r="D16" s="12">
        <v>4.1126639999999999E-2</v>
      </c>
    </row>
    <row r="17" spans="2:4" x14ac:dyDescent="0.3">
      <c r="B17" s="3">
        <v>39173</v>
      </c>
      <c r="C17" s="9">
        <v>39264</v>
      </c>
      <c r="D17" s="12">
        <v>4.419932E-2</v>
      </c>
    </row>
    <row r="18" spans="2:4" x14ac:dyDescent="0.3">
      <c r="B18" s="3">
        <v>39264</v>
      </c>
      <c r="C18" s="9">
        <v>39356</v>
      </c>
      <c r="D18" s="12">
        <v>5.0581040000000001E-2</v>
      </c>
    </row>
    <row r="19" spans="2:4" x14ac:dyDescent="0.3">
      <c r="B19" s="3">
        <v>39356</v>
      </c>
      <c r="C19" s="9">
        <v>39448</v>
      </c>
      <c r="D19" s="12">
        <v>5.8380920000000003E-2</v>
      </c>
    </row>
    <row r="20" spans="2:4" x14ac:dyDescent="0.3">
      <c r="B20" s="3">
        <v>39448</v>
      </c>
      <c r="C20" s="9">
        <v>39539</v>
      </c>
      <c r="D20" s="12">
        <v>6.759896E-2</v>
      </c>
    </row>
    <row r="21" spans="2:4" x14ac:dyDescent="0.3">
      <c r="B21" s="3">
        <v>39539</v>
      </c>
      <c r="C21" s="9">
        <v>39630</v>
      </c>
      <c r="D21" s="12">
        <v>7.8471519999999989E-2</v>
      </c>
    </row>
    <row r="22" spans="2:4" x14ac:dyDescent="0.3">
      <c r="B22" s="3">
        <v>39630</v>
      </c>
      <c r="C22" s="9">
        <v>39722</v>
      </c>
      <c r="D22" s="12">
        <v>8.7925920000000005E-2</v>
      </c>
    </row>
    <row r="23" spans="2:4" x14ac:dyDescent="0.3">
      <c r="B23" s="3">
        <v>39722</v>
      </c>
      <c r="C23" s="9">
        <v>39814</v>
      </c>
      <c r="D23" s="12">
        <v>0.112271</v>
      </c>
    </row>
    <row r="24" spans="2:4" x14ac:dyDescent="0.3">
      <c r="B24" s="3">
        <v>39814</v>
      </c>
      <c r="C24" s="9">
        <v>39904</v>
      </c>
      <c r="D24" s="12">
        <v>0.13330703999999999</v>
      </c>
    </row>
    <row r="25" spans="2:4" x14ac:dyDescent="0.3">
      <c r="B25" s="3">
        <v>39904</v>
      </c>
      <c r="C25" s="9">
        <v>39995</v>
      </c>
      <c r="D25" s="12">
        <v>0.15056132</v>
      </c>
    </row>
    <row r="26" spans="2:4" x14ac:dyDescent="0.3">
      <c r="B26" s="3">
        <v>39995</v>
      </c>
      <c r="C26" s="9">
        <v>40087</v>
      </c>
      <c r="D26" s="12">
        <v>0.16403383999999999</v>
      </c>
    </row>
    <row r="27" spans="2:4" x14ac:dyDescent="0.3">
      <c r="B27" s="3">
        <v>40087</v>
      </c>
      <c r="C27" s="9">
        <v>40179</v>
      </c>
      <c r="D27" s="12">
        <v>0.1725428</v>
      </c>
    </row>
    <row r="28" spans="2:4" x14ac:dyDescent="0.3">
      <c r="B28" s="3">
        <v>40179</v>
      </c>
      <c r="C28" s="9">
        <v>40269</v>
      </c>
      <c r="D28" s="12">
        <v>0.17490639999999999</v>
      </c>
    </row>
    <row r="29" spans="2:4" x14ac:dyDescent="0.3">
      <c r="B29" s="3">
        <v>40269</v>
      </c>
      <c r="C29" s="9">
        <v>40360</v>
      </c>
      <c r="D29" s="12">
        <v>0.17041555999999999</v>
      </c>
    </row>
    <row r="30" spans="2:4" x14ac:dyDescent="0.3">
      <c r="B30" s="3">
        <v>40360</v>
      </c>
      <c r="C30" s="9">
        <v>40452</v>
      </c>
      <c r="D30" s="12">
        <v>0.16285204</v>
      </c>
    </row>
    <row r="31" spans="2:4" x14ac:dyDescent="0.3">
      <c r="B31" s="3">
        <v>40452</v>
      </c>
      <c r="C31" s="9">
        <v>40544</v>
      </c>
      <c r="D31" s="12">
        <v>0.15079767999999999</v>
      </c>
    </row>
    <row r="32" spans="2:4" x14ac:dyDescent="0.3">
      <c r="B32" s="3">
        <v>40544</v>
      </c>
      <c r="C32" s="9">
        <v>40634</v>
      </c>
      <c r="D32" s="12">
        <v>0.14654320000000001</v>
      </c>
    </row>
    <row r="33" spans="2:4" x14ac:dyDescent="0.3">
      <c r="B33" s="3">
        <v>40634</v>
      </c>
      <c r="C33" s="9">
        <v>40725</v>
      </c>
      <c r="D33" s="12">
        <v>0.14087056000000001</v>
      </c>
    </row>
    <row r="34" spans="2:4" x14ac:dyDescent="0.3">
      <c r="B34" s="3">
        <v>40725</v>
      </c>
      <c r="C34" s="9">
        <v>40817</v>
      </c>
      <c r="D34" s="12">
        <v>0.13472519999999999</v>
      </c>
    </row>
    <row r="35" spans="2:4" x14ac:dyDescent="0.3">
      <c r="B35" s="3">
        <v>40817</v>
      </c>
      <c r="C35" s="9">
        <v>40909</v>
      </c>
      <c r="D35" s="12">
        <v>0.12905256000000001</v>
      </c>
    </row>
    <row r="36" spans="2:4" x14ac:dyDescent="0.3">
      <c r="B36" s="3">
        <v>40909</v>
      </c>
      <c r="C36" s="9">
        <v>41000</v>
      </c>
      <c r="D36" s="12">
        <v>0.12456172</v>
      </c>
    </row>
    <row r="37" spans="2:4" x14ac:dyDescent="0.3">
      <c r="B37" s="3">
        <v>41000</v>
      </c>
      <c r="C37" s="9">
        <v>41091</v>
      </c>
      <c r="D37" s="12">
        <v>0.12125268</v>
      </c>
    </row>
    <row r="38" spans="2:4" x14ac:dyDescent="0.3">
      <c r="B38" s="3">
        <v>41091</v>
      </c>
      <c r="C38" s="9">
        <v>41183</v>
      </c>
      <c r="D38" s="12">
        <v>0.11912544</v>
      </c>
    </row>
    <row r="39" spans="2:4" x14ac:dyDescent="0.3">
      <c r="B39" s="3">
        <v>41183</v>
      </c>
      <c r="C39" s="9">
        <v>41275</v>
      </c>
      <c r="D39" s="12">
        <v>0.1099074</v>
      </c>
    </row>
    <row r="40" spans="2:4" x14ac:dyDescent="0.3">
      <c r="B40" s="3">
        <v>41275</v>
      </c>
      <c r="C40" s="9">
        <v>41365</v>
      </c>
      <c r="D40" s="12">
        <v>0.1071428571428571</v>
      </c>
    </row>
    <row r="41" spans="2:4" x14ac:dyDescent="0.3">
      <c r="B41" s="3">
        <v>41365</v>
      </c>
      <c r="C41" s="9">
        <v>41456</v>
      </c>
      <c r="D41" s="12">
        <v>0.1009681881051176</v>
      </c>
    </row>
    <row r="42" spans="2:4" x14ac:dyDescent="0.3">
      <c r="B42" s="3">
        <v>41456</v>
      </c>
      <c r="C42" s="9">
        <v>41548</v>
      </c>
      <c r="D42" s="12">
        <v>9.217877094972067E-2</v>
      </c>
    </row>
    <row r="43" spans="2:4" x14ac:dyDescent="0.3">
      <c r="B43" s="3">
        <v>41548</v>
      </c>
      <c r="C43" s="9">
        <v>41640</v>
      </c>
      <c r="D43" s="12">
        <v>8.5794655414908577E-2</v>
      </c>
    </row>
    <row r="44" spans="2:4" x14ac:dyDescent="0.3">
      <c r="B44" s="3">
        <v>41640</v>
      </c>
      <c r="C44" s="9">
        <v>41730</v>
      </c>
      <c r="D44" s="12">
        <v>8.0622347949080617E-2</v>
      </c>
    </row>
    <row r="45" spans="2:4" x14ac:dyDescent="0.3">
      <c r="B45" s="3">
        <v>41730</v>
      </c>
      <c r="C45" s="9">
        <v>41821</v>
      </c>
      <c r="D45" s="12">
        <v>7.5391180654338544E-2</v>
      </c>
    </row>
    <row r="46" spans="2:4" x14ac:dyDescent="0.3">
      <c r="B46" s="3">
        <v>41821</v>
      </c>
      <c r="C46" s="9">
        <v>41913</v>
      </c>
      <c r="D46" s="12">
        <v>7.1428571428571425E-2</v>
      </c>
    </row>
    <row r="47" spans="2:4" x14ac:dyDescent="0.3">
      <c r="B47" s="3">
        <v>41913</v>
      </c>
      <c r="C47" s="9">
        <v>42005</v>
      </c>
      <c r="D47" s="12">
        <v>6.6091954022988508E-2</v>
      </c>
    </row>
    <row r="48" spans="2:4" x14ac:dyDescent="0.3">
      <c r="B48" s="3">
        <v>42005</v>
      </c>
      <c r="C48" s="9">
        <v>42095</v>
      </c>
      <c r="D48" s="12">
        <v>6.2049062049062048E-2</v>
      </c>
    </row>
    <row r="49" spans="2:4" x14ac:dyDescent="0.3">
      <c r="B49" s="3">
        <v>42095</v>
      </c>
      <c r="C49" s="9">
        <v>42186</v>
      </c>
      <c r="D49" s="12">
        <v>5.9334298118668603E-2</v>
      </c>
    </row>
    <row r="50" spans="2:4" x14ac:dyDescent="0.3">
      <c r="B50" s="3">
        <v>42186</v>
      </c>
      <c r="C50" s="9">
        <v>42278</v>
      </c>
      <c r="D50" s="12">
        <v>5.6603773584905669E-2</v>
      </c>
    </row>
    <row r="51" spans="2:4" x14ac:dyDescent="0.3">
      <c r="B51" s="3">
        <v>42278</v>
      </c>
      <c r="C51" s="9">
        <v>42370</v>
      </c>
      <c r="D51" s="12">
        <v>5.3857350800582238E-2</v>
      </c>
    </row>
    <row r="52" spans="2:4" x14ac:dyDescent="0.3">
      <c r="B52" s="3">
        <v>42370</v>
      </c>
      <c r="C52" s="9">
        <v>42461</v>
      </c>
      <c r="D52" s="12">
        <v>5.3857350800582238E-2</v>
      </c>
    </row>
    <row r="53" spans="2:4" x14ac:dyDescent="0.3">
      <c r="B53" s="3">
        <v>42461</v>
      </c>
      <c r="C53" s="9">
        <v>42552</v>
      </c>
      <c r="D53" s="12">
        <v>5.3857350800582238E-2</v>
      </c>
    </row>
    <row r="54" spans="2:4" x14ac:dyDescent="0.3">
      <c r="B54" s="3">
        <v>42552</v>
      </c>
      <c r="C54" s="9">
        <v>42644</v>
      </c>
      <c r="D54" s="12">
        <v>5.1094890510948912E-2</v>
      </c>
    </row>
    <row r="55" spans="2:4" x14ac:dyDescent="0.3">
      <c r="B55" s="3">
        <v>42644</v>
      </c>
      <c r="C55" s="9">
        <v>42736</v>
      </c>
      <c r="D55" s="12">
        <v>5.1094890510948912E-2</v>
      </c>
    </row>
    <row r="56" spans="2:4" x14ac:dyDescent="0.3">
      <c r="B56" s="3">
        <v>42736</v>
      </c>
      <c r="C56" s="9">
        <v>42826</v>
      </c>
      <c r="D56" s="12">
        <v>4.7690014903129657E-2</v>
      </c>
    </row>
    <row r="57" spans="2:4" x14ac:dyDescent="0.3">
      <c r="B57" s="3">
        <v>42826</v>
      </c>
      <c r="C57" s="9">
        <v>42917</v>
      </c>
      <c r="D57" s="12">
        <v>4.552129221732746E-2</v>
      </c>
    </row>
    <row r="58" spans="2:4" x14ac:dyDescent="0.3">
      <c r="B58" s="3">
        <v>42917</v>
      </c>
      <c r="C58" s="9">
        <v>43009</v>
      </c>
      <c r="D58" s="12">
        <v>4.5525902668759811E-2</v>
      </c>
    </row>
    <row r="59" spans="2:4" x14ac:dyDescent="0.3">
      <c r="B59" s="3">
        <v>43009</v>
      </c>
      <c r="C59" s="9">
        <v>43101</v>
      </c>
      <c r="D59" s="12">
        <v>4.5312499999999999E-2</v>
      </c>
    </row>
    <row r="60" spans="2:4" x14ac:dyDescent="0.3">
      <c r="B60" s="3">
        <v>43101</v>
      </c>
      <c r="C60" s="9">
        <v>43191</v>
      </c>
      <c r="D60" s="12">
        <v>4.2925278219395867E-2</v>
      </c>
    </row>
    <row r="61" spans="2:4" x14ac:dyDescent="0.3">
      <c r="B61" s="3">
        <v>43191</v>
      </c>
      <c r="C61" s="9">
        <v>43282</v>
      </c>
      <c r="D61" s="12">
        <v>4.0677966101694912E-2</v>
      </c>
    </row>
    <row r="62" spans="2:4" x14ac:dyDescent="0.3">
      <c r="B62" s="3">
        <v>43282</v>
      </c>
      <c r="C62" s="9">
        <v>43374</v>
      </c>
      <c r="D62" s="12">
        <v>4.0336134453781508E-2</v>
      </c>
    </row>
    <row r="63" spans="2:4" x14ac:dyDescent="0.3">
      <c r="B63" s="3">
        <v>43374</v>
      </c>
      <c r="C63" s="9">
        <v>43466</v>
      </c>
      <c r="D63" s="12">
        <v>3.7433155080213901E-2</v>
      </c>
    </row>
    <row r="64" spans="2:4" x14ac:dyDescent="0.3">
      <c r="B64" s="3">
        <v>43466</v>
      </c>
      <c r="C64" s="9">
        <v>43556</v>
      </c>
      <c r="D64" s="12">
        <v>3.7865748709122203E-2</v>
      </c>
    </row>
    <row r="65" spans="2:4" x14ac:dyDescent="0.3">
      <c r="B65" s="3">
        <v>43556</v>
      </c>
      <c r="C65" s="9">
        <v>43647</v>
      </c>
      <c r="D65" s="12">
        <v>3.7300177619893432E-2</v>
      </c>
    </row>
    <row r="66" spans="2:4" x14ac:dyDescent="0.3">
      <c r="B66" s="3">
        <v>43647</v>
      </c>
      <c r="C66" s="9">
        <v>43739</v>
      </c>
      <c r="D66" s="12">
        <v>3.7168141592920353E-2</v>
      </c>
    </row>
    <row r="67" spans="2:4" x14ac:dyDescent="0.3">
      <c r="B67" s="3">
        <v>43739</v>
      </c>
      <c r="C67" s="9">
        <v>43831</v>
      </c>
      <c r="D67" s="12">
        <v>3.6297640653357527E-2</v>
      </c>
    </row>
    <row r="68" spans="2:4" x14ac:dyDescent="0.3">
      <c r="B68" s="3">
        <v>43831</v>
      </c>
      <c r="C68" s="9">
        <v>43922</v>
      </c>
      <c r="D68" s="12">
        <v>3.7234042553191488E-2</v>
      </c>
    </row>
    <row r="69" spans="2:4" x14ac:dyDescent="0.3">
      <c r="B69" s="3">
        <v>43922</v>
      </c>
      <c r="C69" s="9">
        <v>44013</v>
      </c>
      <c r="D69" s="12">
        <v>3.9655172413793113E-2</v>
      </c>
    </row>
    <row r="70" spans="2:4" x14ac:dyDescent="0.3">
      <c r="B70" s="3">
        <v>44013</v>
      </c>
      <c r="C70" s="9">
        <v>44105</v>
      </c>
      <c r="D70" s="12">
        <v>3.9930555555555552E-2</v>
      </c>
    </row>
    <row r="71" spans="2:4" x14ac:dyDescent="0.3">
      <c r="B71" s="3">
        <v>44105</v>
      </c>
      <c r="C71" s="9">
        <v>44197</v>
      </c>
      <c r="D71" s="12">
        <v>3.9930555555555552E-2</v>
      </c>
    </row>
    <row r="72" spans="2:4" x14ac:dyDescent="0.3">
      <c r="B72" s="3">
        <v>44197</v>
      </c>
      <c r="C72" s="9">
        <v>44287</v>
      </c>
      <c r="D72" s="12">
        <v>3.7168141592920353E-2</v>
      </c>
    </row>
    <row r="73" spans="2:4" x14ac:dyDescent="0.3">
      <c r="B73" s="3">
        <v>44287</v>
      </c>
      <c r="C73" s="9">
        <v>44378</v>
      </c>
      <c r="D73" s="12">
        <v>3.3771106941838651E-2</v>
      </c>
    </row>
    <row r="74" spans="2:4" x14ac:dyDescent="0.3">
      <c r="B74" s="3">
        <v>44378</v>
      </c>
      <c r="C74" s="9">
        <v>44470</v>
      </c>
      <c r="D74" s="12">
        <v>3.2692307692307687E-2</v>
      </c>
    </row>
    <row r="75" spans="2:4" x14ac:dyDescent="0.3">
      <c r="B75" s="3">
        <v>44470</v>
      </c>
      <c r="C75" s="9">
        <v>44562</v>
      </c>
      <c r="D75" s="12">
        <v>3.1007751937984499E-2</v>
      </c>
    </row>
    <row r="76" spans="2:4" x14ac:dyDescent="0.3">
      <c r="B76" s="3">
        <v>44562</v>
      </c>
      <c r="C76" s="9">
        <v>44652</v>
      </c>
      <c r="D76" s="12">
        <v>3.1007751937984499E-2</v>
      </c>
    </row>
    <row r="77" spans="2:4" x14ac:dyDescent="0.3">
      <c r="B77" s="3">
        <v>44652</v>
      </c>
      <c r="C77" s="9">
        <v>44743</v>
      </c>
      <c r="D77" s="12">
        <v>3.1007751937984499E-2</v>
      </c>
    </row>
    <row r="78" spans="2:4" x14ac:dyDescent="0.3">
      <c r="B78" s="3">
        <v>44743</v>
      </c>
      <c r="C78" s="9">
        <v>44835</v>
      </c>
      <c r="D78" s="12">
        <v>3.1007751937984499E-2</v>
      </c>
    </row>
    <row r="79" spans="2:4" x14ac:dyDescent="0.3">
      <c r="B79" s="3">
        <v>44835</v>
      </c>
      <c r="C79" s="9">
        <v>44927</v>
      </c>
      <c r="D79" s="12">
        <v>3.1007751937984499E-2</v>
      </c>
    </row>
    <row r="80" spans="2:4" ht="15" thickBot="1" x14ac:dyDescent="0.35">
      <c r="B80" s="4">
        <v>44927</v>
      </c>
      <c r="C80" s="10">
        <v>45017</v>
      </c>
      <c r="D80" s="13">
        <v>3.3009708737864081E-2</v>
      </c>
    </row>
    <row r="81" spans="2:4" ht="15" thickBot="1" x14ac:dyDescent="0.35">
      <c r="B81" s="4">
        <v>45017</v>
      </c>
      <c r="C81" s="5"/>
      <c r="D8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75"/>
  <sheetViews>
    <sheetView topLeftCell="A61" zoomScale="85" zoomScaleNormal="85" workbookViewId="0">
      <selection activeCell="G56" sqref="G56"/>
    </sheetView>
  </sheetViews>
  <sheetFormatPr defaultRowHeight="14.4" x14ac:dyDescent="0.3"/>
  <cols>
    <col min="2" max="2" width="14.6640625" customWidth="1"/>
    <col min="3" max="3" width="17.88671875" bestFit="1" customWidth="1"/>
    <col min="4" max="6" width="14.6640625" bestFit="1" customWidth="1"/>
    <col min="7" max="8" width="13.88671875" bestFit="1" customWidth="1"/>
    <col min="9" max="9" width="15.21875" customWidth="1"/>
    <col min="10" max="10" width="12" bestFit="1" customWidth="1"/>
  </cols>
  <sheetData>
    <row r="1" spans="2:8" ht="15" thickBot="1" x14ac:dyDescent="0.35"/>
    <row r="2" spans="2:8" ht="15" thickBot="1" x14ac:dyDescent="0.35">
      <c r="B2" s="27" t="s">
        <v>5</v>
      </c>
      <c r="C2" s="16"/>
    </row>
    <row r="3" spans="2:8" x14ac:dyDescent="0.3">
      <c r="B3" t="s">
        <v>51</v>
      </c>
    </row>
    <row r="4" spans="2:8" x14ac:dyDescent="0.3">
      <c r="B4" t="s">
        <v>6</v>
      </c>
    </row>
    <row r="5" spans="2:8" ht="15" thickBot="1" x14ac:dyDescent="0.35"/>
    <row r="6" spans="2:8" ht="15" thickBot="1" x14ac:dyDescent="0.35">
      <c r="B6" s="27" t="s">
        <v>7</v>
      </c>
      <c r="C6" s="16"/>
    </row>
    <row r="7" spans="2:8" x14ac:dyDescent="0.3">
      <c r="B7" t="s">
        <v>8</v>
      </c>
    </row>
    <row r="8" spans="2:8" x14ac:dyDescent="0.3">
      <c r="B8" t="s">
        <v>53</v>
      </c>
    </row>
    <row r="9" spans="2:8" ht="15" thickBot="1" x14ac:dyDescent="0.35"/>
    <row r="10" spans="2:8" ht="15" thickBot="1" x14ac:dyDescent="0.35">
      <c r="B10" s="11" t="s">
        <v>9</v>
      </c>
      <c r="C10" s="18" t="s">
        <v>10</v>
      </c>
      <c r="D10" s="18">
        <v>1</v>
      </c>
      <c r="E10" s="18">
        <v>2</v>
      </c>
      <c r="F10" s="18">
        <v>3</v>
      </c>
      <c r="G10" s="18">
        <v>4</v>
      </c>
      <c r="H10" s="8">
        <v>5</v>
      </c>
    </row>
    <row r="11" spans="2:8" x14ac:dyDescent="0.3">
      <c r="B11" s="19">
        <v>2013</v>
      </c>
      <c r="C11" s="24">
        <v>18301225.309999999</v>
      </c>
      <c r="D11" s="23">
        <v>3239503.1976385112</v>
      </c>
      <c r="E11" s="24">
        <v>1278265.5734485241</v>
      </c>
      <c r="F11" s="24">
        <v>953213.20007738029</v>
      </c>
      <c r="G11" s="24">
        <v>671317.12982373859</v>
      </c>
      <c r="H11" s="24">
        <v>798359.89</v>
      </c>
    </row>
    <row r="12" spans="2:8" x14ac:dyDescent="0.3">
      <c r="B12" s="19">
        <v>2014</v>
      </c>
      <c r="C12" s="24">
        <v>16347920.25</v>
      </c>
      <c r="D12" s="24">
        <v>2426505.0120129702</v>
      </c>
      <c r="E12" s="24">
        <v>1392415.861060862</v>
      </c>
      <c r="F12" s="24">
        <v>1075402.168164382</v>
      </c>
      <c r="G12" s="24">
        <v>683108.67</v>
      </c>
      <c r="H12" s="24">
        <v>883278.21</v>
      </c>
    </row>
    <row r="13" spans="2:8" x14ac:dyDescent="0.3">
      <c r="B13" s="19">
        <v>2015</v>
      </c>
      <c r="C13" s="24">
        <v>20815172.02</v>
      </c>
      <c r="D13" s="24">
        <v>3637371.7498125532</v>
      </c>
      <c r="E13" s="24">
        <v>1957848.0819103089</v>
      </c>
      <c r="F13" s="24">
        <v>1342600.9278246411</v>
      </c>
      <c r="G13" s="24">
        <v>856133.18</v>
      </c>
      <c r="H13" s="24">
        <v>882339.66</v>
      </c>
    </row>
    <row r="14" spans="2:8" x14ac:dyDescent="0.3">
      <c r="B14" s="19">
        <v>2016</v>
      </c>
      <c r="C14" s="24">
        <v>39677370.189999998</v>
      </c>
      <c r="D14" s="24">
        <v>7820326.8905148003</v>
      </c>
      <c r="E14" s="24">
        <v>3247143.1322107781</v>
      </c>
      <c r="F14" s="24">
        <v>2043404.6278774231</v>
      </c>
      <c r="G14" s="24">
        <v>2283995.0499999998</v>
      </c>
      <c r="H14" s="24">
        <v>2624758.48</v>
      </c>
    </row>
    <row r="15" spans="2:8" x14ac:dyDescent="0.3">
      <c r="B15" s="19">
        <v>2017</v>
      </c>
      <c r="C15" s="24">
        <v>86078297.719999999</v>
      </c>
      <c r="D15" s="24">
        <v>13151717.35284359</v>
      </c>
      <c r="E15" s="24">
        <v>10614294.32</v>
      </c>
      <c r="F15" s="24">
        <v>8122900.6600000001</v>
      </c>
      <c r="G15" s="24">
        <v>4480967.6500000004</v>
      </c>
      <c r="H15" s="24">
        <v>3206471.91</v>
      </c>
    </row>
    <row r="16" spans="2:8" x14ac:dyDescent="0.3">
      <c r="B16" s="19">
        <v>2018</v>
      </c>
      <c r="C16" s="24">
        <v>126872459.22</v>
      </c>
      <c r="D16" s="24">
        <v>13022534.15</v>
      </c>
      <c r="E16" s="24">
        <v>14364742.289999999</v>
      </c>
      <c r="F16" s="24">
        <v>9593502.5500000007</v>
      </c>
      <c r="G16" s="24">
        <v>2811549.01</v>
      </c>
      <c r="H16" s="24">
        <v>580320.74</v>
      </c>
    </row>
    <row r="17" spans="2:8" x14ac:dyDescent="0.3">
      <c r="B17" s="19">
        <v>2019</v>
      </c>
      <c r="C17" s="24">
        <v>153037962.13999999</v>
      </c>
      <c r="D17" s="24">
        <v>18598106.100000001</v>
      </c>
      <c r="E17" s="25">
        <v>12187197.279999999</v>
      </c>
      <c r="F17" s="25">
        <v>10208053.880000001</v>
      </c>
      <c r="G17" s="25">
        <v>1194097.77</v>
      </c>
      <c r="H17" s="26"/>
    </row>
    <row r="18" spans="2:8" x14ac:dyDescent="0.3">
      <c r="B18" s="19">
        <v>2020</v>
      </c>
      <c r="C18" s="24">
        <v>210346077.00999999</v>
      </c>
      <c r="D18" s="24">
        <v>17983767.449999999</v>
      </c>
      <c r="E18" s="25">
        <v>9999855.6799999997</v>
      </c>
      <c r="F18" s="25">
        <v>2071706.62</v>
      </c>
      <c r="G18" s="26"/>
      <c r="H18" s="26"/>
    </row>
    <row r="19" spans="2:8" x14ac:dyDescent="0.3">
      <c r="B19" s="19">
        <v>2021</v>
      </c>
      <c r="C19" s="24">
        <v>228031774.27000001</v>
      </c>
      <c r="D19" s="24">
        <v>48750579.899999999</v>
      </c>
      <c r="E19" s="25">
        <v>6959192.4000000004</v>
      </c>
      <c r="F19" s="26"/>
      <c r="G19" s="26"/>
      <c r="H19" s="26"/>
    </row>
    <row r="20" spans="2:8" ht="15" thickBot="1" x14ac:dyDescent="0.35">
      <c r="B20" s="20">
        <v>2022</v>
      </c>
      <c r="C20" s="24">
        <v>35155453.490000002</v>
      </c>
      <c r="D20" s="24">
        <v>9947739.0800000001</v>
      </c>
    </row>
    <row r="21" spans="2:8" ht="15" thickBot="1" x14ac:dyDescent="0.35"/>
    <row r="22" spans="2:8" ht="15" thickBot="1" x14ac:dyDescent="0.35">
      <c r="B22" s="27" t="s">
        <v>52</v>
      </c>
      <c r="C22" s="16"/>
    </row>
    <row r="23" spans="2:8" x14ac:dyDescent="0.3">
      <c r="B23" t="s">
        <v>11</v>
      </c>
    </row>
    <row r="24" spans="2:8" x14ac:dyDescent="0.3">
      <c r="B24" t="s">
        <v>12</v>
      </c>
    </row>
    <row r="26" spans="2:8" ht="15" thickBot="1" x14ac:dyDescent="0.35"/>
    <row r="27" spans="2:8" ht="15" thickBot="1" x14ac:dyDescent="0.35">
      <c r="B27" s="11" t="s">
        <v>9</v>
      </c>
      <c r="C27" s="18" t="s">
        <v>10</v>
      </c>
      <c r="D27" s="18">
        <v>1</v>
      </c>
      <c r="E27" s="18">
        <v>2</v>
      </c>
      <c r="F27" s="18">
        <v>3</v>
      </c>
      <c r="G27" s="18">
        <v>4</v>
      </c>
      <c r="H27" s="8">
        <v>5</v>
      </c>
    </row>
    <row r="28" spans="2:8" x14ac:dyDescent="0.3">
      <c r="B28" s="19">
        <v>2013</v>
      </c>
      <c r="C28" s="24">
        <v>18301225.309999999</v>
      </c>
      <c r="D28" s="23">
        <f>D11/(1+10%)^$D$10</f>
        <v>2945002.9069441007</v>
      </c>
      <c r="E28" s="28">
        <f>E11/(1+10%)^$E$10</f>
        <v>1056417.8292963007</v>
      </c>
      <c r="F28" s="28">
        <f>F11/(1+10%)^$F$10</f>
        <v>716163.18563289254</v>
      </c>
      <c r="G28" s="28">
        <f>G11/(1+10%)^$G$10</f>
        <v>458518.6324866733</v>
      </c>
      <c r="H28" s="28">
        <f>H11/(1+10%)^$H$10</f>
        <v>495718.67917616141</v>
      </c>
    </row>
    <row r="29" spans="2:8" x14ac:dyDescent="0.3">
      <c r="B29" s="19">
        <v>2014</v>
      </c>
      <c r="C29" s="24">
        <v>16347920.25</v>
      </c>
      <c r="D29" s="24">
        <f t="shared" ref="D29:D37" si="0">D12/(1+10%)^$D$10</f>
        <v>2205913.647284518</v>
      </c>
      <c r="E29" s="28">
        <f t="shared" ref="E29:E36" si="1">E12/(1+10%)^$E$10</f>
        <v>1150756.9099676544</v>
      </c>
      <c r="F29" s="28">
        <f t="shared" ref="F29:F35" si="2">F12/(1+10%)^$F$10</f>
        <v>807965.5658635475</v>
      </c>
      <c r="G29" s="28">
        <f t="shared" ref="G29:G34" si="3">G12/(1+10%)^$G$10</f>
        <v>466572.41308653768</v>
      </c>
      <c r="H29" s="28">
        <f t="shared" ref="H29:H33" si="4">H12/(1+10%)^$H$10</f>
        <v>548446.27478252212</v>
      </c>
    </row>
    <row r="30" spans="2:8" x14ac:dyDescent="0.3">
      <c r="B30" s="19">
        <v>2015</v>
      </c>
      <c r="C30" s="24">
        <v>20815172.02</v>
      </c>
      <c r="D30" s="24">
        <f t="shared" si="0"/>
        <v>3306701.5907386844</v>
      </c>
      <c r="E30" s="28">
        <f t="shared" si="1"/>
        <v>1618056.2660415773</v>
      </c>
      <c r="F30" s="28">
        <f t="shared" si="2"/>
        <v>1008715.9487788435</v>
      </c>
      <c r="G30" s="28">
        <f t="shared" si="3"/>
        <v>584750.48152448586</v>
      </c>
      <c r="H30" s="28">
        <f t="shared" si="4"/>
        <v>547863.50907476502</v>
      </c>
    </row>
    <row r="31" spans="2:8" x14ac:dyDescent="0.3">
      <c r="B31" s="19">
        <v>2016</v>
      </c>
      <c r="C31" s="24">
        <v>39677370.189999998</v>
      </c>
      <c r="D31" s="24">
        <f t="shared" si="0"/>
        <v>7109388.0822861819</v>
      </c>
      <c r="E31" s="28">
        <f t="shared" si="1"/>
        <v>2683589.3654634524</v>
      </c>
      <c r="F31" s="28">
        <f t="shared" si="2"/>
        <v>1535240.1411550883</v>
      </c>
      <c r="G31" s="28">
        <f t="shared" si="3"/>
        <v>1559999.3511372169</v>
      </c>
      <c r="H31" s="28">
        <f t="shared" si="4"/>
        <v>1629768.5081123365</v>
      </c>
    </row>
    <row r="32" spans="2:8" x14ac:dyDescent="0.3">
      <c r="B32" s="19">
        <v>2017</v>
      </c>
      <c r="C32" s="24">
        <v>86078297.719999999</v>
      </c>
      <c r="D32" s="24">
        <f t="shared" si="0"/>
        <v>11956106.684403263</v>
      </c>
      <c r="E32" s="28">
        <f t="shared" si="1"/>
        <v>8772144.0661157016</v>
      </c>
      <c r="F32" s="28">
        <f t="shared" si="2"/>
        <v>6102855.492111193</v>
      </c>
      <c r="G32" s="28">
        <f t="shared" si="3"/>
        <v>3060561.1980055999</v>
      </c>
      <c r="H32" s="28">
        <f t="shared" si="4"/>
        <v>1990966.7807092157</v>
      </c>
    </row>
    <row r="33" spans="2:8" x14ac:dyDescent="0.3">
      <c r="B33" s="19">
        <v>2018</v>
      </c>
      <c r="C33" s="24">
        <v>126872459.22</v>
      </c>
      <c r="D33" s="24">
        <f t="shared" si="0"/>
        <v>11838667.409090908</v>
      </c>
      <c r="E33" s="28">
        <f t="shared" si="1"/>
        <v>11871687.842975205</v>
      </c>
      <c r="F33" s="28">
        <f t="shared" si="2"/>
        <v>7207740.4583020266</v>
      </c>
      <c r="G33" s="28">
        <f t="shared" si="3"/>
        <v>1920325.804248343</v>
      </c>
      <c r="H33" s="28">
        <f t="shared" si="4"/>
        <v>360333.52167946787</v>
      </c>
    </row>
    <row r="34" spans="2:8" x14ac:dyDescent="0.3">
      <c r="B34" s="19">
        <v>2019</v>
      </c>
      <c r="C34" s="24">
        <v>153037962.13999999</v>
      </c>
      <c r="D34" s="24">
        <f t="shared" si="0"/>
        <v>16907369.181818184</v>
      </c>
      <c r="E34" s="28">
        <f t="shared" si="1"/>
        <v>10072063.867768593</v>
      </c>
      <c r="F34" s="28">
        <f t="shared" si="2"/>
        <v>7669461.9684447767</v>
      </c>
      <c r="G34" s="28">
        <f t="shared" si="3"/>
        <v>815584.84393142525</v>
      </c>
      <c r="H34" s="26"/>
    </row>
    <row r="35" spans="2:8" x14ac:dyDescent="0.3">
      <c r="B35" s="19">
        <v>2020</v>
      </c>
      <c r="C35" s="24">
        <v>210346077.00999999</v>
      </c>
      <c r="D35" s="24">
        <f t="shared" si="0"/>
        <v>16348879.499999998</v>
      </c>
      <c r="E35" s="28">
        <f t="shared" si="1"/>
        <v>8264343.5371900816</v>
      </c>
      <c r="F35" s="28">
        <f t="shared" si="2"/>
        <v>1556503.8467317803</v>
      </c>
      <c r="G35" s="26"/>
      <c r="H35" s="26"/>
    </row>
    <row r="36" spans="2:8" x14ac:dyDescent="0.3">
      <c r="B36" s="19">
        <v>2021</v>
      </c>
      <c r="C36" s="24">
        <v>228031774.27000001</v>
      </c>
      <c r="D36" s="24">
        <f t="shared" si="0"/>
        <v>44318708.999999993</v>
      </c>
      <c r="E36" s="28">
        <f t="shared" si="1"/>
        <v>5751398.67768595</v>
      </c>
      <c r="F36" s="26"/>
      <c r="G36" s="26"/>
      <c r="H36" s="26"/>
    </row>
    <row r="37" spans="2:8" ht="15" thickBot="1" x14ac:dyDescent="0.35">
      <c r="B37" s="20">
        <v>2022</v>
      </c>
      <c r="C37" s="24">
        <v>35155453.490000002</v>
      </c>
      <c r="D37" s="24">
        <f t="shared" si="0"/>
        <v>9043399.1636363622</v>
      </c>
    </row>
    <row r="38" spans="2:8" ht="15" thickBot="1" x14ac:dyDescent="0.35"/>
    <row r="39" spans="2:8" ht="15" thickBot="1" x14ac:dyDescent="0.35">
      <c r="B39" s="27" t="s">
        <v>54</v>
      </c>
      <c r="C39" s="17"/>
      <c r="D39" s="17"/>
      <c r="E39" s="16"/>
    </row>
    <row r="40" spans="2:8" x14ac:dyDescent="0.3">
      <c r="B40" t="s">
        <v>13</v>
      </c>
    </row>
    <row r="41" spans="2:8" x14ac:dyDescent="0.3">
      <c r="B41" t="s">
        <v>14</v>
      </c>
    </row>
    <row r="42" spans="2:8" ht="15" thickBot="1" x14ac:dyDescent="0.35"/>
    <row r="43" spans="2:8" ht="15" thickBot="1" x14ac:dyDescent="0.35">
      <c r="B43" s="11" t="s">
        <v>9</v>
      </c>
      <c r="C43" s="18" t="s">
        <v>10</v>
      </c>
      <c r="D43" s="18">
        <v>1</v>
      </c>
      <c r="E43" s="18">
        <v>2</v>
      </c>
      <c r="F43" s="18">
        <v>3</v>
      </c>
      <c r="G43" s="18">
        <v>4</v>
      </c>
      <c r="H43" s="8">
        <v>5</v>
      </c>
    </row>
    <row r="44" spans="2:8" x14ac:dyDescent="0.3">
      <c r="B44" s="19">
        <v>2013</v>
      </c>
      <c r="C44" s="24">
        <v>18301225.309999999</v>
      </c>
      <c r="D44" s="24">
        <f>D28</f>
        <v>2945002.9069441007</v>
      </c>
      <c r="E44" s="24">
        <f>D44+E28</f>
        <v>4001420.7362404014</v>
      </c>
      <c r="F44" s="24">
        <f t="shared" ref="F44:H44" si="5">E44+F28</f>
        <v>4717583.9218732938</v>
      </c>
      <c r="G44" s="24">
        <f t="shared" si="5"/>
        <v>5176102.5543599669</v>
      </c>
      <c r="H44" s="24">
        <f t="shared" si="5"/>
        <v>5671821.233536128</v>
      </c>
    </row>
    <row r="45" spans="2:8" x14ac:dyDescent="0.3">
      <c r="B45" s="19">
        <v>2014</v>
      </c>
      <c r="C45" s="24">
        <v>16347920.25</v>
      </c>
      <c r="D45" s="24">
        <f t="shared" ref="D45:D53" si="6">D29</f>
        <v>2205913.647284518</v>
      </c>
      <c r="E45" s="24">
        <f>D45+E29</f>
        <v>3356670.5572521724</v>
      </c>
      <c r="F45" s="24">
        <f t="shared" ref="F45:H45" si="7">E45+F29</f>
        <v>4164636.1231157198</v>
      </c>
      <c r="G45" s="24">
        <f t="shared" si="7"/>
        <v>4631208.5362022575</v>
      </c>
      <c r="H45" s="24">
        <f t="shared" si="7"/>
        <v>5179654.8109847791</v>
      </c>
    </row>
    <row r="46" spans="2:8" x14ac:dyDescent="0.3">
      <c r="B46" s="19">
        <v>2015</v>
      </c>
      <c r="C46" s="24">
        <v>20815172.02</v>
      </c>
      <c r="D46" s="24">
        <f t="shared" si="6"/>
        <v>3306701.5907386844</v>
      </c>
      <c r="E46" s="24">
        <f t="shared" ref="E46:F52" si="8">D46+E30</f>
        <v>4924757.8567802617</v>
      </c>
      <c r="F46" s="24">
        <f t="shared" ref="F46:H46" si="9">E46+F30</f>
        <v>5933473.8055591052</v>
      </c>
      <c r="G46" s="24">
        <f t="shared" si="9"/>
        <v>6518224.2870835913</v>
      </c>
      <c r="H46" s="24">
        <f t="shared" si="9"/>
        <v>7066087.7961583566</v>
      </c>
    </row>
    <row r="47" spans="2:8" x14ac:dyDescent="0.3">
      <c r="B47" s="19">
        <v>2016</v>
      </c>
      <c r="C47" s="24">
        <v>39677370.189999998</v>
      </c>
      <c r="D47" s="24">
        <f t="shared" si="6"/>
        <v>7109388.0822861819</v>
      </c>
      <c r="E47" s="24">
        <f t="shared" si="8"/>
        <v>9792977.4477496333</v>
      </c>
      <c r="F47" s="24">
        <f t="shared" ref="F47:H47" si="10">E47+F31</f>
        <v>11328217.588904722</v>
      </c>
      <c r="G47" s="24">
        <f t="shared" si="10"/>
        <v>12888216.940041939</v>
      </c>
      <c r="H47" s="24">
        <f t="shared" si="10"/>
        <v>14517985.448154274</v>
      </c>
    </row>
    <row r="48" spans="2:8" x14ac:dyDescent="0.3">
      <c r="B48" s="19">
        <v>2017</v>
      </c>
      <c r="C48" s="24">
        <v>86078297.719999999</v>
      </c>
      <c r="D48" s="24">
        <f t="shared" si="6"/>
        <v>11956106.684403263</v>
      </c>
      <c r="E48" s="24">
        <f t="shared" si="8"/>
        <v>20728250.750518963</v>
      </c>
      <c r="F48" s="24">
        <f t="shared" ref="F48:H48" si="11">E48+F32</f>
        <v>26831106.242630154</v>
      </c>
      <c r="G48" s="24">
        <f t="shared" si="11"/>
        <v>29891667.440635756</v>
      </c>
      <c r="H48" s="24">
        <f t="shared" si="11"/>
        <v>31882634.22134497</v>
      </c>
    </row>
    <row r="49" spans="2:10" x14ac:dyDescent="0.3">
      <c r="B49" s="19">
        <v>2018</v>
      </c>
      <c r="C49" s="24">
        <v>126872459.22</v>
      </c>
      <c r="D49" s="24">
        <f t="shared" si="6"/>
        <v>11838667.409090908</v>
      </c>
      <c r="E49" s="24">
        <f t="shared" si="8"/>
        <v>23710355.252066113</v>
      </c>
      <c r="F49" s="24">
        <f t="shared" ref="F49:H49" si="12">E49+F33</f>
        <v>30918095.710368142</v>
      </c>
      <c r="G49" s="24">
        <f t="shared" si="12"/>
        <v>32838421.514616486</v>
      </c>
      <c r="H49" s="24">
        <f t="shared" si="12"/>
        <v>33198755.036295954</v>
      </c>
    </row>
    <row r="50" spans="2:10" x14ac:dyDescent="0.3">
      <c r="B50" s="19">
        <v>2019</v>
      </c>
      <c r="C50" s="24">
        <v>153037962.13999999</v>
      </c>
      <c r="D50" s="24">
        <f t="shared" si="6"/>
        <v>16907369.181818184</v>
      </c>
      <c r="E50" s="24">
        <f t="shared" si="8"/>
        <v>26979433.049586777</v>
      </c>
      <c r="F50" s="24">
        <f t="shared" ref="F50:G50" si="13">E50+F34</f>
        <v>34648895.018031552</v>
      </c>
      <c r="G50" s="24">
        <f t="shared" si="13"/>
        <v>35464479.861962974</v>
      </c>
      <c r="H50" s="26"/>
    </row>
    <row r="51" spans="2:10" x14ac:dyDescent="0.3">
      <c r="B51" s="19">
        <v>2020</v>
      </c>
      <c r="C51" s="24">
        <v>210346077.00999999</v>
      </c>
      <c r="D51" s="24">
        <f t="shared" si="6"/>
        <v>16348879.499999998</v>
      </c>
      <c r="E51" s="24">
        <f t="shared" si="8"/>
        <v>24613223.03719008</v>
      </c>
      <c r="F51" s="24">
        <f t="shared" si="8"/>
        <v>26169726.883921862</v>
      </c>
      <c r="G51" s="26"/>
      <c r="H51" s="26"/>
    </row>
    <row r="52" spans="2:10" x14ac:dyDescent="0.3">
      <c r="B52" s="19">
        <v>2021</v>
      </c>
      <c r="C52" s="24">
        <v>228031774.27000001</v>
      </c>
      <c r="D52" s="24">
        <f t="shared" si="6"/>
        <v>44318708.999999993</v>
      </c>
      <c r="E52" s="24">
        <f t="shared" si="8"/>
        <v>50070107.677685946</v>
      </c>
      <c r="F52" s="26"/>
      <c r="G52" s="26"/>
      <c r="H52" s="26"/>
    </row>
    <row r="53" spans="2:10" ht="15" thickBot="1" x14ac:dyDescent="0.35">
      <c r="B53" s="20">
        <v>2022</v>
      </c>
      <c r="C53" s="24">
        <v>35155453.490000002</v>
      </c>
      <c r="D53" s="30">
        <f t="shared" si="6"/>
        <v>9043399.1636363622</v>
      </c>
      <c r="E53" s="29"/>
    </row>
    <row r="54" spans="2:10" ht="15" thickBot="1" x14ac:dyDescent="0.35">
      <c r="D54" s="51" t="s">
        <v>55</v>
      </c>
      <c r="E54" s="48">
        <f>SUM(E44:E52)/SUM(D44:D52)</f>
        <v>1.4381895650396901</v>
      </c>
      <c r="F54" s="49">
        <f>SUM(F44:F51)/SUM(E44:E51)</f>
        <v>1.2252586775501642</v>
      </c>
      <c r="G54" s="49">
        <f>SUM(G44:G50)/SUM(F44:F50)</f>
        <v>1.0747946896067286</v>
      </c>
      <c r="H54" s="50">
        <f>SUM(H44:H49)/SUM(G44:G49)</f>
        <v>1.0606141444209454</v>
      </c>
      <c r="I54" s="31" t="s">
        <v>56</v>
      </c>
    </row>
    <row r="55" spans="2:10" ht="15" thickBot="1" x14ac:dyDescent="0.35"/>
    <row r="56" spans="2:10" ht="15" thickBot="1" x14ac:dyDescent="0.35">
      <c r="B56" s="15" t="s">
        <v>15</v>
      </c>
      <c r="C56" s="17"/>
      <c r="D56" s="17"/>
      <c r="E56" s="16"/>
    </row>
    <row r="57" spans="2:10" x14ac:dyDescent="0.3">
      <c r="B57" s="44" t="s">
        <v>16</v>
      </c>
    </row>
    <row r="59" spans="2:10" ht="15" thickBot="1" x14ac:dyDescent="0.35"/>
    <row r="60" spans="2:10" ht="15" thickBot="1" x14ac:dyDescent="0.35">
      <c r="B60" s="11" t="s">
        <v>9</v>
      </c>
      <c r="C60" s="18" t="s">
        <v>10</v>
      </c>
      <c r="D60" s="18">
        <v>1</v>
      </c>
      <c r="E60" s="18">
        <v>2</v>
      </c>
      <c r="F60" s="18">
        <v>3</v>
      </c>
      <c r="G60" s="18">
        <v>4</v>
      </c>
      <c r="H60" s="8">
        <v>5</v>
      </c>
      <c r="I60" s="35" t="s">
        <v>17</v>
      </c>
      <c r="J60" s="36" t="s">
        <v>18</v>
      </c>
    </row>
    <row r="61" spans="2:10" x14ac:dyDescent="0.3">
      <c r="B61" s="19">
        <v>2013</v>
      </c>
      <c r="C61" s="24">
        <f>C44</f>
        <v>18301225.309999999</v>
      </c>
      <c r="D61" s="24">
        <f t="shared" ref="D61:H61" si="14">D44</f>
        <v>2945002.9069441007</v>
      </c>
      <c r="E61" s="24">
        <f t="shared" si="14"/>
        <v>4001420.7362404014</v>
      </c>
      <c r="F61" s="24">
        <f t="shared" si="14"/>
        <v>4717583.9218732938</v>
      </c>
      <c r="G61" s="24">
        <f t="shared" si="14"/>
        <v>5176102.5543599669</v>
      </c>
      <c r="H61" s="38">
        <f t="shared" si="14"/>
        <v>5671821.233536128</v>
      </c>
      <c r="I61" s="32">
        <f>H61</f>
        <v>5671821.233536128</v>
      </c>
      <c r="J61" s="45">
        <f>1-(I61/C61)</f>
        <v>0.69008516438312029</v>
      </c>
    </row>
    <row r="62" spans="2:10" x14ac:dyDescent="0.3">
      <c r="B62" s="19">
        <v>2014</v>
      </c>
      <c r="C62" s="24">
        <f t="shared" ref="C62:H70" si="15">C45</f>
        <v>16347920.25</v>
      </c>
      <c r="D62" s="24">
        <f t="shared" si="15"/>
        <v>2205913.647284518</v>
      </c>
      <c r="E62" s="24">
        <f t="shared" si="15"/>
        <v>3356670.5572521724</v>
      </c>
      <c r="F62" s="24">
        <f t="shared" si="15"/>
        <v>4164636.1231157198</v>
      </c>
      <c r="G62" s="24">
        <f t="shared" si="15"/>
        <v>4631208.5362022575</v>
      </c>
      <c r="H62" s="38">
        <f t="shared" si="15"/>
        <v>5179654.8109847791</v>
      </c>
      <c r="I62" s="32">
        <f t="shared" ref="I62:I70" si="16">H62</f>
        <v>5179654.8109847791</v>
      </c>
      <c r="J62" s="45">
        <f>1-(I62/C62)</f>
        <v>0.68316123814068774</v>
      </c>
    </row>
    <row r="63" spans="2:10" x14ac:dyDescent="0.3">
      <c r="B63" s="19">
        <v>2015</v>
      </c>
      <c r="C63" s="24">
        <f t="shared" si="15"/>
        <v>20815172.02</v>
      </c>
      <c r="D63" s="24">
        <f t="shared" si="15"/>
        <v>3306701.5907386844</v>
      </c>
      <c r="E63" s="24">
        <f t="shared" si="15"/>
        <v>4924757.8567802617</v>
      </c>
      <c r="F63" s="24">
        <f t="shared" si="15"/>
        <v>5933473.8055591052</v>
      </c>
      <c r="G63" s="24">
        <f t="shared" si="15"/>
        <v>6518224.2870835913</v>
      </c>
      <c r="H63" s="38">
        <f t="shared" si="15"/>
        <v>7066087.7961583566</v>
      </c>
      <c r="I63" s="32">
        <f t="shared" si="16"/>
        <v>7066087.7961583566</v>
      </c>
      <c r="J63" s="45">
        <f t="shared" ref="J63:J70" si="17">1-(I63/C63)</f>
        <v>0.66053185679325666</v>
      </c>
    </row>
    <row r="64" spans="2:10" x14ac:dyDescent="0.3">
      <c r="B64" s="19">
        <v>2016</v>
      </c>
      <c r="C64" s="24">
        <f t="shared" si="15"/>
        <v>39677370.189999998</v>
      </c>
      <c r="D64" s="24">
        <f t="shared" si="15"/>
        <v>7109388.0822861819</v>
      </c>
      <c r="E64" s="24">
        <f t="shared" si="15"/>
        <v>9792977.4477496333</v>
      </c>
      <c r="F64" s="24">
        <f t="shared" si="15"/>
        <v>11328217.588904722</v>
      </c>
      <c r="G64" s="24">
        <f t="shared" si="15"/>
        <v>12888216.940041939</v>
      </c>
      <c r="H64" s="38">
        <f t="shared" si="15"/>
        <v>14517985.448154274</v>
      </c>
      <c r="I64" s="32">
        <f t="shared" si="16"/>
        <v>14517985.448154274</v>
      </c>
      <c r="J64" s="45">
        <f t="shared" si="17"/>
        <v>0.63409910035284334</v>
      </c>
    </row>
    <row r="65" spans="2:10" x14ac:dyDescent="0.3">
      <c r="B65" s="19">
        <v>2017</v>
      </c>
      <c r="C65" s="24">
        <f t="shared" si="15"/>
        <v>86078297.719999999</v>
      </c>
      <c r="D65" s="24">
        <f t="shared" si="15"/>
        <v>11956106.684403263</v>
      </c>
      <c r="E65" s="24">
        <f t="shared" si="15"/>
        <v>20728250.750518963</v>
      </c>
      <c r="F65" s="24">
        <f t="shared" si="15"/>
        <v>26831106.242630154</v>
      </c>
      <c r="G65" s="24">
        <f t="shared" si="15"/>
        <v>29891667.440635756</v>
      </c>
      <c r="H65" s="38">
        <f t="shared" si="15"/>
        <v>31882634.22134497</v>
      </c>
      <c r="I65" s="32">
        <f t="shared" si="16"/>
        <v>31882634.22134497</v>
      </c>
      <c r="J65" s="45">
        <f t="shared" si="17"/>
        <v>0.62960891344465852</v>
      </c>
    </row>
    <row r="66" spans="2:10" x14ac:dyDescent="0.3">
      <c r="B66" s="19">
        <v>2018</v>
      </c>
      <c r="C66" s="24">
        <f t="shared" si="15"/>
        <v>126872459.22</v>
      </c>
      <c r="D66" s="24">
        <f t="shared" si="15"/>
        <v>11838667.409090908</v>
      </c>
      <c r="E66" s="24">
        <f t="shared" si="15"/>
        <v>23710355.252066113</v>
      </c>
      <c r="F66" s="24">
        <f t="shared" si="15"/>
        <v>30918095.710368142</v>
      </c>
      <c r="G66" s="24">
        <f t="shared" si="15"/>
        <v>32838421.514616486</v>
      </c>
      <c r="H66" s="38">
        <f t="shared" si="15"/>
        <v>33198755.036295954</v>
      </c>
      <c r="I66" s="32">
        <f t="shared" si="16"/>
        <v>33198755.036295954</v>
      </c>
      <c r="J66" s="45">
        <f t="shared" si="17"/>
        <v>0.73832969550366734</v>
      </c>
    </row>
    <row r="67" spans="2:10" x14ac:dyDescent="0.3">
      <c r="B67" s="19">
        <v>2019</v>
      </c>
      <c r="C67" s="24">
        <f t="shared" si="15"/>
        <v>153037962.13999999</v>
      </c>
      <c r="D67" s="24">
        <f t="shared" si="15"/>
        <v>16907369.181818184</v>
      </c>
      <c r="E67" s="24">
        <f t="shared" si="15"/>
        <v>26979433.049586777</v>
      </c>
      <c r="F67" s="24">
        <f t="shared" si="15"/>
        <v>34648895.018031552</v>
      </c>
      <c r="G67" s="24">
        <f t="shared" si="15"/>
        <v>35464479.861962974</v>
      </c>
      <c r="H67" s="39">
        <f t="shared" ref="H67:H69" si="18">G67*$H$54</f>
        <v>37614128.966129705</v>
      </c>
      <c r="I67" s="32">
        <f t="shared" si="16"/>
        <v>37614128.966129705</v>
      </c>
      <c r="J67" s="45">
        <f t="shared" si="17"/>
        <v>0.75421700315298179</v>
      </c>
    </row>
    <row r="68" spans="2:10" x14ac:dyDescent="0.3">
      <c r="B68" s="19">
        <v>2020</v>
      </c>
      <c r="C68" s="24">
        <f t="shared" si="15"/>
        <v>210346077.00999999</v>
      </c>
      <c r="D68" s="24">
        <f t="shared" si="15"/>
        <v>16348879.499999998</v>
      </c>
      <c r="E68" s="24">
        <f t="shared" si="15"/>
        <v>24613223.03719008</v>
      </c>
      <c r="F68" s="24">
        <f t="shared" si="15"/>
        <v>26169726.883921862</v>
      </c>
      <c r="G68" s="40">
        <f t="shared" ref="G68:G69" si="19">F68*$G$54</f>
        <v>28127083.483297661</v>
      </c>
      <c r="H68" s="39">
        <f t="shared" si="18"/>
        <v>29831982.583694253</v>
      </c>
      <c r="I68" s="32">
        <f t="shared" si="16"/>
        <v>29831982.583694253</v>
      </c>
      <c r="J68" s="45">
        <f t="shared" si="17"/>
        <v>0.85817666291786354</v>
      </c>
    </row>
    <row r="69" spans="2:10" x14ac:dyDescent="0.3">
      <c r="B69" s="19">
        <v>2021</v>
      </c>
      <c r="C69" s="24">
        <f t="shared" si="15"/>
        <v>228031774.27000001</v>
      </c>
      <c r="D69" s="24">
        <f t="shared" si="15"/>
        <v>44318708.999999993</v>
      </c>
      <c r="E69" s="24">
        <f t="shared" si="15"/>
        <v>50070107.677685946</v>
      </c>
      <c r="F69" s="40">
        <f>E69*$F$54</f>
        <v>61348833.917955801</v>
      </c>
      <c r="G69" s="40">
        <f t="shared" si="19"/>
        <v>65937400.908584051</v>
      </c>
      <c r="H69" s="39">
        <f t="shared" si="18"/>
        <v>69934140.049998745</v>
      </c>
      <c r="I69" s="32">
        <f t="shared" si="16"/>
        <v>69934140.049998745</v>
      </c>
      <c r="J69" s="45">
        <f t="shared" si="17"/>
        <v>0.69331405557896708</v>
      </c>
    </row>
    <row r="70" spans="2:10" ht="15" thickBot="1" x14ac:dyDescent="0.35">
      <c r="B70" s="20">
        <v>2022</v>
      </c>
      <c r="C70" s="41">
        <f t="shared" si="15"/>
        <v>35155453.490000002</v>
      </c>
      <c r="D70" s="41">
        <f t="shared" si="15"/>
        <v>9043399.1636363622</v>
      </c>
      <c r="E70" s="42">
        <f>D70*E54</f>
        <v>13006122.309630476</v>
      </c>
      <c r="F70" s="42">
        <f>E70*$F$54</f>
        <v>15935864.221153524</v>
      </c>
      <c r="G70" s="42">
        <f>F70*$G$54</f>
        <v>17127782.239189673</v>
      </c>
      <c r="H70" s="43">
        <f>G70*$H$54</f>
        <v>18165968.105446421</v>
      </c>
      <c r="I70" s="34">
        <f t="shared" si="16"/>
        <v>18165968.105446421</v>
      </c>
      <c r="J70" s="46">
        <f t="shared" si="17"/>
        <v>0.48326742220481533</v>
      </c>
    </row>
    <row r="71" spans="2:10" ht="15" thickBot="1" x14ac:dyDescent="0.35">
      <c r="I71" s="37" t="s">
        <v>57</v>
      </c>
      <c r="J71" s="47">
        <f>AVERAGE(J61:J70)</f>
        <v>0.68247911124728622</v>
      </c>
    </row>
    <row r="75" spans="2:10" x14ac:dyDescent="0.3">
      <c r="E75" t="s">
        <v>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51"/>
  <sheetViews>
    <sheetView workbookViewId="0">
      <selection activeCell="F29" sqref="F29"/>
    </sheetView>
  </sheetViews>
  <sheetFormatPr defaultRowHeight="14.4" x14ac:dyDescent="0.3"/>
  <cols>
    <col min="1" max="1" width="3.44140625" customWidth="1"/>
  </cols>
  <sheetData>
    <row r="1" spans="2:15" x14ac:dyDescent="0.3">
      <c r="B1" s="44" t="s">
        <v>59</v>
      </c>
      <c r="C1" s="44"/>
    </row>
    <row r="2" spans="2:15" x14ac:dyDescent="0.3">
      <c r="B2" t="s">
        <v>58</v>
      </c>
    </row>
    <row r="3" spans="2:15" ht="15" thickBot="1" x14ac:dyDescent="0.35"/>
    <row r="4" spans="2:15" ht="15" thickBot="1" x14ac:dyDescent="0.35">
      <c r="C4" s="58" t="s">
        <v>23</v>
      </c>
      <c r="D4" s="59">
        <v>0.02</v>
      </c>
      <c r="E4" s="53"/>
      <c r="F4" s="15" t="s">
        <v>61</v>
      </c>
      <c r="G4" s="17"/>
      <c r="H4" s="17"/>
      <c r="I4" s="17"/>
      <c r="J4" s="61">
        <v>0.1</v>
      </c>
    </row>
    <row r="5" spans="2:15" ht="15" thickBot="1" x14ac:dyDescent="0.35">
      <c r="C5" s="20" t="s">
        <v>60</v>
      </c>
      <c r="D5" s="60">
        <v>0.25</v>
      </c>
    </row>
    <row r="6" spans="2:15" ht="15" thickBot="1" x14ac:dyDescent="0.35">
      <c r="D6" s="52"/>
    </row>
    <row r="7" spans="2:15" ht="15" thickBot="1" x14ac:dyDescent="0.35">
      <c r="B7" s="57" t="s">
        <v>20</v>
      </c>
      <c r="C7" s="56">
        <f>(NORMSINV(D4)-NORMSINV(D4*D5))/SQRT(1-J4)</f>
        <v>0.55032105444453461</v>
      </c>
      <c r="D7" s="15" t="s">
        <v>19</v>
      </c>
      <c r="E7" s="16" t="s">
        <v>18</v>
      </c>
      <c r="O7" t="s">
        <v>50</v>
      </c>
    </row>
    <row r="8" spans="2:15" x14ac:dyDescent="0.3">
      <c r="D8" s="54">
        <v>1E-4</v>
      </c>
      <c r="E8" s="45">
        <v>9.8027193896013776E-2</v>
      </c>
    </row>
    <row r="9" spans="2:15" x14ac:dyDescent="0.3">
      <c r="D9" s="54">
        <v>1.2E-4</v>
      </c>
      <c r="E9" s="45">
        <v>0.10043664480525021</v>
      </c>
    </row>
    <row r="10" spans="2:15" x14ac:dyDescent="0.3">
      <c r="D10" s="54">
        <v>1.44E-4</v>
      </c>
      <c r="E10" s="45">
        <v>0.1029313567924499</v>
      </c>
    </row>
    <row r="11" spans="2:15" x14ac:dyDescent="0.3">
      <c r="D11" s="54">
        <v>1.728E-4</v>
      </c>
      <c r="E11" s="45">
        <v>0.1055155606498301</v>
      </c>
    </row>
    <row r="12" spans="2:15" x14ac:dyDescent="0.3">
      <c r="D12" s="54">
        <v>2.0735999999999999E-4</v>
      </c>
      <c r="E12" s="45">
        <v>0.1081937700003883</v>
      </c>
    </row>
    <row r="13" spans="2:15" x14ac:dyDescent="0.3">
      <c r="D13" s="54">
        <v>2.4883199999999999E-4</v>
      </c>
      <c r="E13" s="45">
        <v>0.11097080575181401</v>
      </c>
    </row>
    <row r="14" spans="2:15" x14ac:dyDescent="0.3">
      <c r="D14" s="54">
        <v>2.9859839999999999E-4</v>
      </c>
      <c r="E14" s="45">
        <v>0.11385182319077169</v>
      </c>
    </row>
    <row r="15" spans="2:15" x14ac:dyDescent="0.3">
      <c r="D15" s="54">
        <v>3.5831808E-4</v>
      </c>
      <c r="E15" s="45">
        <v>0.1168423420636823</v>
      </c>
    </row>
    <row r="16" spans="2:15" x14ac:dyDescent="0.3">
      <c r="D16" s="54">
        <v>4.29981696E-4</v>
      </c>
      <c r="E16" s="45">
        <v>0.11994828004407571</v>
      </c>
    </row>
    <row r="17" spans="4:5" x14ac:dyDescent="0.3">
      <c r="D17" s="54">
        <v>5.1597803519999998E-4</v>
      </c>
      <c r="E17" s="45">
        <v>0.1231759900502782</v>
      </c>
    </row>
    <row r="18" spans="4:5" x14ac:dyDescent="0.3">
      <c r="D18" s="54">
        <v>6.1917364223999999E-4</v>
      </c>
      <c r="E18" s="45">
        <v>0.126532301952726</v>
      </c>
    </row>
    <row r="19" spans="4:5" x14ac:dyDescent="0.3">
      <c r="D19" s="54">
        <v>7.4300837068800002E-4</v>
      </c>
      <c r="E19" s="45">
        <v>0.13002456930016371</v>
      </c>
    </row>
    <row r="20" spans="4:5" x14ac:dyDescent="0.3">
      <c r="D20" s="54">
        <v>8.9161004482559997E-4</v>
      </c>
      <c r="E20" s="45">
        <v>0.1336607218014613</v>
      </c>
    </row>
    <row r="21" spans="4:5" x14ac:dyDescent="0.3">
      <c r="D21" s="54">
        <v>1.0699320537907199E-3</v>
      </c>
      <c r="E21" s="45">
        <v>0.13744932442876501</v>
      </c>
    </row>
    <row r="22" spans="4:5" x14ac:dyDescent="0.3">
      <c r="D22" s="54">
        <v>1.283918464548864E-3</v>
      </c>
      <c r="E22" s="45">
        <v>0.14139964416316439</v>
      </c>
    </row>
    <row r="23" spans="4:5" x14ac:dyDescent="0.3">
      <c r="D23" s="54">
        <v>1.540702157458637E-3</v>
      </c>
      <c r="E23" s="45">
        <v>0.14552172559225079</v>
      </c>
    </row>
    <row r="24" spans="4:5" x14ac:dyDescent="0.3">
      <c r="D24" s="54">
        <v>1.848842588950364E-3</v>
      </c>
      <c r="E24" s="45">
        <v>0.1498264767978682</v>
      </c>
    </row>
    <row r="25" spans="4:5" x14ac:dyDescent="0.3">
      <c r="D25" s="54">
        <v>2.218611106740436E-3</v>
      </c>
      <c r="E25" s="45">
        <v>0.15432576725221189</v>
      </c>
    </row>
    <row r="26" spans="4:5" x14ac:dyDescent="0.3">
      <c r="D26" s="54">
        <v>2.662333328088524E-3</v>
      </c>
      <c r="E26" s="45">
        <v>0.15903253978435891</v>
      </c>
    </row>
    <row r="27" spans="4:5" x14ac:dyDescent="0.3">
      <c r="D27" s="54">
        <v>3.1947999937062279E-3</v>
      </c>
      <c r="E27" s="45">
        <v>0.16396093910429049</v>
      </c>
    </row>
    <row r="28" spans="4:5" x14ac:dyDescent="0.3">
      <c r="D28" s="54">
        <v>3.833759992447474E-3</v>
      </c>
      <c r="E28" s="45">
        <v>0.1691264598997913</v>
      </c>
    </row>
    <row r="29" spans="4:5" x14ac:dyDescent="0.3">
      <c r="D29" s="54">
        <v>4.6005119909369686E-3</v>
      </c>
      <c r="E29" s="45">
        <v>0.17454611818235061</v>
      </c>
    </row>
    <row r="30" spans="4:5" x14ac:dyDescent="0.3">
      <c r="D30" s="54">
        <v>5.5206143891243621E-3</v>
      </c>
      <c r="E30" s="45">
        <v>0.18023865039015891</v>
      </c>
    </row>
    <row r="31" spans="4:5" x14ac:dyDescent="0.3">
      <c r="D31" s="54">
        <v>6.6247372669492348E-3</v>
      </c>
      <c r="E31" s="45">
        <v>0.1862247458110709</v>
      </c>
    </row>
    <row r="32" spans="4:5" x14ac:dyDescent="0.3">
      <c r="D32" s="54">
        <v>7.9496847203390821E-3</v>
      </c>
      <c r="E32" s="45">
        <v>0.19252731923585331</v>
      </c>
    </row>
    <row r="33" spans="4:6" x14ac:dyDescent="0.3">
      <c r="D33" s="54">
        <v>9.5396216644068974E-3</v>
      </c>
      <c r="E33" s="45">
        <v>0.19917183248688361</v>
      </c>
    </row>
    <row r="34" spans="4:6" x14ac:dyDescent="0.3">
      <c r="D34" s="54">
        <v>1.144754599728828E-2</v>
      </c>
      <c r="E34" s="45">
        <v>0.20618667572037391</v>
      </c>
    </row>
    <row r="35" spans="4:6" x14ac:dyDescent="0.3">
      <c r="D35" s="54">
        <v>1.373705519674593E-2</v>
      </c>
      <c r="E35" s="45">
        <v>0.21360362235261471</v>
      </c>
    </row>
    <row r="36" spans="4:6" x14ac:dyDescent="0.3">
      <c r="D36" s="54">
        <v>1.6484466236095119E-2</v>
      </c>
      <c r="E36" s="45">
        <v>0.22145837536786461</v>
      </c>
    </row>
    <row r="37" spans="4:6" x14ac:dyDescent="0.3">
      <c r="D37" s="54">
        <v>1.9781359483314141E-2</v>
      </c>
      <c r="E37" s="45">
        <v>0.22979122799119381</v>
      </c>
    </row>
    <row r="38" spans="4:6" x14ac:dyDescent="0.3">
      <c r="D38" s="54">
        <v>2.3737631379976969E-2</v>
      </c>
      <c r="E38" s="45">
        <v>0.23864786877892361</v>
      </c>
    </row>
    <row r="39" spans="4:6" x14ac:dyDescent="0.3">
      <c r="D39" s="54">
        <v>2.848515765597236E-2</v>
      </c>
      <c r="E39" s="45">
        <v>0.24808037086207979</v>
      </c>
    </row>
    <row r="40" spans="4:6" x14ac:dyDescent="0.3">
      <c r="D40" s="54">
        <v>3.4182189187166832E-2</v>
      </c>
      <c r="E40" s="45">
        <v>0.25814841852071257</v>
      </c>
    </row>
    <row r="41" spans="4:6" x14ac:dyDescent="0.3">
      <c r="D41" s="54">
        <v>4.1018627024600199E-2</v>
      </c>
      <c r="E41" s="45">
        <v>0.26892084320607612</v>
      </c>
    </row>
    <row r="42" spans="4:6" x14ac:dyDescent="0.3">
      <c r="D42" s="54">
        <v>4.99E-2</v>
      </c>
      <c r="E42" s="45">
        <v>0.281378384792971</v>
      </c>
    </row>
    <row r="43" spans="4:6" x14ac:dyDescent="0.3">
      <c r="D43" s="54">
        <v>5.9880000000000003E-2</v>
      </c>
      <c r="E43" s="45">
        <v>0.2938829622528325</v>
      </c>
    </row>
    <row r="44" spans="4:6" x14ac:dyDescent="0.3">
      <c r="D44" s="54">
        <v>7.1855999999999989E-2</v>
      </c>
      <c r="E44" s="45">
        <v>0.30738473899609198</v>
      </c>
    </row>
    <row r="45" spans="4:6" x14ac:dyDescent="0.3">
      <c r="D45" s="54">
        <v>8.622719999999999E-2</v>
      </c>
      <c r="E45" s="45">
        <v>0.32201692466387449</v>
      </c>
    </row>
    <row r="46" spans="4:6" x14ac:dyDescent="0.3">
      <c r="D46" s="54">
        <v>0.10347264</v>
      </c>
      <c r="E46" s="45">
        <v>0.3379400505472962</v>
      </c>
    </row>
    <row r="47" spans="4:6" x14ac:dyDescent="0.3">
      <c r="D47" s="54">
        <v>0.02</v>
      </c>
      <c r="E47" s="45"/>
      <c r="F47">
        <v>0</v>
      </c>
    </row>
    <row r="48" spans="4:6" ht="15" thickBot="1" x14ac:dyDescent="0.35">
      <c r="D48" s="55">
        <v>0.02</v>
      </c>
      <c r="E48" s="46"/>
      <c r="F48">
        <v>0.23030987156937649</v>
      </c>
    </row>
    <row r="50" spans="4:7" x14ac:dyDescent="0.3">
      <c r="D50">
        <v>0</v>
      </c>
      <c r="G50">
        <v>0.23030987156937649</v>
      </c>
    </row>
    <row r="51" spans="4:7" x14ac:dyDescent="0.3">
      <c r="D51">
        <v>0.02</v>
      </c>
      <c r="G51">
        <v>0.23030987156937649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49"/>
  <sheetViews>
    <sheetView zoomScale="40" zoomScaleNormal="40" workbookViewId="0">
      <selection activeCell="AL66" sqref="AL65:AL66"/>
    </sheetView>
  </sheetViews>
  <sheetFormatPr defaultRowHeight="14.4" x14ac:dyDescent="0.3"/>
  <cols>
    <col min="5" max="5" width="20.21875" bestFit="1" customWidth="1"/>
    <col min="6" max="6" width="9.5546875" customWidth="1"/>
    <col min="7" max="7" width="11.88671875" customWidth="1"/>
    <col min="8" max="8" width="11" customWidth="1"/>
    <col min="9" max="9" width="10.33203125" customWidth="1"/>
  </cols>
  <sheetData>
    <row r="1" spans="1:43" ht="15" thickBot="1" x14ac:dyDescent="0.35"/>
    <row r="2" spans="1:43" ht="20.399999999999999" thickBot="1" x14ac:dyDescent="0.45">
      <c r="E2" s="64" t="s">
        <v>62</v>
      </c>
      <c r="F2" s="77"/>
      <c r="G2" s="65"/>
      <c r="H2" s="65"/>
      <c r="I2" s="66"/>
    </row>
    <row r="3" spans="1:43" ht="15" thickBot="1" x14ac:dyDescent="0.35"/>
    <row r="4" spans="1:43" ht="15" thickBot="1" x14ac:dyDescent="0.35">
      <c r="C4" s="62" t="s">
        <v>21</v>
      </c>
      <c r="D4" s="63">
        <v>0.1</v>
      </c>
    </row>
    <row r="7" spans="1:43" ht="20.399999999999999" thickBot="1" x14ac:dyDescent="0.45">
      <c r="A7" s="67" t="s">
        <v>63</v>
      </c>
    </row>
    <row r="8" spans="1:43" ht="15" thickBot="1" x14ac:dyDescent="0.35">
      <c r="C8" s="75"/>
      <c r="D8" s="75"/>
      <c r="G8" s="58"/>
      <c r="H8" s="87" t="s">
        <v>65</v>
      </c>
      <c r="I8" s="82"/>
      <c r="J8" s="82"/>
      <c r="K8" s="82"/>
      <c r="L8" s="82"/>
      <c r="M8" s="82"/>
      <c r="N8" s="88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2"/>
    </row>
    <row r="9" spans="1:43" ht="15" thickBot="1" x14ac:dyDescent="0.35">
      <c r="B9" s="15" t="s">
        <v>22</v>
      </c>
      <c r="C9" s="61" t="s">
        <v>23</v>
      </c>
      <c r="D9" s="17" t="s">
        <v>24</v>
      </c>
      <c r="E9" s="76" t="s">
        <v>25</v>
      </c>
      <c r="G9" s="103" t="s">
        <v>64</v>
      </c>
      <c r="H9" s="103">
        <v>1</v>
      </c>
      <c r="I9" s="65">
        <v>2</v>
      </c>
      <c r="J9" s="65">
        <v>3</v>
      </c>
      <c r="K9" s="65">
        <v>4</v>
      </c>
      <c r="L9" s="65">
        <v>5</v>
      </c>
      <c r="M9" s="65">
        <v>6</v>
      </c>
      <c r="N9" s="65">
        <v>7</v>
      </c>
      <c r="O9" s="65">
        <v>8</v>
      </c>
      <c r="P9" s="65">
        <v>9</v>
      </c>
      <c r="Q9" s="65">
        <v>10</v>
      </c>
      <c r="R9" s="65">
        <v>11</v>
      </c>
      <c r="S9" s="65">
        <v>12</v>
      </c>
      <c r="T9" s="65">
        <v>13</v>
      </c>
      <c r="U9" s="65">
        <v>14</v>
      </c>
      <c r="V9" s="65">
        <v>15</v>
      </c>
      <c r="W9" s="65">
        <v>16</v>
      </c>
      <c r="X9" s="65">
        <v>17</v>
      </c>
      <c r="Y9" s="65">
        <v>18</v>
      </c>
      <c r="Z9" s="65">
        <v>19</v>
      </c>
      <c r="AA9" s="65">
        <v>20</v>
      </c>
      <c r="AB9" s="65">
        <v>21</v>
      </c>
      <c r="AC9" s="65">
        <v>22</v>
      </c>
      <c r="AD9" s="65">
        <v>23</v>
      </c>
      <c r="AE9" s="65">
        <v>24</v>
      </c>
      <c r="AF9" s="65">
        <v>25</v>
      </c>
      <c r="AG9" s="65">
        <v>26</v>
      </c>
      <c r="AH9" s="65">
        <v>27</v>
      </c>
      <c r="AI9" s="65">
        <v>28</v>
      </c>
      <c r="AJ9" s="65">
        <v>29</v>
      </c>
      <c r="AK9" s="65">
        <v>30</v>
      </c>
      <c r="AL9" s="65">
        <v>31</v>
      </c>
      <c r="AM9" s="65">
        <v>32</v>
      </c>
      <c r="AN9" s="65">
        <v>33</v>
      </c>
      <c r="AO9" s="65">
        <v>34</v>
      </c>
      <c r="AP9" s="65">
        <v>35</v>
      </c>
      <c r="AQ9" s="66">
        <v>36</v>
      </c>
    </row>
    <row r="10" spans="1:43" x14ac:dyDescent="0.3">
      <c r="B10" s="68">
        <v>1</v>
      </c>
      <c r="C10" s="69">
        <v>7.5008438976897907E-5</v>
      </c>
      <c r="D10" s="69">
        <f>'LGD_Chain Ladder'!$J$71</f>
        <v>0.68247911124728622</v>
      </c>
      <c r="E10" s="73">
        <f>(NORMSINV(C10)-(NORMSINV(C10*D10)))/SQRT((1-$D$4))</f>
        <v>9.8907098341633373E-2</v>
      </c>
      <c r="F10" s="78"/>
      <c r="G10" s="19"/>
      <c r="H10" s="54">
        <v>7.2680095501875819E-5</v>
      </c>
      <c r="I10" s="80">
        <v>7.3452771065851685E-5</v>
      </c>
      <c r="J10" s="80">
        <v>7.1516812039540412E-5</v>
      </c>
      <c r="K10" s="80">
        <v>7.3066554514222837E-5</v>
      </c>
      <c r="L10" s="80">
        <v>7.1126916283859032E-5</v>
      </c>
      <c r="M10" s="80">
        <v>7.0735525352083606E-5</v>
      </c>
      <c r="N10" s="80">
        <v>7.0735525352083606E-5</v>
      </c>
      <c r="O10" s="80">
        <v>7.190547202762243E-5</v>
      </c>
      <c r="P10" s="80">
        <v>6.9549676152025341E-5</v>
      </c>
      <c r="Q10" s="80">
        <v>7.190547202762243E-5</v>
      </c>
      <c r="R10" s="80">
        <v>7.0342372964327105E-5</v>
      </c>
      <c r="S10" s="80">
        <v>7.1516812039540412E-5</v>
      </c>
      <c r="T10" s="80">
        <v>7.0342372964327105E-5</v>
      </c>
      <c r="U10" s="80">
        <v>6.9947184621055314E-5</v>
      </c>
      <c r="V10" s="80">
        <v>7.2680095501875819E-5</v>
      </c>
      <c r="W10" s="80">
        <v>7.1516812039540412E-5</v>
      </c>
      <c r="X10" s="80">
        <v>6.9947184621055314E-5</v>
      </c>
      <c r="Y10" s="80">
        <v>7.3452771065851685E-5</v>
      </c>
      <c r="Z10" s="80">
        <v>7.0735525352083606E-5</v>
      </c>
      <c r="AA10" s="80">
        <v>7.3452771065851685E-5</v>
      </c>
      <c r="AB10" s="80">
        <v>7.3452771065851685E-5</v>
      </c>
      <c r="AC10" s="80">
        <v>7.3452771065851685E-5</v>
      </c>
      <c r="AD10" s="80">
        <v>7.3452771065851685E-5</v>
      </c>
      <c r="AE10" s="80">
        <v>7.3452771065851685E-5</v>
      </c>
      <c r="AF10" s="80">
        <v>7.3452771065851685E-5</v>
      </c>
      <c r="AG10" s="80">
        <v>7.3452771065851685E-5</v>
      </c>
      <c r="AH10" s="80">
        <v>7.3452771065851685E-5</v>
      </c>
      <c r="AI10" s="80">
        <v>7.3452771065851685E-5</v>
      </c>
      <c r="AJ10" s="80">
        <v>7.3452771065851685E-5</v>
      </c>
      <c r="AK10" s="80">
        <v>7.3452771065851685E-5</v>
      </c>
      <c r="AL10" s="80">
        <v>7.3452771065851685E-5</v>
      </c>
      <c r="AM10" s="80">
        <v>7.3452771065851685E-5</v>
      </c>
      <c r="AN10" s="80">
        <v>7.3452771065851685E-5</v>
      </c>
      <c r="AO10" s="80">
        <v>7.3452771065851685E-5</v>
      </c>
      <c r="AP10" s="80">
        <v>7.3452771065851685E-5</v>
      </c>
      <c r="AQ10" s="45">
        <v>7.3452771065851685E-5</v>
      </c>
    </row>
    <row r="11" spans="1:43" x14ac:dyDescent="0.3">
      <c r="B11" s="68">
        <v>2</v>
      </c>
      <c r="C11" s="69">
        <v>7.5008438976897907E-5</v>
      </c>
      <c r="D11" s="69">
        <f>'LGD_Chain Ladder'!$J$71</f>
        <v>0.68247911124728622</v>
      </c>
      <c r="E11" s="73">
        <f t="shared" ref="E11:E26" si="0">(NORMSINV(C11)-(NORMSINV(C11*D11)))/SQRT((1-$D$4))</f>
        <v>9.8907098341633373E-2</v>
      </c>
      <c r="F11" s="78"/>
      <c r="G11" s="19"/>
      <c r="H11" s="54">
        <v>7.2680095501875819E-5</v>
      </c>
      <c r="I11" s="80">
        <v>7.3452771065851685E-5</v>
      </c>
      <c r="J11" s="80">
        <v>7.1516812039540412E-5</v>
      </c>
      <c r="K11" s="80">
        <v>7.3066554514222837E-5</v>
      </c>
      <c r="L11" s="80">
        <v>7.1126916283859032E-5</v>
      </c>
      <c r="M11" s="80">
        <v>7.0735525352083606E-5</v>
      </c>
      <c r="N11" s="80">
        <v>7.0735525352083606E-5</v>
      </c>
      <c r="O11" s="80">
        <v>7.190547202762243E-5</v>
      </c>
      <c r="P11" s="80">
        <v>6.9549676152025341E-5</v>
      </c>
      <c r="Q11" s="80">
        <v>7.190547202762243E-5</v>
      </c>
      <c r="R11" s="80">
        <v>7.0342372964327105E-5</v>
      </c>
      <c r="S11" s="80">
        <v>7.1516812039540412E-5</v>
      </c>
      <c r="T11" s="80">
        <v>7.0342372964327105E-5</v>
      </c>
      <c r="U11" s="80">
        <v>6.9947184621055314E-5</v>
      </c>
      <c r="V11" s="80">
        <v>7.2680095501875819E-5</v>
      </c>
      <c r="W11" s="80">
        <v>7.1516812039540412E-5</v>
      </c>
      <c r="X11" s="80">
        <v>6.9947184621055314E-5</v>
      </c>
      <c r="Y11" s="80">
        <v>7.3452771065851685E-5</v>
      </c>
      <c r="Z11" s="80">
        <v>7.0735525352083606E-5</v>
      </c>
      <c r="AA11" s="80">
        <v>7.3452771065851685E-5</v>
      </c>
      <c r="AB11" s="80">
        <v>7.3452771065851685E-5</v>
      </c>
      <c r="AC11" s="80">
        <v>7.3452771065851685E-5</v>
      </c>
      <c r="AD11" s="80">
        <v>7.3452771065851685E-5</v>
      </c>
      <c r="AE11" s="80">
        <v>7.3452771065851685E-5</v>
      </c>
      <c r="AF11" s="80">
        <v>7.3452771065851685E-5</v>
      </c>
      <c r="AG11" s="80">
        <v>7.3452771065851685E-5</v>
      </c>
      <c r="AH11" s="80">
        <v>7.3452771065851685E-5</v>
      </c>
      <c r="AI11" s="80">
        <v>7.3452771065851685E-5</v>
      </c>
      <c r="AJ11" s="80">
        <v>7.3452771065851685E-5</v>
      </c>
      <c r="AK11" s="80">
        <v>7.3452771065851685E-5</v>
      </c>
      <c r="AL11" s="80">
        <v>7.3452771065851685E-5</v>
      </c>
      <c r="AM11" s="80">
        <v>7.3452771065851685E-5</v>
      </c>
      <c r="AN11" s="80">
        <v>7.3452771065851685E-5</v>
      </c>
      <c r="AO11" s="80">
        <v>7.3452771065851685E-5</v>
      </c>
      <c r="AP11" s="80">
        <v>7.3452771065851685E-5</v>
      </c>
      <c r="AQ11" s="45">
        <v>7.3452771065851685E-5</v>
      </c>
    </row>
    <row r="12" spans="1:43" x14ac:dyDescent="0.3">
      <c r="B12" s="68">
        <v>3</v>
      </c>
      <c r="C12" s="69">
        <v>7.5008438976897907E-5</v>
      </c>
      <c r="D12" s="69">
        <f>'LGD_Chain Ladder'!$J$71</f>
        <v>0.68247911124728622</v>
      </c>
      <c r="E12" s="73">
        <f t="shared" si="0"/>
        <v>9.8907098341633373E-2</v>
      </c>
      <c r="F12" s="78"/>
      <c r="G12" s="19"/>
      <c r="H12" s="54">
        <v>7.2680095501875819E-5</v>
      </c>
      <c r="I12" s="80">
        <v>7.3452771065851685E-5</v>
      </c>
      <c r="J12" s="80">
        <v>7.1516812039540412E-5</v>
      </c>
      <c r="K12" s="80">
        <v>7.3066554514222837E-5</v>
      </c>
      <c r="L12" s="80">
        <v>7.1126916283859032E-5</v>
      </c>
      <c r="M12" s="80">
        <v>7.0735525352083606E-5</v>
      </c>
      <c r="N12" s="80">
        <v>7.0735525352083606E-5</v>
      </c>
      <c r="O12" s="80">
        <v>7.190547202762243E-5</v>
      </c>
      <c r="P12" s="80">
        <v>6.9549676152025341E-5</v>
      </c>
      <c r="Q12" s="80">
        <v>7.190547202762243E-5</v>
      </c>
      <c r="R12" s="80">
        <v>7.0342372964327105E-5</v>
      </c>
      <c r="S12" s="80">
        <v>7.1516812039540412E-5</v>
      </c>
      <c r="T12" s="80">
        <v>7.0342372964327105E-5</v>
      </c>
      <c r="U12" s="80">
        <v>6.9947184621055314E-5</v>
      </c>
      <c r="V12" s="80">
        <v>7.2680095501875819E-5</v>
      </c>
      <c r="W12" s="80">
        <v>7.1516812039540412E-5</v>
      </c>
      <c r="X12" s="80">
        <v>6.9947184621055314E-5</v>
      </c>
      <c r="Y12" s="80">
        <v>7.3452771065851685E-5</v>
      </c>
      <c r="Z12" s="80">
        <v>7.0735525352083606E-5</v>
      </c>
      <c r="AA12" s="80">
        <v>7.3452771065851685E-5</v>
      </c>
      <c r="AB12" s="80">
        <v>7.3452771065851685E-5</v>
      </c>
      <c r="AC12" s="80">
        <v>7.3452771065851685E-5</v>
      </c>
      <c r="AD12" s="80">
        <v>7.3452771065851685E-5</v>
      </c>
      <c r="AE12" s="80">
        <v>7.3452771065851685E-5</v>
      </c>
      <c r="AF12" s="80">
        <v>7.3452771065851685E-5</v>
      </c>
      <c r="AG12" s="80">
        <v>7.3452771065851685E-5</v>
      </c>
      <c r="AH12" s="80">
        <v>7.3452771065851685E-5</v>
      </c>
      <c r="AI12" s="80">
        <v>7.3452771065851685E-5</v>
      </c>
      <c r="AJ12" s="80">
        <v>7.3452771065851685E-5</v>
      </c>
      <c r="AK12" s="80">
        <v>7.3452771065851685E-5</v>
      </c>
      <c r="AL12" s="80">
        <v>7.3452771065851685E-5</v>
      </c>
      <c r="AM12" s="80">
        <v>7.3452771065851685E-5</v>
      </c>
      <c r="AN12" s="80">
        <v>7.3452771065851685E-5</v>
      </c>
      <c r="AO12" s="80">
        <v>7.3452771065851685E-5</v>
      </c>
      <c r="AP12" s="80">
        <v>7.3452771065851685E-5</v>
      </c>
      <c r="AQ12" s="45">
        <v>7.3452771065851685E-5</v>
      </c>
    </row>
    <row r="13" spans="1:43" x14ac:dyDescent="0.3">
      <c r="B13" s="68">
        <v>4</v>
      </c>
      <c r="C13" s="69">
        <v>7.5008438976897907E-5</v>
      </c>
      <c r="D13" s="69">
        <f>'LGD_Chain Ladder'!$J$71</f>
        <v>0.68247911124728622</v>
      </c>
      <c r="E13" s="73">
        <f t="shared" si="0"/>
        <v>9.8907098341633373E-2</v>
      </c>
      <c r="F13" s="78"/>
      <c r="G13" s="19"/>
      <c r="H13" s="54">
        <v>7.2680095501875819E-5</v>
      </c>
      <c r="I13" s="80">
        <v>7.3452771065851685E-5</v>
      </c>
      <c r="J13" s="80">
        <v>7.1516812039540412E-5</v>
      </c>
      <c r="K13" s="80">
        <v>7.3066554514222837E-5</v>
      </c>
      <c r="L13" s="80">
        <v>7.1126916283859032E-5</v>
      </c>
      <c r="M13" s="80">
        <v>7.0735525352083606E-5</v>
      </c>
      <c r="N13" s="80">
        <v>7.0735525352083606E-5</v>
      </c>
      <c r="O13" s="80">
        <v>7.190547202762243E-5</v>
      </c>
      <c r="P13" s="80">
        <v>6.9549676152025341E-5</v>
      </c>
      <c r="Q13" s="80">
        <v>7.190547202762243E-5</v>
      </c>
      <c r="R13" s="80">
        <v>7.0342372964327105E-5</v>
      </c>
      <c r="S13" s="80">
        <v>7.1516812039540412E-5</v>
      </c>
      <c r="T13" s="80">
        <v>7.0342372964327105E-5</v>
      </c>
      <c r="U13" s="80">
        <v>6.9947184621055314E-5</v>
      </c>
      <c r="V13" s="80">
        <v>7.2680095501875819E-5</v>
      </c>
      <c r="W13" s="80">
        <v>7.1516812039540412E-5</v>
      </c>
      <c r="X13" s="80">
        <v>6.9947184621055314E-5</v>
      </c>
      <c r="Y13" s="80">
        <v>7.3452771065851685E-5</v>
      </c>
      <c r="Z13" s="80">
        <v>7.0735525352083606E-5</v>
      </c>
      <c r="AA13" s="80">
        <v>7.3452771065851685E-5</v>
      </c>
      <c r="AB13" s="80">
        <v>7.3452771065851685E-5</v>
      </c>
      <c r="AC13" s="80">
        <v>7.3452771065851685E-5</v>
      </c>
      <c r="AD13" s="80">
        <v>7.3452771065851685E-5</v>
      </c>
      <c r="AE13" s="80">
        <v>7.3452771065851685E-5</v>
      </c>
      <c r="AF13" s="80">
        <v>7.3452771065851685E-5</v>
      </c>
      <c r="AG13" s="80">
        <v>7.3452771065851685E-5</v>
      </c>
      <c r="AH13" s="80">
        <v>7.3452771065851685E-5</v>
      </c>
      <c r="AI13" s="80">
        <v>7.3452771065851685E-5</v>
      </c>
      <c r="AJ13" s="80">
        <v>7.3452771065851685E-5</v>
      </c>
      <c r="AK13" s="80">
        <v>7.3452771065851685E-5</v>
      </c>
      <c r="AL13" s="80">
        <v>7.3452771065851685E-5</v>
      </c>
      <c r="AM13" s="80">
        <v>7.3452771065851685E-5</v>
      </c>
      <c r="AN13" s="80">
        <v>7.3452771065851685E-5</v>
      </c>
      <c r="AO13" s="80">
        <v>7.3452771065851685E-5</v>
      </c>
      <c r="AP13" s="80">
        <v>7.3452771065851685E-5</v>
      </c>
      <c r="AQ13" s="45">
        <v>7.3452771065851685E-5</v>
      </c>
    </row>
    <row r="14" spans="1:43" x14ac:dyDescent="0.3">
      <c r="B14" s="68">
        <v>5</v>
      </c>
      <c r="C14" s="69">
        <v>7.5008438976897907E-5</v>
      </c>
      <c r="D14" s="69">
        <f>'LGD_Chain Ladder'!$J$71</f>
        <v>0.68247911124728622</v>
      </c>
      <c r="E14" s="73">
        <f t="shared" si="0"/>
        <v>9.8907098341633373E-2</v>
      </c>
      <c r="F14" s="78"/>
      <c r="G14" s="19"/>
      <c r="H14" s="54">
        <v>7.2680095501875819E-5</v>
      </c>
      <c r="I14" s="80">
        <v>7.3452771065851685E-5</v>
      </c>
      <c r="J14" s="80">
        <v>7.1516812039540412E-5</v>
      </c>
      <c r="K14" s="80">
        <v>7.3066554514222837E-5</v>
      </c>
      <c r="L14" s="80">
        <v>7.1126916283859032E-5</v>
      </c>
      <c r="M14" s="80">
        <v>7.0735525352083606E-5</v>
      </c>
      <c r="N14" s="80">
        <v>7.0735525352083606E-5</v>
      </c>
      <c r="O14" s="80">
        <v>7.190547202762243E-5</v>
      </c>
      <c r="P14" s="80">
        <v>6.9549676152025341E-5</v>
      </c>
      <c r="Q14" s="80">
        <v>7.190547202762243E-5</v>
      </c>
      <c r="R14" s="80">
        <v>7.0342372964327105E-5</v>
      </c>
      <c r="S14" s="80">
        <v>7.1516812039540412E-5</v>
      </c>
      <c r="T14" s="80">
        <v>7.0342372964327105E-5</v>
      </c>
      <c r="U14" s="80">
        <v>6.9947184621055314E-5</v>
      </c>
      <c r="V14" s="80">
        <v>7.2680095501875819E-5</v>
      </c>
      <c r="W14" s="80">
        <v>7.1516812039540412E-5</v>
      </c>
      <c r="X14" s="80">
        <v>6.9947184621055314E-5</v>
      </c>
      <c r="Y14" s="80">
        <v>7.3452771065851685E-5</v>
      </c>
      <c r="Z14" s="80">
        <v>7.0735525352083606E-5</v>
      </c>
      <c r="AA14" s="80">
        <v>7.3452771065851685E-5</v>
      </c>
      <c r="AB14" s="80">
        <v>7.3452771065851685E-5</v>
      </c>
      <c r="AC14" s="80">
        <v>7.3452771065851685E-5</v>
      </c>
      <c r="AD14" s="80">
        <v>7.3452771065851685E-5</v>
      </c>
      <c r="AE14" s="80">
        <v>7.3452771065851685E-5</v>
      </c>
      <c r="AF14" s="80">
        <v>7.3452771065851685E-5</v>
      </c>
      <c r="AG14" s="80">
        <v>7.3452771065851685E-5</v>
      </c>
      <c r="AH14" s="80">
        <v>7.3452771065851685E-5</v>
      </c>
      <c r="AI14" s="80">
        <v>7.3452771065851685E-5</v>
      </c>
      <c r="AJ14" s="80">
        <v>7.3452771065851685E-5</v>
      </c>
      <c r="AK14" s="80">
        <v>7.3452771065851685E-5</v>
      </c>
      <c r="AL14" s="80">
        <v>7.3452771065851685E-5</v>
      </c>
      <c r="AM14" s="80">
        <v>7.3452771065851685E-5</v>
      </c>
      <c r="AN14" s="80">
        <v>7.3452771065851685E-5</v>
      </c>
      <c r="AO14" s="80">
        <v>7.3452771065851685E-5</v>
      </c>
      <c r="AP14" s="80">
        <v>7.3452771065851685E-5</v>
      </c>
      <c r="AQ14" s="45">
        <v>7.3452771065851685E-5</v>
      </c>
    </row>
    <row r="15" spans="1:43" x14ac:dyDescent="0.3">
      <c r="B15" s="68">
        <v>6</v>
      </c>
      <c r="C15" s="69">
        <v>7.5008438976897907E-5</v>
      </c>
      <c r="D15" s="69">
        <f>'LGD_Chain Ladder'!$J$71</f>
        <v>0.68247911124728622</v>
      </c>
      <c r="E15" s="73">
        <f t="shared" si="0"/>
        <v>9.8907098341633373E-2</v>
      </c>
      <c r="F15" s="78"/>
      <c r="G15" s="19"/>
      <c r="H15" s="54">
        <v>7.2680095501875819E-5</v>
      </c>
      <c r="I15" s="80">
        <v>7.3452771065851685E-5</v>
      </c>
      <c r="J15" s="80">
        <v>7.1516812039540412E-5</v>
      </c>
      <c r="K15" s="80">
        <v>7.3066554514222837E-5</v>
      </c>
      <c r="L15" s="80">
        <v>7.1126916283859032E-5</v>
      </c>
      <c r="M15" s="80">
        <v>7.0735525352083606E-5</v>
      </c>
      <c r="N15" s="80">
        <v>7.0735525352083606E-5</v>
      </c>
      <c r="O15" s="80">
        <v>7.190547202762243E-5</v>
      </c>
      <c r="P15" s="80">
        <v>6.9549676152025341E-5</v>
      </c>
      <c r="Q15" s="80">
        <v>7.190547202762243E-5</v>
      </c>
      <c r="R15" s="80">
        <v>7.0342372964327105E-5</v>
      </c>
      <c r="S15" s="80">
        <v>7.1516812039540412E-5</v>
      </c>
      <c r="T15" s="80">
        <v>7.0342372964327105E-5</v>
      </c>
      <c r="U15" s="80">
        <v>6.9947184621055314E-5</v>
      </c>
      <c r="V15" s="80">
        <v>7.2680095501875819E-5</v>
      </c>
      <c r="W15" s="80">
        <v>7.1516812039540412E-5</v>
      </c>
      <c r="X15" s="80">
        <v>6.9947184621055314E-5</v>
      </c>
      <c r="Y15" s="80">
        <v>7.3452771065851685E-5</v>
      </c>
      <c r="Z15" s="80">
        <v>7.0735525352083606E-5</v>
      </c>
      <c r="AA15" s="80">
        <v>7.3452771065851685E-5</v>
      </c>
      <c r="AB15" s="80">
        <v>7.3452771065851685E-5</v>
      </c>
      <c r="AC15" s="80">
        <v>7.3452771065851685E-5</v>
      </c>
      <c r="AD15" s="80">
        <v>7.3452771065851685E-5</v>
      </c>
      <c r="AE15" s="80">
        <v>7.3452771065851685E-5</v>
      </c>
      <c r="AF15" s="80">
        <v>7.3452771065851685E-5</v>
      </c>
      <c r="AG15" s="80">
        <v>7.3452771065851685E-5</v>
      </c>
      <c r="AH15" s="80">
        <v>7.3452771065851685E-5</v>
      </c>
      <c r="AI15" s="80">
        <v>7.3452771065851685E-5</v>
      </c>
      <c r="AJ15" s="80">
        <v>7.3452771065851685E-5</v>
      </c>
      <c r="AK15" s="80">
        <v>7.3452771065851685E-5</v>
      </c>
      <c r="AL15" s="80">
        <v>7.3452771065851685E-5</v>
      </c>
      <c r="AM15" s="80">
        <v>7.3452771065851685E-5</v>
      </c>
      <c r="AN15" s="80">
        <v>7.3452771065851685E-5</v>
      </c>
      <c r="AO15" s="80">
        <v>7.3452771065851685E-5</v>
      </c>
      <c r="AP15" s="80">
        <v>7.3452771065851685E-5</v>
      </c>
      <c r="AQ15" s="45">
        <v>7.3452771065851685E-5</v>
      </c>
    </row>
    <row r="16" spans="1:43" x14ac:dyDescent="0.3">
      <c r="B16" s="68">
        <v>7</v>
      </c>
      <c r="C16" s="69">
        <v>2.7779066525479568E-4</v>
      </c>
      <c r="D16" s="69">
        <f>'LGD_Chain Ladder'!$J$71</f>
        <v>0.68247911124728622</v>
      </c>
      <c r="E16" s="73">
        <f t="shared" si="0"/>
        <v>0.10725448167899326</v>
      </c>
      <c r="F16" s="78"/>
      <c r="G16" s="19"/>
      <c r="H16" s="54">
        <v>2.6916519845665571E-4</v>
      </c>
      <c r="I16" s="80">
        <v>2.7202759630229329E-4</v>
      </c>
      <c r="J16" s="80">
        <v>2.6485581678092901E-4</v>
      </c>
      <c r="K16" s="80">
        <v>2.7059684423680341E-4</v>
      </c>
      <c r="L16" s="80">
        <v>2.6341145769825941E-4</v>
      </c>
      <c r="M16" s="80">
        <v>2.619615643698614E-4</v>
      </c>
      <c r="N16" s="80">
        <v>2.619615643698614E-4</v>
      </c>
      <c r="O16" s="80">
        <v>2.6629560254243229E-4</v>
      </c>
      <c r="P16" s="80">
        <v>2.5756865768944431E-4</v>
      </c>
      <c r="Q16" s="80">
        <v>2.6629560254243229E-4</v>
      </c>
      <c r="R16" s="80">
        <v>2.6050515042952421E-4</v>
      </c>
      <c r="S16" s="80">
        <v>2.6485581678092901E-4</v>
      </c>
      <c r="T16" s="80">
        <v>2.6050515042952421E-4</v>
      </c>
      <c r="U16" s="80">
        <v>2.5904119907371742E-4</v>
      </c>
      <c r="V16" s="80">
        <v>2.6916519845665571E-4</v>
      </c>
      <c r="W16" s="80">
        <v>2.6485581678092901E-4</v>
      </c>
      <c r="X16" s="80">
        <v>2.5904119907371742E-4</v>
      </c>
      <c r="Y16" s="80">
        <v>2.7202759630229329E-4</v>
      </c>
      <c r="Z16" s="80">
        <v>2.619615643698614E-4</v>
      </c>
      <c r="AA16" s="80">
        <v>2.7202759630229329E-4</v>
      </c>
      <c r="AB16" s="80">
        <v>2.7202759630229329E-4</v>
      </c>
      <c r="AC16" s="80">
        <v>2.7202759630229329E-4</v>
      </c>
      <c r="AD16" s="80">
        <v>2.7202759630229329E-4</v>
      </c>
      <c r="AE16" s="80">
        <v>2.7202759630229329E-4</v>
      </c>
      <c r="AF16" s="80">
        <v>2.7202759630229329E-4</v>
      </c>
      <c r="AG16" s="80">
        <v>2.7202759630229329E-4</v>
      </c>
      <c r="AH16" s="80">
        <v>2.7202759630229329E-4</v>
      </c>
      <c r="AI16" s="80">
        <v>2.7202759630229329E-4</v>
      </c>
      <c r="AJ16" s="80">
        <v>2.7202759630229329E-4</v>
      </c>
      <c r="AK16" s="80">
        <v>2.7202759630229329E-4</v>
      </c>
      <c r="AL16" s="80">
        <v>2.7202759630229329E-4</v>
      </c>
      <c r="AM16" s="80">
        <v>2.7202759630229329E-4</v>
      </c>
      <c r="AN16" s="80">
        <v>2.7202759630229329E-4</v>
      </c>
      <c r="AO16" s="80">
        <v>2.7202759630229329E-4</v>
      </c>
      <c r="AP16" s="80">
        <v>2.7202759630229329E-4</v>
      </c>
      <c r="AQ16" s="45">
        <v>2.7202759630229329E-4</v>
      </c>
    </row>
    <row r="17" spans="2:43" x14ac:dyDescent="0.3">
      <c r="B17" s="68">
        <v>8</v>
      </c>
      <c r="C17" s="69">
        <v>9.8863195486442734E-4</v>
      </c>
      <c r="D17" s="69">
        <f>'LGD_Chain Ladder'!$J$71</f>
        <v>0.68247911124728622</v>
      </c>
      <c r="E17" s="73">
        <f t="shared" si="0"/>
        <v>0.11766418087657357</v>
      </c>
      <c r="F17" s="78"/>
      <c r="G17" s="19"/>
      <c r="H17" s="54">
        <v>9.5790292878317196E-4</v>
      </c>
      <c r="I17" s="80">
        <v>9.6810026061322496E-4</v>
      </c>
      <c r="J17" s="80">
        <v>9.4255112080188219E-4</v>
      </c>
      <c r="K17" s="80">
        <v>9.6300315855035734E-4</v>
      </c>
      <c r="L17" s="80">
        <v>9.3740582757761981E-4</v>
      </c>
      <c r="M17" s="80">
        <v>9.3224087703136505E-4</v>
      </c>
      <c r="N17" s="80">
        <v>9.3224087703136505E-4</v>
      </c>
      <c r="O17" s="80">
        <v>9.4768017924229397E-4</v>
      </c>
      <c r="P17" s="80">
        <v>9.1659239089381117E-4</v>
      </c>
      <c r="Q17" s="80">
        <v>9.4768017924229397E-4</v>
      </c>
      <c r="R17" s="80">
        <v>9.2705275615034832E-4</v>
      </c>
      <c r="S17" s="80">
        <v>9.4255112080188219E-4</v>
      </c>
      <c r="T17" s="80">
        <v>9.2705275615034832E-4</v>
      </c>
      <c r="U17" s="80">
        <v>9.2183784366062227E-4</v>
      </c>
      <c r="V17" s="80">
        <v>9.5790292878317196E-4</v>
      </c>
      <c r="W17" s="80">
        <v>9.4255112080188219E-4</v>
      </c>
      <c r="X17" s="80">
        <v>9.2183784366062227E-4</v>
      </c>
      <c r="Y17" s="80">
        <v>9.6810026061322496E-4</v>
      </c>
      <c r="Z17" s="80">
        <v>9.3224087703136505E-4</v>
      </c>
      <c r="AA17" s="80">
        <v>9.6810026061322496E-4</v>
      </c>
      <c r="AB17" s="80">
        <v>9.6810026061322496E-4</v>
      </c>
      <c r="AC17" s="80">
        <v>9.6810026061322496E-4</v>
      </c>
      <c r="AD17" s="80">
        <v>9.6810026061322496E-4</v>
      </c>
      <c r="AE17" s="80">
        <v>9.6810026061322496E-4</v>
      </c>
      <c r="AF17" s="80">
        <v>9.6810026061322496E-4</v>
      </c>
      <c r="AG17" s="80">
        <v>9.6810026061322496E-4</v>
      </c>
      <c r="AH17" s="80">
        <v>9.6810026061322496E-4</v>
      </c>
      <c r="AI17" s="80">
        <v>9.6810026061322496E-4</v>
      </c>
      <c r="AJ17" s="80">
        <v>9.6810026061322496E-4</v>
      </c>
      <c r="AK17" s="80">
        <v>9.6810026061322496E-4</v>
      </c>
      <c r="AL17" s="80">
        <v>9.6810026061322496E-4</v>
      </c>
      <c r="AM17" s="80">
        <v>9.6810026061322496E-4</v>
      </c>
      <c r="AN17" s="80">
        <v>9.6810026061322496E-4</v>
      </c>
      <c r="AO17" s="80">
        <v>9.6810026061322496E-4</v>
      </c>
      <c r="AP17" s="80">
        <v>9.6810026061322496E-4</v>
      </c>
      <c r="AQ17" s="45">
        <v>9.6810026061322496E-4</v>
      </c>
    </row>
    <row r="18" spans="2:43" x14ac:dyDescent="0.3">
      <c r="B18" s="68">
        <v>9</v>
      </c>
      <c r="C18" s="69">
        <v>1.3459513496767439E-3</v>
      </c>
      <c r="D18" s="69">
        <f>'LGD_Chain Ladder'!$J$71</f>
        <v>0.68247911124728622</v>
      </c>
      <c r="E18" s="73">
        <f t="shared" si="0"/>
        <v>0.12066659418264905</v>
      </c>
      <c r="F18" s="78"/>
      <c r="G18" s="19"/>
      <c r="H18" s="54">
        <v>1.30409421263411E-3</v>
      </c>
      <c r="I18" s="80">
        <v>1.3179842182414749E-3</v>
      </c>
      <c r="J18" s="80">
        <v>1.2831834747424331E-3</v>
      </c>
      <c r="K18" s="80">
        <v>1.3110413263166529E-3</v>
      </c>
      <c r="L18" s="80">
        <v>1.2761751355525599E-3</v>
      </c>
      <c r="M18" s="80">
        <v>1.269140060853879E-3</v>
      </c>
      <c r="N18" s="80">
        <v>1.269140060853879E-3</v>
      </c>
      <c r="O18" s="80">
        <v>1.2901697398099989E-3</v>
      </c>
      <c r="P18" s="80">
        <v>1.2478258157777591E-3</v>
      </c>
      <c r="Q18" s="80">
        <v>1.2901697398099989E-3</v>
      </c>
      <c r="R18" s="80">
        <v>1.2620734661332731E-3</v>
      </c>
      <c r="S18" s="80">
        <v>1.2831834747424331E-3</v>
      </c>
      <c r="T18" s="80">
        <v>1.2620734661332731E-3</v>
      </c>
      <c r="U18" s="80">
        <v>1.254970419529267E-3</v>
      </c>
      <c r="V18" s="80">
        <v>1.30409421263411E-3</v>
      </c>
      <c r="W18" s="80">
        <v>1.2831834747424331E-3</v>
      </c>
      <c r="X18" s="80">
        <v>1.254970419529267E-3</v>
      </c>
      <c r="Y18" s="80">
        <v>1.3179842182414749E-3</v>
      </c>
      <c r="Z18" s="80">
        <v>1.269140060853879E-3</v>
      </c>
      <c r="AA18" s="80">
        <v>1.3179842182414749E-3</v>
      </c>
      <c r="AB18" s="80">
        <v>1.3179842182414749E-3</v>
      </c>
      <c r="AC18" s="80">
        <v>1.3179842182414749E-3</v>
      </c>
      <c r="AD18" s="80">
        <v>1.3179842182414749E-3</v>
      </c>
      <c r="AE18" s="80">
        <v>1.3179842182414749E-3</v>
      </c>
      <c r="AF18" s="80">
        <v>1.3179842182414749E-3</v>
      </c>
      <c r="AG18" s="80">
        <v>1.3179842182414749E-3</v>
      </c>
      <c r="AH18" s="80">
        <v>1.3179842182414749E-3</v>
      </c>
      <c r="AI18" s="80">
        <v>1.3179842182414749E-3</v>
      </c>
      <c r="AJ18" s="80">
        <v>1.3179842182414749E-3</v>
      </c>
      <c r="AK18" s="80">
        <v>1.3179842182414749E-3</v>
      </c>
      <c r="AL18" s="80">
        <v>1.3179842182414749E-3</v>
      </c>
      <c r="AM18" s="80">
        <v>1.3179842182414749E-3</v>
      </c>
      <c r="AN18" s="80">
        <v>1.3179842182414749E-3</v>
      </c>
      <c r="AO18" s="80">
        <v>1.3179842182414749E-3</v>
      </c>
      <c r="AP18" s="80">
        <v>1.3179842182414749E-3</v>
      </c>
      <c r="AQ18" s="45">
        <v>1.3179842182414749E-3</v>
      </c>
    </row>
    <row r="19" spans="2:43" x14ac:dyDescent="0.3">
      <c r="B19" s="68">
        <v>10</v>
      </c>
      <c r="C19" s="69">
        <v>3.5720655166998632E-3</v>
      </c>
      <c r="D19" s="69">
        <f>'LGD_Chain Ladder'!$J$71</f>
        <v>0.68247911124728622</v>
      </c>
      <c r="E19" s="73">
        <f t="shared" si="0"/>
        <v>0.13184798992428065</v>
      </c>
      <c r="F19" s="78"/>
      <c r="G19" s="19"/>
      <c r="H19" s="54">
        <v>3.4606179068213949E-3</v>
      </c>
      <c r="I19" s="80">
        <v>3.4975984446308228E-3</v>
      </c>
      <c r="J19" s="80">
        <v>3.4049503327053809E-3</v>
      </c>
      <c r="K19" s="80">
        <v>3.4791134739474709E-3</v>
      </c>
      <c r="L19" s="80">
        <v>3.3862943694215049E-3</v>
      </c>
      <c r="M19" s="80">
        <v>3.3675678957737491E-3</v>
      </c>
      <c r="N19" s="80">
        <v>3.3675678957737491E-3</v>
      </c>
      <c r="O19" s="80">
        <v>3.42354818731283E-3</v>
      </c>
      <c r="P19" s="80">
        <v>3.3108361151971129E-3</v>
      </c>
      <c r="Q19" s="80">
        <v>3.42354818731283E-3</v>
      </c>
      <c r="R19" s="80">
        <v>3.3487581841179499E-3</v>
      </c>
      <c r="S19" s="80">
        <v>3.4049503327053809E-3</v>
      </c>
      <c r="T19" s="80">
        <v>3.3487581841179499E-3</v>
      </c>
      <c r="U19" s="80">
        <v>3.329852116458865E-3</v>
      </c>
      <c r="V19" s="80">
        <v>3.4606179068213949E-3</v>
      </c>
      <c r="W19" s="80">
        <v>3.4049503327053809E-3</v>
      </c>
      <c r="X19" s="80">
        <v>3.329852116458865E-3</v>
      </c>
      <c r="Y19" s="80">
        <v>3.4975984446308228E-3</v>
      </c>
      <c r="Z19" s="80">
        <v>3.3675678957737491E-3</v>
      </c>
      <c r="AA19" s="80">
        <v>3.4975984446308228E-3</v>
      </c>
      <c r="AB19" s="80">
        <v>3.4975984446308228E-3</v>
      </c>
      <c r="AC19" s="80">
        <v>3.4975984446308228E-3</v>
      </c>
      <c r="AD19" s="80">
        <v>3.4975984446308228E-3</v>
      </c>
      <c r="AE19" s="80">
        <v>3.4975984446308228E-3</v>
      </c>
      <c r="AF19" s="80">
        <v>3.4975984446308228E-3</v>
      </c>
      <c r="AG19" s="80">
        <v>3.4975984446308228E-3</v>
      </c>
      <c r="AH19" s="80">
        <v>3.4975984446308228E-3</v>
      </c>
      <c r="AI19" s="80">
        <v>3.4975984446308228E-3</v>
      </c>
      <c r="AJ19" s="80">
        <v>3.4975984446308228E-3</v>
      </c>
      <c r="AK19" s="80">
        <v>3.4975984446308228E-3</v>
      </c>
      <c r="AL19" s="80">
        <v>3.4975984446308228E-3</v>
      </c>
      <c r="AM19" s="80">
        <v>3.4975984446308228E-3</v>
      </c>
      <c r="AN19" s="80">
        <v>3.4975984446308228E-3</v>
      </c>
      <c r="AO19" s="80">
        <v>3.4975984446308228E-3</v>
      </c>
      <c r="AP19" s="80">
        <v>3.4975984446308228E-3</v>
      </c>
      <c r="AQ19" s="45">
        <v>3.4975984446308228E-3</v>
      </c>
    </row>
    <row r="20" spans="2:43" x14ac:dyDescent="0.3">
      <c r="B20" s="68">
        <v>11</v>
      </c>
      <c r="C20" s="69">
        <v>7.8750113102599162E-3</v>
      </c>
      <c r="D20" s="69">
        <f>'LGD_Chain Ladder'!$J$71</f>
        <v>0.68247911124728622</v>
      </c>
      <c r="E20" s="73">
        <f t="shared" si="0"/>
        <v>0.14345703682336755</v>
      </c>
      <c r="F20" s="78"/>
      <c r="G20" s="19"/>
      <c r="H20" s="54">
        <v>7.6277559060831113E-3</v>
      </c>
      <c r="I20" s="80">
        <v>7.7097888832501349E-3</v>
      </c>
      <c r="J20" s="80">
        <v>7.5042910903502236E-3</v>
      </c>
      <c r="K20" s="80">
        <v>7.6687827461251468E-3</v>
      </c>
      <c r="L20" s="80">
        <v>7.4629198078458581E-3</v>
      </c>
      <c r="M20" s="80">
        <v>7.4213950281709629E-3</v>
      </c>
      <c r="N20" s="80">
        <v>7.4213950281709629E-3</v>
      </c>
      <c r="O20" s="80">
        <v>7.5455363487899607E-3</v>
      </c>
      <c r="P20" s="80">
        <v>7.2956133845069049E-3</v>
      </c>
      <c r="Q20" s="80">
        <v>7.5455363487899607E-3</v>
      </c>
      <c r="R20" s="80">
        <v>7.3796885632046996E-3</v>
      </c>
      <c r="S20" s="80">
        <v>7.5042910903502236E-3</v>
      </c>
      <c r="T20" s="80">
        <v>7.3796885632046996E-3</v>
      </c>
      <c r="U20" s="80">
        <v>7.3377713673720146E-3</v>
      </c>
      <c r="V20" s="80">
        <v>7.6277559060831113E-3</v>
      </c>
      <c r="W20" s="80">
        <v>7.5042910903502236E-3</v>
      </c>
      <c r="X20" s="80">
        <v>7.3377713673720146E-3</v>
      </c>
      <c r="Y20" s="80">
        <v>7.7097888832501349E-3</v>
      </c>
      <c r="Z20" s="80">
        <v>7.4213950281709629E-3</v>
      </c>
      <c r="AA20" s="80">
        <v>7.7097888832501349E-3</v>
      </c>
      <c r="AB20" s="80">
        <v>7.7097888832501349E-3</v>
      </c>
      <c r="AC20" s="80">
        <v>7.7097888832501349E-3</v>
      </c>
      <c r="AD20" s="80">
        <v>7.7097888832501349E-3</v>
      </c>
      <c r="AE20" s="80">
        <v>7.7097888832501349E-3</v>
      </c>
      <c r="AF20" s="80">
        <v>7.7097888832501349E-3</v>
      </c>
      <c r="AG20" s="80">
        <v>7.7097888832501349E-3</v>
      </c>
      <c r="AH20" s="80">
        <v>7.7097888832501349E-3</v>
      </c>
      <c r="AI20" s="80">
        <v>7.7097888832501349E-3</v>
      </c>
      <c r="AJ20" s="80">
        <v>7.7097888832501349E-3</v>
      </c>
      <c r="AK20" s="80">
        <v>7.7097888832501349E-3</v>
      </c>
      <c r="AL20" s="80">
        <v>7.7097888832501349E-3</v>
      </c>
      <c r="AM20" s="80">
        <v>7.7097888832501349E-3</v>
      </c>
      <c r="AN20" s="80">
        <v>7.7097888832501349E-3</v>
      </c>
      <c r="AO20" s="80">
        <v>7.7097888832501349E-3</v>
      </c>
      <c r="AP20" s="80">
        <v>7.7097888832501349E-3</v>
      </c>
      <c r="AQ20" s="45">
        <v>7.7097888832501349E-3</v>
      </c>
    </row>
    <row r="21" spans="2:43" x14ac:dyDescent="0.3">
      <c r="B21" s="68">
        <v>12</v>
      </c>
      <c r="C21" s="69">
        <v>1.515042987087079E-2</v>
      </c>
      <c r="D21" s="69">
        <f>'LGD_Chain Ladder'!$J$71</f>
        <v>0.68247911124728622</v>
      </c>
      <c r="E21" s="73">
        <f t="shared" si="0"/>
        <v>0.15563303344077564</v>
      </c>
      <c r="F21" s="78"/>
      <c r="G21" s="19"/>
      <c r="H21" s="54">
        <v>1.466958511199323E-2</v>
      </c>
      <c r="I21" s="80">
        <v>1.48290788222023E-2</v>
      </c>
      <c r="J21" s="80">
        <v>1.442960840243768E-2</v>
      </c>
      <c r="K21" s="80">
        <v>1.474934735523337E-2</v>
      </c>
      <c r="L21" s="80">
        <v>1.4349214835407079E-2</v>
      </c>
      <c r="M21" s="80">
        <v>1.426853265986916E-2</v>
      </c>
      <c r="N21" s="80">
        <v>1.426853265986916E-2</v>
      </c>
      <c r="O21" s="80">
        <v>1.4509766654477341E-2</v>
      </c>
      <c r="P21" s="80">
        <v>1.4024199426047599E-2</v>
      </c>
      <c r="Q21" s="80">
        <v>1.4509766654477341E-2</v>
      </c>
      <c r="R21" s="80">
        <v>1.418750721918594E-2</v>
      </c>
      <c r="S21" s="80">
        <v>1.442960840243768E-2</v>
      </c>
      <c r="T21" s="80">
        <v>1.418750721918594E-2</v>
      </c>
      <c r="U21" s="80">
        <v>1.41060822179877E-2</v>
      </c>
      <c r="V21" s="80">
        <v>1.466958511199323E-2</v>
      </c>
      <c r="W21" s="80">
        <v>1.442960840243768E-2</v>
      </c>
      <c r="X21" s="80">
        <v>1.41060822179877E-2</v>
      </c>
      <c r="Y21" s="80">
        <v>1.48290788222023E-2</v>
      </c>
      <c r="Z21" s="80">
        <v>1.426853265986916E-2</v>
      </c>
      <c r="AA21" s="80">
        <v>1.48290788222023E-2</v>
      </c>
      <c r="AB21" s="80">
        <v>1.48290788222023E-2</v>
      </c>
      <c r="AC21" s="80">
        <v>1.48290788222023E-2</v>
      </c>
      <c r="AD21" s="80">
        <v>1.48290788222023E-2</v>
      </c>
      <c r="AE21" s="80">
        <v>1.48290788222023E-2</v>
      </c>
      <c r="AF21" s="80">
        <v>1.48290788222023E-2</v>
      </c>
      <c r="AG21" s="80">
        <v>1.48290788222023E-2</v>
      </c>
      <c r="AH21" s="80">
        <v>1.48290788222023E-2</v>
      </c>
      <c r="AI21" s="80">
        <v>1.48290788222023E-2</v>
      </c>
      <c r="AJ21" s="80">
        <v>1.48290788222023E-2</v>
      </c>
      <c r="AK21" s="80">
        <v>1.48290788222023E-2</v>
      </c>
      <c r="AL21" s="80">
        <v>1.48290788222023E-2</v>
      </c>
      <c r="AM21" s="80">
        <v>1.48290788222023E-2</v>
      </c>
      <c r="AN21" s="80">
        <v>1.48290788222023E-2</v>
      </c>
      <c r="AO21" s="80">
        <v>1.48290788222023E-2</v>
      </c>
      <c r="AP21" s="80">
        <v>1.48290788222023E-2</v>
      </c>
      <c r="AQ21" s="45">
        <v>1.48290788222023E-2</v>
      </c>
    </row>
    <row r="22" spans="2:43" x14ac:dyDescent="0.3">
      <c r="B22" s="68">
        <v>13</v>
      </c>
      <c r="C22" s="69">
        <v>2.4953922766929319E-2</v>
      </c>
      <c r="D22" s="69">
        <f>'LGD_Chain Ladder'!$J$71</f>
        <v>0.68247911124728622</v>
      </c>
      <c r="E22" s="73">
        <f t="shared" si="0"/>
        <v>0.16717390296927034</v>
      </c>
      <c r="F22" s="78"/>
      <c r="G22" s="19"/>
      <c r="H22" s="54">
        <v>2.4150161557467301E-2</v>
      </c>
      <c r="I22" s="80">
        <v>2.4416675238094879E-2</v>
      </c>
      <c r="J22" s="80">
        <v>2.374932838751909E-2</v>
      </c>
      <c r="K22" s="80">
        <v>2.428343299118307E-2</v>
      </c>
      <c r="L22" s="80">
        <v>2.3615091904785061E-2</v>
      </c>
      <c r="M22" s="80">
        <v>2.3480396154439979E-2</v>
      </c>
      <c r="N22" s="80">
        <v>2.3480396154439979E-2</v>
      </c>
      <c r="O22" s="80">
        <v>2.3883194386849271E-2</v>
      </c>
      <c r="P22" s="80">
        <v>2.307262945498878E-2</v>
      </c>
      <c r="Q22" s="80">
        <v>2.3883194386849271E-2</v>
      </c>
      <c r="R22" s="80">
        <v>2.3345150137487499E-2</v>
      </c>
      <c r="S22" s="80">
        <v>2.374932838751909E-2</v>
      </c>
      <c r="T22" s="80">
        <v>2.3345150137487499E-2</v>
      </c>
      <c r="U22" s="80">
        <v>2.3209260182608601E-2</v>
      </c>
      <c r="V22" s="80">
        <v>2.4150161557467301E-2</v>
      </c>
      <c r="W22" s="80">
        <v>2.374932838751909E-2</v>
      </c>
      <c r="X22" s="80">
        <v>2.3209260182608601E-2</v>
      </c>
      <c r="Y22" s="80">
        <v>2.4416675238094879E-2</v>
      </c>
      <c r="Z22" s="80">
        <v>2.3480396154439979E-2</v>
      </c>
      <c r="AA22" s="80">
        <v>2.4416675238094879E-2</v>
      </c>
      <c r="AB22" s="80">
        <v>2.4416675238094879E-2</v>
      </c>
      <c r="AC22" s="80">
        <v>2.4416675238094879E-2</v>
      </c>
      <c r="AD22" s="80">
        <v>2.4416675238094879E-2</v>
      </c>
      <c r="AE22" s="80">
        <v>2.4416675238094879E-2</v>
      </c>
      <c r="AF22" s="80">
        <v>2.4416675238094879E-2</v>
      </c>
      <c r="AG22" s="80">
        <v>2.4416675238094879E-2</v>
      </c>
      <c r="AH22" s="80">
        <v>2.4416675238094879E-2</v>
      </c>
      <c r="AI22" s="80">
        <v>2.4416675238094879E-2</v>
      </c>
      <c r="AJ22" s="80">
        <v>2.4416675238094879E-2</v>
      </c>
      <c r="AK22" s="80">
        <v>2.4416675238094879E-2</v>
      </c>
      <c r="AL22" s="80">
        <v>2.4416675238094879E-2</v>
      </c>
      <c r="AM22" s="80">
        <v>2.4416675238094879E-2</v>
      </c>
      <c r="AN22" s="80">
        <v>2.4416675238094879E-2</v>
      </c>
      <c r="AO22" s="80">
        <v>2.4416675238094879E-2</v>
      </c>
      <c r="AP22" s="80">
        <v>2.4416675238094879E-2</v>
      </c>
      <c r="AQ22" s="45">
        <v>2.4416675238094879E-2</v>
      </c>
    </row>
    <row r="23" spans="2:43" x14ac:dyDescent="0.3">
      <c r="B23" s="68">
        <v>14</v>
      </c>
      <c r="C23" s="69">
        <v>4.3473323135027157E-2</v>
      </c>
      <c r="D23" s="69">
        <f>'LGD_Chain Ladder'!$J$71</f>
        <v>0.68247911124728622</v>
      </c>
      <c r="E23" s="73">
        <f t="shared" si="0"/>
        <v>0.18335136749662626</v>
      </c>
      <c r="F23" s="78"/>
      <c r="G23" s="19"/>
      <c r="H23" s="54">
        <v>4.2032463502147073E-2</v>
      </c>
      <c r="I23" s="80">
        <v>4.2509902136100057E-2</v>
      </c>
      <c r="J23" s="80">
        <v>4.1315008519555503E-2</v>
      </c>
      <c r="K23" s="80">
        <v>4.2271168612898917E-2</v>
      </c>
      <c r="L23" s="80">
        <v>4.1074899809462773E-2</v>
      </c>
      <c r="M23" s="80">
        <v>4.0834051313246689E-2</v>
      </c>
      <c r="N23" s="80">
        <v>4.0834051313246689E-2</v>
      </c>
      <c r="O23" s="80">
        <v>4.1554535617680632E-2</v>
      </c>
      <c r="P23" s="80">
        <v>4.0105424319669243E-2</v>
      </c>
      <c r="Q23" s="80">
        <v>4.1554535617680632E-2</v>
      </c>
      <c r="R23" s="80">
        <v>4.0592301114622753E-2</v>
      </c>
      <c r="S23" s="80">
        <v>4.1315008519555503E-2</v>
      </c>
      <c r="T23" s="80">
        <v>4.0592301114622753E-2</v>
      </c>
      <c r="U23" s="80">
        <v>4.0349482745723357E-2</v>
      </c>
      <c r="V23" s="80">
        <v>4.2032463502147073E-2</v>
      </c>
      <c r="W23" s="80">
        <v>4.1315008519555503E-2</v>
      </c>
      <c r="X23" s="80">
        <v>4.0349482745723357E-2</v>
      </c>
      <c r="Y23" s="80">
        <v>4.2509902136100057E-2</v>
      </c>
      <c r="Z23" s="80">
        <v>4.0834051313246689E-2</v>
      </c>
      <c r="AA23" s="80">
        <v>4.2509902136100057E-2</v>
      </c>
      <c r="AB23" s="80">
        <v>4.2509902136100057E-2</v>
      </c>
      <c r="AC23" s="80">
        <v>4.2509902136100057E-2</v>
      </c>
      <c r="AD23" s="80">
        <v>4.2509902136100057E-2</v>
      </c>
      <c r="AE23" s="80">
        <v>4.2509902136100057E-2</v>
      </c>
      <c r="AF23" s="80">
        <v>4.2509902136100057E-2</v>
      </c>
      <c r="AG23" s="80">
        <v>4.2509902136100057E-2</v>
      </c>
      <c r="AH23" s="80">
        <v>4.2509902136100057E-2</v>
      </c>
      <c r="AI23" s="80">
        <v>4.2509902136100057E-2</v>
      </c>
      <c r="AJ23" s="80">
        <v>4.2509902136100057E-2</v>
      </c>
      <c r="AK23" s="80">
        <v>4.2509902136100057E-2</v>
      </c>
      <c r="AL23" s="80">
        <v>4.2509902136100057E-2</v>
      </c>
      <c r="AM23" s="80">
        <v>4.2509902136100057E-2</v>
      </c>
      <c r="AN23" s="80">
        <v>4.2509902136100057E-2</v>
      </c>
      <c r="AO23" s="80">
        <v>4.2509902136100057E-2</v>
      </c>
      <c r="AP23" s="80">
        <v>4.2509902136100057E-2</v>
      </c>
      <c r="AQ23" s="45">
        <v>4.2509902136100057E-2</v>
      </c>
    </row>
    <row r="24" spans="2:43" x14ac:dyDescent="0.3">
      <c r="B24" s="68">
        <v>15</v>
      </c>
      <c r="C24" s="69">
        <v>8.4012534878497136E-2</v>
      </c>
      <c r="D24" s="69">
        <f>'LGD_Chain Ladder'!$J$71</f>
        <v>0.68247911124728622</v>
      </c>
      <c r="E24" s="73">
        <f t="shared" si="0"/>
        <v>0.20971450230803509</v>
      </c>
      <c r="F24" s="78"/>
      <c r="G24" s="19"/>
      <c r="H24" s="54">
        <v>8.103831816953122E-2</v>
      </c>
      <c r="I24" s="80">
        <v>8.2022130525860271E-2</v>
      </c>
      <c r="J24" s="80">
        <v>7.9563091337911396E-2</v>
      </c>
      <c r="K24" s="80">
        <v>8.1529983813633411E-2</v>
      </c>
      <c r="L24" s="80">
        <v>7.907022436072153E-2</v>
      </c>
      <c r="M24" s="80">
        <v>7.8576261356057553E-2</v>
      </c>
      <c r="N24" s="80">
        <v>7.8576261356057553E-2</v>
      </c>
      <c r="O24" s="80">
        <v>8.0055184859292416E-2</v>
      </c>
      <c r="P24" s="80">
        <v>7.7084462188268366E-2</v>
      </c>
      <c r="Q24" s="80">
        <v>8.0055184859292416E-2</v>
      </c>
      <c r="R24" s="80">
        <v>7.8080873190652267E-2</v>
      </c>
      <c r="S24" s="80">
        <v>7.9563091337911396E-2</v>
      </c>
      <c r="T24" s="80">
        <v>7.8080873190652267E-2</v>
      </c>
      <c r="U24" s="80">
        <v>7.7583722546276879E-2</v>
      </c>
      <c r="V24" s="80">
        <v>8.103831816953122E-2</v>
      </c>
      <c r="W24" s="80">
        <v>7.9563091337911396E-2</v>
      </c>
      <c r="X24" s="80">
        <v>7.7583722546276879E-2</v>
      </c>
      <c r="Y24" s="80">
        <v>8.2022130525860271E-2</v>
      </c>
      <c r="Z24" s="80">
        <v>7.8576261356057553E-2</v>
      </c>
      <c r="AA24" s="80">
        <v>8.2022130525860271E-2</v>
      </c>
      <c r="AB24" s="80">
        <v>8.2022130525860271E-2</v>
      </c>
      <c r="AC24" s="80">
        <v>8.2022130525860271E-2</v>
      </c>
      <c r="AD24" s="80">
        <v>8.2022130525860271E-2</v>
      </c>
      <c r="AE24" s="80">
        <v>8.2022130525860271E-2</v>
      </c>
      <c r="AF24" s="80">
        <v>8.2022130525860271E-2</v>
      </c>
      <c r="AG24" s="80">
        <v>8.2022130525860271E-2</v>
      </c>
      <c r="AH24" s="80">
        <v>8.2022130525860271E-2</v>
      </c>
      <c r="AI24" s="80">
        <v>8.2022130525860271E-2</v>
      </c>
      <c r="AJ24" s="80">
        <v>8.2022130525860271E-2</v>
      </c>
      <c r="AK24" s="80">
        <v>8.2022130525860271E-2</v>
      </c>
      <c r="AL24" s="80">
        <v>8.2022130525860271E-2</v>
      </c>
      <c r="AM24" s="80">
        <v>8.2022130525860271E-2</v>
      </c>
      <c r="AN24" s="80">
        <v>8.2022130525860271E-2</v>
      </c>
      <c r="AO24" s="80">
        <v>8.2022130525860271E-2</v>
      </c>
      <c r="AP24" s="80">
        <v>8.2022130525860271E-2</v>
      </c>
      <c r="AQ24" s="45">
        <v>8.2022130525860271E-2</v>
      </c>
    </row>
    <row r="25" spans="2:43" x14ac:dyDescent="0.3">
      <c r="B25" s="68">
        <v>16</v>
      </c>
      <c r="C25" s="69">
        <v>0.1739342141587511</v>
      </c>
      <c r="D25" s="69">
        <f>'LGD_Chain Ladder'!$J$71</f>
        <v>0.68247911124728622</v>
      </c>
      <c r="E25" s="73">
        <f t="shared" si="0"/>
        <v>0.255876765524368</v>
      </c>
      <c r="F25" s="78"/>
      <c r="G25" s="19"/>
      <c r="H25" s="54">
        <v>0.16667496094734011</v>
      </c>
      <c r="I25" s="80">
        <v>0.16906294484940951</v>
      </c>
      <c r="J25" s="80">
        <v>0.1631180399117497</v>
      </c>
      <c r="K25" s="80">
        <v>0.16786675844834051</v>
      </c>
      <c r="L25" s="80">
        <v>0.16193595572656799</v>
      </c>
      <c r="M25" s="80">
        <v>0.16075434662350149</v>
      </c>
      <c r="N25" s="80">
        <v>0.16075434662350149</v>
      </c>
      <c r="O25" s="80">
        <v>0.16430138253997759</v>
      </c>
      <c r="P25" s="80">
        <v>0.1572044011031796</v>
      </c>
      <c r="Q25" s="80">
        <v>0.16430138253997759</v>
      </c>
      <c r="R25" s="80">
        <v>0.15957242176002559</v>
      </c>
      <c r="S25" s="80">
        <v>0.1631180399117497</v>
      </c>
      <c r="T25" s="80">
        <v>0.15957242176002559</v>
      </c>
      <c r="U25" s="80">
        <v>0.15838937903096231</v>
      </c>
      <c r="V25" s="80">
        <v>0.16667496094734011</v>
      </c>
      <c r="W25" s="80">
        <v>0.1631180399117497</v>
      </c>
      <c r="X25" s="80">
        <v>0.15838937903096231</v>
      </c>
      <c r="Y25" s="80">
        <v>0.16906294484940951</v>
      </c>
      <c r="Z25" s="80">
        <v>0.16075434662350149</v>
      </c>
      <c r="AA25" s="80">
        <v>0.16906294484940951</v>
      </c>
      <c r="AB25" s="80">
        <v>0.16906294484940951</v>
      </c>
      <c r="AC25" s="80">
        <v>0.16906294484940951</v>
      </c>
      <c r="AD25" s="80">
        <v>0.16906294484940951</v>
      </c>
      <c r="AE25" s="80">
        <v>0.16906294484940951</v>
      </c>
      <c r="AF25" s="80">
        <v>0.16906294484940951</v>
      </c>
      <c r="AG25" s="80">
        <v>0.16906294484940951</v>
      </c>
      <c r="AH25" s="80">
        <v>0.16906294484940951</v>
      </c>
      <c r="AI25" s="80">
        <v>0.16906294484940951</v>
      </c>
      <c r="AJ25" s="80">
        <v>0.16906294484940951</v>
      </c>
      <c r="AK25" s="80">
        <v>0.16906294484940951</v>
      </c>
      <c r="AL25" s="80">
        <v>0.16906294484940951</v>
      </c>
      <c r="AM25" s="80">
        <v>0.16906294484940951</v>
      </c>
      <c r="AN25" s="80">
        <v>0.16906294484940951</v>
      </c>
      <c r="AO25" s="80">
        <v>0.16906294484940951</v>
      </c>
      <c r="AP25" s="80">
        <v>0.16906294484940951</v>
      </c>
      <c r="AQ25" s="45">
        <v>0.16906294484940951</v>
      </c>
    </row>
    <row r="26" spans="2:43" ht="15" thickBot="1" x14ac:dyDescent="0.35">
      <c r="B26" s="70">
        <v>17</v>
      </c>
      <c r="C26" s="71">
        <v>0.32965791036482078</v>
      </c>
      <c r="D26" s="71">
        <f>'LGD_Chain Ladder'!$J$71</f>
        <v>0.68247911124728622</v>
      </c>
      <c r="E26" s="74">
        <f t="shared" si="0"/>
        <v>0.33162624197689955</v>
      </c>
      <c r="F26" s="78"/>
      <c r="G26" s="20"/>
      <c r="H26" s="55">
        <v>0.30998299861433881</v>
      </c>
      <c r="I26" s="81">
        <v>0.31632517421120843</v>
      </c>
      <c r="J26" s="81">
        <v>0.30075237599756449</v>
      </c>
      <c r="K26" s="81">
        <v>0.31313312340504018</v>
      </c>
      <c r="L26" s="81">
        <v>0.29773881792540569</v>
      </c>
      <c r="M26" s="81">
        <v>0.2947522226979189</v>
      </c>
      <c r="N26" s="81">
        <v>0.2947522226979189</v>
      </c>
      <c r="O26" s="81">
        <v>0.3037956646649107</v>
      </c>
      <c r="P26" s="81">
        <v>0.28592764996935072</v>
      </c>
      <c r="Q26" s="81">
        <v>0.3037956646649107</v>
      </c>
      <c r="R26" s="81">
        <v>0.29178990264161508</v>
      </c>
      <c r="S26" s="81">
        <v>0.30075237599756449</v>
      </c>
      <c r="T26" s="81">
        <v>0.29178990264161508</v>
      </c>
      <c r="U26" s="81">
        <v>0.28884923544818941</v>
      </c>
      <c r="V26" s="81">
        <v>0.30998299861433881</v>
      </c>
      <c r="W26" s="81">
        <v>0.30075237599756449</v>
      </c>
      <c r="X26" s="81">
        <v>0.28884923544818941</v>
      </c>
      <c r="Y26" s="81">
        <v>0.31632517421120843</v>
      </c>
      <c r="Z26" s="81">
        <v>0.2947522226979189</v>
      </c>
      <c r="AA26" s="81">
        <v>0.31632517421120843</v>
      </c>
      <c r="AB26" s="81">
        <v>0.31632517421120843</v>
      </c>
      <c r="AC26" s="81">
        <v>0.31632517421120843</v>
      </c>
      <c r="AD26" s="81">
        <v>0.31632517421120843</v>
      </c>
      <c r="AE26" s="81">
        <v>0.31632517421120843</v>
      </c>
      <c r="AF26" s="81">
        <v>0.31632517421120843</v>
      </c>
      <c r="AG26" s="81">
        <v>0.31632517421120843</v>
      </c>
      <c r="AH26" s="81">
        <v>0.31632517421120843</v>
      </c>
      <c r="AI26" s="81">
        <v>0.31632517421120843</v>
      </c>
      <c r="AJ26" s="81">
        <v>0.31632517421120843</v>
      </c>
      <c r="AK26" s="81">
        <v>0.31632517421120843</v>
      </c>
      <c r="AL26" s="81">
        <v>0.31632517421120843</v>
      </c>
      <c r="AM26" s="81">
        <v>0.31632517421120843</v>
      </c>
      <c r="AN26" s="81">
        <v>0.31632517421120843</v>
      </c>
      <c r="AO26" s="81">
        <v>0.31632517421120843</v>
      </c>
      <c r="AP26" s="81">
        <v>0.31632517421120843</v>
      </c>
      <c r="AQ26" s="46">
        <v>0.31632517421120843</v>
      </c>
    </row>
    <row r="28" spans="2:43" x14ac:dyDescent="0.3">
      <c r="E28" t="s">
        <v>26</v>
      </c>
    </row>
    <row r="29" spans="2:43" ht="15" thickBot="1" x14ac:dyDescent="0.35"/>
    <row r="30" spans="2:43" ht="15" thickBot="1" x14ac:dyDescent="0.35">
      <c r="E30" t="s">
        <v>27</v>
      </c>
      <c r="H30" s="15" t="s">
        <v>28</v>
      </c>
      <c r="I30" s="16"/>
    </row>
    <row r="31" spans="2:43" ht="20.399999999999999" thickBot="1" x14ac:dyDescent="0.45">
      <c r="F31" s="99" t="s">
        <v>66</v>
      </c>
      <c r="G31" s="100"/>
      <c r="H31" s="96" t="s">
        <v>64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8"/>
    </row>
    <row r="32" spans="2:43" ht="15" thickBot="1" x14ac:dyDescent="0.35">
      <c r="F32" s="101"/>
      <c r="G32" s="102"/>
      <c r="H32" s="92">
        <v>1</v>
      </c>
      <c r="I32" s="84">
        <v>2</v>
      </c>
      <c r="J32" s="84">
        <v>3</v>
      </c>
      <c r="K32" s="84">
        <v>4</v>
      </c>
      <c r="L32" s="84">
        <v>5</v>
      </c>
      <c r="M32" s="84">
        <v>6</v>
      </c>
      <c r="N32" s="84">
        <v>7</v>
      </c>
      <c r="O32" s="84">
        <v>8</v>
      </c>
      <c r="P32" s="84">
        <v>9</v>
      </c>
      <c r="Q32" s="84">
        <v>10</v>
      </c>
      <c r="R32" s="84">
        <v>11</v>
      </c>
      <c r="S32" s="84">
        <v>12</v>
      </c>
      <c r="T32" s="84">
        <v>13</v>
      </c>
      <c r="U32" s="84">
        <v>14</v>
      </c>
      <c r="V32" s="84">
        <v>15</v>
      </c>
      <c r="W32" s="84">
        <v>16</v>
      </c>
      <c r="X32" s="84">
        <v>17</v>
      </c>
      <c r="Y32" s="84">
        <v>18</v>
      </c>
      <c r="Z32" s="84">
        <v>19</v>
      </c>
      <c r="AA32" s="84">
        <v>20</v>
      </c>
      <c r="AB32" s="84">
        <v>21</v>
      </c>
      <c r="AC32" s="84">
        <v>22</v>
      </c>
      <c r="AD32" s="84">
        <v>23</v>
      </c>
      <c r="AE32" s="84">
        <v>24</v>
      </c>
      <c r="AF32" s="84">
        <v>25</v>
      </c>
      <c r="AG32" s="84">
        <v>26</v>
      </c>
      <c r="AH32" s="84">
        <v>27</v>
      </c>
      <c r="AI32" s="84">
        <v>28</v>
      </c>
      <c r="AJ32" s="84">
        <v>29</v>
      </c>
      <c r="AK32" s="84">
        <v>30</v>
      </c>
      <c r="AL32" s="84">
        <v>31</v>
      </c>
      <c r="AM32" s="84">
        <v>32</v>
      </c>
      <c r="AN32" s="84">
        <v>33</v>
      </c>
      <c r="AO32" s="84">
        <v>34</v>
      </c>
      <c r="AP32" s="84">
        <v>35</v>
      </c>
      <c r="AQ32" s="85">
        <v>36</v>
      </c>
    </row>
    <row r="33" spans="6:43" x14ac:dyDescent="0.3">
      <c r="F33" s="93" t="s">
        <v>22</v>
      </c>
      <c r="G33" s="89">
        <v>1</v>
      </c>
      <c r="H33" s="54">
        <f>NORMSDIST(NORMSINV(H10)-$E$10)/H10</f>
        <v>0.66786979720330975</v>
      </c>
      <c r="I33" s="80">
        <f t="shared" ref="I33:AQ33" si="1">NORMSDIST(NORMSINV(I10)-$E$10)/I10</f>
        <v>0.668034450386923</v>
      </c>
      <c r="J33" s="80">
        <f t="shared" si="1"/>
        <v>0.66761883305452485</v>
      </c>
      <c r="K33" s="80">
        <f t="shared" si="1"/>
        <v>0.66795235060143909</v>
      </c>
      <c r="L33" s="80">
        <f t="shared" si="1"/>
        <v>0.66753387380725904</v>
      </c>
      <c r="M33" s="80">
        <f t="shared" si="1"/>
        <v>0.66744815505719779</v>
      </c>
      <c r="N33" s="80">
        <f t="shared" si="1"/>
        <v>0.66744815505719779</v>
      </c>
      <c r="O33" s="80">
        <f t="shared" si="1"/>
        <v>0.66770309836357022</v>
      </c>
      <c r="P33" s="80">
        <f t="shared" si="1"/>
        <v>0.66718574080349424</v>
      </c>
      <c r="Q33" s="80">
        <f t="shared" si="1"/>
        <v>0.66770309836357022</v>
      </c>
      <c r="R33" s="80">
        <f t="shared" si="1"/>
        <v>0.66736160837461433</v>
      </c>
      <c r="S33" s="80">
        <f t="shared" si="1"/>
        <v>0.66761883305452485</v>
      </c>
      <c r="T33" s="80">
        <f t="shared" si="1"/>
        <v>0.66736160837461433</v>
      </c>
      <c r="U33" s="80">
        <f t="shared" si="1"/>
        <v>0.66727416207708434</v>
      </c>
      <c r="V33" s="80">
        <f t="shared" si="1"/>
        <v>0.66786979720330975</v>
      </c>
      <c r="W33" s="80">
        <f t="shared" si="1"/>
        <v>0.66761883305452485</v>
      </c>
      <c r="X33" s="80">
        <f t="shared" si="1"/>
        <v>0.66727416207708434</v>
      </c>
      <c r="Y33" s="80">
        <f t="shared" si="1"/>
        <v>0.668034450386923</v>
      </c>
      <c r="Z33" s="80">
        <f t="shared" si="1"/>
        <v>0.66744815505719779</v>
      </c>
      <c r="AA33" s="80">
        <f t="shared" si="1"/>
        <v>0.668034450386923</v>
      </c>
      <c r="AB33" s="80">
        <f t="shared" si="1"/>
        <v>0.668034450386923</v>
      </c>
      <c r="AC33" s="80">
        <f t="shared" si="1"/>
        <v>0.668034450386923</v>
      </c>
      <c r="AD33" s="80">
        <f t="shared" si="1"/>
        <v>0.668034450386923</v>
      </c>
      <c r="AE33" s="80">
        <f t="shared" si="1"/>
        <v>0.668034450386923</v>
      </c>
      <c r="AF33" s="80">
        <f t="shared" si="1"/>
        <v>0.668034450386923</v>
      </c>
      <c r="AG33" s="80">
        <f t="shared" si="1"/>
        <v>0.668034450386923</v>
      </c>
      <c r="AH33" s="80">
        <f t="shared" si="1"/>
        <v>0.668034450386923</v>
      </c>
      <c r="AI33" s="80">
        <f t="shared" si="1"/>
        <v>0.668034450386923</v>
      </c>
      <c r="AJ33" s="80">
        <f t="shared" si="1"/>
        <v>0.668034450386923</v>
      </c>
      <c r="AK33" s="80">
        <f t="shared" si="1"/>
        <v>0.668034450386923</v>
      </c>
      <c r="AL33" s="80">
        <f t="shared" si="1"/>
        <v>0.668034450386923</v>
      </c>
      <c r="AM33" s="80">
        <f t="shared" si="1"/>
        <v>0.668034450386923</v>
      </c>
      <c r="AN33" s="80">
        <f t="shared" si="1"/>
        <v>0.668034450386923</v>
      </c>
      <c r="AO33" s="80">
        <f t="shared" si="1"/>
        <v>0.668034450386923</v>
      </c>
      <c r="AP33" s="80">
        <f t="shared" si="1"/>
        <v>0.668034450386923</v>
      </c>
      <c r="AQ33" s="45">
        <f t="shared" si="1"/>
        <v>0.668034450386923</v>
      </c>
    </row>
    <row r="34" spans="6:43" x14ac:dyDescent="0.3">
      <c r="F34" s="94"/>
      <c r="G34" s="90">
        <v>2</v>
      </c>
      <c r="H34" s="54">
        <f>NORMSDIST(NORMSINV(H11)-$E$11)/H11</f>
        <v>0.66786979720330975</v>
      </c>
      <c r="I34" s="80">
        <f t="shared" ref="I34:AQ34" si="2">NORMSDIST(NORMSINV(I11)-$E$11)/I11</f>
        <v>0.668034450386923</v>
      </c>
      <c r="J34" s="80">
        <f t="shared" si="2"/>
        <v>0.66761883305452485</v>
      </c>
      <c r="K34" s="80">
        <f t="shared" si="2"/>
        <v>0.66795235060143909</v>
      </c>
      <c r="L34" s="80">
        <f t="shared" si="2"/>
        <v>0.66753387380725904</v>
      </c>
      <c r="M34" s="80">
        <f t="shared" si="2"/>
        <v>0.66744815505719779</v>
      </c>
      <c r="N34" s="80">
        <f t="shared" si="2"/>
        <v>0.66744815505719779</v>
      </c>
      <c r="O34" s="80">
        <f t="shared" si="2"/>
        <v>0.66770309836357022</v>
      </c>
      <c r="P34" s="80">
        <f t="shared" si="2"/>
        <v>0.66718574080349424</v>
      </c>
      <c r="Q34" s="80">
        <f t="shared" si="2"/>
        <v>0.66770309836357022</v>
      </c>
      <c r="R34" s="80">
        <f t="shared" si="2"/>
        <v>0.66736160837461433</v>
      </c>
      <c r="S34" s="80">
        <f t="shared" si="2"/>
        <v>0.66761883305452485</v>
      </c>
      <c r="T34" s="80">
        <f t="shared" si="2"/>
        <v>0.66736160837461433</v>
      </c>
      <c r="U34" s="80">
        <f t="shared" si="2"/>
        <v>0.66727416207708434</v>
      </c>
      <c r="V34" s="80">
        <f t="shared" si="2"/>
        <v>0.66786979720330975</v>
      </c>
      <c r="W34" s="80">
        <f t="shared" si="2"/>
        <v>0.66761883305452485</v>
      </c>
      <c r="X34" s="80">
        <f t="shared" si="2"/>
        <v>0.66727416207708434</v>
      </c>
      <c r="Y34" s="80">
        <f t="shared" si="2"/>
        <v>0.668034450386923</v>
      </c>
      <c r="Z34" s="80">
        <f t="shared" si="2"/>
        <v>0.66744815505719779</v>
      </c>
      <c r="AA34" s="80">
        <f t="shared" si="2"/>
        <v>0.668034450386923</v>
      </c>
      <c r="AB34" s="80">
        <f t="shared" si="2"/>
        <v>0.668034450386923</v>
      </c>
      <c r="AC34" s="80">
        <f t="shared" si="2"/>
        <v>0.668034450386923</v>
      </c>
      <c r="AD34" s="80">
        <f t="shared" si="2"/>
        <v>0.668034450386923</v>
      </c>
      <c r="AE34" s="80">
        <f t="shared" si="2"/>
        <v>0.668034450386923</v>
      </c>
      <c r="AF34" s="80">
        <f t="shared" si="2"/>
        <v>0.668034450386923</v>
      </c>
      <c r="AG34" s="80">
        <f t="shared" si="2"/>
        <v>0.668034450386923</v>
      </c>
      <c r="AH34" s="80">
        <f t="shared" si="2"/>
        <v>0.668034450386923</v>
      </c>
      <c r="AI34" s="80">
        <f t="shared" si="2"/>
        <v>0.668034450386923</v>
      </c>
      <c r="AJ34" s="80">
        <f t="shared" si="2"/>
        <v>0.668034450386923</v>
      </c>
      <c r="AK34" s="80">
        <f t="shared" si="2"/>
        <v>0.668034450386923</v>
      </c>
      <c r="AL34" s="80">
        <f t="shared" si="2"/>
        <v>0.668034450386923</v>
      </c>
      <c r="AM34" s="80">
        <f t="shared" si="2"/>
        <v>0.668034450386923</v>
      </c>
      <c r="AN34" s="80">
        <f t="shared" si="2"/>
        <v>0.668034450386923</v>
      </c>
      <c r="AO34" s="80">
        <f t="shared" si="2"/>
        <v>0.668034450386923</v>
      </c>
      <c r="AP34" s="80">
        <f t="shared" si="2"/>
        <v>0.668034450386923</v>
      </c>
      <c r="AQ34" s="45">
        <f t="shared" si="2"/>
        <v>0.668034450386923</v>
      </c>
    </row>
    <row r="35" spans="6:43" x14ac:dyDescent="0.3">
      <c r="F35" s="94"/>
      <c r="G35" s="90">
        <v>3</v>
      </c>
      <c r="H35" s="54">
        <f>NORMSDIST(NORMSINV(H12)-$E$12)/H12</f>
        <v>0.66786979720330975</v>
      </c>
      <c r="I35" s="80">
        <f t="shared" ref="I35:AQ35" si="3">NORMSDIST(NORMSINV(I12)-$E$12)/I12</f>
        <v>0.668034450386923</v>
      </c>
      <c r="J35" s="80">
        <f t="shared" si="3"/>
        <v>0.66761883305452485</v>
      </c>
      <c r="K35" s="80">
        <f t="shared" si="3"/>
        <v>0.66795235060143909</v>
      </c>
      <c r="L35" s="80">
        <f t="shared" si="3"/>
        <v>0.66753387380725904</v>
      </c>
      <c r="M35" s="80">
        <f t="shared" si="3"/>
        <v>0.66744815505719779</v>
      </c>
      <c r="N35" s="80">
        <f t="shared" si="3"/>
        <v>0.66744815505719779</v>
      </c>
      <c r="O35" s="80">
        <f t="shared" si="3"/>
        <v>0.66770309836357022</v>
      </c>
      <c r="P35" s="80">
        <f t="shared" si="3"/>
        <v>0.66718574080349424</v>
      </c>
      <c r="Q35" s="80">
        <f t="shared" si="3"/>
        <v>0.66770309836357022</v>
      </c>
      <c r="R35" s="80">
        <f t="shared" si="3"/>
        <v>0.66736160837461433</v>
      </c>
      <c r="S35" s="80">
        <f t="shared" si="3"/>
        <v>0.66761883305452485</v>
      </c>
      <c r="T35" s="80">
        <f t="shared" si="3"/>
        <v>0.66736160837461433</v>
      </c>
      <c r="U35" s="80">
        <f t="shared" si="3"/>
        <v>0.66727416207708434</v>
      </c>
      <c r="V35" s="80">
        <f t="shared" si="3"/>
        <v>0.66786979720330975</v>
      </c>
      <c r="W35" s="80">
        <f t="shared" si="3"/>
        <v>0.66761883305452485</v>
      </c>
      <c r="X35" s="80">
        <f t="shared" si="3"/>
        <v>0.66727416207708434</v>
      </c>
      <c r="Y35" s="80">
        <f t="shared" si="3"/>
        <v>0.668034450386923</v>
      </c>
      <c r="Z35" s="80">
        <f t="shared" si="3"/>
        <v>0.66744815505719779</v>
      </c>
      <c r="AA35" s="80">
        <f t="shared" si="3"/>
        <v>0.668034450386923</v>
      </c>
      <c r="AB35" s="80">
        <f t="shared" si="3"/>
        <v>0.668034450386923</v>
      </c>
      <c r="AC35" s="80">
        <f t="shared" si="3"/>
        <v>0.668034450386923</v>
      </c>
      <c r="AD35" s="80">
        <f t="shared" si="3"/>
        <v>0.668034450386923</v>
      </c>
      <c r="AE35" s="80">
        <f t="shared" si="3"/>
        <v>0.668034450386923</v>
      </c>
      <c r="AF35" s="80">
        <f t="shared" si="3"/>
        <v>0.668034450386923</v>
      </c>
      <c r="AG35" s="80">
        <f t="shared" si="3"/>
        <v>0.668034450386923</v>
      </c>
      <c r="AH35" s="80">
        <f t="shared" si="3"/>
        <v>0.668034450386923</v>
      </c>
      <c r="AI35" s="80">
        <f t="shared" si="3"/>
        <v>0.668034450386923</v>
      </c>
      <c r="AJ35" s="80">
        <f t="shared" si="3"/>
        <v>0.668034450386923</v>
      </c>
      <c r="AK35" s="80">
        <f t="shared" si="3"/>
        <v>0.668034450386923</v>
      </c>
      <c r="AL35" s="80">
        <f t="shared" si="3"/>
        <v>0.668034450386923</v>
      </c>
      <c r="AM35" s="80">
        <f t="shared" si="3"/>
        <v>0.668034450386923</v>
      </c>
      <c r="AN35" s="80">
        <f t="shared" si="3"/>
        <v>0.668034450386923</v>
      </c>
      <c r="AO35" s="80">
        <f t="shared" si="3"/>
        <v>0.668034450386923</v>
      </c>
      <c r="AP35" s="80">
        <f t="shared" si="3"/>
        <v>0.668034450386923</v>
      </c>
      <c r="AQ35" s="45">
        <f t="shared" si="3"/>
        <v>0.668034450386923</v>
      </c>
    </row>
    <row r="36" spans="6:43" x14ac:dyDescent="0.3">
      <c r="F36" s="94"/>
      <c r="G36" s="90">
        <v>4</v>
      </c>
      <c r="H36" s="54">
        <f>NORMSDIST(NORMSINV(H13)-$E$13)/H13</f>
        <v>0.66786979720330975</v>
      </c>
      <c r="I36" s="80">
        <f t="shared" ref="I36:AQ36" si="4">NORMSDIST(NORMSINV(I13)-$E$13)/I13</f>
        <v>0.668034450386923</v>
      </c>
      <c r="J36" s="80">
        <f t="shared" si="4"/>
        <v>0.66761883305452485</v>
      </c>
      <c r="K36" s="80">
        <f t="shared" si="4"/>
        <v>0.66795235060143909</v>
      </c>
      <c r="L36" s="80">
        <f t="shared" si="4"/>
        <v>0.66753387380725904</v>
      </c>
      <c r="M36" s="80">
        <f t="shared" si="4"/>
        <v>0.66744815505719779</v>
      </c>
      <c r="N36" s="80">
        <f t="shared" si="4"/>
        <v>0.66744815505719779</v>
      </c>
      <c r="O36" s="80">
        <f t="shared" si="4"/>
        <v>0.66770309836357022</v>
      </c>
      <c r="P36" s="80">
        <f t="shared" si="4"/>
        <v>0.66718574080349424</v>
      </c>
      <c r="Q36" s="80">
        <f t="shared" si="4"/>
        <v>0.66770309836357022</v>
      </c>
      <c r="R36" s="80">
        <f t="shared" si="4"/>
        <v>0.66736160837461433</v>
      </c>
      <c r="S36" s="80">
        <f t="shared" si="4"/>
        <v>0.66761883305452485</v>
      </c>
      <c r="T36" s="80">
        <f t="shared" si="4"/>
        <v>0.66736160837461433</v>
      </c>
      <c r="U36" s="80">
        <f t="shared" si="4"/>
        <v>0.66727416207708434</v>
      </c>
      <c r="V36" s="80">
        <f t="shared" si="4"/>
        <v>0.66786979720330975</v>
      </c>
      <c r="W36" s="80">
        <f t="shared" si="4"/>
        <v>0.66761883305452485</v>
      </c>
      <c r="X36" s="80">
        <f t="shared" si="4"/>
        <v>0.66727416207708434</v>
      </c>
      <c r="Y36" s="80">
        <f t="shared" si="4"/>
        <v>0.668034450386923</v>
      </c>
      <c r="Z36" s="80">
        <f t="shared" si="4"/>
        <v>0.66744815505719779</v>
      </c>
      <c r="AA36" s="80">
        <f t="shared" si="4"/>
        <v>0.668034450386923</v>
      </c>
      <c r="AB36" s="80">
        <f t="shared" si="4"/>
        <v>0.668034450386923</v>
      </c>
      <c r="AC36" s="80">
        <f t="shared" si="4"/>
        <v>0.668034450386923</v>
      </c>
      <c r="AD36" s="80">
        <f t="shared" si="4"/>
        <v>0.668034450386923</v>
      </c>
      <c r="AE36" s="80">
        <f t="shared" si="4"/>
        <v>0.668034450386923</v>
      </c>
      <c r="AF36" s="80">
        <f t="shared" si="4"/>
        <v>0.668034450386923</v>
      </c>
      <c r="AG36" s="80">
        <f t="shared" si="4"/>
        <v>0.668034450386923</v>
      </c>
      <c r="AH36" s="80">
        <f t="shared" si="4"/>
        <v>0.668034450386923</v>
      </c>
      <c r="AI36" s="80">
        <f t="shared" si="4"/>
        <v>0.668034450386923</v>
      </c>
      <c r="AJ36" s="80">
        <f t="shared" si="4"/>
        <v>0.668034450386923</v>
      </c>
      <c r="AK36" s="80">
        <f t="shared" si="4"/>
        <v>0.668034450386923</v>
      </c>
      <c r="AL36" s="80">
        <f t="shared" si="4"/>
        <v>0.668034450386923</v>
      </c>
      <c r="AM36" s="80">
        <f t="shared" si="4"/>
        <v>0.668034450386923</v>
      </c>
      <c r="AN36" s="80">
        <f t="shared" si="4"/>
        <v>0.668034450386923</v>
      </c>
      <c r="AO36" s="80">
        <f t="shared" si="4"/>
        <v>0.668034450386923</v>
      </c>
      <c r="AP36" s="80">
        <f t="shared" si="4"/>
        <v>0.668034450386923</v>
      </c>
      <c r="AQ36" s="45">
        <f t="shared" si="4"/>
        <v>0.668034450386923</v>
      </c>
    </row>
    <row r="37" spans="6:43" x14ac:dyDescent="0.3">
      <c r="F37" s="94"/>
      <c r="G37" s="90">
        <v>5</v>
      </c>
      <c r="H37" s="54">
        <f>NORMSDIST(NORMSINV(H14)-$E$14)/H14</f>
        <v>0.66786979720330975</v>
      </c>
      <c r="I37" s="80">
        <f t="shared" ref="I37:AQ37" si="5">NORMSDIST(NORMSINV(I14)-$E$14)/I14</f>
        <v>0.668034450386923</v>
      </c>
      <c r="J37" s="80">
        <f t="shared" si="5"/>
        <v>0.66761883305452485</v>
      </c>
      <c r="K37" s="80">
        <f t="shared" si="5"/>
        <v>0.66795235060143909</v>
      </c>
      <c r="L37" s="80">
        <f t="shared" si="5"/>
        <v>0.66753387380725904</v>
      </c>
      <c r="M37" s="80">
        <f t="shared" si="5"/>
        <v>0.66744815505719779</v>
      </c>
      <c r="N37" s="80">
        <f t="shared" si="5"/>
        <v>0.66744815505719779</v>
      </c>
      <c r="O37" s="80">
        <f t="shared" si="5"/>
        <v>0.66770309836357022</v>
      </c>
      <c r="P37" s="80">
        <f t="shared" si="5"/>
        <v>0.66718574080349424</v>
      </c>
      <c r="Q37" s="80">
        <f t="shared" si="5"/>
        <v>0.66770309836357022</v>
      </c>
      <c r="R37" s="80">
        <f t="shared" si="5"/>
        <v>0.66736160837461433</v>
      </c>
      <c r="S37" s="80">
        <f t="shared" si="5"/>
        <v>0.66761883305452485</v>
      </c>
      <c r="T37" s="80">
        <f t="shared" si="5"/>
        <v>0.66736160837461433</v>
      </c>
      <c r="U37" s="80">
        <f t="shared" si="5"/>
        <v>0.66727416207708434</v>
      </c>
      <c r="V37" s="80">
        <f t="shared" si="5"/>
        <v>0.66786979720330975</v>
      </c>
      <c r="W37" s="80">
        <f t="shared" si="5"/>
        <v>0.66761883305452485</v>
      </c>
      <c r="X37" s="80">
        <f t="shared" si="5"/>
        <v>0.66727416207708434</v>
      </c>
      <c r="Y37" s="80">
        <f t="shared" si="5"/>
        <v>0.668034450386923</v>
      </c>
      <c r="Z37" s="80">
        <f t="shared" si="5"/>
        <v>0.66744815505719779</v>
      </c>
      <c r="AA37" s="80">
        <f t="shared" si="5"/>
        <v>0.668034450386923</v>
      </c>
      <c r="AB37" s="80">
        <f t="shared" si="5"/>
        <v>0.668034450386923</v>
      </c>
      <c r="AC37" s="80">
        <f t="shared" si="5"/>
        <v>0.668034450386923</v>
      </c>
      <c r="AD37" s="80">
        <f t="shared" si="5"/>
        <v>0.668034450386923</v>
      </c>
      <c r="AE37" s="80">
        <f t="shared" si="5"/>
        <v>0.668034450386923</v>
      </c>
      <c r="AF37" s="80">
        <f t="shared" si="5"/>
        <v>0.668034450386923</v>
      </c>
      <c r="AG37" s="80">
        <f t="shared" si="5"/>
        <v>0.668034450386923</v>
      </c>
      <c r="AH37" s="80">
        <f t="shared" si="5"/>
        <v>0.668034450386923</v>
      </c>
      <c r="AI37" s="80">
        <f t="shared" si="5"/>
        <v>0.668034450386923</v>
      </c>
      <c r="AJ37" s="80">
        <f t="shared" si="5"/>
        <v>0.668034450386923</v>
      </c>
      <c r="AK37" s="80">
        <f t="shared" si="5"/>
        <v>0.668034450386923</v>
      </c>
      <c r="AL37" s="80">
        <f t="shared" si="5"/>
        <v>0.668034450386923</v>
      </c>
      <c r="AM37" s="80">
        <f t="shared" si="5"/>
        <v>0.668034450386923</v>
      </c>
      <c r="AN37" s="80">
        <f t="shared" si="5"/>
        <v>0.668034450386923</v>
      </c>
      <c r="AO37" s="80">
        <f t="shared" si="5"/>
        <v>0.668034450386923</v>
      </c>
      <c r="AP37" s="80">
        <f t="shared" si="5"/>
        <v>0.668034450386923</v>
      </c>
      <c r="AQ37" s="45">
        <f t="shared" si="5"/>
        <v>0.668034450386923</v>
      </c>
    </row>
    <row r="38" spans="6:43" x14ac:dyDescent="0.3">
      <c r="F38" s="94"/>
      <c r="G38" s="90">
        <v>6</v>
      </c>
      <c r="H38" s="54">
        <f>NORMSDIST(NORMSINV(H15)-$E$15)/H15</f>
        <v>0.66786979720330975</v>
      </c>
      <c r="I38" s="80">
        <f t="shared" ref="I38:AQ38" si="6">NORMSDIST(NORMSINV(I15)-$E$15)/I15</f>
        <v>0.668034450386923</v>
      </c>
      <c r="J38" s="80">
        <f t="shared" si="6"/>
        <v>0.66761883305452485</v>
      </c>
      <c r="K38" s="80">
        <f t="shared" si="6"/>
        <v>0.66795235060143909</v>
      </c>
      <c r="L38" s="80">
        <f t="shared" si="6"/>
        <v>0.66753387380725904</v>
      </c>
      <c r="M38" s="80">
        <f t="shared" si="6"/>
        <v>0.66744815505719779</v>
      </c>
      <c r="N38" s="80">
        <f t="shared" si="6"/>
        <v>0.66744815505719779</v>
      </c>
      <c r="O38" s="80">
        <f t="shared" si="6"/>
        <v>0.66770309836357022</v>
      </c>
      <c r="P38" s="80">
        <f t="shared" si="6"/>
        <v>0.66718574080349424</v>
      </c>
      <c r="Q38" s="80">
        <f t="shared" si="6"/>
        <v>0.66770309836357022</v>
      </c>
      <c r="R38" s="80">
        <f t="shared" si="6"/>
        <v>0.66736160837461433</v>
      </c>
      <c r="S38" s="80">
        <f t="shared" si="6"/>
        <v>0.66761883305452485</v>
      </c>
      <c r="T38" s="80">
        <f t="shared" si="6"/>
        <v>0.66736160837461433</v>
      </c>
      <c r="U38" s="80">
        <f t="shared" si="6"/>
        <v>0.66727416207708434</v>
      </c>
      <c r="V38" s="80">
        <f t="shared" si="6"/>
        <v>0.66786979720330975</v>
      </c>
      <c r="W38" s="80">
        <f t="shared" si="6"/>
        <v>0.66761883305452485</v>
      </c>
      <c r="X38" s="80">
        <f t="shared" si="6"/>
        <v>0.66727416207708434</v>
      </c>
      <c r="Y38" s="80">
        <f t="shared" si="6"/>
        <v>0.668034450386923</v>
      </c>
      <c r="Z38" s="80">
        <f t="shared" si="6"/>
        <v>0.66744815505719779</v>
      </c>
      <c r="AA38" s="80">
        <f t="shared" si="6"/>
        <v>0.668034450386923</v>
      </c>
      <c r="AB38" s="80">
        <f t="shared" si="6"/>
        <v>0.668034450386923</v>
      </c>
      <c r="AC38" s="80">
        <f t="shared" si="6"/>
        <v>0.668034450386923</v>
      </c>
      <c r="AD38" s="80">
        <f t="shared" si="6"/>
        <v>0.668034450386923</v>
      </c>
      <c r="AE38" s="80">
        <f t="shared" si="6"/>
        <v>0.668034450386923</v>
      </c>
      <c r="AF38" s="80">
        <f t="shared" si="6"/>
        <v>0.668034450386923</v>
      </c>
      <c r="AG38" s="80">
        <f t="shared" si="6"/>
        <v>0.668034450386923</v>
      </c>
      <c r="AH38" s="80">
        <f t="shared" si="6"/>
        <v>0.668034450386923</v>
      </c>
      <c r="AI38" s="80">
        <f t="shared" si="6"/>
        <v>0.668034450386923</v>
      </c>
      <c r="AJ38" s="80">
        <f t="shared" si="6"/>
        <v>0.668034450386923</v>
      </c>
      <c r="AK38" s="80">
        <f t="shared" si="6"/>
        <v>0.668034450386923</v>
      </c>
      <c r="AL38" s="80">
        <f t="shared" si="6"/>
        <v>0.668034450386923</v>
      </c>
      <c r="AM38" s="80">
        <f t="shared" si="6"/>
        <v>0.668034450386923</v>
      </c>
      <c r="AN38" s="80">
        <f t="shared" si="6"/>
        <v>0.668034450386923</v>
      </c>
      <c r="AO38" s="80">
        <f t="shared" si="6"/>
        <v>0.668034450386923</v>
      </c>
      <c r="AP38" s="80">
        <f t="shared" si="6"/>
        <v>0.668034450386923</v>
      </c>
      <c r="AQ38" s="45">
        <f t="shared" si="6"/>
        <v>0.668034450386923</v>
      </c>
    </row>
    <row r="39" spans="6:43" x14ac:dyDescent="0.3">
      <c r="F39" s="94"/>
      <c r="G39" s="90">
        <v>7</v>
      </c>
      <c r="H39" s="54">
        <f>NORMSDIST(NORMSINV(H16)-$E$16)/H16</f>
        <v>0.66775994328602017</v>
      </c>
      <c r="I39" s="80">
        <f t="shared" ref="I39:AQ39" si="7">NORMSDIST(NORMSINV(I16)-$E$16)/I16</f>
        <v>0.66795244812108923</v>
      </c>
      <c r="J39" s="80">
        <f t="shared" si="7"/>
        <v>0.66746657702289003</v>
      </c>
      <c r="K39" s="80">
        <f t="shared" si="7"/>
        <v>0.66785645766605928</v>
      </c>
      <c r="L39" s="80">
        <f t="shared" si="7"/>
        <v>0.66736727680595553</v>
      </c>
      <c r="M39" s="80">
        <f t="shared" si="7"/>
        <v>0.66726709578377008</v>
      </c>
      <c r="N39" s="80">
        <f t="shared" si="7"/>
        <v>0.66726709578377008</v>
      </c>
      <c r="O39" s="80">
        <f t="shared" si="7"/>
        <v>0.6675650728968161</v>
      </c>
      <c r="P39" s="80">
        <f t="shared" si="7"/>
        <v>0.66696045062559084</v>
      </c>
      <c r="Q39" s="80">
        <f t="shared" si="7"/>
        <v>0.6675650728968161</v>
      </c>
      <c r="R39" s="80">
        <f t="shared" si="7"/>
        <v>0.6671659541684144</v>
      </c>
      <c r="S39" s="80">
        <f t="shared" si="7"/>
        <v>0.66746657702289003</v>
      </c>
      <c r="T39" s="80">
        <f t="shared" si="7"/>
        <v>0.6671659541684144</v>
      </c>
      <c r="U39" s="80">
        <f t="shared" si="7"/>
        <v>0.66706376839491965</v>
      </c>
      <c r="V39" s="80">
        <f t="shared" si="7"/>
        <v>0.66775994328602017</v>
      </c>
      <c r="W39" s="80">
        <f t="shared" si="7"/>
        <v>0.66746657702289003</v>
      </c>
      <c r="X39" s="80">
        <f t="shared" si="7"/>
        <v>0.66706376839491965</v>
      </c>
      <c r="Y39" s="80">
        <f t="shared" si="7"/>
        <v>0.66795244812108923</v>
      </c>
      <c r="Z39" s="80">
        <f t="shared" si="7"/>
        <v>0.66726709578377008</v>
      </c>
      <c r="AA39" s="80">
        <f t="shared" si="7"/>
        <v>0.66795244812108923</v>
      </c>
      <c r="AB39" s="80">
        <f t="shared" si="7"/>
        <v>0.66795244812108923</v>
      </c>
      <c r="AC39" s="80">
        <f t="shared" si="7"/>
        <v>0.66795244812108923</v>
      </c>
      <c r="AD39" s="80">
        <f t="shared" si="7"/>
        <v>0.66795244812108923</v>
      </c>
      <c r="AE39" s="80">
        <f t="shared" si="7"/>
        <v>0.66795244812108923</v>
      </c>
      <c r="AF39" s="80">
        <f t="shared" si="7"/>
        <v>0.66795244812108923</v>
      </c>
      <c r="AG39" s="80">
        <f t="shared" si="7"/>
        <v>0.66795244812108923</v>
      </c>
      <c r="AH39" s="80">
        <f t="shared" si="7"/>
        <v>0.66795244812108923</v>
      </c>
      <c r="AI39" s="80">
        <f t="shared" si="7"/>
        <v>0.66795244812108923</v>
      </c>
      <c r="AJ39" s="80">
        <f t="shared" si="7"/>
        <v>0.66795244812108923</v>
      </c>
      <c r="AK39" s="80">
        <f t="shared" si="7"/>
        <v>0.66795244812108923</v>
      </c>
      <c r="AL39" s="80">
        <f t="shared" si="7"/>
        <v>0.66795244812108923</v>
      </c>
      <c r="AM39" s="80">
        <f t="shared" si="7"/>
        <v>0.66795244812108923</v>
      </c>
      <c r="AN39" s="80">
        <f t="shared" si="7"/>
        <v>0.66795244812108923</v>
      </c>
      <c r="AO39" s="80">
        <f t="shared" si="7"/>
        <v>0.66795244812108923</v>
      </c>
      <c r="AP39" s="80">
        <f t="shared" si="7"/>
        <v>0.66795244812108923</v>
      </c>
      <c r="AQ39" s="45">
        <f t="shared" si="7"/>
        <v>0.66795244812108923</v>
      </c>
    </row>
    <row r="40" spans="6:43" x14ac:dyDescent="0.3">
      <c r="F40" s="94"/>
      <c r="G40" s="90">
        <v>8</v>
      </c>
      <c r="H40" s="54">
        <f>NORMSDIST(NORMSINV(H17)-$E$17)/H17</f>
        <v>0.66761179507899482</v>
      </c>
      <c r="I40" s="80">
        <f t="shared" ref="I40:AQ40" si="8">NORMSDIST(NORMSINV(I17)-$E$17)/I17</f>
        <v>0.66784192214423621</v>
      </c>
      <c r="J40" s="80">
        <f t="shared" si="8"/>
        <v>0.66726117634163373</v>
      </c>
      <c r="K40" s="80">
        <f t="shared" si="8"/>
        <v>0.6677271664574207</v>
      </c>
      <c r="L40" s="80">
        <f t="shared" si="8"/>
        <v>0.66714251927830337</v>
      </c>
      <c r="M40" s="80">
        <f t="shared" si="8"/>
        <v>0.66702282111296041</v>
      </c>
      <c r="N40" s="80">
        <f t="shared" si="8"/>
        <v>0.66702282111296041</v>
      </c>
      <c r="O40" s="80">
        <f t="shared" si="8"/>
        <v>0.66737888339564133</v>
      </c>
      <c r="P40" s="80">
        <f t="shared" si="8"/>
        <v>0.66665650676366828</v>
      </c>
      <c r="Q40" s="80">
        <f t="shared" si="8"/>
        <v>0.66737888339564133</v>
      </c>
      <c r="R40" s="80">
        <f t="shared" si="8"/>
        <v>0.66690198681672608</v>
      </c>
      <c r="S40" s="80">
        <f t="shared" si="8"/>
        <v>0.66726117634163373</v>
      </c>
      <c r="T40" s="80">
        <f t="shared" si="8"/>
        <v>0.66690198681672608</v>
      </c>
      <c r="U40" s="80">
        <f t="shared" si="8"/>
        <v>0.6667799168880767</v>
      </c>
      <c r="V40" s="80">
        <f t="shared" si="8"/>
        <v>0.66761179507899482</v>
      </c>
      <c r="W40" s="80">
        <f t="shared" si="8"/>
        <v>0.66726117634163373</v>
      </c>
      <c r="X40" s="80">
        <f t="shared" si="8"/>
        <v>0.6667799168880767</v>
      </c>
      <c r="Y40" s="80">
        <f t="shared" si="8"/>
        <v>0.66784192214423621</v>
      </c>
      <c r="Z40" s="80">
        <f t="shared" si="8"/>
        <v>0.66702282111296041</v>
      </c>
      <c r="AA40" s="80">
        <f t="shared" si="8"/>
        <v>0.66784192214423621</v>
      </c>
      <c r="AB40" s="80">
        <f t="shared" si="8"/>
        <v>0.66784192214423621</v>
      </c>
      <c r="AC40" s="80">
        <f t="shared" si="8"/>
        <v>0.66784192214423621</v>
      </c>
      <c r="AD40" s="80">
        <f t="shared" si="8"/>
        <v>0.66784192214423621</v>
      </c>
      <c r="AE40" s="80">
        <f t="shared" si="8"/>
        <v>0.66784192214423621</v>
      </c>
      <c r="AF40" s="80">
        <f t="shared" si="8"/>
        <v>0.66784192214423621</v>
      </c>
      <c r="AG40" s="80">
        <f t="shared" si="8"/>
        <v>0.66784192214423621</v>
      </c>
      <c r="AH40" s="80">
        <f t="shared" si="8"/>
        <v>0.66784192214423621</v>
      </c>
      <c r="AI40" s="80">
        <f t="shared" si="8"/>
        <v>0.66784192214423621</v>
      </c>
      <c r="AJ40" s="80">
        <f t="shared" si="8"/>
        <v>0.66784192214423621</v>
      </c>
      <c r="AK40" s="80">
        <f t="shared" si="8"/>
        <v>0.66784192214423621</v>
      </c>
      <c r="AL40" s="80">
        <f t="shared" si="8"/>
        <v>0.66784192214423621</v>
      </c>
      <c r="AM40" s="80">
        <f t="shared" si="8"/>
        <v>0.66784192214423621</v>
      </c>
      <c r="AN40" s="80">
        <f t="shared" si="8"/>
        <v>0.66784192214423621</v>
      </c>
      <c r="AO40" s="80">
        <f t="shared" si="8"/>
        <v>0.66784192214423621</v>
      </c>
      <c r="AP40" s="80">
        <f t="shared" si="8"/>
        <v>0.66784192214423621</v>
      </c>
      <c r="AQ40" s="45">
        <f t="shared" si="8"/>
        <v>0.66784192214423621</v>
      </c>
    </row>
    <row r="41" spans="6:43" x14ac:dyDescent="0.3">
      <c r="F41" s="94"/>
      <c r="G41" s="90">
        <v>9</v>
      </c>
      <c r="H41" s="54">
        <f>NORMSDIST(NORMSINV(H18)-$E$18)/H18</f>
        <v>0.66756671534692458</v>
      </c>
      <c r="I41" s="80">
        <f t="shared" ref="I41:AQ41" si="9">NORMSDIST(NORMSINV(I18)-$E$18)/I18</f>
        <v>0.66780831038649702</v>
      </c>
      <c r="J41" s="80">
        <f t="shared" si="9"/>
        <v>0.66719865106635812</v>
      </c>
      <c r="K41" s="80">
        <f t="shared" si="9"/>
        <v>0.66768783430032941</v>
      </c>
      <c r="L41" s="80">
        <f t="shared" si="9"/>
        <v>0.6670740973930962</v>
      </c>
      <c r="M41" s="80">
        <f t="shared" si="9"/>
        <v>0.66694845463617736</v>
      </c>
      <c r="N41" s="80">
        <f t="shared" si="9"/>
        <v>0.66694845463617736</v>
      </c>
      <c r="O41" s="80">
        <f t="shared" si="9"/>
        <v>0.66732221118657453</v>
      </c>
      <c r="P41" s="80">
        <f t="shared" si="9"/>
        <v>0.66656397133768097</v>
      </c>
      <c r="Q41" s="80">
        <f t="shared" si="9"/>
        <v>0.66732221118657453</v>
      </c>
      <c r="R41" s="80">
        <f t="shared" si="9"/>
        <v>0.66682162314557603</v>
      </c>
      <c r="S41" s="80">
        <f t="shared" si="9"/>
        <v>0.66719865106635812</v>
      </c>
      <c r="T41" s="80">
        <f t="shared" si="9"/>
        <v>0.66682162314557603</v>
      </c>
      <c r="U41" s="80">
        <f t="shared" si="9"/>
        <v>0.66669349858963778</v>
      </c>
      <c r="V41" s="80">
        <f t="shared" si="9"/>
        <v>0.66756671534692458</v>
      </c>
      <c r="W41" s="80">
        <f t="shared" si="9"/>
        <v>0.66719865106635812</v>
      </c>
      <c r="X41" s="80">
        <f t="shared" si="9"/>
        <v>0.66669349858963778</v>
      </c>
      <c r="Y41" s="80">
        <f t="shared" si="9"/>
        <v>0.66780831038649702</v>
      </c>
      <c r="Z41" s="80">
        <f t="shared" si="9"/>
        <v>0.66694845463617736</v>
      </c>
      <c r="AA41" s="80">
        <f t="shared" si="9"/>
        <v>0.66780831038649702</v>
      </c>
      <c r="AB41" s="80">
        <f t="shared" si="9"/>
        <v>0.66780831038649702</v>
      </c>
      <c r="AC41" s="80">
        <f t="shared" si="9"/>
        <v>0.66780831038649702</v>
      </c>
      <c r="AD41" s="80">
        <f t="shared" si="9"/>
        <v>0.66780831038649702</v>
      </c>
      <c r="AE41" s="80">
        <f t="shared" si="9"/>
        <v>0.66780831038649702</v>
      </c>
      <c r="AF41" s="80">
        <f t="shared" si="9"/>
        <v>0.66780831038649702</v>
      </c>
      <c r="AG41" s="80">
        <f t="shared" si="9"/>
        <v>0.66780831038649702</v>
      </c>
      <c r="AH41" s="80">
        <f t="shared" si="9"/>
        <v>0.66780831038649702</v>
      </c>
      <c r="AI41" s="80">
        <f t="shared" si="9"/>
        <v>0.66780831038649702</v>
      </c>
      <c r="AJ41" s="80">
        <f t="shared" si="9"/>
        <v>0.66780831038649702</v>
      </c>
      <c r="AK41" s="80">
        <f t="shared" si="9"/>
        <v>0.66780831038649702</v>
      </c>
      <c r="AL41" s="80">
        <f t="shared" si="9"/>
        <v>0.66780831038649702</v>
      </c>
      <c r="AM41" s="80">
        <f t="shared" si="9"/>
        <v>0.66780831038649702</v>
      </c>
      <c r="AN41" s="80">
        <f t="shared" si="9"/>
        <v>0.66780831038649702</v>
      </c>
      <c r="AO41" s="80">
        <f t="shared" si="9"/>
        <v>0.66780831038649702</v>
      </c>
      <c r="AP41" s="80">
        <f t="shared" si="9"/>
        <v>0.66780831038649702</v>
      </c>
      <c r="AQ41" s="45">
        <f t="shared" si="9"/>
        <v>0.66780831038649702</v>
      </c>
    </row>
    <row r="42" spans="6:43" x14ac:dyDescent="0.3">
      <c r="F42" s="94"/>
      <c r="G42" s="90">
        <v>10</v>
      </c>
      <c r="H42" s="54">
        <f>NORMSDIST(NORMSINV(H19)-$E$19)/H19</f>
        <v>0.66738912164445074</v>
      </c>
      <c r="I42" s="80">
        <f t="shared" ref="I42:AQ42" si="10">NORMSDIST(NORMSINV(I19)-$E$19)/I19</f>
        <v>0.66767602315124486</v>
      </c>
      <c r="J42" s="80">
        <f t="shared" si="10"/>
        <v>0.66695216639649058</v>
      </c>
      <c r="K42" s="80">
        <f t="shared" si="10"/>
        <v>0.6675329454845792</v>
      </c>
      <c r="L42" s="80">
        <f t="shared" si="10"/>
        <v>0.66680433595782451</v>
      </c>
      <c r="M42" s="80">
        <f t="shared" si="10"/>
        <v>0.66665523133680327</v>
      </c>
      <c r="N42" s="80">
        <f t="shared" si="10"/>
        <v>0.66665523133680327</v>
      </c>
      <c r="O42" s="80">
        <f t="shared" si="10"/>
        <v>0.66709883560965766</v>
      </c>
      <c r="P42" s="80">
        <f t="shared" si="10"/>
        <v>0.66619906633409753</v>
      </c>
      <c r="Q42" s="80">
        <f t="shared" si="10"/>
        <v>0.66709883560965766</v>
      </c>
      <c r="R42" s="80">
        <f t="shared" si="10"/>
        <v>0.66650473474759542</v>
      </c>
      <c r="S42" s="80">
        <f t="shared" si="10"/>
        <v>0.66695216639649058</v>
      </c>
      <c r="T42" s="80">
        <f t="shared" si="10"/>
        <v>0.66650473474759542</v>
      </c>
      <c r="U42" s="80">
        <f t="shared" si="10"/>
        <v>0.66635272291245373</v>
      </c>
      <c r="V42" s="80">
        <f t="shared" si="10"/>
        <v>0.66738912164445074</v>
      </c>
      <c r="W42" s="80">
        <f t="shared" si="10"/>
        <v>0.66695216639649058</v>
      </c>
      <c r="X42" s="80">
        <f t="shared" si="10"/>
        <v>0.66635272291245373</v>
      </c>
      <c r="Y42" s="80">
        <f t="shared" si="10"/>
        <v>0.66767602315124486</v>
      </c>
      <c r="Z42" s="80">
        <f t="shared" si="10"/>
        <v>0.66665523133680327</v>
      </c>
      <c r="AA42" s="80">
        <f t="shared" si="10"/>
        <v>0.66767602315124486</v>
      </c>
      <c r="AB42" s="80">
        <f t="shared" si="10"/>
        <v>0.66767602315124486</v>
      </c>
      <c r="AC42" s="80">
        <f t="shared" si="10"/>
        <v>0.66767602315124486</v>
      </c>
      <c r="AD42" s="80">
        <f t="shared" si="10"/>
        <v>0.66767602315124486</v>
      </c>
      <c r="AE42" s="80">
        <f t="shared" si="10"/>
        <v>0.66767602315124486</v>
      </c>
      <c r="AF42" s="80">
        <f t="shared" si="10"/>
        <v>0.66767602315124486</v>
      </c>
      <c r="AG42" s="80">
        <f t="shared" si="10"/>
        <v>0.66767602315124486</v>
      </c>
      <c r="AH42" s="80">
        <f t="shared" si="10"/>
        <v>0.66767602315124486</v>
      </c>
      <c r="AI42" s="80">
        <f t="shared" si="10"/>
        <v>0.66767602315124486</v>
      </c>
      <c r="AJ42" s="80">
        <f t="shared" si="10"/>
        <v>0.66767602315124486</v>
      </c>
      <c r="AK42" s="80">
        <f t="shared" si="10"/>
        <v>0.66767602315124486</v>
      </c>
      <c r="AL42" s="80">
        <f t="shared" si="10"/>
        <v>0.66767602315124486</v>
      </c>
      <c r="AM42" s="80">
        <f t="shared" si="10"/>
        <v>0.66767602315124486</v>
      </c>
      <c r="AN42" s="80">
        <f t="shared" si="10"/>
        <v>0.66767602315124486</v>
      </c>
      <c r="AO42" s="80">
        <f t="shared" si="10"/>
        <v>0.66767602315124486</v>
      </c>
      <c r="AP42" s="80">
        <f t="shared" si="10"/>
        <v>0.66767602315124486</v>
      </c>
      <c r="AQ42" s="45">
        <f t="shared" si="10"/>
        <v>0.66767602315124486</v>
      </c>
    </row>
    <row r="43" spans="6:43" x14ac:dyDescent="0.3">
      <c r="F43" s="94"/>
      <c r="G43" s="90">
        <v>11</v>
      </c>
      <c r="H43" s="54">
        <f>NORMSDIST(NORMSINV(H20)-$E$20)/H20</f>
        <v>0.66718729671830279</v>
      </c>
      <c r="I43" s="80">
        <f t="shared" ref="I43:AQ43" si="11">NORMSDIST(NORMSINV(I20)-$E$20)/I20</f>
        <v>0.66752601167469283</v>
      </c>
      <c r="J43" s="80">
        <f t="shared" si="11"/>
        <v>0.66667162418406212</v>
      </c>
      <c r="K43" s="80">
        <f t="shared" si="11"/>
        <v>0.66735708191379239</v>
      </c>
      <c r="L43" s="80">
        <f t="shared" si="11"/>
        <v>0.66649721532394468</v>
      </c>
      <c r="M43" s="80">
        <f t="shared" si="11"/>
        <v>0.66632133032391061</v>
      </c>
      <c r="N43" s="80">
        <f t="shared" si="11"/>
        <v>0.66632133032391061</v>
      </c>
      <c r="O43" s="80">
        <f t="shared" si="11"/>
        <v>0.66684468956651477</v>
      </c>
      <c r="P43" s="80">
        <f t="shared" si="11"/>
        <v>0.66578340298629346</v>
      </c>
      <c r="Q43" s="80">
        <f t="shared" si="11"/>
        <v>0.66684468956651477</v>
      </c>
      <c r="R43" s="80">
        <f t="shared" si="11"/>
        <v>0.66614383091204954</v>
      </c>
      <c r="S43" s="80">
        <f t="shared" si="11"/>
        <v>0.66667162418406212</v>
      </c>
      <c r="T43" s="80">
        <f t="shared" si="11"/>
        <v>0.66614383091204954</v>
      </c>
      <c r="U43" s="80">
        <f t="shared" si="11"/>
        <v>0.66596457243090756</v>
      </c>
      <c r="V43" s="80">
        <f t="shared" si="11"/>
        <v>0.66718729671830279</v>
      </c>
      <c r="W43" s="80">
        <f t="shared" si="11"/>
        <v>0.66667162418406212</v>
      </c>
      <c r="X43" s="80">
        <f t="shared" si="11"/>
        <v>0.66596457243090756</v>
      </c>
      <c r="Y43" s="80">
        <f t="shared" si="11"/>
        <v>0.66752601167469283</v>
      </c>
      <c r="Z43" s="80">
        <f t="shared" si="11"/>
        <v>0.66632133032391061</v>
      </c>
      <c r="AA43" s="80">
        <f t="shared" si="11"/>
        <v>0.66752601167469283</v>
      </c>
      <c r="AB43" s="80">
        <f t="shared" si="11"/>
        <v>0.66752601167469283</v>
      </c>
      <c r="AC43" s="80">
        <f t="shared" si="11"/>
        <v>0.66752601167469283</v>
      </c>
      <c r="AD43" s="80">
        <f t="shared" si="11"/>
        <v>0.66752601167469283</v>
      </c>
      <c r="AE43" s="80">
        <f t="shared" si="11"/>
        <v>0.66752601167469283</v>
      </c>
      <c r="AF43" s="80">
        <f t="shared" si="11"/>
        <v>0.66752601167469283</v>
      </c>
      <c r="AG43" s="80">
        <f t="shared" si="11"/>
        <v>0.66752601167469283</v>
      </c>
      <c r="AH43" s="80">
        <f t="shared" si="11"/>
        <v>0.66752601167469283</v>
      </c>
      <c r="AI43" s="80">
        <f t="shared" si="11"/>
        <v>0.66752601167469283</v>
      </c>
      <c r="AJ43" s="80">
        <f t="shared" si="11"/>
        <v>0.66752601167469283</v>
      </c>
      <c r="AK43" s="80">
        <f t="shared" si="11"/>
        <v>0.66752601167469283</v>
      </c>
      <c r="AL43" s="80">
        <f t="shared" si="11"/>
        <v>0.66752601167469283</v>
      </c>
      <c r="AM43" s="80">
        <f t="shared" si="11"/>
        <v>0.66752601167469283</v>
      </c>
      <c r="AN43" s="80">
        <f t="shared" si="11"/>
        <v>0.66752601167469283</v>
      </c>
      <c r="AO43" s="80">
        <f t="shared" si="11"/>
        <v>0.66752601167469283</v>
      </c>
      <c r="AP43" s="80">
        <f t="shared" si="11"/>
        <v>0.66752601167469283</v>
      </c>
      <c r="AQ43" s="45">
        <f t="shared" si="11"/>
        <v>0.66752601167469283</v>
      </c>
    </row>
    <row r="44" spans="6:43" x14ac:dyDescent="0.3">
      <c r="F44" s="94"/>
      <c r="G44" s="90">
        <v>12</v>
      </c>
      <c r="H44" s="54">
        <f>NORMSDIST(NORMSINV(H21)-$E$21)/H21</f>
        <v>0.66695408505687459</v>
      </c>
      <c r="I44" s="80">
        <f t="shared" ref="I44:AQ44" si="12">NORMSDIST(NORMSINV(I21)-$E$21)/I21</f>
        <v>0.66735321646112855</v>
      </c>
      <c r="J44" s="80">
        <f t="shared" si="12"/>
        <v>0.66634672886393098</v>
      </c>
      <c r="K44" s="80">
        <f t="shared" si="12"/>
        <v>0.66715413538435075</v>
      </c>
      <c r="L44" s="80">
        <f t="shared" si="12"/>
        <v>0.66614139167480302</v>
      </c>
      <c r="M44" s="80">
        <f t="shared" si="12"/>
        <v>0.6659343576332154</v>
      </c>
      <c r="N44" s="80">
        <f t="shared" si="12"/>
        <v>0.6659343576332154</v>
      </c>
      <c r="O44" s="80">
        <f t="shared" si="12"/>
        <v>0.66655052451934127</v>
      </c>
      <c r="P44" s="80">
        <f t="shared" si="12"/>
        <v>0.66530141858329617</v>
      </c>
      <c r="Q44" s="80">
        <f t="shared" si="12"/>
        <v>0.66655052451934127</v>
      </c>
      <c r="R44" s="80">
        <f t="shared" si="12"/>
        <v>0.66572546494648299</v>
      </c>
      <c r="S44" s="80">
        <f t="shared" si="12"/>
        <v>0.66634672886393098</v>
      </c>
      <c r="T44" s="80">
        <f t="shared" si="12"/>
        <v>0.66572546494648299</v>
      </c>
      <c r="U44" s="80">
        <f t="shared" si="12"/>
        <v>0.66551454444352787</v>
      </c>
      <c r="V44" s="80">
        <f t="shared" si="12"/>
        <v>0.66695408505687459</v>
      </c>
      <c r="W44" s="80">
        <f t="shared" si="12"/>
        <v>0.66634672886393098</v>
      </c>
      <c r="X44" s="80">
        <f t="shared" si="12"/>
        <v>0.66551454444352787</v>
      </c>
      <c r="Y44" s="80">
        <f t="shared" si="12"/>
        <v>0.66735321646112855</v>
      </c>
      <c r="Z44" s="80">
        <f t="shared" si="12"/>
        <v>0.6659343576332154</v>
      </c>
      <c r="AA44" s="80">
        <f t="shared" si="12"/>
        <v>0.66735321646112855</v>
      </c>
      <c r="AB44" s="80">
        <f t="shared" si="12"/>
        <v>0.66735321646112855</v>
      </c>
      <c r="AC44" s="80">
        <f t="shared" si="12"/>
        <v>0.66735321646112855</v>
      </c>
      <c r="AD44" s="80">
        <f t="shared" si="12"/>
        <v>0.66735321646112855</v>
      </c>
      <c r="AE44" s="80">
        <f t="shared" si="12"/>
        <v>0.66735321646112855</v>
      </c>
      <c r="AF44" s="80">
        <f t="shared" si="12"/>
        <v>0.66735321646112855</v>
      </c>
      <c r="AG44" s="80">
        <f t="shared" si="12"/>
        <v>0.66735321646112855</v>
      </c>
      <c r="AH44" s="80">
        <f t="shared" si="12"/>
        <v>0.66735321646112855</v>
      </c>
      <c r="AI44" s="80">
        <f t="shared" si="12"/>
        <v>0.66735321646112855</v>
      </c>
      <c r="AJ44" s="80">
        <f t="shared" si="12"/>
        <v>0.66735321646112855</v>
      </c>
      <c r="AK44" s="80">
        <f t="shared" si="12"/>
        <v>0.66735321646112855</v>
      </c>
      <c r="AL44" s="80">
        <f t="shared" si="12"/>
        <v>0.66735321646112855</v>
      </c>
      <c r="AM44" s="80">
        <f t="shared" si="12"/>
        <v>0.66735321646112855</v>
      </c>
      <c r="AN44" s="80">
        <f t="shared" si="12"/>
        <v>0.66735321646112855</v>
      </c>
      <c r="AO44" s="80">
        <f t="shared" si="12"/>
        <v>0.66735321646112855</v>
      </c>
      <c r="AP44" s="80">
        <f t="shared" si="12"/>
        <v>0.66735321646112855</v>
      </c>
      <c r="AQ44" s="45">
        <f t="shared" si="12"/>
        <v>0.66735321646112855</v>
      </c>
    </row>
    <row r="45" spans="6:43" x14ac:dyDescent="0.3">
      <c r="F45" s="94"/>
      <c r="G45" s="90">
        <v>13</v>
      </c>
      <c r="H45" s="54">
        <f>NORMSDIST(NORMSINV(H22)-$E$22)/H22</f>
        <v>0.66670978140001491</v>
      </c>
      <c r="I45" s="80">
        <f t="shared" ref="I45:AQ45" si="13">NORMSDIST(NORMSINV(I22)-$E$22)/I22</f>
        <v>0.66717290847010069</v>
      </c>
      <c r="J45" s="80">
        <f t="shared" si="13"/>
        <v>0.66600544378808546</v>
      </c>
      <c r="K45" s="80">
        <f t="shared" si="13"/>
        <v>0.66694188105452046</v>
      </c>
      <c r="L45" s="80">
        <f t="shared" si="13"/>
        <v>0.66576742733975947</v>
      </c>
      <c r="M45" s="80">
        <f t="shared" si="13"/>
        <v>0.66552749921294652</v>
      </c>
      <c r="N45" s="80">
        <f t="shared" si="13"/>
        <v>0.66552749921294652</v>
      </c>
      <c r="O45" s="80">
        <f t="shared" si="13"/>
        <v>0.66624172749256549</v>
      </c>
      <c r="P45" s="80">
        <f t="shared" si="13"/>
        <v>0.66479433912270314</v>
      </c>
      <c r="Q45" s="80">
        <f t="shared" si="13"/>
        <v>0.66624172749256549</v>
      </c>
      <c r="R45" s="80">
        <f t="shared" si="13"/>
        <v>0.66528547314149666</v>
      </c>
      <c r="S45" s="80">
        <f t="shared" si="13"/>
        <v>0.66600544378808546</v>
      </c>
      <c r="T45" s="80">
        <f t="shared" si="13"/>
        <v>0.66528547314149666</v>
      </c>
      <c r="U45" s="80">
        <f t="shared" si="13"/>
        <v>0.6650411544909437</v>
      </c>
      <c r="V45" s="80">
        <f t="shared" si="13"/>
        <v>0.66670978140001491</v>
      </c>
      <c r="W45" s="80">
        <f t="shared" si="13"/>
        <v>0.66600544378808546</v>
      </c>
      <c r="X45" s="80">
        <f t="shared" si="13"/>
        <v>0.6650411544909437</v>
      </c>
      <c r="Y45" s="80">
        <f t="shared" si="13"/>
        <v>0.66717290847010069</v>
      </c>
      <c r="Z45" s="80">
        <f t="shared" si="13"/>
        <v>0.66552749921294652</v>
      </c>
      <c r="AA45" s="80">
        <f t="shared" si="13"/>
        <v>0.66717290847010069</v>
      </c>
      <c r="AB45" s="80">
        <f t="shared" si="13"/>
        <v>0.66717290847010069</v>
      </c>
      <c r="AC45" s="80">
        <f t="shared" si="13"/>
        <v>0.66717290847010069</v>
      </c>
      <c r="AD45" s="80">
        <f t="shared" si="13"/>
        <v>0.66717290847010069</v>
      </c>
      <c r="AE45" s="80">
        <f t="shared" si="13"/>
        <v>0.66717290847010069</v>
      </c>
      <c r="AF45" s="80">
        <f t="shared" si="13"/>
        <v>0.66717290847010069</v>
      </c>
      <c r="AG45" s="80">
        <f t="shared" si="13"/>
        <v>0.66717290847010069</v>
      </c>
      <c r="AH45" s="80">
        <f t="shared" si="13"/>
        <v>0.66717290847010069</v>
      </c>
      <c r="AI45" s="80">
        <f t="shared" si="13"/>
        <v>0.66717290847010069</v>
      </c>
      <c r="AJ45" s="80">
        <f t="shared" si="13"/>
        <v>0.66717290847010069</v>
      </c>
      <c r="AK45" s="80">
        <f t="shared" si="13"/>
        <v>0.66717290847010069</v>
      </c>
      <c r="AL45" s="80">
        <f t="shared" si="13"/>
        <v>0.66717290847010069</v>
      </c>
      <c r="AM45" s="80">
        <f t="shared" si="13"/>
        <v>0.66717290847010069</v>
      </c>
      <c r="AN45" s="80">
        <f t="shared" si="13"/>
        <v>0.66717290847010069</v>
      </c>
      <c r="AO45" s="80">
        <f t="shared" si="13"/>
        <v>0.66717290847010069</v>
      </c>
      <c r="AP45" s="80">
        <f t="shared" si="13"/>
        <v>0.66717290847010069</v>
      </c>
      <c r="AQ45" s="45">
        <f t="shared" si="13"/>
        <v>0.66717290847010069</v>
      </c>
    </row>
    <row r="46" spans="6:43" x14ac:dyDescent="0.3">
      <c r="F46" s="94"/>
      <c r="G46" s="90">
        <v>14</v>
      </c>
      <c r="H46" s="54">
        <f>NORMSDIST(NORMSINV(H23)-$E$23)/H23</f>
        <v>0.66632291367474128</v>
      </c>
      <c r="I46" s="80">
        <f t="shared" ref="I46:AQ46" si="14">NORMSDIST(NORMSINV(I23)-$E$23)/I23</f>
        <v>0.6668888939050166</v>
      </c>
      <c r="J46" s="80">
        <f t="shared" si="14"/>
        <v>0.66546301961608245</v>
      </c>
      <c r="K46" s="80">
        <f t="shared" si="14"/>
        <v>0.66660650218479889</v>
      </c>
      <c r="L46" s="80">
        <f t="shared" si="14"/>
        <v>0.66517267012909032</v>
      </c>
      <c r="M46" s="80">
        <f t="shared" si="14"/>
        <v>0.66488010742715709</v>
      </c>
      <c r="N46" s="80">
        <f t="shared" si="14"/>
        <v>0.66488010742715709</v>
      </c>
      <c r="O46" s="80">
        <f t="shared" si="14"/>
        <v>0.66575137198881429</v>
      </c>
      <c r="P46" s="80">
        <f t="shared" si="14"/>
        <v>0.66398684276930187</v>
      </c>
      <c r="Q46" s="80">
        <f t="shared" si="14"/>
        <v>0.66575137198881429</v>
      </c>
      <c r="R46" s="80">
        <f t="shared" si="14"/>
        <v>0.6645851068302745</v>
      </c>
      <c r="S46" s="80">
        <f t="shared" si="14"/>
        <v>0.66546301961608245</v>
      </c>
      <c r="T46" s="80">
        <f t="shared" si="14"/>
        <v>0.6645851068302745</v>
      </c>
      <c r="U46" s="80">
        <f t="shared" si="14"/>
        <v>0.66428743383759048</v>
      </c>
      <c r="V46" s="80">
        <f t="shared" si="14"/>
        <v>0.66632291367474128</v>
      </c>
      <c r="W46" s="80">
        <f t="shared" si="14"/>
        <v>0.66546301961608245</v>
      </c>
      <c r="X46" s="80">
        <f t="shared" si="14"/>
        <v>0.66428743383759048</v>
      </c>
      <c r="Y46" s="80">
        <f t="shared" si="14"/>
        <v>0.6668888939050166</v>
      </c>
      <c r="Z46" s="80">
        <f t="shared" si="14"/>
        <v>0.66488010742715709</v>
      </c>
      <c r="AA46" s="80">
        <f t="shared" si="14"/>
        <v>0.6668888939050166</v>
      </c>
      <c r="AB46" s="80">
        <f t="shared" si="14"/>
        <v>0.6668888939050166</v>
      </c>
      <c r="AC46" s="80">
        <f t="shared" si="14"/>
        <v>0.6668888939050166</v>
      </c>
      <c r="AD46" s="80">
        <f t="shared" si="14"/>
        <v>0.6668888939050166</v>
      </c>
      <c r="AE46" s="80">
        <f t="shared" si="14"/>
        <v>0.6668888939050166</v>
      </c>
      <c r="AF46" s="80">
        <f t="shared" si="14"/>
        <v>0.6668888939050166</v>
      </c>
      <c r="AG46" s="80">
        <f t="shared" si="14"/>
        <v>0.6668888939050166</v>
      </c>
      <c r="AH46" s="80">
        <f t="shared" si="14"/>
        <v>0.6668888939050166</v>
      </c>
      <c r="AI46" s="80">
        <f t="shared" si="14"/>
        <v>0.6668888939050166</v>
      </c>
      <c r="AJ46" s="80">
        <f t="shared" si="14"/>
        <v>0.6668888939050166</v>
      </c>
      <c r="AK46" s="80">
        <f t="shared" si="14"/>
        <v>0.6668888939050166</v>
      </c>
      <c r="AL46" s="80">
        <f t="shared" si="14"/>
        <v>0.6668888939050166</v>
      </c>
      <c r="AM46" s="80">
        <f t="shared" si="14"/>
        <v>0.6668888939050166</v>
      </c>
      <c r="AN46" s="80">
        <f t="shared" si="14"/>
        <v>0.6668888939050166</v>
      </c>
      <c r="AO46" s="80">
        <f t="shared" si="14"/>
        <v>0.6668888939050166</v>
      </c>
      <c r="AP46" s="80">
        <f t="shared" si="14"/>
        <v>0.6668888939050166</v>
      </c>
      <c r="AQ46" s="45">
        <f t="shared" si="14"/>
        <v>0.6668888939050166</v>
      </c>
    </row>
    <row r="47" spans="6:43" x14ac:dyDescent="0.3">
      <c r="F47" s="94"/>
      <c r="G47" s="90">
        <v>15</v>
      </c>
      <c r="H47" s="54">
        <f>NORMSDIST(NORMSINV(H24)-$E$24)/H24</f>
        <v>0.66555637742990303</v>
      </c>
      <c r="I47" s="80">
        <f t="shared" ref="I47:AQ47" si="15">NORMSDIST(NORMSINV(I24)-$E$24)/I24</f>
        <v>0.66633109187207873</v>
      </c>
      <c r="J47" s="80">
        <f t="shared" si="15"/>
        <v>0.66438205676222273</v>
      </c>
      <c r="K47" s="80">
        <f t="shared" si="15"/>
        <v>0.66594437561930264</v>
      </c>
      <c r="L47" s="80">
        <f t="shared" si="15"/>
        <v>0.66398626566227048</v>
      </c>
      <c r="M47" s="80">
        <f t="shared" si="15"/>
        <v>0.66358782471898803</v>
      </c>
      <c r="N47" s="80">
        <f t="shared" si="15"/>
        <v>0.66358782471898803</v>
      </c>
      <c r="O47" s="80">
        <f t="shared" si="15"/>
        <v>0.66477548707115941</v>
      </c>
      <c r="P47" s="80">
        <f t="shared" si="15"/>
        <v>0.66237354327635323</v>
      </c>
      <c r="Q47" s="80">
        <f t="shared" si="15"/>
        <v>0.66477548707115941</v>
      </c>
      <c r="R47" s="80">
        <f t="shared" si="15"/>
        <v>0.66318643427321278</v>
      </c>
      <c r="S47" s="80">
        <f t="shared" si="15"/>
        <v>0.66438205676222273</v>
      </c>
      <c r="T47" s="80">
        <f t="shared" si="15"/>
        <v>0.66318643427321278</v>
      </c>
      <c r="U47" s="80">
        <f t="shared" si="15"/>
        <v>0.6627817824289286</v>
      </c>
      <c r="V47" s="80">
        <f t="shared" si="15"/>
        <v>0.66555637742990303</v>
      </c>
      <c r="W47" s="80">
        <f t="shared" si="15"/>
        <v>0.66438205676222273</v>
      </c>
      <c r="X47" s="80">
        <f t="shared" si="15"/>
        <v>0.6627817824289286</v>
      </c>
      <c r="Y47" s="80">
        <f t="shared" si="15"/>
        <v>0.66633109187207873</v>
      </c>
      <c r="Z47" s="80">
        <f t="shared" si="15"/>
        <v>0.66358782471898803</v>
      </c>
      <c r="AA47" s="80">
        <f t="shared" si="15"/>
        <v>0.66633109187207873</v>
      </c>
      <c r="AB47" s="80">
        <f t="shared" si="15"/>
        <v>0.66633109187207873</v>
      </c>
      <c r="AC47" s="80">
        <f t="shared" si="15"/>
        <v>0.66633109187207873</v>
      </c>
      <c r="AD47" s="80">
        <f t="shared" si="15"/>
        <v>0.66633109187207873</v>
      </c>
      <c r="AE47" s="80">
        <f t="shared" si="15"/>
        <v>0.66633109187207873</v>
      </c>
      <c r="AF47" s="80">
        <f t="shared" si="15"/>
        <v>0.66633109187207873</v>
      </c>
      <c r="AG47" s="80">
        <f t="shared" si="15"/>
        <v>0.66633109187207873</v>
      </c>
      <c r="AH47" s="80">
        <f t="shared" si="15"/>
        <v>0.66633109187207873</v>
      </c>
      <c r="AI47" s="80">
        <f t="shared" si="15"/>
        <v>0.66633109187207873</v>
      </c>
      <c r="AJ47" s="80">
        <f t="shared" si="15"/>
        <v>0.66633109187207873</v>
      </c>
      <c r="AK47" s="80">
        <f t="shared" si="15"/>
        <v>0.66633109187207873</v>
      </c>
      <c r="AL47" s="80">
        <f t="shared" si="15"/>
        <v>0.66633109187207873</v>
      </c>
      <c r="AM47" s="80">
        <f t="shared" si="15"/>
        <v>0.66633109187207873</v>
      </c>
      <c r="AN47" s="80">
        <f t="shared" si="15"/>
        <v>0.66633109187207873</v>
      </c>
      <c r="AO47" s="80">
        <f t="shared" si="15"/>
        <v>0.66633109187207873</v>
      </c>
      <c r="AP47" s="80">
        <f t="shared" si="15"/>
        <v>0.66633109187207873</v>
      </c>
      <c r="AQ47" s="45">
        <f t="shared" si="15"/>
        <v>0.66633109187207873</v>
      </c>
    </row>
    <row r="48" spans="6:43" x14ac:dyDescent="0.3">
      <c r="F48" s="94"/>
      <c r="G48" s="90">
        <v>16</v>
      </c>
      <c r="H48" s="54">
        <f>NORMSDIST(NORMSINV(H25)-$E$25)/H25</f>
        <v>0.66365568581072876</v>
      </c>
      <c r="I48" s="80">
        <f t="shared" ref="I48:AQ48" si="16">NORMSDIST(NORMSINV(I25)-$E$25)/I25</f>
        <v>0.6649671307836188</v>
      </c>
      <c r="J48" s="80">
        <f t="shared" si="16"/>
        <v>0.66168129624147609</v>
      </c>
      <c r="K48" s="80">
        <f t="shared" si="16"/>
        <v>0.66431159250685601</v>
      </c>
      <c r="L48" s="80">
        <f t="shared" si="16"/>
        <v>0.66101942941189618</v>
      </c>
      <c r="M48" s="80">
        <f t="shared" si="16"/>
        <v>0.66035491588297945</v>
      </c>
      <c r="N48" s="80">
        <f t="shared" si="16"/>
        <v>0.66035491588297945</v>
      </c>
      <c r="O48" s="80">
        <f t="shared" si="16"/>
        <v>0.66234098822588339</v>
      </c>
      <c r="P48" s="80">
        <f t="shared" si="16"/>
        <v>0.6583405709661353</v>
      </c>
      <c r="Q48" s="80">
        <f t="shared" si="16"/>
        <v>0.66234098822588339</v>
      </c>
      <c r="R48" s="80">
        <f t="shared" si="16"/>
        <v>0.65968727112119441</v>
      </c>
      <c r="S48" s="80">
        <f t="shared" si="16"/>
        <v>0.66168129624147609</v>
      </c>
      <c r="T48" s="80">
        <f t="shared" si="16"/>
        <v>0.65968727112119441</v>
      </c>
      <c r="U48" s="80">
        <f t="shared" si="16"/>
        <v>0.65901599537900046</v>
      </c>
      <c r="V48" s="80">
        <f t="shared" si="16"/>
        <v>0.66365568581072876</v>
      </c>
      <c r="W48" s="80">
        <f t="shared" si="16"/>
        <v>0.66168129624147609</v>
      </c>
      <c r="X48" s="80">
        <f t="shared" si="16"/>
        <v>0.65901599537900046</v>
      </c>
      <c r="Y48" s="80">
        <f t="shared" si="16"/>
        <v>0.6649671307836188</v>
      </c>
      <c r="Z48" s="80">
        <f t="shared" si="16"/>
        <v>0.66035491588297945</v>
      </c>
      <c r="AA48" s="80">
        <f t="shared" si="16"/>
        <v>0.6649671307836188</v>
      </c>
      <c r="AB48" s="80">
        <f t="shared" si="16"/>
        <v>0.6649671307836188</v>
      </c>
      <c r="AC48" s="80">
        <f t="shared" si="16"/>
        <v>0.6649671307836188</v>
      </c>
      <c r="AD48" s="80">
        <f t="shared" si="16"/>
        <v>0.6649671307836188</v>
      </c>
      <c r="AE48" s="80">
        <f t="shared" si="16"/>
        <v>0.6649671307836188</v>
      </c>
      <c r="AF48" s="80">
        <f t="shared" si="16"/>
        <v>0.6649671307836188</v>
      </c>
      <c r="AG48" s="80">
        <f t="shared" si="16"/>
        <v>0.6649671307836188</v>
      </c>
      <c r="AH48" s="80">
        <f t="shared" si="16"/>
        <v>0.6649671307836188</v>
      </c>
      <c r="AI48" s="80">
        <f t="shared" si="16"/>
        <v>0.6649671307836188</v>
      </c>
      <c r="AJ48" s="80">
        <f t="shared" si="16"/>
        <v>0.6649671307836188</v>
      </c>
      <c r="AK48" s="80">
        <f t="shared" si="16"/>
        <v>0.6649671307836188</v>
      </c>
      <c r="AL48" s="80">
        <f t="shared" si="16"/>
        <v>0.6649671307836188</v>
      </c>
      <c r="AM48" s="80">
        <f t="shared" si="16"/>
        <v>0.6649671307836188</v>
      </c>
      <c r="AN48" s="80">
        <f t="shared" si="16"/>
        <v>0.6649671307836188</v>
      </c>
      <c r="AO48" s="80">
        <f t="shared" si="16"/>
        <v>0.6649671307836188</v>
      </c>
      <c r="AP48" s="80">
        <f t="shared" si="16"/>
        <v>0.6649671307836188</v>
      </c>
      <c r="AQ48" s="45">
        <f t="shared" si="16"/>
        <v>0.6649671307836188</v>
      </c>
    </row>
    <row r="49" spans="6:43" ht="15" thickBot="1" x14ac:dyDescent="0.35">
      <c r="F49" s="95"/>
      <c r="G49" s="91">
        <v>17</v>
      </c>
      <c r="H49" s="55">
        <f>NORMSDIST(NORMSINV(H26)-$E$26)/H26</f>
        <v>0.65800331677071211</v>
      </c>
      <c r="I49" s="81">
        <f t="shared" ref="I49:AQ49" si="17">NORMSDIST(NORMSINV(I26)-$E$26)/I26</f>
        <v>0.66095772804119968</v>
      </c>
      <c r="J49" s="81">
        <f t="shared" si="17"/>
        <v>0.65366118747724189</v>
      </c>
      <c r="K49" s="81">
        <f t="shared" si="17"/>
        <v>0.6594736140391485</v>
      </c>
      <c r="L49" s="81">
        <f t="shared" si="17"/>
        <v>0.65223223795252627</v>
      </c>
      <c r="M49" s="81">
        <f t="shared" si="17"/>
        <v>0.65081033677793532</v>
      </c>
      <c r="N49" s="81">
        <f t="shared" si="17"/>
        <v>0.65081033677793532</v>
      </c>
      <c r="O49" s="81">
        <f t="shared" si="17"/>
        <v>0.65509847031570079</v>
      </c>
      <c r="P49" s="81">
        <f t="shared" si="17"/>
        <v>0.6465743239049907</v>
      </c>
      <c r="Q49" s="81">
        <f t="shared" si="17"/>
        <v>0.65509847031570079</v>
      </c>
      <c r="R49" s="81">
        <f t="shared" si="17"/>
        <v>0.64939421848728773</v>
      </c>
      <c r="S49" s="81">
        <f t="shared" si="17"/>
        <v>0.65366118747724189</v>
      </c>
      <c r="T49" s="81">
        <f t="shared" si="17"/>
        <v>0.64939421848728773</v>
      </c>
      <c r="U49" s="81">
        <f t="shared" si="17"/>
        <v>0.64798263005715251</v>
      </c>
      <c r="V49" s="81">
        <f t="shared" si="17"/>
        <v>0.65800331677071211</v>
      </c>
      <c r="W49" s="81">
        <f t="shared" si="17"/>
        <v>0.65366118747724189</v>
      </c>
      <c r="X49" s="81">
        <f t="shared" si="17"/>
        <v>0.64798263005715251</v>
      </c>
      <c r="Y49" s="81">
        <f t="shared" si="17"/>
        <v>0.66095772804119968</v>
      </c>
      <c r="Z49" s="81">
        <f t="shared" si="17"/>
        <v>0.65081033677793532</v>
      </c>
      <c r="AA49" s="81">
        <f t="shared" si="17"/>
        <v>0.66095772804119968</v>
      </c>
      <c r="AB49" s="81">
        <f t="shared" si="17"/>
        <v>0.66095772804119968</v>
      </c>
      <c r="AC49" s="81">
        <f t="shared" si="17"/>
        <v>0.66095772804119968</v>
      </c>
      <c r="AD49" s="81">
        <f t="shared" si="17"/>
        <v>0.66095772804119968</v>
      </c>
      <c r="AE49" s="81">
        <f t="shared" si="17"/>
        <v>0.66095772804119968</v>
      </c>
      <c r="AF49" s="81">
        <f t="shared" si="17"/>
        <v>0.66095772804119968</v>
      </c>
      <c r="AG49" s="81">
        <f t="shared" si="17"/>
        <v>0.66095772804119968</v>
      </c>
      <c r="AH49" s="81">
        <f t="shared" si="17"/>
        <v>0.66095772804119968</v>
      </c>
      <c r="AI49" s="81">
        <f t="shared" si="17"/>
        <v>0.66095772804119968</v>
      </c>
      <c r="AJ49" s="81">
        <f t="shared" si="17"/>
        <v>0.66095772804119968</v>
      </c>
      <c r="AK49" s="81">
        <f t="shared" si="17"/>
        <v>0.66095772804119968</v>
      </c>
      <c r="AL49" s="81">
        <f t="shared" si="17"/>
        <v>0.66095772804119968</v>
      </c>
      <c r="AM49" s="81">
        <f t="shared" si="17"/>
        <v>0.66095772804119968</v>
      </c>
      <c r="AN49" s="81">
        <f t="shared" si="17"/>
        <v>0.66095772804119968</v>
      </c>
      <c r="AO49" s="81">
        <f t="shared" si="17"/>
        <v>0.66095772804119968</v>
      </c>
      <c r="AP49" s="81">
        <f t="shared" si="17"/>
        <v>0.66095772804119968</v>
      </c>
      <c r="AQ49" s="46">
        <f t="shared" si="17"/>
        <v>0.66095772804119968</v>
      </c>
    </row>
  </sheetData>
  <mergeCells count="4">
    <mergeCell ref="C8:D8"/>
    <mergeCell ref="F33:F49"/>
    <mergeCell ref="H31:AQ31"/>
    <mergeCell ref="F31:G32"/>
  </mergeCells>
  <conditionalFormatting sqref="H33:AQ49">
    <cfRule type="cellIs" dxfId="0" priority="1" operator="greaterThan">
      <formula>0.68248</formula>
    </cfRule>
  </conditionalFormatting>
  <pageMargins left="0.75" right="0.75" top="1" bottom="1" header="0.5" footer="0.5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N126"/>
  <sheetViews>
    <sheetView topLeftCell="A84" workbookViewId="0">
      <selection activeCell="K21" sqref="K21:K126"/>
    </sheetView>
  </sheetViews>
  <sheetFormatPr defaultRowHeight="14.4" x14ac:dyDescent="0.3"/>
  <cols>
    <col min="4" max="4" width="12" bestFit="1" customWidth="1"/>
    <col min="7" max="7" width="10.77734375" bestFit="1" customWidth="1"/>
    <col min="8" max="8" width="9.44140625" bestFit="1" customWidth="1"/>
    <col min="10" max="10" width="10.44140625" bestFit="1" customWidth="1"/>
    <col min="11" max="11" width="11.88671875" bestFit="1" customWidth="1"/>
  </cols>
  <sheetData>
    <row r="3" spans="3:14" x14ac:dyDescent="0.3">
      <c r="C3" t="s">
        <v>29</v>
      </c>
      <c r="D3" s="115">
        <v>100000</v>
      </c>
    </row>
    <row r="4" spans="3:14" x14ac:dyDescent="0.3">
      <c r="C4" t="s">
        <v>30</v>
      </c>
      <c r="D4" s="52">
        <v>0.12</v>
      </c>
      <c r="E4" s="115"/>
      <c r="N4">
        <v>0.12149579119139101</v>
      </c>
    </row>
    <row r="5" spans="3:14" ht="15" thickBot="1" x14ac:dyDescent="0.35"/>
    <row r="6" spans="3:14" ht="15" thickBot="1" x14ac:dyDescent="0.35">
      <c r="C6" s="118" t="s">
        <v>31</v>
      </c>
      <c r="D6" s="119" t="s">
        <v>32</v>
      </c>
      <c r="E6" s="119" t="s">
        <v>71</v>
      </c>
      <c r="F6" s="119" t="s">
        <v>33</v>
      </c>
      <c r="G6" s="119" t="s">
        <v>34</v>
      </c>
      <c r="H6" s="119" t="s">
        <v>70</v>
      </c>
      <c r="I6" s="119" t="s">
        <v>35</v>
      </c>
      <c r="J6" s="119" t="s">
        <v>36</v>
      </c>
      <c r="K6" s="120" t="s">
        <v>37</v>
      </c>
      <c r="N6">
        <v>-99400</v>
      </c>
    </row>
    <row r="7" spans="3:14" x14ac:dyDescent="0.3">
      <c r="C7" s="19">
        <v>1</v>
      </c>
      <c r="D7" s="116">
        <v>100000</v>
      </c>
      <c r="E7" s="116">
        <f>-PPMT($D$4/12,1,120-C7+1,D7,0)</f>
        <v>434.70948402587362</v>
      </c>
      <c r="F7" s="79">
        <v>0</v>
      </c>
      <c r="G7" s="79">
        <v>0</v>
      </c>
      <c r="H7" s="116">
        <f>-IPMT($D$4/12,1,120-C7+1,D7,0)</f>
        <v>1000</v>
      </c>
      <c r="I7" s="116">
        <f>E7+G7</f>
        <v>434.70948402587362</v>
      </c>
      <c r="J7" s="116">
        <f>D7-I7</f>
        <v>99565.29051597412</v>
      </c>
      <c r="K7" s="33"/>
      <c r="N7">
        <v>1434.709484025874</v>
      </c>
    </row>
    <row r="8" spans="3:14" x14ac:dyDescent="0.3">
      <c r="C8" s="19">
        <v>2</v>
      </c>
      <c r="D8" s="116">
        <f>J7</f>
        <v>99565.29051597412</v>
      </c>
      <c r="E8" s="116">
        <f t="shared" ref="E8:E71" si="0">-PPMT($D$4/12,1,120-C8+1,D8,0)</f>
        <v>439.05657886613221</v>
      </c>
      <c r="F8" s="79">
        <v>0</v>
      </c>
      <c r="G8" s="79">
        <v>0</v>
      </c>
      <c r="H8" s="116">
        <f>-IPMT($D$4/12,1,120-C8+1,D8,0)</f>
        <v>995.65290515974118</v>
      </c>
      <c r="I8" s="116">
        <f t="shared" ref="I8:I71" si="1">E8+G8</f>
        <v>439.05657886613221</v>
      </c>
      <c r="J8" s="116">
        <f>D8-I8</f>
        <v>99126.233937107987</v>
      </c>
      <c r="K8" s="33"/>
      <c r="N8">
        <v>1434.7094840258731</v>
      </c>
    </row>
    <row r="9" spans="3:14" x14ac:dyDescent="0.3">
      <c r="C9" s="19">
        <v>3</v>
      </c>
      <c r="D9" s="116">
        <f t="shared" ref="D9:D72" si="2">J8</f>
        <v>99126.233937107987</v>
      </c>
      <c r="E9" s="116">
        <f t="shared" si="0"/>
        <v>443.44714465479353</v>
      </c>
      <c r="F9" s="79">
        <v>0</v>
      </c>
      <c r="G9" s="79">
        <v>0</v>
      </c>
      <c r="H9" s="116">
        <f t="shared" ref="H9:H72" si="3">-IPMT($D$4/12,1,120-C9+1,D9,0)</f>
        <v>991.26233937107986</v>
      </c>
      <c r="I9" s="116">
        <f t="shared" si="1"/>
        <v>443.44714465479353</v>
      </c>
      <c r="J9" s="116">
        <f>D9-I9</f>
        <v>98682.786792453189</v>
      </c>
      <c r="K9" s="121">
        <f>D7+3*D7*$D$4/12</f>
        <v>103000</v>
      </c>
      <c r="N9">
        <v>1434.7094840258731</v>
      </c>
    </row>
    <row r="10" spans="3:14" x14ac:dyDescent="0.3">
      <c r="C10" s="19">
        <v>4</v>
      </c>
      <c r="D10" s="116">
        <f t="shared" si="2"/>
        <v>98682.786792453189</v>
      </c>
      <c r="E10" s="116">
        <f t="shared" si="0"/>
        <v>447.88161610134159</v>
      </c>
      <c r="F10" s="79">
        <v>0</v>
      </c>
      <c r="G10" s="79">
        <v>0</v>
      </c>
      <c r="H10" s="116">
        <f t="shared" si="3"/>
        <v>986.82786792453203</v>
      </c>
      <c r="I10" s="116">
        <f t="shared" si="1"/>
        <v>447.88161610134159</v>
      </c>
      <c r="J10" s="116">
        <f t="shared" ref="J8:J71" si="4">D10-I10</f>
        <v>98234.905176351851</v>
      </c>
      <c r="K10" s="33"/>
      <c r="N10">
        <v>1434.709484025874</v>
      </c>
    </row>
    <row r="11" spans="3:14" x14ac:dyDescent="0.3">
      <c r="C11" s="19">
        <v>5</v>
      </c>
      <c r="D11" s="116">
        <f t="shared" si="2"/>
        <v>98234.905176351851</v>
      </c>
      <c r="E11" s="116">
        <f t="shared" si="0"/>
        <v>452.36043226235489</v>
      </c>
      <c r="F11" s="79">
        <v>0</v>
      </c>
      <c r="G11" s="79">
        <v>0</v>
      </c>
      <c r="H11" s="116">
        <f t="shared" si="3"/>
        <v>982.34905176351833</v>
      </c>
      <c r="I11" s="116">
        <f t="shared" si="1"/>
        <v>452.36043226235489</v>
      </c>
      <c r="J11" s="116">
        <f t="shared" si="4"/>
        <v>97782.544744089493</v>
      </c>
      <c r="K11" s="33"/>
      <c r="N11">
        <v>1434.7094840258731</v>
      </c>
    </row>
    <row r="12" spans="3:14" x14ac:dyDescent="0.3">
      <c r="C12" s="19">
        <v>6</v>
      </c>
      <c r="D12" s="116">
        <f t="shared" si="2"/>
        <v>97782.544744089493</v>
      </c>
      <c r="E12" s="116">
        <f t="shared" si="0"/>
        <v>456.88403658497856</v>
      </c>
      <c r="F12" s="79">
        <v>0</v>
      </c>
      <c r="G12" s="79">
        <v>0</v>
      </c>
      <c r="H12" s="116">
        <f t="shared" si="3"/>
        <v>977.82544744089512</v>
      </c>
      <c r="I12" s="116">
        <f t="shared" si="1"/>
        <v>456.88403658497856</v>
      </c>
      <c r="J12" s="116">
        <f t="shared" si="4"/>
        <v>97325.660707504518</v>
      </c>
      <c r="K12" s="121">
        <f>D10+3*D10*$D$4/12</f>
        <v>101643.27039622678</v>
      </c>
      <c r="N12">
        <v>1434.709484025874</v>
      </c>
    </row>
    <row r="13" spans="3:14" x14ac:dyDescent="0.3">
      <c r="C13" s="19">
        <v>7</v>
      </c>
      <c r="D13" s="116">
        <f t="shared" si="2"/>
        <v>97325.660707504518</v>
      </c>
      <c r="E13" s="116">
        <f t="shared" si="0"/>
        <v>461.45287695082823</v>
      </c>
      <c r="F13" s="79">
        <v>0</v>
      </c>
      <c r="G13" s="79">
        <v>0</v>
      </c>
      <c r="H13" s="116">
        <f t="shared" si="3"/>
        <v>973.25660707504517</v>
      </c>
      <c r="I13" s="116">
        <f t="shared" si="1"/>
        <v>461.45287695082823</v>
      </c>
      <c r="J13" s="116">
        <f t="shared" si="4"/>
        <v>96864.207830553685</v>
      </c>
      <c r="K13" s="33"/>
      <c r="N13">
        <v>1434.7094840258731</v>
      </c>
    </row>
    <row r="14" spans="3:14" x14ac:dyDescent="0.3">
      <c r="C14" s="19">
        <v>8</v>
      </c>
      <c r="D14" s="116">
        <f t="shared" si="2"/>
        <v>96864.207830553685</v>
      </c>
      <c r="E14" s="116">
        <f t="shared" si="0"/>
        <v>466.06740572033664</v>
      </c>
      <c r="F14" s="79">
        <v>0</v>
      </c>
      <c r="G14" s="79">
        <v>0</v>
      </c>
      <c r="H14" s="116">
        <f t="shared" si="3"/>
        <v>968.64207830553687</v>
      </c>
      <c r="I14" s="116">
        <f t="shared" si="1"/>
        <v>466.06740572033664</v>
      </c>
      <c r="J14" s="116">
        <f t="shared" si="4"/>
        <v>96398.140424833342</v>
      </c>
      <c r="K14" s="33"/>
      <c r="N14">
        <v>1434.709484025874</v>
      </c>
    </row>
    <row r="15" spans="3:14" x14ac:dyDescent="0.3">
      <c r="C15" s="19">
        <v>9</v>
      </c>
      <c r="D15" s="116">
        <f t="shared" si="2"/>
        <v>96398.140424833342</v>
      </c>
      <c r="E15" s="116">
        <f t="shared" si="0"/>
        <v>470.72807977753985</v>
      </c>
      <c r="F15" s="79">
        <v>0</v>
      </c>
      <c r="G15" s="79">
        <v>0</v>
      </c>
      <c r="H15" s="116">
        <f t="shared" si="3"/>
        <v>963.98140424833343</v>
      </c>
      <c r="I15" s="116">
        <f t="shared" si="1"/>
        <v>470.72807977753985</v>
      </c>
      <c r="J15" s="116">
        <f t="shared" si="4"/>
        <v>95927.412345055796</v>
      </c>
      <c r="K15" s="121">
        <f>D13+3*D13*$D$4/12</f>
        <v>100245.43052872966</v>
      </c>
      <c r="N15">
        <v>1434.7094840258731</v>
      </c>
    </row>
    <row r="16" spans="3:14" x14ac:dyDescent="0.3">
      <c r="C16" s="19">
        <v>10</v>
      </c>
      <c r="D16" s="116">
        <f t="shared" si="2"/>
        <v>95927.412345055796</v>
      </c>
      <c r="E16" s="116">
        <f t="shared" si="0"/>
        <v>475.43536057531531</v>
      </c>
      <c r="F16" s="79">
        <v>0</v>
      </c>
      <c r="G16" s="79">
        <v>0</v>
      </c>
      <c r="H16" s="116">
        <f t="shared" si="3"/>
        <v>959.27412345055802</v>
      </c>
      <c r="I16" s="116">
        <f t="shared" si="1"/>
        <v>475.43536057531531</v>
      </c>
      <c r="J16" s="116">
        <f t="shared" si="4"/>
        <v>95451.976984480483</v>
      </c>
      <c r="K16" s="33"/>
      <c r="N16">
        <v>1434.7094840258731</v>
      </c>
    </row>
    <row r="17" spans="3:14" x14ac:dyDescent="0.3">
      <c r="C17" s="19">
        <v>11</v>
      </c>
      <c r="D17" s="116">
        <f t="shared" si="2"/>
        <v>95451.976984480483</v>
      </c>
      <c r="E17" s="116">
        <f t="shared" si="0"/>
        <v>480.18971418106844</v>
      </c>
      <c r="F17" s="79">
        <v>0</v>
      </c>
      <c r="G17" s="79">
        <v>0</v>
      </c>
      <c r="H17" s="116">
        <f t="shared" si="3"/>
        <v>954.51976984480484</v>
      </c>
      <c r="I17" s="116">
        <f t="shared" si="1"/>
        <v>480.18971418106844</v>
      </c>
      <c r="J17" s="116">
        <f t="shared" si="4"/>
        <v>94971.787270299421</v>
      </c>
      <c r="K17" s="33"/>
      <c r="N17">
        <v>1434.7094840258731</v>
      </c>
    </row>
    <row r="18" spans="3:14" x14ac:dyDescent="0.3">
      <c r="C18" s="19">
        <v>12</v>
      </c>
      <c r="D18" s="116">
        <f t="shared" si="2"/>
        <v>94971.787270299421</v>
      </c>
      <c r="E18" s="116">
        <f t="shared" si="0"/>
        <v>484.99161132287924</v>
      </c>
      <c r="F18" s="79">
        <v>0</v>
      </c>
      <c r="G18" s="79">
        <v>0</v>
      </c>
      <c r="H18" s="116">
        <f t="shared" si="3"/>
        <v>949.71787270299421</v>
      </c>
      <c r="I18" s="116">
        <f t="shared" si="1"/>
        <v>484.99161132287924</v>
      </c>
      <c r="J18" s="116">
        <f t="shared" si="4"/>
        <v>94486.795658976538</v>
      </c>
      <c r="K18" s="121">
        <f>D16+3*D16*$D$4/12</f>
        <v>98805.234715407467</v>
      </c>
      <c r="N18">
        <v>1434.709484025874</v>
      </c>
    </row>
    <row r="19" spans="3:14" x14ac:dyDescent="0.3">
      <c r="C19" s="19">
        <v>13</v>
      </c>
      <c r="D19" s="116">
        <f t="shared" si="2"/>
        <v>94486.795658976538</v>
      </c>
      <c r="E19" s="116">
        <f t="shared" si="0"/>
        <v>489.84152743610792</v>
      </c>
      <c r="F19" s="79">
        <v>0</v>
      </c>
      <c r="G19" s="79">
        <v>0</v>
      </c>
      <c r="H19" s="116">
        <f t="shared" si="3"/>
        <v>944.86795658976541</v>
      </c>
      <c r="I19" s="116">
        <f t="shared" si="1"/>
        <v>489.84152743610792</v>
      </c>
      <c r="J19" s="116">
        <f t="shared" si="4"/>
        <v>93996.954131540435</v>
      </c>
      <c r="K19" s="33"/>
      <c r="N19">
        <v>1434.7094840258731</v>
      </c>
    </row>
    <row r="20" spans="3:14" x14ac:dyDescent="0.3">
      <c r="C20" s="19">
        <v>14</v>
      </c>
      <c r="D20" s="116">
        <f t="shared" si="2"/>
        <v>93996.954131540435</v>
      </c>
      <c r="E20" s="116">
        <f t="shared" si="0"/>
        <v>494.73994271046911</v>
      </c>
      <c r="F20" s="79">
        <v>0</v>
      </c>
      <c r="G20" s="79">
        <v>0</v>
      </c>
      <c r="H20" s="116">
        <f t="shared" si="3"/>
        <v>939.9695413154044</v>
      </c>
      <c r="I20" s="116">
        <f t="shared" si="1"/>
        <v>494.73994271046911</v>
      </c>
      <c r="J20" s="116">
        <f t="shared" si="4"/>
        <v>93502.214188829967</v>
      </c>
      <c r="K20" s="33"/>
      <c r="N20">
        <v>1434.709484025874</v>
      </c>
    </row>
    <row r="21" spans="3:14" x14ac:dyDescent="0.3">
      <c r="C21" s="19">
        <v>15</v>
      </c>
      <c r="D21" s="116">
        <f t="shared" si="2"/>
        <v>93502.214188829967</v>
      </c>
      <c r="E21" s="116">
        <f t="shared" si="0"/>
        <v>499.68734213757386</v>
      </c>
      <c r="F21" s="79">
        <v>0</v>
      </c>
      <c r="G21" s="79">
        <v>0</v>
      </c>
      <c r="H21" s="116">
        <f t="shared" si="3"/>
        <v>935.02214188829964</v>
      </c>
      <c r="I21" s="116">
        <f t="shared" si="1"/>
        <v>499.68734213757386</v>
      </c>
      <c r="J21" s="116">
        <f t="shared" si="4"/>
        <v>93002.526846692388</v>
      </c>
      <c r="K21" s="121">
        <f>D19+3*D19*$D$4/12</f>
        <v>97321.399528745838</v>
      </c>
      <c r="N21">
        <v>1434.709484025874</v>
      </c>
    </row>
    <row r="22" spans="3:14" x14ac:dyDescent="0.3">
      <c r="C22" s="19">
        <v>16</v>
      </c>
      <c r="D22" s="116">
        <f t="shared" si="2"/>
        <v>93002.526846692388</v>
      </c>
      <c r="E22" s="116">
        <f t="shared" si="0"/>
        <v>504.68421555894957</v>
      </c>
      <c r="F22" s="79">
        <v>0</v>
      </c>
      <c r="G22" s="79">
        <v>0</v>
      </c>
      <c r="H22" s="116">
        <f t="shared" si="3"/>
        <v>930.02526846692388</v>
      </c>
      <c r="I22" s="116">
        <f t="shared" si="1"/>
        <v>504.68421555894957</v>
      </c>
      <c r="J22" s="116">
        <f t="shared" si="4"/>
        <v>92497.842631133433</v>
      </c>
      <c r="K22" s="33"/>
      <c r="N22">
        <v>1434.709484025874</v>
      </c>
    </row>
    <row r="23" spans="3:14" x14ac:dyDescent="0.3">
      <c r="C23" s="19">
        <v>17</v>
      </c>
      <c r="D23" s="116">
        <f t="shared" si="2"/>
        <v>92497.842631133433</v>
      </c>
      <c r="E23" s="116">
        <f t="shared" si="0"/>
        <v>509.73105771453885</v>
      </c>
      <c r="F23" s="79">
        <v>0</v>
      </c>
      <c r="G23" s="79">
        <v>0</v>
      </c>
      <c r="H23" s="116">
        <f t="shared" si="3"/>
        <v>924.97842631133437</v>
      </c>
      <c r="I23" s="116">
        <f t="shared" si="1"/>
        <v>509.73105771453885</v>
      </c>
      <c r="J23" s="116">
        <f t="shared" si="4"/>
        <v>91988.111573418893</v>
      </c>
      <c r="K23" s="33"/>
      <c r="N23">
        <v>1434.7094840258731</v>
      </c>
    </row>
    <row r="24" spans="3:14" x14ac:dyDescent="0.3">
      <c r="C24" s="19">
        <v>18</v>
      </c>
      <c r="D24" s="116">
        <f t="shared" si="2"/>
        <v>91988.111573418893</v>
      </c>
      <c r="E24" s="116">
        <f t="shared" si="0"/>
        <v>514.82836829168423</v>
      </c>
      <c r="F24" s="79">
        <v>0</v>
      </c>
      <c r="G24" s="79">
        <v>0</v>
      </c>
      <c r="H24" s="116">
        <f t="shared" si="3"/>
        <v>919.88111573418894</v>
      </c>
      <c r="I24" s="116">
        <f t="shared" si="1"/>
        <v>514.82836829168423</v>
      </c>
      <c r="J24" s="116">
        <f t="shared" si="4"/>
        <v>91473.283205127213</v>
      </c>
      <c r="K24" s="121">
        <f>D22+3*D22*$D$4/12</f>
        <v>95792.602652093163</v>
      </c>
      <c r="N24">
        <v>1434.7094840258731</v>
      </c>
    </row>
    <row r="25" spans="3:14" x14ac:dyDescent="0.3">
      <c r="C25" s="19">
        <v>19</v>
      </c>
      <c r="D25" s="116">
        <f t="shared" si="2"/>
        <v>91473.283205127213</v>
      </c>
      <c r="E25" s="116">
        <f t="shared" si="0"/>
        <v>519.97665197460094</v>
      </c>
      <c r="F25" s="79">
        <v>0</v>
      </c>
      <c r="G25" s="79">
        <v>0</v>
      </c>
      <c r="H25" s="116">
        <f t="shared" si="3"/>
        <v>914.73283205127211</v>
      </c>
      <c r="I25" s="116">
        <f t="shared" si="1"/>
        <v>519.97665197460094</v>
      </c>
      <c r="J25" s="116">
        <f t="shared" si="4"/>
        <v>90953.306553152608</v>
      </c>
      <c r="K25" s="33"/>
      <c r="N25">
        <v>1434.7094840258731</v>
      </c>
    </row>
    <row r="26" spans="3:14" x14ac:dyDescent="0.3">
      <c r="C26" s="19">
        <v>20</v>
      </c>
      <c r="D26" s="116">
        <f t="shared" si="2"/>
        <v>90953.306553152608</v>
      </c>
      <c r="E26" s="116">
        <f t="shared" si="0"/>
        <v>525.17641849434699</v>
      </c>
      <c r="F26" s="79">
        <v>0</v>
      </c>
      <c r="G26" s="79">
        <v>0</v>
      </c>
      <c r="H26" s="116">
        <f t="shared" si="3"/>
        <v>909.53306553152606</v>
      </c>
      <c r="I26" s="116">
        <f t="shared" si="1"/>
        <v>525.17641849434699</v>
      </c>
      <c r="J26" s="116">
        <f t="shared" si="4"/>
        <v>90428.130134658262</v>
      </c>
      <c r="K26" s="33"/>
      <c r="N26">
        <v>1434.7094840258731</v>
      </c>
    </row>
    <row r="27" spans="3:14" x14ac:dyDescent="0.3">
      <c r="C27" s="19">
        <v>21</v>
      </c>
      <c r="D27" s="116">
        <f t="shared" si="2"/>
        <v>90428.130134658262</v>
      </c>
      <c r="E27" s="116">
        <f t="shared" si="0"/>
        <v>530.42818267929056</v>
      </c>
      <c r="F27" s="79">
        <v>0</v>
      </c>
      <c r="G27" s="79">
        <v>0</v>
      </c>
      <c r="H27" s="116">
        <f t="shared" si="3"/>
        <v>904.28130134658261</v>
      </c>
      <c r="I27" s="116">
        <f t="shared" si="1"/>
        <v>530.42818267929056</v>
      </c>
      <c r="J27" s="116">
        <f t="shared" si="4"/>
        <v>89897.701951978976</v>
      </c>
      <c r="K27" s="121">
        <f>D25+3*D25*$D$4/12</f>
        <v>94217.481701281024</v>
      </c>
      <c r="N27">
        <v>1434.7094840258731</v>
      </c>
    </row>
    <row r="28" spans="3:14" x14ac:dyDescent="0.3">
      <c r="C28" s="19">
        <v>22</v>
      </c>
      <c r="D28" s="116">
        <f t="shared" si="2"/>
        <v>89897.701951978976</v>
      </c>
      <c r="E28" s="116">
        <f t="shared" si="0"/>
        <v>535.73246450608349</v>
      </c>
      <c r="F28" s="79">
        <v>0</v>
      </c>
      <c r="G28" s="79">
        <v>0</v>
      </c>
      <c r="H28" s="116">
        <f t="shared" si="3"/>
        <v>898.97701951978979</v>
      </c>
      <c r="I28" s="116">
        <f t="shared" si="1"/>
        <v>535.73246450608349</v>
      </c>
      <c r="J28" s="116">
        <f t="shared" si="4"/>
        <v>89361.969487472888</v>
      </c>
      <c r="K28" s="33"/>
      <c r="N28">
        <v>1434.7094840258731</v>
      </c>
    </row>
    <row r="29" spans="3:14" x14ac:dyDescent="0.3">
      <c r="C29" s="19">
        <v>23</v>
      </c>
      <c r="D29" s="116">
        <f t="shared" si="2"/>
        <v>89361.969487472888</v>
      </c>
      <c r="E29" s="116">
        <f t="shared" si="0"/>
        <v>541.08978915114449</v>
      </c>
      <c r="F29" s="79">
        <v>0</v>
      </c>
      <c r="G29" s="79">
        <v>0</v>
      </c>
      <c r="H29" s="116">
        <f t="shared" si="3"/>
        <v>893.61969487472902</v>
      </c>
      <c r="I29" s="116">
        <f t="shared" si="1"/>
        <v>541.08978915114449</v>
      </c>
      <c r="J29" s="116">
        <f t="shared" si="4"/>
        <v>88820.879698321747</v>
      </c>
      <c r="K29" s="33"/>
      <c r="N29">
        <v>1434.709484025874</v>
      </c>
    </row>
    <row r="30" spans="3:14" x14ac:dyDescent="0.3">
      <c r="C30" s="19">
        <v>24</v>
      </c>
      <c r="D30" s="116">
        <f t="shared" si="2"/>
        <v>88820.879698321747</v>
      </c>
      <c r="E30" s="116">
        <f t="shared" si="0"/>
        <v>546.50068704265584</v>
      </c>
      <c r="F30" s="79">
        <v>0</v>
      </c>
      <c r="G30" s="79">
        <v>0</v>
      </c>
      <c r="H30" s="116">
        <f t="shared" si="3"/>
        <v>888.20879698321744</v>
      </c>
      <c r="I30" s="116">
        <f t="shared" si="1"/>
        <v>546.50068704265584</v>
      </c>
      <c r="J30" s="116">
        <f t="shared" si="4"/>
        <v>88274.379011279088</v>
      </c>
      <c r="K30" s="121">
        <f>D28+3*D28*$D$4/12</f>
        <v>92594.633010538339</v>
      </c>
      <c r="N30">
        <v>1434.7094840258731</v>
      </c>
    </row>
    <row r="31" spans="3:14" x14ac:dyDescent="0.3">
      <c r="C31" s="19">
        <v>25</v>
      </c>
      <c r="D31" s="116">
        <f t="shared" si="2"/>
        <v>88274.379011279088</v>
      </c>
      <c r="E31" s="116">
        <f t="shared" si="0"/>
        <v>551.96569391308242</v>
      </c>
      <c r="F31" s="79">
        <v>0</v>
      </c>
      <c r="G31" s="79">
        <v>0</v>
      </c>
      <c r="H31" s="116">
        <f t="shared" si="3"/>
        <v>882.74379011279086</v>
      </c>
      <c r="I31" s="116">
        <f t="shared" si="1"/>
        <v>551.96569391308242</v>
      </c>
      <c r="J31" s="116">
        <f t="shared" si="4"/>
        <v>87722.413317366008</v>
      </c>
      <c r="K31" s="33"/>
      <c r="N31">
        <v>1434.7094840258731</v>
      </c>
    </row>
    <row r="32" spans="3:14" x14ac:dyDescent="0.3">
      <c r="C32" s="19">
        <v>26</v>
      </c>
      <c r="D32" s="116">
        <f t="shared" si="2"/>
        <v>87722.413317366008</v>
      </c>
      <c r="E32" s="116">
        <f t="shared" si="0"/>
        <v>557.48535085221329</v>
      </c>
      <c r="F32" s="79">
        <v>0</v>
      </c>
      <c r="G32" s="79">
        <v>0</v>
      </c>
      <c r="H32" s="116">
        <f t="shared" si="3"/>
        <v>877.22413317366011</v>
      </c>
      <c r="I32" s="116">
        <f t="shared" si="1"/>
        <v>557.48535085221329</v>
      </c>
      <c r="J32" s="116">
        <f t="shared" si="4"/>
        <v>87164.927966513802</v>
      </c>
      <c r="K32" s="33"/>
      <c r="N32">
        <v>1434.7094840258731</v>
      </c>
    </row>
    <row r="33" spans="3:14" x14ac:dyDescent="0.3">
      <c r="C33" s="19">
        <v>27</v>
      </c>
      <c r="D33" s="116">
        <f t="shared" si="2"/>
        <v>87164.927966513802</v>
      </c>
      <c r="E33" s="116">
        <f t="shared" si="0"/>
        <v>563.0602043607355</v>
      </c>
      <c r="F33" s="79">
        <v>0</v>
      </c>
      <c r="G33" s="79">
        <v>0</v>
      </c>
      <c r="H33" s="116">
        <f t="shared" si="3"/>
        <v>871.64927966513801</v>
      </c>
      <c r="I33" s="116">
        <f t="shared" si="1"/>
        <v>563.0602043607355</v>
      </c>
      <c r="J33" s="116">
        <f t="shared" si="4"/>
        <v>86601.867762153066</v>
      </c>
      <c r="K33" s="121">
        <f>D31+3*D31*$D$4/12</f>
        <v>90922.610381617458</v>
      </c>
      <c r="N33">
        <v>1434.709484025874</v>
      </c>
    </row>
    <row r="34" spans="3:14" x14ac:dyDescent="0.3">
      <c r="C34" s="19">
        <v>28</v>
      </c>
      <c r="D34" s="116">
        <f t="shared" si="2"/>
        <v>86601.867762153066</v>
      </c>
      <c r="E34" s="116">
        <f t="shared" si="0"/>
        <v>568.69080640434277</v>
      </c>
      <c r="F34" s="79">
        <v>0</v>
      </c>
      <c r="G34" s="79">
        <v>0</v>
      </c>
      <c r="H34" s="116">
        <f t="shared" si="3"/>
        <v>866.01867762153063</v>
      </c>
      <c r="I34" s="116">
        <f t="shared" si="1"/>
        <v>568.69080640434277</v>
      </c>
      <c r="J34" s="116">
        <f t="shared" si="4"/>
        <v>86033.176955748728</v>
      </c>
      <c r="K34" s="33"/>
      <c r="N34">
        <v>1434.7094840258731</v>
      </c>
    </row>
    <row r="35" spans="3:14" x14ac:dyDescent="0.3">
      <c r="C35" s="19">
        <v>29</v>
      </c>
      <c r="D35" s="116">
        <f t="shared" si="2"/>
        <v>86033.176955748728</v>
      </c>
      <c r="E35" s="116">
        <f t="shared" si="0"/>
        <v>574.37771446838644</v>
      </c>
      <c r="F35" s="79">
        <v>0</v>
      </c>
      <c r="G35" s="79">
        <v>0</v>
      </c>
      <c r="H35" s="116">
        <f t="shared" si="3"/>
        <v>860.33176955748729</v>
      </c>
      <c r="I35" s="116">
        <f t="shared" si="1"/>
        <v>574.37771446838644</v>
      </c>
      <c r="J35" s="116">
        <f t="shared" si="4"/>
        <v>85458.799241280343</v>
      </c>
      <c r="K35" s="33"/>
      <c r="N35">
        <v>1434.709484025874</v>
      </c>
    </row>
    <row r="36" spans="3:14" x14ac:dyDescent="0.3">
      <c r="C36" s="19">
        <v>30</v>
      </c>
      <c r="D36" s="116">
        <f t="shared" si="2"/>
        <v>85458.799241280343</v>
      </c>
      <c r="E36" s="116">
        <f t="shared" si="0"/>
        <v>580.12149161307013</v>
      </c>
      <c r="F36" s="79">
        <v>0</v>
      </c>
      <c r="G36" s="79">
        <v>0</v>
      </c>
      <c r="H36" s="116">
        <f t="shared" si="3"/>
        <v>854.58799241280349</v>
      </c>
      <c r="I36" s="116">
        <f t="shared" si="1"/>
        <v>580.12149161307013</v>
      </c>
      <c r="J36" s="116">
        <f t="shared" si="4"/>
        <v>84878.677749667273</v>
      </c>
      <c r="K36" s="121">
        <f>D34+3*D34*$D$4/12</f>
        <v>89199.923795017661</v>
      </c>
      <c r="N36">
        <v>1434.709484025874</v>
      </c>
    </row>
    <row r="37" spans="3:14" x14ac:dyDescent="0.3">
      <c r="C37" s="19">
        <v>31</v>
      </c>
      <c r="D37" s="116">
        <f t="shared" si="2"/>
        <v>84878.677749667273</v>
      </c>
      <c r="E37" s="116">
        <f t="shared" si="0"/>
        <v>585.92270652920081</v>
      </c>
      <c r="F37" s="79">
        <v>0</v>
      </c>
      <c r="G37" s="79">
        <v>0</v>
      </c>
      <c r="H37" s="116">
        <f t="shared" si="3"/>
        <v>848.7867774966727</v>
      </c>
      <c r="I37" s="116">
        <f t="shared" si="1"/>
        <v>585.92270652920081</v>
      </c>
      <c r="J37" s="116">
        <f t="shared" si="4"/>
        <v>84292.755043138066</v>
      </c>
      <c r="K37" s="33"/>
      <c r="N37">
        <v>1434.709484025874</v>
      </c>
    </row>
    <row r="38" spans="3:14" x14ac:dyDescent="0.3">
      <c r="C38" s="19">
        <v>32</v>
      </c>
      <c r="D38" s="116">
        <f t="shared" si="2"/>
        <v>84292.755043138066</v>
      </c>
      <c r="E38" s="116">
        <f t="shared" si="0"/>
        <v>591.78193359449278</v>
      </c>
      <c r="F38" s="79">
        <v>0</v>
      </c>
      <c r="G38" s="79">
        <v>0</v>
      </c>
      <c r="H38" s="116">
        <f t="shared" si="3"/>
        <v>842.92755043138072</v>
      </c>
      <c r="I38" s="116">
        <f t="shared" si="1"/>
        <v>591.78193359449278</v>
      </c>
      <c r="J38" s="116">
        <f t="shared" si="4"/>
        <v>83700.973109543571</v>
      </c>
      <c r="K38" s="33"/>
      <c r="N38">
        <v>1434.709484025874</v>
      </c>
    </row>
    <row r="39" spans="3:14" x14ac:dyDescent="0.3">
      <c r="C39" s="19">
        <v>33</v>
      </c>
      <c r="D39" s="116">
        <f t="shared" si="2"/>
        <v>83700.973109543571</v>
      </c>
      <c r="E39" s="116">
        <f t="shared" si="0"/>
        <v>597.69975293043751</v>
      </c>
      <c r="F39" s="79">
        <v>0</v>
      </c>
      <c r="G39" s="79">
        <v>0</v>
      </c>
      <c r="H39" s="116">
        <f t="shared" si="3"/>
        <v>837.00973109543577</v>
      </c>
      <c r="I39" s="116">
        <f t="shared" si="1"/>
        <v>597.69975293043751</v>
      </c>
      <c r="J39" s="116">
        <f t="shared" si="4"/>
        <v>83103.273356613136</v>
      </c>
      <c r="K39" s="121">
        <f>D37+3*D37*$D$4/12</f>
        <v>87425.038082157291</v>
      </c>
      <c r="N39">
        <v>1434.7094840258731</v>
      </c>
    </row>
    <row r="40" spans="3:14" x14ac:dyDescent="0.3">
      <c r="C40" s="19">
        <v>34</v>
      </c>
      <c r="D40" s="116">
        <f t="shared" si="2"/>
        <v>83103.273356613136</v>
      </c>
      <c r="E40" s="116">
        <f t="shared" si="0"/>
        <v>603.67675045974204</v>
      </c>
      <c r="F40" s="79">
        <v>0</v>
      </c>
      <c r="G40" s="79">
        <v>0</v>
      </c>
      <c r="H40" s="116">
        <f t="shared" si="3"/>
        <v>831.03273356613136</v>
      </c>
      <c r="I40" s="116">
        <f t="shared" si="1"/>
        <v>603.67675045974204</v>
      </c>
      <c r="J40" s="116">
        <f t="shared" si="4"/>
        <v>82499.596606153398</v>
      </c>
      <c r="K40" s="33"/>
      <c r="N40">
        <v>1434.7094840258731</v>
      </c>
    </row>
    <row r="41" spans="3:14" x14ac:dyDescent="0.3">
      <c r="C41" s="19">
        <v>35</v>
      </c>
      <c r="D41" s="116">
        <f t="shared" si="2"/>
        <v>82499.596606153398</v>
      </c>
      <c r="E41" s="116">
        <f t="shared" si="0"/>
        <v>609.71351796433953</v>
      </c>
      <c r="F41" s="79">
        <v>0</v>
      </c>
      <c r="G41" s="79">
        <v>0</v>
      </c>
      <c r="H41" s="116">
        <f t="shared" si="3"/>
        <v>824.99596606153398</v>
      </c>
      <c r="I41" s="116">
        <f t="shared" si="1"/>
        <v>609.71351796433953</v>
      </c>
      <c r="J41" s="116">
        <f t="shared" si="4"/>
        <v>81889.883088189061</v>
      </c>
      <c r="K41" s="33"/>
      <c r="N41">
        <v>1434.709484025874</v>
      </c>
    </row>
    <row r="42" spans="3:14" x14ac:dyDescent="0.3">
      <c r="C42" s="19">
        <v>36</v>
      </c>
      <c r="D42" s="116">
        <f t="shared" si="2"/>
        <v>81889.883088189061</v>
      </c>
      <c r="E42" s="116">
        <f t="shared" si="0"/>
        <v>615.8106531439829</v>
      </c>
      <c r="F42" s="79">
        <v>0</v>
      </c>
      <c r="G42" s="79">
        <v>0</v>
      </c>
      <c r="H42" s="116">
        <f t="shared" si="3"/>
        <v>818.8988308818906</v>
      </c>
      <c r="I42" s="116">
        <f t="shared" si="1"/>
        <v>615.8106531439829</v>
      </c>
      <c r="J42" s="116">
        <f t="shared" si="4"/>
        <v>81274.072435045076</v>
      </c>
      <c r="K42" s="121">
        <f>D40+3*D40*$D$4/12</f>
        <v>85596.371557311533</v>
      </c>
      <c r="N42">
        <v>1434.709484025874</v>
      </c>
    </row>
    <row r="43" spans="3:14" x14ac:dyDescent="0.3">
      <c r="C43" s="19">
        <v>37</v>
      </c>
      <c r="D43" s="116">
        <f t="shared" si="2"/>
        <v>81274.072435045076</v>
      </c>
      <c r="E43" s="116">
        <f t="shared" si="0"/>
        <v>621.96875967542269</v>
      </c>
      <c r="F43" s="79">
        <v>0</v>
      </c>
      <c r="G43" s="79">
        <v>0</v>
      </c>
      <c r="H43" s="116">
        <f t="shared" si="3"/>
        <v>812.74072435045082</v>
      </c>
      <c r="I43" s="116">
        <f t="shared" si="1"/>
        <v>621.96875967542269</v>
      </c>
      <c r="J43" s="116">
        <f t="shared" si="4"/>
        <v>80652.103675369654</v>
      </c>
      <c r="K43" s="33"/>
      <c r="N43">
        <v>1434.709484025874</v>
      </c>
    </row>
    <row r="44" spans="3:14" x14ac:dyDescent="0.3">
      <c r="C44" s="19">
        <v>38</v>
      </c>
      <c r="D44" s="116">
        <f t="shared" si="2"/>
        <v>80652.103675369654</v>
      </c>
      <c r="E44" s="116">
        <f t="shared" si="0"/>
        <v>628.18844727217697</v>
      </c>
      <c r="F44" s="79">
        <v>0</v>
      </c>
      <c r="G44" s="79">
        <v>0</v>
      </c>
      <c r="H44" s="116">
        <f t="shared" si="3"/>
        <v>806.52103675369654</v>
      </c>
      <c r="I44" s="116">
        <f t="shared" si="1"/>
        <v>628.18844727217697</v>
      </c>
      <c r="J44" s="116">
        <f t="shared" si="4"/>
        <v>80023.915228097481</v>
      </c>
      <c r="K44" s="33"/>
      <c r="N44">
        <v>1434.709484025874</v>
      </c>
    </row>
    <row r="45" spans="3:14" x14ac:dyDescent="0.3">
      <c r="C45" s="19">
        <v>39</v>
      </c>
      <c r="D45" s="116">
        <f t="shared" si="2"/>
        <v>80023.915228097481</v>
      </c>
      <c r="E45" s="116">
        <f t="shared" si="0"/>
        <v>634.47033174489877</v>
      </c>
      <c r="F45" s="79">
        <v>0</v>
      </c>
      <c r="G45" s="79">
        <v>0</v>
      </c>
      <c r="H45" s="116">
        <f t="shared" si="3"/>
        <v>800.23915228097485</v>
      </c>
      <c r="I45" s="116">
        <f t="shared" si="1"/>
        <v>634.47033174489877</v>
      </c>
      <c r="J45" s="116">
        <f t="shared" si="4"/>
        <v>79389.444896352579</v>
      </c>
      <c r="K45" s="121">
        <f>D43+3*D43*$D$4/12</f>
        <v>83712.294608096432</v>
      </c>
      <c r="N45">
        <v>1434.709484025874</v>
      </c>
    </row>
    <row r="46" spans="3:14" x14ac:dyDescent="0.3">
      <c r="C46" s="19">
        <v>40</v>
      </c>
      <c r="D46" s="116">
        <f t="shared" si="2"/>
        <v>79389.444896352579</v>
      </c>
      <c r="E46" s="116">
        <f t="shared" si="0"/>
        <v>640.81503506234787</v>
      </c>
      <c r="F46" s="79">
        <v>0</v>
      </c>
      <c r="G46" s="79">
        <v>0</v>
      </c>
      <c r="H46" s="116">
        <f t="shared" si="3"/>
        <v>793.89444896352586</v>
      </c>
      <c r="I46" s="116">
        <f t="shared" si="1"/>
        <v>640.81503506234787</v>
      </c>
      <c r="J46" s="116">
        <f t="shared" si="4"/>
        <v>78748.629861290232</v>
      </c>
      <c r="K46" s="33"/>
      <c r="N46">
        <v>1434.709484025874</v>
      </c>
    </row>
    <row r="47" spans="3:14" x14ac:dyDescent="0.3">
      <c r="C47" s="19">
        <v>41</v>
      </c>
      <c r="D47" s="116">
        <f t="shared" si="2"/>
        <v>78748.629861290232</v>
      </c>
      <c r="E47" s="116">
        <f t="shared" si="0"/>
        <v>647.22318541297125</v>
      </c>
      <c r="F47" s="79">
        <v>0</v>
      </c>
      <c r="G47" s="79">
        <v>0</v>
      </c>
      <c r="H47" s="116">
        <f t="shared" si="3"/>
        <v>787.48629861290237</v>
      </c>
      <c r="I47" s="116">
        <f t="shared" si="1"/>
        <v>647.22318541297125</v>
      </c>
      <c r="J47" s="116">
        <f t="shared" si="4"/>
        <v>78101.406675877268</v>
      </c>
      <c r="K47" s="33"/>
      <c r="N47">
        <v>1434.709484025874</v>
      </c>
    </row>
    <row r="48" spans="3:14" x14ac:dyDescent="0.3">
      <c r="C48" s="19">
        <v>42</v>
      </c>
      <c r="D48" s="116">
        <f t="shared" si="2"/>
        <v>78101.406675877268</v>
      </c>
      <c r="E48" s="116">
        <f t="shared" si="0"/>
        <v>653.69541726710099</v>
      </c>
      <c r="F48" s="79">
        <v>0</v>
      </c>
      <c r="G48" s="79">
        <v>0</v>
      </c>
      <c r="H48" s="116">
        <f t="shared" si="3"/>
        <v>781.01406675877274</v>
      </c>
      <c r="I48" s="116">
        <f t="shared" si="1"/>
        <v>653.69541726710099</v>
      </c>
      <c r="J48" s="116">
        <f t="shared" si="4"/>
        <v>77447.711258610172</v>
      </c>
      <c r="K48" s="121">
        <f>D46+3*D46*$D$4/12</f>
        <v>81771.128243243162</v>
      </c>
      <c r="N48">
        <v>1434.709484025874</v>
      </c>
    </row>
    <row r="49" spans="3:14" x14ac:dyDescent="0.3">
      <c r="C49" s="19">
        <v>43</v>
      </c>
      <c r="D49" s="116">
        <f t="shared" si="2"/>
        <v>77447.711258610172</v>
      </c>
      <c r="E49" s="116">
        <f t="shared" si="0"/>
        <v>660.23237143977224</v>
      </c>
      <c r="F49" s="79">
        <v>0</v>
      </c>
      <c r="G49" s="79">
        <v>0</v>
      </c>
      <c r="H49" s="116">
        <f t="shared" si="3"/>
        <v>774.47711258610184</v>
      </c>
      <c r="I49" s="116">
        <f t="shared" si="1"/>
        <v>660.23237143977224</v>
      </c>
      <c r="J49" s="116">
        <f t="shared" si="4"/>
        <v>76787.478887170393</v>
      </c>
      <c r="K49" s="33"/>
      <c r="N49">
        <v>1434.709484025874</v>
      </c>
    </row>
    <row r="50" spans="3:14" x14ac:dyDescent="0.3">
      <c r="C50" s="19">
        <v>44</v>
      </c>
      <c r="D50" s="116">
        <f t="shared" si="2"/>
        <v>76787.478887170393</v>
      </c>
      <c r="E50" s="116">
        <f t="shared" si="0"/>
        <v>666.83469515416994</v>
      </c>
      <c r="F50" s="79">
        <v>0</v>
      </c>
      <c r="G50" s="79">
        <v>0</v>
      </c>
      <c r="H50" s="116">
        <f t="shared" si="3"/>
        <v>767.87478887170391</v>
      </c>
      <c r="I50" s="116">
        <f t="shared" si="1"/>
        <v>666.83469515416994</v>
      </c>
      <c r="J50" s="116">
        <f t="shared" si="4"/>
        <v>76120.644192016218</v>
      </c>
      <c r="K50" s="33"/>
      <c r="N50">
        <v>1434.709484025874</v>
      </c>
    </row>
    <row r="51" spans="3:14" x14ac:dyDescent="0.3">
      <c r="C51" s="19">
        <v>45</v>
      </c>
      <c r="D51" s="116">
        <f t="shared" si="2"/>
        <v>76120.644192016218</v>
      </c>
      <c r="E51" s="116">
        <f t="shared" si="0"/>
        <v>673.50304210571164</v>
      </c>
      <c r="F51" s="79">
        <v>0</v>
      </c>
      <c r="G51" s="79">
        <v>0</v>
      </c>
      <c r="H51" s="116">
        <f t="shared" si="3"/>
        <v>761.20644192016221</v>
      </c>
      <c r="I51" s="116">
        <f t="shared" si="1"/>
        <v>673.50304210571164</v>
      </c>
      <c r="J51" s="116">
        <f t="shared" si="4"/>
        <v>75447.141149910502</v>
      </c>
      <c r="K51" s="121">
        <f>D49+3*D49*$D$4/12</f>
        <v>79771.142596368474</v>
      </c>
      <c r="N51">
        <v>1434.709484025874</v>
      </c>
    </row>
    <row r="52" spans="3:14" x14ac:dyDescent="0.3">
      <c r="C52" s="19">
        <v>46</v>
      </c>
      <c r="D52" s="116">
        <f t="shared" si="2"/>
        <v>75447.141149910502</v>
      </c>
      <c r="E52" s="116">
        <f t="shared" si="0"/>
        <v>680.23807252676852</v>
      </c>
      <c r="F52" s="79">
        <v>0</v>
      </c>
      <c r="G52" s="79">
        <v>0</v>
      </c>
      <c r="H52" s="116">
        <f t="shared" si="3"/>
        <v>754.47141149910499</v>
      </c>
      <c r="I52" s="116">
        <f t="shared" si="1"/>
        <v>680.23807252676852</v>
      </c>
      <c r="J52" s="116">
        <f t="shared" si="4"/>
        <v>74766.903077383729</v>
      </c>
      <c r="K52" s="33"/>
      <c r="N52">
        <v>1434.709484025874</v>
      </c>
    </row>
    <row r="53" spans="3:14" x14ac:dyDescent="0.3">
      <c r="C53" s="19">
        <v>47</v>
      </c>
      <c r="D53" s="116">
        <f t="shared" si="2"/>
        <v>74766.903077383729</v>
      </c>
      <c r="E53" s="116">
        <f t="shared" si="0"/>
        <v>687.04045325203595</v>
      </c>
      <c r="F53" s="79">
        <v>0</v>
      </c>
      <c r="G53" s="79">
        <v>0</v>
      </c>
      <c r="H53" s="116">
        <f t="shared" si="3"/>
        <v>747.66903077383733</v>
      </c>
      <c r="I53" s="116">
        <f t="shared" si="1"/>
        <v>687.04045325203595</v>
      </c>
      <c r="J53" s="116">
        <f t="shared" si="4"/>
        <v>74079.862624131696</v>
      </c>
      <c r="K53" s="33"/>
      <c r="N53">
        <v>1434.7094840258731</v>
      </c>
    </row>
    <row r="54" spans="3:14" x14ac:dyDescent="0.3">
      <c r="C54" s="19">
        <v>48</v>
      </c>
      <c r="D54" s="116">
        <f t="shared" si="2"/>
        <v>74079.862624131696</v>
      </c>
      <c r="E54" s="116">
        <f t="shared" si="0"/>
        <v>693.91085778455658</v>
      </c>
      <c r="F54" s="79">
        <v>0</v>
      </c>
      <c r="G54" s="79">
        <v>0</v>
      </c>
      <c r="H54" s="116">
        <f t="shared" si="3"/>
        <v>740.79862624131692</v>
      </c>
      <c r="I54" s="116">
        <f t="shared" si="1"/>
        <v>693.91085778455658</v>
      </c>
      <c r="J54" s="116">
        <f t="shared" si="4"/>
        <v>73385.951766347134</v>
      </c>
      <c r="K54" s="121">
        <f>D52+3*D52*$D$4/12</f>
        <v>77710.555384407809</v>
      </c>
      <c r="N54">
        <v>1434.709484025874</v>
      </c>
    </row>
    <row r="55" spans="3:14" x14ac:dyDescent="0.3">
      <c r="C55" s="19">
        <v>49</v>
      </c>
      <c r="D55" s="116">
        <f t="shared" si="2"/>
        <v>73385.951766347134</v>
      </c>
      <c r="E55" s="116">
        <f t="shared" si="0"/>
        <v>700.84996636240203</v>
      </c>
      <c r="F55" s="79">
        <v>0</v>
      </c>
      <c r="G55" s="79">
        <v>0</v>
      </c>
      <c r="H55" s="116">
        <f t="shared" si="3"/>
        <v>733.85951766347137</v>
      </c>
      <c r="I55" s="116">
        <f t="shared" si="1"/>
        <v>700.84996636240203</v>
      </c>
      <c r="J55" s="116">
        <f t="shared" si="4"/>
        <v>72685.101799984739</v>
      </c>
      <c r="K55" s="33"/>
      <c r="N55">
        <v>1434.7094840258731</v>
      </c>
    </row>
    <row r="56" spans="3:14" x14ac:dyDescent="0.3">
      <c r="C56" s="19">
        <v>50</v>
      </c>
      <c r="D56" s="116">
        <f t="shared" si="2"/>
        <v>72685.101799984739</v>
      </c>
      <c r="E56" s="116">
        <f t="shared" si="0"/>
        <v>707.85846602602601</v>
      </c>
      <c r="F56" s="79">
        <v>0</v>
      </c>
      <c r="G56" s="79">
        <v>0</v>
      </c>
      <c r="H56" s="116">
        <f t="shared" si="3"/>
        <v>726.85101799984739</v>
      </c>
      <c r="I56" s="116">
        <f t="shared" si="1"/>
        <v>707.85846602602601</v>
      </c>
      <c r="J56" s="116">
        <f t="shared" si="4"/>
        <v>71977.243333958715</v>
      </c>
      <c r="K56" s="33"/>
      <c r="N56">
        <v>1434.7094840258731</v>
      </c>
    </row>
    <row r="57" spans="3:14" x14ac:dyDescent="0.3">
      <c r="C57" s="19">
        <v>51</v>
      </c>
      <c r="D57" s="116">
        <f t="shared" si="2"/>
        <v>71977.243333958715</v>
      </c>
      <c r="E57" s="116">
        <f t="shared" si="0"/>
        <v>714.93705068628674</v>
      </c>
      <c r="F57" s="79">
        <v>0</v>
      </c>
      <c r="G57" s="79">
        <v>0</v>
      </c>
      <c r="H57" s="116">
        <f t="shared" si="3"/>
        <v>719.77243333958711</v>
      </c>
      <c r="I57" s="116">
        <f t="shared" si="1"/>
        <v>714.93705068628674</v>
      </c>
      <c r="J57" s="116">
        <f t="shared" si="4"/>
        <v>71262.306283272424</v>
      </c>
      <c r="K57" s="121">
        <f>D55+3*D55*$D$4/12</f>
        <v>75587.530319337544</v>
      </c>
      <c r="N57">
        <v>1434.709484025874</v>
      </c>
    </row>
    <row r="58" spans="3:14" x14ac:dyDescent="0.3">
      <c r="C58" s="19">
        <v>52</v>
      </c>
      <c r="D58" s="116">
        <f t="shared" si="2"/>
        <v>71262.306283272424</v>
      </c>
      <c r="E58" s="116">
        <f t="shared" si="0"/>
        <v>722.08642119314925</v>
      </c>
      <c r="F58" s="79">
        <v>0</v>
      </c>
      <c r="G58" s="79">
        <v>0</v>
      </c>
      <c r="H58" s="116">
        <f t="shared" si="3"/>
        <v>712.62306283272426</v>
      </c>
      <c r="I58" s="116">
        <f t="shared" si="1"/>
        <v>722.08642119314925</v>
      </c>
      <c r="J58" s="116">
        <f t="shared" si="4"/>
        <v>70540.219862079277</v>
      </c>
      <c r="K58" s="33"/>
      <c r="N58">
        <v>1434.709484025874</v>
      </c>
    </row>
    <row r="59" spans="3:14" x14ac:dyDescent="0.3">
      <c r="C59" s="19">
        <v>53</v>
      </c>
      <c r="D59" s="116">
        <f t="shared" si="2"/>
        <v>70540.219862079277</v>
      </c>
      <c r="E59" s="116">
        <f t="shared" si="0"/>
        <v>729.30728540508062</v>
      </c>
      <c r="F59" s="79">
        <v>0</v>
      </c>
      <c r="G59" s="79">
        <v>0</v>
      </c>
      <c r="H59" s="116">
        <f t="shared" si="3"/>
        <v>705.40219862079277</v>
      </c>
      <c r="I59" s="116">
        <f t="shared" si="1"/>
        <v>729.30728540508062</v>
      </c>
      <c r="J59" s="116">
        <f t="shared" si="4"/>
        <v>69810.912576674193</v>
      </c>
      <c r="K59" s="33"/>
      <c r="N59">
        <v>1434.7094840258731</v>
      </c>
    </row>
    <row r="60" spans="3:14" x14ac:dyDescent="0.3">
      <c r="C60" s="19">
        <v>54</v>
      </c>
      <c r="D60" s="116">
        <f t="shared" si="2"/>
        <v>69810.912576674193</v>
      </c>
      <c r="E60" s="116">
        <f t="shared" si="0"/>
        <v>736.60035825913167</v>
      </c>
      <c r="F60" s="79">
        <v>0</v>
      </c>
      <c r="G60" s="79">
        <v>0</v>
      </c>
      <c r="H60" s="116">
        <f t="shared" si="3"/>
        <v>698.10912576674195</v>
      </c>
      <c r="I60" s="116">
        <f t="shared" si="1"/>
        <v>736.60035825913167</v>
      </c>
      <c r="J60" s="116">
        <f t="shared" si="4"/>
        <v>69074.312218415056</v>
      </c>
      <c r="K60" s="121">
        <f>D58+3*D58*$D$4/12</f>
        <v>73400.175471770592</v>
      </c>
      <c r="N60">
        <v>1434.709484025874</v>
      </c>
    </row>
    <row r="61" spans="3:14" x14ac:dyDescent="0.3">
      <c r="C61" s="19">
        <v>55</v>
      </c>
      <c r="D61" s="116">
        <f t="shared" si="2"/>
        <v>69074.312218415056</v>
      </c>
      <c r="E61" s="116">
        <f t="shared" si="0"/>
        <v>743.9663618417228</v>
      </c>
      <c r="F61" s="79">
        <v>0</v>
      </c>
      <c r="G61" s="79">
        <v>0</v>
      </c>
      <c r="H61" s="116">
        <f t="shared" si="3"/>
        <v>690.74312218415059</v>
      </c>
      <c r="I61" s="116">
        <f t="shared" si="1"/>
        <v>743.9663618417228</v>
      </c>
      <c r="J61" s="116">
        <f t="shared" si="4"/>
        <v>68330.345856573331</v>
      </c>
      <c r="K61" s="33"/>
      <c r="N61">
        <v>1434.7094840258731</v>
      </c>
    </row>
    <row r="62" spans="3:14" x14ac:dyDescent="0.3">
      <c r="C62" s="19">
        <v>56</v>
      </c>
      <c r="D62" s="116">
        <f t="shared" si="2"/>
        <v>68330.345856573331</v>
      </c>
      <c r="E62" s="116">
        <f t="shared" si="0"/>
        <v>751.40602546014009</v>
      </c>
      <c r="F62" s="79">
        <v>0</v>
      </c>
      <c r="G62" s="79">
        <v>0</v>
      </c>
      <c r="H62" s="116">
        <f t="shared" si="3"/>
        <v>683.30345856573331</v>
      </c>
      <c r="I62" s="116">
        <f t="shared" si="1"/>
        <v>751.40602546014009</v>
      </c>
      <c r="J62" s="116">
        <f t="shared" si="4"/>
        <v>67578.939831113195</v>
      </c>
      <c r="K62" s="33"/>
      <c r="N62">
        <v>1434.7094840258731</v>
      </c>
    </row>
    <row r="63" spans="3:14" x14ac:dyDescent="0.3">
      <c r="C63" s="19">
        <v>57</v>
      </c>
      <c r="D63" s="116">
        <f t="shared" si="2"/>
        <v>67578.939831113195</v>
      </c>
      <c r="E63" s="116">
        <f t="shared" si="0"/>
        <v>758.92008571474128</v>
      </c>
      <c r="F63" s="79">
        <v>0</v>
      </c>
      <c r="G63" s="79">
        <v>0</v>
      </c>
      <c r="H63" s="116">
        <f t="shared" si="3"/>
        <v>675.789398311132</v>
      </c>
      <c r="I63" s="116">
        <f t="shared" si="1"/>
        <v>758.92008571474128</v>
      </c>
      <c r="J63" s="116">
        <f t="shared" si="4"/>
        <v>66820.019745398458</v>
      </c>
      <c r="K63" s="121">
        <f>D61+3*D61*$D$4/12</f>
        <v>71146.541584967505</v>
      </c>
      <c r="N63">
        <v>1434.7094840258731</v>
      </c>
    </row>
    <row r="64" spans="3:14" x14ac:dyDescent="0.3">
      <c r="C64" s="19">
        <v>58</v>
      </c>
      <c r="D64" s="116">
        <f t="shared" si="2"/>
        <v>66820.019745398458</v>
      </c>
      <c r="E64" s="116">
        <f t="shared" si="0"/>
        <v>766.50928657188888</v>
      </c>
      <c r="F64" s="79">
        <v>0</v>
      </c>
      <c r="G64" s="79">
        <v>0</v>
      </c>
      <c r="H64" s="116">
        <f t="shared" si="3"/>
        <v>668.20019745398463</v>
      </c>
      <c r="I64" s="116">
        <f t="shared" si="1"/>
        <v>766.50928657188888</v>
      </c>
      <c r="J64" s="116">
        <f t="shared" si="4"/>
        <v>66053.510458826568</v>
      </c>
      <c r="K64" s="33"/>
      <c r="N64">
        <v>1434.709484025874</v>
      </c>
    </row>
    <row r="65" spans="3:14" x14ac:dyDescent="0.3">
      <c r="C65" s="19">
        <v>59</v>
      </c>
      <c r="D65" s="116">
        <f t="shared" si="2"/>
        <v>66053.510458826568</v>
      </c>
      <c r="E65" s="116">
        <f t="shared" si="0"/>
        <v>774.17437943760785</v>
      </c>
      <c r="F65" s="79">
        <v>0</v>
      </c>
      <c r="G65" s="79">
        <v>0</v>
      </c>
      <c r="H65" s="116">
        <f t="shared" si="3"/>
        <v>660.53510458826565</v>
      </c>
      <c r="I65" s="116">
        <f t="shared" si="1"/>
        <v>774.17437943760785</v>
      </c>
      <c r="J65" s="116">
        <f t="shared" si="4"/>
        <v>65279.336079388959</v>
      </c>
      <c r="K65" s="33"/>
      <c r="N65">
        <v>1434.709484025874</v>
      </c>
    </row>
    <row r="66" spans="3:14" x14ac:dyDescent="0.3">
      <c r="C66" s="19">
        <v>60</v>
      </c>
      <c r="D66" s="116">
        <f t="shared" si="2"/>
        <v>65279.336079388959</v>
      </c>
      <c r="E66" s="116">
        <f t="shared" si="0"/>
        <v>781.91612323198399</v>
      </c>
      <c r="F66" s="79">
        <v>0</v>
      </c>
      <c r="G66" s="79">
        <v>0</v>
      </c>
      <c r="H66" s="116">
        <f t="shared" si="3"/>
        <v>652.79336079388963</v>
      </c>
      <c r="I66" s="116">
        <f t="shared" si="1"/>
        <v>781.91612323198399</v>
      </c>
      <c r="J66" s="116">
        <f t="shared" si="4"/>
        <v>64497.419956156977</v>
      </c>
      <c r="K66" s="121">
        <f>D64+3*D64*$D$4/12</f>
        <v>68824.620337760411</v>
      </c>
      <c r="N66">
        <v>1434.709484025874</v>
      </c>
    </row>
    <row r="67" spans="3:14" x14ac:dyDescent="0.3">
      <c r="C67" s="19">
        <v>61</v>
      </c>
      <c r="D67" s="116">
        <f t="shared" si="2"/>
        <v>64497.419956156977</v>
      </c>
      <c r="E67" s="116">
        <f t="shared" si="0"/>
        <v>789.73528446430385</v>
      </c>
      <c r="F67" s="79">
        <v>0</v>
      </c>
      <c r="G67" s="79">
        <v>0</v>
      </c>
      <c r="H67" s="116">
        <f t="shared" si="3"/>
        <v>644.97419956156989</v>
      </c>
      <c r="I67" s="116">
        <f t="shared" si="1"/>
        <v>789.73528446430385</v>
      </c>
      <c r="J67" s="116">
        <f t="shared" si="4"/>
        <v>63707.684671692674</v>
      </c>
      <c r="K67" s="33"/>
      <c r="N67">
        <v>1434.709484025874</v>
      </c>
    </row>
    <row r="68" spans="3:14" x14ac:dyDescent="0.3">
      <c r="C68" s="19">
        <v>62</v>
      </c>
      <c r="D68" s="116">
        <f t="shared" si="2"/>
        <v>63707.684671692674</v>
      </c>
      <c r="E68" s="116">
        <f t="shared" si="0"/>
        <v>797.63263730894687</v>
      </c>
      <c r="F68" s="79">
        <v>0</v>
      </c>
      <c r="G68" s="79">
        <v>0</v>
      </c>
      <c r="H68" s="116">
        <f t="shared" si="3"/>
        <v>637.07684671692687</v>
      </c>
      <c r="I68" s="116">
        <f t="shared" si="1"/>
        <v>797.63263730894687</v>
      </c>
      <c r="J68" s="116">
        <f t="shared" si="4"/>
        <v>62910.052034383727</v>
      </c>
      <c r="K68" s="33"/>
      <c r="N68">
        <v>1434.709484025874</v>
      </c>
    </row>
    <row r="69" spans="3:14" x14ac:dyDescent="0.3">
      <c r="C69" s="19">
        <v>63</v>
      </c>
      <c r="D69" s="116">
        <f t="shared" si="2"/>
        <v>62910.052034383727</v>
      </c>
      <c r="E69" s="116">
        <f t="shared" si="0"/>
        <v>805.60896368203646</v>
      </c>
      <c r="F69" s="79">
        <v>0</v>
      </c>
      <c r="G69" s="79">
        <v>0</v>
      </c>
      <c r="H69" s="116">
        <f t="shared" si="3"/>
        <v>629.10052034383739</v>
      </c>
      <c r="I69" s="116">
        <f t="shared" si="1"/>
        <v>805.60896368203646</v>
      </c>
      <c r="J69" s="116">
        <f t="shared" si="4"/>
        <v>62104.443070701687</v>
      </c>
      <c r="K69" s="121">
        <f>D67+3*D67*$D$4/12</f>
        <v>66432.342554841685</v>
      </c>
      <c r="N69">
        <v>1434.709484025874</v>
      </c>
    </row>
    <row r="70" spans="3:14" x14ac:dyDescent="0.3">
      <c r="C70" s="19">
        <v>64</v>
      </c>
      <c r="D70" s="116">
        <f t="shared" si="2"/>
        <v>62104.443070701687</v>
      </c>
      <c r="E70" s="116">
        <f t="shared" si="0"/>
        <v>813.66505331885674</v>
      </c>
      <c r="F70" s="79">
        <v>0</v>
      </c>
      <c r="G70" s="79">
        <v>0</v>
      </c>
      <c r="H70" s="116">
        <f t="shared" si="3"/>
        <v>621.04443070701689</v>
      </c>
      <c r="I70" s="116">
        <f t="shared" si="1"/>
        <v>813.66505331885674</v>
      </c>
      <c r="J70" s="116">
        <f t="shared" si="4"/>
        <v>61290.778017382829</v>
      </c>
      <c r="K70" s="33"/>
      <c r="N70">
        <v>1434.709484025874</v>
      </c>
    </row>
    <row r="71" spans="3:14" x14ac:dyDescent="0.3">
      <c r="C71" s="19">
        <v>65</v>
      </c>
      <c r="D71" s="116">
        <f t="shared" si="2"/>
        <v>61290.778017382829</v>
      </c>
      <c r="E71" s="116">
        <f t="shared" si="0"/>
        <v>821.80170385204531</v>
      </c>
      <c r="F71" s="79">
        <v>0</v>
      </c>
      <c r="G71" s="79">
        <v>0</v>
      </c>
      <c r="H71" s="116">
        <f t="shared" si="3"/>
        <v>612.90778017382843</v>
      </c>
      <c r="I71" s="116">
        <f t="shared" si="1"/>
        <v>821.80170385204531</v>
      </c>
      <c r="J71" s="116">
        <f t="shared" si="4"/>
        <v>60468.97631353078</v>
      </c>
      <c r="K71" s="33"/>
      <c r="N71">
        <v>1434.709484025874</v>
      </c>
    </row>
    <row r="72" spans="3:14" x14ac:dyDescent="0.3">
      <c r="C72" s="19">
        <v>66</v>
      </c>
      <c r="D72" s="116">
        <f t="shared" si="2"/>
        <v>60468.97631353078</v>
      </c>
      <c r="E72" s="116">
        <f t="shared" ref="E72:E126" si="5">-PPMT($D$4/12,1,120-C72+1,D72,0)</f>
        <v>830.01972089056551</v>
      </c>
      <c r="F72" s="79">
        <v>0</v>
      </c>
      <c r="G72" s="79">
        <v>0</v>
      </c>
      <c r="H72" s="116">
        <f t="shared" si="3"/>
        <v>604.68976313530777</v>
      </c>
      <c r="I72" s="116">
        <f t="shared" ref="I72:I126" si="6">E72+G72</f>
        <v>830.01972089056551</v>
      </c>
      <c r="J72" s="116">
        <f t="shared" ref="J72:J126" si="7">D72-I72</f>
        <v>59638.956592640214</v>
      </c>
      <c r="K72" s="121">
        <f>D70+3*D70*$D$4/12</f>
        <v>63967.576362822736</v>
      </c>
      <c r="N72">
        <v>1434.7094840258731</v>
      </c>
    </row>
    <row r="73" spans="3:14" x14ac:dyDescent="0.3">
      <c r="C73" s="19">
        <v>67</v>
      </c>
      <c r="D73" s="116">
        <f t="shared" ref="D73:D126" si="8">J72</f>
        <v>59638.956592640214</v>
      </c>
      <c r="E73" s="116">
        <f t="shared" si="5"/>
        <v>838.31991809947124</v>
      </c>
      <c r="F73" s="79">
        <v>0</v>
      </c>
      <c r="G73" s="79">
        <v>0</v>
      </c>
      <c r="H73" s="116">
        <f t="shared" ref="H73:H126" si="9">-IPMT($D$4/12,1,120-C73+1,D73,0)</f>
        <v>596.38956592640204</v>
      </c>
      <c r="I73" s="116">
        <f t="shared" si="6"/>
        <v>838.31991809947124</v>
      </c>
      <c r="J73" s="116">
        <f t="shared" si="7"/>
        <v>58800.636674540743</v>
      </c>
      <c r="K73" s="33"/>
      <c r="N73">
        <v>1434.7094840258731</v>
      </c>
    </row>
    <row r="74" spans="3:14" x14ac:dyDescent="0.3">
      <c r="C74" s="19">
        <v>68</v>
      </c>
      <c r="D74" s="116">
        <f t="shared" si="8"/>
        <v>58800.636674540743</v>
      </c>
      <c r="E74" s="116">
        <f t="shared" si="5"/>
        <v>846.70311728046613</v>
      </c>
      <c r="F74" s="79">
        <v>0</v>
      </c>
      <c r="G74" s="79">
        <v>0</v>
      </c>
      <c r="H74" s="116">
        <f t="shared" si="9"/>
        <v>588.00636674540749</v>
      </c>
      <c r="I74" s="116">
        <f t="shared" si="6"/>
        <v>846.70311728046613</v>
      </c>
      <c r="J74" s="116">
        <f t="shared" si="7"/>
        <v>57953.933557260279</v>
      </c>
      <c r="K74" s="33"/>
      <c r="N74">
        <v>1434.709484025874</v>
      </c>
    </row>
    <row r="75" spans="3:14" x14ac:dyDescent="0.3">
      <c r="C75" s="19">
        <v>69</v>
      </c>
      <c r="D75" s="116">
        <f t="shared" si="8"/>
        <v>57953.933557260279</v>
      </c>
      <c r="E75" s="116">
        <f t="shared" si="5"/>
        <v>855.17014845327037</v>
      </c>
      <c r="F75" s="79">
        <v>0</v>
      </c>
      <c r="G75" s="79">
        <v>0</v>
      </c>
      <c r="H75" s="116">
        <f t="shared" si="9"/>
        <v>579.53933557260268</v>
      </c>
      <c r="I75" s="116">
        <f t="shared" si="6"/>
        <v>855.17014845327037</v>
      </c>
      <c r="J75" s="116">
        <f t="shared" si="7"/>
        <v>57098.763408807012</v>
      </c>
      <c r="K75" s="121">
        <f>D73+3*D73*$D$4/12</f>
        <v>61428.125290419419</v>
      </c>
      <c r="N75">
        <v>1434.7094840258731</v>
      </c>
    </row>
    <row r="76" spans="3:14" x14ac:dyDescent="0.3">
      <c r="C76" s="19">
        <v>70</v>
      </c>
      <c r="D76" s="116">
        <f t="shared" si="8"/>
        <v>57098.763408807012</v>
      </c>
      <c r="E76" s="116">
        <f t="shared" si="5"/>
        <v>863.7218499378032</v>
      </c>
      <c r="F76" s="79">
        <v>0</v>
      </c>
      <c r="G76" s="79">
        <v>0</v>
      </c>
      <c r="H76" s="116">
        <f t="shared" si="9"/>
        <v>570.98763408807008</v>
      </c>
      <c r="I76" s="116">
        <f t="shared" si="6"/>
        <v>863.7218499378032</v>
      </c>
      <c r="J76" s="116">
        <f t="shared" si="7"/>
        <v>56235.041558869212</v>
      </c>
      <c r="K76" s="33"/>
      <c r="N76">
        <v>1434.7094840258731</v>
      </c>
    </row>
    <row r="77" spans="3:14" x14ac:dyDescent="0.3">
      <c r="C77" s="19">
        <v>71</v>
      </c>
      <c r="D77" s="116">
        <f t="shared" si="8"/>
        <v>56235.041558869212</v>
      </c>
      <c r="E77" s="116">
        <f t="shared" si="5"/>
        <v>872.35906843718146</v>
      </c>
      <c r="F77" s="79">
        <v>0</v>
      </c>
      <c r="G77" s="79">
        <v>0</v>
      </c>
      <c r="H77" s="116">
        <f t="shared" si="9"/>
        <v>562.35041558869216</v>
      </c>
      <c r="I77" s="116">
        <f t="shared" si="6"/>
        <v>872.35906843718146</v>
      </c>
      <c r="J77" s="116">
        <f t="shared" si="7"/>
        <v>55362.682490432031</v>
      </c>
      <c r="K77" s="33"/>
      <c r="N77">
        <v>1434.709484025874</v>
      </c>
    </row>
    <row r="78" spans="3:14" x14ac:dyDescent="0.3">
      <c r="C78" s="19">
        <v>72</v>
      </c>
      <c r="D78" s="116">
        <f t="shared" si="8"/>
        <v>55362.682490432031</v>
      </c>
      <c r="E78" s="116">
        <f t="shared" si="5"/>
        <v>881.08265912155321</v>
      </c>
      <c r="F78" s="79">
        <v>0</v>
      </c>
      <c r="G78" s="79">
        <v>0</v>
      </c>
      <c r="H78" s="116">
        <f t="shared" si="9"/>
        <v>553.6268249043203</v>
      </c>
      <c r="I78" s="116">
        <f t="shared" si="6"/>
        <v>881.08265912155321</v>
      </c>
      <c r="J78" s="116">
        <f t="shared" si="7"/>
        <v>54481.599831310479</v>
      </c>
      <c r="K78" s="121">
        <f>D76+3*D76*$D$4/12</f>
        <v>58811.726311071223</v>
      </c>
      <c r="N78">
        <v>1434.709484025874</v>
      </c>
    </row>
    <row r="79" spans="3:14" x14ac:dyDescent="0.3">
      <c r="C79" s="19">
        <v>73</v>
      </c>
      <c r="D79" s="116">
        <f t="shared" si="8"/>
        <v>54481.599831310479</v>
      </c>
      <c r="E79" s="116">
        <f t="shared" si="5"/>
        <v>889.89348571276889</v>
      </c>
      <c r="F79" s="79">
        <v>0</v>
      </c>
      <c r="G79" s="79">
        <v>0</v>
      </c>
      <c r="H79" s="116">
        <f t="shared" si="9"/>
        <v>544.81599831310473</v>
      </c>
      <c r="I79" s="116">
        <f t="shared" si="6"/>
        <v>889.89348571276889</v>
      </c>
      <c r="J79" s="116">
        <f t="shared" si="7"/>
        <v>53591.706345597711</v>
      </c>
      <c r="K79" s="33"/>
      <c r="N79">
        <v>1434.709484025874</v>
      </c>
    </row>
    <row r="80" spans="3:14" x14ac:dyDescent="0.3">
      <c r="C80" s="19">
        <v>74</v>
      </c>
      <c r="D80" s="116">
        <f t="shared" si="8"/>
        <v>53591.706345597711</v>
      </c>
      <c r="E80" s="116">
        <f t="shared" si="5"/>
        <v>898.79242056989676</v>
      </c>
      <c r="F80" s="79">
        <v>0</v>
      </c>
      <c r="G80" s="79">
        <v>0</v>
      </c>
      <c r="H80" s="116">
        <f t="shared" si="9"/>
        <v>535.9170634559772</v>
      </c>
      <c r="I80" s="116">
        <f t="shared" si="6"/>
        <v>898.79242056989676</v>
      </c>
      <c r="J80" s="116">
        <f t="shared" si="7"/>
        <v>52692.913925027817</v>
      </c>
      <c r="K80" s="33"/>
      <c r="N80">
        <v>1434.709484025874</v>
      </c>
    </row>
    <row r="81" spans="3:14" x14ac:dyDescent="0.3">
      <c r="C81" s="19">
        <v>75</v>
      </c>
      <c r="D81" s="116">
        <f t="shared" si="8"/>
        <v>52692.913925027817</v>
      </c>
      <c r="E81" s="116">
        <f t="shared" si="5"/>
        <v>907.78034477559572</v>
      </c>
      <c r="F81" s="79">
        <v>0</v>
      </c>
      <c r="G81" s="79">
        <v>0</v>
      </c>
      <c r="H81" s="116">
        <f t="shared" si="9"/>
        <v>526.92913925027813</v>
      </c>
      <c r="I81" s="116">
        <f t="shared" si="6"/>
        <v>907.78034477559572</v>
      </c>
      <c r="J81" s="116">
        <f t="shared" si="7"/>
        <v>51785.133580252223</v>
      </c>
      <c r="K81" s="121">
        <f>D79+3*D79*$D$4/12</f>
        <v>56116.047826249793</v>
      </c>
      <c r="N81">
        <v>1434.709484025874</v>
      </c>
    </row>
    <row r="82" spans="3:14" x14ac:dyDescent="0.3">
      <c r="C82" s="19">
        <v>76</v>
      </c>
      <c r="D82" s="116">
        <f t="shared" si="8"/>
        <v>51785.133580252223</v>
      </c>
      <c r="E82" s="116">
        <f t="shared" si="5"/>
        <v>916.85814822335158</v>
      </c>
      <c r="F82" s="79">
        <v>0</v>
      </c>
      <c r="G82" s="79">
        <v>0</v>
      </c>
      <c r="H82" s="116">
        <f t="shared" si="9"/>
        <v>517.85133580252216</v>
      </c>
      <c r="I82" s="116">
        <f t="shared" si="6"/>
        <v>916.85814822335158</v>
      </c>
      <c r="J82" s="116">
        <f t="shared" si="7"/>
        <v>50868.275432028873</v>
      </c>
      <c r="K82" s="33"/>
      <c r="N82">
        <v>1434.709484025874</v>
      </c>
    </row>
    <row r="83" spans="3:14" x14ac:dyDescent="0.3">
      <c r="C83" s="19">
        <v>77</v>
      </c>
      <c r="D83" s="116">
        <f t="shared" si="8"/>
        <v>50868.275432028873</v>
      </c>
      <c r="E83" s="116">
        <f t="shared" si="5"/>
        <v>926.02672970558524</v>
      </c>
      <c r="F83" s="79">
        <v>0</v>
      </c>
      <c r="G83" s="79">
        <v>0</v>
      </c>
      <c r="H83" s="116">
        <f t="shared" si="9"/>
        <v>508.68275432028872</v>
      </c>
      <c r="I83" s="116">
        <f t="shared" si="6"/>
        <v>926.02672970558524</v>
      </c>
      <c r="J83" s="116">
        <f t="shared" si="7"/>
        <v>49942.24870232329</v>
      </c>
      <c r="K83" s="33"/>
      <c r="N83">
        <v>1434.709484025874</v>
      </c>
    </row>
    <row r="84" spans="3:14" x14ac:dyDescent="0.3">
      <c r="C84" s="19">
        <v>78</v>
      </c>
      <c r="D84" s="116">
        <f t="shared" si="8"/>
        <v>49942.24870232329</v>
      </c>
      <c r="E84" s="116">
        <f t="shared" si="5"/>
        <v>935.28699700264121</v>
      </c>
      <c r="F84" s="79">
        <v>0</v>
      </c>
      <c r="G84" s="79">
        <v>0</v>
      </c>
      <c r="H84" s="116">
        <f t="shared" si="9"/>
        <v>499.42248702323292</v>
      </c>
      <c r="I84" s="116">
        <f t="shared" si="6"/>
        <v>935.28699700264121</v>
      </c>
      <c r="J84" s="116">
        <f t="shared" si="7"/>
        <v>49006.961705320646</v>
      </c>
      <c r="K84" s="121">
        <f>D82+3*D82*$D$4/12</f>
        <v>53338.687587659791</v>
      </c>
      <c r="N84">
        <v>1434.709484025874</v>
      </c>
    </row>
    <row r="85" spans="3:14" x14ac:dyDescent="0.3">
      <c r="C85" s="19">
        <v>79</v>
      </c>
      <c r="D85" s="116">
        <f t="shared" si="8"/>
        <v>49006.961705320646</v>
      </c>
      <c r="E85" s="116">
        <f t="shared" si="5"/>
        <v>944.63986697266739</v>
      </c>
      <c r="F85" s="79">
        <v>0</v>
      </c>
      <c r="G85" s="79">
        <v>0</v>
      </c>
      <c r="H85" s="116">
        <f t="shared" si="9"/>
        <v>490.06961705320646</v>
      </c>
      <c r="I85" s="116">
        <f t="shared" si="6"/>
        <v>944.63986697266739</v>
      </c>
      <c r="J85" s="116">
        <f t="shared" si="7"/>
        <v>48062.321838347976</v>
      </c>
      <c r="K85" s="33"/>
      <c r="N85">
        <v>1434.709484025874</v>
      </c>
    </row>
    <row r="86" spans="3:14" x14ac:dyDescent="0.3">
      <c r="C86" s="19">
        <v>80</v>
      </c>
      <c r="D86" s="116">
        <f t="shared" si="8"/>
        <v>48062.321838347976</v>
      </c>
      <c r="E86" s="116">
        <f t="shared" si="5"/>
        <v>954.08626564239387</v>
      </c>
      <c r="F86" s="79">
        <v>0</v>
      </c>
      <c r="G86" s="79">
        <v>0</v>
      </c>
      <c r="H86" s="116">
        <f t="shared" si="9"/>
        <v>480.62321838347975</v>
      </c>
      <c r="I86" s="116">
        <f t="shared" si="6"/>
        <v>954.08626564239387</v>
      </c>
      <c r="J86" s="116">
        <f t="shared" si="7"/>
        <v>47108.235572705584</v>
      </c>
      <c r="K86" s="33"/>
      <c r="N86">
        <v>1434.709484025874</v>
      </c>
    </row>
    <row r="87" spans="3:14" x14ac:dyDescent="0.3">
      <c r="C87" s="19">
        <v>81</v>
      </c>
      <c r="D87" s="116">
        <f t="shared" si="8"/>
        <v>47108.235572705584</v>
      </c>
      <c r="E87" s="116">
        <f t="shared" si="5"/>
        <v>963.62712829881832</v>
      </c>
      <c r="F87" s="79">
        <v>0</v>
      </c>
      <c r="G87" s="79">
        <v>0</v>
      </c>
      <c r="H87" s="116">
        <f t="shared" si="9"/>
        <v>471.08235572705593</v>
      </c>
      <c r="I87" s="116">
        <f t="shared" si="6"/>
        <v>963.62712829881832</v>
      </c>
      <c r="J87" s="116">
        <f t="shared" si="7"/>
        <v>46144.608444406767</v>
      </c>
      <c r="K87" s="121">
        <f>D85+3*D85*$D$4/12</f>
        <v>50477.170556480269</v>
      </c>
      <c r="N87">
        <v>1434.709484025874</v>
      </c>
    </row>
    <row r="88" spans="3:14" x14ac:dyDescent="0.3">
      <c r="C88" s="19">
        <v>82</v>
      </c>
      <c r="D88" s="116">
        <f t="shared" si="8"/>
        <v>46144.608444406767</v>
      </c>
      <c r="E88" s="116">
        <f t="shared" si="5"/>
        <v>973.26339958180631</v>
      </c>
      <c r="F88" s="79">
        <v>0</v>
      </c>
      <c r="G88" s="79">
        <v>0</v>
      </c>
      <c r="H88" s="116">
        <f t="shared" si="9"/>
        <v>461.44608444406771</v>
      </c>
      <c r="I88" s="116">
        <f t="shared" si="6"/>
        <v>973.26339958180631</v>
      </c>
      <c r="J88" s="116">
        <f t="shared" si="7"/>
        <v>45171.345044824964</v>
      </c>
      <c r="K88" s="33"/>
      <c r="N88">
        <v>1434.709484025874</v>
      </c>
    </row>
    <row r="89" spans="3:14" x14ac:dyDescent="0.3">
      <c r="C89" s="19">
        <v>83</v>
      </c>
      <c r="D89" s="116">
        <f t="shared" si="8"/>
        <v>45171.345044824964</v>
      </c>
      <c r="E89" s="116">
        <f t="shared" si="5"/>
        <v>982.99603357762453</v>
      </c>
      <c r="F89" s="79">
        <v>0</v>
      </c>
      <c r="G89" s="79">
        <v>0</v>
      </c>
      <c r="H89" s="116">
        <f t="shared" si="9"/>
        <v>451.71345044824966</v>
      </c>
      <c r="I89" s="116">
        <f t="shared" si="6"/>
        <v>982.99603357762453</v>
      </c>
      <c r="J89" s="116">
        <f t="shared" si="7"/>
        <v>44188.349011247337</v>
      </c>
      <c r="K89" s="33"/>
      <c r="N89">
        <v>1434.709484025874</v>
      </c>
    </row>
    <row r="90" spans="3:14" x14ac:dyDescent="0.3">
      <c r="C90" s="19">
        <v>84</v>
      </c>
      <c r="D90" s="116">
        <f t="shared" si="8"/>
        <v>44188.349011247337</v>
      </c>
      <c r="E90" s="116">
        <f t="shared" si="5"/>
        <v>992.82599391340057</v>
      </c>
      <c r="F90" s="79">
        <v>0</v>
      </c>
      <c r="G90" s="79">
        <v>0</v>
      </c>
      <c r="H90" s="116">
        <f t="shared" si="9"/>
        <v>441.8834901124734</v>
      </c>
      <c r="I90" s="116">
        <f t="shared" si="6"/>
        <v>992.82599391340057</v>
      </c>
      <c r="J90" s="116">
        <f t="shared" si="7"/>
        <v>43195.523017333937</v>
      </c>
      <c r="K90" s="121">
        <f>D88+3*D88*$D$4/12</f>
        <v>47528.946697738967</v>
      </c>
      <c r="N90">
        <v>1434.709484025874</v>
      </c>
    </row>
    <row r="91" spans="3:14" x14ac:dyDescent="0.3">
      <c r="C91" s="19">
        <v>85</v>
      </c>
      <c r="D91" s="116">
        <f t="shared" si="8"/>
        <v>43195.523017333937</v>
      </c>
      <c r="E91" s="116">
        <f t="shared" si="5"/>
        <v>1002.7542538525348</v>
      </c>
      <c r="F91" s="79">
        <v>0</v>
      </c>
      <c r="G91" s="79">
        <v>0</v>
      </c>
      <c r="H91" s="116">
        <f t="shared" si="9"/>
        <v>431.95523017333937</v>
      </c>
      <c r="I91" s="116">
        <f t="shared" si="6"/>
        <v>1002.7542538525348</v>
      </c>
      <c r="J91" s="116">
        <f t="shared" si="7"/>
        <v>42192.768763481399</v>
      </c>
      <c r="K91" s="33"/>
      <c r="N91">
        <v>1434.709484025874</v>
      </c>
    </row>
    <row r="92" spans="3:14" x14ac:dyDescent="0.3">
      <c r="C92" s="19">
        <v>86</v>
      </c>
      <c r="D92" s="116">
        <f t="shared" si="8"/>
        <v>42192.768763481399</v>
      </c>
      <c r="E92" s="116">
        <f t="shared" si="5"/>
        <v>1012.7817963910601</v>
      </c>
      <c r="F92" s="79">
        <v>0</v>
      </c>
      <c r="G92" s="79">
        <v>0</v>
      </c>
      <c r="H92" s="116">
        <f t="shared" si="9"/>
        <v>421.92768763481399</v>
      </c>
      <c r="I92" s="116">
        <f t="shared" si="6"/>
        <v>1012.7817963910601</v>
      </c>
      <c r="J92" s="116">
        <f t="shared" si="7"/>
        <v>41179.986967090343</v>
      </c>
      <c r="K92" s="33"/>
      <c r="N92">
        <v>1434.709484025874</v>
      </c>
    </row>
    <row r="93" spans="3:14" x14ac:dyDescent="0.3">
      <c r="C93" s="19">
        <v>87</v>
      </c>
      <c r="D93" s="116">
        <f t="shared" si="8"/>
        <v>41179.986967090343</v>
      </c>
      <c r="E93" s="116">
        <f t="shared" si="5"/>
        <v>1022.9096143549706</v>
      </c>
      <c r="F93" s="79">
        <v>0</v>
      </c>
      <c r="G93" s="79">
        <v>0</v>
      </c>
      <c r="H93" s="116">
        <f t="shared" si="9"/>
        <v>411.79986967090343</v>
      </c>
      <c r="I93" s="116">
        <f t="shared" si="6"/>
        <v>1022.9096143549706</v>
      </c>
      <c r="J93" s="116">
        <f t="shared" si="7"/>
        <v>40157.077352735374</v>
      </c>
      <c r="K93" s="121">
        <f>D91+3*D91*$D$4/12</f>
        <v>44491.388707853956</v>
      </c>
      <c r="N93">
        <v>1434.709484025874</v>
      </c>
    </row>
    <row r="94" spans="3:14" x14ac:dyDescent="0.3">
      <c r="C94" s="19">
        <v>88</v>
      </c>
      <c r="D94" s="116">
        <f t="shared" si="8"/>
        <v>40157.077352735374</v>
      </c>
      <c r="E94" s="116">
        <f t="shared" si="5"/>
        <v>1033.1387104985204</v>
      </c>
      <c r="F94" s="79">
        <v>0</v>
      </c>
      <c r="G94" s="79">
        <v>0</v>
      </c>
      <c r="H94" s="116">
        <f t="shared" si="9"/>
        <v>401.57077352735377</v>
      </c>
      <c r="I94" s="116">
        <f t="shared" si="6"/>
        <v>1033.1387104985204</v>
      </c>
      <c r="J94" s="116">
        <f t="shared" si="7"/>
        <v>39123.938642236855</v>
      </c>
      <c r="K94" s="33"/>
      <c r="N94">
        <v>1434.709484025874</v>
      </c>
    </row>
    <row r="95" spans="3:14" x14ac:dyDescent="0.3">
      <c r="C95" s="19">
        <v>89</v>
      </c>
      <c r="D95" s="116">
        <f t="shared" si="8"/>
        <v>39123.938642236855</v>
      </c>
      <c r="E95" s="116">
        <f t="shared" si="5"/>
        <v>1043.4700976035058</v>
      </c>
      <c r="F95" s="79">
        <v>0</v>
      </c>
      <c r="G95" s="79">
        <v>0</v>
      </c>
      <c r="H95" s="116">
        <f t="shared" si="9"/>
        <v>391.23938642236857</v>
      </c>
      <c r="I95" s="116">
        <f t="shared" si="6"/>
        <v>1043.4700976035058</v>
      </c>
      <c r="J95" s="116">
        <f t="shared" si="7"/>
        <v>38080.468544633346</v>
      </c>
      <c r="K95" s="33"/>
      <c r="N95">
        <v>1434.709484025874</v>
      </c>
    </row>
    <row r="96" spans="3:14" x14ac:dyDescent="0.3">
      <c r="C96" s="19">
        <v>90</v>
      </c>
      <c r="D96" s="116">
        <f t="shared" si="8"/>
        <v>38080.468544633346</v>
      </c>
      <c r="E96" s="116">
        <f t="shared" si="5"/>
        <v>1053.9047985795407</v>
      </c>
      <c r="F96" s="79">
        <v>0</v>
      </c>
      <c r="G96" s="79">
        <v>0</v>
      </c>
      <c r="H96" s="116">
        <f t="shared" si="9"/>
        <v>380.80468544633345</v>
      </c>
      <c r="I96" s="116">
        <f t="shared" si="6"/>
        <v>1053.9047985795407</v>
      </c>
      <c r="J96" s="116">
        <f t="shared" si="7"/>
        <v>37026.563746053806</v>
      </c>
      <c r="K96" s="121">
        <f>D94+3*D94*$D$4/12</f>
        <v>41361.789673317435</v>
      </c>
      <c r="N96">
        <v>1434.709484025874</v>
      </c>
    </row>
    <row r="97" spans="3:14" x14ac:dyDescent="0.3">
      <c r="C97" s="19">
        <v>91</v>
      </c>
      <c r="D97" s="116">
        <f t="shared" si="8"/>
        <v>37026.563746053806</v>
      </c>
      <c r="E97" s="116">
        <f t="shared" si="5"/>
        <v>1064.4438465653361</v>
      </c>
      <c r="F97" s="79">
        <v>0</v>
      </c>
      <c r="G97" s="79">
        <v>0</v>
      </c>
      <c r="H97" s="116">
        <f t="shared" si="9"/>
        <v>370.26563746053807</v>
      </c>
      <c r="I97" s="116">
        <f t="shared" si="6"/>
        <v>1064.4438465653361</v>
      </c>
      <c r="J97" s="116">
        <f t="shared" si="7"/>
        <v>35962.119899488469</v>
      </c>
      <c r="K97" s="33"/>
      <c r="N97">
        <v>1434.709484025874</v>
      </c>
    </row>
    <row r="98" spans="3:14" x14ac:dyDescent="0.3">
      <c r="C98" s="19">
        <v>92</v>
      </c>
      <c r="D98" s="116">
        <f t="shared" si="8"/>
        <v>35962.119899488469</v>
      </c>
      <c r="E98" s="116">
        <f t="shared" si="5"/>
        <v>1075.0882850309893</v>
      </c>
      <c r="F98" s="79">
        <v>0</v>
      </c>
      <c r="G98" s="79">
        <v>0</v>
      </c>
      <c r="H98" s="116">
        <f t="shared" si="9"/>
        <v>359.62119899488471</v>
      </c>
      <c r="I98" s="116">
        <f t="shared" si="6"/>
        <v>1075.0882850309893</v>
      </c>
      <c r="J98" s="116">
        <f t="shared" si="7"/>
        <v>34887.031614457483</v>
      </c>
      <c r="K98" s="33"/>
      <c r="N98">
        <v>1434.709484025874</v>
      </c>
    </row>
    <row r="99" spans="3:14" x14ac:dyDescent="0.3">
      <c r="C99" s="19">
        <v>93</v>
      </c>
      <c r="D99" s="116">
        <f t="shared" si="8"/>
        <v>34887.031614457483</v>
      </c>
      <c r="E99" s="116">
        <f t="shared" si="5"/>
        <v>1085.8391678812993</v>
      </c>
      <c r="F99" s="79">
        <v>0</v>
      </c>
      <c r="G99" s="79">
        <v>0</v>
      </c>
      <c r="H99" s="116">
        <f t="shared" si="9"/>
        <v>348.87031614457482</v>
      </c>
      <c r="I99" s="116">
        <f t="shared" si="6"/>
        <v>1085.8391678812993</v>
      </c>
      <c r="J99" s="116">
        <f t="shared" si="7"/>
        <v>33801.192446576184</v>
      </c>
      <c r="K99" s="121">
        <f>D97+3*D97*$D$4/12</f>
        <v>38137.36065843542</v>
      </c>
      <c r="N99">
        <v>1434.709484025874</v>
      </c>
    </row>
    <row r="100" spans="3:14" x14ac:dyDescent="0.3">
      <c r="C100" s="19">
        <v>94</v>
      </c>
      <c r="D100" s="116">
        <f t="shared" si="8"/>
        <v>33801.192446576184</v>
      </c>
      <c r="E100" s="116">
        <f t="shared" si="5"/>
        <v>1096.6975595601125</v>
      </c>
      <c r="F100" s="79">
        <v>0</v>
      </c>
      <c r="G100" s="79">
        <v>0</v>
      </c>
      <c r="H100" s="116">
        <f t="shared" si="9"/>
        <v>338.01192446576187</v>
      </c>
      <c r="I100" s="116">
        <f t="shared" si="6"/>
        <v>1096.6975595601125</v>
      </c>
      <c r="J100" s="116">
        <f t="shared" si="7"/>
        <v>32704.494887016073</v>
      </c>
      <c r="K100" s="33"/>
      <c r="N100">
        <v>1434.709484025874</v>
      </c>
    </row>
    <row r="101" spans="3:14" x14ac:dyDescent="0.3">
      <c r="C101" s="19">
        <v>95</v>
      </c>
      <c r="D101" s="116">
        <f t="shared" si="8"/>
        <v>32704.494887016073</v>
      </c>
      <c r="E101" s="116">
        <f t="shared" si="5"/>
        <v>1107.6645351557133</v>
      </c>
      <c r="F101" s="79">
        <v>0</v>
      </c>
      <c r="G101" s="79">
        <v>0</v>
      </c>
      <c r="H101" s="116">
        <f t="shared" si="9"/>
        <v>327.04494887016079</v>
      </c>
      <c r="I101" s="116">
        <f t="shared" si="6"/>
        <v>1107.6645351557133</v>
      </c>
      <c r="J101" s="116">
        <f t="shared" si="7"/>
        <v>31596.830351860361</v>
      </c>
      <c r="K101" s="33"/>
      <c r="N101">
        <v>1434.709484025874</v>
      </c>
    </row>
    <row r="102" spans="3:14" x14ac:dyDescent="0.3">
      <c r="C102" s="19">
        <v>96</v>
      </c>
      <c r="D102" s="116">
        <f t="shared" si="8"/>
        <v>31596.830351860361</v>
      </c>
      <c r="E102" s="116">
        <f t="shared" si="5"/>
        <v>1118.7411805072707</v>
      </c>
      <c r="F102" s="79">
        <v>0</v>
      </c>
      <c r="G102" s="79">
        <v>0</v>
      </c>
      <c r="H102" s="116">
        <f t="shared" si="9"/>
        <v>315.96830351860359</v>
      </c>
      <c r="I102" s="116">
        <f t="shared" si="6"/>
        <v>1118.7411805072707</v>
      </c>
      <c r="J102" s="116">
        <f t="shared" si="7"/>
        <v>30478.089171353091</v>
      </c>
      <c r="K102" s="121">
        <f>D100+3*D100*$D$4/12</f>
        <v>34815.228219973469</v>
      </c>
      <c r="N102">
        <v>1434.709484025874</v>
      </c>
    </row>
    <row r="103" spans="3:14" x14ac:dyDescent="0.3">
      <c r="C103" s="19">
        <v>97</v>
      </c>
      <c r="D103" s="116">
        <f t="shared" si="8"/>
        <v>30478.089171353091</v>
      </c>
      <c r="E103" s="116">
        <f t="shared" si="5"/>
        <v>1129.9285923123434</v>
      </c>
      <c r="F103" s="79">
        <v>0</v>
      </c>
      <c r="G103" s="79">
        <v>0</v>
      </c>
      <c r="H103" s="116">
        <f t="shared" si="9"/>
        <v>304.78089171353093</v>
      </c>
      <c r="I103" s="116">
        <f t="shared" si="6"/>
        <v>1129.9285923123434</v>
      </c>
      <c r="J103" s="116">
        <f t="shared" si="7"/>
        <v>29348.160579040748</v>
      </c>
      <c r="K103" s="33"/>
      <c r="N103">
        <v>1434.709484025874</v>
      </c>
    </row>
    <row r="104" spans="3:14" x14ac:dyDescent="0.3">
      <c r="C104" s="19">
        <v>98</v>
      </c>
      <c r="D104" s="116">
        <f t="shared" si="8"/>
        <v>29348.160579040748</v>
      </c>
      <c r="E104" s="116">
        <f t="shared" si="5"/>
        <v>1141.227878235467</v>
      </c>
      <c r="F104" s="79">
        <v>0</v>
      </c>
      <c r="G104" s="79">
        <v>0</v>
      </c>
      <c r="H104" s="116">
        <f t="shared" si="9"/>
        <v>293.48160579040746</v>
      </c>
      <c r="I104" s="116">
        <f t="shared" si="6"/>
        <v>1141.227878235467</v>
      </c>
      <c r="J104" s="116">
        <f t="shared" si="7"/>
        <v>28206.932700805282</v>
      </c>
      <c r="K104" s="33"/>
      <c r="N104">
        <v>1434.709484025874</v>
      </c>
    </row>
    <row r="105" spans="3:14" x14ac:dyDescent="0.3">
      <c r="C105" s="19">
        <v>99</v>
      </c>
      <c r="D105" s="116">
        <f t="shared" si="8"/>
        <v>28206.932700805282</v>
      </c>
      <c r="E105" s="116">
        <f t="shared" si="5"/>
        <v>1152.6401570178214</v>
      </c>
      <c r="F105" s="79">
        <v>0</v>
      </c>
      <c r="G105" s="79">
        <v>0</v>
      </c>
      <c r="H105" s="116">
        <f t="shared" si="9"/>
        <v>282.06932700805282</v>
      </c>
      <c r="I105" s="116">
        <f t="shared" si="6"/>
        <v>1152.6401570178214</v>
      </c>
      <c r="J105" s="116">
        <f t="shared" si="7"/>
        <v>27054.292543787462</v>
      </c>
      <c r="K105" s="121">
        <f>D103+3*D103*$D$4/12</f>
        <v>31392.431846493684</v>
      </c>
      <c r="N105">
        <v>1434.709484025874</v>
      </c>
    </row>
    <row r="106" spans="3:14" x14ac:dyDescent="0.3">
      <c r="C106" s="19">
        <v>100</v>
      </c>
      <c r="D106" s="116">
        <f t="shared" si="8"/>
        <v>27054.292543787462</v>
      </c>
      <c r="E106" s="116">
        <f t="shared" si="5"/>
        <v>1164.1665585879998</v>
      </c>
      <c r="F106" s="79">
        <v>0</v>
      </c>
      <c r="G106" s="79">
        <v>0</v>
      </c>
      <c r="H106" s="116">
        <f t="shared" si="9"/>
        <v>270.5429254378746</v>
      </c>
      <c r="I106" s="116">
        <f t="shared" si="6"/>
        <v>1164.1665585879998</v>
      </c>
      <c r="J106" s="116">
        <f t="shared" si="7"/>
        <v>25890.125985199462</v>
      </c>
      <c r="K106" s="33"/>
      <c r="N106">
        <v>1434.709484025874</v>
      </c>
    </row>
    <row r="107" spans="3:14" x14ac:dyDescent="0.3">
      <c r="C107" s="19">
        <v>101</v>
      </c>
      <c r="D107" s="116">
        <f t="shared" si="8"/>
        <v>25890.125985199462</v>
      </c>
      <c r="E107" s="116">
        <f t="shared" si="5"/>
        <v>1175.8082241738798</v>
      </c>
      <c r="F107" s="79">
        <v>0</v>
      </c>
      <c r="G107" s="79">
        <v>0</v>
      </c>
      <c r="H107" s="116">
        <f t="shared" si="9"/>
        <v>258.90125985199461</v>
      </c>
      <c r="I107" s="116">
        <f t="shared" si="6"/>
        <v>1175.8082241738798</v>
      </c>
      <c r="J107" s="116">
        <f t="shared" si="7"/>
        <v>24714.317761025581</v>
      </c>
      <c r="K107" s="33"/>
      <c r="N107">
        <v>1434.709484025874</v>
      </c>
    </row>
    <row r="108" spans="3:14" x14ac:dyDescent="0.3">
      <c r="C108" s="19">
        <v>102</v>
      </c>
      <c r="D108" s="116">
        <f t="shared" si="8"/>
        <v>24714.317761025581</v>
      </c>
      <c r="E108" s="116">
        <f t="shared" si="5"/>
        <v>1187.5663064156186</v>
      </c>
      <c r="F108" s="79">
        <v>0</v>
      </c>
      <c r="G108" s="79">
        <v>0</v>
      </c>
      <c r="H108" s="116">
        <f t="shared" si="9"/>
        <v>247.1431776102558</v>
      </c>
      <c r="I108" s="116">
        <f t="shared" si="6"/>
        <v>1187.5663064156186</v>
      </c>
      <c r="J108" s="116">
        <f t="shared" si="7"/>
        <v>23526.751454609963</v>
      </c>
      <c r="K108" s="121">
        <f>D106+3*D106*$D$4/12</f>
        <v>27865.921320101086</v>
      </c>
      <c r="N108">
        <v>1434.709484025874</v>
      </c>
    </row>
    <row r="109" spans="3:14" x14ac:dyDescent="0.3">
      <c r="C109" s="19">
        <v>103</v>
      </c>
      <c r="D109" s="116">
        <f t="shared" si="8"/>
        <v>23526.751454609963</v>
      </c>
      <c r="E109" s="116">
        <f t="shared" si="5"/>
        <v>1199.441969479775</v>
      </c>
      <c r="F109" s="79">
        <v>0</v>
      </c>
      <c r="G109" s="79">
        <v>0</v>
      </c>
      <c r="H109" s="116">
        <f t="shared" si="9"/>
        <v>235.26751454609962</v>
      </c>
      <c r="I109" s="116">
        <f t="shared" si="6"/>
        <v>1199.441969479775</v>
      </c>
      <c r="J109" s="116">
        <f t="shared" si="7"/>
        <v>22327.309485130187</v>
      </c>
      <c r="K109" s="33"/>
      <c r="N109">
        <v>1434.7094840258751</v>
      </c>
    </row>
    <row r="110" spans="3:14" x14ac:dyDescent="0.3">
      <c r="C110" s="19">
        <v>104</v>
      </c>
      <c r="D110" s="116">
        <f t="shared" si="8"/>
        <v>22327.309485130187</v>
      </c>
      <c r="E110" s="116">
        <f t="shared" si="5"/>
        <v>1211.4363891745725</v>
      </c>
      <c r="F110" s="79">
        <v>0</v>
      </c>
      <c r="G110" s="79">
        <v>0</v>
      </c>
      <c r="H110" s="116">
        <f t="shared" si="9"/>
        <v>223.27309485130186</v>
      </c>
      <c r="I110" s="116">
        <f t="shared" si="6"/>
        <v>1211.4363891745725</v>
      </c>
      <c r="J110" s="116">
        <f t="shared" si="7"/>
        <v>21115.873095955612</v>
      </c>
      <c r="K110" s="33"/>
      <c r="N110">
        <v>1434.709484025874</v>
      </c>
    </row>
    <row r="111" spans="3:14" x14ac:dyDescent="0.3">
      <c r="C111" s="19">
        <v>105</v>
      </c>
      <c r="D111" s="116">
        <f t="shared" si="8"/>
        <v>21115.873095955612</v>
      </c>
      <c r="E111" s="116">
        <f t="shared" si="5"/>
        <v>1223.5507530663183</v>
      </c>
      <c r="F111" s="79">
        <v>0</v>
      </c>
      <c r="G111" s="79">
        <v>0</v>
      </c>
      <c r="H111" s="116">
        <f t="shared" si="9"/>
        <v>211.15873095955612</v>
      </c>
      <c r="I111" s="116">
        <f t="shared" si="6"/>
        <v>1223.5507530663183</v>
      </c>
      <c r="J111" s="116">
        <f t="shared" si="7"/>
        <v>19892.322342889292</v>
      </c>
      <c r="K111" s="121">
        <f>D109+3*D109*$D$4/12</f>
        <v>24232.553998248262</v>
      </c>
      <c r="N111">
        <v>1434.709484025874</v>
      </c>
    </row>
    <row r="112" spans="3:14" x14ac:dyDescent="0.3">
      <c r="C112" s="19">
        <v>106</v>
      </c>
      <c r="D112" s="116">
        <f t="shared" si="8"/>
        <v>19892.322342889292</v>
      </c>
      <c r="E112" s="116">
        <f t="shared" si="5"/>
        <v>1235.7862605969815</v>
      </c>
      <c r="F112" s="79">
        <v>0</v>
      </c>
      <c r="G112" s="79">
        <v>0</v>
      </c>
      <c r="H112" s="116">
        <f t="shared" si="9"/>
        <v>198.9232234288929</v>
      </c>
      <c r="I112" s="116">
        <f t="shared" si="6"/>
        <v>1235.7862605969815</v>
      </c>
      <c r="J112" s="116">
        <f t="shared" si="7"/>
        <v>18656.53608229231</v>
      </c>
      <c r="K112" s="33"/>
      <c r="N112">
        <v>1434.709484025874</v>
      </c>
    </row>
    <row r="113" spans="3:14" x14ac:dyDescent="0.3">
      <c r="C113" s="19">
        <v>107</v>
      </c>
      <c r="D113" s="116">
        <f t="shared" si="8"/>
        <v>18656.53608229231</v>
      </c>
      <c r="E113" s="116">
        <f t="shared" si="5"/>
        <v>1248.1441232029513</v>
      </c>
      <c r="F113" s="79">
        <v>0</v>
      </c>
      <c r="G113" s="79">
        <v>0</v>
      </c>
      <c r="H113" s="116">
        <f t="shared" si="9"/>
        <v>186.56536082292314</v>
      </c>
      <c r="I113" s="116">
        <f t="shared" si="6"/>
        <v>1248.1441232029513</v>
      </c>
      <c r="J113" s="116">
        <f t="shared" si="7"/>
        <v>17408.39195908936</v>
      </c>
      <c r="K113" s="33"/>
      <c r="N113">
        <v>1434.709484025874</v>
      </c>
    </row>
    <row r="114" spans="3:14" x14ac:dyDescent="0.3">
      <c r="C114" s="19">
        <v>108</v>
      </c>
      <c r="D114" s="116">
        <f t="shared" si="8"/>
        <v>17408.39195908936</v>
      </c>
      <c r="E114" s="116">
        <f t="shared" si="5"/>
        <v>1260.6255644349808</v>
      </c>
      <c r="F114" s="79">
        <v>0</v>
      </c>
      <c r="G114" s="79">
        <v>0</v>
      </c>
      <c r="H114" s="116">
        <f t="shared" si="9"/>
        <v>174.0839195908936</v>
      </c>
      <c r="I114" s="116">
        <f t="shared" si="6"/>
        <v>1260.6255644349808</v>
      </c>
      <c r="J114" s="116">
        <f t="shared" si="7"/>
        <v>16147.76639465438</v>
      </c>
      <c r="K114" s="121">
        <f>D112+3*D112*$D$4/12</f>
        <v>20489.09201317597</v>
      </c>
      <c r="N114">
        <v>1434.709484025874</v>
      </c>
    </row>
    <row r="115" spans="3:14" x14ac:dyDescent="0.3">
      <c r="C115" s="19">
        <v>109</v>
      </c>
      <c r="D115" s="116">
        <f t="shared" si="8"/>
        <v>16147.76639465438</v>
      </c>
      <c r="E115" s="116">
        <f t="shared" si="5"/>
        <v>1273.2318200793306</v>
      </c>
      <c r="F115" s="79">
        <v>0</v>
      </c>
      <c r="G115" s="79">
        <v>0</v>
      </c>
      <c r="H115" s="116">
        <f t="shared" si="9"/>
        <v>161.4776639465438</v>
      </c>
      <c r="I115" s="116">
        <f t="shared" si="6"/>
        <v>1273.2318200793306</v>
      </c>
      <c r="J115" s="116">
        <f t="shared" si="7"/>
        <v>14874.534574575049</v>
      </c>
      <c r="K115" s="33"/>
      <c r="N115">
        <v>1434.709484025874</v>
      </c>
    </row>
    <row r="116" spans="3:14" x14ac:dyDescent="0.3">
      <c r="C116" s="19">
        <v>110</v>
      </c>
      <c r="D116" s="116">
        <f t="shared" si="8"/>
        <v>14874.534574575049</v>
      </c>
      <c r="E116" s="116">
        <f t="shared" si="5"/>
        <v>1285.964138280124</v>
      </c>
      <c r="F116" s="79">
        <v>0</v>
      </c>
      <c r="G116" s="79">
        <v>0</v>
      </c>
      <c r="H116" s="116">
        <f t="shared" si="9"/>
        <v>148.74534574575048</v>
      </c>
      <c r="I116" s="116">
        <f t="shared" si="6"/>
        <v>1285.964138280124</v>
      </c>
      <c r="J116" s="116">
        <f t="shared" si="7"/>
        <v>13588.570436294925</v>
      </c>
      <c r="K116" s="33"/>
      <c r="N116">
        <v>1434.709484025874</v>
      </c>
    </row>
    <row r="117" spans="3:14" x14ac:dyDescent="0.3">
      <c r="C117" s="19">
        <v>111</v>
      </c>
      <c r="D117" s="116">
        <f t="shared" si="8"/>
        <v>13588.570436294925</v>
      </c>
      <c r="E117" s="116">
        <f t="shared" si="5"/>
        <v>1298.8237796629253</v>
      </c>
      <c r="F117" s="79">
        <v>0</v>
      </c>
      <c r="G117" s="79">
        <v>0</v>
      </c>
      <c r="H117" s="116">
        <f t="shared" si="9"/>
        <v>135.88570436294927</v>
      </c>
      <c r="I117" s="116">
        <f t="shared" si="6"/>
        <v>1298.8237796629253</v>
      </c>
      <c r="J117" s="116">
        <f t="shared" si="7"/>
        <v>12289.746656632</v>
      </c>
      <c r="K117" s="121">
        <f>D115+3*D115*$D$4/12</f>
        <v>16632.199386494012</v>
      </c>
      <c r="N117">
        <v>1434.7094840258751</v>
      </c>
    </row>
    <row r="118" spans="3:14" x14ac:dyDescent="0.3">
      <c r="C118" s="19">
        <v>112</v>
      </c>
      <c r="D118" s="116">
        <f t="shared" si="8"/>
        <v>12289.746656632</v>
      </c>
      <c r="E118" s="116">
        <f t="shared" si="5"/>
        <v>1311.8120174595545</v>
      </c>
      <c r="F118" s="79">
        <v>0</v>
      </c>
      <c r="G118" s="79">
        <v>0</v>
      </c>
      <c r="H118" s="116">
        <f t="shared" si="9"/>
        <v>122.89746656632001</v>
      </c>
      <c r="I118" s="116">
        <f t="shared" si="6"/>
        <v>1311.8120174595545</v>
      </c>
      <c r="J118" s="116">
        <f t="shared" si="7"/>
        <v>10977.934639172445</v>
      </c>
      <c r="K118" s="33"/>
      <c r="N118">
        <v>1434.709484025874</v>
      </c>
    </row>
    <row r="119" spans="3:14" x14ac:dyDescent="0.3">
      <c r="C119" s="19">
        <v>113</v>
      </c>
      <c r="D119" s="116">
        <f t="shared" si="8"/>
        <v>10977.934639172445</v>
      </c>
      <c r="E119" s="116">
        <f t="shared" si="5"/>
        <v>1324.9301376341502</v>
      </c>
      <c r="F119" s="79">
        <v>0</v>
      </c>
      <c r="G119" s="79">
        <v>0</v>
      </c>
      <c r="H119" s="116">
        <f t="shared" si="9"/>
        <v>109.77934639172447</v>
      </c>
      <c r="I119" s="116">
        <f t="shared" si="6"/>
        <v>1324.9301376341502</v>
      </c>
      <c r="J119" s="116">
        <f t="shared" si="7"/>
        <v>9653.0045015382948</v>
      </c>
      <c r="K119" s="33"/>
      <c r="N119">
        <v>1434.7094840258751</v>
      </c>
    </row>
    <row r="120" spans="3:14" x14ac:dyDescent="0.3">
      <c r="C120" s="19">
        <v>114</v>
      </c>
      <c r="D120" s="116">
        <f t="shared" si="8"/>
        <v>9653.0045015382948</v>
      </c>
      <c r="E120" s="116">
        <f t="shared" si="5"/>
        <v>1338.1794390104917</v>
      </c>
      <c r="F120" s="79">
        <v>0</v>
      </c>
      <c r="G120" s="79">
        <v>0</v>
      </c>
      <c r="H120" s="116">
        <f t="shared" si="9"/>
        <v>96.530045015382953</v>
      </c>
      <c r="I120" s="116">
        <f t="shared" si="6"/>
        <v>1338.1794390104917</v>
      </c>
      <c r="J120" s="116">
        <f t="shared" si="7"/>
        <v>8314.8250625278033</v>
      </c>
      <c r="K120" s="121">
        <f>D118+3*D118*$D$4/12</f>
        <v>12658.439056330961</v>
      </c>
      <c r="N120">
        <v>1434.7094840258751</v>
      </c>
    </row>
    <row r="121" spans="3:14" x14ac:dyDescent="0.3">
      <c r="C121" s="19">
        <v>115</v>
      </c>
      <c r="D121" s="116">
        <f t="shared" si="8"/>
        <v>8314.8250625278033</v>
      </c>
      <c r="E121" s="116">
        <f t="shared" si="5"/>
        <v>1351.5612334005966</v>
      </c>
      <c r="F121" s="79">
        <v>0</v>
      </c>
      <c r="G121" s="79">
        <v>0</v>
      </c>
      <c r="H121" s="116">
        <f t="shared" si="9"/>
        <v>83.148250625278038</v>
      </c>
      <c r="I121" s="116">
        <f t="shared" si="6"/>
        <v>1351.5612334005966</v>
      </c>
      <c r="J121" s="116">
        <f t="shared" si="7"/>
        <v>6963.2638291272069</v>
      </c>
      <c r="K121" s="33"/>
      <c r="N121">
        <v>1434.7094840258751</v>
      </c>
    </row>
    <row r="122" spans="3:14" x14ac:dyDescent="0.3">
      <c r="C122" s="19">
        <v>116</v>
      </c>
      <c r="D122" s="116">
        <f t="shared" si="8"/>
        <v>6963.2638291272069</v>
      </c>
      <c r="E122" s="116">
        <f t="shared" si="5"/>
        <v>1365.0768457346026</v>
      </c>
      <c r="F122" s="79">
        <v>0</v>
      </c>
      <c r="G122" s="79">
        <v>0</v>
      </c>
      <c r="H122" s="116">
        <f t="shared" si="9"/>
        <v>69.632638291272059</v>
      </c>
      <c r="I122" s="116">
        <f t="shared" si="6"/>
        <v>1365.0768457346026</v>
      </c>
      <c r="J122" s="116">
        <f t="shared" si="7"/>
        <v>5598.1869833926048</v>
      </c>
      <c r="K122" s="33"/>
      <c r="N122">
        <v>1434.7094840258751</v>
      </c>
    </row>
    <row r="123" spans="3:14" x14ac:dyDescent="0.3">
      <c r="C123" s="19">
        <v>117</v>
      </c>
      <c r="D123" s="116">
        <f t="shared" si="8"/>
        <v>5598.1869833926048</v>
      </c>
      <c r="E123" s="116">
        <f t="shared" si="5"/>
        <v>1378.7276141919492</v>
      </c>
      <c r="F123" s="79">
        <v>0</v>
      </c>
      <c r="G123" s="79">
        <v>0</v>
      </c>
      <c r="H123" s="116">
        <f t="shared" si="9"/>
        <v>55.981869833926048</v>
      </c>
      <c r="I123" s="116">
        <f t="shared" si="6"/>
        <v>1378.7276141919492</v>
      </c>
      <c r="J123" s="116">
        <f t="shared" si="7"/>
        <v>4219.4593692006556</v>
      </c>
      <c r="K123" s="121">
        <f>D121+3*D121*$D$4/12</f>
        <v>8564.2698144036367</v>
      </c>
      <c r="N123">
        <v>1434.7094840258751</v>
      </c>
    </row>
    <row r="124" spans="3:14" x14ac:dyDescent="0.3">
      <c r="C124" s="19">
        <v>118</v>
      </c>
      <c r="D124" s="116">
        <f t="shared" si="8"/>
        <v>4219.4593692006556</v>
      </c>
      <c r="E124" s="116">
        <f t="shared" si="5"/>
        <v>1392.5148903338684</v>
      </c>
      <c r="F124" s="79">
        <v>0</v>
      </c>
      <c r="G124" s="79">
        <v>0</v>
      </c>
      <c r="H124" s="116">
        <f t="shared" si="9"/>
        <v>42.194593692006556</v>
      </c>
      <c r="I124" s="116">
        <f t="shared" si="6"/>
        <v>1392.5148903338684</v>
      </c>
      <c r="J124" s="116">
        <f t="shared" si="7"/>
        <v>2826.944478866787</v>
      </c>
      <c r="K124" s="33"/>
      <c r="N124">
        <v>1434.7094840258751</v>
      </c>
    </row>
    <row r="125" spans="3:14" x14ac:dyDescent="0.3">
      <c r="C125" s="19">
        <v>119</v>
      </c>
      <c r="D125" s="116">
        <f t="shared" si="8"/>
        <v>2826.944478866787</v>
      </c>
      <c r="E125" s="116">
        <f t="shared" si="5"/>
        <v>1406.4400392372072</v>
      </c>
      <c r="F125" s="79">
        <v>0</v>
      </c>
      <c r="G125" s="79">
        <v>0</v>
      </c>
      <c r="H125" s="116">
        <f t="shared" si="9"/>
        <v>28.269444788667869</v>
      </c>
      <c r="I125" s="116">
        <f t="shared" si="6"/>
        <v>1406.4400392372072</v>
      </c>
      <c r="J125" s="116">
        <f t="shared" si="7"/>
        <v>1420.5044396295798</v>
      </c>
      <c r="K125" s="33"/>
      <c r="N125">
        <v>1434.7094840258751</v>
      </c>
    </row>
    <row r="126" spans="3:14" ht="15" thickBot="1" x14ac:dyDescent="0.35">
      <c r="C126" s="20">
        <v>120</v>
      </c>
      <c r="D126" s="117">
        <f t="shared" si="8"/>
        <v>1420.5044396295798</v>
      </c>
      <c r="E126" s="117">
        <f t="shared" si="5"/>
        <v>1420.5044396295796</v>
      </c>
      <c r="F126" s="5">
        <v>0</v>
      </c>
      <c r="G126" s="5">
        <v>0</v>
      </c>
      <c r="H126" s="117">
        <f t="shared" si="9"/>
        <v>14.205044396295799</v>
      </c>
      <c r="I126" s="117">
        <f t="shared" si="6"/>
        <v>1420.5044396295796</v>
      </c>
      <c r="J126" s="117">
        <f t="shared" si="7"/>
        <v>0</v>
      </c>
      <c r="K126" s="122">
        <f>D124+3*D124*$D$4/12</f>
        <v>4346.0431502766751</v>
      </c>
      <c r="N126">
        <v>1434.7094840258751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M19"/>
  <sheetViews>
    <sheetView tabSelected="1" workbookViewId="0">
      <selection activeCell="C4" sqref="C4"/>
    </sheetView>
  </sheetViews>
  <sheetFormatPr defaultRowHeight="14.4" x14ac:dyDescent="0.3"/>
  <cols>
    <col min="3" max="3" width="18.6640625" customWidth="1"/>
    <col min="4" max="4" width="12" bestFit="1" customWidth="1"/>
    <col min="5" max="5" width="8.77734375" customWidth="1"/>
    <col min="12" max="12" width="12.5546875" customWidth="1"/>
  </cols>
  <sheetData>
    <row r="1" spans="2:39" ht="15" thickBot="1" x14ac:dyDescent="0.35"/>
    <row r="2" spans="2:39" ht="20.399999999999999" thickBot="1" x14ac:dyDescent="0.45">
      <c r="D2" s="83" t="s">
        <v>38</v>
      </c>
      <c r="E2" s="104">
        <v>0.75</v>
      </c>
      <c r="F2" s="108" t="s">
        <v>39</v>
      </c>
      <c r="G2" s="108"/>
      <c r="H2" s="108"/>
      <c r="I2" s="109"/>
      <c r="K2" s="105" t="s">
        <v>67</v>
      </c>
      <c r="L2" s="106"/>
      <c r="M2" s="107"/>
    </row>
    <row r="3" spans="2:39" ht="15" thickBot="1" x14ac:dyDescent="0.35">
      <c r="D3" s="83" t="s">
        <v>40</v>
      </c>
      <c r="E3" s="104">
        <v>0.8</v>
      </c>
      <c r="F3" s="108" t="s">
        <v>68</v>
      </c>
      <c r="G3" s="108"/>
      <c r="H3" s="108"/>
      <c r="I3" s="109"/>
    </row>
    <row r="4" spans="2:39" ht="15" thickBot="1" x14ac:dyDescent="0.35">
      <c r="D4" s="91" t="s">
        <v>41</v>
      </c>
      <c r="E4" s="72">
        <v>0.7</v>
      </c>
      <c r="F4" s="110" t="s">
        <v>42</v>
      </c>
      <c r="G4" s="110"/>
      <c r="H4" s="110"/>
      <c r="I4" s="111"/>
    </row>
    <row r="5" spans="2:39" ht="15" thickBot="1" x14ac:dyDescent="0.35"/>
    <row r="6" spans="2:39" ht="15" thickBot="1" x14ac:dyDescent="0.35">
      <c r="D6" s="112">
        <v>1</v>
      </c>
      <c r="E6" s="113">
        <v>2</v>
      </c>
      <c r="F6" s="113">
        <v>3</v>
      </c>
      <c r="G6" s="113">
        <v>4</v>
      </c>
      <c r="H6" s="113">
        <v>5</v>
      </c>
      <c r="I6" s="113">
        <v>6</v>
      </c>
      <c r="J6" s="113">
        <v>7</v>
      </c>
      <c r="K6" s="113">
        <v>8</v>
      </c>
      <c r="L6" s="113">
        <v>9</v>
      </c>
      <c r="M6" s="113">
        <v>10</v>
      </c>
      <c r="N6" s="113">
        <v>11</v>
      </c>
      <c r="O6" s="113">
        <v>12</v>
      </c>
      <c r="P6" s="113">
        <v>13</v>
      </c>
      <c r="Q6" s="113">
        <v>14</v>
      </c>
      <c r="R6" s="113">
        <v>15</v>
      </c>
      <c r="S6" s="113">
        <v>16</v>
      </c>
      <c r="T6" s="113">
        <v>17</v>
      </c>
      <c r="U6" s="113">
        <v>18</v>
      </c>
      <c r="V6" s="113">
        <v>19</v>
      </c>
      <c r="W6" s="113">
        <v>20</v>
      </c>
      <c r="X6" s="113">
        <v>21</v>
      </c>
      <c r="Y6" s="113">
        <v>22</v>
      </c>
      <c r="Z6" s="113">
        <v>23</v>
      </c>
      <c r="AA6" s="113">
        <v>24</v>
      </c>
      <c r="AB6" s="113">
        <v>25</v>
      </c>
      <c r="AC6" s="113">
        <v>26</v>
      </c>
      <c r="AD6" s="113">
        <v>27</v>
      </c>
      <c r="AE6" s="113">
        <v>28</v>
      </c>
      <c r="AF6" s="113">
        <v>29</v>
      </c>
      <c r="AG6" s="113">
        <v>30</v>
      </c>
      <c r="AH6" s="113">
        <v>31</v>
      </c>
      <c r="AI6" s="113">
        <v>32</v>
      </c>
      <c r="AJ6" s="113">
        <v>33</v>
      </c>
      <c r="AK6" s="113">
        <v>34</v>
      </c>
      <c r="AL6" s="113">
        <v>35</v>
      </c>
      <c r="AM6" s="114">
        <v>36</v>
      </c>
    </row>
    <row r="7" spans="2:39" ht="15" thickBot="1" x14ac:dyDescent="0.35">
      <c r="B7" s="7"/>
      <c r="C7" s="134" t="s">
        <v>69</v>
      </c>
      <c r="D7" s="7">
        <v>15</v>
      </c>
      <c r="E7" s="18">
        <v>18</v>
      </c>
      <c r="F7" s="18">
        <v>21</v>
      </c>
      <c r="G7" s="18">
        <v>24</v>
      </c>
      <c r="H7" s="18">
        <v>27</v>
      </c>
      <c r="I7" s="18">
        <v>30</v>
      </c>
      <c r="J7" s="18">
        <v>33</v>
      </c>
      <c r="K7" s="18">
        <v>36</v>
      </c>
      <c r="L7" s="18">
        <v>39</v>
      </c>
      <c r="M7" s="18">
        <v>42</v>
      </c>
      <c r="N7" s="18">
        <v>45</v>
      </c>
      <c r="O7" s="18">
        <v>48</v>
      </c>
      <c r="P7" s="18">
        <v>51</v>
      </c>
      <c r="Q7" s="18">
        <v>54</v>
      </c>
      <c r="R7" s="18">
        <v>57</v>
      </c>
      <c r="S7" s="18">
        <v>60</v>
      </c>
      <c r="T7" s="18">
        <v>63</v>
      </c>
      <c r="U7" s="18">
        <v>66</v>
      </c>
      <c r="V7" s="18">
        <v>69</v>
      </c>
      <c r="W7" s="18">
        <v>72</v>
      </c>
      <c r="X7" s="18">
        <v>75</v>
      </c>
      <c r="Y7" s="18">
        <v>78</v>
      </c>
      <c r="Z7" s="18">
        <v>81</v>
      </c>
      <c r="AA7" s="18">
        <v>84</v>
      </c>
      <c r="AB7" s="18">
        <v>87</v>
      </c>
      <c r="AC7" s="18">
        <v>90</v>
      </c>
      <c r="AD7" s="18">
        <v>93</v>
      </c>
      <c r="AE7" s="18">
        <v>96</v>
      </c>
      <c r="AF7" s="18">
        <v>99</v>
      </c>
      <c r="AG7" s="18">
        <v>102</v>
      </c>
      <c r="AH7" s="18">
        <v>105</v>
      </c>
      <c r="AI7" s="18">
        <v>108</v>
      </c>
      <c r="AJ7" s="18">
        <v>111</v>
      </c>
      <c r="AK7" s="18">
        <v>114</v>
      </c>
      <c r="AL7" s="18">
        <v>117</v>
      </c>
      <c r="AM7" s="8">
        <v>120</v>
      </c>
    </row>
    <row r="8" spans="2:39" x14ac:dyDescent="0.3">
      <c r="C8" s="126" t="s">
        <v>37</v>
      </c>
      <c r="D8" s="124">
        <f>VLOOKUP(D7,'EAD Amort schedule'!$C$7:$K$126,9,0)</f>
        <v>97321.399528745838</v>
      </c>
      <c r="E8" s="123">
        <f>VLOOKUP(E7,'EAD Amort schedule'!$C$7:$K$126,9,0)</f>
        <v>95792.602652093163</v>
      </c>
      <c r="F8" s="123">
        <f>VLOOKUP(F7,'EAD Amort schedule'!$C$7:$K$126,9,0)</f>
        <v>94217.481701281024</v>
      </c>
      <c r="G8" s="123">
        <f>VLOOKUP(G7,'EAD Amort schedule'!$C$7:$K$126,9,0)</f>
        <v>92594.633010538339</v>
      </c>
      <c r="H8" s="123">
        <f>VLOOKUP(H7,'EAD Amort schedule'!$C$7:$K$126,9,0)</f>
        <v>90922.610381617458</v>
      </c>
      <c r="I8" s="123">
        <f>VLOOKUP(I7,'EAD Amort schedule'!$C$7:$K$126,9,0)</f>
        <v>89199.923795017661</v>
      </c>
      <c r="J8" s="123">
        <f>VLOOKUP(J7,'EAD Amort schedule'!$C$7:$K$126,9,0)</f>
        <v>87425.038082157291</v>
      </c>
      <c r="K8" s="123">
        <f>VLOOKUP(K7,'EAD Amort schedule'!$C$7:$K$126,9,0)</f>
        <v>85596.371557311533</v>
      </c>
      <c r="L8" s="123">
        <f>VLOOKUP(L7,'EAD Amort schedule'!$C$7:$K$126,9,0)</f>
        <v>83712.294608096432</v>
      </c>
      <c r="M8" s="123">
        <f>VLOOKUP(M7,'EAD Amort schedule'!$C$7:$K$126,9,0)</f>
        <v>81771.128243243162</v>
      </c>
      <c r="N8" s="123">
        <f>VLOOKUP(N7,'EAD Amort schedule'!$C$7:$K$126,9,0)</f>
        <v>79771.142596368474</v>
      </c>
      <c r="O8" s="123">
        <f>VLOOKUP(O7,'EAD Amort schedule'!$C$7:$K$126,9,0)</f>
        <v>77710.555384407809</v>
      </c>
      <c r="P8" s="123">
        <f>VLOOKUP(P7,'EAD Amort schedule'!$C$7:$K$126,9,0)</f>
        <v>75587.530319337544</v>
      </c>
      <c r="Q8" s="123">
        <f>VLOOKUP(Q7,'EAD Amort schedule'!$C$7:$K$126,9,0)</f>
        <v>73400.175471770592</v>
      </c>
      <c r="R8" s="123">
        <f>VLOOKUP(R7,'EAD Amort schedule'!$C$7:$K$126,9,0)</f>
        <v>71146.541584967505</v>
      </c>
      <c r="S8" s="123">
        <f>VLOOKUP(S7,'EAD Amort schedule'!$C$7:$K$126,9,0)</f>
        <v>68824.620337760411</v>
      </c>
      <c r="T8" s="123">
        <f>VLOOKUP(T7,'EAD Amort schedule'!$C$7:$K$126,9,0)</f>
        <v>66432.342554841685</v>
      </c>
      <c r="U8" s="123">
        <f>VLOOKUP(U7,'EAD Amort schedule'!$C$7:$K$126,9,0)</f>
        <v>63967.576362822736</v>
      </c>
      <c r="V8" s="123">
        <f>VLOOKUP(V7,'EAD Amort schedule'!$C$7:$K$126,9,0)</f>
        <v>61428.125290419419</v>
      </c>
      <c r="W8" s="123">
        <f>VLOOKUP(W7,'EAD Amort schedule'!$C$7:$K$126,9,0)</f>
        <v>58811.726311071223</v>
      </c>
      <c r="X8" s="123">
        <f>VLOOKUP(X7,'EAD Amort schedule'!$C$7:$K$126,9,0)</f>
        <v>56116.047826249793</v>
      </c>
      <c r="Y8" s="123">
        <f>VLOOKUP(Y7,'EAD Amort schedule'!$C$7:$K$126,9,0)</f>
        <v>53338.687587659791</v>
      </c>
      <c r="Z8" s="123">
        <f>VLOOKUP(Z7,'EAD Amort schedule'!$C$7:$K$126,9,0)</f>
        <v>50477.170556480269</v>
      </c>
      <c r="AA8" s="123">
        <f>VLOOKUP(AA7,'EAD Amort schedule'!$C$7:$K$126,9,0)</f>
        <v>47528.946697738967</v>
      </c>
      <c r="AB8" s="123">
        <f>VLOOKUP(AB7,'EAD Amort schedule'!$C$7:$K$126,9,0)</f>
        <v>44491.388707853956</v>
      </c>
      <c r="AC8" s="123">
        <f>VLOOKUP(AC7,'EAD Amort schedule'!$C$7:$K$126,9,0)</f>
        <v>41361.789673317435</v>
      </c>
      <c r="AD8" s="123">
        <f>VLOOKUP(AD7,'EAD Amort schedule'!$C$7:$K$126,9,0)</f>
        <v>38137.36065843542</v>
      </c>
      <c r="AE8" s="123">
        <f>VLOOKUP(AE7,'EAD Amort schedule'!$C$7:$K$126,9,0)</f>
        <v>34815.228219973469</v>
      </c>
      <c r="AF8" s="123">
        <f>VLOOKUP(AF7,'EAD Amort schedule'!$C$7:$K$126,9,0)</f>
        <v>31392.431846493684</v>
      </c>
      <c r="AG8" s="123">
        <f>VLOOKUP(AG7,'EAD Amort schedule'!$C$7:$K$126,9,0)</f>
        <v>27865.921320101086</v>
      </c>
      <c r="AH8" s="123">
        <f>VLOOKUP(AH7,'EAD Amort schedule'!$C$7:$K$126,9,0)</f>
        <v>24232.553998248262</v>
      </c>
      <c r="AI8" s="123">
        <f>VLOOKUP(AI7,'EAD Amort schedule'!$C$7:$K$126,9,0)</f>
        <v>20489.09201317597</v>
      </c>
      <c r="AJ8" s="123">
        <f>VLOOKUP(AJ7,'EAD Amort schedule'!$C$7:$K$126,9,0)</f>
        <v>16632.199386494012</v>
      </c>
      <c r="AK8" s="123">
        <f>VLOOKUP(AK7,'EAD Amort schedule'!$C$7:$K$126,9,0)</f>
        <v>12658.439056330961</v>
      </c>
      <c r="AL8" s="123">
        <f>VLOOKUP(AL7,'EAD Amort schedule'!$C$7:$K$126,9,0)</f>
        <v>8564.2698144036367</v>
      </c>
      <c r="AM8" s="125">
        <f>VLOOKUP(AM7,'EAD Amort schedule'!$C$7:$K$126,9,0)</f>
        <v>4346.0431502766751</v>
      </c>
    </row>
    <row r="9" spans="2:39" x14ac:dyDescent="0.3">
      <c r="C9" s="127" t="s">
        <v>43</v>
      </c>
      <c r="D9" s="19">
        <v>75000</v>
      </c>
      <c r="E9" s="79">
        <v>75237.248740527546</v>
      </c>
      <c r="F9" s="79">
        <v>75499.827824537788</v>
      </c>
      <c r="G9" s="79">
        <v>75701.522806634224</v>
      </c>
      <c r="H9" s="79">
        <v>75953.360337313745</v>
      </c>
      <c r="I9" s="79">
        <v>76143.745686503928</v>
      </c>
      <c r="J9" s="79">
        <v>76322.007491632176</v>
      </c>
      <c r="K9" s="79">
        <v>76500.686629410411</v>
      </c>
      <c r="L9" s="86">
        <v>76717.626839279823</v>
      </c>
      <c r="M9" s="79">
        <v>76858.766120405227</v>
      </c>
      <c r="N9" s="79">
        <v>77076.721770048433</v>
      </c>
      <c r="O9" s="79">
        <v>77244.35520576789</v>
      </c>
      <c r="P9" s="79">
        <v>77450.710627882028</v>
      </c>
      <c r="Q9" s="79">
        <v>77619.157448443482</v>
      </c>
      <c r="R9" s="79">
        <v>77775.001039421142</v>
      </c>
      <c r="S9" s="79">
        <v>78021.027986636225</v>
      </c>
      <c r="T9" s="79">
        <v>78229.45826119899</v>
      </c>
      <c r="U9" s="79">
        <v>78386.527212942776</v>
      </c>
      <c r="V9" s="79">
        <v>78660.097324275557</v>
      </c>
      <c r="W9" s="79">
        <v>78844.250215812048</v>
      </c>
      <c r="X9" s="79">
        <v>79119.417787031198</v>
      </c>
      <c r="Y9" s="79">
        <v>79395.545697045425</v>
      </c>
      <c r="Z9" s="79">
        <v>79672.637297450987</v>
      </c>
      <c r="AA9" s="79">
        <v>79950.695951541245</v>
      </c>
      <c r="AB9" s="79">
        <v>80229.725034347517</v>
      </c>
      <c r="AC9" s="79">
        <v>80509.727932680034</v>
      </c>
      <c r="AD9" s="79">
        <v>80790.708045169042</v>
      </c>
      <c r="AE9" s="79">
        <v>81072.668782306049</v>
      </c>
      <c r="AF9" s="79">
        <v>81355.613566485234</v>
      </c>
      <c r="AG9" s="79">
        <v>81639.545832044969</v>
      </c>
      <c r="AH9" s="79">
        <v>81924.469025309518</v>
      </c>
      <c r="AI9" s="79">
        <v>82210.386604630883</v>
      </c>
      <c r="AJ9" s="79">
        <v>82497.302040430761</v>
      </c>
      <c r="AK9" s="79">
        <v>82785.218815242653</v>
      </c>
      <c r="AL9" s="79">
        <v>83074.140423754172</v>
      </c>
      <c r="AM9" s="33">
        <v>83364.070372849426</v>
      </c>
    </row>
    <row r="10" spans="2:39" ht="29.4" thickBot="1" x14ac:dyDescent="0.35">
      <c r="C10" s="136" t="s">
        <v>74</v>
      </c>
      <c r="D10" s="55">
        <v>3.1633165403671792E-3</v>
      </c>
      <c r="E10" s="81">
        <v>3.4900144330876929E-3</v>
      </c>
      <c r="F10" s="81">
        <v>2.671462808698948E-3</v>
      </c>
      <c r="G10" s="81">
        <v>3.3267168392740092E-3</v>
      </c>
      <c r="H10" s="81">
        <v>2.5066086390999639E-3</v>
      </c>
      <c r="I10" s="81">
        <v>2.3411220911324008E-3</v>
      </c>
      <c r="J10" s="81">
        <v>2.3411220911324008E-3</v>
      </c>
      <c r="K10" s="81">
        <v>2.8357942840478911E-3</v>
      </c>
      <c r="L10" s="81">
        <v>1.8397242842389651E-3</v>
      </c>
      <c r="M10" s="81">
        <v>2.8357942840478911E-3</v>
      </c>
      <c r="N10" s="81">
        <v>2.1748905748685638E-3</v>
      </c>
      <c r="O10" s="81">
        <v>2.671462808698948E-3</v>
      </c>
      <c r="P10" s="81">
        <v>2.1748905748685638E-3</v>
      </c>
      <c r="Q10" s="81">
        <v>2.0077980243623939E-3</v>
      </c>
      <c r="R10" s="81">
        <v>3.1633165403671792E-3</v>
      </c>
      <c r="S10" s="81">
        <v>2.671462808698948E-3</v>
      </c>
      <c r="T10" s="81">
        <v>2.0077980243623939E-3</v>
      </c>
      <c r="U10" s="81">
        <v>3.4900144330876929E-3</v>
      </c>
      <c r="V10" s="81">
        <v>2.3411220911324008E-3</v>
      </c>
      <c r="W10" s="81">
        <v>3.4900144330876929E-3</v>
      </c>
      <c r="X10" s="81">
        <v>3.4900144330876929E-3</v>
      </c>
      <c r="Y10" s="81">
        <v>3.4900144330876929E-3</v>
      </c>
      <c r="Z10" s="81">
        <v>3.4900144330876929E-3</v>
      </c>
      <c r="AA10" s="81">
        <v>3.4900144330876929E-3</v>
      </c>
      <c r="AB10" s="81">
        <v>3.4900144330876929E-3</v>
      </c>
      <c r="AC10" s="81">
        <v>3.4900144330876929E-3</v>
      </c>
      <c r="AD10" s="81">
        <v>3.4900144330876929E-3</v>
      </c>
      <c r="AE10" s="81">
        <v>3.4900144330876929E-3</v>
      </c>
      <c r="AF10" s="81">
        <v>3.4900144330876929E-3</v>
      </c>
      <c r="AG10" s="81">
        <v>3.4900144330876929E-3</v>
      </c>
      <c r="AH10" s="81">
        <v>3.4900144330876929E-3</v>
      </c>
      <c r="AI10" s="81">
        <v>3.4900144330876929E-3</v>
      </c>
      <c r="AJ10" s="81">
        <v>3.4900144330876929E-3</v>
      </c>
      <c r="AK10" s="81">
        <v>3.4900144330876929E-3</v>
      </c>
      <c r="AL10" s="81">
        <v>3.4900144330876929E-3</v>
      </c>
      <c r="AM10" s="46">
        <v>3.4900144330876929E-3</v>
      </c>
    </row>
    <row r="11" spans="2:39" ht="15" thickBot="1" x14ac:dyDescent="0.35"/>
    <row r="12" spans="2:39" x14ac:dyDescent="0.3">
      <c r="C12" s="126" t="s">
        <v>44</v>
      </c>
      <c r="D12" s="21">
        <f>D9*(1+D10)</f>
        <v>75237.248740527546</v>
      </c>
      <c r="E12" s="21">
        <f t="shared" ref="E12:AM12" si="0">E9*(1+E10)</f>
        <v>75499.827824537788</v>
      </c>
      <c r="F12" s="21">
        <f t="shared" si="0"/>
        <v>75701.522806634224</v>
      </c>
      <c r="G12" s="21">
        <f t="shared" si="0"/>
        <v>75953.360337313745</v>
      </c>
      <c r="H12" s="21">
        <f t="shared" si="0"/>
        <v>76143.745686503928</v>
      </c>
      <c r="I12" s="21">
        <f t="shared" si="0"/>
        <v>76322.007491632176</v>
      </c>
      <c r="J12" s="21">
        <f t="shared" si="0"/>
        <v>76500.686629410411</v>
      </c>
      <c r="K12" s="21">
        <f t="shared" si="0"/>
        <v>76717.626839279823</v>
      </c>
      <c r="L12" s="21">
        <f t="shared" si="0"/>
        <v>76858.766120405227</v>
      </c>
      <c r="M12" s="21">
        <f t="shared" si="0"/>
        <v>77076.721770048433</v>
      </c>
      <c r="N12" s="21">
        <f t="shared" si="0"/>
        <v>77244.35520576789</v>
      </c>
      <c r="O12" s="21">
        <f t="shared" si="0"/>
        <v>77450.710627882028</v>
      </c>
      <c r="P12" s="21">
        <f t="shared" si="0"/>
        <v>77619.157448443482</v>
      </c>
      <c r="Q12" s="21">
        <f t="shared" si="0"/>
        <v>77775.001039421142</v>
      </c>
      <c r="R12" s="21">
        <f t="shared" si="0"/>
        <v>78021.027986636225</v>
      </c>
      <c r="S12" s="21">
        <f t="shared" si="0"/>
        <v>78229.45826119899</v>
      </c>
      <c r="T12" s="21">
        <f t="shared" si="0"/>
        <v>78386.527212942776</v>
      </c>
      <c r="U12" s="21">
        <f t="shared" si="0"/>
        <v>78660.097324275557</v>
      </c>
      <c r="V12" s="21">
        <f t="shared" si="0"/>
        <v>78844.250215812048</v>
      </c>
      <c r="W12" s="21">
        <f t="shared" si="0"/>
        <v>79119.417787031198</v>
      </c>
      <c r="X12" s="21">
        <f t="shared" si="0"/>
        <v>79395.545697045425</v>
      </c>
      <c r="Y12" s="21">
        <f t="shared" si="0"/>
        <v>79672.637297450987</v>
      </c>
      <c r="Z12" s="21">
        <f t="shared" si="0"/>
        <v>79950.695951541245</v>
      </c>
      <c r="AA12" s="21">
        <f t="shared" si="0"/>
        <v>80229.725034347517</v>
      </c>
      <c r="AB12" s="21">
        <f t="shared" si="0"/>
        <v>80509.727932680034</v>
      </c>
      <c r="AC12" s="21">
        <f t="shared" si="0"/>
        <v>80790.708045169042</v>
      </c>
      <c r="AD12" s="21">
        <f t="shared" si="0"/>
        <v>81072.668782306049</v>
      </c>
      <c r="AE12" s="21">
        <f t="shared" si="0"/>
        <v>81355.613566485234</v>
      </c>
      <c r="AF12" s="21">
        <f t="shared" si="0"/>
        <v>81639.545832044969</v>
      </c>
      <c r="AG12" s="21">
        <f t="shared" si="0"/>
        <v>81924.469025309518</v>
      </c>
      <c r="AH12" s="21">
        <f t="shared" si="0"/>
        <v>82210.386604630883</v>
      </c>
      <c r="AI12" s="21">
        <f t="shared" si="0"/>
        <v>82497.302040430761</v>
      </c>
      <c r="AJ12" s="21">
        <f t="shared" si="0"/>
        <v>82785.218815242653</v>
      </c>
      <c r="AK12" s="21">
        <f t="shared" si="0"/>
        <v>83074.140423754172</v>
      </c>
      <c r="AL12" s="21">
        <f t="shared" si="0"/>
        <v>83364.070372849426</v>
      </c>
      <c r="AM12" s="22">
        <f t="shared" si="0"/>
        <v>83655.012181651604</v>
      </c>
    </row>
    <row r="13" spans="2:39" x14ac:dyDescent="0.3">
      <c r="C13" s="127" t="s">
        <v>45</v>
      </c>
      <c r="D13" s="79">
        <f>D12*$E$3</f>
        <v>60189.798992422038</v>
      </c>
      <c r="E13" s="79">
        <f>E12*$E$3</f>
        <v>60399.86225963023</v>
      </c>
      <c r="F13" s="79">
        <f>F12*$E$3</f>
        <v>60561.218245307384</v>
      </c>
      <c r="G13" s="79">
        <f>G12*$E$3</f>
        <v>60762.688269851002</v>
      </c>
      <c r="H13" s="79">
        <f>H12*$E$3</f>
        <v>60914.996549203148</v>
      </c>
      <c r="I13" s="79">
        <f>I12*$E$3</f>
        <v>61057.60599330574</v>
      </c>
      <c r="J13" s="79">
        <f>J12*$E$3</f>
        <v>61200.549303528329</v>
      </c>
      <c r="K13" s="79">
        <f>K12*$E$3</f>
        <v>61374.101471423863</v>
      </c>
      <c r="L13" s="79">
        <f>L12*$E$3</f>
        <v>61487.012896324188</v>
      </c>
      <c r="M13" s="79">
        <f>M12*$E$3</f>
        <v>61661.377416038747</v>
      </c>
      <c r="N13" s="79">
        <f>N12*$E$3</f>
        <v>61795.484164614318</v>
      </c>
      <c r="O13" s="79">
        <f>O12*$E$3</f>
        <v>61960.568502305628</v>
      </c>
      <c r="P13" s="79">
        <f>P12*$E$3</f>
        <v>62095.325958754787</v>
      </c>
      <c r="Q13" s="79">
        <f>Q12*$E$3</f>
        <v>62220.00083153692</v>
      </c>
      <c r="R13" s="79">
        <f>R12*$E$3</f>
        <v>62416.822389308982</v>
      </c>
      <c r="S13" s="79">
        <f>S12*$E$3</f>
        <v>62583.566608959198</v>
      </c>
      <c r="T13" s="79">
        <f>T12*$E$3</f>
        <v>62709.221770354226</v>
      </c>
      <c r="U13" s="79">
        <f>U12*$E$3</f>
        <v>62928.077859420446</v>
      </c>
      <c r="V13" s="79">
        <f>V12*$E$3</f>
        <v>63075.400172649643</v>
      </c>
      <c r="W13" s="79">
        <f>W12*$E$3</f>
        <v>63295.534229624958</v>
      </c>
      <c r="X13" s="79">
        <f>X12*$E$3</f>
        <v>63516.436557636342</v>
      </c>
      <c r="Y13" s="79">
        <f>Y12*$E$3</f>
        <v>63738.109837960794</v>
      </c>
      <c r="Z13" s="79">
        <f>Z12*$E$3</f>
        <v>63960.556761232998</v>
      </c>
      <c r="AA13" s="79">
        <f>AA12*$E$3</f>
        <v>64183.780027478017</v>
      </c>
      <c r="AB13" s="79">
        <f>AB12*$E$3</f>
        <v>64407.782346144028</v>
      </c>
      <c r="AC13" s="79">
        <f>AC12*$E$3</f>
        <v>64632.566436135239</v>
      </c>
      <c r="AD13" s="79">
        <f>AD12*$E$3</f>
        <v>64858.135025844844</v>
      </c>
      <c r="AE13" s="79">
        <f>AE12*$E$3</f>
        <v>65084.490853188188</v>
      </c>
      <c r="AF13" s="79">
        <f>AF12*$E$3</f>
        <v>65311.636665635975</v>
      </c>
      <c r="AG13" s="79">
        <f>AG12*$E$3</f>
        <v>65539.575220247614</v>
      </c>
      <c r="AH13" s="79">
        <f>AH12*$E$3</f>
        <v>65768.309283704715</v>
      </c>
      <c r="AI13" s="79">
        <f>AI12*$E$3</f>
        <v>65997.841632344614</v>
      </c>
      <c r="AJ13" s="79">
        <f>AJ12*$E$3</f>
        <v>66228.175052194129</v>
      </c>
      <c r="AK13" s="79">
        <f>AK12*$E$3</f>
        <v>66459.312339003343</v>
      </c>
      <c r="AL13" s="79">
        <f>AL12*$E$3</f>
        <v>66691.25629827955</v>
      </c>
      <c r="AM13" s="33">
        <f>AM12*$E$3</f>
        <v>66924.00974532128</v>
      </c>
    </row>
    <row r="14" spans="2:39" ht="15" thickBot="1" x14ac:dyDescent="0.35">
      <c r="C14" s="128" t="s">
        <v>46</v>
      </c>
      <c r="D14" s="5">
        <f>D8/D13</f>
        <v>1.6169085319756378</v>
      </c>
      <c r="E14" s="5">
        <f t="shared" ref="E14:AM14" si="1">E8/E13</f>
        <v>1.5859738593496522</v>
      </c>
      <c r="F14" s="5">
        <f t="shared" si="1"/>
        <v>1.5557395381256471</v>
      </c>
      <c r="G14" s="5">
        <f t="shared" si="1"/>
        <v>1.5238732131027453</v>
      </c>
      <c r="H14" s="5">
        <f t="shared" si="1"/>
        <v>1.4926145535964386</v>
      </c>
      <c r="I14" s="5">
        <f t="shared" si="1"/>
        <v>1.4609142029708371</v>
      </c>
      <c r="J14" s="5">
        <f t="shared" si="1"/>
        <v>1.4285008725749635</v>
      </c>
      <c r="K14" s="5">
        <f t="shared" si="1"/>
        <v>1.3946659829662142</v>
      </c>
      <c r="L14" s="5">
        <f t="shared" si="1"/>
        <v>1.3614630255212954</v>
      </c>
      <c r="M14" s="5">
        <f t="shared" si="1"/>
        <v>1.3261320403454637</v>
      </c>
      <c r="N14" s="5">
        <f t="shared" si="1"/>
        <v>1.2908895152252482</v>
      </c>
      <c r="O14" s="5">
        <f t="shared" si="1"/>
        <v>1.2541937116267114</v>
      </c>
      <c r="P14" s="5">
        <f t="shared" si="1"/>
        <v>1.2172821247374497</v>
      </c>
      <c r="Q14" s="5">
        <f t="shared" si="1"/>
        <v>1.179687793166452</v>
      </c>
      <c r="R14" s="5">
        <f t="shared" si="1"/>
        <v>1.1398616408443405</v>
      </c>
      <c r="S14" s="5">
        <f t="shared" si="1"/>
        <v>1.0997235227547382</v>
      </c>
      <c r="T14" s="5">
        <f t="shared" si="1"/>
        <v>1.0593711846420579</v>
      </c>
      <c r="U14" s="5">
        <f t="shared" si="1"/>
        <v>1.0165188344974481</v>
      </c>
      <c r="V14" s="5">
        <f t="shared" si="1"/>
        <v>0.97388403596772577</v>
      </c>
      <c r="W14" s="5">
        <f t="shared" si="1"/>
        <v>0.92916075402275178</v>
      </c>
      <c r="X14" s="5">
        <f t="shared" si="1"/>
        <v>0.88348860338423962</v>
      </c>
      <c r="Y14" s="5">
        <f t="shared" si="1"/>
        <v>0.83684137674086823</v>
      </c>
      <c r="Z14" s="5">
        <f t="shared" si="1"/>
        <v>0.78919216955714311</v>
      </c>
      <c r="AA14" s="5">
        <f t="shared" si="1"/>
        <v>0.7405133614347913</v>
      </c>
      <c r="AB14" s="5">
        <f t="shared" si="1"/>
        <v>0.69077659697621263</v>
      </c>
      <c r="AC14" s="5">
        <f t="shared" si="1"/>
        <v>0.63995276613667917</v>
      </c>
      <c r="AD14" s="5">
        <f t="shared" si="1"/>
        <v>0.58801198405162813</v>
      </c>
      <c r="AE14" s="5">
        <f t="shared" si="1"/>
        <v>0.53492357032501903</v>
      </c>
      <c r="AF14" s="5">
        <f t="shared" si="1"/>
        <v>0.48065602776435951</v>
      </c>
      <c r="AG14" s="5">
        <f t="shared" si="1"/>
        <v>0.42517702054761358</v>
      </c>
      <c r="AH14" s="5">
        <f t="shared" si="1"/>
        <v>0.36845335180681488</v>
      </c>
      <c r="AI14" s="5">
        <f t="shared" si="1"/>
        <v>0.3104509406127996</v>
      </c>
      <c r="AJ14" s="5">
        <f t="shared" si="1"/>
        <v>0.25113479834505859</v>
      </c>
      <c r="AK14" s="5">
        <f t="shared" si="1"/>
        <v>0.19046900443027956</v>
      </c>
      <c r="AL14" s="5">
        <f t="shared" si="1"/>
        <v>0.12841668143271387</v>
      </c>
      <c r="AM14" s="6">
        <f t="shared" si="1"/>
        <v>6.493996947904801E-2</v>
      </c>
    </row>
    <row r="15" spans="2:39" ht="15" thickBot="1" x14ac:dyDescent="0.35"/>
    <row r="16" spans="2:39" ht="26.4" thickBot="1" x14ac:dyDescent="0.35">
      <c r="C16" s="129" t="s">
        <v>18</v>
      </c>
      <c r="D16" s="130">
        <f>$E$2*MAX(D14-$E$4,0)</f>
        <v>0.68768139898172831</v>
      </c>
      <c r="E16" s="130">
        <f>$E$2*MAX(E14-$E$4,0)</f>
        <v>0.66448039451223917</v>
      </c>
      <c r="F16" s="130">
        <f>$E$2*MAX(F14-$E$4,0)</f>
        <v>0.64180465359423544</v>
      </c>
      <c r="G16" s="130">
        <f>$E$2*MAX(G14-$E$4,0)</f>
        <v>0.61790490982705903</v>
      </c>
      <c r="H16" s="130">
        <f>$E$2*MAX(H14-$E$4,0)</f>
        <v>0.59446091519732902</v>
      </c>
      <c r="I16" s="130">
        <f>$E$2*MAX(I14-$E$4,0)</f>
        <v>0.57068565222812784</v>
      </c>
      <c r="J16" s="130">
        <f>$E$2*MAX(J14-$E$4,0)</f>
        <v>0.5463756544312226</v>
      </c>
      <c r="K16" s="130">
        <f>$E$2*MAX(K14-$E$4,0)</f>
        <v>0.52099948722466072</v>
      </c>
      <c r="L16" s="130">
        <f>$E$2*MAX(L14-$E$4,0)</f>
        <v>0.49609726914097158</v>
      </c>
      <c r="M16" s="130">
        <f>$E$2*MAX(M14-$E$4,0)</f>
        <v>0.46959903025909783</v>
      </c>
      <c r="N16" s="130">
        <f>$E$2*MAX(N14-$E$4,0)</f>
        <v>0.44316713641893618</v>
      </c>
      <c r="O16" s="130">
        <f>$E$2*MAX(O14-$E$4,0)</f>
        <v>0.41564528372003362</v>
      </c>
      <c r="P16" s="130">
        <f>$E$2*MAX(P14-$E$4,0)</f>
        <v>0.38796159355308729</v>
      </c>
      <c r="Q16" s="130">
        <f>$E$2*MAX(Q14-$E$4,0)</f>
        <v>0.35976584487483904</v>
      </c>
      <c r="R16" s="130">
        <f>$E$2*MAX(R14-$E$4,0)</f>
        <v>0.32989623063325541</v>
      </c>
      <c r="S16" s="130">
        <f>$E$2*MAX(S14-$E$4,0)</f>
        <v>0.29979264206605366</v>
      </c>
      <c r="T16" s="130">
        <f>$E$2*MAX(T14-$E$4,0)</f>
        <v>0.26952838848154348</v>
      </c>
      <c r="U16" s="130">
        <f>$E$2*MAX(U14-$E$4,0)</f>
        <v>0.23738912587308608</v>
      </c>
      <c r="V16" s="130">
        <f>$E$2*MAX(V14-$E$4,0)</f>
        <v>0.20541302697579436</v>
      </c>
      <c r="W16" s="130">
        <f>$E$2*MAX(W14-$E$4,0)</f>
        <v>0.17187056551706387</v>
      </c>
      <c r="X16" s="130">
        <f>$E$2*MAX(X14-$E$4,0)</f>
        <v>0.13761645253817975</v>
      </c>
      <c r="Y16" s="130">
        <f>$E$2*MAX(Y14-$E$4,0)</f>
        <v>0.1026310325556512</v>
      </c>
      <c r="Z16" s="130">
        <f>$E$2*MAX(Z14-$E$4,0)</f>
        <v>6.6894127167857365E-2</v>
      </c>
      <c r="AA16" s="130">
        <f>$E$2*MAX(AA14-$E$4,0)</f>
        <v>3.0385021076093505E-2</v>
      </c>
      <c r="AB16" s="130">
        <f>$E$2*MAX(AB14-$E$4,0)</f>
        <v>0</v>
      </c>
      <c r="AC16" s="130">
        <f>$E$2*MAX(AC14-$E$4,0)</f>
        <v>0</v>
      </c>
      <c r="AD16" s="130">
        <f>$E$2*MAX(AD14-$E$4,0)</f>
        <v>0</v>
      </c>
      <c r="AE16" s="130">
        <f>$E$2*MAX(AE14-$E$4,0)</f>
        <v>0</v>
      </c>
      <c r="AF16" s="130">
        <f>$E$2*MAX(AF14-$E$4,0)</f>
        <v>0</v>
      </c>
      <c r="AG16" s="130">
        <f>$E$2*MAX(AG14-$E$4,0)</f>
        <v>0</v>
      </c>
      <c r="AH16" s="130">
        <f>$E$2*MAX(AH14-$E$4,0)</f>
        <v>0</v>
      </c>
      <c r="AI16" s="130">
        <f>$E$2*MAX(AI14-$E$4,0)</f>
        <v>0</v>
      </c>
      <c r="AJ16" s="130">
        <f>$E$2*MAX(AJ14-$E$4,0)</f>
        <v>0</v>
      </c>
      <c r="AK16" s="130">
        <f>$E$2*MAX(AK14-$E$4,0)</f>
        <v>0</v>
      </c>
      <c r="AL16" s="130">
        <f>$E$2*MAX(AL14-$E$4,0)</f>
        <v>0</v>
      </c>
      <c r="AM16" s="131">
        <f>$E$2*MAX(AM14-$E$4,0)</f>
        <v>0</v>
      </c>
    </row>
    <row r="19" spans="3:4" x14ac:dyDescent="0.3">
      <c r="C19" s="135" t="s">
        <v>72</v>
      </c>
      <c r="D19" s="31" t="s">
        <v>73</v>
      </c>
    </row>
  </sheetData>
  <pageMargins left="0.75" right="0.75" top="1" bottom="1" header="0.5" footer="0.5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6:AA125"/>
  <sheetViews>
    <sheetView workbookViewId="0">
      <selection activeCell="E26" sqref="E26"/>
    </sheetView>
  </sheetViews>
  <sheetFormatPr defaultRowHeight="14.4" x14ac:dyDescent="0.3"/>
  <cols>
    <col min="1" max="1" width="22.5546875" style="79" bestFit="1" customWidth="1"/>
    <col min="2" max="2" width="8.88671875" style="79"/>
    <col min="3" max="3" width="10.33203125" style="79" bestFit="1" customWidth="1"/>
    <col min="4" max="27" width="17" style="79" bestFit="1" customWidth="1"/>
    <col min="28" max="16384" width="8.88671875" style="79"/>
  </cols>
  <sheetData>
    <row r="6" spans="3:27" x14ac:dyDescent="0.3"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</row>
    <row r="36" spans="3:27" x14ac:dyDescent="0.3"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</row>
    <row r="66" spans="3:27" x14ac:dyDescent="0.3"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</row>
    <row r="98" spans="3:27" x14ac:dyDescent="0.3"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</row>
    <row r="125" spans="3:27" x14ac:dyDescent="0.3"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25463"/>
  <sheetViews>
    <sheetView workbookViewId="0">
      <selection activeCell="H24" sqref="H24"/>
    </sheetView>
  </sheetViews>
  <sheetFormatPr defaultRowHeight="14.4" x14ac:dyDescent="0.3"/>
  <sheetData>
    <row r="2" spans="2:20" x14ac:dyDescent="0.3">
      <c r="B2" t="s">
        <v>3</v>
      </c>
      <c r="C2" t="s">
        <v>4</v>
      </c>
      <c r="R2">
        <v>1</v>
      </c>
      <c r="S2">
        <v>0</v>
      </c>
    </row>
    <row r="3" spans="2:20" x14ac:dyDescent="0.3">
      <c r="B3" t="e">
        <v>#REF!</v>
      </c>
      <c r="C3">
        <v>1</v>
      </c>
      <c r="E3" t="e">
        <v>#REF!</v>
      </c>
      <c r="F3" t="e">
        <v>#REF!</v>
      </c>
      <c r="G3" s="1">
        <v>37895</v>
      </c>
      <c r="I3" t="e">
        <v>#REF!</v>
      </c>
      <c r="J3" t="e">
        <v>#REF!</v>
      </c>
      <c r="K3" s="1">
        <v>37895</v>
      </c>
      <c r="M3" t="e">
        <v>#REF!</v>
      </c>
      <c r="N3" s="1">
        <v>37895</v>
      </c>
      <c r="Q3" s="1">
        <v>37895</v>
      </c>
      <c r="R3">
        <v>12</v>
      </c>
      <c r="S3">
        <v>313</v>
      </c>
      <c r="T3">
        <v>1</v>
      </c>
    </row>
    <row r="4" spans="2:20" x14ac:dyDescent="0.3">
      <c r="G4" s="1">
        <v>37895</v>
      </c>
      <c r="K4" s="1">
        <v>37895</v>
      </c>
      <c r="M4" t="e">
        <v>#REF!</v>
      </c>
      <c r="N4" s="1">
        <v>37895</v>
      </c>
      <c r="Q4" s="1">
        <v>37987</v>
      </c>
      <c r="R4">
        <v>11</v>
      </c>
      <c r="S4">
        <v>299</v>
      </c>
      <c r="T4">
        <v>2</v>
      </c>
    </row>
    <row r="5" spans="2:20" x14ac:dyDescent="0.3">
      <c r="G5" s="1">
        <v>37895</v>
      </c>
      <c r="K5" s="1">
        <v>37895</v>
      </c>
      <c r="M5" t="e">
        <v>#N/A</v>
      </c>
      <c r="N5" s="1">
        <v>37895</v>
      </c>
      <c r="Q5" s="1">
        <v>38078</v>
      </c>
      <c r="R5">
        <v>10</v>
      </c>
      <c r="S5">
        <v>297</v>
      </c>
      <c r="T5">
        <v>3</v>
      </c>
    </row>
    <row r="6" spans="2:20" x14ac:dyDescent="0.3">
      <c r="G6" s="1">
        <v>37895</v>
      </c>
      <c r="K6" s="1">
        <v>37895</v>
      </c>
      <c r="M6" t="e">
        <v>#N/A</v>
      </c>
      <c r="N6" s="1">
        <v>37895</v>
      </c>
      <c r="Q6" s="1">
        <v>38169</v>
      </c>
      <c r="R6">
        <v>10</v>
      </c>
      <c r="S6">
        <v>325</v>
      </c>
      <c r="T6">
        <v>4</v>
      </c>
    </row>
    <row r="7" spans="2:20" x14ac:dyDescent="0.3">
      <c r="G7" s="1">
        <v>37895</v>
      </c>
      <c r="K7" s="1">
        <v>37895</v>
      </c>
      <c r="M7" t="e">
        <v>#N/A</v>
      </c>
      <c r="N7" s="1">
        <v>37895</v>
      </c>
      <c r="Q7" s="1">
        <v>38261</v>
      </c>
      <c r="R7">
        <v>9</v>
      </c>
      <c r="S7">
        <v>307</v>
      </c>
      <c r="T7">
        <v>5</v>
      </c>
    </row>
    <row r="8" spans="2:20" x14ac:dyDescent="0.3">
      <c r="G8" s="1">
        <v>37895</v>
      </c>
      <c r="K8" s="1">
        <v>37895</v>
      </c>
      <c r="M8" t="e">
        <v>#N/A</v>
      </c>
      <c r="N8" s="1">
        <v>37895</v>
      </c>
      <c r="Q8" s="1">
        <v>38353</v>
      </c>
      <c r="R8">
        <v>9</v>
      </c>
      <c r="S8">
        <v>300</v>
      </c>
      <c r="T8">
        <v>6</v>
      </c>
    </row>
    <row r="9" spans="2:20" x14ac:dyDescent="0.3">
      <c r="G9" s="1">
        <v>37895</v>
      </c>
      <c r="K9" s="1">
        <v>37895</v>
      </c>
      <c r="M9" t="e">
        <v>#N/A</v>
      </c>
      <c r="N9" s="1">
        <v>37895</v>
      </c>
      <c r="Q9" s="1">
        <v>38443</v>
      </c>
      <c r="R9">
        <v>9</v>
      </c>
      <c r="S9">
        <v>321</v>
      </c>
      <c r="T9">
        <v>7</v>
      </c>
    </row>
    <row r="10" spans="2:20" x14ac:dyDescent="0.3">
      <c r="G10" s="1">
        <v>37895</v>
      </c>
      <c r="K10" s="1">
        <v>37895</v>
      </c>
      <c r="M10" t="e">
        <v>#N/A</v>
      </c>
      <c r="N10" s="1">
        <v>37895</v>
      </c>
      <c r="Q10" s="1">
        <v>38534</v>
      </c>
      <c r="R10">
        <v>9</v>
      </c>
      <c r="S10">
        <v>307</v>
      </c>
      <c r="T10">
        <v>8</v>
      </c>
    </row>
    <row r="11" spans="2:20" x14ac:dyDescent="0.3">
      <c r="G11" s="1">
        <v>37895</v>
      </c>
      <c r="K11" s="1">
        <v>37895</v>
      </c>
      <c r="M11" t="e">
        <v>#N/A</v>
      </c>
      <c r="N11" s="1">
        <v>37895</v>
      </c>
      <c r="Q11" s="1">
        <v>38626</v>
      </c>
      <c r="R11">
        <v>9</v>
      </c>
      <c r="S11">
        <v>334</v>
      </c>
      <c r="T11">
        <v>9</v>
      </c>
    </row>
    <row r="12" spans="2:20" x14ac:dyDescent="0.3">
      <c r="G12" s="1">
        <v>37895</v>
      </c>
      <c r="K12" s="1">
        <v>37895</v>
      </c>
      <c r="M12" t="e">
        <v>#N/A</v>
      </c>
      <c r="N12" s="1">
        <v>37895</v>
      </c>
      <c r="Q12" s="1">
        <v>38718</v>
      </c>
      <c r="R12">
        <v>9</v>
      </c>
      <c r="S12">
        <v>334</v>
      </c>
      <c r="T12">
        <v>10</v>
      </c>
    </row>
    <row r="13" spans="2:20" x14ac:dyDescent="0.3">
      <c r="G13" s="1">
        <v>37895</v>
      </c>
      <c r="K13" s="1">
        <v>37895</v>
      </c>
      <c r="M13" t="e">
        <v>#N/A</v>
      </c>
      <c r="N13" s="1">
        <v>37895</v>
      </c>
      <c r="Q13" s="1">
        <v>38808</v>
      </c>
      <c r="R13">
        <v>9</v>
      </c>
      <c r="S13">
        <v>315</v>
      </c>
      <c r="T13">
        <v>11</v>
      </c>
    </row>
    <row r="14" spans="2:20" x14ac:dyDescent="0.3">
      <c r="G14" s="1">
        <v>37895</v>
      </c>
      <c r="K14" s="1">
        <v>37895</v>
      </c>
      <c r="M14" t="e">
        <v>#N/A</v>
      </c>
      <c r="N14" s="1">
        <v>37895</v>
      </c>
      <c r="Q14" s="1">
        <v>38899</v>
      </c>
      <c r="R14">
        <v>9</v>
      </c>
      <c r="S14">
        <v>305</v>
      </c>
      <c r="T14">
        <v>12</v>
      </c>
    </row>
    <row r="15" spans="2:20" x14ac:dyDescent="0.3">
      <c r="G15" s="1">
        <v>37987</v>
      </c>
      <c r="K15" s="1">
        <v>37895</v>
      </c>
      <c r="M15" t="e">
        <v>#N/A</v>
      </c>
      <c r="N15" s="1">
        <v>37987</v>
      </c>
      <c r="Q15" s="1">
        <v>38991</v>
      </c>
      <c r="R15">
        <v>10</v>
      </c>
      <c r="S15">
        <v>326</v>
      </c>
      <c r="T15">
        <v>13</v>
      </c>
    </row>
    <row r="16" spans="2:20" x14ac:dyDescent="0.3">
      <c r="G16" s="1">
        <v>37987</v>
      </c>
      <c r="K16" s="1">
        <v>37895</v>
      </c>
      <c r="M16" t="e">
        <v>#N/A</v>
      </c>
      <c r="N16" s="1">
        <v>37987</v>
      </c>
      <c r="Q16" s="1">
        <v>39083</v>
      </c>
      <c r="R16">
        <v>10</v>
      </c>
      <c r="S16">
        <v>324</v>
      </c>
      <c r="T16">
        <v>14</v>
      </c>
    </row>
    <row r="17" spans="7:20" x14ac:dyDescent="0.3">
      <c r="G17" s="1">
        <v>37987</v>
      </c>
      <c r="K17" s="1">
        <v>37895</v>
      </c>
      <c r="M17" t="e">
        <v>#N/A</v>
      </c>
      <c r="N17" s="1">
        <v>37987</v>
      </c>
      <c r="Q17" s="1">
        <v>39173</v>
      </c>
      <c r="R17">
        <v>11</v>
      </c>
      <c r="S17">
        <v>320</v>
      </c>
      <c r="T17">
        <v>15</v>
      </c>
    </row>
    <row r="18" spans="7:20" x14ac:dyDescent="0.3">
      <c r="G18" s="1">
        <v>37987</v>
      </c>
      <c r="K18" s="1">
        <v>37895</v>
      </c>
      <c r="M18" t="e">
        <v>#N/A</v>
      </c>
      <c r="N18" s="1">
        <v>37987</v>
      </c>
      <c r="Q18" s="1">
        <v>39264</v>
      </c>
      <c r="R18">
        <v>12</v>
      </c>
      <c r="S18">
        <v>294</v>
      </c>
      <c r="T18">
        <v>16</v>
      </c>
    </row>
    <row r="19" spans="7:20" x14ac:dyDescent="0.3">
      <c r="G19" s="1">
        <v>37987</v>
      </c>
      <c r="K19" s="1">
        <v>37895</v>
      </c>
      <c r="M19" t="e">
        <v>#N/A</v>
      </c>
      <c r="N19" s="1">
        <v>37987</v>
      </c>
      <c r="Q19" s="1">
        <v>39356</v>
      </c>
      <c r="R19">
        <v>14</v>
      </c>
      <c r="S19">
        <v>298</v>
      </c>
      <c r="T19">
        <v>17</v>
      </c>
    </row>
    <row r="20" spans="7:20" x14ac:dyDescent="0.3">
      <c r="G20" s="1">
        <v>37987</v>
      </c>
      <c r="K20" s="1">
        <v>37895</v>
      </c>
      <c r="M20" t="e">
        <v>#N/A</v>
      </c>
      <c r="N20" s="1">
        <v>37987</v>
      </c>
      <c r="Q20" s="1">
        <v>39448</v>
      </c>
      <c r="R20">
        <v>17</v>
      </c>
      <c r="S20">
        <v>320</v>
      </c>
      <c r="T20">
        <v>18</v>
      </c>
    </row>
    <row r="21" spans="7:20" x14ac:dyDescent="0.3">
      <c r="G21" s="1">
        <v>37987</v>
      </c>
      <c r="K21" s="1">
        <v>37895</v>
      </c>
      <c r="M21" t="e">
        <v>#N/A</v>
      </c>
      <c r="N21" s="1">
        <v>37987</v>
      </c>
      <c r="Q21" s="1">
        <v>39539</v>
      </c>
      <c r="R21">
        <v>18</v>
      </c>
      <c r="S21">
        <v>286</v>
      </c>
      <c r="T21">
        <v>19</v>
      </c>
    </row>
    <row r="22" spans="7:20" x14ac:dyDescent="0.3">
      <c r="G22" s="1">
        <v>37987</v>
      </c>
      <c r="K22" s="1">
        <v>37895</v>
      </c>
      <c r="M22" t="e">
        <v>#N/A</v>
      </c>
      <c r="N22" s="1">
        <v>37987</v>
      </c>
      <c r="Q22" s="1">
        <v>39630</v>
      </c>
      <c r="R22">
        <v>23</v>
      </c>
      <c r="S22">
        <v>324</v>
      </c>
      <c r="T22">
        <v>20</v>
      </c>
    </row>
    <row r="23" spans="7:20" x14ac:dyDescent="0.3">
      <c r="G23" s="1">
        <v>37987</v>
      </c>
      <c r="K23" s="1">
        <v>37895</v>
      </c>
      <c r="M23" t="e">
        <v>#N/A</v>
      </c>
      <c r="N23" s="1">
        <v>37987</v>
      </c>
      <c r="Q23" s="1">
        <v>39722</v>
      </c>
      <c r="R23">
        <v>28</v>
      </c>
      <c r="S23">
        <v>312</v>
      </c>
      <c r="T23">
        <v>21</v>
      </c>
    </row>
    <row r="24" spans="7:20" x14ac:dyDescent="0.3">
      <c r="G24" s="1">
        <v>37987</v>
      </c>
      <c r="K24" s="1">
        <v>37895</v>
      </c>
      <c r="M24" t="e">
        <v>#N/A</v>
      </c>
      <c r="N24" s="1">
        <v>37987</v>
      </c>
      <c r="Q24" s="1">
        <v>39814</v>
      </c>
      <c r="R24">
        <v>34</v>
      </c>
      <c r="S24">
        <v>316</v>
      </c>
      <c r="T24">
        <v>22</v>
      </c>
    </row>
    <row r="25" spans="7:20" x14ac:dyDescent="0.3">
      <c r="G25" s="1">
        <v>37987</v>
      </c>
      <c r="K25" s="1">
        <v>37895</v>
      </c>
      <c r="M25" t="e">
        <v>#N/A</v>
      </c>
      <c r="N25" s="1">
        <v>37987</v>
      </c>
      <c r="Q25" s="1">
        <v>39904</v>
      </c>
      <c r="R25">
        <v>35</v>
      </c>
      <c r="S25">
        <v>286</v>
      </c>
      <c r="T25">
        <v>23</v>
      </c>
    </row>
    <row r="26" spans="7:20" x14ac:dyDescent="0.3">
      <c r="G26" s="1">
        <v>38078</v>
      </c>
      <c r="K26" s="1">
        <v>37895</v>
      </c>
      <c r="M26" t="e">
        <v>#N/A</v>
      </c>
      <c r="N26" s="1">
        <v>38078</v>
      </c>
      <c r="Q26" s="1">
        <v>39995</v>
      </c>
      <c r="R26">
        <v>41</v>
      </c>
      <c r="S26">
        <v>298</v>
      </c>
      <c r="T26">
        <v>24</v>
      </c>
    </row>
    <row r="27" spans="7:20" x14ac:dyDescent="0.3">
      <c r="G27" s="1">
        <v>38078</v>
      </c>
      <c r="K27" s="1">
        <v>37895</v>
      </c>
      <c r="M27" t="e">
        <v>#N/A</v>
      </c>
      <c r="N27" s="1">
        <v>38078</v>
      </c>
      <c r="Q27" s="1">
        <v>40087</v>
      </c>
      <c r="R27">
        <v>44</v>
      </c>
      <c r="S27">
        <v>301</v>
      </c>
      <c r="T27">
        <v>25</v>
      </c>
    </row>
    <row r="28" spans="7:20" x14ac:dyDescent="0.3">
      <c r="G28" s="1">
        <v>38078</v>
      </c>
      <c r="K28" s="1">
        <v>37895</v>
      </c>
      <c r="M28" t="e">
        <v>#N/A</v>
      </c>
      <c r="N28" s="1">
        <v>38078</v>
      </c>
      <c r="Q28" s="1">
        <v>40179</v>
      </c>
      <c r="R28">
        <v>39</v>
      </c>
      <c r="S28">
        <v>265</v>
      </c>
      <c r="T28">
        <v>26</v>
      </c>
    </row>
    <row r="29" spans="7:20" x14ac:dyDescent="0.3">
      <c r="G29" s="1">
        <v>38078</v>
      </c>
      <c r="K29" s="1">
        <v>37895</v>
      </c>
      <c r="M29" t="e">
        <v>#N/A</v>
      </c>
      <c r="N29" s="1">
        <v>38078</v>
      </c>
      <c r="Q29" s="1">
        <v>40269</v>
      </c>
      <c r="R29">
        <v>39</v>
      </c>
      <c r="S29">
        <v>269</v>
      </c>
      <c r="T29">
        <v>27</v>
      </c>
    </row>
    <row r="30" spans="7:20" x14ac:dyDescent="0.3">
      <c r="G30" s="1">
        <v>38078</v>
      </c>
      <c r="K30" s="1">
        <v>37895</v>
      </c>
      <c r="M30" t="e">
        <v>#N/A</v>
      </c>
      <c r="N30" s="1">
        <v>38078</v>
      </c>
      <c r="Q30" s="1">
        <v>40360</v>
      </c>
      <c r="R30">
        <v>36</v>
      </c>
      <c r="S30">
        <v>268</v>
      </c>
      <c r="T30">
        <v>28</v>
      </c>
    </row>
    <row r="31" spans="7:20" x14ac:dyDescent="0.3">
      <c r="G31" s="1">
        <v>38078</v>
      </c>
      <c r="K31" s="1">
        <v>37895</v>
      </c>
      <c r="M31" t="e">
        <v>#N/A</v>
      </c>
      <c r="N31" s="1">
        <v>38078</v>
      </c>
      <c r="Q31" s="1">
        <v>40452</v>
      </c>
      <c r="R31">
        <v>38</v>
      </c>
      <c r="S31">
        <v>306</v>
      </c>
      <c r="T31">
        <v>29</v>
      </c>
    </row>
    <row r="32" spans="7:20" x14ac:dyDescent="0.3">
      <c r="G32" s="1">
        <v>38078</v>
      </c>
      <c r="K32" s="1">
        <v>37895</v>
      </c>
      <c r="M32" t="e">
        <v>#N/A</v>
      </c>
      <c r="N32" s="1">
        <v>38078</v>
      </c>
      <c r="Q32" s="1">
        <v>40544</v>
      </c>
      <c r="R32">
        <v>36</v>
      </c>
      <c r="S32">
        <v>299</v>
      </c>
      <c r="T32">
        <v>30</v>
      </c>
    </row>
    <row r="33" spans="7:20" x14ac:dyDescent="0.3">
      <c r="G33" s="1">
        <v>38078</v>
      </c>
      <c r="K33" s="1">
        <v>37895</v>
      </c>
      <c r="M33" t="e">
        <v>#N/A</v>
      </c>
      <c r="N33" s="1">
        <v>38078</v>
      </c>
      <c r="Q33" s="1">
        <v>40634</v>
      </c>
      <c r="R33">
        <v>34</v>
      </c>
      <c r="S33">
        <v>283</v>
      </c>
      <c r="T33">
        <v>31</v>
      </c>
    </row>
    <row r="34" spans="7:20" x14ac:dyDescent="0.3">
      <c r="G34" s="1">
        <v>38078</v>
      </c>
      <c r="K34" s="1">
        <v>37895</v>
      </c>
      <c r="M34" t="e">
        <v>#N/A</v>
      </c>
      <c r="N34" s="1">
        <v>38078</v>
      </c>
      <c r="Q34" s="1">
        <v>40725</v>
      </c>
      <c r="R34">
        <v>33</v>
      </c>
      <c r="S34">
        <v>289</v>
      </c>
      <c r="T34">
        <v>32</v>
      </c>
    </row>
    <row r="35" spans="7:20" x14ac:dyDescent="0.3">
      <c r="G35" s="1">
        <v>38078</v>
      </c>
      <c r="K35" s="1">
        <v>37895</v>
      </c>
      <c r="M35" t="e">
        <v>#N/A</v>
      </c>
      <c r="N35" s="1">
        <v>38078</v>
      </c>
      <c r="Q35" s="1">
        <v>40817</v>
      </c>
      <c r="R35">
        <v>32</v>
      </c>
      <c r="S35">
        <v>301</v>
      </c>
      <c r="T35">
        <v>33</v>
      </c>
    </row>
    <row r="36" spans="7:20" x14ac:dyDescent="0.3">
      <c r="G36" s="1">
        <v>38169</v>
      </c>
      <c r="K36" s="1">
        <v>37895</v>
      </c>
      <c r="M36" t="e">
        <v>#N/A</v>
      </c>
      <c r="N36" s="1">
        <v>38169</v>
      </c>
      <c r="Q36" s="1">
        <v>40909</v>
      </c>
      <c r="R36">
        <v>33</v>
      </c>
      <c r="S36">
        <v>315</v>
      </c>
      <c r="T36">
        <v>34</v>
      </c>
    </row>
    <row r="37" spans="7:20" x14ac:dyDescent="0.3">
      <c r="G37" s="1">
        <v>38169</v>
      </c>
      <c r="K37" s="1">
        <v>37895</v>
      </c>
      <c r="M37" t="e">
        <v>#N/A</v>
      </c>
      <c r="N37" s="1">
        <v>38169</v>
      </c>
      <c r="Q37" s="1">
        <v>41000</v>
      </c>
      <c r="R37">
        <v>32</v>
      </c>
      <c r="S37">
        <v>313</v>
      </c>
      <c r="T37">
        <v>35</v>
      </c>
    </row>
    <row r="38" spans="7:20" x14ac:dyDescent="0.3">
      <c r="G38" s="1">
        <v>38169</v>
      </c>
      <c r="K38" s="1">
        <v>37895</v>
      </c>
      <c r="M38" t="e">
        <v>#N/A</v>
      </c>
      <c r="N38" s="1">
        <v>38169</v>
      </c>
      <c r="Q38" s="1">
        <v>41091</v>
      </c>
      <c r="R38">
        <v>31</v>
      </c>
      <c r="S38">
        <v>313</v>
      </c>
      <c r="T38">
        <v>36</v>
      </c>
    </row>
    <row r="39" spans="7:20" x14ac:dyDescent="0.3">
      <c r="G39" s="1">
        <v>38169</v>
      </c>
      <c r="K39" s="1">
        <v>37895</v>
      </c>
      <c r="M39" t="e">
        <v>#N/A</v>
      </c>
      <c r="N39" s="1">
        <v>38169</v>
      </c>
      <c r="Q39" s="1">
        <v>41183</v>
      </c>
      <c r="R39">
        <v>29</v>
      </c>
      <c r="S39">
        <v>317</v>
      </c>
      <c r="T39">
        <v>37</v>
      </c>
    </row>
    <row r="40" spans="7:20" x14ac:dyDescent="0.3">
      <c r="G40" s="1">
        <v>38169</v>
      </c>
      <c r="K40" s="1">
        <v>37895</v>
      </c>
      <c r="M40" t="e">
        <v>#N/A</v>
      </c>
      <c r="N40" s="1">
        <v>38169</v>
      </c>
      <c r="Q40" s="1">
        <v>41275</v>
      </c>
      <c r="R40">
        <v>26</v>
      </c>
      <c r="S40">
        <v>297</v>
      </c>
      <c r="T40">
        <v>38</v>
      </c>
    </row>
    <row r="41" spans="7:20" x14ac:dyDescent="0.3">
      <c r="G41" s="1">
        <v>38169</v>
      </c>
      <c r="K41" s="1">
        <v>37895</v>
      </c>
      <c r="M41" t="e">
        <v>#N/A</v>
      </c>
      <c r="N41" s="1">
        <v>38169</v>
      </c>
      <c r="Q41" s="1">
        <v>41365</v>
      </c>
      <c r="R41">
        <v>27</v>
      </c>
      <c r="S41">
        <v>322</v>
      </c>
      <c r="T41">
        <v>39</v>
      </c>
    </row>
    <row r="42" spans="7:20" x14ac:dyDescent="0.3">
      <c r="G42" s="1">
        <v>38169</v>
      </c>
      <c r="K42" s="1">
        <v>37895</v>
      </c>
      <c r="M42" t="e">
        <v>#N/A</v>
      </c>
      <c r="N42" s="1">
        <v>38169</v>
      </c>
      <c r="Q42" s="1">
        <v>41456</v>
      </c>
      <c r="R42">
        <v>24</v>
      </c>
      <c r="S42">
        <v>322</v>
      </c>
      <c r="T42">
        <v>40</v>
      </c>
    </row>
    <row r="43" spans="7:20" x14ac:dyDescent="0.3">
      <c r="G43" s="1">
        <v>38169</v>
      </c>
      <c r="K43" s="1">
        <v>37895</v>
      </c>
      <c r="M43" t="e">
        <v>#N/A</v>
      </c>
      <c r="N43" s="1">
        <v>38169</v>
      </c>
      <c r="Q43" s="1">
        <v>41548</v>
      </c>
      <c r="R43">
        <v>21</v>
      </c>
      <c r="S43">
        <v>301</v>
      </c>
      <c r="T43">
        <v>41</v>
      </c>
    </row>
    <row r="44" spans="7:20" x14ac:dyDescent="0.3">
      <c r="G44" s="1">
        <v>38169</v>
      </c>
      <c r="K44" s="1">
        <v>37895</v>
      </c>
      <c r="M44" t="e">
        <v>#N/A</v>
      </c>
      <c r="N44" s="1">
        <v>38169</v>
      </c>
      <c r="Q44" s="1">
        <v>41640</v>
      </c>
      <c r="R44">
        <v>20</v>
      </c>
      <c r="S44">
        <v>309</v>
      </c>
      <c r="T44">
        <v>42</v>
      </c>
    </row>
    <row r="45" spans="7:20" x14ac:dyDescent="0.3">
      <c r="G45" s="1">
        <v>38169</v>
      </c>
      <c r="K45" s="1">
        <v>37895</v>
      </c>
      <c r="M45" t="e">
        <v>#N/A</v>
      </c>
      <c r="N45" s="1">
        <v>38169</v>
      </c>
      <c r="Q45" s="1">
        <v>41730</v>
      </c>
      <c r="R45">
        <v>20</v>
      </c>
      <c r="S45">
        <v>324</v>
      </c>
      <c r="T45">
        <v>43</v>
      </c>
    </row>
    <row r="46" spans="7:20" x14ac:dyDescent="0.3">
      <c r="G46" s="1">
        <v>38261</v>
      </c>
      <c r="K46" s="1">
        <v>37895</v>
      </c>
      <c r="M46" t="e">
        <v>#N/A</v>
      </c>
      <c r="N46" s="1">
        <v>38261</v>
      </c>
      <c r="Q46" s="1">
        <v>41821</v>
      </c>
      <c r="R46">
        <v>18</v>
      </c>
      <c r="S46">
        <v>313</v>
      </c>
      <c r="T46">
        <v>44</v>
      </c>
    </row>
    <row r="47" spans="7:20" x14ac:dyDescent="0.3">
      <c r="G47" s="1">
        <v>38261</v>
      </c>
      <c r="K47" s="1">
        <v>37895</v>
      </c>
      <c r="M47" t="e">
        <v>#N/A</v>
      </c>
      <c r="N47" s="1">
        <v>38261</v>
      </c>
      <c r="Q47" s="1">
        <v>41913</v>
      </c>
      <c r="R47">
        <v>15</v>
      </c>
      <c r="S47">
        <v>290</v>
      </c>
      <c r="T47">
        <v>45</v>
      </c>
    </row>
    <row r="48" spans="7:20" x14ac:dyDescent="0.3">
      <c r="G48" s="1">
        <v>38261</v>
      </c>
      <c r="K48" s="1">
        <v>37895</v>
      </c>
      <c r="M48" t="e">
        <v>#N/A</v>
      </c>
      <c r="N48" s="1">
        <v>38261</v>
      </c>
      <c r="Q48" s="1">
        <v>42005</v>
      </c>
      <c r="R48">
        <v>15</v>
      </c>
      <c r="S48">
        <v>302</v>
      </c>
      <c r="T48">
        <v>46</v>
      </c>
    </row>
    <row r="49" spans="7:20" x14ac:dyDescent="0.3">
      <c r="G49" s="1">
        <v>38261</v>
      </c>
      <c r="K49" s="1">
        <v>37895</v>
      </c>
      <c r="M49" t="e">
        <v>#N/A</v>
      </c>
      <c r="N49" s="1">
        <v>38261</v>
      </c>
      <c r="Q49" s="1">
        <v>42095</v>
      </c>
      <c r="R49">
        <v>14</v>
      </c>
      <c r="S49">
        <v>299</v>
      </c>
      <c r="T49">
        <v>47</v>
      </c>
    </row>
    <row r="50" spans="7:20" x14ac:dyDescent="0.3">
      <c r="G50" s="1">
        <v>38261</v>
      </c>
      <c r="K50" s="1">
        <v>37895</v>
      </c>
      <c r="M50" t="e">
        <v>#N/A</v>
      </c>
      <c r="N50" s="1">
        <v>38261</v>
      </c>
      <c r="Q50" s="1">
        <v>42186</v>
      </c>
      <c r="R50">
        <v>15</v>
      </c>
      <c r="S50">
        <v>330</v>
      </c>
      <c r="T50">
        <v>48</v>
      </c>
    </row>
    <row r="51" spans="7:20" x14ac:dyDescent="0.3">
      <c r="G51" s="1">
        <v>38261</v>
      </c>
      <c r="K51" s="1">
        <v>37895</v>
      </c>
      <c r="M51" t="e">
        <v>#N/A</v>
      </c>
      <c r="N51" s="1">
        <v>38261</v>
      </c>
      <c r="Q51" s="1">
        <v>42278</v>
      </c>
      <c r="R51">
        <v>12</v>
      </c>
      <c r="S51">
        <v>290</v>
      </c>
      <c r="T51">
        <v>49</v>
      </c>
    </row>
    <row r="52" spans="7:20" x14ac:dyDescent="0.3">
      <c r="G52" s="1">
        <v>38261</v>
      </c>
      <c r="K52" s="1">
        <v>37895</v>
      </c>
      <c r="M52" t="e">
        <v>#N/A</v>
      </c>
      <c r="N52" s="1">
        <v>38261</v>
      </c>
      <c r="Q52" s="1">
        <v>42370</v>
      </c>
      <c r="R52">
        <v>13</v>
      </c>
      <c r="S52">
        <v>305</v>
      </c>
      <c r="T52">
        <v>50</v>
      </c>
    </row>
    <row r="53" spans="7:20" x14ac:dyDescent="0.3">
      <c r="G53" s="1">
        <v>38261</v>
      </c>
      <c r="K53" s="1">
        <v>37895</v>
      </c>
      <c r="M53" t="e">
        <v>#N/A</v>
      </c>
      <c r="N53" s="1">
        <v>38261</v>
      </c>
      <c r="Q53" s="1">
        <v>42461</v>
      </c>
      <c r="R53">
        <v>14</v>
      </c>
      <c r="S53">
        <v>325</v>
      </c>
      <c r="T53">
        <v>51</v>
      </c>
    </row>
    <row r="54" spans="7:20" x14ac:dyDescent="0.3">
      <c r="G54" s="1">
        <v>38261</v>
      </c>
      <c r="K54" s="1">
        <v>37895</v>
      </c>
      <c r="M54" t="e">
        <v>#N/A</v>
      </c>
      <c r="N54" s="1">
        <v>38261</v>
      </c>
      <c r="Q54" s="1">
        <v>42552</v>
      </c>
      <c r="R54">
        <v>13</v>
      </c>
      <c r="S54">
        <v>324</v>
      </c>
      <c r="T54">
        <v>52</v>
      </c>
    </row>
    <row r="55" spans="7:20" x14ac:dyDescent="0.3">
      <c r="G55" s="1">
        <v>38353</v>
      </c>
      <c r="K55" s="1">
        <v>37895</v>
      </c>
      <c r="M55" t="e">
        <v>#N/A</v>
      </c>
      <c r="N55" s="1">
        <v>38353</v>
      </c>
      <c r="Q55" s="1">
        <v>42644</v>
      </c>
      <c r="R55">
        <v>13</v>
      </c>
      <c r="S55">
        <v>334</v>
      </c>
      <c r="T55">
        <v>53</v>
      </c>
    </row>
    <row r="56" spans="7:20" x14ac:dyDescent="0.3">
      <c r="G56" s="1">
        <v>38353</v>
      </c>
      <c r="K56" s="1">
        <v>37895</v>
      </c>
      <c r="M56" t="e">
        <v>#N/A</v>
      </c>
      <c r="N56" s="1">
        <v>38353</v>
      </c>
      <c r="Q56" s="1">
        <v>42736</v>
      </c>
      <c r="R56">
        <v>11</v>
      </c>
      <c r="S56">
        <v>296</v>
      </c>
      <c r="T56">
        <v>54</v>
      </c>
    </row>
    <row r="57" spans="7:20" x14ac:dyDescent="0.3">
      <c r="G57" s="1">
        <v>38353</v>
      </c>
      <c r="K57" s="1">
        <v>37895</v>
      </c>
      <c r="M57" t="e">
        <v>#N/A</v>
      </c>
      <c r="N57" s="1">
        <v>38353</v>
      </c>
      <c r="Q57" s="1">
        <v>42826</v>
      </c>
      <c r="R57">
        <v>11</v>
      </c>
      <c r="S57">
        <v>304</v>
      </c>
      <c r="T57">
        <v>55</v>
      </c>
    </row>
    <row r="58" spans="7:20" x14ac:dyDescent="0.3">
      <c r="G58" s="1">
        <v>38353</v>
      </c>
      <c r="K58" s="1">
        <v>37895</v>
      </c>
      <c r="M58" t="e">
        <v>#N/A</v>
      </c>
      <c r="N58" s="1">
        <v>38353</v>
      </c>
      <c r="Q58" s="1">
        <v>42917</v>
      </c>
      <c r="R58">
        <v>10</v>
      </c>
      <c r="S58">
        <v>294</v>
      </c>
      <c r="T58">
        <v>56</v>
      </c>
    </row>
    <row r="59" spans="7:20" x14ac:dyDescent="0.3">
      <c r="G59" s="1">
        <v>38353</v>
      </c>
      <c r="K59" s="1">
        <v>37895</v>
      </c>
      <c r="M59" t="e">
        <v>#N/A</v>
      </c>
      <c r="N59" s="1">
        <v>38353</v>
      </c>
      <c r="Q59" s="1">
        <v>43009</v>
      </c>
      <c r="R59">
        <v>10</v>
      </c>
      <c r="S59">
        <v>296</v>
      </c>
      <c r="T59">
        <v>57</v>
      </c>
    </row>
    <row r="60" spans="7:20" x14ac:dyDescent="0.3">
      <c r="G60" s="1">
        <v>38353</v>
      </c>
      <c r="K60" s="1">
        <v>37895</v>
      </c>
      <c r="M60" t="e">
        <v>#N/A</v>
      </c>
      <c r="N60" s="1">
        <v>38353</v>
      </c>
      <c r="Q60" s="1">
        <v>43101</v>
      </c>
      <c r="R60">
        <v>10</v>
      </c>
      <c r="S60">
        <v>313</v>
      </c>
      <c r="T60">
        <v>58</v>
      </c>
    </row>
    <row r="61" spans="7:20" x14ac:dyDescent="0.3">
      <c r="G61" s="1">
        <v>38353</v>
      </c>
      <c r="K61" s="1">
        <v>37895</v>
      </c>
      <c r="M61" t="e">
        <v>#N/A</v>
      </c>
      <c r="N61" s="1">
        <v>38353</v>
      </c>
      <c r="Q61" s="1">
        <v>43191</v>
      </c>
      <c r="R61">
        <v>9</v>
      </c>
      <c r="S61">
        <v>300</v>
      </c>
      <c r="T61">
        <v>59</v>
      </c>
    </row>
    <row r="62" spans="7:20" x14ac:dyDescent="0.3">
      <c r="G62" s="1">
        <v>38353</v>
      </c>
      <c r="K62" s="1">
        <v>37895</v>
      </c>
      <c r="M62" t="e">
        <v>#N/A</v>
      </c>
      <c r="N62" s="1">
        <v>38353</v>
      </c>
      <c r="Q62" s="1">
        <v>43282</v>
      </c>
      <c r="R62">
        <v>10</v>
      </c>
      <c r="S62">
        <v>330</v>
      </c>
      <c r="T62">
        <v>60</v>
      </c>
    </row>
    <row r="63" spans="7:20" x14ac:dyDescent="0.3">
      <c r="G63" s="1">
        <v>38353</v>
      </c>
      <c r="K63" s="1">
        <v>37895</v>
      </c>
      <c r="M63" t="e">
        <v>#N/A</v>
      </c>
      <c r="N63" s="1">
        <v>38353</v>
      </c>
      <c r="Q63" s="1">
        <v>43374</v>
      </c>
      <c r="R63">
        <v>9</v>
      </c>
      <c r="S63">
        <v>305</v>
      </c>
      <c r="T63">
        <v>61</v>
      </c>
    </row>
    <row r="64" spans="7:20" x14ac:dyDescent="0.3">
      <c r="G64" s="1">
        <v>38443</v>
      </c>
      <c r="K64" s="1">
        <v>37895</v>
      </c>
      <c r="M64" t="e">
        <v>#N/A</v>
      </c>
      <c r="N64" s="1">
        <v>38443</v>
      </c>
      <c r="Q64" s="1">
        <v>43466</v>
      </c>
      <c r="R64">
        <v>9</v>
      </c>
      <c r="S64">
        <v>300</v>
      </c>
      <c r="T64">
        <v>62</v>
      </c>
    </row>
    <row r="65" spans="7:20" x14ac:dyDescent="0.3">
      <c r="G65" s="1">
        <v>38443</v>
      </c>
      <c r="K65" s="1">
        <v>37895</v>
      </c>
      <c r="M65" t="e">
        <v>#N/A</v>
      </c>
      <c r="N65" s="1">
        <v>38443</v>
      </c>
      <c r="Q65" s="1">
        <v>43556</v>
      </c>
      <c r="R65">
        <v>10</v>
      </c>
      <c r="S65">
        <v>330</v>
      </c>
      <c r="T65">
        <v>63</v>
      </c>
    </row>
    <row r="66" spans="7:20" x14ac:dyDescent="0.3">
      <c r="G66" s="1">
        <v>38443</v>
      </c>
      <c r="K66" s="1">
        <v>37895</v>
      </c>
      <c r="M66" t="e">
        <v>#N/A</v>
      </c>
      <c r="N66" s="1">
        <v>38443</v>
      </c>
      <c r="Q66" s="1">
        <v>43647</v>
      </c>
      <c r="R66">
        <v>10</v>
      </c>
      <c r="S66">
        <v>331</v>
      </c>
      <c r="T66">
        <v>64</v>
      </c>
    </row>
    <row r="67" spans="7:20" x14ac:dyDescent="0.3">
      <c r="G67" s="1">
        <v>38443</v>
      </c>
      <c r="K67" s="1">
        <v>37895</v>
      </c>
      <c r="M67" t="e">
        <v>#N/A</v>
      </c>
      <c r="N67" s="1">
        <v>38443</v>
      </c>
      <c r="Q67" s="1">
        <v>43739</v>
      </c>
      <c r="R67">
        <v>9</v>
      </c>
      <c r="S67">
        <v>334</v>
      </c>
      <c r="T67">
        <v>65</v>
      </c>
    </row>
    <row r="68" spans="7:20" x14ac:dyDescent="0.3">
      <c r="G68" s="1">
        <v>38443</v>
      </c>
      <c r="K68" s="1">
        <v>37895</v>
      </c>
      <c r="M68" t="e">
        <v>#N/A</v>
      </c>
      <c r="N68" s="1">
        <v>38443</v>
      </c>
      <c r="Q68" s="1">
        <v>43831</v>
      </c>
      <c r="R68">
        <v>9</v>
      </c>
      <c r="S68">
        <v>311</v>
      </c>
      <c r="T68">
        <v>66</v>
      </c>
    </row>
    <row r="69" spans="7:20" x14ac:dyDescent="0.3">
      <c r="G69" s="1">
        <v>38443</v>
      </c>
      <c r="K69" s="1">
        <v>37895</v>
      </c>
      <c r="M69" t="e">
        <v>#N/A</v>
      </c>
      <c r="N69" s="1">
        <v>38443</v>
      </c>
      <c r="Q69" s="1">
        <v>43922</v>
      </c>
      <c r="R69">
        <v>9</v>
      </c>
      <c r="S69">
        <v>292</v>
      </c>
      <c r="T69">
        <v>67</v>
      </c>
    </row>
    <row r="70" spans="7:20" x14ac:dyDescent="0.3">
      <c r="G70" s="1">
        <v>38443</v>
      </c>
      <c r="K70" s="1">
        <v>37895</v>
      </c>
      <c r="M70" t="e">
        <v>#N/A</v>
      </c>
      <c r="N70" s="1">
        <v>38443</v>
      </c>
      <c r="Q70" s="1">
        <v>44013</v>
      </c>
      <c r="R70">
        <v>9</v>
      </c>
      <c r="S70">
        <v>299</v>
      </c>
      <c r="T70">
        <v>68</v>
      </c>
    </row>
    <row r="71" spans="7:20" x14ac:dyDescent="0.3">
      <c r="G71" s="1">
        <v>38443</v>
      </c>
      <c r="K71" s="1">
        <v>37895</v>
      </c>
      <c r="M71" t="e">
        <v>#N/A</v>
      </c>
      <c r="N71" s="1">
        <v>38443</v>
      </c>
      <c r="Q71" s="1">
        <v>44105</v>
      </c>
      <c r="R71">
        <v>11</v>
      </c>
      <c r="S71">
        <v>339</v>
      </c>
      <c r="T71">
        <v>69</v>
      </c>
    </row>
    <row r="72" spans="7:20" x14ac:dyDescent="0.3">
      <c r="G72" s="1">
        <v>38443</v>
      </c>
      <c r="K72" s="1">
        <v>37895</v>
      </c>
      <c r="M72" t="e">
        <v>#N/A</v>
      </c>
      <c r="N72" s="1">
        <v>38443</v>
      </c>
      <c r="Q72" s="1">
        <v>44197</v>
      </c>
      <c r="R72">
        <v>9</v>
      </c>
      <c r="S72">
        <v>310</v>
      </c>
      <c r="T72">
        <v>70</v>
      </c>
    </row>
    <row r="73" spans="7:20" x14ac:dyDescent="0.3">
      <c r="G73" s="1">
        <v>38534</v>
      </c>
      <c r="K73" s="1">
        <v>37895</v>
      </c>
      <c r="M73" t="e">
        <v>#N/A</v>
      </c>
      <c r="N73" s="1">
        <v>38534</v>
      </c>
      <c r="Q73" s="1">
        <v>44287</v>
      </c>
      <c r="R73">
        <v>8</v>
      </c>
      <c r="S73">
        <v>305</v>
      </c>
      <c r="T73">
        <v>71</v>
      </c>
    </row>
    <row r="74" spans="7:20" x14ac:dyDescent="0.3">
      <c r="G74" s="1">
        <v>38534</v>
      </c>
      <c r="K74" s="1">
        <v>37895</v>
      </c>
      <c r="M74" t="e">
        <v>#N/A</v>
      </c>
      <c r="N74" s="1">
        <v>38534</v>
      </c>
      <c r="Q74" s="1">
        <v>44378</v>
      </c>
      <c r="R74">
        <v>8</v>
      </c>
      <c r="S74">
        <v>325</v>
      </c>
      <c r="T74">
        <v>72</v>
      </c>
    </row>
    <row r="75" spans="7:20" x14ac:dyDescent="0.3">
      <c r="G75" s="1">
        <v>38534</v>
      </c>
      <c r="K75" s="1">
        <v>37895</v>
      </c>
      <c r="M75" t="e">
        <v>#N/A</v>
      </c>
      <c r="N75" s="1">
        <v>38534</v>
      </c>
      <c r="Q75" s="1">
        <v>44470</v>
      </c>
      <c r="R75">
        <v>7</v>
      </c>
      <c r="S75">
        <v>300</v>
      </c>
      <c r="T75">
        <v>73</v>
      </c>
    </row>
    <row r="76" spans="7:20" x14ac:dyDescent="0.3">
      <c r="G76" s="1">
        <v>38534</v>
      </c>
      <c r="K76" s="1">
        <v>37895</v>
      </c>
      <c r="M76" t="e">
        <v>#N/A</v>
      </c>
      <c r="N76" s="1">
        <v>38534</v>
      </c>
      <c r="Q76" s="1">
        <v>44562</v>
      </c>
      <c r="R76">
        <v>8</v>
      </c>
      <c r="S76">
        <v>323</v>
      </c>
      <c r="T76">
        <v>74</v>
      </c>
    </row>
    <row r="77" spans="7:20" x14ac:dyDescent="0.3">
      <c r="G77" s="1">
        <v>38534</v>
      </c>
      <c r="K77" s="1">
        <v>37895</v>
      </c>
      <c r="M77" t="e">
        <v>#N/A</v>
      </c>
      <c r="N77" s="1">
        <v>38534</v>
      </c>
      <c r="Q77" s="1">
        <v>44652</v>
      </c>
      <c r="R77">
        <v>7</v>
      </c>
      <c r="S77">
        <v>308</v>
      </c>
      <c r="T77">
        <v>75</v>
      </c>
    </row>
    <row r="78" spans="7:20" x14ac:dyDescent="0.3">
      <c r="G78" s="1">
        <v>38534</v>
      </c>
      <c r="K78" s="1">
        <v>37895</v>
      </c>
      <c r="M78" t="e">
        <v>#N/A</v>
      </c>
      <c r="N78" s="1">
        <v>38534</v>
      </c>
      <c r="Q78" s="1">
        <v>44743</v>
      </c>
      <c r="R78">
        <v>8</v>
      </c>
      <c r="S78">
        <v>319</v>
      </c>
      <c r="T78">
        <v>76</v>
      </c>
    </row>
    <row r="79" spans="7:20" x14ac:dyDescent="0.3">
      <c r="G79" s="1">
        <v>38534</v>
      </c>
      <c r="K79" s="1">
        <v>37895</v>
      </c>
      <c r="M79" t="e">
        <v>#N/A</v>
      </c>
      <c r="N79" s="1">
        <v>38534</v>
      </c>
      <c r="Q79" s="1">
        <v>44835</v>
      </c>
      <c r="R79">
        <v>8</v>
      </c>
      <c r="S79">
        <v>341</v>
      </c>
      <c r="T79">
        <v>77</v>
      </c>
    </row>
    <row r="80" spans="7:20" x14ac:dyDescent="0.3">
      <c r="G80" s="1">
        <v>38534</v>
      </c>
      <c r="K80" s="1">
        <v>37895</v>
      </c>
      <c r="M80" t="e">
        <v>#N/A</v>
      </c>
      <c r="N80" s="1">
        <v>38534</v>
      </c>
      <c r="Q80" s="1">
        <v>44927</v>
      </c>
      <c r="R80">
        <v>9</v>
      </c>
      <c r="S80">
        <v>337</v>
      </c>
      <c r="T80">
        <v>78</v>
      </c>
    </row>
    <row r="81" spans="7:20" x14ac:dyDescent="0.3">
      <c r="G81" s="1">
        <v>38534</v>
      </c>
      <c r="K81" s="1">
        <v>37895</v>
      </c>
      <c r="M81" t="e">
        <v>#N/A</v>
      </c>
      <c r="N81" s="1">
        <v>38534</v>
      </c>
      <c r="Q81" s="1">
        <v>45017</v>
      </c>
      <c r="T81">
        <v>79</v>
      </c>
    </row>
    <row r="82" spans="7:20" x14ac:dyDescent="0.3">
      <c r="G82" s="1">
        <v>38626</v>
      </c>
      <c r="K82" s="1">
        <v>37895</v>
      </c>
      <c r="M82" t="e">
        <v>#N/A</v>
      </c>
      <c r="N82" s="1">
        <v>38626</v>
      </c>
    </row>
    <row r="83" spans="7:20" x14ac:dyDescent="0.3">
      <c r="G83" s="1">
        <v>38626</v>
      </c>
      <c r="K83" s="1">
        <v>37895</v>
      </c>
      <c r="M83" t="e">
        <v>#N/A</v>
      </c>
      <c r="N83" s="1">
        <v>38626</v>
      </c>
    </row>
    <row r="84" spans="7:20" x14ac:dyDescent="0.3">
      <c r="G84" s="1">
        <v>38626</v>
      </c>
      <c r="K84" s="1">
        <v>37895</v>
      </c>
      <c r="M84" t="e">
        <v>#N/A</v>
      </c>
      <c r="N84" s="1">
        <v>38626</v>
      </c>
    </row>
    <row r="85" spans="7:20" x14ac:dyDescent="0.3">
      <c r="G85" s="1">
        <v>38626</v>
      </c>
      <c r="K85" s="1">
        <v>37895</v>
      </c>
      <c r="M85" t="e">
        <v>#N/A</v>
      </c>
      <c r="N85" s="1">
        <v>38626</v>
      </c>
    </row>
    <row r="86" spans="7:20" x14ac:dyDescent="0.3">
      <c r="G86" s="1">
        <v>38626</v>
      </c>
      <c r="K86" s="1">
        <v>37895</v>
      </c>
      <c r="M86" t="e">
        <v>#N/A</v>
      </c>
      <c r="N86" s="1">
        <v>38626</v>
      </c>
    </row>
    <row r="87" spans="7:20" x14ac:dyDescent="0.3">
      <c r="G87" s="1">
        <v>38626</v>
      </c>
      <c r="K87" s="1">
        <v>37895</v>
      </c>
      <c r="M87" t="e">
        <v>#N/A</v>
      </c>
      <c r="N87" s="1">
        <v>38626</v>
      </c>
    </row>
    <row r="88" spans="7:20" x14ac:dyDescent="0.3">
      <c r="G88" s="1">
        <v>38626</v>
      </c>
      <c r="K88" s="1">
        <v>37895</v>
      </c>
      <c r="M88" t="e">
        <v>#N/A</v>
      </c>
      <c r="N88" s="1">
        <v>38626</v>
      </c>
    </row>
    <row r="89" spans="7:20" x14ac:dyDescent="0.3">
      <c r="G89" s="1">
        <v>38626</v>
      </c>
      <c r="K89" s="1">
        <v>37895</v>
      </c>
      <c r="M89" t="e">
        <v>#N/A</v>
      </c>
      <c r="N89" s="1">
        <v>38626</v>
      </c>
    </row>
    <row r="90" spans="7:20" x14ac:dyDescent="0.3">
      <c r="G90" s="1">
        <v>38626</v>
      </c>
      <c r="K90" s="1">
        <v>37895</v>
      </c>
      <c r="M90" t="e">
        <v>#N/A</v>
      </c>
      <c r="N90" s="1">
        <v>38626</v>
      </c>
    </row>
    <row r="91" spans="7:20" x14ac:dyDescent="0.3">
      <c r="G91" s="1">
        <v>38718</v>
      </c>
      <c r="K91" s="1">
        <v>37895</v>
      </c>
      <c r="M91" t="e">
        <v>#N/A</v>
      </c>
      <c r="N91" s="1">
        <v>38718</v>
      </c>
    </row>
    <row r="92" spans="7:20" x14ac:dyDescent="0.3">
      <c r="G92" s="1">
        <v>38718</v>
      </c>
      <c r="K92" s="1">
        <v>37895</v>
      </c>
      <c r="M92" t="e">
        <v>#N/A</v>
      </c>
      <c r="N92" s="1">
        <v>38718</v>
      </c>
    </row>
    <row r="93" spans="7:20" x14ac:dyDescent="0.3">
      <c r="G93" s="1">
        <v>38718</v>
      </c>
      <c r="K93" s="1">
        <v>37895</v>
      </c>
      <c r="M93" t="e">
        <v>#N/A</v>
      </c>
      <c r="N93" s="1">
        <v>38718</v>
      </c>
    </row>
    <row r="94" spans="7:20" x14ac:dyDescent="0.3">
      <c r="G94" s="1">
        <v>38718</v>
      </c>
      <c r="K94" s="1">
        <v>37895</v>
      </c>
      <c r="M94" t="e">
        <v>#N/A</v>
      </c>
      <c r="N94" s="1">
        <v>38718</v>
      </c>
    </row>
    <row r="95" spans="7:20" x14ac:dyDescent="0.3">
      <c r="G95" s="1">
        <v>38718</v>
      </c>
      <c r="K95" s="1">
        <v>37895</v>
      </c>
      <c r="M95" t="e">
        <v>#N/A</v>
      </c>
      <c r="N95" s="1">
        <v>38718</v>
      </c>
    </row>
    <row r="96" spans="7:20" x14ac:dyDescent="0.3">
      <c r="G96" s="1">
        <v>38718</v>
      </c>
      <c r="K96" s="1">
        <v>37895</v>
      </c>
      <c r="M96" t="e">
        <v>#N/A</v>
      </c>
      <c r="N96" s="1">
        <v>38718</v>
      </c>
    </row>
    <row r="97" spans="7:14" x14ac:dyDescent="0.3">
      <c r="G97" s="1">
        <v>38718</v>
      </c>
      <c r="K97" s="1">
        <v>37895</v>
      </c>
      <c r="M97" t="e">
        <v>#N/A</v>
      </c>
      <c r="N97" s="1">
        <v>38718</v>
      </c>
    </row>
    <row r="98" spans="7:14" x14ac:dyDescent="0.3">
      <c r="G98" s="1">
        <v>38718</v>
      </c>
      <c r="K98" s="1">
        <v>37895</v>
      </c>
      <c r="M98" t="e">
        <v>#N/A</v>
      </c>
      <c r="N98" s="1">
        <v>38718</v>
      </c>
    </row>
    <row r="99" spans="7:14" x14ac:dyDescent="0.3">
      <c r="G99" s="1">
        <v>38718</v>
      </c>
      <c r="K99" s="1">
        <v>37895</v>
      </c>
      <c r="M99" t="e">
        <v>#N/A</v>
      </c>
      <c r="N99" s="1">
        <v>38718</v>
      </c>
    </row>
    <row r="100" spans="7:14" x14ac:dyDescent="0.3">
      <c r="G100" s="1">
        <v>38808</v>
      </c>
      <c r="K100" s="1">
        <v>37895</v>
      </c>
      <c r="M100" t="e">
        <v>#N/A</v>
      </c>
      <c r="N100" s="1">
        <v>38808</v>
      </c>
    </row>
    <row r="101" spans="7:14" x14ac:dyDescent="0.3">
      <c r="G101" s="1">
        <v>38808</v>
      </c>
      <c r="K101" s="1">
        <v>37895</v>
      </c>
      <c r="M101" t="e">
        <v>#N/A</v>
      </c>
      <c r="N101" s="1">
        <v>38808</v>
      </c>
    </row>
    <row r="102" spans="7:14" x14ac:dyDescent="0.3">
      <c r="G102" s="1">
        <v>38808</v>
      </c>
      <c r="K102" s="1">
        <v>37895</v>
      </c>
      <c r="M102" t="e">
        <v>#N/A</v>
      </c>
      <c r="N102" s="1">
        <v>38808</v>
      </c>
    </row>
    <row r="103" spans="7:14" x14ac:dyDescent="0.3">
      <c r="G103" s="1">
        <v>38808</v>
      </c>
      <c r="K103" s="1">
        <v>37895</v>
      </c>
      <c r="M103" t="e">
        <v>#N/A</v>
      </c>
      <c r="N103" s="1">
        <v>38808</v>
      </c>
    </row>
    <row r="104" spans="7:14" x14ac:dyDescent="0.3">
      <c r="G104" s="1">
        <v>38808</v>
      </c>
      <c r="K104" s="1">
        <v>37895</v>
      </c>
      <c r="M104" t="e">
        <v>#N/A</v>
      </c>
      <c r="N104" s="1">
        <v>38808</v>
      </c>
    </row>
    <row r="105" spans="7:14" x14ac:dyDescent="0.3">
      <c r="G105" s="1">
        <v>38808</v>
      </c>
      <c r="K105" s="1">
        <v>37895</v>
      </c>
      <c r="M105" t="e">
        <v>#N/A</v>
      </c>
      <c r="N105" s="1">
        <v>38808</v>
      </c>
    </row>
    <row r="106" spans="7:14" x14ac:dyDescent="0.3">
      <c r="G106" s="1">
        <v>38808</v>
      </c>
      <c r="K106" s="1">
        <v>37895</v>
      </c>
      <c r="M106" t="e">
        <v>#N/A</v>
      </c>
      <c r="N106" s="1">
        <v>38808</v>
      </c>
    </row>
    <row r="107" spans="7:14" x14ac:dyDescent="0.3">
      <c r="G107" s="1">
        <v>38808</v>
      </c>
      <c r="K107" s="1">
        <v>37895</v>
      </c>
      <c r="M107" t="e">
        <v>#N/A</v>
      </c>
      <c r="N107" s="1">
        <v>38808</v>
      </c>
    </row>
    <row r="108" spans="7:14" x14ac:dyDescent="0.3">
      <c r="G108" s="1">
        <v>38808</v>
      </c>
      <c r="K108" s="1">
        <v>37895</v>
      </c>
      <c r="M108" t="e">
        <v>#N/A</v>
      </c>
      <c r="N108" s="1">
        <v>38808</v>
      </c>
    </row>
    <row r="109" spans="7:14" x14ac:dyDescent="0.3">
      <c r="G109" s="1">
        <v>38899</v>
      </c>
      <c r="K109" s="1">
        <v>37895</v>
      </c>
      <c r="M109" t="e">
        <v>#N/A</v>
      </c>
      <c r="N109" s="1">
        <v>38899</v>
      </c>
    </row>
    <row r="110" spans="7:14" x14ac:dyDescent="0.3">
      <c r="G110" s="1">
        <v>38899</v>
      </c>
      <c r="K110" s="1">
        <v>37895</v>
      </c>
      <c r="M110" t="e">
        <v>#N/A</v>
      </c>
      <c r="N110" s="1">
        <v>38899</v>
      </c>
    </row>
    <row r="111" spans="7:14" x14ac:dyDescent="0.3">
      <c r="G111" s="1">
        <v>38899</v>
      </c>
      <c r="K111" s="1">
        <v>37895</v>
      </c>
      <c r="M111" t="e">
        <v>#N/A</v>
      </c>
      <c r="N111" s="1">
        <v>38899</v>
      </c>
    </row>
    <row r="112" spans="7:14" x14ac:dyDescent="0.3">
      <c r="G112" s="1">
        <v>38899</v>
      </c>
      <c r="K112" s="1">
        <v>37895</v>
      </c>
      <c r="M112" t="e">
        <v>#N/A</v>
      </c>
      <c r="N112" s="1">
        <v>38899</v>
      </c>
    </row>
    <row r="113" spans="7:14" x14ac:dyDescent="0.3">
      <c r="G113" s="1">
        <v>38899</v>
      </c>
      <c r="K113" s="1">
        <v>37895</v>
      </c>
      <c r="M113" t="e">
        <v>#N/A</v>
      </c>
      <c r="N113" s="1">
        <v>38899</v>
      </c>
    </row>
    <row r="114" spans="7:14" x14ac:dyDescent="0.3">
      <c r="G114" s="1">
        <v>38899</v>
      </c>
      <c r="K114" s="1">
        <v>37895</v>
      </c>
      <c r="M114" t="e">
        <v>#N/A</v>
      </c>
      <c r="N114" s="1">
        <v>38899</v>
      </c>
    </row>
    <row r="115" spans="7:14" x14ac:dyDescent="0.3">
      <c r="G115" s="1">
        <v>38899</v>
      </c>
      <c r="K115" s="1">
        <v>37895</v>
      </c>
      <c r="M115" t="e">
        <v>#N/A</v>
      </c>
      <c r="N115" s="1">
        <v>38899</v>
      </c>
    </row>
    <row r="116" spans="7:14" x14ac:dyDescent="0.3">
      <c r="G116" s="1">
        <v>38899</v>
      </c>
      <c r="K116" s="1">
        <v>37895</v>
      </c>
      <c r="M116" t="e">
        <v>#N/A</v>
      </c>
      <c r="N116" s="1">
        <v>38899</v>
      </c>
    </row>
    <row r="117" spans="7:14" x14ac:dyDescent="0.3">
      <c r="G117" s="1">
        <v>38899</v>
      </c>
      <c r="K117" s="1">
        <v>37895</v>
      </c>
      <c r="M117" t="e">
        <v>#N/A</v>
      </c>
      <c r="N117" s="1">
        <v>38899</v>
      </c>
    </row>
    <row r="118" spans="7:14" x14ac:dyDescent="0.3">
      <c r="G118" s="1">
        <v>38991</v>
      </c>
      <c r="K118" s="1">
        <v>37895</v>
      </c>
      <c r="M118" t="e">
        <v>#N/A</v>
      </c>
      <c r="N118" s="1">
        <v>38991</v>
      </c>
    </row>
    <row r="119" spans="7:14" x14ac:dyDescent="0.3">
      <c r="G119" s="1">
        <v>38991</v>
      </c>
      <c r="K119" s="1">
        <v>37895</v>
      </c>
      <c r="M119" t="e">
        <v>#N/A</v>
      </c>
      <c r="N119" s="1">
        <v>38991</v>
      </c>
    </row>
    <row r="120" spans="7:14" x14ac:dyDescent="0.3">
      <c r="G120" s="1">
        <v>38991</v>
      </c>
      <c r="K120" s="1">
        <v>37895</v>
      </c>
      <c r="M120" t="e">
        <v>#N/A</v>
      </c>
      <c r="N120" s="1">
        <v>38991</v>
      </c>
    </row>
    <row r="121" spans="7:14" x14ac:dyDescent="0.3">
      <c r="G121" s="1">
        <v>38991</v>
      </c>
      <c r="K121" s="1">
        <v>37895</v>
      </c>
      <c r="M121" t="e">
        <v>#N/A</v>
      </c>
      <c r="N121" s="1">
        <v>38991</v>
      </c>
    </row>
    <row r="122" spans="7:14" x14ac:dyDescent="0.3">
      <c r="G122" s="1">
        <v>38991</v>
      </c>
      <c r="K122" s="1">
        <v>37895</v>
      </c>
      <c r="M122" t="e">
        <v>#N/A</v>
      </c>
      <c r="N122" s="1">
        <v>38991</v>
      </c>
    </row>
    <row r="123" spans="7:14" x14ac:dyDescent="0.3">
      <c r="G123" s="1">
        <v>38991</v>
      </c>
      <c r="K123" s="1">
        <v>37895</v>
      </c>
      <c r="M123" t="e">
        <v>#N/A</v>
      </c>
      <c r="N123" s="1">
        <v>38991</v>
      </c>
    </row>
    <row r="124" spans="7:14" x14ac:dyDescent="0.3">
      <c r="G124" s="1">
        <v>38991</v>
      </c>
      <c r="K124" s="1">
        <v>37895</v>
      </c>
      <c r="M124" t="e">
        <v>#N/A</v>
      </c>
      <c r="N124" s="1">
        <v>38991</v>
      </c>
    </row>
    <row r="125" spans="7:14" x14ac:dyDescent="0.3">
      <c r="G125" s="1">
        <v>38991</v>
      </c>
      <c r="K125" s="1">
        <v>37895</v>
      </c>
      <c r="M125" t="e">
        <v>#N/A</v>
      </c>
      <c r="N125" s="1">
        <v>38991</v>
      </c>
    </row>
    <row r="126" spans="7:14" x14ac:dyDescent="0.3">
      <c r="G126" s="1">
        <v>38991</v>
      </c>
      <c r="K126" s="1">
        <v>37895</v>
      </c>
      <c r="M126" t="e">
        <v>#N/A</v>
      </c>
      <c r="N126" s="1">
        <v>38991</v>
      </c>
    </row>
    <row r="127" spans="7:14" x14ac:dyDescent="0.3">
      <c r="G127" s="1">
        <v>38991</v>
      </c>
      <c r="K127" s="1">
        <v>37895</v>
      </c>
      <c r="M127" t="e">
        <v>#N/A</v>
      </c>
      <c r="N127" s="1">
        <v>38991</v>
      </c>
    </row>
    <row r="128" spans="7:14" x14ac:dyDescent="0.3">
      <c r="G128" s="1">
        <v>39083</v>
      </c>
      <c r="K128" s="1">
        <v>37895</v>
      </c>
      <c r="M128" t="e">
        <v>#N/A</v>
      </c>
      <c r="N128" s="1">
        <v>39083</v>
      </c>
    </row>
    <row r="129" spans="7:14" x14ac:dyDescent="0.3">
      <c r="G129" s="1">
        <v>39083</v>
      </c>
      <c r="K129" s="1">
        <v>37895</v>
      </c>
      <c r="M129" t="e">
        <v>#N/A</v>
      </c>
      <c r="N129" s="1">
        <v>39083</v>
      </c>
    </row>
    <row r="130" spans="7:14" x14ac:dyDescent="0.3">
      <c r="G130" s="1">
        <v>39083</v>
      </c>
      <c r="K130" s="1">
        <v>37895</v>
      </c>
      <c r="M130" t="e">
        <v>#N/A</v>
      </c>
      <c r="N130" s="1">
        <v>39083</v>
      </c>
    </row>
    <row r="131" spans="7:14" x14ac:dyDescent="0.3">
      <c r="G131" s="1">
        <v>39083</v>
      </c>
      <c r="K131" s="1">
        <v>37895</v>
      </c>
      <c r="M131" t="e">
        <v>#N/A</v>
      </c>
      <c r="N131" s="1">
        <v>39083</v>
      </c>
    </row>
    <row r="132" spans="7:14" x14ac:dyDescent="0.3">
      <c r="G132" s="1">
        <v>39083</v>
      </c>
      <c r="K132" s="1">
        <v>37895</v>
      </c>
      <c r="M132" t="e">
        <v>#N/A</v>
      </c>
      <c r="N132" s="1">
        <v>39083</v>
      </c>
    </row>
    <row r="133" spans="7:14" x14ac:dyDescent="0.3">
      <c r="G133" s="1">
        <v>39083</v>
      </c>
      <c r="K133" s="1">
        <v>37895</v>
      </c>
      <c r="M133" t="e">
        <v>#N/A</v>
      </c>
      <c r="N133" s="1">
        <v>39083</v>
      </c>
    </row>
    <row r="134" spans="7:14" x14ac:dyDescent="0.3">
      <c r="G134" s="1">
        <v>39083</v>
      </c>
      <c r="K134" s="1">
        <v>37895</v>
      </c>
      <c r="M134" t="e">
        <v>#N/A</v>
      </c>
      <c r="N134" s="1">
        <v>39083</v>
      </c>
    </row>
    <row r="135" spans="7:14" x14ac:dyDescent="0.3">
      <c r="G135" s="1">
        <v>39083</v>
      </c>
      <c r="K135" s="1">
        <v>37895</v>
      </c>
      <c r="M135" t="e">
        <v>#N/A</v>
      </c>
      <c r="N135" s="1">
        <v>39083</v>
      </c>
    </row>
    <row r="136" spans="7:14" x14ac:dyDescent="0.3">
      <c r="G136" s="1">
        <v>39083</v>
      </c>
      <c r="K136" s="1">
        <v>37895</v>
      </c>
      <c r="M136" t="e">
        <v>#N/A</v>
      </c>
      <c r="N136" s="1">
        <v>39083</v>
      </c>
    </row>
    <row r="137" spans="7:14" x14ac:dyDescent="0.3">
      <c r="G137" s="1">
        <v>39083</v>
      </c>
      <c r="K137" s="1">
        <v>37895</v>
      </c>
      <c r="M137" t="e">
        <v>#N/A</v>
      </c>
      <c r="N137" s="1">
        <v>39083</v>
      </c>
    </row>
    <row r="138" spans="7:14" x14ac:dyDescent="0.3">
      <c r="G138" s="1">
        <v>39173</v>
      </c>
      <c r="K138" s="1">
        <v>37895</v>
      </c>
      <c r="M138" t="e">
        <v>#N/A</v>
      </c>
      <c r="N138" s="1">
        <v>39173</v>
      </c>
    </row>
    <row r="139" spans="7:14" x14ac:dyDescent="0.3">
      <c r="G139" s="1">
        <v>39173</v>
      </c>
      <c r="K139" s="1">
        <v>37895</v>
      </c>
      <c r="M139" t="e">
        <v>#N/A</v>
      </c>
      <c r="N139" s="1">
        <v>39173</v>
      </c>
    </row>
    <row r="140" spans="7:14" x14ac:dyDescent="0.3">
      <c r="G140" s="1">
        <v>39173</v>
      </c>
      <c r="K140" s="1">
        <v>37895</v>
      </c>
      <c r="M140" t="e">
        <v>#N/A</v>
      </c>
      <c r="N140" s="1">
        <v>39173</v>
      </c>
    </row>
    <row r="141" spans="7:14" x14ac:dyDescent="0.3">
      <c r="G141" s="1">
        <v>39173</v>
      </c>
      <c r="K141" s="1">
        <v>37895</v>
      </c>
      <c r="M141" t="e">
        <v>#N/A</v>
      </c>
      <c r="N141" s="1">
        <v>39173</v>
      </c>
    </row>
    <row r="142" spans="7:14" x14ac:dyDescent="0.3">
      <c r="G142" s="1">
        <v>39173</v>
      </c>
      <c r="K142" s="1">
        <v>37895</v>
      </c>
      <c r="M142" t="e">
        <v>#N/A</v>
      </c>
      <c r="N142" s="1">
        <v>39173</v>
      </c>
    </row>
    <row r="143" spans="7:14" x14ac:dyDescent="0.3">
      <c r="G143" s="1">
        <v>39173</v>
      </c>
      <c r="K143" s="1">
        <v>37895</v>
      </c>
      <c r="M143" t="e">
        <v>#N/A</v>
      </c>
      <c r="N143" s="1">
        <v>39173</v>
      </c>
    </row>
    <row r="144" spans="7:14" x14ac:dyDescent="0.3">
      <c r="G144" s="1">
        <v>39173</v>
      </c>
      <c r="K144" s="1">
        <v>37895</v>
      </c>
      <c r="M144" t="e">
        <v>#N/A</v>
      </c>
      <c r="N144" s="1">
        <v>39173</v>
      </c>
    </row>
    <row r="145" spans="7:14" x14ac:dyDescent="0.3">
      <c r="G145" s="1">
        <v>39173</v>
      </c>
      <c r="K145" s="1">
        <v>37895</v>
      </c>
      <c r="M145" t="e">
        <v>#N/A</v>
      </c>
      <c r="N145" s="1">
        <v>39173</v>
      </c>
    </row>
    <row r="146" spans="7:14" x14ac:dyDescent="0.3">
      <c r="G146" s="1">
        <v>39173</v>
      </c>
      <c r="K146" s="1">
        <v>37895</v>
      </c>
      <c r="M146" t="e">
        <v>#N/A</v>
      </c>
      <c r="N146" s="1">
        <v>39173</v>
      </c>
    </row>
    <row r="147" spans="7:14" x14ac:dyDescent="0.3">
      <c r="G147" s="1">
        <v>39173</v>
      </c>
      <c r="K147" s="1">
        <v>37895</v>
      </c>
      <c r="M147" t="e">
        <v>#N/A</v>
      </c>
      <c r="N147" s="1">
        <v>39173</v>
      </c>
    </row>
    <row r="148" spans="7:14" x14ac:dyDescent="0.3">
      <c r="G148" s="1">
        <v>39173</v>
      </c>
      <c r="K148" s="1">
        <v>37895</v>
      </c>
      <c r="M148" t="e">
        <v>#N/A</v>
      </c>
      <c r="N148" s="1">
        <v>39173</v>
      </c>
    </row>
    <row r="149" spans="7:14" x14ac:dyDescent="0.3">
      <c r="G149" s="1">
        <v>39264</v>
      </c>
      <c r="K149" s="1">
        <v>37895</v>
      </c>
      <c r="M149" t="e">
        <v>#N/A</v>
      </c>
      <c r="N149" s="1">
        <v>39264</v>
      </c>
    </row>
    <row r="150" spans="7:14" x14ac:dyDescent="0.3">
      <c r="G150" s="1">
        <v>39264</v>
      </c>
      <c r="K150" s="1">
        <v>37895</v>
      </c>
      <c r="M150" t="e">
        <v>#N/A</v>
      </c>
      <c r="N150" s="1">
        <v>39264</v>
      </c>
    </row>
    <row r="151" spans="7:14" x14ac:dyDescent="0.3">
      <c r="G151" s="1">
        <v>39264</v>
      </c>
      <c r="K151" s="1">
        <v>37895</v>
      </c>
      <c r="M151" t="e">
        <v>#N/A</v>
      </c>
      <c r="N151" s="1">
        <v>39264</v>
      </c>
    </row>
    <row r="152" spans="7:14" x14ac:dyDescent="0.3">
      <c r="G152" s="1">
        <v>39264</v>
      </c>
      <c r="K152" s="1">
        <v>37895</v>
      </c>
      <c r="M152" t="e">
        <v>#N/A</v>
      </c>
      <c r="N152" s="1">
        <v>39264</v>
      </c>
    </row>
    <row r="153" spans="7:14" x14ac:dyDescent="0.3">
      <c r="G153" s="1">
        <v>39264</v>
      </c>
      <c r="K153" s="1">
        <v>37895</v>
      </c>
      <c r="M153" t="e">
        <v>#N/A</v>
      </c>
      <c r="N153" s="1">
        <v>39264</v>
      </c>
    </row>
    <row r="154" spans="7:14" x14ac:dyDescent="0.3">
      <c r="G154" s="1">
        <v>39264</v>
      </c>
      <c r="K154" s="1">
        <v>37895</v>
      </c>
      <c r="M154" t="e">
        <v>#N/A</v>
      </c>
      <c r="N154" s="1">
        <v>39264</v>
      </c>
    </row>
    <row r="155" spans="7:14" x14ac:dyDescent="0.3">
      <c r="G155" s="1">
        <v>39264</v>
      </c>
      <c r="K155" s="1">
        <v>37895</v>
      </c>
      <c r="M155" t="e">
        <v>#N/A</v>
      </c>
      <c r="N155" s="1">
        <v>39264</v>
      </c>
    </row>
    <row r="156" spans="7:14" x14ac:dyDescent="0.3">
      <c r="G156" s="1">
        <v>39264</v>
      </c>
      <c r="K156" s="1">
        <v>37895</v>
      </c>
      <c r="M156" t="e">
        <v>#N/A</v>
      </c>
      <c r="N156" s="1">
        <v>39264</v>
      </c>
    </row>
    <row r="157" spans="7:14" x14ac:dyDescent="0.3">
      <c r="G157" s="1">
        <v>39264</v>
      </c>
      <c r="K157" s="1">
        <v>37895</v>
      </c>
      <c r="M157" t="e">
        <v>#N/A</v>
      </c>
      <c r="N157" s="1">
        <v>39264</v>
      </c>
    </row>
    <row r="158" spans="7:14" x14ac:dyDescent="0.3">
      <c r="G158" s="1">
        <v>39264</v>
      </c>
      <c r="K158" s="1">
        <v>37895</v>
      </c>
      <c r="M158" t="e">
        <v>#N/A</v>
      </c>
      <c r="N158" s="1">
        <v>39264</v>
      </c>
    </row>
    <row r="159" spans="7:14" x14ac:dyDescent="0.3">
      <c r="G159" s="1">
        <v>39264</v>
      </c>
      <c r="K159" s="1">
        <v>37895</v>
      </c>
      <c r="M159" t="e">
        <v>#N/A</v>
      </c>
      <c r="N159" s="1">
        <v>39264</v>
      </c>
    </row>
    <row r="160" spans="7:14" x14ac:dyDescent="0.3">
      <c r="G160" s="1">
        <v>39264</v>
      </c>
      <c r="K160" s="1">
        <v>37895</v>
      </c>
      <c r="M160" t="e">
        <v>#N/A</v>
      </c>
      <c r="N160" s="1">
        <v>39264</v>
      </c>
    </row>
    <row r="161" spans="7:14" x14ac:dyDescent="0.3">
      <c r="G161" s="1">
        <v>39356</v>
      </c>
      <c r="K161" s="1">
        <v>37895</v>
      </c>
      <c r="M161" t="e">
        <v>#N/A</v>
      </c>
      <c r="N161" s="1">
        <v>39356</v>
      </c>
    </row>
    <row r="162" spans="7:14" x14ac:dyDescent="0.3">
      <c r="G162" s="1">
        <v>39356</v>
      </c>
      <c r="K162" s="1">
        <v>37895</v>
      </c>
      <c r="M162" t="e">
        <v>#N/A</v>
      </c>
      <c r="N162" s="1">
        <v>39356</v>
      </c>
    </row>
    <row r="163" spans="7:14" x14ac:dyDescent="0.3">
      <c r="G163" s="1">
        <v>39356</v>
      </c>
      <c r="K163" s="1">
        <v>37895</v>
      </c>
      <c r="M163" t="e">
        <v>#N/A</v>
      </c>
      <c r="N163" s="1">
        <v>39356</v>
      </c>
    </row>
    <row r="164" spans="7:14" x14ac:dyDescent="0.3">
      <c r="G164" s="1">
        <v>39356</v>
      </c>
      <c r="K164" s="1">
        <v>37895</v>
      </c>
      <c r="M164" t="e">
        <v>#N/A</v>
      </c>
      <c r="N164" s="1">
        <v>39356</v>
      </c>
    </row>
    <row r="165" spans="7:14" x14ac:dyDescent="0.3">
      <c r="G165" s="1">
        <v>39356</v>
      </c>
      <c r="K165" s="1">
        <v>37895</v>
      </c>
      <c r="M165" t="e">
        <v>#N/A</v>
      </c>
      <c r="N165" s="1">
        <v>39356</v>
      </c>
    </row>
    <row r="166" spans="7:14" x14ac:dyDescent="0.3">
      <c r="G166" s="1">
        <v>39356</v>
      </c>
      <c r="K166" s="1">
        <v>37895</v>
      </c>
      <c r="M166" t="e">
        <v>#N/A</v>
      </c>
      <c r="N166" s="1">
        <v>39356</v>
      </c>
    </row>
    <row r="167" spans="7:14" x14ac:dyDescent="0.3">
      <c r="G167" s="1">
        <v>39356</v>
      </c>
      <c r="K167" s="1">
        <v>37895</v>
      </c>
      <c r="M167" t="e">
        <v>#N/A</v>
      </c>
      <c r="N167" s="1">
        <v>39356</v>
      </c>
    </row>
    <row r="168" spans="7:14" x14ac:dyDescent="0.3">
      <c r="G168" s="1">
        <v>39356</v>
      </c>
      <c r="K168" s="1">
        <v>37895</v>
      </c>
      <c r="M168" t="e">
        <v>#N/A</v>
      </c>
      <c r="N168" s="1">
        <v>39356</v>
      </c>
    </row>
    <row r="169" spans="7:14" x14ac:dyDescent="0.3">
      <c r="G169" s="1">
        <v>39356</v>
      </c>
      <c r="K169" s="1">
        <v>37895</v>
      </c>
      <c r="M169" t="e">
        <v>#N/A</v>
      </c>
      <c r="N169" s="1">
        <v>39356</v>
      </c>
    </row>
    <row r="170" spans="7:14" x14ac:dyDescent="0.3">
      <c r="G170" s="1">
        <v>39356</v>
      </c>
      <c r="K170" s="1">
        <v>37895</v>
      </c>
      <c r="M170" t="e">
        <v>#N/A</v>
      </c>
      <c r="N170" s="1">
        <v>39356</v>
      </c>
    </row>
    <row r="171" spans="7:14" x14ac:dyDescent="0.3">
      <c r="G171" s="1">
        <v>39356</v>
      </c>
      <c r="K171" s="1">
        <v>37895</v>
      </c>
      <c r="M171" t="e">
        <v>#N/A</v>
      </c>
      <c r="N171" s="1">
        <v>39356</v>
      </c>
    </row>
    <row r="172" spans="7:14" x14ac:dyDescent="0.3">
      <c r="G172" s="1">
        <v>39356</v>
      </c>
      <c r="K172" s="1">
        <v>37895</v>
      </c>
      <c r="M172" t="e">
        <v>#N/A</v>
      </c>
      <c r="N172" s="1">
        <v>39356</v>
      </c>
    </row>
    <row r="173" spans="7:14" x14ac:dyDescent="0.3">
      <c r="G173" s="1">
        <v>39356</v>
      </c>
      <c r="K173" s="1">
        <v>37895</v>
      </c>
      <c r="M173" t="e">
        <v>#N/A</v>
      </c>
      <c r="N173" s="1">
        <v>39356</v>
      </c>
    </row>
    <row r="174" spans="7:14" x14ac:dyDescent="0.3">
      <c r="G174" s="1">
        <v>39356</v>
      </c>
      <c r="K174" s="1">
        <v>37895</v>
      </c>
      <c r="M174" t="e">
        <v>#N/A</v>
      </c>
      <c r="N174" s="1">
        <v>39356</v>
      </c>
    </row>
    <row r="175" spans="7:14" x14ac:dyDescent="0.3">
      <c r="G175" s="1">
        <v>39448</v>
      </c>
      <c r="K175" s="1">
        <v>37895</v>
      </c>
      <c r="M175" t="e">
        <v>#N/A</v>
      </c>
      <c r="N175" s="1">
        <v>39448</v>
      </c>
    </row>
    <row r="176" spans="7:14" x14ac:dyDescent="0.3">
      <c r="G176" s="1">
        <v>39448</v>
      </c>
      <c r="K176" s="1">
        <v>37895</v>
      </c>
      <c r="M176" t="e">
        <v>#N/A</v>
      </c>
      <c r="N176" s="1">
        <v>39448</v>
      </c>
    </row>
    <row r="177" spans="7:14" x14ac:dyDescent="0.3">
      <c r="G177" s="1">
        <v>39448</v>
      </c>
      <c r="K177" s="1">
        <v>37895</v>
      </c>
      <c r="M177" t="e">
        <v>#N/A</v>
      </c>
      <c r="N177" s="1">
        <v>39448</v>
      </c>
    </row>
    <row r="178" spans="7:14" x14ac:dyDescent="0.3">
      <c r="G178" s="1">
        <v>39448</v>
      </c>
      <c r="K178" s="1">
        <v>37895</v>
      </c>
      <c r="M178" t="e">
        <v>#N/A</v>
      </c>
      <c r="N178" s="1">
        <v>39448</v>
      </c>
    </row>
    <row r="179" spans="7:14" x14ac:dyDescent="0.3">
      <c r="G179" s="1">
        <v>39448</v>
      </c>
      <c r="K179" s="1">
        <v>37895</v>
      </c>
      <c r="M179" t="e">
        <v>#N/A</v>
      </c>
      <c r="N179" s="1">
        <v>39448</v>
      </c>
    </row>
    <row r="180" spans="7:14" x14ac:dyDescent="0.3">
      <c r="G180" s="1">
        <v>39448</v>
      </c>
      <c r="K180" s="1">
        <v>37895</v>
      </c>
      <c r="M180" t="e">
        <v>#N/A</v>
      </c>
      <c r="N180" s="1">
        <v>39448</v>
      </c>
    </row>
    <row r="181" spans="7:14" x14ac:dyDescent="0.3">
      <c r="G181" s="1">
        <v>39448</v>
      </c>
      <c r="K181" s="1">
        <v>37895</v>
      </c>
      <c r="M181" t="e">
        <v>#N/A</v>
      </c>
      <c r="N181" s="1">
        <v>39448</v>
      </c>
    </row>
    <row r="182" spans="7:14" x14ac:dyDescent="0.3">
      <c r="G182" s="1">
        <v>39448</v>
      </c>
      <c r="K182" s="1">
        <v>37895</v>
      </c>
      <c r="M182" t="e">
        <v>#N/A</v>
      </c>
      <c r="N182" s="1">
        <v>39448</v>
      </c>
    </row>
    <row r="183" spans="7:14" x14ac:dyDescent="0.3">
      <c r="G183" s="1">
        <v>39448</v>
      </c>
      <c r="K183" s="1">
        <v>37895</v>
      </c>
      <c r="M183" t="e">
        <v>#N/A</v>
      </c>
      <c r="N183" s="1">
        <v>39448</v>
      </c>
    </row>
    <row r="184" spans="7:14" x14ac:dyDescent="0.3">
      <c r="G184" s="1">
        <v>39448</v>
      </c>
      <c r="K184" s="1">
        <v>37895</v>
      </c>
      <c r="M184" t="e">
        <v>#N/A</v>
      </c>
      <c r="N184" s="1">
        <v>39448</v>
      </c>
    </row>
    <row r="185" spans="7:14" x14ac:dyDescent="0.3">
      <c r="G185" s="1">
        <v>39448</v>
      </c>
      <c r="K185" s="1">
        <v>37895</v>
      </c>
      <c r="M185" t="e">
        <v>#N/A</v>
      </c>
      <c r="N185" s="1">
        <v>39448</v>
      </c>
    </row>
    <row r="186" spans="7:14" x14ac:dyDescent="0.3">
      <c r="G186" s="1">
        <v>39448</v>
      </c>
      <c r="K186" s="1">
        <v>37895</v>
      </c>
      <c r="M186" t="e">
        <v>#N/A</v>
      </c>
      <c r="N186" s="1">
        <v>39448</v>
      </c>
    </row>
    <row r="187" spans="7:14" x14ac:dyDescent="0.3">
      <c r="G187" s="1">
        <v>39448</v>
      </c>
      <c r="K187" s="1">
        <v>37895</v>
      </c>
      <c r="M187" t="e">
        <v>#N/A</v>
      </c>
      <c r="N187" s="1">
        <v>39448</v>
      </c>
    </row>
    <row r="188" spans="7:14" x14ac:dyDescent="0.3">
      <c r="G188" s="1">
        <v>39448</v>
      </c>
      <c r="K188" s="1">
        <v>37895</v>
      </c>
      <c r="M188" t="e">
        <v>#N/A</v>
      </c>
      <c r="N188" s="1">
        <v>39448</v>
      </c>
    </row>
    <row r="189" spans="7:14" x14ac:dyDescent="0.3">
      <c r="G189" s="1">
        <v>39448</v>
      </c>
      <c r="K189" s="1">
        <v>37895</v>
      </c>
      <c r="M189" t="e">
        <v>#N/A</v>
      </c>
      <c r="N189" s="1">
        <v>39448</v>
      </c>
    </row>
    <row r="190" spans="7:14" x14ac:dyDescent="0.3">
      <c r="G190" s="1">
        <v>39448</v>
      </c>
      <c r="K190" s="1">
        <v>37895</v>
      </c>
      <c r="M190" t="e">
        <v>#N/A</v>
      </c>
      <c r="N190" s="1">
        <v>39448</v>
      </c>
    </row>
    <row r="191" spans="7:14" x14ac:dyDescent="0.3">
      <c r="G191" s="1">
        <v>39448</v>
      </c>
      <c r="K191" s="1">
        <v>37895</v>
      </c>
      <c r="M191" t="e">
        <v>#N/A</v>
      </c>
      <c r="N191" s="1">
        <v>39448</v>
      </c>
    </row>
    <row r="192" spans="7:14" x14ac:dyDescent="0.3">
      <c r="G192" s="1">
        <v>39539</v>
      </c>
      <c r="K192" s="1">
        <v>37895</v>
      </c>
      <c r="M192" t="e">
        <v>#N/A</v>
      </c>
      <c r="N192" s="1">
        <v>39539</v>
      </c>
    </row>
    <row r="193" spans="7:14" x14ac:dyDescent="0.3">
      <c r="G193" s="1">
        <v>39539</v>
      </c>
      <c r="K193" s="1">
        <v>37895</v>
      </c>
      <c r="M193" t="e">
        <v>#N/A</v>
      </c>
      <c r="N193" s="1">
        <v>39539</v>
      </c>
    </row>
    <row r="194" spans="7:14" x14ac:dyDescent="0.3">
      <c r="G194" s="1">
        <v>39539</v>
      </c>
      <c r="K194" s="1">
        <v>37895</v>
      </c>
      <c r="M194" t="e">
        <v>#N/A</v>
      </c>
      <c r="N194" s="1">
        <v>39539</v>
      </c>
    </row>
    <row r="195" spans="7:14" x14ac:dyDescent="0.3">
      <c r="G195" s="1">
        <v>39539</v>
      </c>
      <c r="K195" s="1">
        <v>37895</v>
      </c>
      <c r="M195" t="e">
        <v>#N/A</v>
      </c>
      <c r="N195" s="1">
        <v>39539</v>
      </c>
    </row>
    <row r="196" spans="7:14" x14ac:dyDescent="0.3">
      <c r="G196" s="1">
        <v>39539</v>
      </c>
      <c r="K196" s="1">
        <v>37895</v>
      </c>
      <c r="M196" t="e">
        <v>#N/A</v>
      </c>
      <c r="N196" s="1">
        <v>39539</v>
      </c>
    </row>
    <row r="197" spans="7:14" x14ac:dyDescent="0.3">
      <c r="G197" s="1">
        <v>39539</v>
      </c>
      <c r="K197" s="1">
        <v>37895</v>
      </c>
      <c r="M197" t="e">
        <v>#N/A</v>
      </c>
      <c r="N197" s="1">
        <v>39539</v>
      </c>
    </row>
    <row r="198" spans="7:14" x14ac:dyDescent="0.3">
      <c r="G198" s="1">
        <v>39539</v>
      </c>
      <c r="K198" s="1">
        <v>37895</v>
      </c>
      <c r="M198" t="e">
        <v>#N/A</v>
      </c>
      <c r="N198" s="1">
        <v>39539</v>
      </c>
    </row>
    <row r="199" spans="7:14" x14ac:dyDescent="0.3">
      <c r="G199" s="1">
        <v>39539</v>
      </c>
      <c r="K199" s="1">
        <v>37895</v>
      </c>
      <c r="M199" t="e">
        <v>#N/A</v>
      </c>
      <c r="N199" s="1">
        <v>39539</v>
      </c>
    </row>
    <row r="200" spans="7:14" x14ac:dyDescent="0.3">
      <c r="G200" s="1">
        <v>39539</v>
      </c>
      <c r="K200" s="1">
        <v>37895</v>
      </c>
      <c r="M200" t="e">
        <v>#N/A</v>
      </c>
      <c r="N200" s="1">
        <v>39539</v>
      </c>
    </row>
    <row r="201" spans="7:14" x14ac:dyDescent="0.3">
      <c r="G201" s="1">
        <v>39539</v>
      </c>
      <c r="K201" s="1">
        <v>37895</v>
      </c>
      <c r="M201" t="e">
        <v>#N/A</v>
      </c>
      <c r="N201" s="1">
        <v>39539</v>
      </c>
    </row>
    <row r="202" spans="7:14" x14ac:dyDescent="0.3">
      <c r="G202" s="1">
        <v>39539</v>
      </c>
      <c r="K202" s="1">
        <v>37895</v>
      </c>
      <c r="M202" t="e">
        <v>#N/A</v>
      </c>
      <c r="N202" s="1">
        <v>39539</v>
      </c>
    </row>
    <row r="203" spans="7:14" x14ac:dyDescent="0.3">
      <c r="G203" s="1">
        <v>39539</v>
      </c>
      <c r="K203" s="1">
        <v>37895</v>
      </c>
      <c r="M203" t="e">
        <v>#N/A</v>
      </c>
      <c r="N203" s="1">
        <v>39539</v>
      </c>
    </row>
    <row r="204" spans="7:14" x14ac:dyDescent="0.3">
      <c r="G204" s="1">
        <v>39539</v>
      </c>
      <c r="K204" s="1">
        <v>37895</v>
      </c>
      <c r="M204" t="e">
        <v>#N/A</v>
      </c>
      <c r="N204" s="1">
        <v>39539</v>
      </c>
    </row>
    <row r="205" spans="7:14" x14ac:dyDescent="0.3">
      <c r="G205" s="1">
        <v>39539</v>
      </c>
      <c r="K205" s="1">
        <v>37895</v>
      </c>
      <c r="M205" t="e">
        <v>#N/A</v>
      </c>
      <c r="N205" s="1">
        <v>39539</v>
      </c>
    </row>
    <row r="206" spans="7:14" x14ac:dyDescent="0.3">
      <c r="G206" s="1">
        <v>39539</v>
      </c>
      <c r="K206" s="1">
        <v>37895</v>
      </c>
      <c r="M206" t="e">
        <v>#N/A</v>
      </c>
      <c r="N206" s="1">
        <v>39539</v>
      </c>
    </row>
    <row r="207" spans="7:14" x14ac:dyDescent="0.3">
      <c r="G207" s="1">
        <v>39539</v>
      </c>
      <c r="K207" s="1">
        <v>37895</v>
      </c>
      <c r="M207" t="e">
        <v>#N/A</v>
      </c>
      <c r="N207" s="1">
        <v>39539</v>
      </c>
    </row>
    <row r="208" spans="7:14" x14ac:dyDescent="0.3">
      <c r="G208" s="1">
        <v>39539</v>
      </c>
      <c r="K208" s="1">
        <v>37895</v>
      </c>
      <c r="M208" t="e">
        <v>#N/A</v>
      </c>
      <c r="N208" s="1">
        <v>39539</v>
      </c>
    </row>
    <row r="209" spans="7:14" x14ac:dyDescent="0.3">
      <c r="G209" s="1">
        <v>39539</v>
      </c>
      <c r="K209" s="1">
        <v>37895</v>
      </c>
      <c r="M209" t="e">
        <v>#N/A</v>
      </c>
      <c r="N209" s="1">
        <v>39539</v>
      </c>
    </row>
    <row r="210" spans="7:14" x14ac:dyDescent="0.3">
      <c r="G210" s="1">
        <v>39630</v>
      </c>
      <c r="K210" s="1">
        <v>37895</v>
      </c>
      <c r="M210" t="e">
        <v>#N/A</v>
      </c>
      <c r="N210" s="1">
        <v>39630</v>
      </c>
    </row>
    <row r="211" spans="7:14" x14ac:dyDescent="0.3">
      <c r="G211" s="1">
        <v>39630</v>
      </c>
      <c r="K211" s="1">
        <v>37895</v>
      </c>
      <c r="M211" t="e">
        <v>#N/A</v>
      </c>
      <c r="N211" s="1">
        <v>39630</v>
      </c>
    </row>
    <row r="212" spans="7:14" x14ac:dyDescent="0.3">
      <c r="G212" s="1">
        <v>39630</v>
      </c>
      <c r="K212" s="1">
        <v>37895</v>
      </c>
      <c r="M212" t="e">
        <v>#N/A</v>
      </c>
      <c r="N212" s="1">
        <v>39630</v>
      </c>
    </row>
    <row r="213" spans="7:14" x14ac:dyDescent="0.3">
      <c r="G213" s="1">
        <v>39630</v>
      </c>
      <c r="K213" s="1">
        <v>37895</v>
      </c>
      <c r="M213" t="e">
        <v>#N/A</v>
      </c>
      <c r="N213" s="1">
        <v>39630</v>
      </c>
    </row>
    <row r="214" spans="7:14" x14ac:dyDescent="0.3">
      <c r="G214" s="1">
        <v>39630</v>
      </c>
      <c r="K214" s="1">
        <v>37895</v>
      </c>
      <c r="M214" t="e">
        <v>#N/A</v>
      </c>
      <c r="N214" s="1">
        <v>39630</v>
      </c>
    </row>
    <row r="215" spans="7:14" x14ac:dyDescent="0.3">
      <c r="G215" s="1">
        <v>39630</v>
      </c>
      <c r="K215" s="1">
        <v>37895</v>
      </c>
      <c r="M215" t="e">
        <v>#N/A</v>
      </c>
      <c r="N215" s="1">
        <v>39630</v>
      </c>
    </row>
    <row r="216" spans="7:14" x14ac:dyDescent="0.3">
      <c r="G216" s="1">
        <v>39630</v>
      </c>
      <c r="K216" s="1">
        <v>37895</v>
      </c>
      <c r="M216" t="e">
        <v>#N/A</v>
      </c>
      <c r="N216" s="1">
        <v>39630</v>
      </c>
    </row>
    <row r="217" spans="7:14" x14ac:dyDescent="0.3">
      <c r="G217" s="1">
        <v>39630</v>
      </c>
      <c r="K217" s="1">
        <v>37895</v>
      </c>
      <c r="M217" t="e">
        <v>#N/A</v>
      </c>
      <c r="N217" s="1">
        <v>39630</v>
      </c>
    </row>
    <row r="218" spans="7:14" x14ac:dyDescent="0.3">
      <c r="G218" s="1">
        <v>39630</v>
      </c>
      <c r="K218" s="1">
        <v>37895</v>
      </c>
      <c r="M218" t="e">
        <v>#N/A</v>
      </c>
      <c r="N218" s="1">
        <v>39630</v>
      </c>
    </row>
    <row r="219" spans="7:14" x14ac:dyDescent="0.3">
      <c r="G219" s="1">
        <v>39630</v>
      </c>
      <c r="K219" s="1">
        <v>37895</v>
      </c>
      <c r="M219" t="e">
        <v>#N/A</v>
      </c>
      <c r="N219" s="1">
        <v>39630</v>
      </c>
    </row>
    <row r="220" spans="7:14" x14ac:dyDescent="0.3">
      <c r="G220" s="1">
        <v>39630</v>
      </c>
      <c r="K220" s="1">
        <v>37895</v>
      </c>
      <c r="M220" t="e">
        <v>#N/A</v>
      </c>
      <c r="N220" s="1">
        <v>39630</v>
      </c>
    </row>
    <row r="221" spans="7:14" x14ac:dyDescent="0.3">
      <c r="G221" s="1">
        <v>39630</v>
      </c>
      <c r="K221" s="1">
        <v>37895</v>
      </c>
      <c r="M221" t="e">
        <v>#N/A</v>
      </c>
      <c r="N221" s="1">
        <v>39630</v>
      </c>
    </row>
    <row r="222" spans="7:14" x14ac:dyDescent="0.3">
      <c r="G222" s="1">
        <v>39630</v>
      </c>
      <c r="K222" s="1">
        <v>37895</v>
      </c>
      <c r="M222" t="e">
        <v>#N/A</v>
      </c>
      <c r="N222" s="1">
        <v>39630</v>
      </c>
    </row>
    <row r="223" spans="7:14" x14ac:dyDescent="0.3">
      <c r="G223" s="1">
        <v>39630</v>
      </c>
      <c r="K223" s="1">
        <v>37895</v>
      </c>
      <c r="M223" t="e">
        <v>#N/A</v>
      </c>
      <c r="N223" s="1">
        <v>39630</v>
      </c>
    </row>
    <row r="224" spans="7:14" x14ac:dyDescent="0.3">
      <c r="G224" s="1">
        <v>39630</v>
      </c>
      <c r="K224" s="1">
        <v>37895</v>
      </c>
      <c r="M224" t="e">
        <v>#N/A</v>
      </c>
      <c r="N224" s="1">
        <v>39630</v>
      </c>
    </row>
    <row r="225" spans="7:14" x14ac:dyDescent="0.3">
      <c r="G225" s="1">
        <v>39630</v>
      </c>
      <c r="K225" s="1">
        <v>37895</v>
      </c>
      <c r="M225" t="e">
        <v>#N/A</v>
      </c>
      <c r="N225" s="1">
        <v>39630</v>
      </c>
    </row>
    <row r="226" spans="7:14" x14ac:dyDescent="0.3">
      <c r="G226" s="1">
        <v>39630</v>
      </c>
      <c r="K226" s="1">
        <v>37895</v>
      </c>
      <c r="M226" t="e">
        <v>#N/A</v>
      </c>
      <c r="N226" s="1">
        <v>39630</v>
      </c>
    </row>
    <row r="227" spans="7:14" x14ac:dyDescent="0.3">
      <c r="G227" s="1">
        <v>39630</v>
      </c>
      <c r="K227" s="1">
        <v>37895</v>
      </c>
      <c r="M227" t="e">
        <v>#N/A</v>
      </c>
      <c r="N227" s="1">
        <v>39630</v>
      </c>
    </row>
    <row r="228" spans="7:14" x14ac:dyDescent="0.3">
      <c r="G228" s="1">
        <v>39630</v>
      </c>
      <c r="K228" s="1">
        <v>37895</v>
      </c>
      <c r="M228" t="e">
        <v>#N/A</v>
      </c>
      <c r="N228" s="1">
        <v>39630</v>
      </c>
    </row>
    <row r="229" spans="7:14" x14ac:dyDescent="0.3">
      <c r="G229" s="1">
        <v>39630</v>
      </c>
      <c r="K229" s="1">
        <v>37895</v>
      </c>
      <c r="M229" t="e">
        <v>#N/A</v>
      </c>
      <c r="N229" s="1">
        <v>39630</v>
      </c>
    </row>
    <row r="230" spans="7:14" x14ac:dyDescent="0.3">
      <c r="G230" s="1">
        <v>39630</v>
      </c>
      <c r="K230" s="1">
        <v>37895</v>
      </c>
      <c r="M230" t="e">
        <v>#N/A</v>
      </c>
      <c r="N230" s="1">
        <v>39630</v>
      </c>
    </row>
    <row r="231" spans="7:14" x14ac:dyDescent="0.3">
      <c r="G231" s="1">
        <v>39630</v>
      </c>
      <c r="K231" s="1">
        <v>37895</v>
      </c>
      <c r="M231" t="e">
        <v>#N/A</v>
      </c>
      <c r="N231" s="1">
        <v>39630</v>
      </c>
    </row>
    <row r="232" spans="7:14" x14ac:dyDescent="0.3">
      <c r="G232" s="1">
        <v>39630</v>
      </c>
      <c r="K232" s="1">
        <v>37895</v>
      </c>
      <c r="M232" t="e">
        <v>#N/A</v>
      </c>
      <c r="N232" s="1">
        <v>39630</v>
      </c>
    </row>
    <row r="233" spans="7:14" x14ac:dyDescent="0.3">
      <c r="G233" s="1">
        <v>39722</v>
      </c>
      <c r="K233" s="1">
        <v>37895</v>
      </c>
      <c r="M233" t="e">
        <v>#N/A</v>
      </c>
      <c r="N233" s="1">
        <v>39722</v>
      </c>
    </row>
    <row r="234" spans="7:14" x14ac:dyDescent="0.3">
      <c r="G234" s="1">
        <v>39722</v>
      </c>
      <c r="K234" s="1">
        <v>37895</v>
      </c>
      <c r="M234" t="e">
        <v>#N/A</v>
      </c>
      <c r="N234" s="1">
        <v>39722</v>
      </c>
    </row>
    <row r="235" spans="7:14" x14ac:dyDescent="0.3">
      <c r="G235" s="1">
        <v>39722</v>
      </c>
      <c r="K235" s="1">
        <v>37895</v>
      </c>
      <c r="M235" t="e">
        <v>#N/A</v>
      </c>
      <c r="N235" s="1">
        <v>39722</v>
      </c>
    </row>
    <row r="236" spans="7:14" x14ac:dyDescent="0.3">
      <c r="G236" s="1">
        <v>39722</v>
      </c>
      <c r="K236" s="1">
        <v>37895</v>
      </c>
      <c r="M236" t="e">
        <v>#N/A</v>
      </c>
      <c r="N236" s="1">
        <v>39722</v>
      </c>
    </row>
    <row r="237" spans="7:14" x14ac:dyDescent="0.3">
      <c r="G237" s="1">
        <v>39722</v>
      </c>
      <c r="K237" s="1">
        <v>37895</v>
      </c>
      <c r="M237" t="e">
        <v>#N/A</v>
      </c>
      <c r="N237" s="1">
        <v>39722</v>
      </c>
    </row>
    <row r="238" spans="7:14" x14ac:dyDescent="0.3">
      <c r="G238" s="1">
        <v>39722</v>
      </c>
      <c r="K238" s="1">
        <v>37895</v>
      </c>
      <c r="M238" t="e">
        <v>#N/A</v>
      </c>
      <c r="N238" s="1">
        <v>39722</v>
      </c>
    </row>
    <row r="239" spans="7:14" x14ac:dyDescent="0.3">
      <c r="G239" s="1">
        <v>39722</v>
      </c>
      <c r="K239" s="1">
        <v>37895</v>
      </c>
      <c r="M239" t="e">
        <v>#N/A</v>
      </c>
      <c r="N239" s="1">
        <v>39722</v>
      </c>
    </row>
    <row r="240" spans="7:14" x14ac:dyDescent="0.3">
      <c r="G240" s="1">
        <v>39722</v>
      </c>
      <c r="K240" s="1">
        <v>37895</v>
      </c>
      <c r="M240" t="e">
        <v>#N/A</v>
      </c>
      <c r="N240" s="1">
        <v>39722</v>
      </c>
    </row>
    <row r="241" spans="7:14" x14ac:dyDescent="0.3">
      <c r="G241" s="1">
        <v>39722</v>
      </c>
      <c r="K241" s="1">
        <v>37895</v>
      </c>
      <c r="M241" t="e">
        <v>#N/A</v>
      </c>
      <c r="N241" s="1">
        <v>39722</v>
      </c>
    </row>
    <row r="242" spans="7:14" x14ac:dyDescent="0.3">
      <c r="G242" s="1">
        <v>39722</v>
      </c>
      <c r="K242" s="1">
        <v>37895</v>
      </c>
      <c r="M242" t="e">
        <v>#N/A</v>
      </c>
      <c r="N242" s="1">
        <v>39722</v>
      </c>
    </row>
    <row r="243" spans="7:14" x14ac:dyDescent="0.3">
      <c r="G243" s="1">
        <v>39722</v>
      </c>
      <c r="K243" s="1">
        <v>37895</v>
      </c>
      <c r="M243" t="e">
        <v>#N/A</v>
      </c>
      <c r="N243" s="1">
        <v>39722</v>
      </c>
    </row>
    <row r="244" spans="7:14" x14ac:dyDescent="0.3">
      <c r="G244" s="1">
        <v>39722</v>
      </c>
      <c r="K244" s="1">
        <v>37895</v>
      </c>
      <c r="M244" t="e">
        <v>#N/A</v>
      </c>
      <c r="N244" s="1">
        <v>39722</v>
      </c>
    </row>
    <row r="245" spans="7:14" x14ac:dyDescent="0.3">
      <c r="G245" s="1">
        <v>39722</v>
      </c>
      <c r="K245" s="1">
        <v>37895</v>
      </c>
      <c r="M245" t="e">
        <v>#N/A</v>
      </c>
      <c r="N245" s="1">
        <v>39722</v>
      </c>
    </row>
    <row r="246" spans="7:14" x14ac:dyDescent="0.3">
      <c r="G246" s="1">
        <v>39722</v>
      </c>
      <c r="K246" s="1">
        <v>37895</v>
      </c>
      <c r="M246" t="e">
        <v>#N/A</v>
      </c>
      <c r="N246" s="1">
        <v>39722</v>
      </c>
    </row>
    <row r="247" spans="7:14" x14ac:dyDescent="0.3">
      <c r="G247" s="1">
        <v>39722</v>
      </c>
      <c r="K247" s="1">
        <v>37895</v>
      </c>
      <c r="M247" t="e">
        <v>#N/A</v>
      </c>
      <c r="N247" s="1">
        <v>39722</v>
      </c>
    </row>
    <row r="248" spans="7:14" x14ac:dyDescent="0.3">
      <c r="G248" s="1">
        <v>39722</v>
      </c>
      <c r="K248" s="1">
        <v>37895</v>
      </c>
      <c r="M248" t="e">
        <v>#N/A</v>
      </c>
      <c r="N248" s="1">
        <v>39722</v>
      </c>
    </row>
    <row r="249" spans="7:14" x14ac:dyDescent="0.3">
      <c r="G249" s="1">
        <v>39722</v>
      </c>
      <c r="K249" s="1">
        <v>37895</v>
      </c>
      <c r="M249" t="e">
        <v>#N/A</v>
      </c>
      <c r="N249" s="1">
        <v>39722</v>
      </c>
    </row>
    <row r="250" spans="7:14" x14ac:dyDescent="0.3">
      <c r="G250" s="1">
        <v>39722</v>
      </c>
      <c r="K250" s="1">
        <v>37895</v>
      </c>
      <c r="M250" t="e">
        <v>#N/A</v>
      </c>
      <c r="N250" s="1">
        <v>39722</v>
      </c>
    </row>
    <row r="251" spans="7:14" x14ac:dyDescent="0.3">
      <c r="G251" s="1">
        <v>39722</v>
      </c>
      <c r="K251" s="1">
        <v>37895</v>
      </c>
      <c r="M251" t="e">
        <v>#N/A</v>
      </c>
      <c r="N251" s="1">
        <v>39722</v>
      </c>
    </row>
    <row r="252" spans="7:14" x14ac:dyDescent="0.3">
      <c r="G252" s="1">
        <v>39722</v>
      </c>
      <c r="K252" s="1">
        <v>37895</v>
      </c>
      <c r="M252" t="e">
        <v>#N/A</v>
      </c>
      <c r="N252" s="1">
        <v>39722</v>
      </c>
    </row>
    <row r="253" spans="7:14" x14ac:dyDescent="0.3">
      <c r="G253" s="1">
        <v>39722</v>
      </c>
      <c r="K253" s="1">
        <v>37895</v>
      </c>
      <c r="M253" t="e">
        <v>#N/A</v>
      </c>
      <c r="N253" s="1">
        <v>39722</v>
      </c>
    </row>
    <row r="254" spans="7:14" x14ac:dyDescent="0.3">
      <c r="G254" s="1">
        <v>39722</v>
      </c>
      <c r="K254" s="1">
        <v>37895</v>
      </c>
      <c r="M254" t="e">
        <v>#N/A</v>
      </c>
      <c r="N254" s="1">
        <v>39722</v>
      </c>
    </row>
    <row r="255" spans="7:14" x14ac:dyDescent="0.3">
      <c r="G255" s="1">
        <v>39722</v>
      </c>
      <c r="K255" s="1">
        <v>37895</v>
      </c>
      <c r="M255" t="e">
        <v>#N/A</v>
      </c>
      <c r="N255" s="1">
        <v>39722</v>
      </c>
    </row>
    <row r="256" spans="7:14" x14ac:dyDescent="0.3">
      <c r="G256" s="1">
        <v>39722</v>
      </c>
      <c r="K256" s="1">
        <v>37895</v>
      </c>
      <c r="M256" t="e">
        <v>#N/A</v>
      </c>
      <c r="N256" s="1">
        <v>39722</v>
      </c>
    </row>
    <row r="257" spans="7:14" x14ac:dyDescent="0.3">
      <c r="G257" s="1">
        <v>39722</v>
      </c>
      <c r="K257" s="1">
        <v>37895</v>
      </c>
      <c r="M257" t="e">
        <v>#N/A</v>
      </c>
      <c r="N257" s="1">
        <v>39722</v>
      </c>
    </row>
    <row r="258" spans="7:14" x14ac:dyDescent="0.3">
      <c r="G258" s="1">
        <v>39722</v>
      </c>
      <c r="K258" s="1">
        <v>37895</v>
      </c>
      <c r="M258" t="e">
        <v>#N/A</v>
      </c>
      <c r="N258" s="1">
        <v>39722</v>
      </c>
    </row>
    <row r="259" spans="7:14" x14ac:dyDescent="0.3">
      <c r="G259" s="1">
        <v>39722</v>
      </c>
      <c r="K259" s="1">
        <v>37895</v>
      </c>
      <c r="M259" t="e">
        <v>#N/A</v>
      </c>
      <c r="N259" s="1">
        <v>39722</v>
      </c>
    </row>
    <row r="260" spans="7:14" x14ac:dyDescent="0.3">
      <c r="G260" s="1">
        <v>39722</v>
      </c>
      <c r="K260" s="1">
        <v>37895</v>
      </c>
      <c r="M260" t="e">
        <v>#N/A</v>
      </c>
      <c r="N260" s="1">
        <v>39722</v>
      </c>
    </row>
    <row r="261" spans="7:14" x14ac:dyDescent="0.3">
      <c r="G261" s="1">
        <v>39814</v>
      </c>
      <c r="K261" s="1">
        <v>37895</v>
      </c>
      <c r="M261" t="e">
        <v>#N/A</v>
      </c>
      <c r="N261" s="1">
        <v>39814</v>
      </c>
    </row>
    <row r="262" spans="7:14" x14ac:dyDescent="0.3">
      <c r="G262" s="1">
        <v>39814</v>
      </c>
      <c r="K262" s="1">
        <v>37895</v>
      </c>
      <c r="M262" t="e">
        <v>#N/A</v>
      </c>
      <c r="N262" s="1">
        <v>39814</v>
      </c>
    </row>
    <row r="263" spans="7:14" x14ac:dyDescent="0.3">
      <c r="G263" s="1">
        <v>39814</v>
      </c>
      <c r="K263" s="1">
        <v>37895</v>
      </c>
      <c r="M263" t="e">
        <v>#N/A</v>
      </c>
      <c r="N263" s="1">
        <v>39814</v>
      </c>
    </row>
    <row r="264" spans="7:14" x14ac:dyDescent="0.3">
      <c r="G264" s="1">
        <v>39814</v>
      </c>
      <c r="K264" s="1">
        <v>37895</v>
      </c>
      <c r="M264" t="e">
        <v>#N/A</v>
      </c>
      <c r="N264" s="1">
        <v>39814</v>
      </c>
    </row>
    <row r="265" spans="7:14" x14ac:dyDescent="0.3">
      <c r="G265" s="1">
        <v>39814</v>
      </c>
      <c r="K265" s="1">
        <v>37895</v>
      </c>
      <c r="M265" t="e">
        <v>#N/A</v>
      </c>
      <c r="N265" s="1">
        <v>39814</v>
      </c>
    </row>
    <row r="266" spans="7:14" x14ac:dyDescent="0.3">
      <c r="G266" s="1">
        <v>39814</v>
      </c>
      <c r="K266" s="1">
        <v>37895</v>
      </c>
      <c r="M266" t="e">
        <v>#N/A</v>
      </c>
      <c r="N266" s="1">
        <v>39814</v>
      </c>
    </row>
    <row r="267" spans="7:14" x14ac:dyDescent="0.3">
      <c r="G267" s="1">
        <v>39814</v>
      </c>
      <c r="K267" s="1">
        <v>37895</v>
      </c>
      <c r="M267" t="e">
        <v>#N/A</v>
      </c>
      <c r="N267" s="1">
        <v>39814</v>
      </c>
    </row>
    <row r="268" spans="7:14" x14ac:dyDescent="0.3">
      <c r="G268" s="1">
        <v>39814</v>
      </c>
      <c r="K268" s="1">
        <v>37895</v>
      </c>
      <c r="M268" t="e">
        <v>#N/A</v>
      </c>
      <c r="N268" s="1">
        <v>39814</v>
      </c>
    </row>
    <row r="269" spans="7:14" x14ac:dyDescent="0.3">
      <c r="G269" s="1">
        <v>39814</v>
      </c>
      <c r="K269" s="1">
        <v>37895</v>
      </c>
      <c r="M269" t="e">
        <v>#N/A</v>
      </c>
      <c r="N269" s="1">
        <v>39814</v>
      </c>
    </row>
    <row r="270" spans="7:14" x14ac:dyDescent="0.3">
      <c r="G270" s="1">
        <v>39814</v>
      </c>
      <c r="K270" s="1">
        <v>37895</v>
      </c>
      <c r="M270" t="e">
        <v>#N/A</v>
      </c>
      <c r="N270" s="1">
        <v>39814</v>
      </c>
    </row>
    <row r="271" spans="7:14" x14ac:dyDescent="0.3">
      <c r="G271" s="1">
        <v>39814</v>
      </c>
      <c r="K271" s="1">
        <v>37895</v>
      </c>
      <c r="M271" t="e">
        <v>#N/A</v>
      </c>
      <c r="N271" s="1">
        <v>39814</v>
      </c>
    </row>
    <row r="272" spans="7:14" x14ac:dyDescent="0.3">
      <c r="G272" s="1">
        <v>39814</v>
      </c>
      <c r="K272" s="1">
        <v>37895</v>
      </c>
      <c r="M272" t="e">
        <v>#N/A</v>
      </c>
      <c r="N272" s="1">
        <v>39814</v>
      </c>
    </row>
    <row r="273" spans="7:14" x14ac:dyDescent="0.3">
      <c r="G273" s="1">
        <v>39814</v>
      </c>
      <c r="K273" s="1">
        <v>37895</v>
      </c>
      <c r="M273" t="e">
        <v>#N/A</v>
      </c>
      <c r="N273" s="1">
        <v>39814</v>
      </c>
    </row>
    <row r="274" spans="7:14" x14ac:dyDescent="0.3">
      <c r="G274" s="1">
        <v>39814</v>
      </c>
      <c r="K274" s="1">
        <v>37895</v>
      </c>
      <c r="M274" t="e">
        <v>#N/A</v>
      </c>
      <c r="N274" s="1">
        <v>39814</v>
      </c>
    </row>
    <row r="275" spans="7:14" x14ac:dyDescent="0.3">
      <c r="G275" s="1">
        <v>39814</v>
      </c>
      <c r="K275" s="1">
        <v>37895</v>
      </c>
      <c r="M275" t="e">
        <v>#N/A</v>
      </c>
      <c r="N275" s="1">
        <v>39814</v>
      </c>
    </row>
    <row r="276" spans="7:14" x14ac:dyDescent="0.3">
      <c r="G276" s="1">
        <v>39814</v>
      </c>
      <c r="K276" s="1">
        <v>37895</v>
      </c>
      <c r="M276" t="e">
        <v>#N/A</v>
      </c>
      <c r="N276" s="1">
        <v>39814</v>
      </c>
    </row>
    <row r="277" spans="7:14" x14ac:dyDescent="0.3">
      <c r="G277" s="1">
        <v>39814</v>
      </c>
      <c r="K277" s="1">
        <v>37895</v>
      </c>
      <c r="M277" t="e">
        <v>#N/A</v>
      </c>
      <c r="N277" s="1">
        <v>39814</v>
      </c>
    </row>
    <row r="278" spans="7:14" x14ac:dyDescent="0.3">
      <c r="G278" s="1">
        <v>39814</v>
      </c>
      <c r="K278" s="1">
        <v>37895</v>
      </c>
      <c r="M278" t="e">
        <v>#N/A</v>
      </c>
      <c r="N278" s="1">
        <v>39814</v>
      </c>
    </row>
    <row r="279" spans="7:14" x14ac:dyDescent="0.3">
      <c r="G279" s="1">
        <v>39814</v>
      </c>
      <c r="K279" s="1">
        <v>37895</v>
      </c>
      <c r="M279" t="e">
        <v>#N/A</v>
      </c>
      <c r="N279" s="1">
        <v>39814</v>
      </c>
    </row>
    <row r="280" spans="7:14" x14ac:dyDescent="0.3">
      <c r="G280" s="1">
        <v>39814</v>
      </c>
      <c r="K280" s="1">
        <v>37895</v>
      </c>
      <c r="M280" t="e">
        <v>#N/A</v>
      </c>
      <c r="N280" s="1">
        <v>39814</v>
      </c>
    </row>
    <row r="281" spans="7:14" x14ac:dyDescent="0.3">
      <c r="G281" s="1">
        <v>39814</v>
      </c>
      <c r="K281" s="1">
        <v>37895</v>
      </c>
      <c r="M281" t="e">
        <v>#N/A</v>
      </c>
      <c r="N281" s="1">
        <v>39814</v>
      </c>
    </row>
    <row r="282" spans="7:14" x14ac:dyDescent="0.3">
      <c r="G282" s="1">
        <v>39814</v>
      </c>
      <c r="K282" s="1">
        <v>37895</v>
      </c>
      <c r="M282" t="e">
        <v>#N/A</v>
      </c>
      <c r="N282" s="1">
        <v>39814</v>
      </c>
    </row>
    <row r="283" spans="7:14" x14ac:dyDescent="0.3">
      <c r="G283" s="1">
        <v>39814</v>
      </c>
      <c r="K283" s="1">
        <v>37895</v>
      </c>
      <c r="M283" t="e">
        <v>#N/A</v>
      </c>
      <c r="N283" s="1">
        <v>39814</v>
      </c>
    </row>
    <row r="284" spans="7:14" x14ac:dyDescent="0.3">
      <c r="G284" s="1">
        <v>39814</v>
      </c>
      <c r="K284" s="1">
        <v>37895</v>
      </c>
      <c r="M284" t="e">
        <v>#N/A</v>
      </c>
      <c r="N284" s="1">
        <v>39814</v>
      </c>
    </row>
    <row r="285" spans="7:14" x14ac:dyDescent="0.3">
      <c r="G285" s="1">
        <v>39814</v>
      </c>
      <c r="K285" s="1">
        <v>37895</v>
      </c>
      <c r="M285" t="e">
        <v>#N/A</v>
      </c>
      <c r="N285" s="1">
        <v>39814</v>
      </c>
    </row>
    <row r="286" spans="7:14" x14ac:dyDescent="0.3">
      <c r="G286" s="1">
        <v>39814</v>
      </c>
      <c r="K286" s="1">
        <v>37895</v>
      </c>
      <c r="M286" t="e">
        <v>#N/A</v>
      </c>
      <c r="N286" s="1">
        <v>39814</v>
      </c>
    </row>
    <row r="287" spans="7:14" x14ac:dyDescent="0.3">
      <c r="G287" s="1">
        <v>39814</v>
      </c>
      <c r="K287" s="1">
        <v>37895</v>
      </c>
      <c r="M287" t="e">
        <v>#N/A</v>
      </c>
      <c r="N287" s="1">
        <v>39814</v>
      </c>
    </row>
    <row r="288" spans="7:14" x14ac:dyDescent="0.3">
      <c r="G288" s="1">
        <v>39814</v>
      </c>
      <c r="K288" s="1">
        <v>37895</v>
      </c>
      <c r="M288" t="e">
        <v>#N/A</v>
      </c>
      <c r="N288" s="1">
        <v>39814</v>
      </c>
    </row>
    <row r="289" spans="7:14" x14ac:dyDescent="0.3">
      <c r="G289" s="1">
        <v>39814</v>
      </c>
      <c r="K289" s="1">
        <v>37895</v>
      </c>
      <c r="M289" t="e">
        <v>#N/A</v>
      </c>
      <c r="N289" s="1">
        <v>39814</v>
      </c>
    </row>
    <row r="290" spans="7:14" x14ac:dyDescent="0.3">
      <c r="G290" s="1">
        <v>39814</v>
      </c>
      <c r="K290" s="1">
        <v>37895</v>
      </c>
      <c r="M290" t="e">
        <v>#N/A</v>
      </c>
      <c r="N290" s="1">
        <v>39814</v>
      </c>
    </row>
    <row r="291" spans="7:14" x14ac:dyDescent="0.3">
      <c r="G291" s="1">
        <v>39814</v>
      </c>
      <c r="K291" s="1">
        <v>37895</v>
      </c>
      <c r="M291" t="e">
        <v>#N/A</v>
      </c>
      <c r="N291" s="1">
        <v>39814</v>
      </c>
    </row>
    <row r="292" spans="7:14" x14ac:dyDescent="0.3">
      <c r="G292" s="1">
        <v>39814</v>
      </c>
      <c r="K292" s="1">
        <v>37895</v>
      </c>
      <c r="M292" t="e">
        <v>#N/A</v>
      </c>
      <c r="N292" s="1">
        <v>39814</v>
      </c>
    </row>
    <row r="293" spans="7:14" x14ac:dyDescent="0.3">
      <c r="G293" s="1">
        <v>39814</v>
      </c>
      <c r="K293" s="1">
        <v>37895</v>
      </c>
      <c r="M293" t="e">
        <v>#N/A</v>
      </c>
      <c r="N293" s="1">
        <v>39814</v>
      </c>
    </row>
    <row r="294" spans="7:14" x14ac:dyDescent="0.3">
      <c r="G294" s="1">
        <v>39814</v>
      </c>
      <c r="K294" s="1">
        <v>37895</v>
      </c>
      <c r="M294" t="e">
        <v>#N/A</v>
      </c>
      <c r="N294" s="1">
        <v>39814</v>
      </c>
    </row>
    <row r="295" spans="7:14" x14ac:dyDescent="0.3">
      <c r="G295" s="1">
        <v>39904</v>
      </c>
      <c r="K295" s="1">
        <v>37895</v>
      </c>
      <c r="M295" t="e">
        <v>#N/A</v>
      </c>
      <c r="N295" s="1">
        <v>39904</v>
      </c>
    </row>
    <row r="296" spans="7:14" x14ac:dyDescent="0.3">
      <c r="G296" s="1">
        <v>39904</v>
      </c>
      <c r="K296" s="1">
        <v>37895</v>
      </c>
      <c r="M296" t="e">
        <v>#N/A</v>
      </c>
      <c r="N296" s="1">
        <v>39904</v>
      </c>
    </row>
    <row r="297" spans="7:14" x14ac:dyDescent="0.3">
      <c r="G297" s="1">
        <v>39904</v>
      </c>
      <c r="K297" s="1">
        <v>37895</v>
      </c>
      <c r="M297" t="e">
        <v>#N/A</v>
      </c>
      <c r="N297" s="1">
        <v>39904</v>
      </c>
    </row>
    <row r="298" spans="7:14" x14ac:dyDescent="0.3">
      <c r="G298" s="1">
        <v>39904</v>
      </c>
      <c r="K298" s="1">
        <v>37895</v>
      </c>
      <c r="M298" t="e">
        <v>#N/A</v>
      </c>
      <c r="N298" s="1">
        <v>39904</v>
      </c>
    </row>
    <row r="299" spans="7:14" x14ac:dyDescent="0.3">
      <c r="G299" s="1">
        <v>39904</v>
      </c>
      <c r="K299" s="1">
        <v>37895</v>
      </c>
      <c r="M299" t="e">
        <v>#N/A</v>
      </c>
      <c r="N299" s="1">
        <v>39904</v>
      </c>
    </row>
    <row r="300" spans="7:14" x14ac:dyDescent="0.3">
      <c r="G300" s="1">
        <v>39904</v>
      </c>
      <c r="K300" s="1">
        <v>37895</v>
      </c>
      <c r="M300" t="e">
        <v>#N/A</v>
      </c>
      <c r="N300" s="1">
        <v>39904</v>
      </c>
    </row>
    <row r="301" spans="7:14" x14ac:dyDescent="0.3">
      <c r="G301" s="1">
        <v>39904</v>
      </c>
      <c r="K301" s="1">
        <v>37895</v>
      </c>
      <c r="M301" t="e">
        <v>#N/A</v>
      </c>
      <c r="N301" s="1">
        <v>39904</v>
      </c>
    </row>
    <row r="302" spans="7:14" x14ac:dyDescent="0.3">
      <c r="G302" s="1">
        <v>39904</v>
      </c>
      <c r="K302" s="1">
        <v>37895</v>
      </c>
      <c r="M302" t="e">
        <v>#N/A</v>
      </c>
      <c r="N302" s="1">
        <v>39904</v>
      </c>
    </row>
    <row r="303" spans="7:14" x14ac:dyDescent="0.3">
      <c r="G303" s="1">
        <v>39904</v>
      </c>
      <c r="K303" s="1">
        <v>37895</v>
      </c>
      <c r="M303" t="e">
        <v>#N/A</v>
      </c>
      <c r="N303" s="1">
        <v>39904</v>
      </c>
    </row>
    <row r="304" spans="7:14" x14ac:dyDescent="0.3">
      <c r="G304" s="1">
        <v>39904</v>
      </c>
      <c r="K304" s="1">
        <v>37895</v>
      </c>
      <c r="M304" t="e">
        <v>#N/A</v>
      </c>
      <c r="N304" s="1">
        <v>39904</v>
      </c>
    </row>
    <row r="305" spans="7:14" x14ac:dyDescent="0.3">
      <c r="G305" s="1">
        <v>39904</v>
      </c>
      <c r="K305" s="1">
        <v>37895</v>
      </c>
      <c r="M305" t="e">
        <v>#N/A</v>
      </c>
      <c r="N305" s="1">
        <v>39904</v>
      </c>
    </row>
    <row r="306" spans="7:14" x14ac:dyDescent="0.3">
      <c r="G306" s="1">
        <v>39904</v>
      </c>
      <c r="K306" s="1">
        <v>37895</v>
      </c>
      <c r="M306" t="e">
        <v>#N/A</v>
      </c>
      <c r="N306" s="1">
        <v>39904</v>
      </c>
    </row>
    <row r="307" spans="7:14" x14ac:dyDescent="0.3">
      <c r="G307" s="1">
        <v>39904</v>
      </c>
      <c r="K307" s="1">
        <v>37895</v>
      </c>
      <c r="M307" t="e">
        <v>#N/A</v>
      </c>
      <c r="N307" s="1">
        <v>39904</v>
      </c>
    </row>
    <row r="308" spans="7:14" x14ac:dyDescent="0.3">
      <c r="G308" s="1">
        <v>39904</v>
      </c>
      <c r="K308" s="1">
        <v>37895</v>
      </c>
      <c r="M308" t="e">
        <v>#N/A</v>
      </c>
      <c r="N308" s="1">
        <v>39904</v>
      </c>
    </row>
    <row r="309" spans="7:14" x14ac:dyDescent="0.3">
      <c r="G309" s="1">
        <v>39904</v>
      </c>
      <c r="K309" s="1">
        <v>37895</v>
      </c>
      <c r="M309" t="e">
        <v>#N/A</v>
      </c>
      <c r="N309" s="1">
        <v>39904</v>
      </c>
    </row>
    <row r="310" spans="7:14" x14ac:dyDescent="0.3">
      <c r="G310" s="1">
        <v>39904</v>
      </c>
      <c r="K310" s="1">
        <v>37895</v>
      </c>
      <c r="M310" t="e">
        <v>#N/A</v>
      </c>
      <c r="N310" s="1">
        <v>39904</v>
      </c>
    </row>
    <row r="311" spans="7:14" x14ac:dyDescent="0.3">
      <c r="G311" s="1">
        <v>39904</v>
      </c>
      <c r="K311" s="1">
        <v>37895</v>
      </c>
      <c r="M311" t="e">
        <v>#N/A</v>
      </c>
      <c r="N311" s="1">
        <v>39904</v>
      </c>
    </row>
    <row r="312" spans="7:14" x14ac:dyDescent="0.3">
      <c r="G312" s="1">
        <v>39904</v>
      </c>
      <c r="K312" s="1">
        <v>37895</v>
      </c>
      <c r="M312" t="e">
        <v>#N/A</v>
      </c>
      <c r="N312" s="1">
        <v>39904</v>
      </c>
    </row>
    <row r="313" spans="7:14" x14ac:dyDescent="0.3">
      <c r="G313" s="1">
        <v>39904</v>
      </c>
      <c r="K313" s="1">
        <v>37895</v>
      </c>
      <c r="M313" t="e">
        <v>#N/A</v>
      </c>
      <c r="N313" s="1">
        <v>39904</v>
      </c>
    </row>
    <row r="314" spans="7:14" x14ac:dyDescent="0.3">
      <c r="G314" s="1">
        <v>39904</v>
      </c>
      <c r="K314" s="1">
        <v>37895</v>
      </c>
      <c r="M314" t="e">
        <v>#N/A</v>
      </c>
      <c r="N314" s="1">
        <v>39904</v>
      </c>
    </row>
    <row r="315" spans="7:14" x14ac:dyDescent="0.3">
      <c r="G315" s="1">
        <v>39904</v>
      </c>
      <c r="K315" s="1">
        <v>37895</v>
      </c>
      <c r="M315" t="e">
        <v>#N/A</v>
      </c>
      <c r="N315" s="1">
        <v>39904</v>
      </c>
    </row>
    <row r="316" spans="7:14" x14ac:dyDescent="0.3">
      <c r="G316" s="1">
        <v>39904</v>
      </c>
      <c r="K316" s="1">
        <v>37987</v>
      </c>
      <c r="M316" t="e">
        <v>#N/A</v>
      </c>
      <c r="N316" s="1">
        <v>39904</v>
      </c>
    </row>
    <row r="317" spans="7:14" x14ac:dyDescent="0.3">
      <c r="G317" s="1">
        <v>39904</v>
      </c>
      <c r="K317" s="1">
        <v>37987</v>
      </c>
      <c r="M317" t="e">
        <v>#N/A</v>
      </c>
      <c r="N317" s="1">
        <v>39904</v>
      </c>
    </row>
    <row r="318" spans="7:14" x14ac:dyDescent="0.3">
      <c r="G318" s="1">
        <v>39904</v>
      </c>
      <c r="K318" s="1">
        <v>37987</v>
      </c>
      <c r="M318" t="e">
        <v>#N/A</v>
      </c>
      <c r="N318" s="1">
        <v>39904</v>
      </c>
    </row>
    <row r="319" spans="7:14" x14ac:dyDescent="0.3">
      <c r="G319" s="1">
        <v>39904</v>
      </c>
      <c r="K319" s="1">
        <v>37987</v>
      </c>
      <c r="M319" t="e">
        <v>#N/A</v>
      </c>
      <c r="N319" s="1">
        <v>39904</v>
      </c>
    </row>
    <row r="320" spans="7:14" x14ac:dyDescent="0.3">
      <c r="G320" s="1">
        <v>39904</v>
      </c>
      <c r="K320" s="1">
        <v>37987</v>
      </c>
      <c r="M320" t="e">
        <v>#N/A</v>
      </c>
      <c r="N320" s="1">
        <v>39904</v>
      </c>
    </row>
    <row r="321" spans="7:14" x14ac:dyDescent="0.3">
      <c r="G321" s="1">
        <v>39904</v>
      </c>
      <c r="K321" s="1">
        <v>37987</v>
      </c>
      <c r="M321" t="e">
        <v>#N/A</v>
      </c>
      <c r="N321" s="1">
        <v>39904</v>
      </c>
    </row>
    <row r="322" spans="7:14" x14ac:dyDescent="0.3">
      <c r="G322" s="1">
        <v>39904</v>
      </c>
      <c r="K322" s="1">
        <v>37987</v>
      </c>
      <c r="M322" t="e">
        <v>#N/A</v>
      </c>
      <c r="N322" s="1">
        <v>39904</v>
      </c>
    </row>
    <row r="323" spans="7:14" x14ac:dyDescent="0.3">
      <c r="G323" s="1">
        <v>39904</v>
      </c>
      <c r="K323" s="1">
        <v>37987</v>
      </c>
      <c r="M323" t="e">
        <v>#N/A</v>
      </c>
      <c r="N323" s="1">
        <v>39904</v>
      </c>
    </row>
    <row r="324" spans="7:14" x14ac:dyDescent="0.3">
      <c r="G324" s="1">
        <v>39904</v>
      </c>
      <c r="K324" s="1">
        <v>37987</v>
      </c>
      <c r="M324" t="e">
        <v>#N/A</v>
      </c>
      <c r="N324" s="1">
        <v>39904</v>
      </c>
    </row>
    <row r="325" spans="7:14" x14ac:dyDescent="0.3">
      <c r="G325" s="1">
        <v>39904</v>
      </c>
      <c r="K325" s="1">
        <v>37987</v>
      </c>
      <c r="M325" t="e">
        <v>#N/A</v>
      </c>
      <c r="N325" s="1">
        <v>39904</v>
      </c>
    </row>
    <row r="326" spans="7:14" x14ac:dyDescent="0.3">
      <c r="G326" s="1">
        <v>39904</v>
      </c>
      <c r="K326" s="1">
        <v>37987</v>
      </c>
      <c r="M326" t="e">
        <v>#N/A</v>
      </c>
      <c r="N326" s="1">
        <v>39904</v>
      </c>
    </row>
    <row r="327" spans="7:14" x14ac:dyDescent="0.3">
      <c r="G327" s="1">
        <v>39904</v>
      </c>
      <c r="K327" s="1">
        <v>37987</v>
      </c>
      <c r="M327" t="e">
        <v>#N/A</v>
      </c>
      <c r="N327" s="1">
        <v>39904</v>
      </c>
    </row>
    <row r="328" spans="7:14" x14ac:dyDescent="0.3">
      <c r="G328" s="1">
        <v>39904</v>
      </c>
      <c r="K328" s="1">
        <v>37987</v>
      </c>
      <c r="M328" t="e">
        <v>#N/A</v>
      </c>
      <c r="N328" s="1">
        <v>39904</v>
      </c>
    </row>
    <row r="329" spans="7:14" x14ac:dyDescent="0.3">
      <c r="G329" s="1">
        <v>39904</v>
      </c>
      <c r="K329" s="1">
        <v>37987</v>
      </c>
      <c r="M329" t="e">
        <v>#N/A</v>
      </c>
      <c r="N329" s="1">
        <v>39904</v>
      </c>
    </row>
    <row r="330" spans="7:14" x14ac:dyDescent="0.3">
      <c r="G330" s="1">
        <v>39995</v>
      </c>
      <c r="K330" s="1">
        <v>37987</v>
      </c>
      <c r="M330" t="e">
        <v>#N/A</v>
      </c>
      <c r="N330" s="1">
        <v>39995</v>
      </c>
    </row>
    <row r="331" spans="7:14" x14ac:dyDescent="0.3">
      <c r="G331" s="1">
        <v>39995</v>
      </c>
      <c r="K331" s="1">
        <v>37987</v>
      </c>
      <c r="M331" t="e">
        <v>#N/A</v>
      </c>
      <c r="N331" s="1">
        <v>39995</v>
      </c>
    </row>
    <row r="332" spans="7:14" x14ac:dyDescent="0.3">
      <c r="G332" s="1">
        <v>39995</v>
      </c>
      <c r="K332" s="1">
        <v>37987</v>
      </c>
      <c r="M332" t="e">
        <v>#N/A</v>
      </c>
      <c r="N332" s="1">
        <v>39995</v>
      </c>
    </row>
    <row r="333" spans="7:14" x14ac:dyDescent="0.3">
      <c r="G333" s="1">
        <v>39995</v>
      </c>
      <c r="K333" s="1">
        <v>37987</v>
      </c>
      <c r="M333" t="e">
        <v>#N/A</v>
      </c>
      <c r="N333" s="1">
        <v>39995</v>
      </c>
    </row>
    <row r="334" spans="7:14" x14ac:dyDescent="0.3">
      <c r="G334" s="1">
        <v>39995</v>
      </c>
      <c r="K334" s="1">
        <v>37987</v>
      </c>
      <c r="M334" t="e">
        <v>#N/A</v>
      </c>
      <c r="N334" s="1">
        <v>39995</v>
      </c>
    </row>
    <row r="335" spans="7:14" x14ac:dyDescent="0.3">
      <c r="G335" s="1">
        <v>39995</v>
      </c>
      <c r="K335" s="1">
        <v>37987</v>
      </c>
      <c r="M335" t="e">
        <v>#N/A</v>
      </c>
      <c r="N335" s="1">
        <v>39995</v>
      </c>
    </row>
    <row r="336" spans="7:14" x14ac:dyDescent="0.3">
      <c r="G336" s="1">
        <v>39995</v>
      </c>
      <c r="K336" s="1">
        <v>37987</v>
      </c>
      <c r="M336" t="e">
        <v>#N/A</v>
      </c>
      <c r="N336" s="1">
        <v>39995</v>
      </c>
    </row>
    <row r="337" spans="7:14" x14ac:dyDescent="0.3">
      <c r="G337" s="1">
        <v>39995</v>
      </c>
      <c r="K337" s="1">
        <v>37987</v>
      </c>
      <c r="M337" t="e">
        <v>#N/A</v>
      </c>
      <c r="N337" s="1">
        <v>39995</v>
      </c>
    </row>
    <row r="338" spans="7:14" x14ac:dyDescent="0.3">
      <c r="G338" s="1">
        <v>39995</v>
      </c>
      <c r="K338" s="1">
        <v>37987</v>
      </c>
      <c r="M338" t="e">
        <v>#N/A</v>
      </c>
      <c r="N338" s="1">
        <v>39995</v>
      </c>
    </row>
    <row r="339" spans="7:14" x14ac:dyDescent="0.3">
      <c r="G339" s="1">
        <v>39995</v>
      </c>
      <c r="K339" s="1">
        <v>37987</v>
      </c>
      <c r="M339" t="e">
        <v>#N/A</v>
      </c>
      <c r="N339" s="1">
        <v>39995</v>
      </c>
    </row>
    <row r="340" spans="7:14" x14ac:dyDescent="0.3">
      <c r="G340" s="1">
        <v>39995</v>
      </c>
      <c r="K340" s="1">
        <v>37987</v>
      </c>
      <c r="M340" t="e">
        <v>#N/A</v>
      </c>
      <c r="N340" s="1">
        <v>39995</v>
      </c>
    </row>
    <row r="341" spans="7:14" x14ac:dyDescent="0.3">
      <c r="G341" s="1">
        <v>39995</v>
      </c>
      <c r="K341" s="1">
        <v>37987</v>
      </c>
      <c r="M341" t="e">
        <v>#N/A</v>
      </c>
      <c r="N341" s="1">
        <v>39995</v>
      </c>
    </row>
    <row r="342" spans="7:14" x14ac:dyDescent="0.3">
      <c r="G342" s="1">
        <v>39995</v>
      </c>
      <c r="K342" s="1">
        <v>37987</v>
      </c>
      <c r="M342" t="e">
        <v>#N/A</v>
      </c>
      <c r="N342" s="1">
        <v>39995</v>
      </c>
    </row>
    <row r="343" spans="7:14" x14ac:dyDescent="0.3">
      <c r="G343" s="1">
        <v>39995</v>
      </c>
      <c r="K343" s="1">
        <v>37987</v>
      </c>
      <c r="M343" t="e">
        <v>#N/A</v>
      </c>
      <c r="N343" s="1">
        <v>39995</v>
      </c>
    </row>
    <row r="344" spans="7:14" x14ac:dyDescent="0.3">
      <c r="G344" s="1">
        <v>39995</v>
      </c>
      <c r="K344" s="1">
        <v>37987</v>
      </c>
      <c r="M344" t="e">
        <v>#N/A</v>
      </c>
      <c r="N344" s="1">
        <v>39995</v>
      </c>
    </row>
    <row r="345" spans="7:14" x14ac:dyDescent="0.3">
      <c r="G345" s="1">
        <v>39995</v>
      </c>
      <c r="K345" s="1">
        <v>37987</v>
      </c>
      <c r="M345" t="e">
        <v>#N/A</v>
      </c>
      <c r="N345" s="1">
        <v>39995</v>
      </c>
    </row>
    <row r="346" spans="7:14" x14ac:dyDescent="0.3">
      <c r="G346" s="1">
        <v>39995</v>
      </c>
      <c r="K346" s="1">
        <v>37987</v>
      </c>
      <c r="M346" t="e">
        <v>#N/A</v>
      </c>
      <c r="N346" s="1">
        <v>39995</v>
      </c>
    </row>
    <row r="347" spans="7:14" x14ac:dyDescent="0.3">
      <c r="G347" s="1">
        <v>39995</v>
      </c>
      <c r="K347" s="1">
        <v>37987</v>
      </c>
      <c r="M347" t="e">
        <v>#N/A</v>
      </c>
      <c r="N347" s="1">
        <v>39995</v>
      </c>
    </row>
    <row r="348" spans="7:14" x14ac:dyDescent="0.3">
      <c r="G348" s="1">
        <v>39995</v>
      </c>
      <c r="K348" s="1">
        <v>37987</v>
      </c>
      <c r="M348" t="e">
        <v>#N/A</v>
      </c>
      <c r="N348" s="1">
        <v>39995</v>
      </c>
    </row>
    <row r="349" spans="7:14" x14ac:dyDescent="0.3">
      <c r="G349" s="1">
        <v>39995</v>
      </c>
      <c r="K349" s="1">
        <v>37987</v>
      </c>
      <c r="M349" t="e">
        <v>#N/A</v>
      </c>
      <c r="N349" s="1">
        <v>39995</v>
      </c>
    </row>
    <row r="350" spans="7:14" x14ac:dyDescent="0.3">
      <c r="G350" s="1">
        <v>39995</v>
      </c>
      <c r="K350" s="1">
        <v>37987</v>
      </c>
      <c r="M350" t="e">
        <v>#N/A</v>
      </c>
      <c r="N350" s="1">
        <v>39995</v>
      </c>
    </row>
    <row r="351" spans="7:14" x14ac:dyDescent="0.3">
      <c r="G351" s="1">
        <v>39995</v>
      </c>
      <c r="K351" s="1">
        <v>37987</v>
      </c>
      <c r="M351" t="e">
        <v>#N/A</v>
      </c>
      <c r="N351" s="1">
        <v>39995</v>
      </c>
    </row>
    <row r="352" spans="7:14" x14ac:dyDescent="0.3">
      <c r="G352" s="1">
        <v>39995</v>
      </c>
      <c r="K352" s="1">
        <v>37987</v>
      </c>
      <c r="M352" t="e">
        <v>#N/A</v>
      </c>
      <c r="N352" s="1">
        <v>39995</v>
      </c>
    </row>
    <row r="353" spans="7:14" x14ac:dyDescent="0.3">
      <c r="G353" s="1">
        <v>39995</v>
      </c>
      <c r="K353" s="1">
        <v>37987</v>
      </c>
      <c r="M353" t="e">
        <v>#N/A</v>
      </c>
      <c r="N353" s="1">
        <v>39995</v>
      </c>
    </row>
    <row r="354" spans="7:14" x14ac:dyDescent="0.3">
      <c r="G354" s="1">
        <v>39995</v>
      </c>
      <c r="K354" s="1">
        <v>37987</v>
      </c>
      <c r="M354" t="e">
        <v>#N/A</v>
      </c>
      <c r="N354" s="1">
        <v>39995</v>
      </c>
    </row>
    <row r="355" spans="7:14" x14ac:dyDescent="0.3">
      <c r="G355" s="1">
        <v>39995</v>
      </c>
      <c r="K355" s="1">
        <v>37987</v>
      </c>
      <c r="M355" t="e">
        <v>#N/A</v>
      </c>
      <c r="N355" s="1">
        <v>39995</v>
      </c>
    </row>
    <row r="356" spans="7:14" x14ac:dyDescent="0.3">
      <c r="G356" s="1">
        <v>39995</v>
      </c>
      <c r="K356" s="1">
        <v>37987</v>
      </c>
      <c r="M356" t="e">
        <v>#N/A</v>
      </c>
      <c r="N356" s="1">
        <v>39995</v>
      </c>
    </row>
    <row r="357" spans="7:14" x14ac:dyDescent="0.3">
      <c r="G357" s="1">
        <v>39995</v>
      </c>
      <c r="K357" s="1">
        <v>37987</v>
      </c>
      <c r="M357" t="e">
        <v>#N/A</v>
      </c>
      <c r="N357" s="1">
        <v>39995</v>
      </c>
    </row>
    <row r="358" spans="7:14" x14ac:dyDescent="0.3">
      <c r="G358" s="1">
        <v>39995</v>
      </c>
      <c r="K358" s="1">
        <v>37987</v>
      </c>
      <c r="M358" t="e">
        <v>#N/A</v>
      </c>
      <c r="N358" s="1">
        <v>39995</v>
      </c>
    </row>
    <row r="359" spans="7:14" x14ac:dyDescent="0.3">
      <c r="G359" s="1">
        <v>39995</v>
      </c>
      <c r="K359" s="1">
        <v>37987</v>
      </c>
      <c r="M359" t="e">
        <v>#N/A</v>
      </c>
      <c r="N359" s="1">
        <v>39995</v>
      </c>
    </row>
    <row r="360" spans="7:14" x14ac:dyDescent="0.3">
      <c r="G360" s="1">
        <v>39995</v>
      </c>
      <c r="K360" s="1">
        <v>37987</v>
      </c>
      <c r="M360" t="e">
        <v>#N/A</v>
      </c>
      <c r="N360" s="1">
        <v>39995</v>
      </c>
    </row>
    <row r="361" spans="7:14" x14ac:dyDescent="0.3">
      <c r="G361" s="1">
        <v>39995</v>
      </c>
      <c r="K361" s="1">
        <v>37987</v>
      </c>
      <c r="M361" t="e">
        <v>#N/A</v>
      </c>
      <c r="N361" s="1">
        <v>39995</v>
      </c>
    </row>
    <row r="362" spans="7:14" x14ac:dyDescent="0.3">
      <c r="G362" s="1">
        <v>39995</v>
      </c>
      <c r="K362" s="1">
        <v>37987</v>
      </c>
      <c r="M362" t="e">
        <v>#N/A</v>
      </c>
      <c r="N362" s="1">
        <v>39995</v>
      </c>
    </row>
    <row r="363" spans="7:14" x14ac:dyDescent="0.3">
      <c r="G363" s="1">
        <v>39995</v>
      </c>
      <c r="K363" s="1">
        <v>37987</v>
      </c>
      <c r="M363" t="e">
        <v>#N/A</v>
      </c>
      <c r="N363" s="1">
        <v>39995</v>
      </c>
    </row>
    <row r="364" spans="7:14" x14ac:dyDescent="0.3">
      <c r="G364" s="1">
        <v>39995</v>
      </c>
      <c r="K364" s="1">
        <v>37987</v>
      </c>
      <c r="M364" t="e">
        <v>#N/A</v>
      </c>
      <c r="N364" s="1">
        <v>39995</v>
      </c>
    </row>
    <row r="365" spans="7:14" x14ac:dyDescent="0.3">
      <c r="G365" s="1">
        <v>39995</v>
      </c>
      <c r="K365" s="1">
        <v>37987</v>
      </c>
      <c r="M365" t="e">
        <v>#N/A</v>
      </c>
      <c r="N365" s="1">
        <v>39995</v>
      </c>
    </row>
    <row r="366" spans="7:14" x14ac:dyDescent="0.3">
      <c r="G366" s="1">
        <v>39995</v>
      </c>
      <c r="K366" s="1">
        <v>37987</v>
      </c>
      <c r="M366" t="e">
        <v>#N/A</v>
      </c>
      <c r="N366" s="1">
        <v>39995</v>
      </c>
    </row>
    <row r="367" spans="7:14" x14ac:dyDescent="0.3">
      <c r="G367" s="1">
        <v>39995</v>
      </c>
      <c r="K367" s="1">
        <v>37987</v>
      </c>
      <c r="M367" t="e">
        <v>#N/A</v>
      </c>
      <c r="N367" s="1">
        <v>39995</v>
      </c>
    </row>
    <row r="368" spans="7:14" x14ac:dyDescent="0.3">
      <c r="G368" s="1">
        <v>39995</v>
      </c>
      <c r="K368" s="1">
        <v>37987</v>
      </c>
      <c r="M368" t="e">
        <v>#N/A</v>
      </c>
      <c r="N368" s="1">
        <v>39995</v>
      </c>
    </row>
    <row r="369" spans="7:14" x14ac:dyDescent="0.3">
      <c r="G369" s="1">
        <v>39995</v>
      </c>
      <c r="K369" s="1">
        <v>37987</v>
      </c>
      <c r="M369" t="e">
        <v>#N/A</v>
      </c>
      <c r="N369" s="1">
        <v>39995</v>
      </c>
    </row>
    <row r="370" spans="7:14" x14ac:dyDescent="0.3">
      <c r="G370" s="1">
        <v>39995</v>
      </c>
      <c r="K370" s="1">
        <v>37987</v>
      </c>
      <c r="M370" t="e">
        <v>#N/A</v>
      </c>
      <c r="N370" s="1">
        <v>39995</v>
      </c>
    </row>
    <row r="371" spans="7:14" x14ac:dyDescent="0.3">
      <c r="G371" s="1">
        <v>40087</v>
      </c>
      <c r="K371" s="1">
        <v>37987</v>
      </c>
      <c r="M371" t="e">
        <v>#N/A</v>
      </c>
      <c r="N371" s="1">
        <v>40087</v>
      </c>
    </row>
    <row r="372" spans="7:14" x14ac:dyDescent="0.3">
      <c r="G372" s="1">
        <v>40087</v>
      </c>
      <c r="K372" s="1">
        <v>37987</v>
      </c>
      <c r="M372" t="e">
        <v>#N/A</v>
      </c>
      <c r="N372" s="1">
        <v>40087</v>
      </c>
    </row>
    <row r="373" spans="7:14" x14ac:dyDescent="0.3">
      <c r="G373" s="1">
        <v>40087</v>
      </c>
      <c r="K373" s="1">
        <v>37987</v>
      </c>
      <c r="M373" t="e">
        <v>#N/A</v>
      </c>
      <c r="N373" s="1">
        <v>40087</v>
      </c>
    </row>
    <row r="374" spans="7:14" x14ac:dyDescent="0.3">
      <c r="G374" s="1">
        <v>40087</v>
      </c>
      <c r="K374" s="1">
        <v>37987</v>
      </c>
      <c r="M374" t="e">
        <v>#N/A</v>
      </c>
      <c r="N374" s="1">
        <v>40087</v>
      </c>
    </row>
    <row r="375" spans="7:14" x14ac:dyDescent="0.3">
      <c r="G375" s="1">
        <v>40087</v>
      </c>
      <c r="K375" s="1">
        <v>37987</v>
      </c>
      <c r="M375" t="e">
        <v>#N/A</v>
      </c>
      <c r="N375" s="1">
        <v>40087</v>
      </c>
    </row>
    <row r="376" spans="7:14" x14ac:dyDescent="0.3">
      <c r="G376" s="1">
        <v>40087</v>
      </c>
      <c r="K376" s="1">
        <v>37987</v>
      </c>
      <c r="M376" t="e">
        <v>#N/A</v>
      </c>
      <c r="N376" s="1">
        <v>40087</v>
      </c>
    </row>
    <row r="377" spans="7:14" x14ac:dyDescent="0.3">
      <c r="G377" s="1">
        <v>40087</v>
      </c>
      <c r="K377" s="1">
        <v>37987</v>
      </c>
      <c r="M377" t="e">
        <v>#N/A</v>
      </c>
      <c r="N377" s="1">
        <v>40087</v>
      </c>
    </row>
    <row r="378" spans="7:14" x14ac:dyDescent="0.3">
      <c r="G378" s="1">
        <v>40087</v>
      </c>
      <c r="K378" s="1">
        <v>37987</v>
      </c>
      <c r="M378" t="e">
        <v>#N/A</v>
      </c>
      <c r="N378" s="1">
        <v>40087</v>
      </c>
    </row>
    <row r="379" spans="7:14" x14ac:dyDescent="0.3">
      <c r="G379" s="1">
        <v>40087</v>
      </c>
      <c r="K379" s="1">
        <v>37987</v>
      </c>
      <c r="M379" t="e">
        <v>#N/A</v>
      </c>
      <c r="N379" s="1">
        <v>40087</v>
      </c>
    </row>
    <row r="380" spans="7:14" x14ac:dyDescent="0.3">
      <c r="G380" s="1">
        <v>40087</v>
      </c>
      <c r="K380" s="1">
        <v>37987</v>
      </c>
      <c r="M380" t="e">
        <v>#N/A</v>
      </c>
      <c r="N380" s="1">
        <v>40087</v>
      </c>
    </row>
    <row r="381" spans="7:14" x14ac:dyDescent="0.3">
      <c r="G381" s="1">
        <v>40087</v>
      </c>
      <c r="K381" s="1">
        <v>37987</v>
      </c>
      <c r="M381" t="e">
        <v>#N/A</v>
      </c>
      <c r="N381" s="1">
        <v>40087</v>
      </c>
    </row>
    <row r="382" spans="7:14" x14ac:dyDescent="0.3">
      <c r="G382" s="1">
        <v>40087</v>
      </c>
      <c r="K382" s="1">
        <v>37987</v>
      </c>
      <c r="M382" t="e">
        <v>#N/A</v>
      </c>
      <c r="N382" s="1">
        <v>40087</v>
      </c>
    </row>
    <row r="383" spans="7:14" x14ac:dyDescent="0.3">
      <c r="G383" s="1">
        <v>40087</v>
      </c>
      <c r="K383" s="1">
        <v>37987</v>
      </c>
      <c r="M383" t="e">
        <v>#N/A</v>
      </c>
      <c r="N383" s="1">
        <v>40087</v>
      </c>
    </row>
    <row r="384" spans="7:14" x14ac:dyDescent="0.3">
      <c r="G384" s="1">
        <v>40087</v>
      </c>
      <c r="K384" s="1">
        <v>37987</v>
      </c>
      <c r="M384" t="e">
        <v>#N/A</v>
      </c>
      <c r="N384" s="1">
        <v>40087</v>
      </c>
    </row>
    <row r="385" spans="7:14" x14ac:dyDescent="0.3">
      <c r="G385" s="1">
        <v>40087</v>
      </c>
      <c r="K385" s="1">
        <v>37987</v>
      </c>
      <c r="M385" t="e">
        <v>#N/A</v>
      </c>
      <c r="N385" s="1">
        <v>40087</v>
      </c>
    </row>
    <row r="386" spans="7:14" x14ac:dyDescent="0.3">
      <c r="G386" s="1">
        <v>40087</v>
      </c>
      <c r="K386" s="1">
        <v>37987</v>
      </c>
      <c r="M386" t="e">
        <v>#N/A</v>
      </c>
      <c r="N386" s="1">
        <v>40087</v>
      </c>
    </row>
    <row r="387" spans="7:14" x14ac:dyDescent="0.3">
      <c r="G387" s="1">
        <v>40087</v>
      </c>
      <c r="K387" s="1">
        <v>37987</v>
      </c>
      <c r="M387" t="e">
        <v>#N/A</v>
      </c>
      <c r="N387" s="1">
        <v>40087</v>
      </c>
    </row>
    <row r="388" spans="7:14" x14ac:dyDescent="0.3">
      <c r="G388" s="1">
        <v>40087</v>
      </c>
      <c r="K388" s="1">
        <v>37987</v>
      </c>
      <c r="M388" t="e">
        <v>#N/A</v>
      </c>
      <c r="N388" s="1">
        <v>40087</v>
      </c>
    </row>
    <row r="389" spans="7:14" x14ac:dyDescent="0.3">
      <c r="G389" s="1">
        <v>40087</v>
      </c>
      <c r="K389" s="1">
        <v>37987</v>
      </c>
      <c r="M389" t="e">
        <v>#N/A</v>
      </c>
      <c r="N389" s="1">
        <v>40087</v>
      </c>
    </row>
    <row r="390" spans="7:14" x14ac:dyDescent="0.3">
      <c r="G390" s="1">
        <v>40087</v>
      </c>
      <c r="K390" s="1">
        <v>37987</v>
      </c>
      <c r="M390" t="e">
        <v>#N/A</v>
      </c>
      <c r="N390" s="1">
        <v>40087</v>
      </c>
    </row>
    <row r="391" spans="7:14" x14ac:dyDescent="0.3">
      <c r="G391" s="1">
        <v>40087</v>
      </c>
      <c r="K391" s="1">
        <v>37987</v>
      </c>
      <c r="M391" t="e">
        <v>#N/A</v>
      </c>
      <c r="N391" s="1">
        <v>40087</v>
      </c>
    </row>
    <row r="392" spans="7:14" x14ac:dyDescent="0.3">
      <c r="G392" s="1">
        <v>40087</v>
      </c>
      <c r="K392" s="1">
        <v>37987</v>
      </c>
      <c r="M392" t="e">
        <v>#N/A</v>
      </c>
      <c r="N392" s="1">
        <v>40087</v>
      </c>
    </row>
    <row r="393" spans="7:14" x14ac:dyDescent="0.3">
      <c r="G393" s="1">
        <v>40087</v>
      </c>
      <c r="K393" s="1">
        <v>37987</v>
      </c>
      <c r="M393" t="e">
        <v>#N/A</v>
      </c>
      <c r="N393" s="1">
        <v>40087</v>
      </c>
    </row>
    <row r="394" spans="7:14" x14ac:dyDescent="0.3">
      <c r="G394" s="1">
        <v>40087</v>
      </c>
      <c r="K394" s="1">
        <v>37987</v>
      </c>
      <c r="M394" t="e">
        <v>#N/A</v>
      </c>
      <c r="N394" s="1">
        <v>40087</v>
      </c>
    </row>
    <row r="395" spans="7:14" x14ac:dyDescent="0.3">
      <c r="G395" s="1">
        <v>40087</v>
      </c>
      <c r="K395" s="1">
        <v>37987</v>
      </c>
      <c r="M395" t="e">
        <v>#N/A</v>
      </c>
      <c r="N395" s="1">
        <v>40087</v>
      </c>
    </row>
    <row r="396" spans="7:14" x14ac:dyDescent="0.3">
      <c r="G396" s="1">
        <v>40087</v>
      </c>
      <c r="K396" s="1">
        <v>37987</v>
      </c>
      <c r="M396" t="e">
        <v>#N/A</v>
      </c>
      <c r="N396" s="1">
        <v>40087</v>
      </c>
    </row>
    <row r="397" spans="7:14" x14ac:dyDescent="0.3">
      <c r="G397" s="1">
        <v>40087</v>
      </c>
      <c r="K397" s="1">
        <v>37987</v>
      </c>
      <c r="M397" t="e">
        <v>#N/A</v>
      </c>
      <c r="N397" s="1">
        <v>40087</v>
      </c>
    </row>
    <row r="398" spans="7:14" x14ac:dyDescent="0.3">
      <c r="G398" s="1">
        <v>40087</v>
      </c>
      <c r="K398" s="1">
        <v>37987</v>
      </c>
      <c r="M398" t="e">
        <v>#N/A</v>
      </c>
      <c r="N398" s="1">
        <v>40087</v>
      </c>
    </row>
    <row r="399" spans="7:14" x14ac:dyDescent="0.3">
      <c r="G399" s="1">
        <v>40087</v>
      </c>
      <c r="K399" s="1">
        <v>37987</v>
      </c>
      <c r="M399" t="e">
        <v>#N/A</v>
      </c>
      <c r="N399" s="1">
        <v>40087</v>
      </c>
    </row>
    <row r="400" spans="7:14" x14ac:dyDescent="0.3">
      <c r="G400" s="1">
        <v>40087</v>
      </c>
      <c r="K400" s="1">
        <v>37987</v>
      </c>
      <c r="M400" t="e">
        <v>#N/A</v>
      </c>
      <c r="N400" s="1">
        <v>40087</v>
      </c>
    </row>
    <row r="401" spans="7:14" x14ac:dyDescent="0.3">
      <c r="G401" s="1">
        <v>40087</v>
      </c>
      <c r="K401" s="1">
        <v>37987</v>
      </c>
      <c r="M401" t="e">
        <v>#N/A</v>
      </c>
      <c r="N401" s="1">
        <v>40087</v>
      </c>
    </row>
    <row r="402" spans="7:14" x14ac:dyDescent="0.3">
      <c r="G402" s="1">
        <v>40087</v>
      </c>
      <c r="K402" s="1">
        <v>37987</v>
      </c>
      <c r="M402" t="e">
        <v>#N/A</v>
      </c>
      <c r="N402" s="1">
        <v>40087</v>
      </c>
    </row>
    <row r="403" spans="7:14" x14ac:dyDescent="0.3">
      <c r="G403" s="1">
        <v>40087</v>
      </c>
      <c r="K403" s="1">
        <v>37987</v>
      </c>
      <c r="M403" t="e">
        <v>#N/A</v>
      </c>
      <c r="N403" s="1">
        <v>40087</v>
      </c>
    </row>
    <row r="404" spans="7:14" x14ac:dyDescent="0.3">
      <c r="G404" s="1">
        <v>40087</v>
      </c>
      <c r="K404" s="1">
        <v>37987</v>
      </c>
      <c r="M404" t="e">
        <v>#N/A</v>
      </c>
      <c r="N404" s="1">
        <v>40087</v>
      </c>
    </row>
    <row r="405" spans="7:14" x14ac:dyDescent="0.3">
      <c r="G405" s="1">
        <v>40087</v>
      </c>
      <c r="K405" s="1">
        <v>37987</v>
      </c>
      <c r="M405" t="e">
        <v>#N/A</v>
      </c>
      <c r="N405" s="1">
        <v>40087</v>
      </c>
    </row>
    <row r="406" spans="7:14" x14ac:dyDescent="0.3">
      <c r="G406" s="1">
        <v>40087</v>
      </c>
      <c r="K406" s="1">
        <v>37987</v>
      </c>
      <c r="M406" t="e">
        <v>#N/A</v>
      </c>
      <c r="N406" s="1">
        <v>40087</v>
      </c>
    </row>
    <row r="407" spans="7:14" x14ac:dyDescent="0.3">
      <c r="G407" s="1">
        <v>40087</v>
      </c>
      <c r="K407" s="1">
        <v>37987</v>
      </c>
      <c r="M407" t="e">
        <v>#N/A</v>
      </c>
      <c r="N407" s="1">
        <v>40087</v>
      </c>
    </row>
    <row r="408" spans="7:14" x14ac:dyDescent="0.3">
      <c r="G408" s="1">
        <v>40087</v>
      </c>
      <c r="K408" s="1">
        <v>37987</v>
      </c>
      <c r="M408" t="e">
        <v>#N/A</v>
      </c>
      <c r="N408" s="1">
        <v>40087</v>
      </c>
    </row>
    <row r="409" spans="7:14" x14ac:dyDescent="0.3">
      <c r="G409" s="1">
        <v>40087</v>
      </c>
      <c r="K409" s="1">
        <v>37987</v>
      </c>
      <c r="M409" t="e">
        <v>#N/A</v>
      </c>
      <c r="N409" s="1">
        <v>40087</v>
      </c>
    </row>
    <row r="410" spans="7:14" x14ac:dyDescent="0.3">
      <c r="G410" s="1">
        <v>40087</v>
      </c>
      <c r="K410" s="1">
        <v>37987</v>
      </c>
      <c r="M410" t="e">
        <v>#N/A</v>
      </c>
      <c r="N410" s="1">
        <v>40087</v>
      </c>
    </row>
    <row r="411" spans="7:14" x14ac:dyDescent="0.3">
      <c r="G411" s="1">
        <v>40087</v>
      </c>
      <c r="K411" s="1">
        <v>37987</v>
      </c>
      <c r="M411" t="e">
        <v>#N/A</v>
      </c>
      <c r="N411" s="1">
        <v>40087</v>
      </c>
    </row>
    <row r="412" spans="7:14" x14ac:dyDescent="0.3">
      <c r="G412" s="1">
        <v>40087</v>
      </c>
      <c r="K412" s="1">
        <v>37987</v>
      </c>
      <c r="M412" t="e">
        <v>#N/A</v>
      </c>
      <c r="N412" s="1">
        <v>40087</v>
      </c>
    </row>
    <row r="413" spans="7:14" x14ac:dyDescent="0.3">
      <c r="G413" s="1">
        <v>40087</v>
      </c>
      <c r="K413" s="1">
        <v>37987</v>
      </c>
      <c r="M413" t="e">
        <v>#N/A</v>
      </c>
      <c r="N413" s="1">
        <v>40087</v>
      </c>
    </row>
    <row r="414" spans="7:14" x14ac:dyDescent="0.3">
      <c r="G414" s="1">
        <v>40087</v>
      </c>
      <c r="K414" s="1">
        <v>37987</v>
      </c>
      <c r="M414" t="e">
        <v>#N/A</v>
      </c>
      <c r="N414" s="1">
        <v>40087</v>
      </c>
    </row>
    <row r="415" spans="7:14" x14ac:dyDescent="0.3">
      <c r="G415" s="1">
        <v>40179</v>
      </c>
      <c r="K415" s="1">
        <v>37987</v>
      </c>
      <c r="M415" t="e">
        <v>#N/A</v>
      </c>
      <c r="N415" s="1">
        <v>40179</v>
      </c>
    </row>
    <row r="416" spans="7:14" x14ac:dyDescent="0.3">
      <c r="G416" s="1">
        <v>40179</v>
      </c>
      <c r="K416" s="1">
        <v>37987</v>
      </c>
      <c r="M416" t="e">
        <v>#N/A</v>
      </c>
      <c r="N416" s="1">
        <v>40179</v>
      </c>
    </row>
    <row r="417" spans="7:14" x14ac:dyDescent="0.3">
      <c r="G417" s="1">
        <v>40179</v>
      </c>
      <c r="K417" s="1">
        <v>37987</v>
      </c>
      <c r="M417" t="e">
        <v>#N/A</v>
      </c>
      <c r="N417" s="1">
        <v>40179</v>
      </c>
    </row>
    <row r="418" spans="7:14" x14ac:dyDescent="0.3">
      <c r="G418" s="1">
        <v>40179</v>
      </c>
      <c r="K418" s="1">
        <v>37987</v>
      </c>
      <c r="M418" t="e">
        <v>#N/A</v>
      </c>
      <c r="N418" s="1">
        <v>40179</v>
      </c>
    </row>
    <row r="419" spans="7:14" x14ac:dyDescent="0.3">
      <c r="G419" s="1">
        <v>40179</v>
      </c>
      <c r="K419" s="1">
        <v>37987</v>
      </c>
      <c r="M419" t="e">
        <v>#N/A</v>
      </c>
      <c r="N419" s="1">
        <v>40179</v>
      </c>
    </row>
    <row r="420" spans="7:14" x14ac:dyDescent="0.3">
      <c r="G420" s="1">
        <v>40179</v>
      </c>
      <c r="K420" s="1">
        <v>37987</v>
      </c>
      <c r="M420" t="e">
        <v>#N/A</v>
      </c>
      <c r="N420" s="1">
        <v>40179</v>
      </c>
    </row>
    <row r="421" spans="7:14" x14ac:dyDescent="0.3">
      <c r="G421" s="1">
        <v>40179</v>
      </c>
      <c r="K421" s="1">
        <v>37987</v>
      </c>
      <c r="M421" t="e">
        <v>#N/A</v>
      </c>
      <c r="N421" s="1">
        <v>40179</v>
      </c>
    </row>
    <row r="422" spans="7:14" x14ac:dyDescent="0.3">
      <c r="G422" s="1">
        <v>40179</v>
      </c>
      <c r="K422" s="1">
        <v>37987</v>
      </c>
      <c r="M422" t="e">
        <v>#N/A</v>
      </c>
      <c r="N422" s="1">
        <v>40179</v>
      </c>
    </row>
    <row r="423" spans="7:14" x14ac:dyDescent="0.3">
      <c r="G423" s="1">
        <v>40179</v>
      </c>
      <c r="K423" s="1">
        <v>37987</v>
      </c>
      <c r="M423" t="e">
        <v>#N/A</v>
      </c>
      <c r="N423" s="1">
        <v>40179</v>
      </c>
    </row>
    <row r="424" spans="7:14" x14ac:dyDescent="0.3">
      <c r="G424" s="1">
        <v>40179</v>
      </c>
      <c r="K424" s="1">
        <v>37987</v>
      </c>
      <c r="M424" t="e">
        <v>#N/A</v>
      </c>
      <c r="N424" s="1">
        <v>40179</v>
      </c>
    </row>
    <row r="425" spans="7:14" x14ac:dyDescent="0.3">
      <c r="G425" s="1">
        <v>40179</v>
      </c>
      <c r="K425" s="1">
        <v>37987</v>
      </c>
      <c r="M425" t="e">
        <v>#N/A</v>
      </c>
      <c r="N425" s="1">
        <v>40179</v>
      </c>
    </row>
    <row r="426" spans="7:14" x14ac:dyDescent="0.3">
      <c r="G426" s="1">
        <v>40179</v>
      </c>
      <c r="K426" s="1">
        <v>37987</v>
      </c>
      <c r="M426" t="e">
        <v>#N/A</v>
      </c>
      <c r="N426" s="1">
        <v>40179</v>
      </c>
    </row>
    <row r="427" spans="7:14" x14ac:dyDescent="0.3">
      <c r="G427" s="1">
        <v>40179</v>
      </c>
      <c r="K427" s="1">
        <v>37987</v>
      </c>
      <c r="M427" t="e">
        <v>#N/A</v>
      </c>
      <c r="N427" s="1">
        <v>40179</v>
      </c>
    </row>
    <row r="428" spans="7:14" x14ac:dyDescent="0.3">
      <c r="G428" s="1">
        <v>40179</v>
      </c>
      <c r="K428" s="1">
        <v>37987</v>
      </c>
      <c r="M428" t="e">
        <v>#N/A</v>
      </c>
      <c r="N428" s="1">
        <v>40179</v>
      </c>
    </row>
    <row r="429" spans="7:14" x14ac:dyDescent="0.3">
      <c r="G429" s="1">
        <v>40179</v>
      </c>
      <c r="K429" s="1">
        <v>37987</v>
      </c>
      <c r="M429" t="e">
        <v>#N/A</v>
      </c>
      <c r="N429" s="1">
        <v>40179</v>
      </c>
    </row>
    <row r="430" spans="7:14" x14ac:dyDescent="0.3">
      <c r="G430" s="1">
        <v>40179</v>
      </c>
      <c r="K430" s="1">
        <v>37987</v>
      </c>
      <c r="M430" t="e">
        <v>#N/A</v>
      </c>
      <c r="N430" s="1">
        <v>40179</v>
      </c>
    </row>
    <row r="431" spans="7:14" x14ac:dyDescent="0.3">
      <c r="G431" s="1">
        <v>40179</v>
      </c>
      <c r="K431" s="1">
        <v>37987</v>
      </c>
      <c r="M431" t="e">
        <v>#N/A</v>
      </c>
      <c r="N431" s="1">
        <v>40179</v>
      </c>
    </row>
    <row r="432" spans="7:14" x14ac:dyDescent="0.3">
      <c r="G432" s="1">
        <v>40179</v>
      </c>
      <c r="K432" s="1">
        <v>37987</v>
      </c>
      <c r="M432" t="e">
        <v>#N/A</v>
      </c>
      <c r="N432" s="1">
        <v>40179</v>
      </c>
    </row>
    <row r="433" spans="7:14" x14ac:dyDescent="0.3">
      <c r="G433" s="1">
        <v>40179</v>
      </c>
      <c r="K433" s="1">
        <v>37987</v>
      </c>
      <c r="M433" t="e">
        <v>#N/A</v>
      </c>
      <c r="N433" s="1">
        <v>40179</v>
      </c>
    </row>
    <row r="434" spans="7:14" x14ac:dyDescent="0.3">
      <c r="G434" s="1">
        <v>40179</v>
      </c>
      <c r="K434" s="1">
        <v>37987</v>
      </c>
      <c r="M434" t="e">
        <v>#N/A</v>
      </c>
      <c r="N434" s="1">
        <v>40179</v>
      </c>
    </row>
    <row r="435" spans="7:14" x14ac:dyDescent="0.3">
      <c r="G435" s="1">
        <v>40179</v>
      </c>
      <c r="K435" s="1">
        <v>37987</v>
      </c>
      <c r="M435" t="e">
        <v>#N/A</v>
      </c>
      <c r="N435" s="1">
        <v>40179</v>
      </c>
    </row>
    <row r="436" spans="7:14" x14ac:dyDescent="0.3">
      <c r="G436" s="1">
        <v>40179</v>
      </c>
      <c r="K436" s="1">
        <v>37987</v>
      </c>
      <c r="M436" t="e">
        <v>#N/A</v>
      </c>
      <c r="N436" s="1">
        <v>40179</v>
      </c>
    </row>
    <row r="437" spans="7:14" x14ac:dyDescent="0.3">
      <c r="G437" s="1">
        <v>40179</v>
      </c>
      <c r="K437" s="1">
        <v>37987</v>
      </c>
      <c r="M437" t="e">
        <v>#N/A</v>
      </c>
      <c r="N437" s="1">
        <v>40179</v>
      </c>
    </row>
    <row r="438" spans="7:14" x14ac:dyDescent="0.3">
      <c r="G438" s="1">
        <v>40179</v>
      </c>
      <c r="K438" s="1">
        <v>37987</v>
      </c>
      <c r="M438" t="e">
        <v>#N/A</v>
      </c>
      <c r="N438" s="1">
        <v>40179</v>
      </c>
    </row>
    <row r="439" spans="7:14" x14ac:dyDescent="0.3">
      <c r="G439" s="1">
        <v>40179</v>
      </c>
      <c r="K439" s="1">
        <v>37987</v>
      </c>
      <c r="M439" t="e">
        <v>#N/A</v>
      </c>
      <c r="N439" s="1">
        <v>40179</v>
      </c>
    </row>
    <row r="440" spans="7:14" x14ac:dyDescent="0.3">
      <c r="G440" s="1">
        <v>40179</v>
      </c>
      <c r="K440" s="1">
        <v>37987</v>
      </c>
      <c r="M440" t="e">
        <v>#N/A</v>
      </c>
      <c r="N440" s="1">
        <v>40179</v>
      </c>
    </row>
    <row r="441" spans="7:14" x14ac:dyDescent="0.3">
      <c r="G441" s="1">
        <v>40179</v>
      </c>
      <c r="K441" s="1">
        <v>37987</v>
      </c>
      <c r="M441" t="e">
        <v>#N/A</v>
      </c>
      <c r="N441" s="1">
        <v>40179</v>
      </c>
    </row>
    <row r="442" spans="7:14" x14ac:dyDescent="0.3">
      <c r="G442" s="1">
        <v>40179</v>
      </c>
      <c r="K442" s="1">
        <v>37987</v>
      </c>
      <c r="M442" t="e">
        <v>#N/A</v>
      </c>
      <c r="N442" s="1">
        <v>40179</v>
      </c>
    </row>
    <row r="443" spans="7:14" x14ac:dyDescent="0.3">
      <c r="G443" s="1">
        <v>40179</v>
      </c>
      <c r="K443" s="1">
        <v>37987</v>
      </c>
      <c r="M443" t="e">
        <v>#N/A</v>
      </c>
      <c r="N443" s="1">
        <v>40179</v>
      </c>
    </row>
    <row r="444" spans="7:14" x14ac:dyDescent="0.3">
      <c r="G444" s="1">
        <v>40179</v>
      </c>
      <c r="K444" s="1">
        <v>37987</v>
      </c>
      <c r="M444" t="e">
        <v>#N/A</v>
      </c>
      <c r="N444" s="1">
        <v>40179</v>
      </c>
    </row>
    <row r="445" spans="7:14" x14ac:dyDescent="0.3">
      <c r="G445" s="1">
        <v>40179</v>
      </c>
      <c r="K445" s="1">
        <v>37987</v>
      </c>
      <c r="M445" t="e">
        <v>#N/A</v>
      </c>
      <c r="N445" s="1">
        <v>40179</v>
      </c>
    </row>
    <row r="446" spans="7:14" x14ac:dyDescent="0.3">
      <c r="G446" s="1">
        <v>40179</v>
      </c>
      <c r="K446" s="1">
        <v>37987</v>
      </c>
      <c r="M446" t="e">
        <v>#N/A</v>
      </c>
      <c r="N446" s="1">
        <v>40179</v>
      </c>
    </row>
    <row r="447" spans="7:14" x14ac:dyDescent="0.3">
      <c r="G447" s="1">
        <v>40179</v>
      </c>
      <c r="K447" s="1">
        <v>37987</v>
      </c>
      <c r="M447" t="e">
        <v>#N/A</v>
      </c>
      <c r="N447" s="1">
        <v>40179</v>
      </c>
    </row>
    <row r="448" spans="7:14" x14ac:dyDescent="0.3">
      <c r="G448" s="1">
        <v>40179</v>
      </c>
      <c r="K448" s="1">
        <v>37987</v>
      </c>
      <c r="M448" t="e">
        <v>#N/A</v>
      </c>
      <c r="N448" s="1">
        <v>40179</v>
      </c>
    </row>
    <row r="449" spans="7:14" x14ac:dyDescent="0.3">
      <c r="G449" s="1">
        <v>40179</v>
      </c>
      <c r="K449" s="1">
        <v>37987</v>
      </c>
      <c r="M449" t="e">
        <v>#N/A</v>
      </c>
      <c r="N449" s="1">
        <v>40179</v>
      </c>
    </row>
    <row r="450" spans="7:14" x14ac:dyDescent="0.3">
      <c r="G450" s="1">
        <v>40179</v>
      </c>
      <c r="K450" s="1">
        <v>37987</v>
      </c>
      <c r="M450" t="e">
        <v>#N/A</v>
      </c>
      <c r="N450" s="1">
        <v>40179</v>
      </c>
    </row>
    <row r="451" spans="7:14" x14ac:dyDescent="0.3">
      <c r="G451" s="1">
        <v>40179</v>
      </c>
      <c r="K451" s="1">
        <v>37987</v>
      </c>
      <c r="M451" t="e">
        <v>#N/A</v>
      </c>
      <c r="N451" s="1">
        <v>40179</v>
      </c>
    </row>
    <row r="452" spans="7:14" x14ac:dyDescent="0.3">
      <c r="G452" s="1">
        <v>40179</v>
      </c>
      <c r="K452" s="1">
        <v>37987</v>
      </c>
      <c r="M452" t="e">
        <v>#N/A</v>
      </c>
      <c r="N452" s="1">
        <v>40179</v>
      </c>
    </row>
    <row r="453" spans="7:14" x14ac:dyDescent="0.3">
      <c r="G453" s="1">
        <v>40179</v>
      </c>
      <c r="K453" s="1">
        <v>37987</v>
      </c>
      <c r="M453" t="e">
        <v>#N/A</v>
      </c>
      <c r="N453" s="1">
        <v>40179</v>
      </c>
    </row>
    <row r="454" spans="7:14" x14ac:dyDescent="0.3">
      <c r="G454" s="1">
        <v>40269</v>
      </c>
      <c r="K454" s="1">
        <v>37987</v>
      </c>
      <c r="M454" t="e">
        <v>#N/A</v>
      </c>
      <c r="N454" s="1">
        <v>40269</v>
      </c>
    </row>
    <row r="455" spans="7:14" x14ac:dyDescent="0.3">
      <c r="G455" s="1">
        <v>40269</v>
      </c>
      <c r="K455" s="1">
        <v>37987</v>
      </c>
      <c r="M455" t="e">
        <v>#N/A</v>
      </c>
      <c r="N455" s="1">
        <v>40269</v>
      </c>
    </row>
    <row r="456" spans="7:14" x14ac:dyDescent="0.3">
      <c r="G456" s="1">
        <v>40269</v>
      </c>
      <c r="K456" s="1">
        <v>37987</v>
      </c>
      <c r="M456" t="e">
        <v>#N/A</v>
      </c>
      <c r="N456" s="1">
        <v>40269</v>
      </c>
    </row>
    <row r="457" spans="7:14" x14ac:dyDescent="0.3">
      <c r="G457" s="1">
        <v>40269</v>
      </c>
      <c r="K457" s="1">
        <v>37987</v>
      </c>
      <c r="M457" t="e">
        <v>#N/A</v>
      </c>
      <c r="N457" s="1">
        <v>40269</v>
      </c>
    </row>
    <row r="458" spans="7:14" x14ac:dyDescent="0.3">
      <c r="G458" s="1">
        <v>40269</v>
      </c>
      <c r="K458" s="1">
        <v>37987</v>
      </c>
      <c r="M458" t="e">
        <v>#N/A</v>
      </c>
      <c r="N458" s="1">
        <v>40269</v>
      </c>
    </row>
    <row r="459" spans="7:14" x14ac:dyDescent="0.3">
      <c r="G459" s="1">
        <v>40269</v>
      </c>
      <c r="K459" s="1">
        <v>37987</v>
      </c>
      <c r="M459" t="e">
        <v>#N/A</v>
      </c>
      <c r="N459" s="1">
        <v>40269</v>
      </c>
    </row>
    <row r="460" spans="7:14" x14ac:dyDescent="0.3">
      <c r="G460" s="1">
        <v>40269</v>
      </c>
      <c r="K460" s="1">
        <v>37987</v>
      </c>
      <c r="M460" t="e">
        <v>#N/A</v>
      </c>
      <c r="N460" s="1">
        <v>40269</v>
      </c>
    </row>
    <row r="461" spans="7:14" x14ac:dyDescent="0.3">
      <c r="G461" s="1">
        <v>40269</v>
      </c>
      <c r="K461" s="1">
        <v>37987</v>
      </c>
      <c r="M461" t="e">
        <v>#N/A</v>
      </c>
      <c r="N461" s="1">
        <v>40269</v>
      </c>
    </row>
    <row r="462" spans="7:14" x14ac:dyDescent="0.3">
      <c r="G462" s="1">
        <v>40269</v>
      </c>
      <c r="K462" s="1">
        <v>37987</v>
      </c>
      <c r="M462" t="e">
        <v>#N/A</v>
      </c>
      <c r="N462" s="1">
        <v>40269</v>
      </c>
    </row>
    <row r="463" spans="7:14" x14ac:dyDescent="0.3">
      <c r="G463" s="1">
        <v>40269</v>
      </c>
      <c r="K463" s="1">
        <v>37987</v>
      </c>
      <c r="M463" t="e">
        <v>#N/A</v>
      </c>
      <c r="N463" s="1">
        <v>40269</v>
      </c>
    </row>
    <row r="464" spans="7:14" x14ac:dyDescent="0.3">
      <c r="G464" s="1">
        <v>40269</v>
      </c>
      <c r="K464" s="1">
        <v>37987</v>
      </c>
      <c r="M464" t="e">
        <v>#N/A</v>
      </c>
      <c r="N464" s="1">
        <v>40269</v>
      </c>
    </row>
    <row r="465" spans="7:14" x14ac:dyDescent="0.3">
      <c r="G465" s="1">
        <v>40269</v>
      </c>
      <c r="K465" s="1">
        <v>37987</v>
      </c>
      <c r="M465" t="e">
        <v>#N/A</v>
      </c>
      <c r="N465" s="1">
        <v>40269</v>
      </c>
    </row>
    <row r="466" spans="7:14" x14ac:dyDescent="0.3">
      <c r="G466" s="1">
        <v>40269</v>
      </c>
      <c r="K466" s="1">
        <v>37987</v>
      </c>
      <c r="M466" t="e">
        <v>#N/A</v>
      </c>
      <c r="N466" s="1">
        <v>40269</v>
      </c>
    </row>
    <row r="467" spans="7:14" x14ac:dyDescent="0.3">
      <c r="G467" s="1">
        <v>40269</v>
      </c>
      <c r="K467" s="1">
        <v>37987</v>
      </c>
      <c r="M467" t="e">
        <v>#N/A</v>
      </c>
      <c r="N467" s="1">
        <v>40269</v>
      </c>
    </row>
    <row r="468" spans="7:14" x14ac:dyDescent="0.3">
      <c r="G468" s="1">
        <v>40269</v>
      </c>
      <c r="K468" s="1">
        <v>37987</v>
      </c>
      <c r="M468" t="e">
        <v>#N/A</v>
      </c>
      <c r="N468" s="1">
        <v>40269</v>
      </c>
    </row>
    <row r="469" spans="7:14" x14ac:dyDescent="0.3">
      <c r="G469" s="1">
        <v>40269</v>
      </c>
      <c r="K469" s="1">
        <v>37987</v>
      </c>
      <c r="M469" t="e">
        <v>#N/A</v>
      </c>
      <c r="N469" s="1">
        <v>40269</v>
      </c>
    </row>
    <row r="470" spans="7:14" x14ac:dyDescent="0.3">
      <c r="G470" s="1">
        <v>40269</v>
      </c>
      <c r="K470" s="1">
        <v>37987</v>
      </c>
      <c r="M470" t="e">
        <v>#N/A</v>
      </c>
      <c r="N470" s="1">
        <v>40269</v>
      </c>
    </row>
    <row r="471" spans="7:14" x14ac:dyDescent="0.3">
      <c r="G471" s="1">
        <v>40269</v>
      </c>
      <c r="K471" s="1">
        <v>37987</v>
      </c>
      <c r="M471" t="e">
        <v>#N/A</v>
      </c>
      <c r="N471" s="1">
        <v>40269</v>
      </c>
    </row>
    <row r="472" spans="7:14" x14ac:dyDescent="0.3">
      <c r="G472" s="1">
        <v>40269</v>
      </c>
      <c r="K472" s="1">
        <v>37987</v>
      </c>
      <c r="M472" t="e">
        <v>#N/A</v>
      </c>
      <c r="N472" s="1">
        <v>40269</v>
      </c>
    </row>
    <row r="473" spans="7:14" x14ac:dyDescent="0.3">
      <c r="G473" s="1">
        <v>40269</v>
      </c>
      <c r="K473" s="1">
        <v>37987</v>
      </c>
      <c r="M473" t="e">
        <v>#N/A</v>
      </c>
      <c r="N473" s="1">
        <v>40269</v>
      </c>
    </row>
    <row r="474" spans="7:14" x14ac:dyDescent="0.3">
      <c r="G474" s="1">
        <v>40269</v>
      </c>
      <c r="K474" s="1">
        <v>37987</v>
      </c>
      <c r="M474" t="e">
        <v>#N/A</v>
      </c>
      <c r="N474" s="1">
        <v>40269</v>
      </c>
    </row>
    <row r="475" spans="7:14" x14ac:dyDescent="0.3">
      <c r="G475" s="1">
        <v>40269</v>
      </c>
      <c r="K475" s="1">
        <v>37987</v>
      </c>
      <c r="M475" t="e">
        <v>#N/A</v>
      </c>
      <c r="N475" s="1">
        <v>40269</v>
      </c>
    </row>
    <row r="476" spans="7:14" x14ac:dyDescent="0.3">
      <c r="G476" s="1">
        <v>40269</v>
      </c>
      <c r="K476" s="1">
        <v>37987</v>
      </c>
      <c r="M476" t="e">
        <v>#N/A</v>
      </c>
      <c r="N476" s="1">
        <v>40269</v>
      </c>
    </row>
    <row r="477" spans="7:14" x14ac:dyDescent="0.3">
      <c r="G477" s="1">
        <v>40269</v>
      </c>
      <c r="K477" s="1">
        <v>37987</v>
      </c>
      <c r="M477" t="e">
        <v>#N/A</v>
      </c>
      <c r="N477" s="1">
        <v>40269</v>
      </c>
    </row>
    <row r="478" spans="7:14" x14ac:dyDescent="0.3">
      <c r="G478" s="1">
        <v>40269</v>
      </c>
      <c r="K478" s="1">
        <v>37987</v>
      </c>
      <c r="M478" t="e">
        <v>#N/A</v>
      </c>
      <c r="N478" s="1">
        <v>40269</v>
      </c>
    </row>
    <row r="479" spans="7:14" x14ac:dyDescent="0.3">
      <c r="G479" s="1">
        <v>40269</v>
      </c>
      <c r="K479" s="1">
        <v>37987</v>
      </c>
      <c r="M479" t="e">
        <v>#N/A</v>
      </c>
      <c r="N479" s="1">
        <v>40269</v>
      </c>
    </row>
    <row r="480" spans="7:14" x14ac:dyDescent="0.3">
      <c r="G480" s="1">
        <v>40269</v>
      </c>
      <c r="K480" s="1">
        <v>37987</v>
      </c>
      <c r="M480" t="e">
        <v>#N/A</v>
      </c>
      <c r="N480" s="1">
        <v>40269</v>
      </c>
    </row>
    <row r="481" spans="7:14" x14ac:dyDescent="0.3">
      <c r="G481" s="1">
        <v>40269</v>
      </c>
      <c r="K481" s="1">
        <v>37987</v>
      </c>
      <c r="M481" t="e">
        <v>#N/A</v>
      </c>
      <c r="N481" s="1">
        <v>40269</v>
      </c>
    </row>
    <row r="482" spans="7:14" x14ac:dyDescent="0.3">
      <c r="G482" s="1">
        <v>40269</v>
      </c>
      <c r="K482" s="1">
        <v>37987</v>
      </c>
      <c r="M482" t="e">
        <v>#N/A</v>
      </c>
      <c r="N482" s="1">
        <v>40269</v>
      </c>
    </row>
    <row r="483" spans="7:14" x14ac:dyDescent="0.3">
      <c r="G483" s="1">
        <v>40269</v>
      </c>
      <c r="K483" s="1">
        <v>37987</v>
      </c>
      <c r="M483" t="e">
        <v>#N/A</v>
      </c>
      <c r="N483" s="1">
        <v>40269</v>
      </c>
    </row>
    <row r="484" spans="7:14" x14ac:dyDescent="0.3">
      <c r="G484" s="1">
        <v>40269</v>
      </c>
      <c r="K484" s="1">
        <v>37987</v>
      </c>
      <c r="M484" t="e">
        <v>#N/A</v>
      </c>
      <c r="N484" s="1">
        <v>40269</v>
      </c>
    </row>
    <row r="485" spans="7:14" x14ac:dyDescent="0.3">
      <c r="G485" s="1">
        <v>40269</v>
      </c>
      <c r="K485" s="1">
        <v>37987</v>
      </c>
      <c r="M485" t="e">
        <v>#N/A</v>
      </c>
      <c r="N485" s="1">
        <v>40269</v>
      </c>
    </row>
    <row r="486" spans="7:14" x14ac:dyDescent="0.3">
      <c r="G486" s="1">
        <v>40269</v>
      </c>
      <c r="K486" s="1">
        <v>37987</v>
      </c>
      <c r="M486" t="e">
        <v>#N/A</v>
      </c>
      <c r="N486" s="1">
        <v>40269</v>
      </c>
    </row>
    <row r="487" spans="7:14" x14ac:dyDescent="0.3">
      <c r="G487" s="1">
        <v>40269</v>
      </c>
      <c r="K487" s="1">
        <v>37987</v>
      </c>
      <c r="M487" t="e">
        <v>#N/A</v>
      </c>
      <c r="N487" s="1">
        <v>40269</v>
      </c>
    </row>
    <row r="488" spans="7:14" x14ac:dyDescent="0.3">
      <c r="G488" s="1">
        <v>40269</v>
      </c>
      <c r="K488" s="1">
        <v>37987</v>
      </c>
      <c r="M488" t="e">
        <v>#N/A</v>
      </c>
      <c r="N488" s="1">
        <v>40269</v>
      </c>
    </row>
    <row r="489" spans="7:14" x14ac:dyDescent="0.3">
      <c r="G489" s="1">
        <v>40269</v>
      </c>
      <c r="K489" s="1">
        <v>37987</v>
      </c>
      <c r="M489" t="e">
        <v>#N/A</v>
      </c>
      <c r="N489" s="1">
        <v>40269</v>
      </c>
    </row>
    <row r="490" spans="7:14" x14ac:dyDescent="0.3">
      <c r="G490" s="1">
        <v>40269</v>
      </c>
      <c r="K490" s="1">
        <v>37987</v>
      </c>
      <c r="M490" t="e">
        <v>#N/A</v>
      </c>
      <c r="N490" s="1">
        <v>40269</v>
      </c>
    </row>
    <row r="491" spans="7:14" x14ac:dyDescent="0.3">
      <c r="G491" s="1">
        <v>40269</v>
      </c>
      <c r="K491" s="1">
        <v>37987</v>
      </c>
      <c r="M491" t="e">
        <v>#N/A</v>
      </c>
      <c r="N491" s="1">
        <v>40269</v>
      </c>
    </row>
    <row r="492" spans="7:14" x14ac:dyDescent="0.3">
      <c r="G492" s="1">
        <v>40269</v>
      </c>
      <c r="K492" s="1">
        <v>37987</v>
      </c>
      <c r="M492" t="e">
        <v>#N/A</v>
      </c>
      <c r="N492" s="1">
        <v>40269</v>
      </c>
    </row>
    <row r="493" spans="7:14" x14ac:dyDescent="0.3">
      <c r="G493" s="1">
        <v>40360</v>
      </c>
      <c r="K493" s="1">
        <v>37987</v>
      </c>
      <c r="M493" t="e">
        <v>#N/A</v>
      </c>
      <c r="N493" s="1">
        <v>40360</v>
      </c>
    </row>
    <row r="494" spans="7:14" x14ac:dyDescent="0.3">
      <c r="G494" s="1">
        <v>40360</v>
      </c>
      <c r="K494" s="1">
        <v>37987</v>
      </c>
      <c r="M494" t="e">
        <v>#N/A</v>
      </c>
      <c r="N494" s="1">
        <v>40360</v>
      </c>
    </row>
    <row r="495" spans="7:14" x14ac:dyDescent="0.3">
      <c r="G495" s="1">
        <v>40360</v>
      </c>
      <c r="K495" s="1">
        <v>37987</v>
      </c>
      <c r="M495" t="e">
        <v>#N/A</v>
      </c>
      <c r="N495" s="1">
        <v>40360</v>
      </c>
    </row>
    <row r="496" spans="7:14" x14ac:dyDescent="0.3">
      <c r="G496" s="1">
        <v>40360</v>
      </c>
      <c r="K496" s="1">
        <v>37987</v>
      </c>
      <c r="M496" t="e">
        <v>#N/A</v>
      </c>
      <c r="N496" s="1">
        <v>40360</v>
      </c>
    </row>
    <row r="497" spans="7:14" x14ac:dyDescent="0.3">
      <c r="G497" s="1">
        <v>40360</v>
      </c>
      <c r="K497" s="1">
        <v>37987</v>
      </c>
      <c r="M497" t="e">
        <v>#N/A</v>
      </c>
      <c r="N497" s="1">
        <v>40360</v>
      </c>
    </row>
    <row r="498" spans="7:14" x14ac:dyDescent="0.3">
      <c r="G498" s="1">
        <v>40360</v>
      </c>
      <c r="K498" s="1">
        <v>37987</v>
      </c>
      <c r="M498" t="e">
        <v>#N/A</v>
      </c>
      <c r="N498" s="1">
        <v>40360</v>
      </c>
    </row>
    <row r="499" spans="7:14" x14ac:dyDescent="0.3">
      <c r="G499" s="1">
        <v>40360</v>
      </c>
      <c r="K499" s="1">
        <v>37987</v>
      </c>
      <c r="M499" t="e">
        <v>#N/A</v>
      </c>
      <c r="N499" s="1">
        <v>40360</v>
      </c>
    </row>
    <row r="500" spans="7:14" x14ac:dyDescent="0.3">
      <c r="G500" s="1">
        <v>40360</v>
      </c>
      <c r="K500" s="1">
        <v>37987</v>
      </c>
      <c r="M500" t="e">
        <v>#N/A</v>
      </c>
      <c r="N500" s="1">
        <v>40360</v>
      </c>
    </row>
    <row r="501" spans="7:14" x14ac:dyDescent="0.3">
      <c r="G501" s="1">
        <v>40360</v>
      </c>
      <c r="K501" s="1">
        <v>37987</v>
      </c>
      <c r="M501" t="e">
        <v>#N/A</v>
      </c>
      <c r="N501" s="1">
        <v>40360</v>
      </c>
    </row>
    <row r="502" spans="7:14" x14ac:dyDescent="0.3">
      <c r="G502" s="1">
        <v>40360</v>
      </c>
      <c r="K502" s="1">
        <v>37987</v>
      </c>
      <c r="M502" t="e">
        <v>#N/A</v>
      </c>
      <c r="N502" s="1">
        <v>40360</v>
      </c>
    </row>
    <row r="503" spans="7:14" x14ac:dyDescent="0.3">
      <c r="G503" s="1">
        <v>40360</v>
      </c>
      <c r="K503" s="1">
        <v>37987</v>
      </c>
      <c r="M503" t="e">
        <v>#N/A</v>
      </c>
      <c r="N503" s="1">
        <v>40360</v>
      </c>
    </row>
    <row r="504" spans="7:14" x14ac:dyDescent="0.3">
      <c r="G504" s="1">
        <v>40360</v>
      </c>
      <c r="K504" s="1">
        <v>37987</v>
      </c>
      <c r="M504" t="e">
        <v>#N/A</v>
      </c>
      <c r="N504" s="1">
        <v>40360</v>
      </c>
    </row>
    <row r="505" spans="7:14" x14ac:dyDescent="0.3">
      <c r="G505" s="1">
        <v>40360</v>
      </c>
      <c r="K505" s="1">
        <v>37987</v>
      </c>
      <c r="M505" t="e">
        <v>#N/A</v>
      </c>
      <c r="N505" s="1">
        <v>40360</v>
      </c>
    </row>
    <row r="506" spans="7:14" x14ac:dyDescent="0.3">
      <c r="G506" s="1">
        <v>40360</v>
      </c>
      <c r="K506" s="1">
        <v>37987</v>
      </c>
      <c r="M506" t="e">
        <v>#N/A</v>
      </c>
      <c r="N506" s="1">
        <v>40360</v>
      </c>
    </row>
    <row r="507" spans="7:14" x14ac:dyDescent="0.3">
      <c r="G507" s="1">
        <v>40360</v>
      </c>
      <c r="K507" s="1">
        <v>37987</v>
      </c>
      <c r="M507" t="e">
        <v>#N/A</v>
      </c>
      <c r="N507" s="1">
        <v>40360</v>
      </c>
    </row>
    <row r="508" spans="7:14" x14ac:dyDescent="0.3">
      <c r="G508" s="1">
        <v>40360</v>
      </c>
      <c r="K508" s="1">
        <v>37987</v>
      </c>
      <c r="M508" t="e">
        <v>#N/A</v>
      </c>
      <c r="N508" s="1">
        <v>40360</v>
      </c>
    </row>
    <row r="509" spans="7:14" x14ac:dyDescent="0.3">
      <c r="G509" s="1">
        <v>40360</v>
      </c>
      <c r="K509" s="1">
        <v>37987</v>
      </c>
      <c r="M509" t="e">
        <v>#N/A</v>
      </c>
      <c r="N509" s="1">
        <v>40360</v>
      </c>
    </row>
    <row r="510" spans="7:14" x14ac:dyDescent="0.3">
      <c r="G510" s="1">
        <v>40360</v>
      </c>
      <c r="K510" s="1">
        <v>37987</v>
      </c>
      <c r="M510" t="e">
        <v>#N/A</v>
      </c>
      <c r="N510" s="1">
        <v>40360</v>
      </c>
    </row>
    <row r="511" spans="7:14" x14ac:dyDescent="0.3">
      <c r="G511" s="1">
        <v>40360</v>
      </c>
      <c r="K511" s="1">
        <v>37987</v>
      </c>
      <c r="M511" t="e">
        <v>#N/A</v>
      </c>
      <c r="N511" s="1">
        <v>40360</v>
      </c>
    </row>
    <row r="512" spans="7:14" x14ac:dyDescent="0.3">
      <c r="G512" s="1">
        <v>40360</v>
      </c>
      <c r="K512" s="1">
        <v>37987</v>
      </c>
      <c r="M512" t="e">
        <v>#N/A</v>
      </c>
      <c r="N512" s="1">
        <v>40360</v>
      </c>
    </row>
    <row r="513" spans="7:14" x14ac:dyDescent="0.3">
      <c r="G513" s="1">
        <v>40360</v>
      </c>
      <c r="K513" s="1">
        <v>37987</v>
      </c>
      <c r="M513" t="e">
        <v>#N/A</v>
      </c>
      <c r="N513" s="1">
        <v>40360</v>
      </c>
    </row>
    <row r="514" spans="7:14" x14ac:dyDescent="0.3">
      <c r="G514" s="1">
        <v>40360</v>
      </c>
      <c r="K514" s="1">
        <v>37987</v>
      </c>
      <c r="M514" t="e">
        <v>#N/A</v>
      </c>
      <c r="N514" s="1">
        <v>40360</v>
      </c>
    </row>
    <row r="515" spans="7:14" x14ac:dyDescent="0.3">
      <c r="G515" s="1">
        <v>40360</v>
      </c>
      <c r="K515" s="1">
        <v>37987</v>
      </c>
      <c r="M515" t="e">
        <v>#N/A</v>
      </c>
      <c r="N515" s="1">
        <v>40360</v>
      </c>
    </row>
    <row r="516" spans="7:14" x14ac:dyDescent="0.3">
      <c r="G516" s="1">
        <v>40360</v>
      </c>
      <c r="K516" s="1">
        <v>37987</v>
      </c>
      <c r="M516" t="e">
        <v>#N/A</v>
      </c>
      <c r="N516" s="1">
        <v>40360</v>
      </c>
    </row>
    <row r="517" spans="7:14" x14ac:dyDescent="0.3">
      <c r="G517" s="1">
        <v>40360</v>
      </c>
      <c r="K517" s="1">
        <v>37987</v>
      </c>
      <c r="M517" t="e">
        <v>#N/A</v>
      </c>
      <c r="N517" s="1">
        <v>40360</v>
      </c>
    </row>
    <row r="518" spans="7:14" x14ac:dyDescent="0.3">
      <c r="G518" s="1">
        <v>40360</v>
      </c>
      <c r="K518" s="1">
        <v>37987</v>
      </c>
      <c r="M518" t="e">
        <v>#N/A</v>
      </c>
      <c r="N518" s="1">
        <v>40360</v>
      </c>
    </row>
    <row r="519" spans="7:14" x14ac:dyDescent="0.3">
      <c r="G519" s="1">
        <v>40360</v>
      </c>
      <c r="K519" s="1">
        <v>37987</v>
      </c>
      <c r="M519" t="e">
        <v>#N/A</v>
      </c>
      <c r="N519" s="1">
        <v>40360</v>
      </c>
    </row>
    <row r="520" spans="7:14" x14ac:dyDescent="0.3">
      <c r="G520" s="1">
        <v>40360</v>
      </c>
      <c r="K520" s="1">
        <v>37987</v>
      </c>
      <c r="M520" t="e">
        <v>#N/A</v>
      </c>
      <c r="N520" s="1">
        <v>40360</v>
      </c>
    </row>
    <row r="521" spans="7:14" x14ac:dyDescent="0.3">
      <c r="G521" s="1">
        <v>40360</v>
      </c>
      <c r="K521" s="1">
        <v>37987</v>
      </c>
      <c r="M521" t="e">
        <v>#N/A</v>
      </c>
      <c r="N521" s="1">
        <v>40360</v>
      </c>
    </row>
    <row r="522" spans="7:14" x14ac:dyDescent="0.3">
      <c r="G522" s="1">
        <v>40360</v>
      </c>
      <c r="K522" s="1">
        <v>37987</v>
      </c>
      <c r="M522" t="e">
        <v>#N/A</v>
      </c>
      <c r="N522" s="1">
        <v>40360</v>
      </c>
    </row>
    <row r="523" spans="7:14" x14ac:dyDescent="0.3">
      <c r="G523" s="1">
        <v>40360</v>
      </c>
      <c r="K523" s="1">
        <v>37987</v>
      </c>
      <c r="M523" t="e">
        <v>#N/A</v>
      </c>
      <c r="N523" s="1">
        <v>40360</v>
      </c>
    </row>
    <row r="524" spans="7:14" x14ac:dyDescent="0.3">
      <c r="G524" s="1">
        <v>40360</v>
      </c>
      <c r="K524" s="1">
        <v>37987</v>
      </c>
      <c r="M524" t="e">
        <v>#N/A</v>
      </c>
      <c r="N524" s="1">
        <v>40360</v>
      </c>
    </row>
    <row r="525" spans="7:14" x14ac:dyDescent="0.3">
      <c r="G525" s="1">
        <v>40360</v>
      </c>
      <c r="K525" s="1">
        <v>37987</v>
      </c>
      <c r="M525" t="e">
        <v>#N/A</v>
      </c>
      <c r="N525" s="1">
        <v>40360</v>
      </c>
    </row>
    <row r="526" spans="7:14" x14ac:dyDescent="0.3">
      <c r="G526" s="1">
        <v>40360</v>
      </c>
      <c r="K526" s="1">
        <v>37987</v>
      </c>
      <c r="M526" t="e">
        <v>#N/A</v>
      </c>
      <c r="N526" s="1">
        <v>40360</v>
      </c>
    </row>
    <row r="527" spans="7:14" x14ac:dyDescent="0.3">
      <c r="G527" s="1">
        <v>40360</v>
      </c>
      <c r="K527" s="1">
        <v>37987</v>
      </c>
      <c r="M527" t="e">
        <v>#N/A</v>
      </c>
      <c r="N527" s="1">
        <v>40360</v>
      </c>
    </row>
    <row r="528" spans="7:14" x14ac:dyDescent="0.3">
      <c r="G528" s="1">
        <v>40360</v>
      </c>
      <c r="K528" s="1">
        <v>37987</v>
      </c>
      <c r="M528" t="e">
        <v>#N/A</v>
      </c>
      <c r="N528" s="1">
        <v>40360</v>
      </c>
    </row>
    <row r="529" spans="7:14" x14ac:dyDescent="0.3">
      <c r="G529" s="1">
        <v>40452</v>
      </c>
      <c r="K529" s="1">
        <v>37987</v>
      </c>
      <c r="M529" t="e">
        <v>#N/A</v>
      </c>
      <c r="N529" s="1">
        <v>40452</v>
      </c>
    </row>
    <row r="530" spans="7:14" x14ac:dyDescent="0.3">
      <c r="G530" s="1">
        <v>40452</v>
      </c>
      <c r="K530" s="1">
        <v>37987</v>
      </c>
      <c r="M530" t="e">
        <v>#N/A</v>
      </c>
      <c r="N530" s="1">
        <v>40452</v>
      </c>
    </row>
    <row r="531" spans="7:14" x14ac:dyDescent="0.3">
      <c r="G531" s="1">
        <v>40452</v>
      </c>
      <c r="K531" s="1">
        <v>37987</v>
      </c>
      <c r="M531" t="e">
        <v>#N/A</v>
      </c>
      <c r="N531" s="1">
        <v>40452</v>
      </c>
    </row>
    <row r="532" spans="7:14" x14ac:dyDescent="0.3">
      <c r="G532" s="1">
        <v>40452</v>
      </c>
      <c r="K532" s="1">
        <v>37987</v>
      </c>
      <c r="M532" t="e">
        <v>#N/A</v>
      </c>
      <c r="N532" s="1">
        <v>40452</v>
      </c>
    </row>
    <row r="533" spans="7:14" x14ac:dyDescent="0.3">
      <c r="G533" s="1">
        <v>40452</v>
      </c>
      <c r="K533" s="1">
        <v>37987</v>
      </c>
      <c r="M533" t="e">
        <v>#N/A</v>
      </c>
      <c r="N533" s="1">
        <v>40452</v>
      </c>
    </row>
    <row r="534" spans="7:14" x14ac:dyDescent="0.3">
      <c r="G534" s="1">
        <v>40452</v>
      </c>
      <c r="K534" s="1">
        <v>37987</v>
      </c>
      <c r="M534" t="e">
        <v>#N/A</v>
      </c>
      <c r="N534" s="1">
        <v>40452</v>
      </c>
    </row>
    <row r="535" spans="7:14" x14ac:dyDescent="0.3">
      <c r="G535" s="1">
        <v>40452</v>
      </c>
      <c r="K535" s="1">
        <v>37987</v>
      </c>
      <c r="M535" t="e">
        <v>#N/A</v>
      </c>
      <c r="N535" s="1">
        <v>40452</v>
      </c>
    </row>
    <row r="536" spans="7:14" x14ac:dyDescent="0.3">
      <c r="G536" s="1">
        <v>40452</v>
      </c>
      <c r="K536" s="1">
        <v>37987</v>
      </c>
      <c r="M536" t="e">
        <v>#N/A</v>
      </c>
      <c r="N536" s="1">
        <v>40452</v>
      </c>
    </row>
    <row r="537" spans="7:14" x14ac:dyDescent="0.3">
      <c r="G537" s="1">
        <v>40452</v>
      </c>
      <c r="K537" s="1">
        <v>37987</v>
      </c>
      <c r="M537" t="e">
        <v>#N/A</v>
      </c>
      <c r="N537" s="1">
        <v>40452</v>
      </c>
    </row>
    <row r="538" spans="7:14" x14ac:dyDescent="0.3">
      <c r="G538" s="1">
        <v>40452</v>
      </c>
      <c r="K538" s="1">
        <v>37987</v>
      </c>
      <c r="M538" t="e">
        <v>#N/A</v>
      </c>
      <c r="N538" s="1">
        <v>40452</v>
      </c>
    </row>
    <row r="539" spans="7:14" x14ac:dyDescent="0.3">
      <c r="G539" s="1">
        <v>40452</v>
      </c>
      <c r="K539" s="1">
        <v>37987</v>
      </c>
      <c r="M539" t="e">
        <v>#N/A</v>
      </c>
      <c r="N539" s="1">
        <v>40452</v>
      </c>
    </row>
    <row r="540" spans="7:14" x14ac:dyDescent="0.3">
      <c r="G540" s="1">
        <v>40452</v>
      </c>
      <c r="K540" s="1">
        <v>37987</v>
      </c>
      <c r="M540" t="e">
        <v>#N/A</v>
      </c>
      <c r="N540" s="1">
        <v>40452</v>
      </c>
    </row>
    <row r="541" spans="7:14" x14ac:dyDescent="0.3">
      <c r="G541" s="1">
        <v>40452</v>
      </c>
      <c r="K541" s="1">
        <v>37987</v>
      </c>
      <c r="M541" t="e">
        <v>#N/A</v>
      </c>
      <c r="N541" s="1">
        <v>40452</v>
      </c>
    </row>
    <row r="542" spans="7:14" x14ac:dyDescent="0.3">
      <c r="G542" s="1">
        <v>40452</v>
      </c>
      <c r="K542" s="1">
        <v>37987</v>
      </c>
      <c r="M542" t="e">
        <v>#N/A</v>
      </c>
      <c r="N542" s="1">
        <v>40452</v>
      </c>
    </row>
    <row r="543" spans="7:14" x14ac:dyDescent="0.3">
      <c r="G543" s="1">
        <v>40452</v>
      </c>
      <c r="K543" s="1">
        <v>37987</v>
      </c>
      <c r="M543" t="e">
        <v>#N/A</v>
      </c>
      <c r="N543" s="1">
        <v>40452</v>
      </c>
    </row>
    <row r="544" spans="7:14" x14ac:dyDescent="0.3">
      <c r="G544" s="1">
        <v>40452</v>
      </c>
      <c r="K544" s="1">
        <v>37987</v>
      </c>
      <c r="M544" t="e">
        <v>#N/A</v>
      </c>
      <c r="N544" s="1">
        <v>40452</v>
      </c>
    </row>
    <row r="545" spans="7:14" x14ac:dyDescent="0.3">
      <c r="G545" s="1">
        <v>40452</v>
      </c>
      <c r="K545" s="1">
        <v>37987</v>
      </c>
      <c r="M545" t="e">
        <v>#N/A</v>
      </c>
      <c r="N545" s="1">
        <v>40452</v>
      </c>
    </row>
    <row r="546" spans="7:14" x14ac:dyDescent="0.3">
      <c r="G546" s="1">
        <v>40452</v>
      </c>
      <c r="K546" s="1">
        <v>37987</v>
      </c>
      <c r="M546" t="e">
        <v>#N/A</v>
      </c>
      <c r="N546" s="1">
        <v>40452</v>
      </c>
    </row>
    <row r="547" spans="7:14" x14ac:dyDescent="0.3">
      <c r="G547" s="1">
        <v>40452</v>
      </c>
      <c r="K547" s="1">
        <v>37987</v>
      </c>
      <c r="M547" t="e">
        <v>#N/A</v>
      </c>
      <c r="N547" s="1">
        <v>40452</v>
      </c>
    </row>
    <row r="548" spans="7:14" x14ac:dyDescent="0.3">
      <c r="G548" s="1">
        <v>40452</v>
      </c>
      <c r="K548" s="1">
        <v>37987</v>
      </c>
      <c r="M548" t="e">
        <v>#N/A</v>
      </c>
      <c r="N548" s="1">
        <v>40452</v>
      </c>
    </row>
    <row r="549" spans="7:14" x14ac:dyDescent="0.3">
      <c r="G549" s="1">
        <v>40452</v>
      </c>
      <c r="K549" s="1">
        <v>37987</v>
      </c>
      <c r="M549" t="e">
        <v>#N/A</v>
      </c>
      <c r="N549" s="1">
        <v>40452</v>
      </c>
    </row>
    <row r="550" spans="7:14" x14ac:dyDescent="0.3">
      <c r="G550" s="1">
        <v>40452</v>
      </c>
      <c r="K550" s="1">
        <v>37987</v>
      </c>
      <c r="M550" t="e">
        <v>#N/A</v>
      </c>
      <c r="N550" s="1">
        <v>40452</v>
      </c>
    </row>
    <row r="551" spans="7:14" x14ac:dyDescent="0.3">
      <c r="G551" s="1">
        <v>40452</v>
      </c>
      <c r="K551" s="1">
        <v>37987</v>
      </c>
      <c r="M551" t="e">
        <v>#N/A</v>
      </c>
      <c r="N551" s="1">
        <v>40452</v>
      </c>
    </row>
    <row r="552" spans="7:14" x14ac:dyDescent="0.3">
      <c r="G552" s="1">
        <v>40452</v>
      </c>
      <c r="K552" s="1">
        <v>37987</v>
      </c>
      <c r="M552" t="e">
        <v>#N/A</v>
      </c>
      <c r="N552" s="1">
        <v>40452</v>
      </c>
    </row>
    <row r="553" spans="7:14" x14ac:dyDescent="0.3">
      <c r="G553" s="1">
        <v>40452</v>
      </c>
      <c r="K553" s="1">
        <v>37987</v>
      </c>
      <c r="M553" t="e">
        <v>#N/A</v>
      </c>
      <c r="N553" s="1">
        <v>40452</v>
      </c>
    </row>
    <row r="554" spans="7:14" x14ac:dyDescent="0.3">
      <c r="G554" s="1">
        <v>40452</v>
      </c>
      <c r="K554" s="1">
        <v>37987</v>
      </c>
      <c r="M554" t="e">
        <v>#N/A</v>
      </c>
      <c r="N554" s="1">
        <v>40452</v>
      </c>
    </row>
    <row r="555" spans="7:14" x14ac:dyDescent="0.3">
      <c r="G555" s="1">
        <v>40452</v>
      </c>
      <c r="K555" s="1">
        <v>37987</v>
      </c>
      <c r="M555" t="e">
        <v>#N/A</v>
      </c>
      <c r="N555" s="1">
        <v>40452</v>
      </c>
    </row>
    <row r="556" spans="7:14" x14ac:dyDescent="0.3">
      <c r="G556" s="1">
        <v>40452</v>
      </c>
      <c r="K556" s="1">
        <v>37987</v>
      </c>
      <c r="M556" t="e">
        <v>#N/A</v>
      </c>
      <c r="N556" s="1">
        <v>40452</v>
      </c>
    </row>
    <row r="557" spans="7:14" x14ac:dyDescent="0.3">
      <c r="G557" s="1">
        <v>40452</v>
      </c>
      <c r="K557" s="1">
        <v>37987</v>
      </c>
      <c r="M557" t="e">
        <v>#N/A</v>
      </c>
      <c r="N557" s="1">
        <v>40452</v>
      </c>
    </row>
    <row r="558" spans="7:14" x14ac:dyDescent="0.3">
      <c r="G558" s="1">
        <v>40452</v>
      </c>
      <c r="K558" s="1">
        <v>37987</v>
      </c>
      <c r="M558" t="e">
        <v>#N/A</v>
      </c>
      <c r="N558" s="1">
        <v>40452</v>
      </c>
    </row>
    <row r="559" spans="7:14" x14ac:dyDescent="0.3">
      <c r="G559" s="1">
        <v>40452</v>
      </c>
      <c r="K559" s="1">
        <v>37987</v>
      </c>
      <c r="M559" t="e">
        <v>#N/A</v>
      </c>
      <c r="N559" s="1">
        <v>40452</v>
      </c>
    </row>
    <row r="560" spans="7:14" x14ac:dyDescent="0.3">
      <c r="G560" s="1">
        <v>40452</v>
      </c>
      <c r="K560" s="1">
        <v>37987</v>
      </c>
      <c r="M560" t="e">
        <v>#N/A</v>
      </c>
      <c r="N560" s="1">
        <v>40452</v>
      </c>
    </row>
    <row r="561" spans="7:14" x14ac:dyDescent="0.3">
      <c r="G561" s="1">
        <v>40452</v>
      </c>
      <c r="K561" s="1">
        <v>37987</v>
      </c>
      <c r="M561" t="e">
        <v>#N/A</v>
      </c>
      <c r="N561" s="1">
        <v>40452</v>
      </c>
    </row>
    <row r="562" spans="7:14" x14ac:dyDescent="0.3">
      <c r="G562" s="1">
        <v>40452</v>
      </c>
      <c r="K562" s="1">
        <v>37987</v>
      </c>
      <c r="M562" t="e">
        <v>#N/A</v>
      </c>
      <c r="N562" s="1">
        <v>40452</v>
      </c>
    </row>
    <row r="563" spans="7:14" x14ac:dyDescent="0.3">
      <c r="G563" s="1">
        <v>40452</v>
      </c>
      <c r="K563" s="1">
        <v>37987</v>
      </c>
      <c r="M563" t="e">
        <v>#N/A</v>
      </c>
      <c r="N563" s="1">
        <v>40452</v>
      </c>
    </row>
    <row r="564" spans="7:14" x14ac:dyDescent="0.3">
      <c r="G564" s="1">
        <v>40452</v>
      </c>
      <c r="K564" s="1">
        <v>37987</v>
      </c>
      <c r="M564" t="e">
        <v>#N/A</v>
      </c>
      <c r="N564" s="1">
        <v>40452</v>
      </c>
    </row>
    <row r="565" spans="7:14" x14ac:dyDescent="0.3">
      <c r="G565" s="1">
        <v>40452</v>
      </c>
      <c r="K565" s="1">
        <v>37987</v>
      </c>
      <c r="M565" t="e">
        <v>#N/A</v>
      </c>
      <c r="N565" s="1">
        <v>40452</v>
      </c>
    </row>
    <row r="566" spans="7:14" x14ac:dyDescent="0.3">
      <c r="G566" s="1">
        <v>40452</v>
      </c>
      <c r="K566" s="1">
        <v>37987</v>
      </c>
      <c r="M566" t="e">
        <v>#N/A</v>
      </c>
      <c r="N566" s="1">
        <v>40452</v>
      </c>
    </row>
    <row r="567" spans="7:14" x14ac:dyDescent="0.3">
      <c r="G567" s="1">
        <v>40544</v>
      </c>
      <c r="K567" s="1">
        <v>37987</v>
      </c>
      <c r="M567" t="e">
        <v>#N/A</v>
      </c>
      <c r="N567" s="1">
        <v>40544</v>
      </c>
    </row>
    <row r="568" spans="7:14" x14ac:dyDescent="0.3">
      <c r="G568" s="1">
        <v>40544</v>
      </c>
      <c r="K568" s="1">
        <v>37987</v>
      </c>
      <c r="M568" t="e">
        <v>#N/A</v>
      </c>
      <c r="N568" s="1">
        <v>40544</v>
      </c>
    </row>
    <row r="569" spans="7:14" x14ac:dyDescent="0.3">
      <c r="G569" s="1">
        <v>40544</v>
      </c>
      <c r="K569" s="1">
        <v>37987</v>
      </c>
      <c r="M569" t="e">
        <v>#N/A</v>
      </c>
      <c r="N569" s="1">
        <v>40544</v>
      </c>
    </row>
    <row r="570" spans="7:14" x14ac:dyDescent="0.3">
      <c r="G570" s="1">
        <v>40544</v>
      </c>
      <c r="K570" s="1">
        <v>37987</v>
      </c>
      <c r="M570" t="e">
        <v>#N/A</v>
      </c>
      <c r="N570" s="1">
        <v>40544</v>
      </c>
    </row>
    <row r="571" spans="7:14" x14ac:dyDescent="0.3">
      <c r="G571" s="1">
        <v>40544</v>
      </c>
      <c r="K571" s="1">
        <v>37987</v>
      </c>
      <c r="M571" t="e">
        <v>#N/A</v>
      </c>
      <c r="N571" s="1">
        <v>40544</v>
      </c>
    </row>
    <row r="572" spans="7:14" x14ac:dyDescent="0.3">
      <c r="G572" s="1">
        <v>40544</v>
      </c>
      <c r="K572" s="1">
        <v>37987</v>
      </c>
      <c r="M572" t="e">
        <v>#N/A</v>
      </c>
      <c r="N572" s="1">
        <v>40544</v>
      </c>
    </row>
    <row r="573" spans="7:14" x14ac:dyDescent="0.3">
      <c r="G573" s="1">
        <v>40544</v>
      </c>
      <c r="K573" s="1">
        <v>37987</v>
      </c>
      <c r="M573" t="e">
        <v>#N/A</v>
      </c>
      <c r="N573" s="1">
        <v>40544</v>
      </c>
    </row>
    <row r="574" spans="7:14" x14ac:dyDescent="0.3">
      <c r="G574" s="1">
        <v>40544</v>
      </c>
      <c r="K574" s="1">
        <v>37987</v>
      </c>
      <c r="M574" t="e">
        <v>#N/A</v>
      </c>
      <c r="N574" s="1">
        <v>40544</v>
      </c>
    </row>
    <row r="575" spans="7:14" x14ac:dyDescent="0.3">
      <c r="G575" s="1">
        <v>40544</v>
      </c>
      <c r="K575" s="1">
        <v>37987</v>
      </c>
      <c r="M575" t="e">
        <v>#N/A</v>
      </c>
      <c r="N575" s="1">
        <v>40544</v>
      </c>
    </row>
    <row r="576" spans="7:14" x14ac:dyDescent="0.3">
      <c r="G576" s="1">
        <v>40544</v>
      </c>
      <c r="K576" s="1">
        <v>37987</v>
      </c>
      <c r="M576" t="e">
        <v>#N/A</v>
      </c>
      <c r="N576" s="1">
        <v>40544</v>
      </c>
    </row>
    <row r="577" spans="7:14" x14ac:dyDescent="0.3">
      <c r="G577" s="1">
        <v>40544</v>
      </c>
      <c r="K577" s="1">
        <v>37987</v>
      </c>
      <c r="M577" t="e">
        <v>#N/A</v>
      </c>
      <c r="N577" s="1">
        <v>40544</v>
      </c>
    </row>
    <row r="578" spans="7:14" x14ac:dyDescent="0.3">
      <c r="G578" s="1">
        <v>40544</v>
      </c>
      <c r="K578" s="1">
        <v>37987</v>
      </c>
      <c r="M578" t="e">
        <v>#N/A</v>
      </c>
      <c r="N578" s="1">
        <v>40544</v>
      </c>
    </row>
    <row r="579" spans="7:14" x14ac:dyDescent="0.3">
      <c r="G579" s="1">
        <v>40544</v>
      </c>
      <c r="K579" s="1">
        <v>37987</v>
      </c>
      <c r="M579" t="e">
        <v>#N/A</v>
      </c>
      <c r="N579" s="1">
        <v>40544</v>
      </c>
    </row>
    <row r="580" spans="7:14" x14ac:dyDescent="0.3">
      <c r="G580" s="1">
        <v>40544</v>
      </c>
      <c r="K580" s="1">
        <v>37987</v>
      </c>
      <c r="M580" t="e">
        <v>#N/A</v>
      </c>
      <c r="N580" s="1">
        <v>40544</v>
      </c>
    </row>
    <row r="581" spans="7:14" x14ac:dyDescent="0.3">
      <c r="G581" s="1">
        <v>40544</v>
      </c>
      <c r="K581" s="1">
        <v>37987</v>
      </c>
      <c r="M581" t="e">
        <v>#N/A</v>
      </c>
      <c r="N581" s="1">
        <v>40544</v>
      </c>
    </row>
    <row r="582" spans="7:14" x14ac:dyDescent="0.3">
      <c r="G582" s="1">
        <v>40544</v>
      </c>
      <c r="K582" s="1">
        <v>37987</v>
      </c>
      <c r="M582" t="e">
        <v>#N/A</v>
      </c>
      <c r="N582" s="1">
        <v>40544</v>
      </c>
    </row>
    <row r="583" spans="7:14" x14ac:dyDescent="0.3">
      <c r="G583" s="1">
        <v>40544</v>
      </c>
      <c r="K583" s="1">
        <v>37987</v>
      </c>
      <c r="M583" t="e">
        <v>#N/A</v>
      </c>
      <c r="N583" s="1">
        <v>40544</v>
      </c>
    </row>
    <row r="584" spans="7:14" x14ac:dyDescent="0.3">
      <c r="G584" s="1">
        <v>40544</v>
      </c>
      <c r="K584" s="1">
        <v>37987</v>
      </c>
      <c r="M584" t="e">
        <v>#N/A</v>
      </c>
      <c r="N584" s="1">
        <v>40544</v>
      </c>
    </row>
    <row r="585" spans="7:14" x14ac:dyDescent="0.3">
      <c r="G585" s="1">
        <v>40544</v>
      </c>
      <c r="K585" s="1">
        <v>37987</v>
      </c>
      <c r="M585" t="e">
        <v>#N/A</v>
      </c>
      <c r="N585" s="1">
        <v>40544</v>
      </c>
    </row>
    <row r="586" spans="7:14" x14ac:dyDescent="0.3">
      <c r="G586" s="1">
        <v>40544</v>
      </c>
      <c r="K586" s="1">
        <v>37987</v>
      </c>
      <c r="M586" t="e">
        <v>#N/A</v>
      </c>
      <c r="N586" s="1">
        <v>40544</v>
      </c>
    </row>
    <row r="587" spans="7:14" x14ac:dyDescent="0.3">
      <c r="G587" s="1">
        <v>40544</v>
      </c>
      <c r="K587" s="1">
        <v>37987</v>
      </c>
      <c r="M587" t="e">
        <v>#N/A</v>
      </c>
      <c r="N587" s="1">
        <v>40544</v>
      </c>
    </row>
    <row r="588" spans="7:14" x14ac:dyDescent="0.3">
      <c r="G588" s="1">
        <v>40544</v>
      </c>
      <c r="K588" s="1">
        <v>37987</v>
      </c>
      <c r="M588" t="e">
        <v>#N/A</v>
      </c>
      <c r="N588" s="1">
        <v>40544</v>
      </c>
    </row>
    <row r="589" spans="7:14" x14ac:dyDescent="0.3">
      <c r="G589" s="1">
        <v>40544</v>
      </c>
      <c r="K589" s="1">
        <v>37987</v>
      </c>
      <c r="M589" t="e">
        <v>#N/A</v>
      </c>
      <c r="N589" s="1">
        <v>40544</v>
      </c>
    </row>
    <row r="590" spans="7:14" x14ac:dyDescent="0.3">
      <c r="G590" s="1">
        <v>40544</v>
      </c>
      <c r="K590" s="1">
        <v>37987</v>
      </c>
      <c r="M590" t="e">
        <v>#N/A</v>
      </c>
      <c r="N590" s="1">
        <v>40544</v>
      </c>
    </row>
    <row r="591" spans="7:14" x14ac:dyDescent="0.3">
      <c r="G591" s="1">
        <v>40544</v>
      </c>
      <c r="K591" s="1">
        <v>37987</v>
      </c>
      <c r="M591" t="e">
        <v>#N/A</v>
      </c>
      <c r="N591" s="1">
        <v>40544</v>
      </c>
    </row>
    <row r="592" spans="7:14" x14ac:dyDescent="0.3">
      <c r="G592" s="1">
        <v>40544</v>
      </c>
      <c r="K592" s="1">
        <v>37987</v>
      </c>
      <c r="M592" t="e">
        <v>#N/A</v>
      </c>
      <c r="N592" s="1">
        <v>40544</v>
      </c>
    </row>
    <row r="593" spans="7:14" x14ac:dyDescent="0.3">
      <c r="G593" s="1">
        <v>40544</v>
      </c>
      <c r="K593" s="1">
        <v>37987</v>
      </c>
      <c r="M593" t="e">
        <v>#N/A</v>
      </c>
      <c r="N593" s="1">
        <v>40544</v>
      </c>
    </row>
    <row r="594" spans="7:14" x14ac:dyDescent="0.3">
      <c r="G594" s="1">
        <v>40544</v>
      </c>
      <c r="K594" s="1">
        <v>37987</v>
      </c>
      <c r="M594" t="e">
        <v>#N/A</v>
      </c>
      <c r="N594" s="1">
        <v>40544</v>
      </c>
    </row>
    <row r="595" spans="7:14" x14ac:dyDescent="0.3">
      <c r="G595" s="1">
        <v>40544</v>
      </c>
      <c r="K595" s="1">
        <v>37987</v>
      </c>
      <c r="M595" t="e">
        <v>#N/A</v>
      </c>
      <c r="N595" s="1">
        <v>40544</v>
      </c>
    </row>
    <row r="596" spans="7:14" x14ac:dyDescent="0.3">
      <c r="G596" s="1">
        <v>40544</v>
      </c>
      <c r="K596" s="1">
        <v>37987</v>
      </c>
      <c r="M596" t="e">
        <v>#N/A</v>
      </c>
      <c r="N596" s="1">
        <v>40544</v>
      </c>
    </row>
    <row r="597" spans="7:14" x14ac:dyDescent="0.3">
      <c r="G597" s="1">
        <v>40544</v>
      </c>
      <c r="K597" s="1">
        <v>37987</v>
      </c>
      <c r="M597" t="e">
        <v>#N/A</v>
      </c>
      <c r="N597" s="1">
        <v>40544</v>
      </c>
    </row>
    <row r="598" spans="7:14" x14ac:dyDescent="0.3">
      <c r="G598" s="1">
        <v>40544</v>
      </c>
      <c r="K598" s="1">
        <v>37987</v>
      </c>
      <c r="M598" t="e">
        <v>#N/A</v>
      </c>
      <c r="N598" s="1">
        <v>40544</v>
      </c>
    </row>
    <row r="599" spans="7:14" x14ac:dyDescent="0.3">
      <c r="G599" s="1">
        <v>40544</v>
      </c>
      <c r="K599" s="1">
        <v>37987</v>
      </c>
      <c r="M599" t="e">
        <v>#N/A</v>
      </c>
      <c r="N599" s="1">
        <v>40544</v>
      </c>
    </row>
    <row r="600" spans="7:14" x14ac:dyDescent="0.3">
      <c r="G600" s="1">
        <v>40544</v>
      </c>
      <c r="K600" s="1">
        <v>37987</v>
      </c>
      <c r="M600" t="e">
        <v>#N/A</v>
      </c>
      <c r="N600" s="1">
        <v>40544</v>
      </c>
    </row>
    <row r="601" spans="7:14" x14ac:dyDescent="0.3">
      <c r="G601" s="1">
        <v>40544</v>
      </c>
      <c r="K601" s="1">
        <v>37987</v>
      </c>
      <c r="M601" t="e">
        <v>#N/A</v>
      </c>
      <c r="N601" s="1">
        <v>40544</v>
      </c>
    </row>
    <row r="602" spans="7:14" x14ac:dyDescent="0.3">
      <c r="G602" s="1">
        <v>40544</v>
      </c>
      <c r="K602" s="1">
        <v>37987</v>
      </c>
      <c r="M602" t="e">
        <v>#N/A</v>
      </c>
      <c r="N602" s="1">
        <v>40544</v>
      </c>
    </row>
    <row r="603" spans="7:14" x14ac:dyDescent="0.3">
      <c r="G603" s="1">
        <v>40634</v>
      </c>
      <c r="K603" s="1">
        <v>37987</v>
      </c>
      <c r="M603" t="e">
        <v>#N/A</v>
      </c>
      <c r="N603" s="1">
        <v>40634</v>
      </c>
    </row>
    <row r="604" spans="7:14" x14ac:dyDescent="0.3">
      <c r="G604" s="1">
        <v>40634</v>
      </c>
      <c r="K604" s="1">
        <v>37987</v>
      </c>
      <c r="M604" t="e">
        <v>#N/A</v>
      </c>
      <c r="N604" s="1">
        <v>40634</v>
      </c>
    </row>
    <row r="605" spans="7:14" x14ac:dyDescent="0.3">
      <c r="G605" s="1">
        <v>40634</v>
      </c>
      <c r="K605" s="1">
        <v>37987</v>
      </c>
      <c r="M605" t="e">
        <v>#N/A</v>
      </c>
      <c r="N605" s="1">
        <v>40634</v>
      </c>
    </row>
    <row r="606" spans="7:14" x14ac:dyDescent="0.3">
      <c r="G606" s="1">
        <v>40634</v>
      </c>
      <c r="K606" s="1">
        <v>37987</v>
      </c>
      <c r="M606" t="e">
        <v>#N/A</v>
      </c>
      <c r="N606" s="1">
        <v>40634</v>
      </c>
    </row>
    <row r="607" spans="7:14" x14ac:dyDescent="0.3">
      <c r="G607" s="1">
        <v>40634</v>
      </c>
      <c r="K607" s="1">
        <v>37987</v>
      </c>
      <c r="M607" t="e">
        <v>#N/A</v>
      </c>
      <c r="N607" s="1">
        <v>40634</v>
      </c>
    </row>
    <row r="608" spans="7:14" x14ac:dyDescent="0.3">
      <c r="G608" s="1">
        <v>40634</v>
      </c>
      <c r="K608" s="1">
        <v>37987</v>
      </c>
      <c r="M608" t="e">
        <v>#N/A</v>
      </c>
      <c r="N608" s="1">
        <v>40634</v>
      </c>
    </row>
    <row r="609" spans="7:14" x14ac:dyDescent="0.3">
      <c r="G609" s="1">
        <v>40634</v>
      </c>
      <c r="K609" s="1">
        <v>37987</v>
      </c>
      <c r="M609" t="e">
        <v>#N/A</v>
      </c>
      <c r="N609" s="1">
        <v>40634</v>
      </c>
    </row>
    <row r="610" spans="7:14" x14ac:dyDescent="0.3">
      <c r="G610" s="1">
        <v>40634</v>
      </c>
      <c r="K610" s="1">
        <v>37987</v>
      </c>
      <c r="M610" t="e">
        <v>#N/A</v>
      </c>
      <c r="N610" s="1">
        <v>40634</v>
      </c>
    </row>
    <row r="611" spans="7:14" x14ac:dyDescent="0.3">
      <c r="G611" s="1">
        <v>40634</v>
      </c>
      <c r="K611" s="1">
        <v>37987</v>
      </c>
      <c r="M611" t="e">
        <v>#N/A</v>
      </c>
      <c r="N611" s="1">
        <v>40634</v>
      </c>
    </row>
    <row r="612" spans="7:14" x14ac:dyDescent="0.3">
      <c r="G612" s="1">
        <v>40634</v>
      </c>
      <c r="K612" s="1">
        <v>37987</v>
      </c>
      <c r="M612" t="e">
        <v>#N/A</v>
      </c>
      <c r="N612" s="1">
        <v>40634</v>
      </c>
    </row>
    <row r="613" spans="7:14" x14ac:dyDescent="0.3">
      <c r="G613" s="1">
        <v>40634</v>
      </c>
      <c r="K613" s="1">
        <v>37987</v>
      </c>
      <c r="M613" t="e">
        <v>#N/A</v>
      </c>
      <c r="N613" s="1">
        <v>40634</v>
      </c>
    </row>
    <row r="614" spans="7:14" x14ac:dyDescent="0.3">
      <c r="G614" s="1">
        <v>40634</v>
      </c>
      <c r="K614" s="1">
        <v>37987</v>
      </c>
      <c r="M614" t="e">
        <v>#N/A</v>
      </c>
      <c r="N614" s="1">
        <v>40634</v>
      </c>
    </row>
    <row r="615" spans="7:14" x14ac:dyDescent="0.3">
      <c r="G615" s="1">
        <v>40634</v>
      </c>
      <c r="K615" s="1">
        <v>38078</v>
      </c>
      <c r="M615" t="e">
        <v>#N/A</v>
      </c>
      <c r="N615" s="1">
        <v>40634</v>
      </c>
    </row>
    <row r="616" spans="7:14" x14ac:dyDescent="0.3">
      <c r="G616" s="1">
        <v>40634</v>
      </c>
      <c r="K616" s="1">
        <v>38078</v>
      </c>
      <c r="M616" t="e">
        <v>#N/A</v>
      </c>
      <c r="N616" s="1">
        <v>40634</v>
      </c>
    </row>
    <row r="617" spans="7:14" x14ac:dyDescent="0.3">
      <c r="G617" s="1">
        <v>40634</v>
      </c>
      <c r="K617" s="1">
        <v>38078</v>
      </c>
      <c r="M617" t="e">
        <v>#N/A</v>
      </c>
      <c r="N617" s="1">
        <v>40634</v>
      </c>
    </row>
    <row r="618" spans="7:14" x14ac:dyDescent="0.3">
      <c r="G618" s="1">
        <v>40634</v>
      </c>
      <c r="K618" s="1">
        <v>38078</v>
      </c>
      <c r="M618" t="e">
        <v>#N/A</v>
      </c>
      <c r="N618" s="1">
        <v>40634</v>
      </c>
    </row>
    <row r="619" spans="7:14" x14ac:dyDescent="0.3">
      <c r="G619" s="1">
        <v>40634</v>
      </c>
      <c r="K619" s="1">
        <v>38078</v>
      </c>
      <c r="M619" t="e">
        <v>#N/A</v>
      </c>
      <c r="N619" s="1">
        <v>40634</v>
      </c>
    </row>
    <row r="620" spans="7:14" x14ac:dyDescent="0.3">
      <c r="G620" s="1">
        <v>40634</v>
      </c>
      <c r="K620" s="1">
        <v>38078</v>
      </c>
      <c r="M620" t="e">
        <v>#N/A</v>
      </c>
      <c r="N620" s="1">
        <v>40634</v>
      </c>
    </row>
    <row r="621" spans="7:14" x14ac:dyDescent="0.3">
      <c r="G621" s="1">
        <v>40634</v>
      </c>
      <c r="K621" s="1">
        <v>38078</v>
      </c>
      <c r="M621" t="e">
        <v>#N/A</v>
      </c>
      <c r="N621" s="1">
        <v>40634</v>
      </c>
    </row>
    <row r="622" spans="7:14" x14ac:dyDescent="0.3">
      <c r="G622" s="1">
        <v>40634</v>
      </c>
      <c r="K622" s="1">
        <v>38078</v>
      </c>
      <c r="M622" t="e">
        <v>#N/A</v>
      </c>
      <c r="N622" s="1">
        <v>40634</v>
      </c>
    </row>
    <row r="623" spans="7:14" x14ac:dyDescent="0.3">
      <c r="G623" s="1">
        <v>40634</v>
      </c>
      <c r="K623" s="1">
        <v>38078</v>
      </c>
      <c r="M623" t="e">
        <v>#N/A</v>
      </c>
      <c r="N623" s="1">
        <v>40634</v>
      </c>
    </row>
    <row r="624" spans="7:14" x14ac:dyDescent="0.3">
      <c r="G624" s="1">
        <v>40634</v>
      </c>
      <c r="K624" s="1">
        <v>38078</v>
      </c>
      <c r="M624" t="e">
        <v>#N/A</v>
      </c>
      <c r="N624" s="1">
        <v>40634</v>
      </c>
    </row>
    <row r="625" spans="7:14" x14ac:dyDescent="0.3">
      <c r="G625" s="1">
        <v>40634</v>
      </c>
      <c r="K625" s="1">
        <v>38078</v>
      </c>
      <c r="M625" t="e">
        <v>#N/A</v>
      </c>
      <c r="N625" s="1">
        <v>40634</v>
      </c>
    </row>
    <row r="626" spans="7:14" x14ac:dyDescent="0.3">
      <c r="G626" s="1">
        <v>40634</v>
      </c>
      <c r="K626" s="1">
        <v>38078</v>
      </c>
      <c r="M626" t="e">
        <v>#N/A</v>
      </c>
      <c r="N626" s="1">
        <v>40634</v>
      </c>
    </row>
    <row r="627" spans="7:14" x14ac:dyDescent="0.3">
      <c r="G627" s="1">
        <v>40634</v>
      </c>
      <c r="K627" s="1">
        <v>38078</v>
      </c>
      <c r="M627" t="e">
        <v>#N/A</v>
      </c>
      <c r="N627" s="1">
        <v>40634</v>
      </c>
    </row>
    <row r="628" spans="7:14" x14ac:dyDescent="0.3">
      <c r="G628" s="1">
        <v>40634</v>
      </c>
      <c r="K628" s="1">
        <v>38078</v>
      </c>
      <c r="M628" t="e">
        <v>#N/A</v>
      </c>
      <c r="N628" s="1">
        <v>40634</v>
      </c>
    </row>
    <row r="629" spans="7:14" x14ac:dyDescent="0.3">
      <c r="G629" s="1">
        <v>40634</v>
      </c>
      <c r="K629" s="1">
        <v>38078</v>
      </c>
      <c r="M629" t="e">
        <v>#N/A</v>
      </c>
      <c r="N629" s="1">
        <v>40634</v>
      </c>
    </row>
    <row r="630" spans="7:14" x14ac:dyDescent="0.3">
      <c r="G630" s="1">
        <v>40634</v>
      </c>
      <c r="K630" s="1">
        <v>38078</v>
      </c>
      <c r="M630" t="e">
        <v>#N/A</v>
      </c>
      <c r="N630" s="1">
        <v>40634</v>
      </c>
    </row>
    <row r="631" spans="7:14" x14ac:dyDescent="0.3">
      <c r="G631" s="1">
        <v>40634</v>
      </c>
      <c r="K631" s="1">
        <v>38078</v>
      </c>
      <c r="M631" t="e">
        <v>#N/A</v>
      </c>
      <c r="N631" s="1">
        <v>40634</v>
      </c>
    </row>
    <row r="632" spans="7:14" x14ac:dyDescent="0.3">
      <c r="G632" s="1">
        <v>40634</v>
      </c>
      <c r="K632" s="1">
        <v>38078</v>
      </c>
      <c r="M632" t="e">
        <v>#N/A</v>
      </c>
      <c r="N632" s="1">
        <v>40634</v>
      </c>
    </row>
    <row r="633" spans="7:14" x14ac:dyDescent="0.3">
      <c r="G633" s="1">
        <v>40634</v>
      </c>
      <c r="K633" s="1">
        <v>38078</v>
      </c>
      <c r="M633" t="e">
        <v>#N/A</v>
      </c>
      <c r="N633" s="1">
        <v>40634</v>
      </c>
    </row>
    <row r="634" spans="7:14" x14ac:dyDescent="0.3">
      <c r="G634" s="1">
        <v>40634</v>
      </c>
      <c r="K634" s="1">
        <v>38078</v>
      </c>
      <c r="M634" t="e">
        <v>#N/A</v>
      </c>
      <c r="N634" s="1">
        <v>40634</v>
      </c>
    </row>
    <row r="635" spans="7:14" x14ac:dyDescent="0.3">
      <c r="G635" s="1">
        <v>40634</v>
      </c>
      <c r="K635" s="1">
        <v>38078</v>
      </c>
      <c r="M635" t="e">
        <v>#N/A</v>
      </c>
      <c r="N635" s="1">
        <v>40634</v>
      </c>
    </row>
    <row r="636" spans="7:14" x14ac:dyDescent="0.3">
      <c r="G636" s="1">
        <v>40634</v>
      </c>
      <c r="K636" s="1">
        <v>38078</v>
      </c>
      <c r="M636" t="e">
        <v>#N/A</v>
      </c>
      <c r="N636" s="1">
        <v>40634</v>
      </c>
    </row>
    <row r="637" spans="7:14" x14ac:dyDescent="0.3">
      <c r="G637" s="1">
        <v>40725</v>
      </c>
      <c r="K637" s="1">
        <v>38078</v>
      </c>
      <c r="M637" t="e">
        <v>#N/A</v>
      </c>
      <c r="N637" s="1">
        <v>40725</v>
      </c>
    </row>
    <row r="638" spans="7:14" x14ac:dyDescent="0.3">
      <c r="G638" s="1">
        <v>40725</v>
      </c>
      <c r="K638" s="1">
        <v>38078</v>
      </c>
      <c r="M638" t="e">
        <v>#N/A</v>
      </c>
      <c r="N638" s="1">
        <v>40725</v>
      </c>
    </row>
    <row r="639" spans="7:14" x14ac:dyDescent="0.3">
      <c r="G639" s="1">
        <v>40725</v>
      </c>
      <c r="K639" s="1">
        <v>38078</v>
      </c>
      <c r="M639" t="e">
        <v>#N/A</v>
      </c>
      <c r="N639" s="1">
        <v>40725</v>
      </c>
    </row>
    <row r="640" spans="7:14" x14ac:dyDescent="0.3">
      <c r="G640" s="1">
        <v>40725</v>
      </c>
      <c r="K640" s="1">
        <v>38078</v>
      </c>
      <c r="M640" t="e">
        <v>#N/A</v>
      </c>
      <c r="N640" s="1">
        <v>40725</v>
      </c>
    </row>
    <row r="641" spans="7:14" x14ac:dyDescent="0.3">
      <c r="G641" s="1">
        <v>40725</v>
      </c>
      <c r="K641" s="1">
        <v>38078</v>
      </c>
      <c r="M641" t="e">
        <v>#N/A</v>
      </c>
      <c r="N641" s="1">
        <v>40725</v>
      </c>
    </row>
    <row r="642" spans="7:14" x14ac:dyDescent="0.3">
      <c r="G642" s="1">
        <v>40725</v>
      </c>
      <c r="K642" s="1">
        <v>38078</v>
      </c>
      <c r="M642" t="e">
        <v>#N/A</v>
      </c>
      <c r="N642" s="1">
        <v>40725</v>
      </c>
    </row>
    <row r="643" spans="7:14" x14ac:dyDescent="0.3">
      <c r="G643" s="1">
        <v>40725</v>
      </c>
      <c r="K643" s="1">
        <v>38078</v>
      </c>
      <c r="M643" t="e">
        <v>#N/A</v>
      </c>
      <c r="N643" s="1">
        <v>40725</v>
      </c>
    </row>
    <row r="644" spans="7:14" x14ac:dyDescent="0.3">
      <c r="G644" s="1">
        <v>40725</v>
      </c>
      <c r="K644" s="1">
        <v>38078</v>
      </c>
      <c r="M644" t="e">
        <v>#N/A</v>
      </c>
      <c r="N644" s="1">
        <v>40725</v>
      </c>
    </row>
    <row r="645" spans="7:14" x14ac:dyDescent="0.3">
      <c r="G645" s="1">
        <v>40725</v>
      </c>
      <c r="K645" s="1">
        <v>38078</v>
      </c>
      <c r="M645" t="e">
        <v>#N/A</v>
      </c>
      <c r="N645" s="1">
        <v>40725</v>
      </c>
    </row>
    <row r="646" spans="7:14" x14ac:dyDescent="0.3">
      <c r="G646" s="1">
        <v>40725</v>
      </c>
      <c r="K646" s="1">
        <v>38078</v>
      </c>
      <c r="M646" t="e">
        <v>#N/A</v>
      </c>
      <c r="N646" s="1">
        <v>40725</v>
      </c>
    </row>
    <row r="647" spans="7:14" x14ac:dyDescent="0.3">
      <c r="G647" s="1">
        <v>40725</v>
      </c>
      <c r="K647" s="1">
        <v>38078</v>
      </c>
      <c r="M647" t="e">
        <v>#N/A</v>
      </c>
      <c r="N647" s="1">
        <v>40725</v>
      </c>
    </row>
    <row r="648" spans="7:14" x14ac:dyDescent="0.3">
      <c r="G648" s="1">
        <v>40725</v>
      </c>
      <c r="K648" s="1">
        <v>38078</v>
      </c>
      <c r="M648" t="e">
        <v>#N/A</v>
      </c>
      <c r="N648" s="1">
        <v>40725</v>
      </c>
    </row>
    <row r="649" spans="7:14" x14ac:dyDescent="0.3">
      <c r="G649" s="1">
        <v>40725</v>
      </c>
      <c r="K649" s="1">
        <v>38078</v>
      </c>
      <c r="M649" t="e">
        <v>#N/A</v>
      </c>
      <c r="N649" s="1">
        <v>40725</v>
      </c>
    </row>
    <row r="650" spans="7:14" x14ac:dyDescent="0.3">
      <c r="G650" s="1">
        <v>40725</v>
      </c>
      <c r="K650" s="1">
        <v>38078</v>
      </c>
      <c r="M650" t="e">
        <v>#N/A</v>
      </c>
      <c r="N650" s="1">
        <v>40725</v>
      </c>
    </row>
    <row r="651" spans="7:14" x14ac:dyDescent="0.3">
      <c r="G651" s="1">
        <v>40725</v>
      </c>
      <c r="K651" s="1">
        <v>38078</v>
      </c>
      <c r="M651" t="e">
        <v>#N/A</v>
      </c>
      <c r="N651" s="1">
        <v>40725</v>
      </c>
    </row>
    <row r="652" spans="7:14" x14ac:dyDescent="0.3">
      <c r="G652" s="1">
        <v>40725</v>
      </c>
      <c r="K652" s="1">
        <v>38078</v>
      </c>
      <c r="M652" t="e">
        <v>#N/A</v>
      </c>
      <c r="N652" s="1">
        <v>40725</v>
      </c>
    </row>
    <row r="653" spans="7:14" x14ac:dyDescent="0.3">
      <c r="G653" s="1">
        <v>40725</v>
      </c>
      <c r="K653" s="1">
        <v>38078</v>
      </c>
      <c r="M653" t="e">
        <v>#N/A</v>
      </c>
      <c r="N653" s="1">
        <v>40725</v>
      </c>
    </row>
    <row r="654" spans="7:14" x14ac:dyDescent="0.3">
      <c r="G654" s="1">
        <v>40725</v>
      </c>
      <c r="K654" s="1">
        <v>38078</v>
      </c>
      <c r="M654" t="e">
        <v>#N/A</v>
      </c>
      <c r="N654" s="1">
        <v>40725</v>
      </c>
    </row>
    <row r="655" spans="7:14" x14ac:dyDescent="0.3">
      <c r="G655" s="1">
        <v>40725</v>
      </c>
      <c r="K655" s="1">
        <v>38078</v>
      </c>
      <c r="M655" t="e">
        <v>#N/A</v>
      </c>
      <c r="N655" s="1">
        <v>40725</v>
      </c>
    </row>
    <row r="656" spans="7:14" x14ac:dyDescent="0.3">
      <c r="G656" s="1">
        <v>40725</v>
      </c>
      <c r="K656" s="1">
        <v>38078</v>
      </c>
      <c r="M656" t="e">
        <v>#N/A</v>
      </c>
      <c r="N656" s="1">
        <v>40725</v>
      </c>
    </row>
    <row r="657" spans="7:14" x14ac:dyDescent="0.3">
      <c r="G657" s="1">
        <v>40725</v>
      </c>
      <c r="K657" s="1">
        <v>38078</v>
      </c>
      <c r="M657" t="e">
        <v>#N/A</v>
      </c>
      <c r="N657" s="1">
        <v>40725</v>
      </c>
    </row>
    <row r="658" spans="7:14" x14ac:dyDescent="0.3">
      <c r="G658" s="1">
        <v>40725</v>
      </c>
      <c r="K658" s="1">
        <v>38078</v>
      </c>
      <c r="M658" t="e">
        <v>#N/A</v>
      </c>
      <c r="N658" s="1">
        <v>40725</v>
      </c>
    </row>
    <row r="659" spans="7:14" x14ac:dyDescent="0.3">
      <c r="G659" s="1">
        <v>40725</v>
      </c>
      <c r="K659" s="1">
        <v>38078</v>
      </c>
      <c r="M659" t="e">
        <v>#N/A</v>
      </c>
      <c r="N659" s="1">
        <v>40725</v>
      </c>
    </row>
    <row r="660" spans="7:14" x14ac:dyDescent="0.3">
      <c r="G660" s="1">
        <v>40725</v>
      </c>
      <c r="K660" s="1">
        <v>38078</v>
      </c>
      <c r="M660" t="e">
        <v>#N/A</v>
      </c>
      <c r="N660" s="1">
        <v>40725</v>
      </c>
    </row>
    <row r="661" spans="7:14" x14ac:dyDescent="0.3">
      <c r="G661" s="1">
        <v>40725</v>
      </c>
      <c r="K661" s="1">
        <v>38078</v>
      </c>
      <c r="M661" t="e">
        <v>#N/A</v>
      </c>
      <c r="N661" s="1">
        <v>40725</v>
      </c>
    </row>
    <row r="662" spans="7:14" x14ac:dyDescent="0.3">
      <c r="G662" s="1">
        <v>40725</v>
      </c>
      <c r="K662" s="1">
        <v>38078</v>
      </c>
      <c r="M662" t="e">
        <v>#N/A</v>
      </c>
      <c r="N662" s="1">
        <v>40725</v>
      </c>
    </row>
    <row r="663" spans="7:14" x14ac:dyDescent="0.3">
      <c r="G663" s="1">
        <v>40725</v>
      </c>
      <c r="K663" s="1">
        <v>38078</v>
      </c>
      <c r="M663" t="e">
        <v>#N/A</v>
      </c>
      <c r="N663" s="1">
        <v>40725</v>
      </c>
    </row>
    <row r="664" spans="7:14" x14ac:dyDescent="0.3">
      <c r="G664" s="1">
        <v>40725</v>
      </c>
      <c r="K664" s="1">
        <v>38078</v>
      </c>
      <c r="M664" t="e">
        <v>#N/A</v>
      </c>
      <c r="N664" s="1">
        <v>40725</v>
      </c>
    </row>
    <row r="665" spans="7:14" x14ac:dyDescent="0.3">
      <c r="G665" s="1">
        <v>40725</v>
      </c>
      <c r="K665" s="1">
        <v>38078</v>
      </c>
      <c r="M665" t="e">
        <v>#N/A</v>
      </c>
      <c r="N665" s="1">
        <v>40725</v>
      </c>
    </row>
    <row r="666" spans="7:14" x14ac:dyDescent="0.3">
      <c r="G666" s="1">
        <v>40725</v>
      </c>
      <c r="K666" s="1">
        <v>38078</v>
      </c>
      <c r="M666" t="e">
        <v>#N/A</v>
      </c>
      <c r="N666" s="1">
        <v>40725</v>
      </c>
    </row>
    <row r="667" spans="7:14" x14ac:dyDescent="0.3">
      <c r="G667" s="1">
        <v>40725</v>
      </c>
      <c r="K667" s="1">
        <v>38078</v>
      </c>
      <c r="M667" t="e">
        <v>#N/A</v>
      </c>
      <c r="N667" s="1">
        <v>40725</v>
      </c>
    </row>
    <row r="668" spans="7:14" x14ac:dyDescent="0.3">
      <c r="G668" s="1">
        <v>40725</v>
      </c>
      <c r="K668" s="1">
        <v>38078</v>
      </c>
      <c r="M668" t="e">
        <v>#N/A</v>
      </c>
      <c r="N668" s="1">
        <v>40725</v>
      </c>
    </row>
    <row r="669" spans="7:14" x14ac:dyDescent="0.3">
      <c r="G669" s="1">
        <v>40725</v>
      </c>
      <c r="K669" s="1">
        <v>38078</v>
      </c>
      <c r="M669" t="e">
        <v>#N/A</v>
      </c>
      <c r="N669" s="1">
        <v>40725</v>
      </c>
    </row>
    <row r="670" spans="7:14" x14ac:dyDescent="0.3">
      <c r="G670" s="1">
        <v>40817</v>
      </c>
      <c r="K670" s="1">
        <v>38078</v>
      </c>
      <c r="M670" t="e">
        <v>#N/A</v>
      </c>
      <c r="N670" s="1">
        <v>40817</v>
      </c>
    </row>
    <row r="671" spans="7:14" x14ac:dyDescent="0.3">
      <c r="G671" s="1">
        <v>40817</v>
      </c>
      <c r="K671" s="1">
        <v>38078</v>
      </c>
      <c r="M671" t="e">
        <v>#N/A</v>
      </c>
      <c r="N671" s="1">
        <v>40817</v>
      </c>
    </row>
    <row r="672" spans="7:14" x14ac:dyDescent="0.3">
      <c r="G672" s="1">
        <v>40817</v>
      </c>
      <c r="K672" s="1">
        <v>38078</v>
      </c>
      <c r="M672" t="e">
        <v>#N/A</v>
      </c>
      <c r="N672" s="1">
        <v>40817</v>
      </c>
    </row>
    <row r="673" spans="7:14" x14ac:dyDescent="0.3">
      <c r="G673" s="1">
        <v>40817</v>
      </c>
      <c r="K673" s="1">
        <v>38078</v>
      </c>
      <c r="M673" t="e">
        <v>#N/A</v>
      </c>
      <c r="N673" s="1">
        <v>40817</v>
      </c>
    </row>
    <row r="674" spans="7:14" x14ac:dyDescent="0.3">
      <c r="G674" s="1">
        <v>40817</v>
      </c>
      <c r="K674" s="1">
        <v>38078</v>
      </c>
      <c r="M674" t="e">
        <v>#N/A</v>
      </c>
      <c r="N674" s="1">
        <v>40817</v>
      </c>
    </row>
    <row r="675" spans="7:14" x14ac:dyDescent="0.3">
      <c r="G675" s="1">
        <v>40817</v>
      </c>
      <c r="K675" s="1">
        <v>38078</v>
      </c>
      <c r="M675" t="e">
        <v>#N/A</v>
      </c>
      <c r="N675" s="1">
        <v>40817</v>
      </c>
    </row>
    <row r="676" spans="7:14" x14ac:dyDescent="0.3">
      <c r="G676" s="1">
        <v>40817</v>
      </c>
      <c r="K676" s="1">
        <v>38078</v>
      </c>
      <c r="M676" t="e">
        <v>#N/A</v>
      </c>
      <c r="N676" s="1">
        <v>40817</v>
      </c>
    </row>
    <row r="677" spans="7:14" x14ac:dyDescent="0.3">
      <c r="G677" s="1">
        <v>40817</v>
      </c>
      <c r="K677" s="1">
        <v>38078</v>
      </c>
      <c r="M677" t="e">
        <v>#N/A</v>
      </c>
      <c r="N677" s="1">
        <v>40817</v>
      </c>
    </row>
    <row r="678" spans="7:14" x14ac:dyDescent="0.3">
      <c r="G678" s="1">
        <v>40817</v>
      </c>
      <c r="K678" s="1">
        <v>38078</v>
      </c>
      <c r="M678" t="e">
        <v>#N/A</v>
      </c>
      <c r="N678" s="1">
        <v>40817</v>
      </c>
    </row>
    <row r="679" spans="7:14" x14ac:dyDescent="0.3">
      <c r="G679" s="1">
        <v>40817</v>
      </c>
      <c r="K679" s="1">
        <v>38078</v>
      </c>
      <c r="M679" t="e">
        <v>#N/A</v>
      </c>
      <c r="N679" s="1">
        <v>40817</v>
      </c>
    </row>
    <row r="680" spans="7:14" x14ac:dyDescent="0.3">
      <c r="G680" s="1">
        <v>40817</v>
      </c>
      <c r="K680" s="1">
        <v>38078</v>
      </c>
      <c r="M680" t="e">
        <v>#N/A</v>
      </c>
      <c r="N680" s="1">
        <v>40817</v>
      </c>
    </row>
    <row r="681" spans="7:14" x14ac:dyDescent="0.3">
      <c r="G681" s="1">
        <v>40817</v>
      </c>
      <c r="K681" s="1">
        <v>38078</v>
      </c>
      <c r="M681" t="e">
        <v>#N/A</v>
      </c>
      <c r="N681" s="1">
        <v>40817</v>
      </c>
    </row>
    <row r="682" spans="7:14" x14ac:dyDescent="0.3">
      <c r="G682" s="1">
        <v>40817</v>
      </c>
      <c r="K682" s="1">
        <v>38078</v>
      </c>
      <c r="M682" t="e">
        <v>#N/A</v>
      </c>
      <c r="N682" s="1">
        <v>40817</v>
      </c>
    </row>
    <row r="683" spans="7:14" x14ac:dyDescent="0.3">
      <c r="G683" s="1">
        <v>40817</v>
      </c>
      <c r="K683" s="1">
        <v>38078</v>
      </c>
      <c r="M683" t="e">
        <v>#N/A</v>
      </c>
      <c r="N683" s="1">
        <v>40817</v>
      </c>
    </row>
    <row r="684" spans="7:14" x14ac:dyDescent="0.3">
      <c r="G684" s="1">
        <v>40817</v>
      </c>
      <c r="K684" s="1">
        <v>38078</v>
      </c>
      <c r="M684" t="e">
        <v>#N/A</v>
      </c>
      <c r="N684" s="1">
        <v>40817</v>
      </c>
    </row>
    <row r="685" spans="7:14" x14ac:dyDescent="0.3">
      <c r="G685" s="1">
        <v>40817</v>
      </c>
      <c r="K685" s="1">
        <v>38078</v>
      </c>
      <c r="M685" t="e">
        <v>#N/A</v>
      </c>
      <c r="N685" s="1">
        <v>40817</v>
      </c>
    </row>
    <row r="686" spans="7:14" x14ac:dyDescent="0.3">
      <c r="G686" s="1">
        <v>40817</v>
      </c>
      <c r="K686" s="1">
        <v>38078</v>
      </c>
      <c r="M686" t="e">
        <v>#N/A</v>
      </c>
      <c r="N686" s="1">
        <v>40817</v>
      </c>
    </row>
    <row r="687" spans="7:14" x14ac:dyDescent="0.3">
      <c r="G687" s="1">
        <v>40817</v>
      </c>
      <c r="K687" s="1">
        <v>38078</v>
      </c>
      <c r="M687" t="e">
        <v>#N/A</v>
      </c>
      <c r="N687" s="1">
        <v>40817</v>
      </c>
    </row>
    <row r="688" spans="7:14" x14ac:dyDescent="0.3">
      <c r="G688" s="1">
        <v>40817</v>
      </c>
      <c r="K688" s="1">
        <v>38078</v>
      </c>
      <c r="M688" t="e">
        <v>#N/A</v>
      </c>
      <c r="N688" s="1">
        <v>40817</v>
      </c>
    </row>
    <row r="689" spans="7:14" x14ac:dyDescent="0.3">
      <c r="G689" s="1">
        <v>40817</v>
      </c>
      <c r="K689" s="1">
        <v>38078</v>
      </c>
      <c r="M689" t="e">
        <v>#N/A</v>
      </c>
      <c r="N689" s="1">
        <v>40817</v>
      </c>
    </row>
    <row r="690" spans="7:14" x14ac:dyDescent="0.3">
      <c r="G690" s="1">
        <v>40817</v>
      </c>
      <c r="K690" s="1">
        <v>38078</v>
      </c>
      <c r="M690" t="e">
        <v>#N/A</v>
      </c>
      <c r="N690" s="1">
        <v>40817</v>
      </c>
    </row>
    <row r="691" spans="7:14" x14ac:dyDescent="0.3">
      <c r="G691" s="1">
        <v>40817</v>
      </c>
      <c r="K691" s="1">
        <v>38078</v>
      </c>
      <c r="M691" t="e">
        <v>#N/A</v>
      </c>
      <c r="N691" s="1">
        <v>40817</v>
      </c>
    </row>
    <row r="692" spans="7:14" x14ac:dyDescent="0.3">
      <c r="G692" s="1">
        <v>40817</v>
      </c>
      <c r="K692" s="1">
        <v>38078</v>
      </c>
      <c r="M692" t="e">
        <v>#N/A</v>
      </c>
      <c r="N692" s="1">
        <v>40817</v>
      </c>
    </row>
    <row r="693" spans="7:14" x14ac:dyDescent="0.3">
      <c r="G693" s="1">
        <v>40817</v>
      </c>
      <c r="K693" s="1">
        <v>38078</v>
      </c>
      <c r="M693" t="e">
        <v>#N/A</v>
      </c>
      <c r="N693" s="1">
        <v>40817</v>
      </c>
    </row>
    <row r="694" spans="7:14" x14ac:dyDescent="0.3">
      <c r="G694" s="1">
        <v>40817</v>
      </c>
      <c r="K694" s="1">
        <v>38078</v>
      </c>
      <c r="M694" t="e">
        <v>#N/A</v>
      </c>
      <c r="N694" s="1">
        <v>40817</v>
      </c>
    </row>
    <row r="695" spans="7:14" x14ac:dyDescent="0.3">
      <c r="G695" s="1">
        <v>40817</v>
      </c>
      <c r="K695" s="1">
        <v>38078</v>
      </c>
      <c r="M695" t="e">
        <v>#N/A</v>
      </c>
      <c r="N695" s="1">
        <v>40817</v>
      </c>
    </row>
    <row r="696" spans="7:14" x14ac:dyDescent="0.3">
      <c r="G696" s="1">
        <v>40817</v>
      </c>
      <c r="K696" s="1">
        <v>38078</v>
      </c>
      <c r="M696" t="e">
        <v>#N/A</v>
      </c>
      <c r="N696" s="1">
        <v>40817</v>
      </c>
    </row>
    <row r="697" spans="7:14" x14ac:dyDescent="0.3">
      <c r="G697" s="1">
        <v>40817</v>
      </c>
      <c r="K697" s="1">
        <v>38078</v>
      </c>
      <c r="M697" t="e">
        <v>#N/A</v>
      </c>
      <c r="N697" s="1">
        <v>40817</v>
      </c>
    </row>
    <row r="698" spans="7:14" x14ac:dyDescent="0.3">
      <c r="G698" s="1">
        <v>40817</v>
      </c>
      <c r="K698" s="1">
        <v>38078</v>
      </c>
      <c r="M698" t="e">
        <v>#N/A</v>
      </c>
      <c r="N698" s="1">
        <v>40817</v>
      </c>
    </row>
    <row r="699" spans="7:14" x14ac:dyDescent="0.3">
      <c r="G699" s="1">
        <v>40817</v>
      </c>
      <c r="K699" s="1">
        <v>38078</v>
      </c>
      <c r="M699" t="e">
        <v>#N/A</v>
      </c>
      <c r="N699" s="1">
        <v>40817</v>
      </c>
    </row>
    <row r="700" spans="7:14" x14ac:dyDescent="0.3">
      <c r="G700" s="1">
        <v>40817</v>
      </c>
      <c r="K700" s="1">
        <v>38078</v>
      </c>
      <c r="M700" t="e">
        <v>#N/A</v>
      </c>
      <c r="N700" s="1">
        <v>40817</v>
      </c>
    </row>
    <row r="701" spans="7:14" x14ac:dyDescent="0.3">
      <c r="G701" s="1">
        <v>40817</v>
      </c>
      <c r="K701" s="1">
        <v>38078</v>
      </c>
      <c r="M701" t="e">
        <v>#N/A</v>
      </c>
      <c r="N701" s="1">
        <v>40817</v>
      </c>
    </row>
    <row r="702" spans="7:14" x14ac:dyDescent="0.3">
      <c r="G702" s="1">
        <v>40909</v>
      </c>
      <c r="K702" s="1">
        <v>38078</v>
      </c>
      <c r="M702" t="e">
        <v>#N/A</v>
      </c>
      <c r="N702" s="1">
        <v>40909</v>
      </c>
    </row>
    <row r="703" spans="7:14" x14ac:dyDescent="0.3">
      <c r="G703" s="1">
        <v>40909</v>
      </c>
      <c r="K703" s="1">
        <v>38078</v>
      </c>
      <c r="M703" t="e">
        <v>#N/A</v>
      </c>
      <c r="N703" s="1">
        <v>40909</v>
      </c>
    </row>
    <row r="704" spans="7:14" x14ac:dyDescent="0.3">
      <c r="G704" s="1">
        <v>40909</v>
      </c>
      <c r="K704" s="1">
        <v>38078</v>
      </c>
      <c r="M704" t="e">
        <v>#N/A</v>
      </c>
      <c r="N704" s="1">
        <v>40909</v>
      </c>
    </row>
    <row r="705" spans="7:14" x14ac:dyDescent="0.3">
      <c r="G705" s="1">
        <v>40909</v>
      </c>
      <c r="K705" s="1">
        <v>38078</v>
      </c>
      <c r="M705" t="e">
        <v>#N/A</v>
      </c>
      <c r="N705" s="1">
        <v>40909</v>
      </c>
    </row>
    <row r="706" spans="7:14" x14ac:dyDescent="0.3">
      <c r="G706" s="1">
        <v>40909</v>
      </c>
      <c r="K706" s="1">
        <v>38078</v>
      </c>
      <c r="M706" t="e">
        <v>#N/A</v>
      </c>
      <c r="N706" s="1">
        <v>40909</v>
      </c>
    </row>
    <row r="707" spans="7:14" x14ac:dyDescent="0.3">
      <c r="G707" s="1">
        <v>40909</v>
      </c>
      <c r="K707" s="1">
        <v>38078</v>
      </c>
      <c r="M707" t="e">
        <v>#N/A</v>
      </c>
      <c r="N707" s="1">
        <v>40909</v>
      </c>
    </row>
    <row r="708" spans="7:14" x14ac:dyDescent="0.3">
      <c r="G708" s="1">
        <v>40909</v>
      </c>
      <c r="K708" s="1">
        <v>38078</v>
      </c>
      <c r="M708" t="e">
        <v>#N/A</v>
      </c>
      <c r="N708" s="1">
        <v>40909</v>
      </c>
    </row>
    <row r="709" spans="7:14" x14ac:dyDescent="0.3">
      <c r="G709" s="1">
        <v>40909</v>
      </c>
      <c r="K709" s="1">
        <v>38078</v>
      </c>
      <c r="M709" t="e">
        <v>#N/A</v>
      </c>
      <c r="N709" s="1">
        <v>40909</v>
      </c>
    </row>
    <row r="710" spans="7:14" x14ac:dyDescent="0.3">
      <c r="G710" s="1">
        <v>40909</v>
      </c>
      <c r="K710" s="1">
        <v>38078</v>
      </c>
      <c r="M710" t="e">
        <v>#N/A</v>
      </c>
      <c r="N710" s="1">
        <v>40909</v>
      </c>
    </row>
    <row r="711" spans="7:14" x14ac:dyDescent="0.3">
      <c r="G711" s="1">
        <v>40909</v>
      </c>
      <c r="K711" s="1">
        <v>38078</v>
      </c>
      <c r="M711" t="e">
        <v>#N/A</v>
      </c>
      <c r="N711" s="1">
        <v>40909</v>
      </c>
    </row>
    <row r="712" spans="7:14" x14ac:dyDescent="0.3">
      <c r="G712" s="1">
        <v>40909</v>
      </c>
      <c r="K712" s="1">
        <v>38078</v>
      </c>
      <c r="M712" t="e">
        <v>#N/A</v>
      </c>
      <c r="N712" s="1">
        <v>40909</v>
      </c>
    </row>
    <row r="713" spans="7:14" x14ac:dyDescent="0.3">
      <c r="G713" s="1">
        <v>40909</v>
      </c>
      <c r="K713" s="1">
        <v>38078</v>
      </c>
      <c r="M713" t="e">
        <v>#N/A</v>
      </c>
      <c r="N713" s="1">
        <v>40909</v>
      </c>
    </row>
    <row r="714" spans="7:14" x14ac:dyDescent="0.3">
      <c r="G714" s="1">
        <v>40909</v>
      </c>
      <c r="K714" s="1">
        <v>38078</v>
      </c>
      <c r="M714" t="e">
        <v>#N/A</v>
      </c>
      <c r="N714" s="1">
        <v>40909</v>
      </c>
    </row>
    <row r="715" spans="7:14" x14ac:dyDescent="0.3">
      <c r="G715" s="1">
        <v>40909</v>
      </c>
      <c r="K715" s="1">
        <v>38078</v>
      </c>
      <c r="M715" t="e">
        <v>#N/A</v>
      </c>
      <c r="N715" s="1">
        <v>40909</v>
      </c>
    </row>
    <row r="716" spans="7:14" x14ac:dyDescent="0.3">
      <c r="G716" s="1">
        <v>40909</v>
      </c>
      <c r="K716" s="1">
        <v>38078</v>
      </c>
      <c r="M716" t="e">
        <v>#N/A</v>
      </c>
      <c r="N716" s="1">
        <v>40909</v>
      </c>
    </row>
    <row r="717" spans="7:14" x14ac:dyDescent="0.3">
      <c r="G717" s="1">
        <v>40909</v>
      </c>
      <c r="K717" s="1">
        <v>38078</v>
      </c>
      <c r="M717" t="e">
        <v>#N/A</v>
      </c>
      <c r="N717" s="1">
        <v>40909</v>
      </c>
    </row>
    <row r="718" spans="7:14" x14ac:dyDescent="0.3">
      <c r="G718" s="1">
        <v>40909</v>
      </c>
      <c r="K718" s="1">
        <v>38078</v>
      </c>
      <c r="M718" t="e">
        <v>#N/A</v>
      </c>
      <c r="N718" s="1">
        <v>40909</v>
      </c>
    </row>
    <row r="719" spans="7:14" x14ac:dyDescent="0.3">
      <c r="G719" s="1">
        <v>40909</v>
      </c>
      <c r="K719" s="1">
        <v>38078</v>
      </c>
      <c r="M719" t="e">
        <v>#N/A</v>
      </c>
      <c r="N719" s="1">
        <v>40909</v>
      </c>
    </row>
    <row r="720" spans="7:14" x14ac:dyDescent="0.3">
      <c r="G720" s="1">
        <v>40909</v>
      </c>
      <c r="K720" s="1">
        <v>38078</v>
      </c>
      <c r="M720" t="e">
        <v>#N/A</v>
      </c>
      <c r="N720" s="1">
        <v>40909</v>
      </c>
    </row>
    <row r="721" spans="7:14" x14ac:dyDescent="0.3">
      <c r="G721" s="1">
        <v>40909</v>
      </c>
      <c r="K721" s="1">
        <v>38078</v>
      </c>
      <c r="M721" t="e">
        <v>#N/A</v>
      </c>
      <c r="N721" s="1">
        <v>40909</v>
      </c>
    </row>
    <row r="722" spans="7:14" x14ac:dyDescent="0.3">
      <c r="G722" s="1">
        <v>40909</v>
      </c>
      <c r="K722" s="1">
        <v>38078</v>
      </c>
      <c r="M722" t="e">
        <v>#N/A</v>
      </c>
      <c r="N722" s="1">
        <v>40909</v>
      </c>
    </row>
    <row r="723" spans="7:14" x14ac:dyDescent="0.3">
      <c r="G723" s="1">
        <v>40909</v>
      </c>
      <c r="K723" s="1">
        <v>38078</v>
      </c>
      <c r="M723" t="e">
        <v>#N/A</v>
      </c>
      <c r="N723" s="1">
        <v>40909</v>
      </c>
    </row>
    <row r="724" spans="7:14" x14ac:dyDescent="0.3">
      <c r="G724" s="1">
        <v>40909</v>
      </c>
      <c r="K724" s="1">
        <v>38078</v>
      </c>
      <c r="M724" t="e">
        <v>#N/A</v>
      </c>
      <c r="N724" s="1">
        <v>40909</v>
      </c>
    </row>
    <row r="725" spans="7:14" x14ac:dyDescent="0.3">
      <c r="G725" s="1">
        <v>40909</v>
      </c>
      <c r="K725" s="1">
        <v>38078</v>
      </c>
      <c r="M725" t="e">
        <v>#N/A</v>
      </c>
      <c r="N725" s="1">
        <v>40909</v>
      </c>
    </row>
    <row r="726" spans="7:14" x14ac:dyDescent="0.3">
      <c r="G726" s="1">
        <v>40909</v>
      </c>
      <c r="K726" s="1">
        <v>38078</v>
      </c>
      <c r="M726" t="e">
        <v>#N/A</v>
      </c>
      <c r="N726" s="1">
        <v>40909</v>
      </c>
    </row>
    <row r="727" spans="7:14" x14ac:dyDescent="0.3">
      <c r="G727" s="1">
        <v>40909</v>
      </c>
      <c r="K727" s="1">
        <v>38078</v>
      </c>
      <c r="M727" t="e">
        <v>#N/A</v>
      </c>
      <c r="N727" s="1">
        <v>40909</v>
      </c>
    </row>
    <row r="728" spans="7:14" x14ac:dyDescent="0.3">
      <c r="G728" s="1">
        <v>40909</v>
      </c>
      <c r="K728" s="1">
        <v>38078</v>
      </c>
      <c r="M728" t="e">
        <v>#N/A</v>
      </c>
      <c r="N728" s="1">
        <v>40909</v>
      </c>
    </row>
    <row r="729" spans="7:14" x14ac:dyDescent="0.3">
      <c r="G729" s="1">
        <v>40909</v>
      </c>
      <c r="K729" s="1">
        <v>38078</v>
      </c>
      <c r="M729" t="e">
        <v>#N/A</v>
      </c>
      <c r="N729" s="1">
        <v>40909</v>
      </c>
    </row>
    <row r="730" spans="7:14" x14ac:dyDescent="0.3">
      <c r="G730" s="1">
        <v>40909</v>
      </c>
      <c r="K730" s="1">
        <v>38078</v>
      </c>
      <c r="M730" t="e">
        <v>#N/A</v>
      </c>
      <c r="N730" s="1">
        <v>40909</v>
      </c>
    </row>
    <row r="731" spans="7:14" x14ac:dyDescent="0.3">
      <c r="G731" s="1">
        <v>40909</v>
      </c>
      <c r="K731" s="1">
        <v>38078</v>
      </c>
      <c r="M731" t="e">
        <v>#N/A</v>
      </c>
      <c r="N731" s="1">
        <v>40909</v>
      </c>
    </row>
    <row r="732" spans="7:14" x14ac:dyDescent="0.3">
      <c r="G732" s="1">
        <v>40909</v>
      </c>
      <c r="K732" s="1">
        <v>38078</v>
      </c>
      <c r="M732" t="e">
        <v>#N/A</v>
      </c>
      <c r="N732" s="1">
        <v>40909</v>
      </c>
    </row>
    <row r="733" spans="7:14" x14ac:dyDescent="0.3">
      <c r="G733" s="1">
        <v>40909</v>
      </c>
      <c r="K733" s="1">
        <v>38078</v>
      </c>
      <c r="M733" t="e">
        <v>#N/A</v>
      </c>
      <c r="N733" s="1">
        <v>40909</v>
      </c>
    </row>
    <row r="734" spans="7:14" x14ac:dyDescent="0.3">
      <c r="G734" s="1">
        <v>40909</v>
      </c>
      <c r="K734" s="1">
        <v>38078</v>
      </c>
      <c r="M734" t="e">
        <v>#N/A</v>
      </c>
      <c r="N734" s="1">
        <v>40909</v>
      </c>
    </row>
    <row r="735" spans="7:14" x14ac:dyDescent="0.3">
      <c r="G735" s="1">
        <v>41000</v>
      </c>
      <c r="K735" s="1">
        <v>38078</v>
      </c>
      <c r="M735" t="e">
        <v>#N/A</v>
      </c>
      <c r="N735" s="1">
        <v>41000</v>
      </c>
    </row>
    <row r="736" spans="7:14" x14ac:dyDescent="0.3">
      <c r="G736" s="1">
        <v>41000</v>
      </c>
      <c r="K736" s="1">
        <v>38078</v>
      </c>
      <c r="M736" t="e">
        <v>#N/A</v>
      </c>
      <c r="N736" s="1">
        <v>41000</v>
      </c>
    </row>
    <row r="737" spans="7:14" x14ac:dyDescent="0.3">
      <c r="G737" s="1">
        <v>41000</v>
      </c>
      <c r="K737" s="1">
        <v>38078</v>
      </c>
      <c r="M737" t="e">
        <v>#N/A</v>
      </c>
      <c r="N737" s="1">
        <v>41000</v>
      </c>
    </row>
    <row r="738" spans="7:14" x14ac:dyDescent="0.3">
      <c r="G738" s="1">
        <v>41000</v>
      </c>
      <c r="K738" s="1">
        <v>38078</v>
      </c>
      <c r="M738" t="e">
        <v>#N/A</v>
      </c>
      <c r="N738" s="1">
        <v>41000</v>
      </c>
    </row>
    <row r="739" spans="7:14" x14ac:dyDescent="0.3">
      <c r="G739" s="1">
        <v>41000</v>
      </c>
      <c r="K739" s="1">
        <v>38078</v>
      </c>
      <c r="M739" t="e">
        <v>#N/A</v>
      </c>
      <c r="N739" s="1">
        <v>41000</v>
      </c>
    </row>
    <row r="740" spans="7:14" x14ac:dyDescent="0.3">
      <c r="G740" s="1">
        <v>41000</v>
      </c>
      <c r="K740" s="1">
        <v>38078</v>
      </c>
      <c r="M740" t="e">
        <v>#N/A</v>
      </c>
      <c r="N740" s="1">
        <v>41000</v>
      </c>
    </row>
    <row r="741" spans="7:14" x14ac:dyDescent="0.3">
      <c r="G741" s="1">
        <v>41000</v>
      </c>
      <c r="K741" s="1">
        <v>38078</v>
      </c>
      <c r="M741" t="e">
        <v>#N/A</v>
      </c>
      <c r="N741" s="1">
        <v>41000</v>
      </c>
    </row>
    <row r="742" spans="7:14" x14ac:dyDescent="0.3">
      <c r="G742" s="1">
        <v>41000</v>
      </c>
      <c r="K742" s="1">
        <v>38078</v>
      </c>
      <c r="M742" t="e">
        <v>#N/A</v>
      </c>
      <c r="N742" s="1">
        <v>41000</v>
      </c>
    </row>
    <row r="743" spans="7:14" x14ac:dyDescent="0.3">
      <c r="G743" s="1">
        <v>41000</v>
      </c>
      <c r="K743" s="1">
        <v>38078</v>
      </c>
      <c r="M743" t="e">
        <v>#N/A</v>
      </c>
      <c r="N743" s="1">
        <v>41000</v>
      </c>
    </row>
    <row r="744" spans="7:14" x14ac:dyDescent="0.3">
      <c r="G744" s="1">
        <v>41000</v>
      </c>
      <c r="K744" s="1">
        <v>38078</v>
      </c>
      <c r="M744" t="e">
        <v>#N/A</v>
      </c>
      <c r="N744" s="1">
        <v>41000</v>
      </c>
    </row>
    <row r="745" spans="7:14" x14ac:dyDescent="0.3">
      <c r="G745" s="1">
        <v>41000</v>
      </c>
      <c r="K745" s="1">
        <v>38078</v>
      </c>
      <c r="M745" t="e">
        <v>#N/A</v>
      </c>
      <c r="N745" s="1">
        <v>41000</v>
      </c>
    </row>
    <row r="746" spans="7:14" x14ac:dyDescent="0.3">
      <c r="G746" s="1">
        <v>41000</v>
      </c>
      <c r="K746" s="1">
        <v>38078</v>
      </c>
      <c r="M746" t="e">
        <v>#N/A</v>
      </c>
      <c r="N746" s="1">
        <v>41000</v>
      </c>
    </row>
    <row r="747" spans="7:14" x14ac:dyDescent="0.3">
      <c r="G747" s="1">
        <v>41000</v>
      </c>
      <c r="K747" s="1">
        <v>38078</v>
      </c>
      <c r="M747" t="e">
        <v>#N/A</v>
      </c>
      <c r="N747" s="1">
        <v>41000</v>
      </c>
    </row>
    <row r="748" spans="7:14" x14ac:dyDescent="0.3">
      <c r="G748" s="1">
        <v>41000</v>
      </c>
      <c r="K748" s="1">
        <v>38078</v>
      </c>
      <c r="M748" t="e">
        <v>#N/A</v>
      </c>
      <c r="N748" s="1">
        <v>41000</v>
      </c>
    </row>
    <row r="749" spans="7:14" x14ac:dyDescent="0.3">
      <c r="G749" s="1">
        <v>41000</v>
      </c>
      <c r="K749" s="1">
        <v>38078</v>
      </c>
      <c r="M749" t="e">
        <v>#N/A</v>
      </c>
      <c r="N749" s="1">
        <v>41000</v>
      </c>
    </row>
    <row r="750" spans="7:14" x14ac:dyDescent="0.3">
      <c r="G750" s="1">
        <v>41000</v>
      </c>
      <c r="K750" s="1">
        <v>38078</v>
      </c>
      <c r="M750" t="e">
        <v>#N/A</v>
      </c>
      <c r="N750" s="1">
        <v>41000</v>
      </c>
    </row>
    <row r="751" spans="7:14" x14ac:dyDescent="0.3">
      <c r="G751" s="1">
        <v>41000</v>
      </c>
      <c r="K751" s="1">
        <v>38078</v>
      </c>
      <c r="M751" t="e">
        <v>#N/A</v>
      </c>
      <c r="N751" s="1">
        <v>41000</v>
      </c>
    </row>
    <row r="752" spans="7:14" x14ac:dyDescent="0.3">
      <c r="G752" s="1">
        <v>41000</v>
      </c>
      <c r="K752" s="1">
        <v>38078</v>
      </c>
      <c r="M752" t="e">
        <v>#N/A</v>
      </c>
      <c r="N752" s="1">
        <v>41000</v>
      </c>
    </row>
    <row r="753" spans="7:14" x14ac:dyDescent="0.3">
      <c r="G753" s="1">
        <v>41000</v>
      </c>
      <c r="K753" s="1">
        <v>38078</v>
      </c>
      <c r="M753" t="e">
        <v>#N/A</v>
      </c>
      <c r="N753" s="1">
        <v>41000</v>
      </c>
    </row>
    <row r="754" spans="7:14" x14ac:dyDescent="0.3">
      <c r="G754" s="1">
        <v>41000</v>
      </c>
      <c r="K754" s="1">
        <v>38078</v>
      </c>
      <c r="M754" t="e">
        <v>#N/A</v>
      </c>
      <c r="N754" s="1">
        <v>41000</v>
      </c>
    </row>
    <row r="755" spans="7:14" x14ac:dyDescent="0.3">
      <c r="G755" s="1">
        <v>41000</v>
      </c>
      <c r="K755" s="1">
        <v>38078</v>
      </c>
      <c r="M755" t="e">
        <v>#N/A</v>
      </c>
      <c r="N755" s="1">
        <v>41000</v>
      </c>
    </row>
    <row r="756" spans="7:14" x14ac:dyDescent="0.3">
      <c r="G756" s="1">
        <v>41000</v>
      </c>
      <c r="K756" s="1">
        <v>38078</v>
      </c>
      <c r="M756" t="e">
        <v>#N/A</v>
      </c>
      <c r="N756" s="1">
        <v>41000</v>
      </c>
    </row>
    <row r="757" spans="7:14" x14ac:dyDescent="0.3">
      <c r="G757" s="1">
        <v>41000</v>
      </c>
      <c r="K757" s="1">
        <v>38078</v>
      </c>
      <c r="M757" t="e">
        <v>#N/A</v>
      </c>
      <c r="N757" s="1">
        <v>41000</v>
      </c>
    </row>
    <row r="758" spans="7:14" x14ac:dyDescent="0.3">
      <c r="G758" s="1">
        <v>41000</v>
      </c>
      <c r="K758" s="1">
        <v>38078</v>
      </c>
      <c r="M758" t="e">
        <v>#N/A</v>
      </c>
      <c r="N758" s="1">
        <v>41000</v>
      </c>
    </row>
    <row r="759" spans="7:14" x14ac:dyDescent="0.3">
      <c r="G759" s="1">
        <v>41000</v>
      </c>
      <c r="K759" s="1">
        <v>38078</v>
      </c>
      <c r="M759" t="e">
        <v>#N/A</v>
      </c>
      <c r="N759" s="1">
        <v>41000</v>
      </c>
    </row>
    <row r="760" spans="7:14" x14ac:dyDescent="0.3">
      <c r="G760" s="1">
        <v>41000</v>
      </c>
      <c r="K760" s="1">
        <v>38078</v>
      </c>
      <c r="M760" t="e">
        <v>#N/A</v>
      </c>
      <c r="N760" s="1">
        <v>41000</v>
      </c>
    </row>
    <row r="761" spans="7:14" x14ac:dyDescent="0.3">
      <c r="G761" s="1">
        <v>41000</v>
      </c>
      <c r="K761" s="1">
        <v>38078</v>
      </c>
      <c r="M761" t="e">
        <v>#N/A</v>
      </c>
      <c r="N761" s="1">
        <v>41000</v>
      </c>
    </row>
    <row r="762" spans="7:14" x14ac:dyDescent="0.3">
      <c r="G762" s="1">
        <v>41000</v>
      </c>
      <c r="K762" s="1">
        <v>38078</v>
      </c>
      <c r="M762" t="e">
        <v>#N/A</v>
      </c>
      <c r="N762" s="1">
        <v>41000</v>
      </c>
    </row>
    <row r="763" spans="7:14" x14ac:dyDescent="0.3">
      <c r="G763" s="1">
        <v>41000</v>
      </c>
      <c r="K763" s="1">
        <v>38078</v>
      </c>
      <c r="M763" t="e">
        <v>#N/A</v>
      </c>
      <c r="N763" s="1">
        <v>41000</v>
      </c>
    </row>
    <row r="764" spans="7:14" x14ac:dyDescent="0.3">
      <c r="G764" s="1">
        <v>41000</v>
      </c>
      <c r="K764" s="1">
        <v>38078</v>
      </c>
      <c r="M764" t="e">
        <v>#N/A</v>
      </c>
      <c r="N764" s="1">
        <v>41000</v>
      </c>
    </row>
    <row r="765" spans="7:14" x14ac:dyDescent="0.3">
      <c r="G765" s="1">
        <v>41000</v>
      </c>
      <c r="K765" s="1">
        <v>38078</v>
      </c>
      <c r="M765" t="e">
        <v>#N/A</v>
      </c>
      <c r="N765" s="1">
        <v>41000</v>
      </c>
    </row>
    <row r="766" spans="7:14" x14ac:dyDescent="0.3">
      <c r="G766" s="1">
        <v>41000</v>
      </c>
      <c r="K766" s="1">
        <v>38078</v>
      </c>
      <c r="M766" t="e">
        <v>#N/A</v>
      </c>
      <c r="N766" s="1">
        <v>41000</v>
      </c>
    </row>
    <row r="767" spans="7:14" x14ac:dyDescent="0.3">
      <c r="G767" s="1">
        <v>41091</v>
      </c>
      <c r="K767" s="1">
        <v>38078</v>
      </c>
      <c r="M767" t="e">
        <v>#N/A</v>
      </c>
      <c r="N767" s="1">
        <v>41091</v>
      </c>
    </row>
    <row r="768" spans="7:14" x14ac:dyDescent="0.3">
      <c r="G768" s="1">
        <v>41091</v>
      </c>
      <c r="K768" s="1">
        <v>38078</v>
      </c>
      <c r="M768" t="e">
        <v>#N/A</v>
      </c>
      <c r="N768" s="1">
        <v>41091</v>
      </c>
    </row>
    <row r="769" spans="7:14" x14ac:dyDescent="0.3">
      <c r="G769" s="1">
        <v>41091</v>
      </c>
      <c r="K769" s="1">
        <v>38078</v>
      </c>
      <c r="M769" t="e">
        <v>#N/A</v>
      </c>
      <c r="N769" s="1">
        <v>41091</v>
      </c>
    </row>
    <row r="770" spans="7:14" x14ac:dyDescent="0.3">
      <c r="G770" s="1">
        <v>41091</v>
      </c>
      <c r="K770" s="1">
        <v>38078</v>
      </c>
      <c r="M770" t="e">
        <v>#N/A</v>
      </c>
      <c r="N770" s="1">
        <v>41091</v>
      </c>
    </row>
    <row r="771" spans="7:14" x14ac:dyDescent="0.3">
      <c r="G771" s="1">
        <v>41091</v>
      </c>
      <c r="K771" s="1">
        <v>38078</v>
      </c>
      <c r="M771" t="e">
        <v>#N/A</v>
      </c>
      <c r="N771" s="1">
        <v>41091</v>
      </c>
    </row>
    <row r="772" spans="7:14" x14ac:dyDescent="0.3">
      <c r="G772" s="1">
        <v>41091</v>
      </c>
      <c r="K772" s="1">
        <v>38078</v>
      </c>
      <c r="M772" t="e">
        <v>#N/A</v>
      </c>
      <c r="N772" s="1">
        <v>41091</v>
      </c>
    </row>
    <row r="773" spans="7:14" x14ac:dyDescent="0.3">
      <c r="G773" s="1">
        <v>41091</v>
      </c>
      <c r="K773" s="1">
        <v>38078</v>
      </c>
      <c r="M773" t="e">
        <v>#N/A</v>
      </c>
      <c r="N773" s="1">
        <v>41091</v>
      </c>
    </row>
    <row r="774" spans="7:14" x14ac:dyDescent="0.3">
      <c r="G774" s="1">
        <v>41091</v>
      </c>
      <c r="K774" s="1">
        <v>38078</v>
      </c>
      <c r="M774" t="e">
        <v>#N/A</v>
      </c>
      <c r="N774" s="1">
        <v>41091</v>
      </c>
    </row>
    <row r="775" spans="7:14" x14ac:dyDescent="0.3">
      <c r="G775" s="1">
        <v>41091</v>
      </c>
      <c r="K775" s="1">
        <v>38078</v>
      </c>
      <c r="M775" t="e">
        <v>#N/A</v>
      </c>
      <c r="N775" s="1">
        <v>41091</v>
      </c>
    </row>
    <row r="776" spans="7:14" x14ac:dyDescent="0.3">
      <c r="G776" s="1">
        <v>41091</v>
      </c>
      <c r="K776" s="1">
        <v>38078</v>
      </c>
      <c r="M776" t="e">
        <v>#N/A</v>
      </c>
      <c r="N776" s="1">
        <v>41091</v>
      </c>
    </row>
    <row r="777" spans="7:14" x14ac:dyDescent="0.3">
      <c r="G777" s="1">
        <v>41091</v>
      </c>
      <c r="K777" s="1">
        <v>38078</v>
      </c>
      <c r="M777" t="e">
        <v>#N/A</v>
      </c>
      <c r="N777" s="1">
        <v>41091</v>
      </c>
    </row>
    <row r="778" spans="7:14" x14ac:dyDescent="0.3">
      <c r="G778" s="1">
        <v>41091</v>
      </c>
      <c r="K778" s="1">
        <v>38078</v>
      </c>
      <c r="M778" t="e">
        <v>#N/A</v>
      </c>
      <c r="N778" s="1">
        <v>41091</v>
      </c>
    </row>
    <row r="779" spans="7:14" x14ac:dyDescent="0.3">
      <c r="G779" s="1">
        <v>41091</v>
      </c>
      <c r="K779" s="1">
        <v>38078</v>
      </c>
      <c r="M779" t="e">
        <v>#N/A</v>
      </c>
      <c r="N779" s="1">
        <v>41091</v>
      </c>
    </row>
    <row r="780" spans="7:14" x14ac:dyDescent="0.3">
      <c r="G780" s="1">
        <v>41091</v>
      </c>
      <c r="K780" s="1">
        <v>38078</v>
      </c>
      <c r="M780" t="e">
        <v>#N/A</v>
      </c>
      <c r="N780" s="1">
        <v>41091</v>
      </c>
    </row>
    <row r="781" spans="7:14" x14ac:dyDescent="0.3">
      <c r="G781" s="1">
        <v>41091</v>
      </c>
      <c r="K781" s="1">
        <v>38078</v>
      </c>
      <c r="M781" t="e">
        <v>#N/A</v>
      </c>
      <c r="N781" s="1">
        <v>41091</v>
      </c>
    </row>
    <row r="782" spans="7:14" x14ac:dyDescent="0.3">
      <c r="G782" s="1">
        <v>41091</v>
      </c>
      <c r="K782" s="1">
        <v>38078</v>
      </c>
      <c r="M782" t="e">
        <v>#N/A</v>
      </c>
      <c r="N782" s="1">
        <v>41091</v>
      </c>
    </row>
    <row r="783" spans="7:14" x14ac:dyDescent="0.3">
      <c r="G783" s="1">
        <v>41091</v>
      </c>
      <c r="K783" s="1">
        <v>38078</v>
      </c>
      <c r="M783" t="e">
        <v>#N/A</v>
      </c>
      <c r="N783" s="1">
        <v>41091</v>
      </c>
    </row>
    <row r="784" spans="7:14" x14ac:dyDescent="0.3">
      <c r="G784" s="1">
        <v>41091</v>
      </c>
      <c r="K784" s="1">
        <v>38078</v>
      </c>
      <c r="M784" t="e">
        <v>#N/A</v>
      </c>
      <c r="N784" s="1">
        <v>41091</v>
      </c>
    </row>
    <row r="785" spans="7:14" x14ac:dyDescent="0.3">
      <c r="G785" s="1">
        <v>41091</v>
      </c>
      <c r="K785" s="1">
        <v>38078</v>
      </c>
      <c r="M785" t="e">
        <v>#N/A</v>
      </c>
      <c r="N785" s="1">
        <v>41091</v>
      </c>
    </row>
    <row r="786" spans="7:14" x14ac:dyDescent="0.3">
      <c r="G786" s="1">
        <v>41091</v>
      </c>
      <c r="K786" s="1">
        <v>38078</v>
      </c>
      <c r="M786" t="e">
        <v>#N/A</v>
      </c>
      <c r="N786" s="1">
        <v>41091</v>
      </c>
    </row>
    <row r="787" spans="7:14" x14ac:dyDescent="0.3">
      <c r="G787" s="1">
        <v>41091</v>
      </c>
      <c r="K787" s="1">
        <v>38078</v>
      </c>
      <c r="M787" t="e">
        <v>#N/A</v>
      </c>
      <c r="N787" s="1">
        <v>41091</v>
      </c>
    </row>
    <row r="788" spans="7:14" x14ac:dyDescent="0.3">
      <c r="G788" s="1">
        <v>41091</v>
      </c>
      <c r="K788" s="1">
        <v>38078</v>
      </c>
      <c r="M788" t="e">
        <v>#N/A</v>
      </c>
      <c r="N788" s="1">
        <v>41091</v>
      </c>
    </row>
    <row r="789" spans="7:14" x14ac:dyDescent="0.3">
      <c r="G789" s="1">
        <v>41091</v>
      </c>
      <c r="K789" s="1">
        <v>38078</v>
      </c>
      <c r="M789" t="e">
        <v>#N/A</v>
      </c>
      <c r="N789" s="1">
        <v>41091</v>
      </c>
    </row>
    <row r="790" spans="7:14" x14ac:dyDescent="0.3">
      <c r="G790" s="1">
        <v>41091</v>
      </c>
      <c r="K790" s="1">
        <v>38078</v>
      </c>
      <c r="M790" t="e">
        <v>#N/A</v>
      </c>
      <c r="N790" s="1">
        <v>41091</v>
      </c>
    </row>
    <row r="791" spans="7:14" x14ac:dyDescent="0.3">
      <c r="G791" s="1">
        <v>41091</v>
      </c>
      <c r="K791" s="1">
        <v>38078</v>
      </c>
      <c r="M791" t="e">
        <v>#N/A</v>
      </c>
      <c r="N791" s="1">
        <v>41091</v>
      </c>
    </row>
    <row r="792" spans="7:14" x14ac:dyDescent="0.3">
      <c r="G792" s="1">
        <v>41091</v>
      </c>
      <c r="K792" s="1">
        <v>38078</v>
      </c>
      <c r="M792" t="e">
        <v>#N/A</v>
      </c>
      <c r="N792" s="1">
        <v>41091</v>
      </c>
    </row>
    <row r="793" spans="7:14" x14ac:dyDescent="0.3">
      <c r="G793" s="1">
        <v>41091</v>
      </c>
      <c r="K793" s="1">
        <v>38078</v>
      </c>
      <c r="M793" t="e">
        <v>#N/A</v>
      </c>
      <c r="N793" s="1">
        <v>41091</v>
      </c>
    </row>
    <row r="794" spans="7:14" x14ac:dyDescent="0.3">
      <c r="G794" s="1">
        <v>41091</v>
      </c>
      <c r="K794" s="1">
        <v>38078</v>
      </c>
      <c r="M794" t="e">
        <v>#N/A</v>
      </c>
      <c r="N794" s="1">
        <v>41091</v>
      </c>
    </row>
    <row r="795" spans="7:14" x14ac:dyDescent="0.3">
      <c r="G795" s="1">
        <v>41091</v>
      </c>
      <c r="K795" s="1">
        <v>38078</v>
      </c>
      <c r="M795" t="e">
        <v>#N/A</v>
      </c>
      <c r="N795" s="1">
        <v>41091</v>
      </c>
    </row>
    <row r="796" spans="7:14" x14ac:dyDescent="0.3">
      <c r="G796" s="1">
        <v>41091</v>
      </c>
      <c r="K796" s="1">
        <v>38078</v>
      </c>
      <c r="M796" t="e">
        <v>#N/A</v>
      </c>
      <c r="N796" s="1">
        <v>41091</v>
      </c>
    </row>
    <row r="797" spans="7:14" x14ac:dyDescent="0.3">
      <c r="G797" s="1">
        <v>41091</v>
      </c>
      <c r="K797" s="1">
        <v>38078</v>
      </c>
      <c r="M797" t="e">
        <v>#N/A</v>
      </c>
      <c r="N797" s="1">
        <v>41091</v>
      </c>
    </row>
    <row r="798" spans="7:14" x14ac:dyDescent="0.3">
      <c r="G798" s="1">
        <v>41183</v>
      </c>
      <c r="K798" s="1">
        <v>38078</v>
      </c>
      <c r="M798" t="e">
        <v>#N/A</v>
      </c>
      <c r="N798" s="1">
        <v>41183</v>
      </c>
    </row>
    <row r="799" spans="7:14" x14ac:dyDescent="0.3">
      <c r="G799" s="1">
        <v>41183</v>
      </c>
      <c r="K799" s="1">
        <v>38078</v>
      </c>
      <c r="M799" t="e">
        <v>#N/A</v>
      </c>
      <c r="N799" s="1">
        <v>41183</v>
      </c>
    </row>
    <row r="800" spans="7:14" x14ac:dyDescent="0.3">
      <c r="G800" s="1">
        <v>41183</v>
      </c>
      <c r="K800" s="1">
        <v>38078</v>
      </c>
      <c r="M800" t="e">
        <v>#N/A</v>
      </c>
      <c r="N800" s="1">
        <v>41183</v>
      </c>
    </row>
    <row r="801" spans="7:14" x14ac:dyDescent="0.3">
      <c r="G801" s="1">
        <v>41183</v>
      </c>
      <c r="K801" s="1">
        <v>38078</v>
      </c>
      <c r="M801" t="e">
        <v>#N/A</v>
      </c>
      <c r="N801" s="1">
        <v>41183</v>
      </c>
    </row>
    <row r="802" spans="7:14" x14ac:dyDescent="0.3">
      <c r="G802" s="1">
        <v>41183</v>
      </c>
      <c r="K802" s="1">
        <v>38078</v>
      </c>
      <c r="M802" t="e">
        <v>#N/A</v>
      </c>
      <c r="N802" s="1">
        <v>41183</v>
      </c>
    </row>
    <row r="803" spans="7:14" x14ac:dyDescent="0.3">
      <c r="G803" s="1">
        <v>41183</v>
      </c>
      <c r="K803" s="1">
        <v>38078</v>
      </c>
      <c r="M803" t="e">
        <v>#N/A</v>
      </c>
      <c r="N803" s="1">
        <v>41183</v>
      </c>
    </row>
    <row r="804" spans="7:14" x14ac:dyDescent="0.3">
      <c r="G804" s="1">
        <v>41183</v>
      </c>
      <c r="K804" s="1">
        <v>38078</v>
      </c>
      <c r="M804" t="e">
        <v>#N/A</v>
      </c>
      <c r="N804" s="1">
        <v>41183</v>
      </c>
    </row>
    <row r="805" spans="7:14" x14ac:dyDescent="0.3">
      <c r="G805" s="1">
        <v>41183</v>
      </c>
      <c r="K805" s="1">
        <v>38078</v>
      </c>
      <c r="M805" t="e">
        <v>#N/A</v>
      </c>
      <c r="N805" s="1">
        <v>41183</v>
      </c>
    </row>
    <row r="806" spans="7:14" x14ac:dyDescent="0.3">
      <c r="G806" s="1">
        <v>41183</v>
      </c>
      <c r="K806" s="1">
        <v>38078</v>
      </c>
      <c r="M806" t="e">
        <v>#N/A</v>
      </c>
      <c r="N806" s="1">
        <v>41183</v>
      </c>
    </row>
    <row r="807" spans="7:14" x14ac:dyDescent="0.3">
      <c r="G807" s="1">
        <v>41183</v>
      </c>
      <c r="K807" s="1">
        <v>38078</v>
      </c>
      <c r="M807" t="e">
        <v>#N/A</v>
      </c>
      <c r="N807" s="1">
        <v>41183</v>
      </c>
    </row>
    <row r="808" spans="7:14" x14ac:dyDescent="0.3">
      <c r="G808" s="1">
        <v>41183</v>
      </c>
      <c r="K808" s="1">
        <v>38078</v>
      </c>
      <c r="M808" t="e">
        <v>#N/A</v>
      </c>
      <c r="N808" s="1">
        <v>41183</v>
      </c>
    </row>
    <row r="809" spans="7:14" x14ac:dyDescent="0.3">
      <c r="G809" s="1">
        <v>41183</v>
      </c>
      <c r="K809" s="1">
        <v>38078</v>
      </c>
      <c r="M809" t="e">
        <v>#N/A</v>
      </c>
      <c r="N809" s="1">
        <v>41183</v>
      </c>
    </row>
    <row r="810" spans="7:14" x14ac:dyDescent="0.3">
      <c r="G810" s="1">
        <v>41183</v>
      </c>
      <c r="K810" s="1">
        <v>38078</v>
      </c>
      <c r="M810" t="e">
        <v>#N/A</v>
      </c>
      <c r="N810" s="1">
        <v>41183</v>
      </c>
    </row>
    <row r="811" spans="7:14" x14ac:dyDescent="0.3">
      <c r="G811" s="1">
        <v>41183</v>
      </c>
      <c r="K811" s="1">
        <v>38078</v>
      </c>
      <c r="M811" t="e">
        <v>#N/A</v>
      </c>
      <c r="N811" s="1">
        <v>41183</v>
      </c>
    </row>
    <row r="812" spans="7:14" x14ac:dyDescent="0.3">
      <c r="G812" s="1">
        <v>41183</v>
      </c>
      <c r="K812" s="1">
        <v>38078</v>
      </c>
      <c r="M812" t="e">
        <v>#N/A</v>
      </c>
      <c r="N812" s="1">
        <v>41183</v>
      </c>
    </row>
    <row r="813" spans="7:14" x14ac:dyDescent="0.3">
      <c r="G813" s="1">
        <v>41183</v>
      </c>
      <c r="K813" s="1">
        <v>38078</v>
      </c>
      <c r="M813" t="e">
        <v>#N/A</v>
      </c>
      <c r="N813" s="1">
        <v>41183</v>
      </c>
    </row>
    <row r="814" spans="7:14" x14ac:dyDescent="0.3">
      <c r="G814" s="1">
        <v>41183</v>
      </c>
      <c r="K814" s="1">
        <v>38078</v>
      </c>
      <c r="M814" t="e">
        <v>#N/A</v>
      </c>
      <c r="N814" s="1">
        <v>41183</v>
      </c>
    </row>
    <row r="815" spans="7:14" x14ac:dyDescent="0.3">
      <c r="G815" s="1">
        <v>41183</v>
      </c>
      <c r="K815" s="1">
        <v>38078</v>
      </c>
      <c r="M815" t="e">
        <v>#N/A</v>
      </c>
      <c r="N815" s="1">
        <v>41183</v>
      </c>
    </row>
    <row r="816" spans="7:14" x14ac:dyDescent="0.3">
      <c r="G816" s="1">
        <v>41183</v>
      </c>
      <c r="K816" s="1">
        <v>38078</v>
      </c>
      <c r="M816" t="e">
        <v>#N/A</v>
      </c>
      <c r="N816" s="1">
        <v>41183</v>
      </c>
    </row>
    <row r="817" spans="7:14" x14ac:dyDescent="0.3">
      <c r="G817" s="1">
        <v>41183</v>
      </c>
      <c r="K817" s="1">
        <v>38078</v>
      </c>
      <c r="M817" t="e">
        <v>#N/A</v>
      </c>
      <c r="N817" s="1">
        <v>41183</v>
      </c>
    </row>
    <row r="818" spans="7:14" x14ac:dyDescent="0.3">
      <c r="G818" s="1">
        <v>41183</v>
      </c>
      <c r="K818" s="1">
        <v>38078</v>
      </c>
      <c r="M818" t="e">
        <v>#N/A</v>
      </c>
      <c r="N818" s="1">
        <v>41183</v>
      </c>
    </row>
    <row r="819" spans="7:14" x14ac:dyDescent="0.3">
      <c r="G819" s="1">
        <v>41183</v>
      </c>
      <c r="K819" s="1">
        <v>38078</v>
      </c>
      <c r="M819" t="e">
        <v>#N/A</v>
      </c>
      <c r="N819" s="1">
        <v>41183</v>
      </c>
    </row>
    <row r="820" spans="7:14" x14ac:dyDescent="0.3">
      <c r="G820" s="1">
        <v>41183</v>
      </c>
      <c r="K820" s="1">
        <v>38078</v>
      </c>
      <c r="M820" t="e">
        <v>#N/A</v>
      </c>
      <c r="N820" s="1">
        <v>41183</v>
      </c>
    </row>
    <row r="821" spans="7:14" x14ac:dyDescent="0.3">
      <c r="G821" s="1">
        <v>41183</v>
      </c>
      <c r="K821" s="1">
        <v>38078</v>
      </c>
      <c r="M821" t="e">
        <v>#N/A</v>
      </c>
      <c r="N821" s="1">
        <v>41183</v>
      </c>
    </row>
    <row r="822" spans="7:14" x14ac:dyDescent="0.3">
      <c r="G822" s="1">
        <v>41183</v>
      </c>
      <c r="K822" s="1">
        <v>38078</v>
      </c>
      <c r="M822" t="e">
        <v>#N/A</v>
      </c>
      <c r="N822" s="1">
        <v>41183</v>
      </c>
    </row>
    <row r="823" spans="7:14" x14ac:dyDescent="0.3">
      <c r="G823" s="1">
        <v>41183</v>
      </c>
      <c r="K823" s="1">
        <v>38078</v>
      </c>
      <c r="M823" t="e">
        <v>#N/A</v>
      </c>
      <c r="N823" s="1">
        <v>41183</v>
      </c>
    </row>
    <row r="824" spans="7:14" x14ac:dyDescent="0.3">
      <c r="G824" s="1">
        <v>41183</v>
      </c>
      <c r="K824" s="1">
        <v>38078</v>
      </c>
      <c r="M824" t="e">
        <v>#N/A</v>
      </c>
      <c r="N824" s="1">
        <v>41183</v>
      </c>
    </row>
    <row r="825" spans="7:14" x14ac:dyDescent="0.3">
      <c r="G825" s="1">
        <v>41183</v>
      </c>
      <c r="K825" s="1">
        <v>38078</v>
      </c>
      <c r="M825" t="e">
        <v>#N/A</v>
      </c>
      <c r="N825" s="1">
        <v>41183</v>
      </c>
    </row>
    <row r="826" spans="7:14" x14ac:dyDescent="0.3">
      <c r="G826" s="1">
        <v>41183</v>
      </c>
      <c r="K826" s="1">
        <v>38078</v>
      </c>
      <c r="M826" t="e">
        <v>#N/A</v>
      </c>
      <c r="N826" s="1">
        <v>41183</v>
      </c>
    </row>
    <row r="827" spans="7:14" x14ac:dyDescent="0.3">
      <c r="G827" s="1">
        <v>41275</v>
      </c>
      <c r="K827" s="1">
        <v>38078</v>
      </c>
      <c r="M827" t="e">
        <v>#N/A</v>
      </c>
      <c r="N827" s="1">
        <v>41275</v>
      </c>
    </row>
    <row r="828" spans="7:14" x14ac:dyDescent="0.3">
      <c r="G828" s="1">
        <v>41275</v>
      </c>
      <c r="K828" s="1">
        <v>38078</v>
      </c>
      <c r="M828" t="e">
        <v>#N/A</v>
      </c>
      <c r="N828" s="1">
        <v>41275</v>
      </c>
    </row>
    <row r="829" spans="7:14" x14ac:dyDescent="0.3">
      <c r="G829" s="1">
        <v>41275</v>
      </c>
      <c r="K829" s="1">
        <v>38078</v>
      </c>
      <c r="M829" t="e">
        <v>#N/A</v>
      </c>
      <c r="N829" s="1">
        <v>41275</v>
      </c>
    </row>
    <row r="830" spans="7:14" x14ac:dyDescent="0.3">
      <c r="G830" s="1">
        <v>41275</v>
      </c>
      <c r="K830" s="1">
        <v>38078</v>
      </c>
      <c r="M830" t="e">
        <v>#N/A</v>
      </c>
      <c r="N830" s="1">
        <v>41275</v>
      </c>
    </row>
    <row r="831" spans="7:14" x14ac:dyDescent="0.3">
      <c r="G831" s="1">
        <v>41275</v>
      </c>
      <c r="K831" s="1">
        <v>38078</v>
      </c>
      <c r="M831" t="e">
        <v>#N/A</v>
      </c>
      <c r="N831" s="1">
        <v>41275</v>
      </c>
    </row>
    <row r="832" spans="7:14" x14ac:dyDescent="0.3">
      <c r="G832" s="1">
        <v>41275</v>
      </c>
      <c r="K832" s="1">
        <v>38078</v>
      </c>
      <c r="M832" t="e">
        <v>#N/A</v>
      </c>
      <c r="N832" s="1">
        <v>41275</v>
      </c>
    </row>
    <row r="833" spans="7:14" x14ac:dyDescent="0.3">
      <c r="G833" s="1">
        <v>41275</v>
      </c>
      <c r="K833" s="1">
        <v>38078</v>
      </c>
      <c r="M833" t="e">
        <v>#N/A</v>
      </c>
      <c r="N833" s="1">
        <v>41275</v>
      </c>
    </row>
    <row r="834" spans="7:14" x14ac:dyDescent="0.3">
      <c r="G834" s="1">
        <v>41275</v>
      </c>
      <c r="K834" s="1">
        <v>38078</v>
      </c>
      <c r="M834" t="e">
        <v>#N/A</v>
      </c>
      <c r="N834" s="1">
        <v>41275</v>
      </c>
    </row>
    <row r="835" spans="7:14" x14ac:dyDescent="0.3">
      <c r="G835" s="1">
        <v>41275</v>
      </c>
      <c r="K835" s="1">
        <v>38078</v>
      </c>
      <c r="M835" t="e">
        <v>#N/A</v>
      </c>
      <c r="N835" s="1">
        <v>41275</v>
      </c>
    </row>
    <row r="836" spans="7:14" x14ac:dyDescent="0.3">
      <c r="G836" s="1">
        <v>41275</v>
      </c>
      <c r="K836" s="1">
        <v>38078</v>
      </c>
      <c r="M836" t="e">
        <v>#N/A</v>
      </c>
      <c r="N836" s="1">
        <v>41275</v>
      </c>
    </row>
    <row r="837" spans="7:14" x14ac:dyDescent="0.3">
      <c r="G837" s="1">
        <v>41275</v>
      </c>
      <c r="K837" s="1">
        <v>38078</v>
      </c>
      <c r="M837" t="e">
        <v>#N/A</v>
      </c>
      <c r="N837" s="1">
        <v>41275</v>
      </c>
    </row>
    <row r="838" spans="7:14" x14ac:dyDescent="0.3">
      <c r="G838" s="1">
        <v>41275</v>
      </c>
      <c r="K838" s="1">
        <v>38078</v>
      </c>
      <c r="M838" t="e">
        <v>#N/A</v>
      </c>
      <c r="N838" s="1">
        <v>41275</v>
      </c>
    </row>
    <row r="839" spans="7:14" x14ac:dyDescent="0.3">
      <c r="G839" s="1">
        <v>41275</v>
      </c>
      <c r="K839" s="1">
        <v>38078</v>
      </c>
      <c r="M839" t="e">
        <v>#N/A</v>
      </c>
      <c r="N839" s="1">
        <v>41275</v>
      </c>
    </row>
    <row r="840" spans="7:14" x14ac:dyDescent="0.3">
      <c r="G840" s="1">
        <v>41275</v>
      </c>
      <c r="K840" s="1">
        <v>38078</v>
      </c>
      <c r="M840" t="e">
        <v>#N/A</v>
      </c>
      <c r="N840" s="1">
        <v>41275</v>
      </c>
    </row>
    <row r="841" spans="7:14" x14ac:dyDescent="0.3">
      <c r="G841" s="1">
        <v>41275</v>
      </c>
      <c r="K841" s="1">
        <v>38078</v>
      </c>
      <c r="M841" t="e">
        <v>#N/A</v>
      </c>
      <c r="N841" s="1">
        <v>41275</v>
      </c>
    </row>
    <row r="842" spans="7:14" x14ac:dyDescent="0.3">
      <c r="G842" s="1">
        <v>41275</v>
      </c>
      <c r="K842" s="1">
        <v>38078</v>
      </c>
      <c r="M842" t="e">
        <v>#N/A</v>
      </c>
      <c r="N842" s="1">
        <v>41275</v>
      </c>
    </row>
    <row r="843" spans="7:14" x14ac:dyDescent="0.3">
      <c r="G843" s="1">
        <v>41275</v>
      </c>
      <c r="K843" s="1">
        <v>38078</v>
      </c>
      <c r="M843" t="e">
        <v>#N/A</v>
      </c>
      <c r="N843" s="1">
        <v>41275</v>
      </c>
    </row>
    <row r="844" spans="7:14" x14ac:dyDescent="0.3">
      <c r="G844" s="1">
        <v>41275</v>
      </c>
      <c r="K844" s="1">
        <v>38078</v>
      </c>
      <c r="M844" t="e">
        <v>#N/A</v>
      </c>
      <c r="N844" s="1">
        <v>41275</v>
      </c>
    </row>
    <row r="845" spans="7:14" x14ac:dyDescent="0.3">
      <c r="G845" s="1">
        <v>41275</v>
      </c>
      <c r="K845" s="1">
        <v>38078</v>
      </c>
      <c r="M845" t="e">
        <v>#N/A</v>
      </c>
      <c r="N845" s="1">
        <v>41275</v>
      </c>
    </row>
    <row r="846" spans="7:14" x14ac:dyDescent="0.3">
      <c r="G846" s="1">
        <v>41275</v>
      </c>
      <c r="K846" s="1">
        <v>38078</v>
      </c>
      <c r="M846" t="e">
        <v>#N/A</v>
      </c>
      <c r="N846" s="1">
        <v>41275</v>
      </c>
    </row>
    <row r="847" spans="7:14" x14ac:dyDescent="0.3">
      <c r="G847" s="1">
        <v>41275</v>
      </c>
      <c r="K847" s="1">
        <v>38078</v>
      </c>
      <c r="M847" t="e">
        <v>#N/A</v>
      </c>
      <c r="N847" s="1">
        <v>41275</v>
      </c>
    </row>
    <row r="848" spans="7:14" x14ac:dyDescent="0.3">
      <c r="G848" s="1">
        <v>41275</v>
      </c>
      <c r="K848" s="1">
        <v>38078</v>
      </c>
      <c r="M848" t="e">
        <v>#N/A</v>
      </c>
      <c r="N848" s="1">
        <v>41275</v>
      </c>
    </row>
    <row r="849" spans="7:14" x14ac:dyDescent="0.3">
      <c r="G849" s="1">
        <v>41275</v>
      </c>
      <c r="K849" s="1">
        <v>38078</v>
      </c>
      <c r="M849" t="e">
        <v>#N/A</v>
      </c>
      <c r="N849" s="1">
        <v>41275</v>
      </c>
    </row>
    <row r="850" spans="7:14" x14ac:dyDescent="0.3">
      <c r="G850" s="1">
        <v>41275</v>
      </c>
      <c r="K850" s="1">
        <v>38078</v>
      </c>
      <c r="M850" t="e">
        <v>#N/A</v>
      </c>
      <c r="N850" s="1">
        <v>41275</v>
      </c>
    </row>
    <row r="851" spans="7:14" x14ac:dyDescent="0.3">
      <c r="G851" s="1">
        <v>41275</v>
      </c>
      <c r="K851" s="1">
        <v>38078</v>
      </c>
      <c r="M851" t="e">
        <v>#N/A</v>
      </c>
      <c r="N851" s="1">
        <v>41275</v>
      </c>
    </row>
    <row r="852" spans="7:14" x14ac:dyDescent="0.3">
      <c r="G852" s="1">
        <v>41275</v>
      </c>
      <c r="K852" s="1">
        <v>38078</v>
      </c>
      <c r="M852" t="e">
        <v>#N/A</v>
      </c>
      <c r="N852" s="1">
        <v>41275</v>
      </c>
    </row>
    <row r="853" spans="7:14" x14ac:dyDescent="0.3">
      <c r="G853" s="1">
        <v>41365</v>
      </c>
      <c r="K853" s="1">
        <v>38078</v>
      </c>
      <c r="M853" t="e">
        <v>#N/A</v>
      </c>
      <c r="N853" s="1">
        <v>41365</v>
      </c>
    </row>
    <row r="854" spans="7:14" x14ac:dyDescent="0.3">
      <c r="G854" s="1">
        <v>41365</v>
      </c>
      <c r="K854" s="1">
        <v>38078</v>
      </c>
      <c r="M854" t="e">
        <v>#N/A</v>
      </c>
      <c r="N854" s="1">
        <v>41365</v>
      </c>
    </row>
    <row r="855" spans="7:14" x14ac:dyDescent="0.3">
      <c r="G855" s="1">
        <v>41365</v>
      </c>
      <c r="K855" s="1">
        <v>38078</v>
      </c>
      <c r="M855" t="e">
        <v>#N/A</v>
      </c>
      <c r="N855" s="1">
        <v>41365</v>
      </c>
    </row>
    <row r="856" spans="7:14" x14ac:dyDescent="0.3">
      <c r="G856" s="1">
        <v>41365</v>
      </c>
      <c r="K856" s="1">
        <v>38078</v>
      </c>
      <c r="M856" t="e">
        <v>#N/A</v>
      </c>
      <c r="N856" s="1">
        <v>41365</v>
      </c>
    </row>
    <row r="857" spans="7:14" x14ac:dyDescent="0.3">
      <c r="G857" s="1">
        <v>41365</v>
      </c>
      <c r="K857" s="1">
        <v>38078</v>
      </c>
      <c r="M857" t="e">
        <v>#N/A</v>
      </c>
      <c r="N857" s="1">
        <v>41365</v>
      </c>
    </row>
    <row r="858" spans="7:14" x14ac:dyDescent="0.3">
      <c r="G858" s="1">
        <v>41365</v>
      </c>
      <c r="K858" s="1">
        <v>38078</v>
      </c>
      <c r="M858" t="e">
        <v>#N/A</v>
      </c>
      <c r="N858" s="1">
        <v>41365</v>
      </c>
    </row>
    <row r="859" spans="7:14" x14ac:dyDescent="0.3">
      <c r="G859" s="1">
        <v>41365</v>
      </c>
      <c r="K859" s="1">
        <v>38078</v>
      </c>
      <c r="M859" t="e">
        <v>#N/A</v>
      </c>
      <c r="N859" s="1">
        <v>41365</v>
      </c>
    </row>
    <row r="860" spans="7:14" x14ac:dyDescent="0.3">
      <c r="G860" s="1">
        <v>41365</v>
      </c>
      <c r="K860" s="1">
        <v>38078</v>
      </c>
      <c r="M860" t="e">
        <v>#N/A</v>
      </c>
      <c r="N860" s="1">
        <v>41365</v>
      </c>
    </row>
    <row r="861" spans="7:14" x14ac:dyDescent="0.3">
      <c r="G861" s="1">
        <v>41365</v>
      </c>
      <c r="K861" s="1">
        <v>38078</v>
      </c>
      <c r="M861" t="e">
        <v>#N/A</v>
      </c>
      <c r="N861" s="1">
        <v>41365</v>
      </c>
    </row>
    <row r="862" spans="7:14" x14ac:dyDescent="0.3">
      <c r="G862" s="1">
        <v>41365</v>
      </c>
      <c r="K862" s="1">
        <v>38078</v>
      </c>
      <c r="M862" t="e">
        <v>#N/A</v>
      </c>
      <c r="N862" s="1">
        <v>41365</v>
      </c>
    </row>
    <row r="863" spans="7:14" x14ac:dyDescent="0.3">
      <c r="G863" s="1">
        <v>41365</v>
      </c>
      <c r="K863" s="1">
        <v>38078</v>
      </c>
      <c r="M863" t="e">
        <v>#N/A</v>
      </c>
      <c r="N863" s="1">
        <v>41365</v>
      </c>
    </row>
    <row r="864" spans="7:14" x14ac:dyDescent="0.3">
      <c r="G864" s="1">
        <v>41365</v>
      </c>
      <c r="K864" s="1">
        <v>38078</v>
      </c>
      <c r="M864" t="e">
        <v>#N/A</v>
      </c>
      <c r="N864" s="1">
        <v>41365</v>
      </c>
    </row>
    <row r="865" spans="7:14" x14ac:dyDescent="0.3">
      <c r="G865" s="1">
        <v>41365</v>
      </c>
      <c r="K865" s="1">
        <v>38078</v>
      </c>
      <c r="M865" t="e">
        <v>#N/A</v>
      </c>
      <c r="N865" s="1">
        <v>41365</v>
      </c>
    </row>
    <row r="866" spans="7:14" x14ac:dyDescent="0.3">
      <c r="G866" s="1">
        <v>41365</v>
      </c>
      <c r="K866" s="1">
        <v>38078</v>
      </c>
      <c r="M866" t="e">
        <v>#N/A</v>
      </c>
      <c r="N866" s="1">
        <v>41365</v>
      </c>
    </row>
    <row r="867" spans="7:14" x14ac:dyDescent="0.3">
      <c r="G867" s="1">
        <v>41365</v>
      </c>
      <c r="K867" s="1">
        <v>38078</v>
      </c>
      <c r="M867" t="e">
        <v>#N/A</v>
      </c>
      <c r="N867" s="1">
        <v>41365</v>
      </c>
    </row>
    <row r="868" spans="7:14" x14ac:dyDescent="0.3">
      <c r="G868" s="1">
        <v>41365</v>
      </c>
      <c r="K868" s="1">
        <v>38078</v>
      </c>
      <c r="M868" t="e">
        <v>#N/A</v>
      </c>
      <c r="N868" s="1">
        <v>41365</v>
      </c>
    </row>
    <row r="869" spans="7:14" x14ac:dyDescent="0.3">
      <c r="G869" s="1">
        <v>41365</v>
      </c>
      <c r="K869" s="1">
        <v>38078</v>
      </c>
      <c r="M869" t="e">
        <v>#N/A</v>
      </c>
      <c r="N869" s="1">
        <v>41365</v>
      </c>
    </row>
    <row r="870" spans="7:14" x14ac:dyDescent="0.3">
      <c r="G870" s="1">
        <v>41365</v>
      </c>
      <c r="K870" s="1">
        <v>38078</v>
      </c>
      <c r="M870" t="e">
        <v>#N/A</v>
      </c>
      <c r="N870" s="1">
        <v>41365</v>
      </c>
    </row>
    <row r="871" spans="7:14" x14ac:dyDescent="0.3">
      <c r="G871" s="1">
        <v>41365</v>
      </c>
      <c r="K871" s="1">
        <v>38078</v>
      </c>
      <c r="M871" t="e">
        <v>#N/A</v>
      </c>
      <c r="N871" s="1">
        <v>41365</v>
      </c>
    </row>
    <row r="872" spans="7:14" x14ac:dyDescent="0.3">
      <c r="G872" s="1">
        <v>41365</v>
      </c>
      <c r="K872" s="1">
        <v>38078</v>
      </c>
      <c r="M872" t="e">
        <v>#N/A</v>
      </c>
      <c r="N872" s="1">
        <v>41365</v>
      </c>
    </row>
    <row r="873" spans="7:14" x14ac:dyDescent="0.3">
      <c r="G873" s="1">
        <v>41365</v>
      </c>
      <c r="K873" s="1">
        <v>38078</v>
      </c>
      <c r="M873" t="e">
        <v>#N/A</v>
      </c>
      <c r="N873" s="1">
        <v>41365</v>
      </c>
    </row>
    <row r="874" spans="7:14" x14ac:dyDescent="0.3">
      <c r="G874" s="1">
        <v>41365</v>
      </c>
      <c r="K874" s="1">
        <v>38078</v>
      </c>
      <c r="M874" t="e">
        <v>#N/A</v>
      </c>
      <c r="N874" s="1">
        <v>41365</v>
      </c>
    </row>
    <row r="875" spans="7:14" x14ac:dyDescent="0.3">
      <c r="G875" s="1">
        <v>41365</v>
      </c>
      <c r="K875" s="1">
        <v>38078</v>
      </c>
      <c r="M875" t="e">
        <v>#N/A</v>
      </c>
      <c r="N875" s="1">
        <v>41365</v>
      </c>
    </row>
    <row r="876" spans="7:14" x14ac:dyDescent="0.3">
      <c r="G876" s="1">
        <v>41365</v>
      </c>
      <c r="K876" s="1">
        <v>38078</v>
      </c>
      <c r="M876" t="e">
        <v>#N/A</v>
      </c>
      <c r="N876" s="1">
        <v>41365</v>
      </c>
    </row>
    <row r="877" spans="7:14" x14ac:dyDescent="0.3">
      <c r="G877" s="1">
        <v>41365</v>
      </c>
      <c r="K877" s="1">
        <v>38078</v>
      </c>
      <c r="M877" t="e">
        <v>#N/A</v>
      </c>
      <c r="N877" s="1">
        <v>41365</v>
      </c>
    </row>
    <row r="878" spans="7:14" x14ac:dyDescent="0.3">
      <c r="G878" s="1">
        <v>41365</v>
      </c>
      <c r="K878" s="1">
        <v>38078</v>
      </c>
      <c r="M878" t="e">
        <v>#N/A</v>
      </c>
      <c r="N878" s="1">
        <v>41365</v>
      </c>
    </row>
    <row r="879" spans="7:14" x14ac:dyDescent="0.3">
      <c r="G879" s="1">
        <v>41365</v>
      </c>
      <c r="K879" s="1">
        <v>38078</v>
      </c>
      <c r="M879" t="e">
        <v>#N/A</v>
      </c>
      <c r="N879" s="1">
        <v>41365</v>
      </c>
    </row>
    <row r="880" spans="7:14" x14ac:dyDescent="0.3">
      <c r="G880" s="1">
        <v>41456</v>
      </c>
      <c r="K880" s="1">
        <v>38078</v>
      </c>
      <c r="M880" t="e">
        <v>#N/A</v>
      </c>
      <c r="N880" s="1">
        <v>41456</v>
      </c>
    </row>
    <row r="881" spans="7:14" x14ac:dyDescent="0.3">
      <c r="G881" s="1">
        <v>41456</v>
      </c>
      <c r="K881" s="1">
        <v>38078</v>
      </c>
      <c r="M881" t="e">
        <v>#N/A</v>
      </c>
      <c r="N881" s="1">
        <v>41456</v>
      </c>
    </row>
    <row r="882" spans="7:14" x14ac:dyDescent="0.3">
      <c r="G882" s="1">
        <v>41456</v>
      </c>
      <c r="K882" s="1">
        <v>38078</v>
      </c>
      <c r="M882" t="e">
        <v>#N/A</v>
      </c>
      <c r="N882" s="1">
        <v>41456</v>
      </c>
    </row>
    <row r="883" spans="7:14" x14ac:dyDescent="0.3">
      <c r="G883" s="1">
        <v>41456</v>
      </c>
      <c r="K883" s="1">
        <v>38078</v>
      </c>
      <c r="M883" t="e">
        <v>#N/A</v>
      </c>
      <c r="N883" s="1">
        <v>41456</v>
      </c>
    </row>
    <row r="884" spans="7:14" x14ac:dyDescent="0.3">
      <c r="G884" s="1">
        <v>41456</v>
      </c>
      <c r="K884" s="1">
        <v>38078</v>
      </c>
      <c r="M884" t="e">
        <v>#N/A</v>
      </c>
      <c r="N884" s="1">
        <v>41456</v>
      </c>
    </row>
    <row r="885" spans="7:14" x14ac:dyDescent="0.3">
      <c r="G885" s="1">
        <v>41456</v>
      </c>
      <c r="K885" s="1">
        <v>38078</v>
      </c>
      <c r="M885" t="e">
        <v>#N/A</v>
      </c>
      <c r="N885" s="1">
        <v>41456</v>
      </c>
    </row>
    <row r="886" spans="7:14" x14ac:dyDescent="0.3">
      <c r="G886" s="1">
        <v>41456</v>
      </c>
      <c r="K886" s="1">
        <v>38078</v>
      </c>
      <c r="M886" t="e">
        <v>#N/A</v>
      </c>
      <c r="N886" s="1">
        <v>41456</v>
      </c>
    </row>
    <row r="887" spans="7:14" x14ac:dyDescent="0.3">
      <c r="G887" s="1">
        <v>41456</v>
      </c>
      <c r="K887" s="1">
        <v>38078</v>
      </c>
      <c r="M887" t="e">
        <v>#N/A</v>
      </c>
      <c r="N887" s="1">
        <v>41456</v>
      </c>
    </row>
    <row r="888" spans="7:14" x14ac:dyDescent="0.3">
      <c r="G888" s="1">
        <v>41456</v>
      </c>
      <c r="K888" s="1">
        <v>38078</v>
      </c>
      <c r="M888" t="e">
        <v>#N/A</v>
      </c>
      <c r="N888" s="1">
        <v>41456</v>
      </c>
    </row>
    <row r="889" spans="7:14" x14ac:dyDescent="0.3">
      <c r="G889" s="1">
        <v>41456</v>
      </c>
      <c r="K889" s="1">
        <v>38078</v>
      </c>
      <c r="M889" t="e">
        <v>#N/A</v>
      </c>
      <c r="N889" s="1">
        <v>41456</v>
      </c>
    </row>
    <row r="890" spans="7:14" x14ac:dyDescent="0.3">
      <c r="G890" s="1">
        <v>41456</v>
      </c>
      <c r="K890" s="1">
        <v>38078</v>
      </c>
      <c r="M890" t="e">
        <v>#N/A</v>
      </c>
      <c r="N890" s="1">
        <v>41456</v>
      </c>
    </row>
    <row r="891" spans="7:14" x14ac:dyDescent="0.3">
      <c r="G891" s="1">
        <v>41456</v>
      </c>
      <c r="K891" s="1">
        <v>38078</v>
      </c>
      <c r="M891" t="e">
        <v>#N/A</v>
      </c>
      <c r="N891" s="1">
        <v>41456</v>
      </c>
    </row>
    <row r="892" spans="7:14" x14ac:dyDescent="0.3">
      <c r="G892" s="1">
        <v>41456</v>
      </c>
      <c r="K892" s="1">
        <v>38078</v>
      </c>
      <c r="M892" t="e">
        <v>#N/A</v>
      </c>
      <c r="N892" s="1">
        <v>41456</v>
      </c>
    </row>
    <row r="893" spans="7:14" x14ac:dyDescent="0.3">
      <c r="G893" s="1">
        <v>41456</v>
      </c>
      <c r="K893" s="1">
        <v>38078</v>
      </c>
      <c r="M893" t="e">
        <v>#N/A</v>
      </c>
      <c r="N893" s="1">
        <v>41456</v>
      </c>
    </row>
    <row r="894" spans="7:14" x14ac:dyDescent="0.3">
      <c r="G894" s="1">
        <v>41456</v>
      </c>
      <c r="K894" s="1">
        <v>38078</v>
      </c>
      <c r="M894" t="e">
        <v>#N/A</v>
      </c>
      <c r="N894" s="1">
        <v>41456</v>
      </c>
    </row>
    <row r="895" spans="7:14" x14ac:dyDescent="0.3">
      <c r="G895" s="1">
        <v>41456</v>
      </c>
      <c r="K895" s="1">
        <v>38078</v>
      </c>
      <c r="M895" t="e">
        <v>#N/A</v>
      </c>
      <c r="N895" s="1">
        <v>41456</v>
      </c>
    </row>
    <row r="896" spans="7:14" x14ac:dyDescent="0.3">
      <c r="G896" s="1">
        <v>41456</v>
      </c>
      <c r="K896" s="1">
        <v>38078</v>
      </c>
      <c r="M896" t="e">
        <v>#N/A</v>
      </c>
      <c r="N896" s="1">
        <v>41456</v>
      </c>
    </row>
    <row r="897" spans="7:14" x14ac:dyDescent="0.3">
      <c r="G897" s="1">
        <v>41456</v>
      </c>
      <c r="K897" s="1">
        <v>38078</v>
      </c>
      <c r="M897" t="e">
        <v>#N/A</v>
      </c>
      <c r="N897" s="1">
        <v>41456</v>
      </c>
    </row>
    <row r="898" spans="7:14" x14ac:dyDescent="0.3">
      <c r="G898" s="1">
        <v>41456</v>
      </c>
      <c r="K898" s="1">
        <v>38078</v>
      </c>
      <c r="M898" t="e">
        <v>#N/A</v>
      </c>
      <c r="N898" s="1">
        <v>41456</v>
      </c>
    </row>
    <row r="899" spans="7:14" x14ac:dyDescent="0.3">
      <c r="G899" s="1">
        <v>41456</v>
      </c>
      <c r="K899" s="1">
        <v>38078</v>
      </c>
      <c r="M899" t="e">
        <v>#N/A</v>
      </c>
      <c r="N899" s="1">
        <v>41456</v>
      </c>
    </row>
    <row r="900" spans="7:14" x14ac:dyDescent="0.3">
      <c r="G900" s="1">
        <v>41456</v>
      </c>
      <c r="K900" s="1">
        <v>38078</v>
      </c>
      <c r="M900" t="e">
        <v>#N/A</v>
      </c>
      <c r="N900" s="1">
        <v>41456</v>
      </c>
    </row>
    <row r="901" spans="7:14" x14ac:dyDescent="0.3">
      <c r="G901" s="1">
        <v>41456</v>
      </c>
      <c r="K901" s="1">
        <v>38078</v>
      </c>
      <c r="M901" t="e">
        <v>#N/A</v>
      </c>
      <c r="N901" s="1">
        <v>41456</v>
      </c>
    </row>
    <row r="902" spans="7:14" x14ac:dyDescent="0.3">
      <c r="G902" s="1">
        <v>41456</v>
      </c>
      <c r="K902" s="1">
        <v>38078</v>
      </c>
      <c r="M902" t="e">
        <v>#N/A</v>
      </c>
      <c r="N902" s="1">
        <v>41456</v>
      </c>
    </row>
    <row r="903" spans="7:14" x14ac:dyDescent="0.3">
      <c r="G903" s="1">
        <v>41456</v>
      </c>
      <c r="K903" s="1">
        <v>38078</v>
      </c>
      <c r="M903" t="e">
        <v>#N/A</v>
      </c>
      <c r="N903" s="1">
        <v>41456</v>
      </c>
    </row>
    <row r="904" spans="7:14" x14ac:dyDescent="0.3">
      <c r="G904" s="1">
        <v>41548</v>
      </c>
      <c r="K904" s="1">
        <v>38078</v>
      </c>
      <c r="M904" t="e">
        <v>#N/A</v>
      </c>
      <c r="N904" s="1">
        <v>41548</v>
      </c>
    </row>
    <row r="905" spans="7:14" x14ac:dyDescent="0.3">
      <c r="G905" s="1">
        <v>41548</v>
      </c>
      <c r="K905" s="1">
        <v>38078</v>
      </c>
      <c r="M905" t="e">
        <v>#N/A</v>
      </c>
      <c r="N905" s="1">
        <v>41548</v>
      </c>
    </row>
    <row r="906" spans="7:14" x14ac:dyDescent="0.3">
      <c r="G906" s="1">
        <v>41548</v>
      </c>
      <c r="K906" s="1">
        <v>38078</v>
      </c>
      <c r="M906" t="e">
        <v>#N/A</v>
      </c>
      <c r="N906" s="1">
        <v>41548</v>
      </c>
    </row>
    <row r="907" spans="7:14" x14ac:dyDescent="0.3">
      <c r="G907" s="1">
        <v>41548</v>
      </c>
      <c r="K907" s="1">
        <v>38078</v>
      </c>
      <c r="M907" t="e">
        <v>#N/A</v>
      </c>
      <c r="N907" s="1">
        <v>41548</v>
      </c>
    </row>
    <row r="908" spans="7:14" x14ac:dyDescent="0.3">
      <c r="G908" s="1">
        <v>41548</v>
      </c>
      <c r="K908" s="1">
        <v>38078</v>
      </c>
      <c r="M908" t="e">
        <v>#N/A</v>
      </c>
      <c r="N908" s="1">
        <v>41548</v>
      </c>
    </row>
    <row r="909" spans="7:14" x14ac:dyDescent="0.3">
      <c r="G909" s="1">
        <v>41548</v>
      </c>
      <c r="K909" s="1">
        <v>38078</v>
      </c>
      <c r="M909" t="e">
        <v>#N/A</v>
      </c>
      <c r="N909" s="1">
        <v>41548</v>
      </c>
    </row>
    <row r="910" spans="7:14" x14ac:dyDescent="0.3">
      <c r="G910" s="1">
        <v>41548</v>
      </c>
      <c r="K910" s="1">
        <v>38078</v>
      </c>
      <c r="M910" t="e">
        <v>#N/A</v>
      </c>
      <c r="N910" s="1">
        <v>41548</v>
      </c>
    </row>
    <row r="911" spans="7:14" x14ac:dyDescent="0.3">
      <c r="G911" s="1">
        <v>41548</v>
      </c>
      <c r="K911" s="1">
        <v>38078</v>
      </c>
      <c r="M911" t="e">
        <v>#N/A</v>
      </c>
      <c r="N911" s="1">
        <v>41548</v>
      </c>
    </row>
    <row r="912" spans="7:14" x14ac:dyDescent="0.3">
      <c r="G912" s="1">
        <v>41548</v>
      </c>
      <c r="K912" s="1">
        <v>38169</v>
      </c>
      <c r="M912" t="e">
        <v>#N/A</v>
      </c>
      <c r="N912" s="1">
        <v>41548</v>
      </c>
    </row>
    <row r="913" spans="7:14" x14ac:dyDescent="0.3">
      <c r="G913" s="1">
        <v>41548</v>
      </c>
      <c r="K913" s="1">
        <v>38169</v>
      </c>
      <c r="M913" t="e">
        <v>#N/A</v>
      </c>
      <c r="N913" s="1">
        <v>41548</v>
      </c>
    </row>
    <row r="914" spans="7:14" x14ac:dyDescent="0.3">
      <c r="G914" s="1">
        <v>41548</v>
      </c>
      <c r="K914" s="1">
        <v>38169</v>
      </c>
      <c r="M914" t="e">
        <v>#N/A</v>
      </c>
      <c r="N914" s="1">
        <v>41548</v>
      </c>
    </row>
    <row r="915" spans="7:14" x14ac:dyDescent="0.3">
      <c r="G915" s="1">
        <v>41548</v>
      </c>
      <c r="K915" s="1">
        <v>38169</v>
      </c>
      <c r="M915" t="e">
        <v>#N/A</v>
      </c>
      <c r="N915" s="1">
        <v>41548</v>
      </c>
    </row>
    <row r="916" spans="7:14" x14ac:dyDescent="0.3">
      <c r="G916" s="1">
        <v>41548</v>
      </c>
      <c r="K916" s="1">
        <v>38169</v>
      </c>
      <c r="M916" t="e">
        <v>#N/A</v>
      </c>
      <c r="N916" s="1">
        <v>41548</v>
      </c>
    </row>
    <row r="917" spans="7:14" x14ac:dyDescent="0.3">
      <c r="G917" s="1">
        <v>41548</v>
      </c>
      <c r="K917" s="1">
        <v>38169</v>
      </c>
      <c r="M917" t="e">
        <v>#N/A</v>
      </c>
      <c r="N917" s="1">
        <v>41548</v>
      </c>
    </row>
    <row r="918" spans="7:14" x14ac:dyDescent="0.3">
      <c r="G918" s="1">
        <v>41548</v>
      </c>
      <c r="K918" s="1">
        <v>38169</v>
      </c>
      <c r="M918" t="e">
        <v>#N/A</v>
      </c>
      <c r="N918" s="1">
        <v>41548</v>
      </c>
    </row>
    <row r="919" spans="7:14" x14ac:dyDescent="0.3">
      <c r="G919" s="1">
        <v>41548</v>
      </c>
      <c r="K919" s="1">
        <v>38169</v>
      </c>
      <c r="M919" t="e">
        <v>#N/A</v>
      </c>
      <c r="N919" s="1">
        <v>41548</v>
      </c>
    </row>
    <row r="920" spans="7:14" x14ac:dyDescent="0.3">
      <c r="G920" s="1">
        <v>41548</v>
      </c>
      <c r="K920" s="1">
        <v>38169</v>
      </c>
      <c r="M920" t="e">
        <v>#N/A</v>
      </c>
      <c r="N920" s="1">
        <v>41548</v>
      </c>
    </row>
    <row r="921" spans="7:14" x14ac:dyDescent="0.3">
      <c r="G921" s="1">
        <v>41548</v>
      </c>
      <c r="K921" s="1">
        <v>38169</v>
      </c>
      <c r="M921" t="e">
        <v>#N/A</v>
      </c>
      <c r="N921" s="1">
        <v>41548</v>
      </c>
    </row>
    <row r="922" spans="7:14" x14ac:dyDescent="0.3">
      <c r="G922" s="1">
        <v>41548</v>
      </c>
      <c r="K922" s="1">
        <v>38169</v>
      </c>
      <c r="M922" t="e">
        <v>#N/A</v>
      </c>
      <c r="N922" s="1">
        <v>41548</v>
      </c>
    </row>
    <row r="923" spans="7:14" x14ac:dyDescent="0.3">
      <c r="G923" s="1">
        <v>41548</v>
      </c>
      <c r="K923" s="1">
        <v>38169</v>
      </c>
      <c r="M923" t="e">
        <v>#N/A</v>
      </c>
      <c r="N923" s="1">
        <v>41548</v>
      </c>
    </row>
    <row r="924" spans="7:14" x14ac:dyDescent="0.3">
      <c r="G924" s="1">
        <v>41548</v>
      </c>
      <c r="K924" s="1">
        <v>38169</v>
      </c>
      <c r="M924" t="e">
        <v>#N/A</v>
      </c>
      <c r="N924" s="1">
        <v>41548</v>
      </c>
    </row>
    <row r="925" spans="7:14" x14ac:dyDescent="0.3">
      <c r="G925" s="1">
        <v>41640</v>
      </c>
      <c r="K925" s="1">
        <v>38169</v>
      </c>
      <c r="M925" t="e">
        <v>#N/A</v>
      </c>
      <c r="N925" s="1">
        <v>41640</v>
      </c>
    </row>
    <row r="926" spans="7:14" x14ac:dyDescent="0.3">
      <c r="G926" s="1">
        <v>41640</v>
      </c>
      <c r="K926" s="1">
        <v>38169</v>
      </c>
      <c r="M926" t="e">
        <v>#N/A</v>
      </c>
      <c r="N926" s="1">
        <v>41640</v>
      </c>
    </row>
    <row r="927" spans="7:14" x14ac:dyDescent="0.3">
      <c r="G927" s="1">
        <v>41640</v>
      </c>
      <c r="K927" s="1">
        <v>38169</v>
      </c>
      <c r="M927" t="e">
        <v>#N/A</v>
      </c>
      <c r="N927" s="1">
        <v>41640</v>
      </c>
    </row>
    <row r="928" spans="7:14" x14ac:dyDescent="0.3">
      <c r="G928" s="1">
        <v>41640</v>
      </c>
      <c r="K928" s="1">
        <v>38169</v>
      </c>
      <c r="M928" t="e">
        <v>#N/A</v>
      </c>
      <c r="N928" s="1">
        <v>41640</v>
      </c>
    </row>
    <row r="929" spans="7:14" x14ac:dyDescent="0.3">
      <c r="G929" s="1">
        <v>41640</v>
      </c>
      <c r="K929" s="1">
        <v>38169</v>
      </c>
      <c r="M929" t="e">
        <v>#N/A</v>
      </c>
      <c r="N929" s="1">
        <v>41640</v>
      </c>
    </row>
    <row r="930" spans="7:14" x14ac:dyDescent="0.3">
      <c r="G930" s="1">
        <v>41640</v>
      </c>
      <c r="K930" s="1">
        <v>38169</v>
      </c>
      <c r="M930" t="e">
        <v>#N/A</v>
      </c>
      <c r="N930" s="1">
        <v>41640</v>
      </c>
    </row>
    <row r="931" spans="7:14" x14ac:dyDescent="0.3">
      <c r="G931" s="1">
        <v>41640</v>
      </c>
      <c r="K931" s="1">
        <v>38169</v>
      </c>
      <c r="M931" t="e">
        <v>#N/A</v>
      </c>
      <c r="N931" s="1">
        <v>41640</v>
      </c>
    </row>
    <row r="932" spans="7:14" x14ac:dyDescent="0.3">
      <c r="G932" s="1">
        <v>41640</v>
      </c>
      <c r="K932" s="1">
        <v>38169</v>
      </c>
      <c r="M932" t="e">
        <v>#N/A</v>
      </c>
      <c r="N932" s="1">
        <v>41640</v>
      </c>
    </row>
    <row r="933" spans="7:14" x14ac:dyDescent="0.3">
      <c r="G933" s="1">
        <v>41640</v>
      </c>
      <c r="K933" s="1">
        <v>38169</v>
      </c>
      <c r="M933" t="e">
        <v>#N/A</v>
      </c>
      <c r="N933" s="1">
        <v>41640</v>
      </c>
    </row>
    <row r="934" spans="7:14" x14ac:dyDescent="0.3">
      <c r="G934" s="1">
        <v>41640</v>
      </c>
      <c r="K934" s="1">
        <v>38169</v>
      </c>
      <c r="M934" t="e">
        <v>#N/A</v>
      </c>
      <c r="N934" s="1">
        <v>41640</v>
      </c>
    </row>
    <row r="935" spans="7:14" x14ac:dyDescent="0.3">
      <c r="G935" s="1">
        <v>41640</v>
      </c>
      <c r="K935" s="1">
        <v>38169</v>
      </c>
      <c r="M935" t="e">
        <v>#N/A</v>
      </c>
      <c r="N935" s="1">
        <v>41640</v>
      </c>
    </row>
    <row r="936" spans="7:14" x14ac:dyDescent="0.3">
      <c r="G936" s="1">
        <v>41640</v>
      </c>
      <c r="K936" s="1">
        <v>38169</v>
      </c>
      <c r="M936" t="e">
        <v>#N/A</v>
      </c>
      <c r="N936" s="1">
        <v>41640</v>
      </c>
    </row>
    <row r="937" spans="7:14" x14ac:dyDescent="0.3">
      <c r="G937" s="1">
        <v>41640</v>
      </c>
      <c r="K937" s="1">
        <v>38169</v>
      </c>
      <c r="M937" t="e">
        <v>#N/A</v>
      </c>
      <c r="N937" s="1">
        <v>41640</v>
      </c>
    </row>
    <row r="938" spans="7:14" x14ac:dyDescent="0.3">
      <c r="G938" s="1">
        <v>41640</v>
      </c>
      <c r="K938" s="1">
        <v>38169</v>
      </c>
      <c r="M938" t="e">
        <v>#N/A</v>
      </c>
      <c r="N938" s="1">
        <v>41640</v>
      </c>
    </row>
    <row r="939" spans="7:14" x14ac:dyDescent="0.3">
      <c r="G939" s="1">
        <v>41640</v>
      </c>
      <c r="K939" s="1">
        <v>38169</v>
      </c>
      <c r="M939" t="e">
        <v>#N/A</v>
      </c>
      <c r="N939" s="1">
        <v>41640</v>
      </c>
    </row>
    <row r="940" spans="7:14" x14ac:dyDescent="0.3">
      <c r="G940" s="1">
        <v>41640</v>
      </c>
      <c r="K940" s="1">
        <v>38169</v>
      </c>
      <c r="M940" t="e">
        <v>#N/A</v>
      </c>
      <c r="N940" s="1">
        <v>41640</v>
      </c>
    </row>
    <row r="941" spans="7:14" x14ac:dyDescent="0.3">
      <c r="G941" s="1">
        <v>41640</v>
      </c>
      <c r="K941" s="1">
        <v>38169</v>
      </c>
      <c r="M941" t="e">
        <v>#N/A</v>
      </c>
      <c r="N941" s="1">
        <v>41640</v>
      </c>
    </row>
    <row r="942" spans="7:14" x14ac:dyDescent="0.3">
      <c r="G942" s="1">
        <v>41640</v>
      </c>
      <c r="K942" s="1">
        <v>38169</v>
      </c>
      <c r="M942" t="e">
        <v>#N/A</v>
      </c>
      <c r="N942" s="1">
        <v>41640</v>
      </c>
    </row>
    <row r="943" spans="7:14" x14ac:dyDescent="0.3">
      <c r="G943" s="1">
        <v>41640</v>
      </c>
      <c r="K943" s="1">
        <v>38169</v>
      </c>
      <c r="M943" t="e">
        <v>#N/A</v>
      </c>
      <c r="N943" s="1">
        <v>41640</v>
      </c>
    </row>
    <row r="944" spans="7:14" x14ac:dyDescent="0.3">
      <c r="G944" s="1">
        <v>41640</v>
      </c>
      <c r="K944" s="1">
        <v>38169</v>
      </c>
      <c r="M944" t="e">
        <v>#N/A</v>
      </c>
      <c r="N944" s="1">
        <v>41640</v>
      </c>
    </row>
    <row r="945" spans="7:14" x14ac:dyDescent="0.3">
      <c r="G945" s="1">
        <v>41730</v>
      </c>
      <c r="K945" s="1">
        <v>38169</v>
      </c>
      <c r="M945" t="e">
        <v>#N/A</v>
      </c>
      <c r="N945" s="1">
        <v>41730</v>
      </c>
    </row>
    <row r="946" spans="7:14" x14ac:dyDescent="0.3">
      <c r="G946" s="1">
        <v>41730</v>
      </c>
      <c r="K946" s="1">
        <v>38169</v>
      </c>
      <c r="M946" t="e">
        <v>#N/A</v>
      </c>
      <c r="N946" s="1">
        <v>41730</v>
      </c>
    </row>
    <row r="947" spans="7:14" x14ac:dyDescent="0.3">
      <c r="G947" s="1">
        <v>41730</v>
      </c>
      <c r="K947" s="1">
        <v>38169</v>
      </c>
      <c r="M947" t="e">
        <v>#N/A</v>
      </c>
      <c r="N947" s="1">
        <v>41730</v>
      </c>
    </row>
    <row r="948" spans="7:14" x14ac:dyDescent="0.3">
      <c r="G948" s="1">
        <v>41730</v>
      </c>
      <c r="K948" s="1">
        <v>38169</v>
      </c>
      <c r="M948" t="e">
        <v>#N/A</v>
      </c>
      <c r="N948" s="1">
        <v>41730</v>
      </c>
    </row>
    <row r="949" spans="7:14" x14ac:dyDescent="0.3">
      <c r="G949" s="1">
        <v>41730</v>
      </c>
      <c r="K949" s="1">
        <v>38169</v>
      </c>
      <c r="M949" t="e">
        <v>#N/A</v>
      </c>
      <c r="N949" s="1">
        <v>41730</v>
      </c>
    </row>
    <row r="950" spans="7:14" x14ac:dyDescent="0.3">
      <c r="G950" s="1">
        <v>41730</v>
      </c>
      <c r="K950" s="1">
        <v>38169</v>
      </c>
      <c r="M950" t="e">
        <v>#N/A</v>
      </c>
      <c r="N950" s="1">
        <v>41730</v>
      </c>
    </row>
    <row r="951" spans="7:14" x14ac:dyDescent="0.3">
      <c r="G951" s="1">
        <v>41730</v>
      </c>
      <c r="K951" s="1">
        <v>38169</v>
      </c>
      <c r="M951" t="e">
        <v>#N/A</v>
      </c>
      <c r="N951" s="1">
        <v>41730</v>
      </c>
    </row>
    <row r="952" spans="7:14" x14ac:dyDescent="0.3">
      <c r="G952" s="1">
        <v>41730</v>
      </c>
      <c r="K952" s="1">
        <v>38169</v>
      </c>
      <c r="M952" t="e">
        <v>#N/A</v>
      </c>
      <c r="N952" s="1">
        <v>41730</v>
      </c>
    </row>
    <row r="953" spans="7:14" x14ac:dyDescent="0.3">
      <c r="G953" s="1">
        <v>41730</v>
      </c>
      <c r="K953" s="1">
        <v>38169</v>
      </c>
      <c r="M953" t="e">
        <v>#N/A</v>
      </c>
      <c r="N953" s="1">
        <v>41730</v>
      </c>
    </row>
    <row r="954" spans="7:14" x14ac:dyDescent="0.3">
      <c r="G954" s="1">
        <v>41730</v>
      </c>
      <c r="K954" s="1">
        <v>38169</v>
      </c>
      <c r="M954" t="e">
        <v>#N/A</v>
      </c>
      <c r="N954" s="1">
        <v>41730</v>
      </c>
    </row>
    <row r="955" spans="7:14" x14ac:dyDescent="0.3">
      <c r="G955" s="1">
        <v>41730</v>
      </c>
      <c r="K955" s="1">
        <v>38169</v>
      </c>
      <c r="M955" t="e">
        <v>#N/A</v>
      </c>
      <c r="N955" s="1">
        <v>41730</v>
      </c>
    </row>
    <row r="956" spans="7:14" x14ac:dyDescent="0.3">
      <c r="G956" s="1">
        <v>41730</v>
      </c>
      <c r="K956" s="1">
        <v>38169</v>
      </c>
      <c r="M956" t="e">
        <v>#N/A</v>
      </c>
      <c r="N956" s="1">
        <v>41730</v>
      </c>
    </row>
    <row r="957" spans="7:14" x14ac:dyDescent="0.3">
      <c r="G957" s="1">
        <v>41730</v>
      </c>
      <c r="K957" s="1">
        <v>38169</v>
      </c>
      <c r="M957" t="e">
        <v>#N/A</v>
      </c>
      <c r="N957" s="1">
        <v>41730</v>
      </c>
    </row>
    <row r="958" spans="7:14" x14ac:dyDescent="0.3">
      <c r="G958" s="1">
        <v>41730</v>
      </c>
      <c r="K958" s="1">
        <v>38169</v>
      </c>
      <c r="M958" t="e">
        <v>#N/A</v>
      </c>
      <c r="N958" s="1">
        <v>41730</v>
      </c>
    </row>
    <row r="959" spans="7:14" x14ac:dyDescent="0.3">
      <c r="G959" s="1">
        <v>41730</v>
      </c>
      <c r="K959" s="1">
        <v>38169</v>
      </c>
      <c r="M959" t="e">
        <v>#N/A</v>
      </c>
      <c r="N959" s="1">
        <v>41730</v>
      </c>
    </row>
    <row r="960" spans="7:14" x14ac:dyDescent="0.3">
      <c r="G960" s="1">
        <v>41730</v>
      </c>
      <c r="K960" s="1">
        <v>38169</v>
      </c>
      <c r="M960" t="e">
        <v>#N/A</v>
      </c>
      <c r="N960" s="1">
        <v>41730</v>
      </c>
    </row>
    <row r="961" spans="7:14" x14ac:dyDescent="0.3">
      <c r="G961" s="1">
        <v>41730</v>
      </c>
      <c r="K961" s="1">
        <v>38169</v>
      </c>
      <c r="M961" t="e">
        <v>#N/A</v>
      </c>
      <c r="N961" s="1">
        <v>41730</v>
      </c>
    </row>
    <row r="962" spans="7:14" x14ac:dyDescent="0.3">
      <c r="G962" s="1">
        <v>41730</v>
      </c>
      <c r="K962" s="1">
        <v>38169</v>
      </c>
      <c r="M962" t="e">
        <v>#N/A</v>
      </c>
      <c r="N962" s="1">
        <v>41730</v>
      </c>
    </row>
    <row r="963" spans="7:14" x14ac:dyDescent="0.3">
      <c r="G963" s="1">
        <v>41730</v>
      </c>
      <c r="K963" s="1">
        <v>38169</v>
      </c>
      <c r="M963" t="e">
        <v>#N/A</v>
      </c>
      <c r="N963" s="1">
        <v>41730</v>
      </c>
    </row>
    <row r="964" spans="7:14" x14ac:dyDescent="0.3">
      <c r="G964" s="1">
        <v>41730</v>
      </c>
      <c r="K964" s="1">
        <v>38169</v>
      </c>
      <c r="M964" t="e">
        <v>#N/A</v>
      </c>
      <c r="N964" s="1">
        <v>41730</v>
      </c>
    </row>
    <row r="965" spans="7:14" x14ac:dyDescent="0.3">
      <c r="G965" s="1">
        <v>41821</v>
      </c>
      <c r="K965" s="1">
        <v>38169</v>
      </c>
      <c r="M965" t="e">
        <v>#N/A</v>
      </c>
      <c r="N965" s="1">
        <v>41821</v>
      </c>
    </row>
    <row r="966" spans="7:14" x14ac:dyDescent="0.3">
      <c r="G966" s="1">
        <v>41821</v>
      </c>
      <c r="K966" s="1">
        <v>38169</v>
      </c>
      <c r="M966" t="e">
        <v>#N/A</v>
      </c>
      <c r="N966" s="1">
        <v>41821</v>
      </c>
    </row>
    <row r="967" spans="7:14" x14ac:dyDescent="0.3">
      <c r="G967" s="1">
        <v>41821</v>
      </c>
      <c r="K967" s="1">
        <v>38169</v>
      </c>
      <c r="M967" t="e">
        <v>#N/A</v>
      </c>
      <c r="N967" s="1">
        <v>41821</v>
      </c>
    </row>
    <row r="968" spans="7:14" x14ac:dyDescent="0.3">
      <c r="G968" s="1">
        <v>41821</v>
      </c>
      <c r="K968" s="1">
        <v>38169</v>
      </c>
      <c r="M968" t="e">
        <v>#N/A</v>
      </c>
      <c r="N968" s="1">
        <v>41821</v>
      </c>
    </row>
    <row r="969" spans="7:14" x14ac:dyDescent="0.3">
      <c r="G969" s="1">
        <v>41821</v>
      </c>
      <c r="K969" s="1">
        <v>38169</v>
      </c>
      <c r="M969" t="e">
        <v>#N/A</v>
      </c>
      <c r="N969" s="1">
        <v>41821</v>
      </c>
    </row>
    <row r="970" spans="7:14" x14ac:dyDescent="0.3">
      <c r="G970" s="1">
        <v>41821</v>
      </c>
      <c r="K970" s="1">
        <v>38169</v>
      </c>
      <c r="M970" t="e">
        <v>#N/A</v>
      </c>
      <c r="N970" s="1">
        <v>41821</v>
      </c>
    </row>
    <row r="971" spans="7:14" x14ac:dyDescent="0.3">
      <c r="G971" s="1">
        <v>41821</v>
      </c>
      <c r="K971" s="1">
        <v>38169</v>
      </c>
      <c r="M971" t="e">
        <v>#N/A</v>
      </c>
      <c r="N971" s="1">
        <v>41821</v>
      </c>
    </row>
    <row r="972" spans="7:14" x14ac:dyDescent="0.3">
      <c r="G972" s="1">
        <v>41821</v>
      </c>
      <c r="K972" s="1">
        <v>38169</v>
      </c>
      <c r="M972" t="e">
        <v>#N/A</v>
      </c>
      <c r="N972" s="1">
        <v>41821</v>
      </c>
    </row>
    <row r="973" spans="7:14" x14ac:dyDescent="0.3">
      <c r="G973" s="1">
        <v>41821</v>
      </c>
      <c r="K973" s="1">
        <v>38169</v>
      </c>
      <c r="M973" t="e">
        <v>#N/A</v>
      </c>
      <c r="N973" s="1">
        <v>41821</v>
      </c>
    </row>
    <row r="974" spans="7:14" x14ac:dyDescent="0.3">
      <c r="G974" s="1">
        <v>41821</v>
      </c>
      <c r="K974" s="1">
        <v>38169</v>
      </c>
      <c r="M974" t="e">
        <v>#N/A</v>
      </c>
      <c r="N974" s="1">
        <v>41821</v>
      </c>
    </row>
    <row r="975" spans="7:14" x14ac:dyDescent="0.3">
      <c r="G975" s="1">
        <v>41821</v>
      </c>
      <c r="K975" s="1">
        <v>38169</v>
      </c>
      <c r="M975" t="e">
        <v>#N/A</v>
      </c>
      <c r="N975" s="1">
        <v>41821</v>
      </c>
    </row>
    <row r="976" spans="7:14" x14ac:dyDescent="0.3">
      <c r="G976" s="1">
        <v>41821</v>
      </c>
      <c r="K976" s="1">
        <v>38169</v>
      </c>
      <c r="M976" t="e">
        <v>#N/A</v>
      </c>
      <c r="N976" s="1">
        <v>41821</v>
      </c>
    </row>
    <row r="977" spans="7:14" x14ac:dyDescent="0.3">
      <c r="G977" s="1">
        <v>41821</v>
      </c>
      <c r="K977" s="1">
        <v>38169</v>
      </c>
      <c r="M977" t="e">
        <v>#N/A</v>
      </c>
      <c r="N977" s="1">
        <v>41821</v>
      </c>
    </row>
    <row r="978" spans="7:14" x14ac:dyDescent="0.3">
      <c r="G978" s="1">
        <v>41821</v>
      </c>
      <c r="K978" s="1">
        <v>38169</v>
      </c>
      <c r="M978" t="e">
        <v>#N/A</v>
      </c>
      <c r="N978" s="1">
        <v>41821</v>
      </c>
    </row>
    <row r="979" spans="7:14" x14ac:dyDescent="0.3">
      <c r="G979" s="1">
        <v>41821</v>
      </c>
      <c r="K979" s="1">
        <v>38169</v>
      </c>
      <c r="M979" t="e">
        <v>#N/A</v>
      </c>
      <c r="N979" s="1">
        <v>41821</v>
      </c>
    </row>
    <row r="980" spans="7:14" x14ac:dyDescent="0.3">
      <c r="G980" s="1">
        <v>41821</v>
      </c>
      <c r="K980" s="1">
        <v>38169</v>
      </c>
      <c r="M980" t="e">
        <v>#N/A</v>
      </c>
      <c r="N980" s="1">
        <v>41821</v>
      </c>
    </row>
    <row r="981" spans="7:14" x14ac:dyDescent="0.3">
      <c r="G981" s="1">
        <v>41821</v>
      </c>
      <c r="K981" s="1">
        <v>38169</v>
      </c>
      <c r="M981" t="e">
        <v>#N/A</v>
      </c>
      <c r="N981" s="1">
        <v>41821</v>
      </c>
    </row>
    <row r="982" spans="7:14" x14ac:dyDescent="0.3">
      <c r="G982" s="1">
        <v>41821</v>
      </c>
      <c r="K982" s="1">
        <v>38169</v>
      </c>
      <c r="M982" t="e">
        <v>#N/A</v>
      </c>
      <c r="N982" s="1">
        <v>41821</v>
      </c>
    </row>
    <row r="983" spans="7:14" x14ac:dyDescent="0.3">
      <c r="G983" s="1">
        <v>41913</v>
      </c>
      <c r="K983" s="1">
        <v>38169</v>
      </c>
      <c r="M983" t="e">
        <v>#N/A</v>
      </c>
      <c r="N983" s="1">
        <v>41913</v>
      </c>
    </row>
    <row r="984" spans="7:14" x14ac:dyDescent="0.3">
      <c r="G984" s="1">
        <v>41913</v>
      </c>
      <c r="K984" s="1">
        <v>38169</v>
      </c>
      <c r="M984" t="e">
        <v>#N/A</v>
      </c>
      <c r="N984" s="1">
        <v>41913</v>
      </c>
    </row>
    <row r="985" spans="7:14" x14ac:dyDescent="0.3">
      <c r="G985" s="1">
        <v>41913</v>
      </c>
      <c r="K985" s="1">
        <v>38169</v>
      </c>
      <c r="M985" t="e">
        <v>#N/A</v>
      </c>
      <c r="N985" s="1">
        <v>41913</v>
      </c>
    </row>
    <row r="986" spans="7:14" x14ac:dyDescent="0.3">
      <c r="G986" s="1">
        <v>41913</v>
      </c>
      <c r="K986" s="1">
        <v>38169</v>
      </c>
      <c r="M986" t="e">
        <v>#N/A</v>
      </c>
      <c r="N986" s="1">
        <v>41913</v>
      </c>
    </row>
    <row r="987" spans="7:14" x14ac:dyDescent="0.3">
      <c r="G987" s="1">
        <v>41913</v>
      </c>
      <c r="K987" s="1">
        <v>38169</v>
      </c>
      <c r="M987" t="e">
        <v>#N/A</v>
      </c>
      <c r="N987" s="1">
        <v>41913</v>
      </c>
    </row>
    <row r="988" spans="7:14" x14ac:dyDescent="0.3">
      <c r="G988" s="1">
        <v>41913</v>
      </c>
      <c r="K988" s="1">
        <v>38169</v>
      </c>
      <c r="M988" t="e">
        <v>#N/A</v>
      </c>
      <c r="N988" s="1">
        <v>41913</v>
      </c>
    </row>
    <row r="989" spans="7:14" x14ac:dyDescent="0.3">
      <c r="G989" s="1">
        <v>41913</v>
      </c>
      <c r="K989" s="1">
        <v>38169</v>
      </c>
      <c r="M989" t="e">
        <v>#N/A</v>
      </c>
      <c r="N989" s="1">
        <v>41913</v>
      </c>
    </row>
    <row r="990" spans="7:14" x14ac:dyDescent="0.3">
      <c r="G990" s="1">
        <v>41913</v>
      </c>
      <c r="K990" s="1">
        <v>38169</v>
      </c>
      <c r="M990" t="e">
        <v>#N/A</v>
      </c>
      <c r="N990" s="1">
        <v>41913</v>
      </c>
    </row>
    <row r="991" spans="7:14" x14ac:dyDescent="0.3">
      <c r="G991" s="1">
        <v>41913</v>
      </c>
      <c r="K991" s="1">
        <v>38169</v>
      </c>
      <c r="M991" t="e">
        <v>#N/A</v>
      </c>
      <c r="N991" s="1">
        <v>41913</v>
      </c>
    </row>
    <row r="992" spans="7:14" x14ac:dyDescent="0.3">
      <c r="G992" s="1">
        <v>41913</v>
      </c>
      <c r="K992" s="1">
        <v>38169</v>
      </c>
      <c r="M992" t="e">
        <v>#N/A</v>
      </c>
      <c r="N992" s="1">
        <v>41913</v>
      </c>
    </row>
    <row r="993" spans="7:14" x14ac:dyDescent="0.3">
      <c r="G993" s="1">
        <v>41913</v>
      </c>
      <c r="K993" s="1">
        <v>38169</v>
      </c>
      <c r="M993" t="e">
        <v>#N/A</v>
      </c>
      <c r="N993" s="1">
        <v>41913</v>
      </c>
    </row>
    <row r="994" spans="7:14" x14ac:dyDescent="0.3">
      <c r="G994" s="1">
        <v>41913</v>
      </c>
      <c r="K994" s="1">
        <v>38169</v>
      </c>
      <c r="M994" t="e">
        <v>#N/A</v>
      </c>
      <c r="N994" s="1">
        <v>41913</v>
      </c>
    </row>
    <row r="995" spans="7:14" x14ac:dyDescent="0.3">
      <c r="G995" s="1">
        <v>41913</v>
      </c>
      <c r="K995" s="1">
        <v>38169</v>
      </c>
      <c r="M995" t="e">
        <v>#N/A</v>
      </c>
      <c r="N995" s="1">
        <v>41913</v>
      </c>
    </row>
    <row r="996" spans="7:14" x14ac:dyDescent="0.3">
      <c r="G996" s="1">
        <v>41913</v>
      </c>
      <c r="K996" s="1">
        <v>38169</v>
      </c>
      <c r="M996" t="e">
        <v>#N/A</v>
      </c>
      <c r="N996" s="1">
        <v>41913</v>
      </c>
    </row>
    <row r="997" spans="7:14" x14ac:dyDescent="0.3">
      <c r="G997" s="1">
        <v>41913</v>
      </c>
      <c r="K997" s="1">
        <v>38169</v>
      </c>
      <c r="M997" t="e">
        <v>#N/A</v>
      </c>
      <c r="N997" s="1">
        <v>41913</v>
      </c>
    </row>
    <row r="998" spans="7:14" x14ac:dyDescent="0.3">
      <c r="G998" s="1">
        <v>42005</v>
      </c>
      <c r="K998" s="1">
        <v>38169</v>
      </c>
      <c r="M998" t="e">
        <v>#N/A</v>
      </c>
      <c r="N998" s="1">
        <v>42005</v>
      </c>
    </row>
    <row r="999" spans="7:14" x14ac:dyDescent="0.3">
      <c r="G999" s="1">
        <v>42005</v>
      </c>
      <c r="K999" s="1">
        <v>38169</v>
      </c>
      <c r="M999" t="e">
        <v>#N/A</v>
      </c>
      <c r="N999" s="1">
        <v>42005</v>
      </c>
    </row>
    <row r="1000" spans="7:14" x14ac:dyDescent="0.3">
      <c r="G1000" s="1">
        <v>42005</v>
      </c>
      <c r="K1000" s="1">
        <v>38169</v>
      </c>
      <c r="M1000" t="e">
        <v>#N/A</v>
      </c>
      <c r="N1000" s="1">
        <v>42005</v>
      </c>
    </row>
    <row r="1001" spans="7:14" x14ac:dyDescent="0.3">
      <c r="G1001" s="1">
        <v>42005</v>
      </c>
      <c r="K1001" s="1">
        <v>38169</v>
      </c>
      <c r="M1001" t="e">
        <v>#N/A</v>
      </c>
      <c r="N1001" s="1">
        <v>42005</v>
      </c>
    </row>
    <row r="1002" spans="7:14" x14ac:dyDescent="0.3">
      <c r="G1002" s="1">
        <v>42005</v>
      </c>
      <c r="K1002" s="1">
        <v>38169</v>
      </c>
      <c r="M1002" t="e">
        <v>#N/A</v>
      </c>
      <c r="N1002" s="1">
        <v>42005</v>
      </c>
    </row>
    <row r="1003" spans="7:14" x14ac:dyDescent="0.3">
      <c r="G1003" s="1">
        <v>42005</v>
      </c>
      <c r="K1003" s="1">
        <v>38169</v>
      </c>
      <c r="M1003" t="e">
        <v>#N/A</v>
      </c>
      <c r="N1003" s="1">
        <v>42005</v>
      </c>
    </row>
    <row r="1004" spans="7:14" x14ac:dyDescent="0.3">
      <c r="G1004" s="1">
        <v>42005</v>
      </c>
      <c r="K1004" s="1">
        <v>38169</v>
      </c>
      <c r="M1004" t="e">
        <v>#N/A</v>
      </c>
      <c r="N1004" s="1">
        <v>42005</v>
      </c>
    </row>
    <row r="1005" spans="7:14" x14ac:dyDescent="0.3">
      <c r="G1005" s="1">
        <v>42005</v>
      </c>
      <c r="K1005" s="1">
        <v>38169</v>
      </c>
      <c r="M1005" t="e">
        <v>#N/A</v>
      </c>
      <c r="N1005" s="1">
        <v>42005</v>
      </c>
    </row>
    <row r="1006" spans="7:14" x14ac:dyDescent="0.3">
      <c r="G1006" s="1">
        <v>42005</v>
      </c>
      <c r="K1006" s="1">
        <v>38169</v>
      </c>
      <c r="M1006" t="e">
        <v>#N/A</v>
      </c>
      <c r="N1006" s="1">
        <v>42005</v>
      </c>
    </row>
    <row r="1007" spans="7:14" x14ac:dyDescent="0.3">
      <c r="G1007" s="1">
        <v>42005</v>
      </c>
      <c r="K1007" s="1">
        <v>38169</v>
      </c>
      <c r="M1007" t="e">
        <v>#N/A</v>
      </c>
      <c r="N1007" s="1">
        <v>42005</v>
      </c>
    </row>
    <row r="1008" spans="7:14" x14ac:dyDescent="0.3">
      <c r="G1008" s="1">
        <v>42005</v>
      </c>
      <c r="K1008" s="1">
        <v>38169</v>
      </c>
      <c r="M1008" t="e">
        <v>#N/A</v>
      </c>
      <c r="N1008" s="1">
        <v>42005</v>
      </c>
    </row>
    <row r="1009" spans="7:14" x14ac:dyDescent="0.3">
      <c r="G1009" s="1">
        <v>42005</v>
      </c>
      <c r="K1009" s="1">
        <v>38169</v>
      </c>
      <c r="M1009" t="e">
        <v>#N/A</v>
      </c>
      <c r="N1009" s="1">
        <v>42005</v>
      </c>
    </row>
    <row r="1010" spans="7:14" x14ac:dyDescent="0.3">
      <c r="G1010" s="1">
        <v>42005</v>
      </c>
      <c r="K1010" s="1">
        <v>38169</v>
      </c>
      <c r="M1010" t="e">
        <v>#N/A</v>
      </c>
      <c r="N1010" s="1">
        <v>42005</v>
      </c>
    </row>
    <row r="1011" spans="7:14" x14ac:dyDescent="0.3">
      <c r="G1011" s="1">
        <v>42005</v>
      </c>
      <c r="K1011" s="1">
        <v>38169</v>
      </c>
      <c r="M1011" t="e">
        <v>#N/A</v>
      </c>
      <c r="N1011" s="1">
        <v>42005</v>
      </c>
    </row>
    <row r="1012" spans="7:14" x14ac:dyDescent="0.3">
      <c r="G1012" s="1">
        <v>42005</v>
      </c>
      <c r="K1012" s="1">
        <v>38169</v>
      </c>
      <c r="M1012" t="e">
        <v>#N/A</v>
      </c>
      <c r="N1012" s="1">
        <v>42005</v>
      </c>
    </row>
    <row r="1013" spans="7:14" x14ac:dyDescent="0.3">
      <c r="G1013" s="1">
        <v>42095</v>
      </c>
      <c r="K1013" s="1">
        <v>38169</v>
      </c>
      <c r="M1013" t="e">
        <v>#N/A</v>
      </c>
      <c r="N1013" s="1">
        <v>42095</v>
      </c>
    </row>
    <row r="1014" spans="7:14" x14ac:dyDescent="0.3">
      <c r="G1014" s="1">
        <v>42095</v>
      </c>
      <c r="K1014" s="1">
        <v>38169</v>
      </c>
      <c r="M1014" t="e">
        <v>#N/A</v>
      </c>
      <c r="N1014" s="1">
        <v>42095</v>
      </c>
    </row>
    <row r="1015" spans="7:14" x14ac:dyDescent="0.3">
      <c r="G1015" s="1">
        <v>42095</v>
      </c>
      <c r="K1015" s="1">
        <v>38169</v>
      </c>
      <c r="M1015" t="e">
        <v>#N/A</v>
      </c>
      <c r="N1015" s="1">
        <v>42095</v>
      </c>
    </row>
    <row r="1016" spans="7:14" x14ac:dyDescent="0.3">
      <c r="G1016" s="1">
        <v>42095</v>
      </c>
      <c r="K1016" s="1">
        <v>38169</v>
      </c>
      <c r="M1016" t="e">
        <v>#N/A</v>
      </c>
      <c r="N1016" s="1">
        <v>42095</v>
      </c>
    </row>
    <row r="1017" spans="7:14" x14ac:dyDescent="0.3">
      <c r="G1017" s="1">
        <v>42095</v>
      </c>
      <c r="K1017" s="1">
        <v>38169</v>
      </c>
      <c r="M1017" t="e">
        <v>#N/A</v>
      </c>
      <c r="N1017" s="1">
        <v>42095</v>
      </c>
    </row>
    <row r="1018" spans="7:14" x14ac:dyDescent="0.3">
      <c r="G1018" s="1">
        <v>42095</v>
      </c>
      <c r="K1018" s="1">
        <v>38169</v>
      </c>
      <c r="M1018" t="e">
        <v>#N/A</v>
      </c>
      <c r="N1018" s="1">
        <v>42095</v>
      </c>
    </row>
    <row r="1019" spans="7:14" x14ac:dyDescent="0.3">
      <c r="G1019" s="1">
        <v>42095</v>
      </c>
      <c r="K1019" s="1">
        <v>38169</v>
      </c>
      <c r="M1019" t="e">
        <v>#N/A</v>
      </c>
      <c r="N1019" s="1">
        <v>42095</v>
      </c>
    </row>
    <row r="1020" spans="7:14" x14ac:dyDescent="0.3">
      <c r="G1020" s="1">
        <v>42095</v>
      </c>
      <c r="K1020" s="1">
        <v>38169</v>
      </c>
      <c r="M1020" t="e">
        <v>#N/A</v>
      </c>
      <c r="N1020" s="1">
        <v>42095</v>
      </c>
    </row>
    <row r="1021" spans="7:14" x14ac:dyDescent="0.3">
      <c r="G1021" s="1">
        <v>42095</v>
      </c>
      <c r="K1021" s="1">
        <v>38169</v>
      </c>
      <c r="M1021" t="e">
        <v>#N/A</v>
      </c>
      <c r="N1021" s="1">
        <v>42095</v>
      </c>
    </row>
    <row r="1022" spans="7:14" x14ac:dyDescent="0.3">
      <c r="G1022" s="1">
        <v>42095</v>
      </c>
      <c r="K1022" s="1">
        <v>38169</v>
      </c>
      <c r="M1022" t="e">
        <v>#N/A</v>
      </c>
      <c r="N1022" s="1">
        <v>42095</v>
      </c>
    </row>
    <row r="1023" spans="7:14" x14ac:dyDescent="0.3">
      <c r="G1023" s="1">
        <v>42095</v>
      </c>
      <c r="K1023" s="1">
        <v>38169</v>
      </c>
      <c r="M1023" t="e">
        <v>#N/A</v>
      </c>
      <c r="N1023" s="1">
        <v>42095</v>
      </c>
    </row>
    <row r="1024" spans="7:14" x14ac:dyDescent="0.3">
      <c r="G1024" s="1">
        <v>42095</v>
      </c>
      <c r="K1024" s="1">
        <v>38169</v>
      </c>
      <c r="M1024" t="e">
        <v>#N/A</v>
      </c>
      <c r="N1024" s="1">
        <v>42095</v>
      </c>
    </row>
    <row r="1025" spans="7:14" x14ac:dyDescent="0.3">
      <c r="G1025" s="1">
        <v>42095</v>
      </c>
      <c r="K1025" s="1">
        <v>38169</v>
      </c>
      <c r="M1025" t="e">
        <v>#N/A</v>
      </c>
      <c r="N1025" s="1">
        <v>42095</v>
      </c>
    </row>
    <row r="1026" spans="7:14" x14ac:dyDescent="0.3">
      <c r="G1026" s="1">
        <v>42095</v>
      </c>
      <c r="K1026" s="1">
        <v>38169</v>
      </c>
      <c r="M1026" t="e">
        <v>#N/A</v>
      </c>
      <c r="N1026" s="1">
        <v>42095</v>
      </c>
    </row>
    <row r="1027" spans="7:14" x14ac:dyDescent="0.3">
      <c r="G1027" s="1">
        <v>42186</v>
      </c>
      <c r="K1027" s="1">
        <v>38169</v>
      </c>
      <c r="M1027" t="e">
        <v>#N/A</v>
      </c>
      <c r="N1027" s="1">
        <v>42186</v>
      </c>
    </row>
    <row r="1028" spans="7:14" x14ac:dyDescent="0.3">
      <c r="G1028" s="1">
        <v>42186</v>
      </c>
      <c r="K1028" s="1">
        <v>38169</v>
      </c>
      <c r="M1028" t="e">
        <v>#N/A</v>
      </c>
      <c r="N1028" s="1">
        <v>42186</v>
      </c>
    </row>
    <row r="1029" spans="7:14" x14ac:dyDescent="0.3">
      <c r="G1029" s="1">
        <v>42186</v>
      </c>
      <c r="K1029" s="1">
        <v>38169</v>
      </c>
      <c r="M1029" t="e">
        <v>#N/A</v>
      </c>
      <c r="N1029" s="1">
        <v>42186</v>
      </c>
    </row>
    <row r="1030" spans="7:14" x14ac:dyDescent="0.3">
      <c r="G1030" s="1">
        <v>42186</v>
      </c>
      <c r="K1030" s="1">
        <v>38169</v>
      </c>
      <c r="M1030" t="e">
        <v>#N/A</v>
      </c>
      <c r="N1030" s="1">
        <v>42186</v>
      </c>
    </row>
    <row r="1031" spans="7:14" x14ac:dyDescent="0.3">
      <c r="G1031" s="1">
        <v>42186</v>
      </c>
      <c r="K1031" s="1">
        <v>38169</v>
      </c>
      <c r="M1031" t="e">
        <v>#N/A</v>
      </c>
      <c r="N1031" s="1">
        <v>42186</v>
      </c>
    </row>
    <row r="1032" spans="7:14" x14ac:dyDescent="0.3">
      <c r="G1032" s="1">
        <v>42186</v>
      </c>
      <c r="K1032" s="1">
        <v>38169</v>
      </c>
      <c r="M1032" t="e">
        <v>#N/A</v>
      </c>
      <c r="N1032" s="1">
        <v>42186</v>
      </c>
    </row>
    <row r="1033" spans="7:14" x14ac:dyDescent="0.3">
      <c r="G1033" s="1">
        <v>42186</v>
      </c>
      <c r="K1033" s="1">
        <v>38169</v>
      </c>
      <c r="M1033" t="e">
        <v>#N/A</v>
      </c>
      <c r="N1033" s="1">
        <v>42186</v>
      </c>
    </row>
    <row r="1034" spans="7:14" x14ac:dyDescent="0.3">
      <c r="G1034" s="1">
        <v>42186</v>
      </c>
      <c r="K1034" s="1">
        <v>38169</v>
      </c>
      <c r="M1034" t="e">
        <v>#N/A</v>
      </c>
      <c r="N1034" s="1">
        <v>42186</v>
      </c>
    </row>
    <row r="1035" spans="7:14" x14ac:dyDescent="0.3">
      <c r="G1035" s="1">
        <v>42186</v>
      </c>
      <c r="K1035" s="1">
        <v>38169</v>
      </c>
      <c r="M1035" t="e">
        <v>#N/A</v>
      </c>
      <c r="N1035" s="1">
        <v>42186</v>
      </c>
    </row>
    <row r="1036" spans="7:14" x14ac:dyDescent="0.3">
      <c r="G1036" s="1">
        <v>42186</v>
      </c>
      <c r="K1036" s="1">
        <v>38169</v>
      </c>
      <c r="M1036" t="e">
        <v>#N/A</v>
      </c>
      <c r="N1036" s="1">
        <v>42186</v>
      </c>
    </row>
    <row r="1037" spans="7:14" x14ac:dyDescent="0.3">
      <c r="G1037" s="1">
        <v>42186</v>
      </c>
      <c r="K1037" s="1">
        <v>38169</v>
      </c>
      <c r="M1037" t="e">
        <v>#N/A</v>
      </c>
      <c r="N1037" s="1">
        <v>42186</v>
      </c>
    </row>
    <row r="1038" spans="7:14" x14ac:dyDescent="0.3">
      <c r="G1038" s="1">
        <v>42186</v>
      </c>
      <c r="K1038" s="1">
        <v>38169</v>
      </c>
      <c r="M1038" t="e">
        <v>#N/A</v>
      </c>
      <c r="N1038" s="1">
        <v>42186</v>
      </c>
    </row>
    <row r="1039" spans="7:14" x14ac:dyDescent="0.3">
      <c r="G1039" s="1">
        <v>42186</v>
      </c>
      <c r="K1039" s="1">
        <v>38169</v>
      </c>
      <c r="M1039" t="e">
        <v>#N/A</v>
      </c>
      <c r="N1039" s="1">
        <v>42186</v>
      </c>
    </row>
    <row r="1040" spans="7:14" x14ac:dyDescent="0.3">
      <c r="G1040" s="1">
        <v>42186</v>
      </c>
      <c r="K1040" s="1">
        <v>38169</v>
      </c>
      <c r="M1040" t="e">
        <v>#N/A</v>
      </c>
      <c r="N1040" s="1">
        <v>42186</v>
      </c>
    </row>
    <row r="1041" spans="7:14" x14ac:dyDescent="0.3">
      <c r="G1041" s="1">
        <v>42186</v>
      </c>
      <c r="K1041" s="1">
        <v>38169</v>
      </c>
      <c r="M1041" t="e">
        <v>#N/A</v>
      </c>
      <c r="N1041" s="1">
        <v>42186</v>
      </c>
    </row>
    <row r="1042" spans="7:14" x14ac:dyDescent="0.3">
      <c r="G1042" s="1">
        <v>42278</v>
      </c>
      <c r="K1042" s="1">
        <v>38169</v>
      </c>
      <c r="M1042" t="e">
        <v>#N/A</v>
      </c>
      <c r="N1042" s="1">
        <v>42278</v>
      </c>
    </row>
    <row r="1043" spans="7:14" x14ac:dyDescent="0.3">
      <c r="G1043" s="1">
        <v>42278</v>
      </c>
      <c r="K1043" s="1">
        <v>38169</v>
      </c>
      <c r="M1043" t="e">
        <v>#N/A</v>
      </c>
      <c r="N1043" s="1">
        <v>42278</v>
      </c>
    </row>
    <row r="1044" spans="7:14" x14ac:dyDescent="0.3">
      <c r="G1044" s="1">
        <v>42278</v>
      </c>
      <c r="K1044" s="1">
        <v>38169</v>
      </c>
      <c r="M1044" t="e">
        <v>#N/A</v>
      </c>
      <c r="N1044" s="1">
        <v>42278</v>
      </c>
    </row>
    <row r="1045" spans="7:14" x14ac:dyDescent="0.3">
      <c r="G1045" s="1">
        <v>42278</v>
      </c>
      <c r="K1045" s="1">
        <v>38169</v>
      </c>
      <c r="M1045" t="e">
        <v>#N/A</v>
      </c>
      <c r="N1045" s="1">
        <v>42278</v>
      </c>
    </row>
    <row r="1046" spans="7:14" x14ac:dyDescent="0.3">
      <c r="G1046" s="1">
        <v>42278</v>
      </c>
      <c r="K1046" s="1">
        <v>38169</v>
      </c>
      <c r="M1046" t="e">
        <v>#N/A</v>
      </c>
      <c r="N1046" s="1">
        <v>42278</v>
      </c>
    </row>
    <row r="1047" spans="7:14" x14ac:dyDescent="0.3">
      <c r="G1047" s="1">
        <v>42278</v>
      </c>
      <c r="K1047" s="1">
        <v>38169</v>
      </c>
      <c r="M1047" t="e">
        <v>#N/A</v>
      </c>
      <c r="N1047" s="1">
        <v>42278</v>
      </c>
    </row>
    <row r="1048" spans="7:14" x14ac:dyDescent="0.3">
      <c r="G1048" s="1">
        <v>42278</v>
      </c>
      <c r="K1048" s="1">
        <v>38169</v>
      </c>
      <c r="M1048" t="e">
        <v>#N/A</v>
      </c>
      <c r="N1048" s="1">
        <v>42278</v>
      </c>
    </row>
    <row r="1049" spans="7:14" x14ac:dyDescent="0.3">
      <c r="G1049" s="1">
        <v>42278</v>
      </c>
      <c r="K1049" s="1">
        <v>38169</v>
      </c>
      <c r="M1049" t="e">
        <v>#N/A</v>
      </c>
      <c r="N1049" s="1">
        <v>42278</v>
      </c>
    </row>
    <row r="1050" spans="7:14" x14ac:dyDescent="0.3">
      <c r="G1050" s="1">
        <v>42278</v>
      </c>
      <c r="K1050" s="1">
        <v>38169</v>
      </c>
      <c r="M1050" t="e">
        <v>#N/A</v>
      </c>
      <c r="N1050" s="1">
        <v>42278</v>
      </c>
    </row>
    <row r="1051" spans="7:14" x14ac:dyDescent="0.3">
      <c r="G1051" s="1">
        <v>42278</v>
      </c>
      <c r="K1051" s="1">
        <v>38169</v>
      </c>
      <c r="M1051" t="e">
        <v>#N/A</v>
      </c>
      <c r="N1051" s="1">
        <v>42278</v>
      </c>
    </row>
    <row r="1052" spans="7:14" x14ac:dyDescent="0.3">
      <c r="G1052" s="1">
        <v>42278</v>
      </c>
      <c r="K1052" s="1">
        <v>38169</v>
      </c>
      <c r="M1052" t="e">
        <v>#N/A</v>
      </c>
      <c r="N1052" s="1">
        <v>42278</v>
      </c>
    </row>
    <row r="1053" spans="7:14" x14ac:dyDescent="0.3">
      <c r="G1053" s="1">
        <v>42278</v>
      </c>
      <c r="K1053" s="1">
        <v>38169</v>
      </c>
      <c r="M1053" t="e">
        <v>#N/A</v>
      </c>
      <c r="N1053" s="1">
        <v>42278</v>
      </c>
    </row>
    <row r="1054" spans="7:14" x14ac:dyDescent="0.3">
      <c r="G1054" s="1">
        <v>42370</v>
      </c>
      <c r="K1054" s="1">
        <v>38169</v>
      </c>
      <c r="M1054" t="e">
        <v>#N/A</v>
      </c>
      <c r="N1054" s="1">
        <v>42370</v>
      </c>
    </row>
    <row r="1055" spans="7:14" x14ac:dyDescent="0.3">
      <c r="G1055" s="1">
        <v>42370</v>
      </c>
      <c r="K1055" s="1">
        <v>38169</v>
      </c>
      <c r="M1055" t="e">
        <v>#N/A</v>
      </c>
      <c r="N1055" s="1">
        <v>42370</v>
      </c>
    </row>
    <row r="1056" spans="7:14" x14ac:dyDescent="0.3">
      <c r="G1056" s="1">
        <v>42370</v>
      </c>
      <c r="K1056" s="1">
        <v>38169</v>
      </c>
      <c r="M1056" t="e">
        <v>#N/A</v>
      </c>
      <c r="N1056" s="1">
        <v>42370</v>
      </c>
    </row>
    <row r="1057" spans="7:14" x14ac:dyDescent="0.3">
      <c r="G1057" s="1">
        <v>42370</v>
      </c>
      <c r="K1057" s="1">
        <v>38169</v>
      </c>
      <c r="M1057" t="e">
        <v>#N/A</v>
      </c>
      <c r="N1057" s="1">
        <v>42370</v>
      </c>
    </row>
    <row r="1058" spans="7:14" x14ac:dyDescent="0.3">
      <c r="G1058" s="1">
        <v>42370</v>
      </c>
      <c r="K1058" s="1">
        <v>38169</v>
      </c>
      <c r="M1058" t="e">
        <v>#N/A</v>
      </c>
      <c r="N1058" s="1">
        <v>42370</v>
      </c>
    </row>
    <row r="1059" spans="7:14" x14ac:dyDescent="0.3">
      <c r="G1059" s="1">
        <v>42370</v>
      </c>
      <c r="K1059" s="1">
        <v>38169</v>
      </c>
      <c r="M1059" t="e">
        <v>#N/A</v>
      </c>
      <c r="N1059" s="1">
        <v>42370</v>
      </c>
    </row>
    <row r="1060" spans="7:14" x14ac:dyDescent="0.3">
      <c r="G1060" s="1">
        <v>42370</v>
      </c>
      <c r="K1060" s="1">
        <v>38169</v>
      </c>
      <c r="M1060" t="e">
        <v>#N/A</v>
      </c>
      <c r="N1060" s="1">
        <v>42370</v>
      </c>
    </row>
    <row r="1061" spans="7:14" x14ac:dyDescent="0.3">
      <c r="G1061" s="1">
        <v>42370</v>
      </c>
      <c r="K1061" s="1">
        <v>38169</v>
      </c>
      <c r="M1061" t="e">
        <v>#N/A</v>
      </c>
      <c r="N1061" s="1">
        <v>42370</v>
      </c>
    </row>
    <row r="1062" spans="7:14" x14ac:dyDescent="0.3">
      <c r="G1062" s="1">
        <v>42370</v>
      </c>
      <c r="K1062" s="1">
        <v>38169</v>
      </c>
      <c r="M1062" t="e">
        <v>#N/A</v>
      </c>
      <c r="N1062" s="1">
        <v>42370</v>
      </c>
    </row>
    <row r="1063" spans="7:14" x14ac:dyDescent="0.3">
      <c r="G1063" s="1">
        <v>42370</v>
      </c>
      <c r="K1063" s="1">
        <v>38169</v>
      </c>
      <c r="M1063" t="e">
        <v>#N/A</v>
      </c>
      <c r="N1063" s="1">
        <v>42370</v>
      </c>
    </row>
    <row r="1064" spans="7:14" x14ac:dyDescent="0.3">
      <c r="G1064" s="1">
        <v>42370</v>
      </c>
      <c r="K1064" s="1">
        <v>38169</v>
      </c>
      <c r="M1064" t="e">
        <v>#N/A</v>
      </c>
      <c r="N1064" s="1">
        <v>42370</v>
      </c>
    </row>
    <row r="1065" spans="7:14" x14ac:dyDescent="0.3">
      <c r="G1065" s="1">
        <v>42370</v>
      </c>
      <c r="K1065" s="1">
        <v>38169</v>
      </c>
      <c r="M1065" t="e">
        <v>#N/A</v>
      </c>
      <c r="N1065" s="1">
        <v>42370</v>
      </c>
    </row>
    <row r="1066" spans="7:14" x14ac:dyDescent="0.3">
      <c r="G1066" s="1">
        <v>42370</v>
      </c>
      <c r="K1066" s="1">
        <v>38169</v>
      </c>
      <c r="M1066" t="e">
        <v>#N/A</v>
      </c>
      <c r="N1066" s="1">
        <v>42370</v>
      </c>
    </row>
    <row r="1067" spans="7:14" x14ac:dyDescent="0.3">
      <c r="G1067" s="1">
        <v>42461</v>
      </c>
      <c r="K1067" s="1">
        <v>38169</v>
      </c>
      <c r="M1067" t="e">
        <v>#N/A</v>
      </c>
      <c r="N1067" s="1">
        <v>42461</v>
      </c>
    </row>
    <row r="1068" spans="7:14" x14ac:dyDescent="0.3">
      <c r="G1068" s="1">
        <v>42461</v>
      </c>
      <c r="K1068" s="1">
        <v>38169</v>
      </c>
      <c r="M1068" t="e">
        <v>#N/A</v>
      </c>
      <c r="N1068" s="1">
        <v>42461</v>
      </c>
    </row>
    <row r="1069" spans="7:14" x14ac:dyDescent="0.3">
      <c r="G1069" s="1">
        <v>42461</v>
      </c>
      <c r="K1069" s="1">
        <v>38169</v>
      </c>
      <c r="M1069" t="e">
        <v>#N/A</v>
      </c>
      <c r="N1069" s="1">
        <v>42461</v>
      </c>
    </row>
    <row r="1070" spans="7:14" x14ac:dyDescent="0.3">
      <c r="G1070" s="1">
        <v>42461</v>
      </c>
      <c r="K1070" s="1">
        <v>38169</v>
      </c>
      <c r="M1070" t="e">
        <v>#N/A</v>
      </c>
      <c r="N1070" s="1">
        <v>42461</v>
      </c>
    </row>
    <row r="1071" spans="7:14" x14ac:dyDescent="0.3">
      <c r="G1071" s="1">
        <v>42461</v>
      </c>
      <c r="K1071" s="1">
        <v>38169</v>
      </c>
      <c r="M1071" t="e">
        <v>#N/A</v>
      </c>
      <c r="N1071" s="1">
        <v>42461</v>
      </c>
    </row>
    <row r="1072" spans="7:14" x14ac:dyDescent="0.3">
      <c r="G1072" s="1">
        <v>42461</v>
      </c>
      <c r="K1072" s="1">
        <v>38169</v>
      </c>
      <c r="M1072" t="e">
        <v>#N/A</v>
      </c>
      <c r="N1072" s="1">
        <v>42461</v>
      </c>
    </row>
    <row r="1073" spans="7:14" x14ac:dyDescent="0.3">
      <c r="G1073" s="1">
        <v>42461</v>
      </c>
      <c r="K1073" s="1">
        <v>38169</v>
      </c>
      <c r="M1073" t="e">
        <v>#N/A</v>
      </c>
      <c r="N1073" s="1">
        <v>42461</v>
      </c>
    </row>
    <row r="1074" spans="7:14" x14ac:dyDescent="0.3">
      <c r="G1074" s="1">
        <v>42461</v>
      </c>
      <c r="K1074" s="1">
        <v>38169</v>
      </c>
      <c r="M1074" t="e">
        <v>#N/A</v>
      </c>
      <c r="N1074" s="1">
        <v>42461</v>
      </c>
    </row>
    <row r="1075" spans="7:14" x14ac:dyDescent="0.3">
      <c r="G1075" s="1">
        <v>42461</v>
      </c>
      <c r="K1075" s="1">
        <v>38169</v>
      </c>
      <c r="M1075" t="e">
        <v>#N/A</v>
      </c>
      <c r="N1075" s="1">
        <v>42461</v>
      </c>
    </row>
    <row r="1076" spans="7:14" x14ac:dyDescent="0.3">
      <c r="G1076" s="1">
        <v>42461</v>
      </c>
      <c r="K1076" s="1">
        <v>38169</v>
      </c>
      <c r="M1076" t="e">
        <v>#N/A</v>
      </c>
      <c r="N1076" s="1">
        <v>42461</v>
      </c>
    </row>
    <row r="1077" spans="7:14" x14ac:dyDescent="0.3">
      <c r="G1077" s="1">
        <v>42461</v>
      </c>
      <c r="K1077" s="1">
        <v>38169</v>
      </c>
      <c r="M1077" t="e">
        <v>#N/A</v>
      </c>
      <c r="N1077" s="1">
        <v>42461</v>
      </c>
    </row>
    <row r="1078" spans="7:14" x14ac:dyDescent="0.3">
      <c r="G1078" s="1">
        <v>42461</v>
      </c>
      <c r="K1078" s="1">
        <v>38169</v>
      </c>
      <c r="M1078" t="e">
        <v>#N/A</v>
      </c>
      <c r="N1078" s="1">
        <v>42461</v>
      </c>
    </row>
    <row r="1079" spans="7:14" x14ac:dyDescent="0.3">
      <c r="G1079" s="1">
        <v>42461</v>
      </c>
      <c r="K1079" s="1">
        <v>38169</v>
      </c>
      <c r="M1079" t="e">
        <v>#N/A</v>
      </c>
      <c r="N1079" s="1">
        <v>42461</v>
      </c>
    </row>
    <row r="1080" spans="7:14" x14ac:dyDescent="0.3">
      <c r="G1080" s="1">
        <v>42461</v>
      </c>
      <c r="K1080" s="1">
        <v>38169</v>
      </c>
      <c r="M1080" t="e">
        <v>#N/A</v>
      </c>
      <c r="N1080" s="1">
        <v>42461</v>
      </c>
    </row>
    <row r="1081" spans="7:14" x14ac:dyDescent="0.3">
      <c r="G1081" s="1">
        <v>42552</v>
      </c>
      <c r="K1081" s="1">
        <v>38169</v>
      </c>
      <c r="M1081" t="e">
        <v>#N/A</v>
      </c>
      <c r="N1081" s="1">
        <v>42552</v>
      </c>
    </row>
    <row r="1082" spans="7:14" x14ac:dyDescent="0.3">
      <c r="G1082" s="1">
        <v>42552</v>
      </c>
      <c r="K1082" s="1">
        <v>38169</v>
      </c>
      <c r="M1082" t="e">
        <v>#N/A</v>
      </c>
      <c r="N1082" s="1">
        <v>42552</v>
      </c>
    </row>
    <row r="1083" spans="7:14" x14ac:dyDescent="0.3">
      <c r="G1083" s="1">
        <v>42552</v>
      </c>
      <c r="K1083" s="1">
        <v>38169</v>
      </c>
      <c r="M1083" t="e">
        <v>#N/A</v>
      </c>
      <c r="N1083" s="1">
        <v>42552</v>
      </c>
    </row>
    <row r="1084" spans="7:14" x14ac:dyDescent="0.3">
      <c r="G1084" s="1">
        <v>42552</v>
      </c>
      <c r="K1084" s="1">
        <v>38169</v>
      </c>
      <c r="M1084" t="e">
        <v>#N/A</v>
      </c>
      <c r="N1084" s="1">
        <v>42552</v>
      </c>
    </row>
    <row r="1085" spans="7:14" x14ac:dyDescent="0.3">
      <c r="G1085" s="1">
        <v>42552</v>
      </c>
      <c r="K1085" s="1">
        <v>38169</v>
      </c>
      <c r="M1085" t="e">
        <v>#N/A</v>
      </c>
      <c r="N1085" s="1">
        <v>42552</v>
      </c>
    </row>
    <row r="1086" spans="7:14" x14ac:dyDescent="0.3">
      <c r="G1086" s="1">
        <v>42552</v>
      </c>
      <c r="K1086" s="1">
        <v>38169</v>
      </c>
      <c r="M1086" t="e">
        <v>#N/A</v>
      </c>
      <c r="N1086" s="1">
        <v>42552</v>
      </c>
    </row>
    <row r="1087" spans="7:14" x14ac:dyDescent="0.3">
      <c r="G1087" s="1">
        <v>42552</v>
      </c>
      <c r="K1087" s="1">
        <v>38169</v>
      </c>
      <c r="M1087" t="e">
        <v>#N/A</v>
      </c>
      <c r="N1087" s="1">
        <v>42552</v>
      </c>
    </row>
    <row r="1088" spans="7:14" x14ac:dyDescent="0.3">
      <c r="G1088" s="1">
        <v>42552</v>
      </c>
      <c r="K1088" s="1">
        <v>38169</v>
      </c>
      <c r="M1088" t="e">
        <v>#N/A</v>
      </c>
      <c r="N1088" s="1">
        <v>42552</v>
      </c>
    </row>
    <row r="1089" spans="7:14" x14ac:dyDescent="0.3">
      <c r="G1089" s="1">
        <v>42552</v>
      </c>
      <c r="K1089" s="1">
        <v>38169</v>
      </c>
      <c r="M1089" t="e">
        <v>#N/A</v>
      </c>
      <c r="N1089" s="1">
        <v>42552</v>
      </c>
    </row>
    <row r="1090" spans="7:14" x14ac:dyDescent="0.3">
      <c r="G1090" s="1">
        <v>42552</v>
      </c>
      <c r="K1090" s="1">
        <v>38169</v>
      </c>
      <c r="M1090" t="e">
        <v>#N/A</v>
      </c>
      <c r="N1090" s="1">
        <v>42552</v>
      </c>
    </row>
    <row r="1091" spans="7:14" x14ac:dyDescent="0.3">
      <c r="G1091" s="1">
        <v>42552</v>
      </c>
      <c r="K1091" s="1">
        <v>38169</v>
      </c>
      <c r="M1091" t="e">
        <v>#N/A</v>
      </c>
      <c r="N1091" s="1">
        <v>42552</v>
      </c>
    </row>
    <row r="1092" spans="7:14" x14ac:dyDescent="0.3">
      <c r="G1092" s="1">
        <v>42552</v>
      </c>
      <c r="K1092" s="1">
        <v>38169</v>
      </c>
      <c r="M1092" t="e">
        <v>#N/A</v>
      </c>
      <c r="N1092" s="1">
        <v>42552</v>
      </c>
    </row>
    <row r="1093" spans="7:14" x14ac:dyDescent="0.3">
      <c r="G1093" s="1">
        <v>42552</v>
      </c>
      <c r="K1093" s="1">
        <v>38169</v>
      </c>
      <c r="M1093" t="e">
        <v>#N/A</v>
      </c>
      <c r="N1093" s="1">
        <v>42552</v>
      </c>
    </row>
    <row r="1094" spans="7:14" x14ac:dyDescent="0.3">
      <c r="G1094" s="1">
        <v>42644</v>
      </c>
      <c r="K1094" s="1">
        <v>38169</v>
      </c>
      <c r="M1094" t="e">
        <v>#N/A</v>
      </c>
      <c r="N1094" s="1">
        <v>42644</v>
      </c>
    </row>
    <row r="1095" spans="7:14" x14ac:dyDescent="0.3">
      <c r="G1095" s="1">
        <v>42644</v>
      </c>
      <c r="K1095" s="1">
        <v>38169</v>
      </c>
      <c r="M1095" t="e">
        <v>#N/A</v>
      </c>
      <c r="N1095" s="1">
        <v>42644</v>
      </c>
    </row>
    <row r="1096" spans="7:14" x14ac:dyDescent="0.3">
      <c r="G1096" s="1">
        <v>42644</v>
      </c>
      <c r="K1096" s="1">
        <v>38169</v>
      </c>
      <c r="M1096" t="e">
        <v>#N/A</v>
      </c>
      <c r="N1096" s="1">
        <v>42644</v>
      </c>
    </row>
    <row r="1097" spans="7:14" x14ac:dyDescent="0.3">
      <c r="G1097" s="1">
        <v>42644</v>
      </c>
      <c r="K1097" s="1">
        <v>38169</v>
      </c>
      <c r="M1097" t="e">
        <v>#N/A</v>
      </c>
      <c r="N1097" s="1">
        <v>42644</v>
      </c>
    </row>
    <row r="1098" spans="7:14" x14ac:dyDescent="0.3">
      <c r="G1098" s="1">
        <v>42644</v>
      </c>
      <c r="K1098" s="1">
        <v>38169</v>
      </c>
      <c r="M1098" t="e">
        <v>#N/A</v>
      </c>
      <c r="N1098" s="1">
        <v>42644</v>
      </c>
    </row>
    <row r="1099" spans="7:14" x14ac:dyDescent="0.3">
      <c r="G1099" s="1">
        <v>42644</v>
      </c>
      <c r="K1099" s="1">
        <v>38169</v>
      </c>
      <c r="M1099" t="e">
        <v>#N/A</v>
      </c>
      <c r="N1099" s="1">
        <v>42644</v>
      </c>
    </row>
    <row r="1100" spans="7:14" x14ac:dyDescent="0.3">
      <c r="G1100" s="1">
        <v>42644</v>
      </c>
      <c r="K1100" s="1">
        <v>38169</v>
      </c>
      <c r="M1100" t="e">
        <v>#N/A</v>
      </c>
      <c r="N1100" s="1">
        <v>42644</v>
      </c>
    </row>
    <row r="1101" spans="7:14" x14ac:dyDescent="0.3">
      <c r="G1101" s="1">
        <v>42644</v>
      </c>
      <c r="K1101" s="1">
        <v>38169</v>
      </c>
      <c r="M1101" t="e">
        <v>#N/A</v>
      </c>
      <c r="N1101" s="1">
        <v>42644</v>
      </c>
    </row>
    <row r="1102" spans="7:14" x14ac:dyDescent="0.3">
      <c r="G1102" s="1">
        <v>42644</v>
      </c>
      <c r="K1102" s="1">
        <v>38169</v>
      </c>
      <c r="M1102" t="e">
        <v>#N/A</v>
      </c>
      <c r="N1102" s="1">
        <v>42644</v>
      </c>
    </row>
    <row r="1103" spans="7:14" x14ac:dyDescent="0.3">
      <c r="G1103" s="1">
        <v>42644</v>
      </c>
      <c r="K1103" s="1">
        <v>38169</v>
      </c>
      <c r="M1103" t="e">
        <v>#N/A</v>
      </c>
      <c r="N1103" s="1">
        <v>42644</v>
      </c>
    </row>
    <row r="1104" spans="7:14" x14ac:dyDescent="0.3">
      <c r="G1104" s="1">
        <v>42644</v>
      </c>
      <c r="K1104" s="1">
        <v>38169</v>
      </c>
      <c r="M1104" t="e">
        <v>#N/A</v>
      </c>
      <c r="N1104" s="1">
        <v>42644</v>
      </c>
    </row>
    <row r="1105" spans="7:14" x14ac:dyDescent="0.3">
      <c r="G1105" s="1">
        <v>42644</v>
      </c>
      <c r="K1105" s="1">
        <v>38169</v>
      </c>
      <c r="M1105" t="e">
        <v>#N/A</v>
      </c>
      <c r="N1105" s="1">
        <v>42644</v>
      </c>
    </row>
    <row r="1106" spans="7:14" x14ac:dyDescent="0.3">
      <c r="G1106" s="1">
        <v>42644</v>
      </c>
      <c r="K1106" s="1">
        <v>38169</v>
      </c>
      <c r="M1106" t="e">
        <v>#N/A</v>
      </c>
      <c r="N1106" s="1">
        <v>42644</v>
      </c>
    </row>
    <row r="1107" spans="7:14" x14ac:dyDescent="0.3">
      <c r="G1107" s="1">
        <v>42736</v>
      </c>
      <c r="K1107" s="1">
        <v>38169</v>
      </c>
      <c r="M1107" t="e">
        <v>#N/A</v>
      </c>
      <c r="N1107" s="1">
        <v>42736</v>
      </c>
    </row>
    <row r="1108" spans="7:14" x14ac:dyDescent="0.3">
      <c r="G1108" s="1">
        <v>42736</v>
      </c>
      <c r="K1108" s="1">
        <v>38169</v>
      </c>
      <c r="M1108" t="e">
        <v>#N/A</v>
      </c>
      <c r="N1108" s="1">
        <v>42736</v>
      </c>
    </row>
    <row r="1109" spans="7:14" x14ac:dyDescent="0.3">
      <c r="G1109" s="1">
        <v>42736</v>
      </c>
      <c r="K1109" s="1">
        <v>38169</v>
      </c>
      <c r="M1109" t="e">
        <v>#N/A</v>
      </c>
      <c r="N1109" s="1">
        <v>42736</v>
      </c>
    </row>
    <row r="1110" spans="7:14" x14ac:dyDescent="0.3">
      <c r="G1110" s="1">
        <v>42736</v>
      </c>
      <c r="K1110" s="1">
        <v>38169</v>
      </c>
      <c r="M1110" t="e">
        <v>#N/A</v>
      </c>
      <c r="N1110" s="1">
        <v>42736</v>
      </c>
    </row>
    <row r="1111" spans="7:14" x14ac:dyDescent="0.3">
      <c r="G1111" s="1">
        <v>42736</v>
      </c>
      <c r="K1111" s="1">
        <v>38169</v>
      </c>
      <c r="M1111" t="e">
        <v>#N/A</v>
      </c>
      <c r="N1111" s="1">
        <v>42736</v>
      </c>
    </row>
    <row r="1112" spans="7:14" x14ac:dyDescent="0.3">
      <c r="G1112" s="1">
        <v>42736</v>
      </c>
      <c r="K1112" s="1">
        <v>38169</v>
      </c>
      <c r="M1112" t="e">
        <v>#N/A</v>
      </c>
      <c r="N1112" s="1">
        <v>42736</v>
      </c>
    </row>
    <row r="1113" spans="7:14" x14ac:dyDescent="0.3">
      <c r="G1113" s="1">
        <v>42736</v>
      </c>
      <c r="K1113" s="1">
        <v>38169</v>
      </c>
      <c r="M1113" t="e">
        <v>#N/A</v>
      </c>
      <c r="N1113" s="1">
        <v>42736</v>
      </c>
    </row>
    <row r="1114" spans="7:14" x14ac:dyDescent="0.3">
      <c r="G1114" s="1">
        <v>42736</v>
      </c>
      <c r="K1114" s="1">
        <v>38169</v>
      </c>
      <c r="M1114" t="e">
        <v>#N/A</v>
      </c>
      <c r="N1114" s="1">
        <v>42736</v>
      </c>
    </row>
    <row r="1115" spans="7:14" x14ac:dyDescent="0.3">
      <c r="G1115" s="1">
        <v>42736</v>
      </c>
      <c r="K1115" s="1">
        <v>38169</v>
      </c>
      <c r="M1115" t="e">
        <v>#N/A</v>
      </c>
      <c r="N1115" s="1">
        <v>42736</v>
      </c>
    </row>
    <row r="1116" spans="7:14" x14ac:dyDescent="0.3">
      <c r="G1116" s="1">
        <v>42736</v>
      </c>
      <c r="K1116" s="1">
        <v>38169</v>
      </c>
      <c r="M1116" t="e">
        <v>#N/A</v>
      </c>
      <c r="N1116" s="1">
        <v>42736</v>
      </c>
    </row>
    <row r="1117" spans="7:14" x14ac:dyDescent="0.3">
      <c r="G1117" s="1">
        <v>42736</v>
      </c>
      <c r="K1117" s="1">
        <v>38169</v>
      </c>
      <c r="M1117" t="e">
        <v>#N/A</v>
      </c>
      <c r="N1117" s="1">
        <v>42736</v>
      </c>
    </row>
    <row r="1118" spans="7:14" x14ac:dyDescent="0.3">
      <c r="G1118" s="1">
        <v>42826</v>
      </c>
      <c r="K1118" s="1">
        <v>38169</v>
      </c>
      <c r="M1118" t="e">
        <v>#N/A</v>
      </c>
      <c r="N1118" s="1">
        <v>42826</v>
      </c>
    </row>
    <row r="1119" spans="7:14" x14ac:dyDescent="0.3">
      <c r="G1119" s="1">
        <v>42826</v>
      </c>
      <c r="K1119" s="1">
        <v>38169</v>
      </c>
      <c r="M1119" t="e">
        <v>#N/A</v>
      </c>
      <c r="N1119" s="1">
        <v>42826</v>
      </c>
    </row>
    <row r="1120" spans="7:14" x14ac:dyDescent="0.3">
      <c r="G1120" s="1">
        <v>42826</v>
      </c>
      <c r="K1120" s="1">
        <v>38169</v>
      </c>
      <c r="M1120" t="e">
        <v>#N/A</v>
      </c>
      <c r="N1120" s="1">
        <v>42826</v>
      </c>
    </row>
    <row r="1121" spans="7:14" x14ac:dyDescent="0.3">
      <c r="G1121" s="1">
        <v>42826</v>
      </c>
      <c r="K1121" s="1">
        <v>38169</v>
      </c>
      <c r="M1121" t="e">
        <v>#N/A</v>
      </c>
      <c r="N1121" s="1">
        <v>42826</v>
      </c>
    </row>
    <row r="1122" spans="7:14" x14ac:dyDescent="0.3">
      <c r="G1122" s="1">
        <v>42826</v>
      </c>
      <c r="K1122" s="1">
        <v>38169</v>
      </c>
      <c r="M1122" t="e">
        <v>#N/A</v>
      </c>
      <c r="N1122" s="1">
        <v>42826</v>
      </c>
    </row>
    <row r="1123" spans="7:14" x14ac:dyDescent="0.3">
      <c r="G1123" s="1">
        <v>42826</v>
      </c>
      <c r="K1123" s="1">
        <v>38169</v>
      </c>
      <c r="M1123" t="e">
        <v>#N/A</v>
      </c>
      <c r="N1123" s="1">
        <v>42826</v>
      </c>
    </row>
    <row r="1124" spans="7:14" x14ac:dyDescent="0.3">
      <c r="G1124" s="1">
        <v>42826</v>
      </c>
      <c r="K1124" s="1">
        <v>38169</v>
      </c>
      <c r="M1124" t="e">
        <v>#N/A</v>
      </c>
      <c r="N1124" s="1">
        <v>42826</v>
      </c>
    </row>
    <row r="1125" spans="7:14" x14ac:dyDescent="0.3">
      <c r="G1125" s="1">
        <v>42826</v>
      </c>
      <c r="K1125" s="1">
        <v>38169</v>
      </c>
      <c r="M1125" t="e">
        <v>#N/A</v>
      </c>
      <c r="N1125" s="1">
        <v>42826</v>
      </c>
    </row>
    <row r="1126" spans="7:14" x14ac:dyDescent="0.3">
      <c r="G1126" s="1">
        <v>42826</v>
      </c>
      <c r="K1126" s="1">
        <v>38169</v>
      </c>
      <c r="M1126" t="e">
        <v>#N/A</v>
      </c>
      <c r="N1126" s="1">
        <v>42826</v>
      </c>
    </row>
    <row r="1127" spans="7:14" x14ac:dyDescent="0.3">
      <c r="G1127" s="1">
        <v>42826</v>
      </c>
      <c r="K1127" s="1">
        <v>38169</v>
      </c>
      <c r="M1127" t="e">
        <v>#N/A</v>
      </c>
      <c r="N1127" s="1">
        <v>42826</v>
      </c>
    </row>
    <row r="1128" spans="7:14" x14ac:dyDescent="0.3">
      <c r="G1128" s="1">
        <v>42826</v>
      </c>
      <c r="K1128" s="1">
        <v>38169</v>
      </c>
      <c r="M1128" t="e">
        <v>#N/A</v>
      </c>
      <c r="N1128" s="1">
        <v>42826</v>
      </c>
    </row>
    <row r="1129" spans="7:14" x14ac:dyDescent="0.3">
      <c r="G1129" s="1">
        <v>42917</v>
      </c>
      <c r="K1129" s="1">
        <v>38169</v>
      </c>
      <c r="M1129" t="e">
        <v>#N/A</v>
      </c>
      <c r="N1129" s="1">
        <v>42917</v>
      </c>
    </row>
    <row r="1130" spans="7:14" x14ac:dyDescent="0.3">
      <c r="G1130" s="1">
        <v>42917</v>
      </c>
      <c r="K1130" s="1">
        <v>38169</v>
      </c>
      <c r="M1130" t="e">
        <v>#N/A</v>
      </c>
      <c r="N1130" s="1">
        <v>42917</v>
      </c>
    </row>
    <row r="1131" spans="7:14" x14ac:dyDescent="0.3">
      <c r="G1131" s="1">
        <v>42917</v>
      </c>
      <c r="K1131" s="1">
        <v>38169</v>
      </c>
      <c r="M1131" t="e">
        <v>#N/A</v>
      </c>
      <c r="N1131" s="1">
        <v>42917</v>
      </c>
    </row>
    <row r="1132" spans="7:14" x14ac:dyDescent="0.3">
      <c r="G1132" s="1">
        <v>42917</v>
      </c>
      <c r="K1132" s="1">
        <v>38169</v>
      </c>
      <c r="M1132" t="e">
        <v>#N/A</v>
      </c>
      <c r="N1132" s="1">
        <v>42917</v>
      </c>
    </row>
    <row r="1133" spans="7:14" x14ac:dyDescent="0.3">
      <c r="G1133" s="1">
        <v>42917</v>
      </c>
      <c r="K1133" s="1">
        <v>38169</v>
      </c>
      <c r="M1133" t="e">
        <v>#N/A</v>
      </c>
      <c r="N1133" s="1">
        <v>42917</v>
      </c>
    </row>
    <row r="1134" spans="7:14" x14ac:dyDescent="0.3">
      <c r="G1134" s="1">
        <v>42917</v>
      </c>
      <c r="K1134" s="1">
        <v>38169</v>
      </c>
      <c r="M1134" t="e">
        <v>#N/A</v>
      </c>
      <c r="N1134" s="1">
        <v>42917</v>
      </c>
    </row>
    <row r="1135" spans="7:14" x14ac:dyDescent="0.3">
      <c r="G1135" s="1">
        <v>42917</v>
      </c>
      <c r="K1135" s="1">
        <v>38169</v>
      </c>
      <c r="M1135" t="e">
        <v>#N/A</v>
      </c>
      <c r="N1135" s="1">
        <v>42917</v>
      </c>
    </row>
    <row r="1136" spans="7:14" x14ac:dyDescent="0.3">
      <c r="G1136" s="1">
        <v>42917</v>
      </c>
      <c r="K1136" s="1">
        <v>38169</v>
      </c>
      <c r="M1136" t="e">
        <v>#N/A</v>
      </c>
      <c r="N1136" s="1">
        <v>42917</v>
      </c>
    </row>
    <row r="1137" spans="7:14" x14ac:dyDescent="0.3">
      <c r="G1137" s="1">
        <v>42917</v>
      </c>
      <c r="K1137" s="1">
        <v>38169</v>
      </c>
      <c r="M1137" t="e">
        <v>#N/A</v>
      </c>
      <c r="N1137" s="1">
        <v>42917</v>
      </c>
    </row>
    <row r="1138" spans="7:14" x14ac:dyDescent="0.3">
      <c r="G1138" s="1">
        <v>42917</v>
      </c>
      <c r="K1138" s="1">
        <v>38169</v>
      </c>
      <c r="M1138" t="e">
        <v>#N/A</v>
      </c>
      <c r="N1138" s="1">
        <v>42917</v>
      </c>
    </row>
    <row r="1139" spans="7:14" x14ac:dyDescent="0.3">
      <c r="G1139" s="1">
        <v>43009</v>
      </c>
      <c r="K1139" s="1">
        <v>38169</v>
      </c>
      <c r="M1139" t="e">
        <v>#N/A</v>
      </c>
      <c r="N1139" s="1">
        <v>43009</v>
      </c>
    </row>
    <row r="1140" spans="7:14" x14ac:dyDescent="0.3">
      <c r="G1140" s="1">
        <v>43009</v>
      </c>
      <c r="K1140" s="1">
        <v>38169</v>
      </c>
      <c r="M1140" t="e">
        <v>#N/A</v>
      </c>
      <c r="N1140" s="1">
        <v>43009</v>
      </c>
    </row>
    <row r="1141" spans="7:14" x14ac:dyDescent="0.3">
      <c r="G1141" s="1">
        <v>43009</v>
      </c>
      <c r="K1141" s="1">
        <v>38169</v>
      </c>
      <c r="M1141" t="e">
        <v>#N/A</v>
      </c>
      <c r="N1141" s="1">
        <v>43009</v>
      </c>
    </row>
    <row r="1142" spans="7:14" x14ac:dyDescent="0.3">
      <c r="G1142" s="1">
        <v>43009</v>
      </c>
      <c r="K1142" s="1">
        <v>38169</v>
      </c>
      <c r="M1142" t="e">
        <v>#N/A</v>
      </c>
      <c r="N1142" s="1">
        <v>43009</v>
      </c>
    </row>
    <row r="1143" spans="7:14" x14ac:dyDescent="0.3">
      <c r="G1143" s="1">
        <v>43009</v>
      </c>
      <c r="K1143" s="1">
        <v>38169</v>
      </c>
      <c r="M1143" t="e">
        <v>#N/A</v>
      </c>
      <c r="N1143" s="1">
        <v>43009</v>
      </c>
    </row>
    <row r="1144" spans="7:14" x14ac:dyDescent="0.3">
      <c r="G1144" s="1">
        <v>43009</v>
      </c>
      <c r="K1144" s="1">
        <v>38169</v>
      </c>
      <c r="M1144" t="e">
        <v>#N/A</v>
      </c>
      <c r="N1144" s="1">
        <v>43009</v>
      </c>
    </row>
    <row r="1145" spans="7:14" x14ac:dyDescent="0.3">
      <c r="G1145" s="1">
        <v>43009</v>
      </c>
      <c r="K1145" s="1">
        <v>38169</v>
      </c>
      <c r="M1145" t="e">
        <v>#N/A</v>
      </c>
      <c r="N1145" s="1">
        <v>43009</v>
      </c>
    </row>
    <row r="1146" spans="7:14" x14ac:dyDescent="0.3">
      <c r="G1146" s="1">
        <v>43009</v>
      </c>
      <c r="K1146" s="1">
        <v>38169</v>
      </c>
      <c r="M1146" t="e">
        <v>#N/A</v>
      </c>
      <c r="N1146" s="1">
        <v>43009</v>
      </c>
    </row>
    <row r="1147" spans="7:14" x14ac:dyDescent="0.3">
      <c r="G1147" s="1">
        <v>43009</v>
      </c>
      <c r="K1147" s="1">
        <v>38169</v>
      </c>
      <c r="M1147" t="e">
        <v>#N/A</v>
      </c>
      <c r="N1147" s="1">
        <v>43009</v>
      </c>
    </row>
    <row r="1148" spans="7:14" x14ac:dyDescent="0.3">
      <c r="G1148" s="1">
        <v>43009</v>
      </c>
      <c r="K1148" s="1">
        <v>38169</v>
      </c>
      <c r="M1148" t="e">
        <v>#N/A</v>
      </c>
      <c r="N1148" s="1">
        <v>43009</v>
      </c>
    </row>
    <row r="1149" spans="7:14" x14ac:dyDescent="0.3">
      <c r="G1149" s="1">
        <v>43101</v>
      </c>
      <c r="K1149" s="1">
        <v>38169</v>
      </c>
      <c r="M1149" t="e">
        <v>#N/A</v>
      </c>
      <c r="N1149" s="1">
        <v>43101</v>
      </c>
    </row>
    <row r="1150" spans="7:14" x14ac:dyDescent="0.3">
      <c r="G1150" s="1">
        <v>43101</v>
      </c>
      <c r="K1150" s="1">
        <v>38169</v>
      </c>
      <c r="M1150" t="e">
        <v>#N/A</v>
      </c>
      <c r="N1150" s="1">
        <v>43101</v>
      </c>
    </row>
    <row r="1151" spans="7:14" x14ac:dyDescent="0.3">
      <c r="G1151" s="1">
        <v>43101</v>
      </c>
      <c r="K1151" s="1">
        <v>38169</v>
      </c>
      <c r="M1151" t="e">
        <v>#N/A</v>
      </c>
      <c r="N1151" s="1">
        <v>43101</v>
      </c>
    </row>
    <row r="1152" spans="7:14" x14ac:dyDescent="0.3">
      <c r="G1152" s="1">
        <v>43101</v>
      </c>
      <c r="K1152" s="1">
        <v>38169</v>
      </c>
      <c r="M1152" t="e">
        <v>#N/A</v>
      </c>
      <c r="N1152" s="1">
        <v>43101</v>
      </c>
    </row>
    <row r="1153" spans="7:14" x14ac:dyDescent="0.3">
      <c r="G1153" s="1">
        <v>43101</v>
      </c>
      <c r="K1153" s="1">
        <v>38169</v>
      </c>
      <c r="M1153" t="e">
        <v>#N/A</v>
      </c>
      <c r="N1153" s="1">
        <v>43101</v>
      </c>
    </row>
    <row r="1154" spans="7:14" x14ac:dyDescent="0.3">
      <c r="G1154" s="1">
        <v>43101</v>
      </c>
      <c r="K1154" s="1">
        <v>38169</v>
      </c>
      <c r="M1154" t="e">
        <v>#N/A</v>
      </c>
      <c r="N1154" s="1">
        <v>43101</v>
      </c>
    </row>
    <row r="1155" spans="7:14" x14ac:dyDescent="0.3">
      <c r="G1155" s="1">
        <v>43101</v>
      </c>
      <c r="K1155" s="1">
        <v>38169</v>
      </c>
      <c r="M1155" t="e">
        <v>#N/A</v>
      </c>
      <c r="N1155" s="1">
        <v>43101</v>
      </c>
    </row>
    <row r="1156" spans="7:14" x14ac:dyDescent="0.3">
      <c r="G1156" s="1">
        <v>43101</v>
      </c>
      <c r="K1156" s="1">
        <v>38169</v>
      </c>
      <c r="M1156" t="e">
        <v>#N/A</v>
      </c>
      <c r="N1156" s="1">
        <v>43101</v>
      </c>
    </row>
    <row r="1157" spans="7:14" x14ac:dyDescent="0.3">
      <c r="G1157" s="1">
        <v>43101</v>
      </c>
      <c r="K1157" s="1">
        <v>38169</v>
      </c>
      <c r="M1157" t="e">
        <v>#N/A</v>
      </c>
      <c r="N1157" s="1">
        <v>43101</v>
      </c>
    </row>
    <row r="1158" spans="7:14" x14ac:dyDescent="0.3">
      <c r="G1158" s="1">
        <v>43101</v>
      </c>
      <c r="K1158" s="1">
        <v>38169</v>
      </c>
      <c r="M1158" t="e">
        <v>#N/A</v>
      </c>
      <c r="N1158" s="1">
        <v>43101</v>
      </c>
    </row>
    <row r="1159" spans="7:14" x14ac:dyDescent="0.3">
      <c r="G1159" s="1">
        <v>43191</v>
      </c>
      <c r="K1159" s="1">
        <v>38169</v>
      </c>
      <c r="M1159" t="e">
        <v>#N/A</v>
      </c>
      <c r="N1159" s="1">
        <v>43191</v>
      </c>
    </row>
    <row r="1160" spans="7:14" x14ac:dyDescent="0.3">
      <c r="G1160" s="1">
        <v>43191</v>
      </c>
      <c r="K1160" s="1">
        <v>38169</v>
      </c>
      <c r="M1160" t="e">
        <v>#N/A</v>
      </c>
      <c r="N1160" s="1">
        <v>43191</v>
      </c>
    </row>
    <row r="1161" spans="7:14" x14ac:dyDescent="0.3">
      <c r="G1161" s="1">
        <v>43191</v>
      </c>
      <c r="K1161" s="1">
        <v>38169</v>
      </c>
      <c r="M1161" t="e">
        <v>#N/A</v>
      </c>
      <c r="N1161" s="1">
        <v>43191</v>
      </c>
    </row>
    <row r="1162" spans="7:14" x14ac:dyDescent="0.3">
      <c r="G1162" s="1">
        <v>43191</v>
      </c>
      <c r="K1162" s="1">
        <v>38169</v>
      </c>
      <c r="M1162" t="e">
        <v>#N/A</v>
      </c>
      <c r="N1162" s="1">
        <v>43191</v>
      </c>
    </row>
    <row r="1163" spans="7:14" x14ac:dyDescent="0.3">
      <c r="G1163" s="1">
        <v>43191</v>
      </c>
      <c r="K1163" s="1">
        <v>38169</v>
      </c>
      <c r="M1163" t="e">
        <v>#N/A</v>
      </c>
      <c r="N1163" s="1">
        <v>43191</v>
      </c>
    </row>
    <row r="1164" spans="7:14" x14ac:dyDescent="0.3">
      <c r="G1164" s="1">
        <v>43191</v>
      </c>
      <c r="K1164" s="1">
        <v>38169</v>
      </c>
      <c r="M1164" t="e">
        <v>#N/A</v>
      </c>
      <c r="N1164" s="1">
        <v>43191</v>
      </c>
    </row>
    <row r="1165" spans="7:14" x14ac:dyDescent="0.3">
      <c r="G1165" s="1">
        <v>43191</v>
      </c>
      <c r="K1165" s="1">
        <v>38169</v>
      </c>
      <c r="M1165" t="e">
        <v>#N/A</v>
      </c>
      <c r="N1165" s="1">
        <v>43191</v>
      </c>
    </row>
    <row r="1166" spans="7:14" x14ac:dyDescent="0.3">
      <c r="G1166" s="1">
        <v>43191</v>
      </c>
      <c r="K1166" s="1">
        <v>38169</v>
      </c>
      <c r="M1166" t="e">
        <v>#N/A</v>
      </c>
      <c r="N1166" s="1">
        <v>43191</v>
      </c>
    </row>
    <row r="1167" spans="7:14" x14ac:dyDescent="0.3">
      <c r="G1167" s="1">
        <v>43191</v>
      </c>
      <c r="K1167" s="1">
        <v>38169</v>
      </c>
      <c r="M1167" t="e">
        <v>#N/A</v>
      </c>
      <c r="N1167" s="1">
        <v>43191</v>
      </c>
    </row>
    <row r="1168" spans="7:14" x14ac:dyDescent="0.3">
      <c r="G1168" s="1">
        <v>43282</v>
      </c>
      <c r="K1168" s="1">
        <v>38169</v>
      </c>
      <c r="M1168" t="e">
        <v>#N/A</v>
      </c>
      <c r="N1168" s="1">
        <v>43282</v>
      </c>
    </row>
    <row r="1169" spans="7:14" x14ac:dyDescent="0.3">
      <c r="G1169" s="1">
        <v>43282</v>
      </c>
      <c r="K1169" s="1">
        <v>38169</v>
      </c>
      <c r="M1169" t="e">
        <v>#N/A</v>
      </c>
      <c r="N1169" s="1">
        <v>43282</v>
      </c>
    </row>
    <row r="1170" spans="7:14" x14ac:dyDescent="0.3">
      <c r="G1170" s="1">
        <v>43282</v>
      </c>
      <c r="K1170" s="1">
        <v>38169</v>
      </c>
      <c r="M1170" t="e">
        <v>#N/A</v>
      </c>
      <c r="N1170" s="1">
        <v>43282</v>
      </c>
    </row>
    <row r="1171" spans="7:14" x14ac:dyDescent="0.3">
      <c r="G1171" s="1">
        <v>43282</v>
      </c>
      <c r="K1171" s="1">
        <v>38169</v>
      </c>
      <c r="M1171" t="e">
        <v>#N/A</v>
      </c>
      <c r="N1171" s="1">
        <v>43282</v>
      </c>
    </row>
    <row r="1172" spans="7:14" x14ac:dyDescent="0.3">
      <c r="G1172" s="1">
        <v>43282</v>
      </c>
      <c r="K1172" s="1">
        <v>38169</v>
      </c>
      <c r="M1172" t="e">
        <v>#N/A</v>
      </c>
      <c r="N1172" s="1">
        <v>43282</v>
      </c>
    </row>
    <row r="1173" spans="7:14" x14ac:dyDescent="0.3">
      <c r="G1173" s="1">
        <v>43282</v>
      </c>
      <c r="K1173" s="1">
        <v>38169</v>
      </c>
      <c r="M1173" t="e">
        <v>#N/A</v>
      </c>
      <c r="N1173" s="1">
        <v>43282</v>
      </c>
    </row>
    <row r="1174" spans="7:14" x14ac:dyDescent="0.3">
      <c r="G1174" s="1">
        <v>43282</v>
      </c>
      <c r="K1174" s="1">
        <v>38169</v>
      </c>
      <c r="M1174" t="e">
        <v>#N/A</v>
      </c>
      <c r="N1174" s="1">
        <v>43282</v>
      </c>
    </row>
    <row r="1175" spans="7:14" x14ac:dyDescent="0.3">
      <c r="G1175" s="1">
        <v>43282</v>
      </c>
      <c r="K1175" s="1">
        <v>38169</v>
      </c>
      <c r="M1175" t="e">
        <v>#N/A</v>
      </c>
      <c r="N1175" s="1">
        <v>43282</v>
      </c>
    </row>
    <row r="1176" spans="7:14" x14ac:dyDescent="0.3">
      <c r="G1176" s="1">
        <v>43282</v>
      </c>
      <c r="K1176" s="1">
        <v>38169</v>
      </c>
      <c r="M1176" t="e">
        <v>#N/A</v>
      </c>
      <c r="N1176" s="1">
        <v>43282</v>
      </c>
    </row>
    <row r="1177" spans="7:14" x14ac:dyDescent="0.3">
      <c r="G1177" s="1">
        <v>43282</v>
      </c>
      <c r="K1177" s="1">
        <v>38169</v>
      </c>
      <c r="M1177" t="e">
        <v>#N/A</v>
      </c>
      <c r="N1177" s="1">
        <v>43282</v>
      </c>
    </row>
    <row r="1178" spans="7:14" x14ac:dyDescent="0.3">
      <c r="G1178" s="1">
        <v>43374</v>
      </c>
      <c r="K1178" s="1">
        <v>38169</v>
      </c>
      <c r="M1178" t="e">
        <v>#N/A</v>
      </c>
      <c r="N1178" s="1">
        <v>43374</v>
      </c>
    </row>
    <row r="1179" spans="7:14" x14ac:dyDescent="0.3">
      <c r="G1179" s="1">
        <v>43374</v>
      </c>
      <c r="K1179" s="1">
        <v>38169</v>
      </c>
      <c r="M1179" t="e">
        <v>#N/A</v>
      </c>
      <c r="N1179" s="1">
        <v>43374</v>
      </c>
    </row>
    <row r="1180" spans="7:14" x14ac:dyDescent="0.3">
      <c r="G1180" s="1">
        <v>43374</v>
      </c>
      <c r="K1180" s="1">
        <v>38169</v>
      </c>
      <c r="M1180" t="e">
        <v>#N/A</v>
      </c>
      <c r="N1180" s="1">
        <v>43374</v>
      </c>
    </row>
    <row r="1181" spans="7:14" x14ac:dyDescent="0.3">
      <c r="G1181" s="1">
        <v>43374</v>
      </c>
      <c r="K1181" s="1">
        <v>38169</v>
      </c>
      <c r="M1181" t="e">
        <v>#N/A</v>
      </c>
      <c r="N1181" s="1">
        <v>43374</v>
      </c>
    </row>
    <row r="1182" spans="7:14" x14ac:dyDescent="0.3">
      <c r="G1182" s="1">
        <v>43374</v>
      </c>
      <c r="K1182" s="1">
        <v>38169</v>
      </c>
      <c r="M1182" t="e">
        <v>#N/A</v>
      </c>
      <c r="N1182" s="1">
        <v>43374</v>
      </c>
    </row>
    <row r="1183" spans="7:14" x14ac:dyDescent="0.3">
      <c r="G1183" s="1">
        <v>43374</v>
      </c>
      <c r="K1183" s="1">
        <v>38169</v>
      </c>
      <c r="M1183" t="e">
        <v>#N/A</v>
      </c>
      <c r="N1183" s="1">
        <v>43374</v>
      </c>
    </row>
    <row r="1184" spans="7:14" x14ac:dyDescent="0.3">
      <c r="G1184" s="1">
        <v>43374</v>
      </c>
      <c r="K1184" s="1">
        <v>38169</v>
      </c>
      <c r="M1184" t="e">
        <v>#N/A</v>
      </c>
      <c r="N1184" s="1">
        <v>43374</v>
      </c>
    </row>
    <row r="1185" spans="7:14" x14ac:dyDescent="0.3">
      <c r="G1185" s="1">
        <v>43374</v>
      </c>
      <c r="K1185" s="1">
        <v>38169</v>
      </c>
      <c r="M1185" t="e">
        <v>#N/A</v>
      </c>
      <c r="N1185" s="1">
        <v>43374</v>
      </c>
    </row>
    <row r="1186" spans="7:14" x14ac:dyDescent="0.3">
      <c r="G1186" s="1">
        <v>43374</v>
      </c>
      <c r="K1186" s="1">
        <v>38169</v>
      </c>
      <c r="M1186" t="e">
        <v>#N/A</v>
      </c>
      <c r="N1186" s="1">
        <v>43374</v>
      </c>
    </row>
    <row r="1187" spans="7:14" x14ac:dyDescent="0.3">
      <c r="G1187" s="1">
        <v>43466</v>
      </c>
      <c r="K1187" s="1">
        <v>38169</v>
      </c>
      <c r="M1187" t="e">
        <v>#N/A</v>
      </c>
      <c r="N1187" s="1">
        <v>43466</v>
      </c>
    </row>
    <row r="1188" spans="7:14" x14ac:dyDescent="0.3">
      <c r="G1188" s="1">
        <v>43466</v>
      </c>
      <c r="K1188" s="1">
        <v>38169</v>
      </c>
      <c r="M1188" t="e">
        <v>#N/A</v>
      </c>
      <c r="N1188" s="1">
        <v>43466</v>
      </c>
    </row>
    <row r="1189" spans="7:14" x14ac:dyDescent="0.3">
      <c r="G1189" s="1">
        <v>43466</v>
      </c>
      <c r="K1189" s="1">
        <v>38169</v>
      </c>
      <c r="M1189" t="e">
        <v>#N/A</v>
      </c>
      <c r="N1189" s="1">
        <v>43466</v>
      </c>
    </row>
    <row r="1190" spans="7:14" x14ac:dyDescent="0.3">
      <c r="G1190" s="1">
        <v>43466</v>
      </c>
      <c r="K1190" s="1">
        <v>38169</v>
      </c>
      <c r="M1190" t="e">
        <v>#N/A</v>
      </c>
      <c r="N1190" s="1">
        <v>43466</v>
      </c>
    </row>
    <row r="1191" spans="7:14" x14ac:dyDescent="0.3">
      <c r="G1191" s="1">
        <v>43466</v>
      </c>
      <c r="K1191" s="1">
        <v>38169</v>
      </c>
      <c r="M1191" t="e">
        <v>#N/A</v>
      </c>
      <c r="N1191" s="1">
        <v>43466</v>
      </c>
    </row>
    <row r="1192" spans="7:14" x14ac:dyDescent="0.3">
      <c r="G1192" s="1">
        <v>43466</v>
      </c>
      <c r="K1192" s="1">
        <v>38169</v>
      </c>
      <c r="M1192" t="e">
        <v>#N/A</v>
      </c>
      <c r="N1192" s="1">
        <v>43466</v>
      </c>
    </row>
    <row r="1193" spans="7:14" x14ac:dyDescent="0.3">
      <c r="G1193" s="1">
        <v>43466</v>
      </c>
      <c r="K1193" s="1">
        <v>38169</v>
      </c>
      <c r="M1193" t="e">
        <v>#N/A</v>
      </c>
      <c r="N1193" s="1">
        <v>43466</v>
      </c>
    </row>
    <row r="1194" spans="7:14" x14ac:dyDescent="0.3">
      <c r="G1194" s="1">
        <v>43466</v>
      </c>
      <c r="K1194" s="1">
        <v>38169</v>
      </c>
      <c r="M1194" t="e">
        <v>#N/A</v>
      </c>
      <c r="N1194" s="1">
        <v>43466</v>
      </c>
    </row>
    <row r="1195" spans="7:14" x14ac:dyDescent="0.3">
      <c r="G1195" s="1">
        <v>43466</v>
      </c>
      <c r="K1195" s="1">
        <v>38169</v>
      </c>
      <c r="M1195" t="e">
        <v>#N/A</v>
      </c>
      <c r="N1195" s="1">
        <v>43466</v>
      </c>
    </row>
    <row r="1196" spans="7:14" x14ac:dyDescent="0.3">
      <c r="G1196" s="1">
        <v>43556</v>
      </c>
      <c r="K1196" s="1">
        <v>38169</v>
      </c>
      <c r="M1196" t="e">
        <v>#N/A</v>
      </c>
      <c r="N1196" s="1">
        <v>43556</v>
      </c>
    </row>
    <row r="1197" spans="7:14" x14ac:dyDescent="0.3">
      <c r="G1197" s="1">
        <v>43556</v>
      </c>
      <c r="K1197" s="1">
        <v>38169</v>
      </c>
      <c r="M1197" t="e">
        <v>#N/A</v>
      </c>
      <c r="N1197" s="1">
        <v>43556</v>
      </c>
    </row>
    <row r="1198" spans="7:14" x14ac:dyDescent="0.3">
      <c r="G1198" s="1">
        <v>43556</v>
      </c>
      <c r="K1198" s="1">
        <v>38169</v>
      </c>
      <c r="M1198" t="e">
        <v>#N/A</v>
      </c>
      <c r="N1198" s="1">
        <v>43556</v>
      </c>
    </row>
    <row r="1199" spans="7:14" x14ac:dyDescent="0.3">
      <c r="G1199" s="1">
        <v>43556</v>
      </c>
      <c r="K1199" s="1">
        <v>38169</v>
      </c>
      <c r="M1199" t="e">
        <v>#N/A</v>
      </c>
      <c r="N1199" s="1">
        <v>43556</v>
      </c>
    </row>
    <row r="1200" spans="7:14" x14ac:dyDescent="0.3">
      <c r="G1200" s="1">
        <v>43556</v>
      </c>
      <c r="K1200" s="1">
        <v>38169</v>
      </c>
      <c r="M1200" t="e">
        <v>#N/A</v>
      </c>
      <c r="N1200" s="1">
        <v>43556</v>
      </c>
    </row>
    <row r="1201" spans="7:14" x14ac:dyDescent="0.3">
      <c r="G1201" s="1">
        <v>43556</v>
      </c>
      <c r="K1201" s="1">
        <v>38169</v>
      </c>
      <c r="M1201" t="e">
        <v>#N/A</v>
      </c>
      <c r="N1201" s="1">
        <v>43556</v>
      </c>
    </row>
    <row r="1202" spans="7:14" x14ac:dyDescent="0.3">
      <c r="G1202" s="1">
        <v>43556</v>
      </c>
      <c r="K1202" s="1">
        <v>38169</v>
      </c>
      <c r="M1202" t="e">
        <v>#N/A</v>
      </c>
      <c r="N1202" s="1">
        <v>43556</v>
      </c>
    </row>
    <row r="1203" spans="7:14" x14ac:dyDescent="0.3">
      <c r="G1203" s="1">
        <v>43556</v>
      </c>
      <c r="K1203" s="1">
        <v>38169</v>
      </c>
      <c r="M1203" t="e">
        <v>#N/A</v>
      </c>
      <c r="N1203" s="1">
        <v>43556</v>
      </c>
    </row>
    <row r="1204" spans="7:14" x14ac:dyDescent="0.3">
      <c r="G1204" s="1">
        <v>43556</v>
      </c>
      <c r="K1204" s="1">
        <v>38169</v>
      </c>
      <c r="M1204" t="e">
        <v>#N/A</v>
      </c>
      <c r="N1204" s="1">
        <v>43556</v>
      </c>
    </row>
    <row r="1205" spans="7:14" x14ac:dyDescent="0.3">
      <c r="G1205" s="1">
        <v>43556</v>
      </c>
      <c r="K1205" s="1">
        <v>38169</v>
      </c>
      <c r="M1205" t="e">
        <v>#N/A</v>
      </c>
      <c r="N1205" s="1">
        <v>43556</v>
      </c>
    </row>
    <row r="1206" spans="7:14" x14ac:dyDescent="0.3">
      <c r="G1206" s="1">
        <v>43647</v>
      </c>
      <c r="K1206" s="1">
        <v>38169</v>
      </c>
      <c r="M1206" t="e">
        <v>#N/A</v>
      </c>
      <c r="N1206" s="1">
        <v>43647</v>
      </c>
    </row>
    <row r="1207" spans="7:14" x14ac:dyDescent="0.3">
      <c r="G1207" s="1">
        <v>43647</v>
      </c>
      <c r="K1207" s="1">
        <v>38169</v>
      </c>
      <c r="M1207" t="e">
        <v>#N/A</v>
      </c>
      <c r="N1207" s="1">
        <v>43647</v>
      </c>
    </row>
    <row r="1208" spans="7:14" x14ac:dyDescent="0.3">
      <c r="G1208" s="1">
        <v>43647</v>
      </c>
      <c r="K1208" s="1">
        <v>38169</v>
      </c>
      <c r="M1208" t="e">
        <v>#N/A</v>
      </c>
      <c r="N1208" s="1">
        <v>43647</v>
      </c>
    </row>
    <row r="1209" spans="7:14" x14ac:dyDescent="0.3">
      <c r="G1209" s="1">
        <v>43647</v>
      </c>
      <c r="K1209" s="1">
        <v>38169</v>
      </c>
      <c r="M1209" t="e">
        <v>#N/A</v>
      </c>
      <c r="N1209" s="1">
        <v>43647</v>
      </c>
    </row>
    <row r="1210" spans="7:14" x14ac:dyDescent="0.3">
      <c r="G1210" s="1">
        <v>43647</v>
      </c>
      <c r="K1210" s="1">
        <v>38169</v>
      </c>
      <c r="M1210" t="e">
        <v>#N/A</v>
      </c>
      <c r="N1210" s="1">
        <v>43647</v>
      </c>
    </row>
    <row r="1211" spans="7:14" x14ac:dyDescent="0.3">
      <c r="G1211" s="1">
        <v>43647</v>
      </c>
      <c r="K1211" s="1">
        <v>38169</v>
      </c>
      <c r="M1211" t="e">
        <v>#N/A</v>
      </c>
      <c r="N1211" s="1">
        <v>43647</v>
      </c>
    </row>
    <row r="1212" spans="7:14" x14ac:dyDescent="0.3">
      <c r="G1212" s="1">
        <v>43647</v>
      </c>
      <c r="K1212" s="1">
        <v>38169</v>
      </c>
      <c r="M1212" t="e">
        <v>#N/A</v>
      </c>
      <c r="N1212" s="1">
        <v>43647</v>
      </c>
    </row>
    <row r="1213" spans="7:14" x14ac:dyDescent="0.3">
      <c r="G1213" s="1">
        <v>43647</v>
      </c>
      <c r="K1213" s="1">
        <v>38169</v>
      </c>
      <c r="M1213" t="e">
        <v>#N/A</v>
      </c>
      <c r="N1213" s="1">
        <v>43647</v>
      </c>
    </row>
    <row r="1214" spans="7:14" x14ac:dyDescent="0.3">
      <c r="G1214" s="1">
        <v>43647</v>
      </c>
      <c r="K1214" s="1">
        <v>38169</v>
      </c>
      <c r="M1214" t="e">
        <v>#N/A</v>
      </c>
      <c r="N1214" s="1">
        <v>43647</v>
      </c>
    </row>
    <row r="1215" spans="7:14" x14ac:dyDescent="0.3">
      <c r="G1215" s="1">
        <v>43647</v>
      </c>
      <c r="K1215" s="1">
        <v>38169</v>
      </c>
      <c r="M1215" t="e">
        <v>#N/A</v>
      </c>
      <c r="N1215" s="1">
        <v>43647</v>
      </c>
    </row>
    <row r="1216" spans="7:14" x14ac:dyDescent="0.3">
      <c r="G1216" s="1">
        <v>43739</v>
      </c>
      <c r="K1216" s="1">
        <v>38169</v>
      </c>
      <c r="M1216" t="e">
        <v>#N/A</v>
      </c>
      <c r="N1216" s="1">
        <v>43739</v>
      </c>
    </row>
    <row r="1217" spans="7:14" x14ac:dyDescent="0.3">
      <c r="G1217" s="1">
        <v>43739</v>
      </c>
      <c r="K1217" s="1">
        <v>38169</v>
      </c>
      <c r="M1217" t="e">
        <v>#N/A</v>
      </c>
      <c r="N1217" s="1">
        <v>43739</v>
      </c>
    </row>
    <row r="1218" spans="7:14" x14ac:dyDescent="0.3">
      <c r="G1218" s="1">
        <v>43739</v>
      </c>
      <c r="K1218" s="1">
        <v>38169</v>
      </c>
      <c r="M1218" t="e">
        <v>#N/A</v>
      </c>
      <c r="N1218" s="1">
        <v>43739</v>
      </c>
    </row>
    <row r="1219" spans="7:14" x14ac:dyDescent="0.3">
      <c r="G1219" s="1">
        <v>43739</v>
      </c>
      <c r="K1219" s="1">
        <v>38169</v>
      </c>
      <c r="M1219" t="e">
        <v>#N/A</v>
      </c>
      <c r="N1219" s="1">
        <v>43739</v>
      </c>
    </row>
    <row r="1220" spans="7:14" x14ac:dyDescent="0.3">
      <c r="G1220" s="1">
        <v>43739</v>
      </c>
      <c r="K1220" s="1">
        <v>38169</v>
      </c>
      <c r="M1220" t="e">
        <v>#N/A</v>
      </c>
      <c r="N1220" s="1">
        <v>43739</v>
      </c>
    </row>
    <row r="1221" spans="7:14" x14ac:dyDescent="0.3">
      <c r="G1221" s="1">
        <v>43739</v>
      </c>
      <c r="K1221" s="1">
        <v>38169</v>
      </c>
      <c r="M1221" t="e">
        <v>#N/A</v>
      </c>
      <c r="N1221" s="1">
        <v>43739</v>
      </c>
    </row>
    <row r="1222" spans="7:14" x14ac:dyDescent="0.3">
      <c r="G1222" s="1">
        <v>43739</v>
      </c>
      <c r="K1222" s="1">
        <v>38169</v>
      </c>
      <c r="M1222" t="e">
        <v>#N/A</v>
      </c>
      <c r="N1222" s="1">
        <v>43739</v>
      </c>
    </row>
    <row r="1223" spans="7:14" x14ac:dyDescent="0.3">
      <c r="G1223" s="1">
        <v>43739</v>
      </c>
      <c r="K1223" s="1">
        <v>38169</v>
      </c>
      <c r="M1223" t="e">
        <v>#N/A</v>
      </c>
      <c r="N1223" s="1">
        <v>43739</v>
      </c>
    </row>
    <row r="1224" spans="7:14" x14ac:dyDescent="0.3">
      <c r="G1224" s="1">
        <v>43739</v>
      </c>
      <c r="K1224" s="1">
        <v>38169</v>
      </c>
      <c r="M1224" t="e">
        <v>#N/A</v>
      </c>
      <c r="N1224" s="1">
        <v>43739</v>
      </c>
    </row>
    <row r="1225" spans="7:14" x14ac:dyDescent="0.3">
      <c r="G1225" s="1">
        <v>43831</v>
      </c>
      <c r="K1225" s="1">
        <v>38169</v>
      </c>
      <c r="M1225" t="e">
        <v>#N/A</v>
      </c>
      <c r="N1225" s="1">
        <v>43831</v>
      </c>
    </row>
    <row r="1226" spans="7:14" x14ac:dyDescent="0.3">
      <c r="G1226" s="1">
        <v>43831</v>
      </c>
      <c r="K1226" s="1">
        <v>38169</v>
      </c>
      <c r="M1226" t="e">
        <v>#N/A</v>
      </c>
      <c r="N1226" s="1">
        <v>43831</v>
      </c>
    </row>
    <row r="1227" spans="7:14" x14ac:dyDescent="0.3">
      <c r="G1227" s="1">
        <v>43831</v>
      </c>
      <c r="K1227" s="1">
        <v>38169</v>
      </c>
      <c r="M1227" t="e">
        <v>#N/A</v>
      </c>
      <c r="N1227" s="1">
        <v>43831</v>
      </c>
    </row>
    <row r="1228" spans="7:14" x14ac:dyDescent="0.3">
      <c r="G1228" s="1">
        <v>43831</v>
      </c>
      <c r="K1228" s="1">
        <v>38169</v>
      </c>
      <c r="M1228" t="e">
        <v>#N/A</v>
      </c>
      <c r="N1228" s="1">
        <v>43831</v>
      </c>
    </row>
    <row r="1229" spans="7:14" x14ac:dyDescent="0.3">
      <c r="G1229" s="1">
        <v>43831</v>
      </c>
      <c r="K1229" s="1">
        <v>38169</v>
      </c>
      <c r="M1229" t="e">
        <v>#N/A</v>
      </c>
      <c r="N1229" s="1">
        <v>43831</v>
      </c>
    </row>
    <row r="1230" spans="7:14" x14ac:dyDescent="0.3">
      <c r="G1230" s="1">
        <v>43831</v>
      </c>
      <c r="K1230" s="1">
        <v>38169</v>
      </c>
      <c r="M1230" t="e">
        <v>#N/A</v>
      </c>
      <c r="N1230" s="1">
        <v>43831</v>
      </c>
    </row>
    <row r="1231" spans="7:14" x14ac:dyDescent="0.3">
      <c r="G1231" s="1">
        <v>43831</v>
      </c>
      <c r="K1231" s="1">
        <v>38169</v>
      </c>
      <c r="M1231" t="e">
        <v>#N/A</v>
      </c>
      <c r="N1231" s="1">
        <v>43831</v>
      </c>
    </row>
    <row r="1232" spans="7:14" x14ac:dyDescent="0.3">
      <c r="G1232" s="1">
        <v>43831</v>
      </c>
      <c r="K1232" s="1">
        <v>38169</v>
      </c>
      <c r="M1232" t="e">
        <v>#N/A</v>
      </c>
      <c r="N1232" s="1">
        <v>43831</v>
      </c>
    </row>
    <row r="1233" spans="7:14" x14ac:dyDescent="0.3">
      <c r="G1233" s="1">
        <v>43831</v>
      </c>
      <c r="K1233" s="1">
        <v>38169</v>
      </c>
      <c r="M1233" t="e">
        <v>#N/A</v>
      </c>
      <c r="N1233" s="1">
        <v>43831</v>
      </c>
    </row>
    <row r="1234" spans="7:14" x14ac:dyDescent="0.3">
      <c r="G1234" s="1">
        <v>43922</v>
      </c>
      <c r="K1234" s="1">
        <v>38169</v>
      </c>
      <c r="M1234" t="e">
        <v>#N/A</v>
      </c>
      <c r="N1234" s="1">
        <v>43922</v>
      </c>
    </row>
    <row r="1235" spans="7:14" x14ac:dyDescent="0.3">
      <c r="G1235" s="1">
        <v>43922</v>
      </c>
      <c r="K1235" s="1">
        <v>38169</v>
      </c>
      <c r="M1235" t="e">
        <v>#N/A</v>
      </c>
      <c r="N1235" s="1">
        <v>43922</v>
      </c>
    </row>
    <row r="1236" spans="7:14" x14ac:dyDescent="0.3">
      <c r="G1236" s="1">
        <v>43922</v>
      </c>
      <c r="K1236" s="1">
        <v>38169</v>
      </c>
      <c r="M1236" t="e">
        <v>#N/A</v>
      </c>
      <c r="N1236" s="1">
        <v>43922</v>
      </c>
    </row>
    <row r="1237" spans="7:14" x14ac:dyDescent="0.3">
      <c r="G1237" s="1">
        <v>43922</v>
      </c>
      <c r="K1237" s="1">
        <v>38261</v>
      </c>
      <c r="M1237" t="e">
        <v>#N/A</v>
      </c>
      <c r="N1237" s="1">
        <v>43922</v>
      </c>
    </row>
    <row r="1238" spans="7:14" x14ac:dyDescent="0.3">
      <c r="G1238" s="1">
        <v>43922</v>
      </c>
      <c r="K1238" s="1">
        <v>38261</v>
      </c>
      <c r="M1238" t="e">
        <v>#N/A</v>
      </c>
      <c r="N1238" s="1">
        <v>43922</v>
      </c>
    </row>
    <row r="1239" spans="7:14" x14ac:dyDescent="0.3">
      <c r="G1239" s="1">
        <v>43922</v>
      </c>
      <c r="K1239" s="1">
        <v>38261</v>
      </c>
      <c r="M1239" t="e">
        <v>#N/A</v>
      </c>
      <c r="N1239" s="1">
        <v>43922</v>
      </c>
    </row>
    <row r="1240" spans="7:14" x14ac:dyDescent="0.3">
      <c r="G1240" s="1">
        <v>43922</v>
      </c>
      <c r="K1240" s="1">
        <v>38261</v>
      </c>
      <c r="M1240" t="e">
        <v>#N/A</v>
      </c>
      <c r="N1240" s="1">
        <v>43922</v>
      </c>
    </row>
    <row r="1241" spans="7:14" x14ac:dyDescent="0.3">
      <c r="G1241" s="1">
        <v>43922</v>
      </c>
      <c r="K1241" s="1">
        <v>38261</v>
      </c>
      <c r="M1241" t="e">
        <v>#N/A</v>
      </c>
      <c r="N1241" s="1">
        <v>43922</v>
      </c>
    </row>
    <row r="1242" spans="7:14" x14ac:dyDescent="0.3">
      <c r="G1242" s="1">
        <v>43922</v>
      </c>
      <c r="K1242" s="1">
        <v>38261</v>
      </c>
      <c r="M1242" t="e">
        <v>#N/A</v>
      </c>
      <c r="N1242" s="1">
        <v>43922</v>
      </c>
    </row>
    <row r="1243" spans="7:14" x14ac:dyDescent="0.3">
      <c r="G1243" s="1">
        <v>44013</v>
      </c>
      <c r="K1243" s="1">
        <v>38261</v>
      </c>
      <c r="M1243" t="e">
        <v>#N/A</v>
      </c>
      <c r="N1243" s="1">
        <v>44013</v>
      </c>
    </row>
    <row r="1244" spans="7:14" x14ac:dyDescent="0.3">
      <c r="G1244" s="1">
        <v>44013</v>
      </c>
      <c r="K1244" s="1">
        <v>38261</v>
      </c>
      <c r="M1244" t="e">
        <v>#N/A</v>
      </c>
      <c r="N1244" s="1">
        <v>44013</v>
      </c>
    </row>
    <row r="1245" spans="7:14" x14ac:dyDescent="0.3">
      <c r="G1245" s="1">
        <v>44013</v>
      </c>
      <c r="K1245" s="1">
        <v>38261</v>
      </c>
      <c r="M1245" t="e">
        <v>#N/A</v>
      </c>
      <c r="N1245" s="1">
        <v>44013</v>
      </c>
    </row>
    <row r="1246" spans="7:14" x14ac:dyDescent="0.3">
      <c r="G1246" s="1">
        <v>44013</v>
      </c>
      <c r="K1246" s="1">
        <v>38261</v>
      </c>
      <c r="M1246" t="e">
        <v>#N/A</v>
      </c>
      <c r="N1246" s="1">
        <v>44013</v>
      </c>
    </row>
    <row r="1247" spans="7:14" x14ac:dyDescent="0.3">
      <c r="G1247" s="1">
        <v>44013</v>
      </c>
      <c r="K1247" s="1">
        <v>38261</v>
      </c>
      <c r="M1247" t="e">
        <v>#N/A</v>
      </c>
      <c r="N1247" s="1">
        <v>44013</v>
      </c>
    </row>
    <row r="1248" spans="7:14" x14ac:dyDescent="0.3">
      <c r="G1248" s="1">
        <v>44013</v>
      </c>
      <c r="K1248" s="1">
        <v>38261</v>
      </c>
      <c r="M1248" t="e">
        <v>#N/A</v>
      </c>
      <c r="N1248" s="1">
        <v>44013</v>
      </c>
    </row>
    <row r="1249" spans="7:14" x14ac:dyDescent="0.3">
      <c r="G1249" s="1">
        <v>44013</v>
      </c>
      <c r="K1249" s="1">
        <v>38261</v>
      </c>
      <c r="M1249" t="e">
        <v>#N/A</v>
      </c>
      <c r="N1249" s="1">
        <v>44013</v>
      </c>
    </row>
    <row r="1250" spans="7:14" x14ac:dyDescent="0.3">
      <c r="G1250" s="1">
        <v>44013</v>
      </c>
      <c r="K1250" s="1">
        <v>38261</v>
      </c>
      <c r="M1250" t="e">
        <v>#N/A</v>
      </c>
      <c r="N1250" s="1">
        <v>44013</v>
      </c>
    </row>
    <row r="1251" spans="7:14" x14ac:dyDescent="0.3">
      <c r="G1251" s="1">
        <v>44013</v>
      </c>
      <c r="K1251" s="1">
        <v>38261</v>
      </c>
      <c r="M1251" t="e">
        <v>#N/A</v>
      </c>
      <c r="N1251" s="1">
        <v>44013</v>
      </c>
    </row>
    <row r="1252" spans="7:14" x14ac:dyDescent="0.3">
      <c r="G1252" s="1">
        <v>44105</v>
      </c>
      <c r="K1252" s="1">
        <v>38261</v>
      </c>
      <c r="M1252" t="e">
        <v>#N/A</v>
      </c>
      <c r="N1252" s="1">
        <v>44105</v>
      </c>
    </row>
    <row r="1253" spans="7:14" x14ac:dyDescent="0.3">
      <c r="G1253" s="1">
        <v>44105</v>
      </c>
      <c r="K1253" s="1">
        <v>38261</v>
      </c>
      <c r="M1253" t="e">
        <v>#N/A</v>
      </c>
      <c r="N1253" s="1">
        <v>44105</v>
      </c>
    </row>
    <row r="1254" spans="7:14" x14ac:dyDescent="0.3">
      <c r="G1254" s="1">
        <v>44105</v>
      </c>
      <c r="K1254" s="1">
        <v>38261</v>
      </c>
      <c r="M1254" t="e">
        <v>#N/A</v>
      </c>
      <c r="N1254" s="1">
        <v>44105</v>
      </c>
    </row>
    <row r="1255" spans="7:14" x14ac:dyDescent="0.3">
      <c r="G1255" s="1">
        <v>44105</v>
      </c>
      <c r="K1255" s="1">
        <v>38261</v>
      </c>
      <c r="M1255" t="e">
        <v>#N/A</v>
      </c>
      <c r="N1255" s="1">
        <v>44105</v>
      </c>
    </row>
    <row r="1256" spans="7:14" x14ac:dyDescent="0.3">
      <c r="G1256" s="1">
        <v>44105</v>
      </c>
      <c r="K1256" s="1">
        <v>38261</v>
      </c>
      <c r="M1256" t="e">
        <v>#N/A</v>
      </c>
      <c r="N1256" s="1">
        <v>44105</v>
      </c>
    </row>
    <row r="1257" spans="7:14" x14ac:dyDescent="0.3">
      <c r="G1257" s="1">
        <v>44105</v>
      </c>
      <c r="K1257" s="1">
        <v>38261</v>
      </c>
      <c r="M1257" t="e">
        <v>#N/A</v>
      </c>
      <c r="N1257" s="1">
        <v>44105</v>
      </c>
    </row>
    <row r="1258" spans="7:14" x14ac:dyDescent="0.3">
      <c r="G1258" s="1">
        <v>44105</v>
      </c>
      <c r="K1258" s="1">
        <v>38261</v>
      </c>
      <c r="M1258" t="e">
        <v>#N/A</v>
      </c>
      <c r="N1258" s="1">
        <v>44105</v>
      </c>
    </row>
    <row r="1259" spans="7:14" x14ac:dyDescent="0.3">
      <c r="G1259" s="1">
        <v>44105</v>
      </c>
      <c r="K1259" s="1">
        <v>38261</v>
      </c>
      <c r="M1259" t="e">
        <v>#N/A</v>
      </c>
      <c r="N1259" s="1">
        <v>44105</v>
      </c>
    </row>
    <row r="1260" spans="7:14" x14ac:dyDescent="0.3">
      <c r="G1260" s="1">
        <v>44105</v>
      </c>
      <c r="K1260" s="1">
        <v>38261</v>
      </c>
      <c r="M1260" t="e">
        <v>#N/A</v>
      </c>
      <c r="N1260" s="1">
        <v>44105</v>
      </c>
    </row>
    <row r="1261" spans="7:14" x14ac:dyDescent="0.3">
      <c r="G1261" s="1">
        <v>44105</v>
      </c>
      <c r="K1261" s="1">
        <v>38261</v>
      </c>
      <c r="M1261" t="e">
        <v>#N/A</v>
      </c>
      <c r="N1261" s="1">
        <v>44105</v>
      </c>
    </row>
    <row r="1262" spans="7:14" x14ac:dyDescent="0.3">
      <c r="G1262" s="1">
        <v>44105</v>
      </c>
      <c r="K1262" s="1">
        <v>38261</v>
      </c>
      <c r="M1262" t="e">
        <v>#N/A</v>
      </c>
      <c r="N1262" s="1">
        <v>44105</v>
      </c>
    </row>
    <row r="1263" spans="7:14" x14ac:dyDescent="0.3">
      <c r="G1263" s="1">
        <v>44197</v>
      </c>
      <c r="K1263" s="1">
        <v>38261</v>
      </c>
      <c r="M1263" t="e">
        <v>#N/A</v>
      </c>
      <c r="N1263" s="1">
        <v>44197</v>
      </c>
    </row>
    <row r="1264" spans="7:14" x14ac:dyDescent="0.3">
      <c r="G1264" s="1">
        <v>44197</v>
      </c>
      <c r="K1264" s="1">
        <v>38261</v>
      </c>
      <c r="M1264" t="e">
        <v>#N/A</v>
      </c>
      <c r="N1264" s="1">
        <v>44197</v>
      </c>
    </row>
    <row r="1265" spans="7:14" x14ac:dyDescent="0.3">
      <c r="G1265" s="1">
        <v>44197</v>
      </c>
      <c r="K1265" s="1">
        <v>38261</v>
      </c>
      <c r="M1265" t="e">
        <v>#N/A</v>
      </c>
      <c r="N1265" s="1">
        <v>44197</v>
      </c>
    </row>
    <row r="1266" spans="7:14" x14ac:dyDescent="0.3">
      <c r="G1266" s="1">
        <v>44197</v>
      </c>
      <c r="K1266" s="1">
        <v>38261</v>
      </c>
      <c r="M1266" t="e">
        <v>#N/A</v>
      </c>
      <c r="N1266" s="1">
        <v>44197</v>
      </c>
    </row>
    <row r="1267" spans="7:14" x14ac:dyDescent="0.3">
      <c r="G1267" s="1">
        <v>44197</v>
      </c>
      <c r="K1267" s="1">
        <v>38261</v>
      </c>
      <c r="M1267" t="e">
        <v>#N/A</v>
      </c>
      <c r="N1267" s="1">
        <v>44197</v>
      </c>
    </row>
    <row r="1268" spans="7:14" x14ac:dyDescent="0.3">
      <c r="G1268" s="1">
        <v>44197</v>
      </c>
      <c r="K1268" s="1">
        <v>38261</v>
      </c>
      <c r="M1268" t="e">
        <v>#N/A</v>
      </c>
      <c r="N1268" s="1">
        <v>44197</v>
      </c>
    </row>
    <row r="1269" spans="7:14" x14ac:dyDescent="0.3">
      <c r="G1269" s="1">
        <v>44197</v>
      </c>
      <c r="K1269" s="1">
        <v>38261</v>
      </c>
      <c r="M1269" t="e">
        <v>#N/A</v>
      </c>
      <c r="N1269" s="1">
        <v>44197</v>
      </c>
    </row>
    <row r="1270" spans="7:14" x14ac:dyDescent="0.3">
      <c r="G1270" s="1">
        <v>44197</v>
      </c>
      <c r="K1270" s="1">
        <v>38261</v>
      </c>
      <c r="M1270" t="e">
        <v>#N/A</v>
      </c>
      <c r="N1270" s="1">
        <v>44197</v>
      </c>
    </row>
    <row r="1271" spans="7:14" x14ac:dyDescent="0.3">
      <c r="G1271" s="1">
        <v>44197</v>
      </c>
      <c r="K1271" s="1">
        <v>38261</v>
      </c>
      <c r="M1271" t="e">
        <v>#N/A</v>
      </c>
      <c r="N1271" s="1">
        <v>44197</v>
      </c>
    </row>
    <row r="1272" spans="7:14" x14ac:dyDescent="0.3">
      <c r="G1272" s="1">
        <v>44287</v>
      </c>
      <c r="K1272" s="1">
        <v>38261</v>
      </c>
      <c r="M1272" t="e">
        <v>#N/A</v>
      </c>
      <c r="N1272" s="1">
        <v>44287</v>
      </c>
    </row>
    <row r="1273" spans="7:14" x14ac:dyDescent="0.3">
      <c r="G1273" s="1">
        <v>44287</v>
      </c>
      <c r="K1273" s="1">
        <v>38261</v>
      </c>
      <c r="M1273" t="e">
        <v>#N/A</v>
      </c>
      <c r="N1273" s="1">
        <v>44287</v>
      </c>
    </row>
    <row r="1274" spans="7:14" x14ac:dyDescent="0.3">
      <c r="G1274" s="1">
        <v>44287</v>
      </c>
      <c r="K1274" s="1">
        <v>38261</v>
      </c>
      <c r="M1274" t="e">
        <v>#N/A</v>
      </c>
      <c r="N1274" s="1">
        <v>44287</v>
      </c>
    </row>
    <row r="1275" spans="7:14" x14ac:dyDescent="0.3">
      <c r="G1275" s="1">
        <v>44287</v>
      </c>
      <c r="K1275" s="1">
        <v>38261</v>
      </c>
      <c r="M1275" t="e">
        <v>#N/A</v>
      </c>
      <c r="N1275" s="1">
        <v>44287</v>
      </c>
    </row>
    <row r="1276" spans="7:14" x14ac:dyDescent="0.3">
      <c r="G1276" s="1">
        <v>44287</v>
      </c>
      <c r="K1276" s="1">
        <v>38261</v>
      </c>
      <c r="M1276" t="e">
        <v>#N/A</v>
      </c>
      <c r="N1276" s="1">
        <v>44287</v>
      </c>
    </row>
    <row r="1277" spans="7:14" x14ac:dyDescent="0.3">
      <c r="G1277" s="1">
        <v>44287</v>
      </c>
      <c r="K1277" s="1">
        <v>38261</v>
      </c>
      <c r="M1277" t="e">
        <v>#N/A</v>
      </c>
      <c r="N1277" s="1">
        <v>44287</v>
      </c>
    </row>
    <row r="1278" spans="7:14" x14ac:dyDescent="0.3">
      <c r="G1278" s="1">
        <v>44287</v>
      </c>
      <c r="K1278" s="1">
        <v>38261</v>
      </c>
      <c r="M1278" t="e">
        <v>#N/A</v>
      </c>
      <c r="N1278" s="1">
        <v>44287</v>
      </c>
    </row>
    <row r="1279" spans="7:14" x14ac:dyDescent="0.3">
      <c r="G1279" s="1">
        <v>44287</v>
      </c>
      <c r="K1279" s="1">
        <v>38261</v>
      </c>
      <c r="M1279" t="e">
        <v>#N/A</v>
      </c>
      <c r="N1279" s="1">
        <v>44287</v>
      </c>
    </row>
    <row r="1280" spans="7:14" x14ac:dyDescent="0.3">
      <c r="G1280" s="1">
        <v>44378</v>
      </c>
      <c r="K1280" s="1">
        <v>38261</v>
      </c>
      <c r="M1280" t="e">
        <v>#N/A</v>
      </c>
      <c r="N1280" s="1">
        <v>44378</v>
      </c>
    </row>
    <row r="1281" spans="7:14" x14ac:dyDescent="0.3">
      <c r="G1281" s="1">
        <v>44378</v>
      </c>
      <c r="K1281" s="1">
        <v>38261</v>
      </c>
      <c r="M1281" t="e">
        <v>#N/A</v>
      </c>
      <c r="N1281" s="1">
        <v>44378</v>
      </c>
    </row>
    <row r="1282" spans="7:14" x14ac:dyDescent="0.3">
      <c r="G1282" s="1">
        <v>44378</v>
      </c>
      <c r="K1282" s="1">
        <v>38261</v>
      </c>
      <c r="M1282" t="e">
        <v>#N/A</v>
      </c>
      <c r="N1282" s="1">
        <v>44378</v>
      </c>
    </row>
    <row r="1283" spans="7:14" x14ac:dyDescent="0.3">
      <c r="G1283" s="1">
        <v>44378</v>
      </c>
      <c r="K1283" s="1">
        <v>38261</v>
      </c>
      <c r="M1283" t="e">
        <v>#N/A</v>
      </c>
      <c r="N1283" s="1">
        <v>44378</v>
      </c>
    </row>
    <row r="1284" spans="7:14" x14ac:dyDescent="0.3">
      <c r="G1284" s="1">
        <v>44378</v>
      </c>
      <c r="K1284" s="1">
        <v>38261</v>
      </c>
      <c r="M1284" t="e">
        <v>#N/A</v>
      </c>
      <c r="N1284" s="1">
        <v>44378</v>
      </c>
    </row>
    <row r="1285" spans="7:14" x14ac:dyDescent="0.3">
      <c r="G1285" s="1">
        <v>44378</v>
      </c>
      <c r="K1285" s="1">
        <v>38261</v>
      </c>
      <c r="M1285" t="e">
        <v>#N/A</v>
      </c>
      <c r="N1285" s="1">
        <v>44378</v>
      </c>
    </row>
    <row r="1286" spans="7:14" x14ac:dyDescent="0.3">
      <c r="G1286" s="1">
        <v>44378</v>
      </c>
      <c r="K1286" s="1">
        <v>38261</v>
      </c>
      <c r="M1286" t="e">
        <v>#N/A</v>
      </c>
      <c r="N1286" s="1">
        <v>44378</v>
      </c>
    </row>
    <row r="1287" spans="7:14" x14ac:dyDescent="0.3">
      <c r="G1287" s="1">
        <v>44378</v>
      </c>
      <c r="K1287" s="1">
        <v>38261</v>
      </c>
      <c r="M1287" t="e">
        <v>#N/A</v>
      </c>
      <c r="N1287" s="1">
        <v>44378</v>
      </c>
    </row>
    <row r="1288" spans="7:14" x14ac:dyDescent="0.3">
      <c r="G1288" s="1">
        <v>44470</v>
      </c>
      <c r="K1288" s="1">
        <v>38261</v>
      </c>
      <c r="M1288" t="e">
        <v>#N/A</v>
      </c>
      <c r="N1288" s="1">
        <v>44470</v>
      </c>
    </row>
    <row r="1289" spans="7:14" x14ac:dyDescent="0.3">
      <c r="G1289" s="1">
        <v>44470</v>
      </c>
      <c r="K1289" s="1">
        <v>38261</v>
      </c>
      <c r="M1289" t="e">
        <v>#N/A</v>
      </c>
      <c r="N1289" s="1">
        <v>44470</v>
      </c>
    </row>
    <row r="1290" spans="7:14" x14ac:dyDescent="0.3">
      <c r="G1290" s="1">
        <v>44470</v>
      </c>
      <c r="K1290" s="1">
        <v>38261</v>
      </c>
      <c r="M1290" t="e">
        <v>#N/A</v>
      </c>
      <c r="N1290" s="1">
        <v>44470</v>
      </c>
    </row>
    <row r="1291" spans="7:14" x14ac:dyDescent="0.3">
      <c r="G1291" s="1">
        <v>44470</v>
      </c>
      <c r="K1291" s="1">
        <v>38261</v>
      </c>
      <c r="M1291" t="e">
        <v>#N/A</v>
      </c>
      <c r="N1291" s="1">
        <v>44470</v>
      </c>
    </row>
    <row r="1292" spans="7:14" x14ac:dyDescent="0.3">
      <c r="G1292" s="1">
        <v>44470</v>
      </c>
      <c r="K1292" s="1">
        <v>38261</v>
      </c>
      <c r="M1292" t="e">
        <v>#N/A</v>
      </c>
      <c r="N1292" s="1">
        <v>44470</v>
      </c>
    </row>
    <row r="1293" spans="7:14" x14ac:dyDescent="0.3">
      <c r="G1293" s="1">
        <v>44470</v>
      </c>
      <c r="K1293" s="1">
        <v>38261</v>
      </c>
      <c r="M1293" t="e">
        <v>#N/A</v>
      </c>
      <c r="N1293" s="1">
        <v>44470</v>
      </c>
    </row>
    <row r="1294" spans="7:14" x14ac:dyDescent="0.3">
      <c r="G1294" s="1">
        <v>44470</v>
      </c>
      <c r="K1294" s="1">
        <v>38261</v>
      </c>
      <c r="M1294" t="e">
        <v>#N/A</v>
      </c>
      <c r="N1294" s="1">
        <v>44470</v>
      </c>
    </row>
    <row r="1295" spans="7:14" x14ac:dyDescent="0.3">
      <c r="G1295" s="1">
        <v>44562</v>
      </c>
      <c r="K1295" s="1">
        <v>38261</v>
      </c>
      <c r="M1295" t="e">
        <v>#N/A</v>
      </c>
      <c r="N1295" s="1">
        <v>44562</v>
      </c>
    </row>
    <row r="1296" spans="7:14" x14ac:dyDescent="0.3">
      <c r="G1296" s="1">
        <v>44562</v>
      </c>
      <c r="K1296" s="1">
        <v>38261</v>
      </c>
      <c r="M1296" t="e">
        <v>#N/A</v>
      </c>
      <c r="N1296" s="1">
        <v>44562</v>
      </c>
    </row>
    <row r="1297" spans="7:14" x14ac:dyDescent="0.3">
      <c r="G1297" s="1">
        <v>44562</v>
      </c>
      <c r="K1297" s="1">
        <v>38261</v>
      </c>
      <c r="M1297" t="e">
        <v>#N/A</v>
      </c>
      <c r="N1297" s="1">
        <v>44562</v>
      </c>
    </row>
    <row r="1298" spans="7:14" x14ac:dyDescent="0.3">
      <c r="G1298" s="1">
        <v>44562</v>
      </c>
      <c r="K1298" s="1">
        <v>38261</v>
      </c>
      <c r="M1298" t="e">
        <v>#N/A</v>
      </c>
      <c r="N1298" s="1">
        <v>44562</v>
      </c>
    </row>
    <row r="1299" spans="7:14" x14ac:dyDescent="0.3">
      <c r="G1299" s="1">
        <v>44562</v>
      </c>
      <c r="K1299" s="1">
        <v>38261</v>
      </c>
      <c r="M1299" t="e">
        <v>#N/A</v>
      </c>
      <c r="N1299" s="1">
        <v>44562</v>
      </c>
    </row>
    <row r="1300" spans="7:14" x14ac:dyDescent="0.3">
      <c r="G1300" s="1">
        <v>44562</v>
      </c>
      <c r="K1300" s="1">
        <v>38261</v>
      </c>
      <c r="M1300" t="e">
        <v>#N/A</v>
      </c>
      <c r="N1300" s="1">
        <v>44562</v>
      </c>
    </row>
    <row r="1301" spans="7:14" x14ac:dyDescent="0.3">
      <c r="G1301" s="1">
        <v>44562</v>
      </c>
      <c r="K1301" s="1">
        <v>38261</v>
      </c>
      <c r="M1301" t="e">
        <v>#N/A</v>
      </c>
      <c r="N1301" s="1">
        <v>44562</v>
      </c>
    </row>
    <row r="1302" spans="7:14" x14ac:dyDescent="0.3">
      <c r="G1302" s="1">
        <v>44562</v>
      </c>
      <c r="K1302" s="1">
        <v>38261</v>
      </c>
      <c r="M1302" t="e">
        <v>#N/A</v>
      </c>
      <c r="N1302" s="1">
        <v>44562</v>
      </c>
    </row>
    <row r="1303" spans="7:14" x14ac:dyDescent="0.3">
      <c r="G1303" s="1">
        <v>44652</v>
      </c>
      <c r="K1303" s="1">
        <v>38261</v>
      </c>
      <c r="M1303" t="e">
        <v>#N/A</v>
      </c>
      <c r="N1303" s="1">
        <v>44652</v>
      </c>
    </row>
    <row r="1304" spans="7:14" x14ac:dyDescent="0.3">
      <c r="G1304" s="1">
        <v>44652</v>
      </c>
      <c r="K1304" s="1">
        <v>38261</v>
      </c>
      <c r="M1304" t="e">
        <v>#N/A</v>
      </c>
      <c r="N1304" s="1">
        <v>44652</v>
      </c>
    </row>
    <row r="1305" spans="7:14" x14ac:dyDescent="0.3">
      <c r="G1305" s="1">
        <v>44652</v>
      </c>
      <c r="K1305" s="1">
        <v>38261</v>
      </c>
      <c r="M1305" t="e">
        <v>#N/A</v>
      </c>
      <c r="N1305" s="1">
        <v>44652</v>
      </c>
    </row>
    <row r="1306" spans="7:14" x14ac:dyDescent="0.3">
      <c r="G1306" s="1">
        <v>44652</v>
      </c>
      <c r="K1306" s="1">
        <v>38261</v>
      </c>
      <c r="M1306" t="e">
        <v>#N/A</v>
      </c>
      <c r="N1306" s="1">
        <v>44652</v>
      </c>
    </row>
    <row r="1307" spans="7:14" x14ac:dyDescent="0.3">
      <c r="G1307" s="1">
        <v>44652</v>
      </c>
      <c r="K1307" s="1">
        <v>38261</v>
      </c>
      <c r="M1307" t="e">
        <v>#N/A</v>
      </c>
      <c r="N1307" s="1">
        <v>44652</v>
      </c>
    </row>
    <row r="1308" spans="7:14" x14ac:dyDescent="0.3">
      <c r="G1308" s="1">
        <v>44652</v>
      </c>
      <c r="K1308" s="1">
        <v>38261</v>
      </c>
      <c r="M1308" t="e">
        <v>#N/A</v>
      </c>
      <c r="N1308" s="1">
        <v>44652</v>
      </c>
    </row>
    <row r="1309" spans="7:14" x14ac:dyDescent="0.3">
      <c r="G1309" s="1">
        <v>44652</v>
      </c>
      <c r="K1309" s="1">
        <v>38261</v>
      </c>
      <c r="M1309" t="e">
        <v>#N/A</v>
      </c>
      <c r="N1309" s="1">
        <v>44652</v>
      </c>
    </row>
    <row r="1310" spans="7:14" x14ac:dyDescent="0.3">
      <c r="G1310" s="1">
        <v>44743</v>
      </c>
      <c r="K1310" s="1">
        <v>38261</v>
      </c>
      <c r="M1310" t="e">
        <v>#N/A</v>
      </c>
      <c r="N1310" s="1">
        <v>44743</v>
      </c>
    </row>
    <row r="1311" spans="7:14" x14ac:dyDescent="0.3">
      <c r="G1311" s="1">
        <v>44743</v>
      </c>
      <c r="K1311" s="1">
        <v>38261</v>
      </c>
      <c r="M1311" t="e">
        <v>#N/A</v>
      </c>
      <c r="N1311" s="1">
        <v>44743</v>
      </c>
    </row>
    <row r="1312" spans="7:14" x14ac:dyDescent="0.3">
      <c r="G1312" s="1">
        <v>44743</v>
      </c>
      <c r="K1312" s="1">
        <v>38261</v>
      </c>
      <c r="M1312" t="e">
        <v>#N/A</v>
      </c>
      <c r="N1312" s="1">
        <v>44743</v>
      </c>
    </row>
    <row r="1313" spans="7:14" x14ac:dyDescent="0.3">
      <c r="G1313" s="1">
        <v>44743</v>
      </c>
      <c r="K1313" s="1">
        <v>38261</v>
      </c>
      <c r="M1313" t="e">
        <v>#N/A</v>
      </c>
      <c r="N1313" s="1">
        <v>44743</v>
      </c>
    </row>
    <row r="1314" spans="7:14" x14ac:dyDescent="0.3">
      <c r="G1314" s="1">
        <v>44743</v>
      </c>
      <c r="K1314" s="1">
        <v>38261</v>
      </c>
      <c r="M1314" t="e">
        <v>#N/A</v>
      </c>
      <c r="N1314" s="1">
        <v>44743</v>
      </c>
    </row>
    <row r="1315" spans="7:14" x14ac:dyDescent="0.3">
      <c r="G1315" s="1">
        <v>44743</v>
      </c>
      <c r="K1315" s="1">
        <v>38261</v>
      </c>
      <c r="M1315" t="e">
        <v>#N/A</v>
      </c>
      <c r="N1315" s="1">
        <v>44743</v>
      </c>
    </row>
    <row r="1316" spans="7:14" x14ac:dyDescent="0.3">
      <c r="G1316" s="1">
        <v>44743</v>
      </c>
      <c r="K1316" s="1">
        <v>38261</v>
      </c>
      <c r="M1316" t="e">
        <v>#N/A</v>
      </c>
      <c r="N1316" s="1">
        <v>44743</v>
      </c>
    </row>
    <row r="1317" spans="7:14" x14ac:dyDescent="0.3">
      <c r="G1317" s="1">
        <v>44743</v>
      </c>
      <c r="K1317" s="1">
        <v>38261</v>
      </c>
      <c r="M1317" t="e">
        <v>#N/A</v>
      </c>
      <c r="N1317" s="1">
        <v>44743</v>
      </c>
    </row>
    <row r="1318" spans="7:14" x14ac:dyDescent="0.3">
      <c r="G1318" s="1">
        <v>44835</v>
      </c>
      <c r="K1318" s="1">
        <v>38261</v>
      </c>
      <c r="M1318" t="e">
        <v>#N/A</v>
      </c>
      <c r="N1318" s="1">
        <v>44835</v>
      </c>
    </row>
    <row r="1319" spans="7:14" x14ac:dyDescent="0.3">
      <c r="G1319" s="1">
        <v>44835</v>
      </c>
      <c r="K1319" s="1">
        <v>38261</v>
      </c>
      <c r="M1319" t="e">
        <v>#N/A</v>
      </c>
      <c r="N1319" s="1">
        <v>44835</v>
      </c>
    </row>
    <row r="1320" spans="7:14" x14ac:dyDescent="0.3">
      <c r="G1320" s="1">
        <v>44835</v>
      </c>
      <c r="K1320" s="1">
        <v>38261</v>
      </c>
      <c r="M1320" t="e">
        <v>#N/A</v>
      </c>
      <c r="N1320" s="1">
        <v>44835</v>
      </c>
    </row>
    <row r="1321" spans="7:14" x14ac:dyDescent="0.3">
      <c r="G1321" s="1">
        <v>44835</v>
      </c>
      <c r="K1321" s="1">
        <v>38261</v>
      </c>
      <c r="M1321" t="e">
        <v>#N/A</v>
      </c>
      <c r="N1321" s="1">
        <v>44835</v>
      </c>
    </row>
    <row r="1322" spans="7:14" x14ac:dyDescent="0.3">
      <c r="G1322" s="1">
        <v>44835</v>
      </c>
      <c r="K1322" s="1">
        <v>38261</v>
      </c>
      <c r="M1322" t="e">
        <v>#N/A</v>
      </c>
      <c r="N1322" s="1">
        <v>44835</v>
      </c>
    </row>
    <row r="1323" spans="7:14" x14ac:dyDescent="0.3">
      <c r="G1323" s="1">
        <v>44835</v>
      </c>
      <c r="K1323" s="1">
        <v>38261</v>
      </c>
      <c r="M1323" t="e">
        <v>#N/A</v>
      </c>
      <c r="N1323" s="1">
        <v>44835</v>
      </c>
    </row>
    <row r="1324" spans="7:14" x14ac:dyDescent="0.3">
      <c r="G1324" s="1">
        <v>44835</v>
      </c>
      <c r="K1324" s="1">
        <v>38261</v>
      </c>
      <c r="M1324" t="e">
        <v>#N/A</v>
      </c>
      <c r="N1324" s="1">
        <v>44835</v>
      </c>
    </row>
    <row r="1325" spans="7:14" x14ac:dyDescent="0.3">
      <c r="G1325" s="1">
        <v>44835</v>
      </c>
      <c r="K1325" s="1">
        <v>38261</v>
      </c>
      <c r="M1325" t="e">
        <v>#N/A</v>
      </c>
      <c r="N1325" s="1">
        <v>44835</v>
      </c>
    </row>
    <row r="1326" spans="7:14" x14ac:dyDescent="0.3">
      <c r="G1326" s="1">
        <v>44927</v>
      </c>
      <c r="K1326" s="1">
        <v>38261</v>
      </c>
      <c r="M1326" t="e">
        <v>#N/A</v>
      </c>
      <c r="N1326" s="1">
        <v>44927</v>
      </c>
    </row>
    <row r="1327" spans="7:14" x14ac:dyDescent="0.3">
      <c r="G1327" s="1">
        <v>44927</v>
      </c>
      <c r="K1327" s="1">
        <v>38261</v>
      </c>
      <c r="M1327" t="e">
        <v>#N/A</v>
      </c>
      <c r="N1327" s="1">
        <v>44927</v>
      </c>
    </row>
    <row r="1328" spans="7:14" x14ac:dyDescent="0.3">
      <c r="G1328" s="1">
        <v>44927</v>
      </c>
      <c r="K1328" s="1">
        <v>38261</v>
      </c>
      <c r="M1328" t="e">
        <v>#N/A</v>
      </c>
      <c r="N1328" s="1">
        <v>44927</v>
      </c>
    </row>
    <row r="1329" spans="7:14" x14ac:dyDescent="0.3">
      <c r="G1329" s="1">
        <v>44927</v>
      </c>
      <c r="K1329" s="1">
        <v>38261</v>
      </c>
      <c r="M1329" t="e">
        <v>#N/A</v>
      </c>
      <c r="N1329" s="1">
        <v>44927</v>
      </c>
    </row>
    <row r="1330" spans="7:14" x14ac:dyDescent="0.3">
      <c r="G1330" s="1">
        <v>44927</v>
      </c>
      <c r="K1330" s="1">
        <v>38261</v>
      </c>
      <c r="M1330" t="e">
        <v>#N/A</v>
      </c>
      <c r="N1330" s="1">
        <v>44927</v>
      </c>
    </row>
    <row r="1331" spans="7:14" x14ac:dyDescent="0.3">
      <c r="G1331" s="1">
        <v>44927</v>
      </c>
      <c r="K1331" s="1">
        <v>38261</v>
      </c>
      <c r="M1331" t="e">
        <v>#N/A</v>
      </c>
      <c r="N1331" s="1">
        <v>44927</v>
      </c>
    </row>
    <row r="1332" spans="7:14" x14ac:dyDescent="0.3">
      <c r="G1332" s="1">
        <v>44927</v>
      </c>
      <c r="K1332" s="1">
        <v>38261</v>
      </c>
      <c r="M1332" t="e">
        <v>#N/A</v>
      </c>
      <c r="N1332" s="1">
        <v>44927</v>
      </c>
    </row>
    <row r="1333" spans="7:14" x14ac:dyDescent="0.3">
      <c r="G1333" s="1">
        <v>44927</v>
      </c>
      <c r="K1333" s="1">
        <v>38261</v>
      </c>
      <c r="M1333" t="e">
        <v>#N/A</v>
      </c>
      <c r="N1333" s="1">
        <v>44927</v>
      </c>
    </row>
    <row r="1334" spans="7:14" x14ac:dyDescent="0.3">
      <c r="G1334" s="1">
        <v>44927</v>
      </c>
      <c r="K1334" s="1">
        <v>38261</v>
      </c>
      <c r="M1334" t="e">
        <v>#N/A</v>
      </c>
      <c r="N1334" s="1">
        <v>44927</v>
      </c>
    </row>
    <row r="1335" spans="7:14" x14ac:dyDescent="0.3">
      <c r="K1335" s="1">
        <v>38261</v>
      </c>
      <c r="M1335" t="e">
        <v>#N/A</v>
      </c>
      <c r="N1335" s="1">
        <v>37895</v>
      </c>
    </row>
    <row r="1336" spans="7:14" x14ac:dyDescent="0.3">
      <c r="K1336" s="1">
        <v>38261</v>
      </c>
      <c r="M1336" t="e">
        <v>#N/A</v>
      </c>
      <c r="N1336" s="1">
        <v>37895</v>
      </c>
    </row>
    <row r="1337" spans="7:14" x14ac:dyDescent="0.3">
      <c r="K1337" s="1">
        <v>38261</v>
      </c>
      <c r="M1337" t="e">
        <v>#N/A</v>
      </c>
      <c r="N1337" s="1">
        <v>37895</v>
      </c>
    </row>
    <row r="1338" spans="7:14" x14ac:dyDescent="0.3">
      <c r="K1338" s="1">
        <v>38261</v>
      </c>
      <c r="M1338" t="e">
        <v>#N/A</v>
      </c>
      <c r="N1338" s="1">
        <v>37895</v>
      </c>
    </row>
    <row r="1339" spans="7:14" x14ac:dyDescent="0.3">
      <c r="K1339" s="1">
        <v>38261</v>
      </c>
      <c r="M1339" t="e">
        <v>#N/A</v>
      </c>
      <c r="N1339" s="1">
        <v>37895</v>
      </c>
    </row>
    <row r="1340" spans="7:14" x14ac:dyDescent="0.3">
      <c r="K1340" s="1">
        <v>38261</v>
      </c>
      <c r="M1340" t="e">
        <v>#N/A</v>
      </c>
      <c r="N1340" s="1">
        <v>37895</v>
      </c>
    </row>
    <row r="1341" spans="7:14" x14ac:dyDescent="0.3">
      <c r="K1341" s="1">
        <v>38261</v>
      </c>
      <c r="M1341" t="e">
        <v>#N/A</v>
      </c>
      <c r="N1341" s="1">
        <v>37895</v>
      </c>
    </row>
    <row r="1342" spans="7:14" x14ac:dyDescent="0.3">
      <c r="K1342" s="1">
        <v>38261</v>
      </c>
      <c r="M1342" t="e">
        <v>#N/A</v>
      </c>
      <c r="N1342" s="1">
        <v>37895</v>
      </c>
    </row>
    <row r="1343" spans="7:14" x14ac:dyDescent="0.3">
      <c r="K1343" s="1">
        <v>38261</v>
      </c>
      <c r="M1343" t="e">
        <v>#N/A</v>
      </c>
      <c r="N1343" s="1">
        <v>37895</v>
      </c>
    </row>
    <row r="1344" spans="7:14" x14ac:dyDescent="0.3">
      <c r="K1344" s="1">
        <v>38261</v>
      </c>
      <c r="M1344" t="e">
        <v>#N/A</v>
      </c>
      <c r="N1344" s="1">
        <v>37895</v>
      </c>
    </row>
    <row r="1345" spans="11:14" x14ac:dyDescent="0.3">
      <c r="K1345" s="1">
        <v>38261</v>
      </c>
      <c r="M1345" t="e">
        <v>#N/A</v>
      </c>
      <c r="N1345" s="1">
        <v>37895</v>
      </c>
    </row>
    <row r="1346" spans="11:14" x14ac:dyDescent="0.3">
      <c r="K1346" s="1">
        <v>38261</v>
      </c>
      <c r="M1346" t="e">
        <v>#N/A</v>
      </c>
      <c r="N1346" s="1">
        <v>37895</v>
      </c>
    </row>
    <row r="1347" spans="11:14" x14ac:dyDescent="0.3">
      <c r="K1347" s="1">
        <v>38261</v>
      </c>
      <c r="M1347" t="e">
        <v>#N/A</v>
      </c>
      <c r="N1347" s="1">
        <v>37895</v>
      </c>
    </row>
    <row r="1348" spans="11:14" x14ac:dyDescent="0.3">
      <c r="K1348" s="1">
        <v>38261</v>
      </c>
      <c r="M1348" t="e">
        <v>#N/A</v>
      </c>
      <c r="N1348" s="1">
        <v>37895</v>
      </c>
    </row>
    <row r="1349" spans="11:14" x14ac:dyDescent="0.3">
      <c r="K1349" s="1">
        <v>38261</v>
      </c>
      <c r="M1349" t="e">
        <v>#N/A</v>
      </c>
      <c r="N1349" s="1">
        <v>37895</v>
      </c>
    </row>
    <row r="1350" spans="11:14" x14ac:dyDescent="0.3">
      <c r="K1350" s="1">
        <v>38261</v>
      </c>
      <c r="M1350" t="e">
        <v>#N/A</v>
      </c>
      <c r="N1350" s="1">
        <v>37895</v>
      </c>
    </row>
    <row r="1351" spans="11:14" x14ac:dyDescent="0.3">
      <c r="K1351" s="1">
        <v>38261</v>
      </c>
      <c r="M1351" t="e">
        <v>#N/A</v>
      </c>
      <c r="N1351" s="1">
        <v>37895</v>
      </c>
    </row>
    <row r="1352" spans="11:14" x14ac:dyDescent="0.3">
      <c r="K1352" s="1">
        <v>38261</v>
      </c>
      <c r="M1352" t="e">
        <v>#N/A</v>
      </c>
      <c r="N1352" s="1">
        <v>37895</v>
      </c>
    </row>
    <row r="1353" spans="11:14" x14ac:dyDescent="0.3">
      <c r="K1353" s="1">
        <v>38261</v>
      </c>
      <c r="M1353" t="e">
        <v>#N/A</v>
      </c>
      <c r="N1353" s="1">
        <v>37895</v>
      </c>
    </row>
    <row r="1354" spans="11:14" x14ac:dyDescent="0.3">
      <c r="K1354" s="1">
        <v>38261</v>
      </c>
      <c r="M1354" t="e">
        <v>#N/A</v>
      </c>
      <c r="N1354" s="1">
        <v>37895</v>
      </c>
    </row>
    <row r="1355" spans="11:14" x14ac:dyDescent="0.3">
      <c r="K1355" s="1">
        <v>38261</v>
      </c>
      <c r="M1355" t="e">
        <v>#N/A</v>
      </c>
      <c r="N1355" s="1">
        <v>37895</v>
      </c>
    </row>
    <row r="1356" spans="11:14" x14ac:dyDescent="0.3">
      <c r="K1356" s="1">
        <v>38261</v>
      </c>
      <c r="M1356" t="e">
        <v>#N/A</v>
      </c>
      <c r="N1356" s="1">
        <v>37895</v>
      </c>
    </row>
    <row r="1357" spans="11:14" x14ac:dyDescent="0.3">
      <c r="K1357" s="1">
        <v>38261</v>
      </c>
      <c r="M1357" t="e">
        <v>#N/A</v>
      </c>
      <c r="N1357" s="1">
        <v>37895</v>
      </c>
    </row>
    <row r="1358" spans="11:14" x14ac:dyDescent="0.3">
      <c r="K1358" s="1">
        <v>38261</v>
      </c>
      <c r="M1358" t="e">
        <v>#N/A</v>
      </c>
      <c r="N1358" s="1">
        <v>37895</v>
      </c>
    </row>
    <row r="1359" spans="11:14" x14ac:dyDescent="0.3">
      <c r="K1359" s="1">
        <v>38261</v>
      </c>
      <c r="M1359" t="e">
        <v>#N/A</v>
      </c>
      <c r="N1359" s="1">
        <v>37895</v>
      </c>
    </row>
    <row r="1360" spans="11:14" x14ac:dyDescent="0.3">
      <c r="K1360" s="1">
        <v>38261</v>
      </c>
      <c r="M1360" t="e">
        <v>#N/A</v>
      </c>
      <c r="N1360" s="1">
        <v>37895</v>
      </c>
    </row>
    <row r="1361" spans="11:14" x14ac:dyDescent="0.3">
      <c r="K1361" s="1">
        <v>38261</v>
      </c>
      <c r="M1361" t="e">
        <v>#N/A</v>
      </c>
      <c r="N1361" s="1">
        <v>37895</v>
      </c>
    </row>
    <row r="1362" spans="11:14" x14ac:dyDescent="0.3">
      <c r="K1362" s="1">
        <v>38261</v>
      </c>
      <c r="M1362" t="e">
        <v>#N/A</v>
      </c>
      <c r="N1362" s="1">
        <v>37895</v>
      </c>
    </row>
    <row r="1363" spans="11:14" x14ac:dyDescent="0.3">
      <c r="K1363" s="1">
        <v>38261</v>
      </c>
      <c r="M1363" t="e">
        <v>#N/A</v>
      </c>
      <c r="N1363" s="1">
        <v>37895</v>
      </c>
    </row>
    <row r="1364" spans="11:14" x14ac:dyDescent="0.3">
      <c r="K1364" s="1">
        <v>38261</v>
      </c>
      <c r="M1364" t="e">
        <v>#N/A</v>
      </c>
      <c r="N1364" s="1">
        <v>37895</v>
      </c>
    </row>
    <row r="1365" spans="11:14" x14ac:dyDescent="0.3">
      <c r="K1365" s="1">
        <v>38261</v>
      </c>
      <c r="M1365" t="e">
        <v>#N/A</v>
      </c>
      <c r="N1365" s="1">
        <v>37895</v>
      </c>
    </row>
    <row r="1366" spans="11:14" x14ac:dyDescent="0.3">
      <c r="K1366" s="1">
        <v>38261</v>
      </c>
      <c r="M1366" t="e">
        <v>#N/A</v>
      </c>
      <c r="N1366" s="1">
        <v>37895</v>
      </c>
    </row>
    <row r="1367" spans="11:14" x14ac:dyDescent="0.3">
      <c r="K1367" s="1">
        <v>38261</v>
      </c>
      <c r="M1367" t="e">
        <v>#N/A</v>
      </c>
      <c r="N1367" s="1">
        <v>37895</v>
      </c>
    </row>
    <row r="1368" spans="11:14" x14ac:dyDescent="0.3">
      <c r="K1368" s="1">
        <v>38261</v>
      </c>
      <c r="M1368" t="e">
        <v>#N/A</v>
      </c>
      <c r="N1368" s="1">
        <v>37895</v>
      </c>
    </row>
    <row r="1369" spans="11:14" x14ac:dyDescent="0.3">
      <c r="K1369" s="1">
        <v>38261</v>
      </c>
      <c r="M1369" t="e">
        <v>#N/A</v>
      </c>
      <c r="N1369" s="1">
        <v>37895</v>
      </c>
    </row>
    <row r="1370" spans="11:14" x14ac:dyDescent="0.3">
      <c r="K1370" s="1">
        <v>38261</v>
      </c>
      <c r="M1370" t="e">
        <v>#N/A</v>
      </c>
      <c r="N1370" s="1">
        <v>37895</v>
      </c>
    </row>
    <row r="1371" spans="11:14" x14ac:dyDescent="0.3">
      <c r="K1371" s="1">
        <v>38261</v>
      </c>
      <c r="M1371" t="e">
        <v>#N/A</v>
      </c>
      <c r="N1371" s="1">
        <v>37895</v>
      </c>
    </row>
    <row r="1372" spans="11:14" x14ac:dyDescent="0.3">
      <c r="K1372" s="1">
        <v>38261</v>
      </c>
      <c r="M1372" t="e">
        <v>#N/A</v>
      </c>
      <c r="N1372" s="1">
        <v>37895</v>
      </c>
    </row>
    <row r="1373" spans="11:14" x14ac:dyDescent="0.3">
      <c r="K1373" s="1">
        <v>38261</v>
      </c>
      <c r="M1373" t="e">
        <v>#N/A</v>
      </c>
      <c r="N1373" s="1">
        <v>37895</v>
      </c>
    </row>
    <row r="1374" spans="11:14" x14ac:dyDescent="0.3">
      <c r="K1374" s="1">
        <v>38261</v>
      </c>
      <c r="M1374" t="e">
        <v>#N/A</v>
      </c>
      <c r="N1374" s="1">
        <v>37895</v>
      </c>
    </row>
    <row r="1375" spans="11:14" x14ac:dyDescent="0.3">
      <c r="K1375" s="1">
        <v>38261</v>
      </c>
      <c r="M1375" t="e">
        <v>#N/A</v>
      </c>
      <c r="N1375" s="1">
        <v>37895</v>
      </c>
    </row>
    <row r="1376" spans="11:14" x14ac:dyDescent="0.3">
      <c r="K1376" s="1">
        <v>38261</v>
      </c>
      <c r="M1376" t="e">
        <v>#N/A</v>
      </c>
      <c r="N1376" s="1">
        <v>37895</v>
      </c>
    </row>
    <row r="1377" spans="11:14" x14ac:dyDescent="0.3">
      <c r="K1377" s="1">
        <v>38261</v>
      </c>
      <c r="M1377" t="e">
        <v>#N/A</v>
      </c>
      <c r="N1377" s="1">
        <v>37895</v>
      </c>
    </row>
    <row r="1378" spans="11:14" x14ac:dyDescent="0.3">
      <c r="K1378" s="1">
        <v>38261</v>
      </c>
      <c r="M1378" t="e">
        <v>#N/A</v>
      </c>
      <c r="N1378" s="1">
        <v>37895</v>
      </c>
    </row>
    <row r="1379" spans="11:14" x14ac:dyDescent="0.3">
      <c r="K1379" s="1">
        <v>38261</v>
      </c>
      <c r="M1379" t="e">
        <v>#N/A</v>
      </c>
      <c r="N1379" s="1">
        <v>37895</v>
      </c>
    </row>
    <row r="1380" spans="11:14" x14ac:dyDescent="0.3">
      <c r="K1380" s="1">
        <v>38261</v>
      </c>
      <c r="M1380" t="e">
        <v>#N/A</v>
      </c>
      <c r="N1380" s="1">
        <v>37895</v>
      </c>
    </row>
    <row r="1381" spans="11:14" x14ac:dyDescent="0.3">
      <c r="K1381" s="1">
        <v>38261</v>
      </c>
      <c r="M1381" t="e">
        <v>#N/A</v>
      </c>
      <c r="N1381" s="1">
        <v>37895</v>
      </c>
    </row>
    <row r="1382" spans="11:14" x14ac:dyDescent="0.3">
      <c r="K1382" s="1">
        <v>38261</v>
      </c>
      <c r="M1382" t="e">
        <v>#N/A</v>
      </c>
      <c r="N1382" s="1">
        <v>37895</v>
      </c>
    </row>
    <row r="1383" spans="11:14" x14ac:dyDescent="0.3">
      <c r="K1383" s="1">
        <v>38261</v>
      </c>
      <c r="M1383" t="e">
        <v>#N/A</v>
      </c>
      <c r="N1383" s="1">
        <v>37895</v>
      </c>
    </row>
    <row r="1384" spans="11:14" x14ac:dyDescent="0.3">
      <c r="K1384" s="1">
        <v>38261</v>
      </c>
      <c r="M1384" t="e">
        <v>#N/A</v>
      </c>
      <c r="N1384" s="1">
        <v>37895</v>
      </c>
    </row>
    <row r="1385" spans="11:14" x14ac:dyDescent="0.3">
      <c r="K1385" s="1">
        <v>38261</v>
      </c>
      <c r="M1385" t="e">
        <v>#N/A</v>
      </c>
      <c r="N1385" s="1">
        <v>37895</v>
      </c>
    </row>
    <row r="1386" spans="11:14" x14ac:dyDescent="0.3">
      <c r="K1386" s="1">
        <v>38261</v>
      </c>
      <c r="M1386" t="e">
        <v>#N/A</v>
      </c>
      <c r="N1386" s="1">
        <v>37895</v>
      </c>
    </row>
    <row r="1387" spans="11:14" x14ac:dyDescent="0.3">
      <c r="K1387" s="1">
        <v>38261</v>
      </c>
      <c r="M1387" t="e">
        <v>#N/A</v>
      </c>
      <c r="N1387" s="1">
        <v>37895</v>
      </c>
    </row>
    <row r="1388" spans="11:14" x14ac:dyDescent="0.3">
      <c r="K1388" s="1">
        <v>38261</v>
      </c>
      <c r="M1388" t="e">
        <v>#N/A</v>
      </c>
      <c r="N1388" s="1">
        <v>37895</v>
      </c>
    </row>
    <row r="1389" spans="11:14" x14ac:dyDescent="0.3">
      <c r="K1389" s="1">
        <v>38261</v>
      </c>
      <c r="M1389" t="e">
        <v>#N/A</v>
      </c>
      <c r="N1389" s="1">
        <v>37895</v>
      </c>
    </row>
    <row r="1390" spans="11:14" x14ac:dyDescent="0.3">
      <c r="K1390" s="1">
        <v>38261</v>
      </c>
      <c r="M1390" t="e">
        <v>#N/A</v>
      </c>
      <c r="N1390" s="1">
        <v>37895</v>
      </c>
    </row>
    <row r="1391" spans="11:14" x14ac:dyDescent="0.3">
      <c r="K1391" s="1">
        <v>38261</v>
      </c>
      <c r="M1391" t="e">
        <v>#N/A</v>
      </c>
      <c r="N1391" s="1">
        <v>37895</v>
      </c>
    </row>
    <row r="1392" spans="11:14" x14ac:dyDescent="0.3">
      <c r="K1392" s="1">
        <v>38261</v>
      </c>
      <c r="M1392" t="e">
        <v>#N/A</v>
      </c>
      <c r="N1392" s="1">
        <v>37895</v>
      </c>
    </row>
    <row r="1393" spans="11:14" x14ac:dyDescent="0.3">
      <c r="K1393" s="1">
        <v>38261</v>
      </c>
      <c r="M1393" t="e">
        <v>#N/A</v>
      </c>
      <c r="N1393" s="1">
        <v>37895</v>
      </c>
    </row>
    <row r="1394" spans="11:14" x14ac:dyDescent="0.3">
      <c r="K1394" s="1">
        <v>38261</v>
      </c>
      <c r="M1394" t="e">
        <v>#N/A</v>
      </c>
      <c r="N1394" s="1">
        <v>37895</v>
      </c>
    </row>
    <row r="1395" spans="11:14" x14ac:dyDescent="0.3">
      <c r="K1395" s="1">
        <v>38261</v>
      </c>
      <c r="M1395" t="e">
        <v>#N/A</v>
      </c>
      <c r="N1395" s="1">
        <v>37895</v>
      </c>
    </row>
    <row r="1396" spans="11:14" x14ac:dyDescent="0.3">
      <c r="K1396" s="1">
        <v>38261</v>
      </c>
      <c r="M1396" t="e">
        <v>#N/A</v>
      </c>
      <c r="N1396" s="1">
        <v>37895</v>
      </c>
    </row>
    <row r="1397" spans="11:14" x14ac:dyDescent="0.3">
      <c r="K1397" s="1">
        <v>38261</v>
      </c>
      <c r="M1397" t="e">
        <v>#N/A</v>
      </c>
      <c r="N1397" s="1">
        <v>37895</v>
      </c>
    </row>
    <row r="1398" spans="11:14" x14ac:dyDescent="0.3">
      <c r="K1398" s="1">
        <v>38261</v>
      </c>
      <c r="M1398" t="e">
        <v>#N/A</v>
      </c>
      <c r="N1398" s="1">
        <v>37895</v>
      </c>
    </row>
    <row r="1399" spans="11:14" x14ac:dyDescent="0.3">
      <c r="K1399" s="1">
        <v>38261</v>
      </c>
      <c r="M1399" t="e">
        <v>#N/A</v>
      </c>
      <c r="N1399" s="1">
        <v>37895</v>
      </c>
    </row>
    <row r="1400" spans="11:14" x14ac:dyDescent="0.3">
      <c r="K1400" s="1">
        <v>38261</v>
      </c>
      <c r="M1400" t="e">
        <v>#N/A</v>
      </c>
      <c r="N1400" s="1">
        <v>37895</v>
      </c>
    </row>
    <row r="1401" spans="11:14" x14ac:dyDescent="0.3">
      <c r="K1401" s="1">
        <v>38261</v>
      </c>
      <c r="M1401" t="e">
        <v>#N/A</v>
      </c>
      <c r="N1401" s="1">
        <v>37895</v>
      </c>
    </row>
    <row r="1402" spans="11:14" x14ac:dyDescent="0.3">
      <c r="K1402" s="1">
        <v>38261</v>
      </c>
      <c r="M1402" t="e">
        <v>#N/A</v>
      </c>
      <c r="N1402" s="1">
        <v>37895</v>
      </c>
    </row>
    <row r="1403" spans="11:14" x14ac:dyDescent="0.3">
      <c r="K1403" s="1">
        <v>38261</v>
      </c>
      <c r="M1403" t="e">
        <v>#N/A</v>
      </c>
      <c r="N1403" s="1">
        <v>37895</v>
      </c>
    </row>
    <row r="1404" spans="11:14" x14ac:dyDescent="0.3">
      <c r="K1404" s="1">
        <v>38261</v>
      </c>
      <c r="M1404" t="e">
        <v>#N/A</v>
      </c>
      <c r="N1404" s="1">
        <v>37895</v>
      </c>
    </row>
    <row r="1405" spans="11:14" x14ac:dyDescent="0.3">
      <c r="K1405" s="1">
        <v>38261</v>
      </c>
      <c r="M1405" t="e">
        <v>#N/A</v>
      </c>
      <c r="N1405" s="1">
        <v>37895</v>
      </c>
    </row>
    <row r="1406" spans="11:14" x14ac:dyDescent="0.3">
      <c r="K1406" s="1">
        <v>38261</v>
      </c>
      <c r="M1406" t="e">
        <v>#N/A</v>
      </c>
      <c r="N1406" s="1">
        <v>37895</v>
      </c>
    </row>
    <row r="1407" spans="11:14" x14ac:dyDescent="0.3">
      <c r="K1407" s="1">
        <v>38261</v>
      </c>
      <c r="M1407" t="e">
        <v>#N/A</v>
      </c>
      <c r="N1407" s="1">
        <v>37895</v>
      </c>
    </row>
    <row r="1408" spans="11:14" x14ac:dyDescent="0.3">
      <c r="K1408" s="1">
        <v>38261</v>
      </c>
      <c r="M1408" t="e">
        <v>#N/A</v>
      </c>
      <c r="N1408" s="1">
        <v>37895</v>
      </c>
    </row>
    <row r="1409" spans="11:14" x14ac:dyDescent="0.3">
      <c r="K1409" s="1">
        <v>38261</v>
      </c>
      <c r="M1409" t="e">
        <v>#N/A</v>
      </c>
      <c r="N1409" s="1">
        <v>37895</v>
      </c>
    </row>
    <row r="1410" spans="11:14" x14ac:dyDescent="0.3">
      <c r="K1410" s="1">
        <v>38261</v>
      </c>
      <c r="M1410" t="e">
        <v>#N/A</v>
      </c>
      <c r="N1410" s="1">
        <v>37895</v>
      </c>
    </row>
    <row r="1411" spans="11:14" x14ac:dyDescent="0.3">
      <c r="K1411" s="1">
        <v>38261</v>
      </c>
      <c r="M1411" t="e">
        <v>#N/A</v>
      </c>
      <c r="N1411" s="1">
        <v>37895</v>
      </c>
    </row>
    <row r="1412" spans="11:14" x14ac:dyDescent="0.3">
      <c r="K1412" s="1">
        <v>38261</v>
      </c>
      <c r="M1412" t="e">
        <v>#N/A</v>
      </c>
      <c r="N1412" s="1">
        <v>37895</v>
      </c>
    </row>
    <row r="1413" spans="11:14" x14ac:dyDescent="0.3">
      <c r="K1413" s="1">
        <v>38261</v>
      </c>
      <c r="M1413" t="e">
        <v>#N/A</v>
      </c>
      <c r="N1413" s="1">
        <v>37895</v>
      </c>
    </row>
    <row r="1414" spans="11:14" x14ac:dyDescent="0.3">
      <c r="K1414" s="1">
        <v>38261</v>
      </c>
      <c r="M1414" t="e">
        <v>#N/A</v>
      </c>
      <c r="N1414" s="1">
        <v>37895</v>
      </c>
    </row>
    <row r="1415" spans="11:14" x14ac:dyDescent="0.3">
      <c r="K1415" s="1">
        <v>38261</v>
      </c>
      <c r="M1415" t="e">
        <v>#N/A</v>
      </c>
      <c r="N1415" s="1">
        <v>37895</v>
      </c>
    </row>
    <row r="1416" spans="11:14" x14ac:dyDescent="0.3">
      <c r="K1416" s="1">
        <v>38261</v>
      </c>
      <c r="M1416" t="e">
        <v>#N/A</v>
      </c>
      <c r="N1416" s="1">
        <v>37895</v>
      </c>
    </row>
    <row r="1417" spans="11:14" x14ac:dyDescent="0.3">
      <c r="K1417" s="1">
        <v>38261</v>
      </c>
      <c r="M1417" t="e">
        <v>#N/A</v>
      </c>
      <c r="N1417" s="1">
        <v>37895</v>
      </c>
    </row>
    <row r="1418" spans="11:14" x14ac:dyDescent="0.3">
      <c r="K1418" s="1">
        <v>38261</v>
      </c>
      <c r="M1418" t="e">
        <v>#N/A</v>
      </c>
      <c r="N1418" s="1">
        <v>37895</v>
      </c>
    </row>
    <row r="1419" spans="11:14" x14ac:dyDescent="0.3">
      <c r="K1419" s="1">
        <v>38261</v>
      </c>
      <c r="M1419" t="e">
        <v>#N/A</v>
      </c>
      <c r="N1419" s="1">
        <v>37895</v>
      </c>
    </row>
    <row r="1420" spans="11:14" x14ac:dyDescent="0.3">
      <c r="K1420" s="1">
        <v>38261</v>
      </c>
      <c r="M1420" t="e">
        <v>#N/A</v>
      </c>
      <c r="N1420" s="1">
        <v>37895</v>
      </c>
    </row>
    <row r="1421" spans="11:14" x14ac:dyDescent="0.3">
      <c r="K1421" s="1">
        <v>38261</v>
      </c>
      <c r="M1421" t="e">
        <v>#N/A</v>
      </c>
      <c r="N1421" s="1">
        <v>37895</v>
      </c>
    </row>
    <row r="1422" spans="11:14" x14ac:dyDescent="0.3">
      <c r="K1422" s="1">
        <v>38261</v>
      </c>
      <c r="M1422" t="e">
        <v>#N/A</v>
      </c>
      <c r="N1422" s="1">
        <v>37895</v>
      </c>
    </row>
    <row r="1423" spans="11:14" x14ac:dyDescent="0.3">
      <c r="K1423" s="1">
        <v>38261</v>
      </c>
      <c r="M1423" t="e">
        <v>#N/A</v>
      </c>
      <c r="N1423" s="1">
        <v>37895</v>
      </c>
    </row>
    <row r="1424" spans="11:14" x14ac:dyDescent="0.3">
      <c r="K1424" s="1">
        <v>38261</v>
      </c>
      <c r="M1424" t="e">
        <v>#N/A</v>
      </c>
      <c r="N1424" s="1">
        <v>37895</v>
      </c>
    </row>
    <row r="1425" spans="11:14" x14ac:dyDescent="0.3">
      <c r="K1425" s="1">
        <v>38261</v>
      </c>
      <c r="M1425" t="e">
        <v>#N/A</v>
      </c>
      <c r="N1425" s="1">
        <v>37895</v>
      </c>
    </row>
    <row r="1426" spans="11:14" x14ac:dyDescent="0.3">
      <c r="K1426" s="1">
        <v>38261</v>
      </c>
      <c r="M1426" t="e">
        <v>#N/A</v>
      </c>
      <c r="N1426" s="1">
        <v>37895</v>
      </c>
    </row>
    <row r="1427" spans="11:14" x14ac:dyDescent="0.3">
      <c r="K1427" s="1">
        <v>38261</v>
      </c>
      <c r="M1427" t="e">
        <v>#N/A</v>
      </c>
      <c r="N1427" s="1">
        <v>37895</v>
      </c>
    </row>
    <row r="1428" spans="11:14" x14ac:dyDescent="0.3">
      <c r="K1428" s="1">
        <v>38261</v>
      </c>
      <c r="M1428" t="e">
        <v>#N/A</v>
      </c>
      <c r="N1428" s="1">
        <v>37895</v>
      </c>
    </row>
    <row r="1429" spans="11:14" x14ac:dyDescent="0.3">
      <c r="K1429" s="1">
        <v>38261</v>
      </c>
      <c r="M1429" t="e">
        <v>#N/A</v>
      </c>
      <c r="N1429" s="1">
        <v>37895</v>
      </c>
    </row>
    <row r="1430" spans="11:14" x14ac:dyDescent="0.3">
      <c r="K1430" s="1">
        <v>38261</v>
      </c>
      <c r="M1430" t="e">
        <v>#N/A</v>
      </c>
      <c r="N1430" s="1">
        <v>37895</v>
      </c>
    </row>
    <row r="1431" spans="11:14" x14ac:dyDescent="0.3">
      <c r="K1431" s="1">
        <v>38261</v>
      </c>
      <c r="M1431" t="e">
        <v>#N/A</v>
      </c>
      <c r="N1431" s="1">
        <v>37895</v>
      </c>
    </row>
    <row r="1432" spans="11:14" x14ac:dyDescent="0.3">
      <c r="K1432" s="1">
        <v>38261</v>
      </c>
      <c r="M1432" t="e">
        <v>#N/A</v>
      </c>
      <c r="N1432" s="1">
        <v>37895</v>
      </c>
    </row>
    <row r="1433" spans="11:14" x14ac:dyDescent="0.3">
      <c r="K1433" s="1">
        <v>38261</v>
      </c>
      <c r="M1433" t="e">
        <v>#N/A</v>
      </c>
      <c r="N1433" s="1">
        <v>37895</v>
      </c>
    </row>
    <row r="1434" spans="11:14" x14ac:dyDescent="0.3">
      <c r="K1434" s="1">
        <v>38261</v>
      </c>
      <c r="M1434" t="e">
        <v>#N/A</v>
      </c>
      <c r="N1434" s="1">
        <v>37895</v>
      </c>
    </row>
    <row r="1435" spans="11:14" x14ac:dyDescent="0.3">
      <c r="K1435" s="1">
        <v>38261</v>
      </c>
      <c r="M1435" t="e">
        <v>#N/A</v>
      </c>
      <c r="N1435" s="1">
        <v>37895</v>
      </c>
    </row>
    <row r="1436" spans="11:14" x14ac:dyDescent="0.3">
      <c r="K1436" s="1">
        <v>38261</v>
      </c>
      <c r="M1436" t="e">
        <v>#N/A</v>
      </c>
      <c r="N1436" s="1">
        <v>37895</v>
      </c>
    </row>
    <row r="1437" spans="11:14" x14ac:dyDescent="0.3">
      <c r="K1437" s="1">
        <v>38261</v>
      </c>
      <c r="M1437" t="e">
        <v>#N/A</v>
      </c>
      <c r="N1437" s="1">
        <v>37895</v>
      </c>
    </row>
    <row r="1438" spans="11:14" x14ac:dyDescent="0.3">
      <c r="K1438" s="1">
        <v>38261</v>
      </c>
      <c r="M1438" t="e">
        <v>#N/A</v>
      </c>
      <c r="N1438" s="1">
        <v>37895</v>
      </c>
    </row>
    <row r="1439" spans="11:14" x14ac:dyDescent="0.3">
      <c r="K1439" s="1">
        <v>38261</v>
      </c>
      <c r="M1439" t="e">
        <v>#N/A</v>
      </c>
      <c r="N1439" s="1">
        <v>37895</v>
      </c>
    </row>
    <row r="1440" spans="11:14" x14ac:dyDescent="0.3">
      <c r="K1440" s="1">
        <v>38261</v>
      </c>
      <c r="M1440" t="e">
        <v>#N/A</v>
      </c>
      <c r="N1440" s="1">
        <v>37895</v>
      </c>
    </row>
    <row r="1441" spans="11:14" x14ac:dyDescent="0.3">
      <c r="K1441" s="1">
        <v>38261</v>
      </c>
      <c r="M1441" t="e">
        <v>#N/A</v>
      </c>
      <c r="N1441" s="1">
        <v>37895</v>
      </c>
    </row>
    <row r="1442" spans="11:14" x14ac:dyDescent="0.3">
      <c r="K1442" s="1">
        <v>38261</v>
      </c>
      <c r="M1442" t="e">
        <v>#N/A</v>
      </c>
      <c r="N1442" s="1">
        <v>37895</v>
      </c>
    </row>
    <row r="1443" spans="11:14" x14ac:dyDescent="0.3">
      <c r="K1443" s="1">
        <v>38261</v>
      </c>
      <c r="M1443" t="e">
        <v>#N/A</v>
      </c>
      <c r="N1443" s="1">
        <v>37895</v>
      </c>
    </row>
    <row r="1444" spans="11:14" x14ac:dyDescent="0.3">
      <c r="K1444" s="1">
        <v>38261</v>
      </c>
      <c r="M1444" t="e">
        <v>#N/A</v>
      </c>
      <c r="N1444" s="1">
        <v>37895</v>
      </c>
    </row>
    <row r="1445" spans="11:14" x14ac:dyDescent="0.3">
      <c r="K1445" s="1">
        <v>38261</v>
      </c>
      <c r="M1445" t="e">
        <v>#N/A</v>
      </c>
      <c r="N1445" s="1">
        <v>37895</v>
      </c>
    </row>
    <row r="1446" spans="11:14" x14ac:dyDescent="0.3">
      <c r="K1446" s="1">
        <v>38261</v>
      </c>
      <c r="M1446" t="e">
        <v>#N/A</v>
      </c>
      <c r="N1446" s="1">
        <v>37895</v>
      </c>
    </row>
    <row r="1447" spans="11:14" x14ac:dyDescent="0.3">
      <c r="K1447" s="1">
        <v>38261</v>
      </c>
      <c r="M1447" t="e">
        <v>#N/A</v>
      </c>
      <c r="N1447" s="1">
        <v>37895</v>
      </c>
    </row>
    <row r="1448" spans="11:14" x14ac:dyDescent="0.3">
      <c r="K1448" s="1">
        <v>38261</v>
      </c>
      <c r="M1448" t="e">
        <v>#N/A</v>
      </c>
      <c r="N1448" s="1">
        <v>37895</v>
      </c>
    </row>
    <row r="1449" spans="11:14" x14ac:dyDescent="0.3">
      <c r="K1449" s="1">
        <v>38261</v>
      </c>
      <c r="M1449" t="e">
        <v>#N/A</v>
      </c>
      <c r="N1449" s="1">
        <v>37895</v>
      </c>
    </row>
    <row r="1450" spans="11:14" x14ac:dyDescent="0.3">
      <c r="K1450" s="1">
        <v>38261</v>
      </c>
      <c r="M1450" t="e">
        <v>#N/A</v>
      </c>
      <c r="N1450" s="1">
        <v>37895</v>
      </c>
    </row>
    <row r="1451" spans="11:14" x14ac:dyDescent="0.3">
      <c r="K1451" s="1">
        <v>38261</v>
      </c>
      <c r="M1451" t="e">
        <v>#N/A</v>
      </c>
      <c r="N1451" s="1">
        <v>37895</v>
      </c>
    </row>
    <row r="1452" spans="11:14" x14ac:dyDescent="0.3">
      <c r="K1452" s="1">
        <v>38261</v>
      </c>
      <c r="M1452" t="e">
        <v>#N/A</v>
      </c>
      <c r="N1452" s="1">
        <v>37895</v>
      </c>
    </row>
    <row r="1453" spans="11:14" x14ac:dyDescent="0.3">
      <c r="K1453" s="1">
        <v>38261</v>
      </c>
      <c r="M1453" t="e">
        <v>#N/A</v>
      </c>
      <c r="N1453" s="1">
        <v>37895</v>
      </c>
    </row>
    <row r="1454" spans="11:14" x14ac:dyDescent="0.3">
      <c r="K1454" s="1">
        <v>38261</v>
      </c>
      <c r="M1454" t="e">
        <v>#N/A</v>
      </c>
      <c r="N1454" s="1">
        <v>37895</v>
      </c>
    </row>
    <row r="1455" spans="11:14" x14ac:dyDescent="0.3">
      <c r="K1455" s="1">
        <v>38261</v>
      </c>
      <c r="M1455" t="e">
        <v>#N/A</v>
      </c>
      <c r="N1455" s="1">
        <v>37895</v>
      </c>
    </row>
    <row r="1456" spans="11:14" x14ac:dyDescent="0.3">
      <c r="K1456" s="1">
        <v>38261</v>
      </c>
      <c r="M1456" t="e">
        <v>#N/A</v>
      </c>
      <c r="N1456" s="1">
        <v>37895</v>
      </c>
    </row>
    <row r="1457" spans="11:14" x14ac:dyDescent="0.3">
      <c r="K1457" s="1">
        <v>38261</v>
      </c>
      <c r="M1457" t="e">
        <v>#N/A</v>
      </c>
      <c r="N1457" s="1">
        <v>37895</v>
      </c>
    </row>
    <row r="1458" spans="11:14" x14ac:dyDescent="0.3">
      <c r="K1458" s="1">
        <v>38261</v>
      </c>
      <c r="M1458" t="e">
        <v>#N/A</v>
      </c>
      <c r="N1458" s="1">
        <v>37895</v>
      </c>
    </row>
    <row r="1459" spans="11:14" x14ac:dyDescent="0.3">
      <c r="K1459" s="1">
        <v>38261</v>
      </c>
      <c r="M1459" t="e">
        <v>#N/A</v>
      </c>
      <c r="N1459" s="1">
        <v>37895</v>
      </c>
    </row>
    <row r="1460" spans="11:14" x14ac:dyDescent="0.3">
      <c r="K1460" s="1">
        <v>38261</v>
      </c>
      <c r="M1460" t="e">
        <v>#N/A</v>
      </c>
      <c r="N1460" s="1">
        <v>37895</v>
      </c>
    </row>
    <row r="1461" spans="11:14" x14ac:dyDescent="0.3">
      <c r="K1461" s="1">
        <v>38261</v>
      </c>
      <c r="M1461" t="e">
        <v>#N/A</v>
      </c>
      <c r="N1461" s="1">
        <v>37895</v>
      </c>
    </row>
    <row r="1462" spans="11:14" x14ac:dyDescent="0.3">
      <c r="K1462" s="1">
        <v>38261</v>
      </c>
      <c r="M1462" t="e">
        <v>#N/A</v>
      </c>
      <c r="N1462" s="1">
        <v>37895</v>
      </c>
    </row>
    <row r="1463" spans="11:14" x14ac:dyDescent="0.3">
      <c r="K1463" s="1">
        <v>38261</v>
      </c>
      <c r="M1463" t="e">
        <v>#N/A</v>
      </c>
      <c r="N1463" s="1">
        <v>37895</v>
      </c>
    </row>
    <row r="1464" spans="11:14" x14ac:dyDescent="0.3">
      <c r="K1464" s="1">
        <v>38261</v>
      </c>
      <c r="M1464" t="e">
        <v>#N/A</v>
      </c>
      <c r="N1464" s="1">
        <v>37895</v>
      </c>
    </row>
    <row r="1465" spans="11:14" x14ac:dyDescent="0.3">
      <c r="K1465" s="1">
        <v>38261</v>
      </c>
      <c r="M1465" t="e">
        <v>#N/A</v>
      </c>
      <c r="N1465" s="1">
        <v>37895</v>
      </c>
    </row>
    <row r="1466" spans="11:14" x14ac:dyDescent="0.3">
      <c r="K1466" s="1">
        <v>38261</v>
      </c>
      <c r="M1466" t="e">
        <v>#N/A</v>
      </c>
      <c r="N1466" s="1">
        <v>37895</v>
      </c>
    </row>
    <row r="1467" spans="11:14" x14ac:dyDescent="0.3">
      <c r="K1467" s="1">
        <v>38261</v>
      </c>
      <c r="M1467" t="e">
        <v>#N/A</v>
      </c>
      <c r="N1467" s="1">
        <v>37895</v>
      </c>
    </row>
    <row r="1468" spans="11:14" x14ac:dyDescent="0.3">
      <c r="K1468" s="1">
        <v>38261</v>
      </c>
      <c r="M1468" t="e">
        <v>#N/A</v>
      </c>
      <c r="N1468" s="1">
        <v>37895</v>
      </c>
    </row>
    <row r="1469" spans="11:14" x14ac:dyDescent="0.3">
      <c r="K1469" s="1">
        <v>38261</v>
      </c>
      <c r="M1469" t="e">
        <v>#N/A</v>
      </c>
      <c r="N1469" s="1">
        <v>37895</v>
      </c>
    </row>
    <row r="1470" spans="11:14" x14ac:dyDescent="0.3">
      <c r="K1470" s="1">
        <v>38261</v>
      </c>
      <c r="M1470" t="e">
        <v>#N/A</v>
      </c>
      <c r="N1470" s="1">
        <v>37895</v>
      </c>
    </row>
    <row r="1471" spans="11:14" x14ac:dyDescent="0.3">
      <c r="K1471" s="1">
        <v>38261</v>
      </c>
      <c r="M1471" t="e">
        <v>#N/A</v>
      </c>
      <c r="N1471" s="1">
        <v>37895</v>
      </c>
    </row>
    <row r="1472" spans="11:14" x14ac:dyDescent="0.3">
      <c r="K1472" s="1">
        <v>38261</v>
      </c>
      <c r="M1472" t="e">
        <v>#N/A</v>
      </c>
      <c r="N1472" s="1">
        <v>37895</v>
      </c>
    </row>
    <row r="1473" spans="11:14" x14ac:dyDescent="0.3">
      <c r="K1473" s="1">
        <v>38261</v>
      </c>
      <c r="M1473" t="e">
        <v>#N/A</v>
      </c>
      <c r="N1473" s="1">
        <v>37895</v>
      </c>
    </row>
    <row r="1474" spans="11:14" x14ac:dyDescent="0.3">
      <c r="K1474" s="1">
        <v>38261</v>
      </c>
      <c r="M1474" t="e">
        <v>#N/A</v>
      </c>
      <c r="N1474" s="1">
        <v>37895</v>
      </c>
    </row>
    <row r="1475" spans="11:14" x14ac:dyDescent="0.3">
      <c r="K1475" s="1">
        <v>38261</v>
      </c>
      <c r="M1475" t="e">
        <v>#N/A</v>
      </c>
      <c r="N1475" s="1">
        <v>37895</v>
      </c>
    </row>
    <row r="1476" spans="11:14" x14ac:dyDescent="0.3">
      <c r="K1476" s="1">
        <v>38261</v>
      </c>
      <c r="M1476" t="e">
        <v>#N/A</v>
      </c>
      <c r="N1476" s="1">
        <v>37895</v>
      </c>
    </row>
    <row r="1477" spans="11:14" x14ac:dyDescent="0.3">
      <c r="K1477" s="1">
        <v>38261</v>
      </c>
      <c r="M1477" t="e">
        <v>#N/A</v>
      </c>
      <c r="N1477" s="1">
        <v>37895</v>
      </c>
    </row>
    <row r="1478" spans="11:14" x14ac:dyDescent="0.3">
      <c r="K1478" s="1">
        <v>38261</v>
      </c>
      <c r="M1478" t="e">
        <v>#N/A</v>
      </c>
      <c r="N1478" s="1">
        <v>37895</v>
      </c>
    </row>
    <row r="1479" spans="11:14" x14ac:dyDescent="0.3">
      <c r="K1479" s="1">
        <v>38261</v>
      </c>
      <c r="M1479" t="e">
        <v>#N/A</v>
      </c>
      <c r="N1479" s="1">
        <v>37895</v>
      </c>
    </row>
    <row r="1480" spans="11:14" x14ac:dyDescent="0.3">
      <c r="K1480" s="1">
        <v>38261</v>
      </c>
      <c r="M1480" t="e">
        <v>#N/A</v>
      </c>
      <c r="N1480" s="1">
        <v>37895</v>
      </c>
    </row>
    <row r="1481" spans="11:14" x14ac:dyDescent="0.3">
      <c r="K1481" s="1">
        <v>38261</v>
      </c>
      <c r="M1481" t="e">
        <v>#N/A</v>
      </c>
      <c r="N1481" s="1">
        <v>37895</v>
      </c>
    </row>
    <row r="1482" spans="11:14" x14ac:dyDescent="0.3">
      <c r="K1482" s="1">
        <v>38261</v>
      </c>
      <c r="M1482" t="e">
        <v>#N/A</v>
      </c>
      <c r="N1482" s="1">
        <v>37895</v>
      </c>
    </row>
    <row r="1483" spans="11:14" x14ac:dyDescent="0.3">
      <c r="K1483" s="1">
        <v>38261</v>
      </c>
      <c r="M1483" t="e">
        <v>#N/A</v>
      </c>
      <c r="N1483" s="1">
        <v>37895</v>
      </c>
    </row>
    <row r="1484" spans="11:14" x14ac:dyDescent="0.3">
      <c r="K1484" s="1">
        <v>38261</v>
      </c>
      <c r="M1484" t="e">
        <v>#N/A</v>
      </c>
      <c r="N1484" s="1">
        <v>37895</v>
      </c>
    </row>
    <row r="1485" spans="11:14" x14ac:dyDescent="0.3">
      <c r="K1485" s="1">
        <v>38261</v>
      </c>
      <c r="M1485" t="e">
        <v>#N/A</v>
      </c>
      <c r="N1485" s="1">
        <v>37895</v>
      </c>
    </row>
    <row r="1486" spans="11:14" x14ac:dyDescent="0.3">
      <c r="K1486" s="1">
        <v>38261</v>
      </c>
      <c r="M1486" t="e">
        <v>#N/A</v>
      </c>
      <c r="N1486" s="1">
        <v>37895</v>
      </c>
    </row>
    <row r="1487" spans="11:14" x14ac:dyDescent="0.3">
      <c r="K1487" s="1">
        <v>38261</v>
      </c>
      <c r="M1487" t="e">
        <v>#N/A</v>
      </c>
      <c r="N1487" s="1">
        <v>37895</v>
      </c>
    </row>
    <row r="1488" spans="11:14" x14ac:dyDescent="0.3">
      <c r="K1488" s="1">
        <v>38261</v>
      </c>
      <c r="M1488" t="e">
        <v>#N/A</v>
      </c>
      <c r="N1488" s="1">
        <v>37895</v>
      </c>
    </row>
    <row r="1489" spans="11:14" x14ac:dyDescent="0.3">
      <c r="K1489" s="1">
        <v>38261</v>
      </c>
      <c r="M1489" t="e">
        <v>#N/A</v>
      </c>
      <c r="N1489" s="1">
        <v>37895</v>
      </c>
    </row>
    <row r="1490" spans="11:14" x14ac:dyDescent="0.3">
      <c r="K1490" s="1">
        <v>38261</v>
      </c>
      <c r="M1490" t="e">
        <v>#N/A</v>
      </c>
      <c r="N1490" s="1">
        <v>37895</v>
      </c>
    </row>
    <row r="1491" spans="11:14" x14ac:dyDescent="0.3">
      <c r="K1491" s="1">
        <v>38261</v>
      </c>
      <c r="M1491" t="e">
        <v>#N/A</v>
      </c>
      <c r="N1491" s="1">
        <v>37895</v>
      </c>
    </row>
    <row r="1492" spans="11:14" x14ac:dyDescent="0.3">
      <c r="K1492" s="1">
        <v>38261</v>
      </c>
      <c r="M1492" t="e">
        <v>#N/A</v>
      </c>
      <c r="N1492" s="1">
        <v>37895</v>
      </c>
    </row>
    <row r="1493" spans="11:14" x14ac:dyDescent="0.3">
      <c r="K1493" s="1">
        <v>38261</v>
      </c>
      <c r="M1493" t="e">
        <v>#N/A</v>
      </c>
      <c r="N1493" s="1">
        <v>37895</v>
      </c>
    </row>
    <row r="1494" spans="11:14" x14ac:dyDescent="0.3">
      <c r="K1494" s="1">
        <v>38261</v>
      </c>
      <c r="M1494" t="e">
        <v>#N/A</v>
      </c>
      <c r="N1494" s="1">
        <v>37895</v>
      </c>
    </row>
    <row r="1495" spans="11:14" x14ac:dyDescent="0.3">
      <c r="K1495" s="1">
        <v>38261</v>
      </c>
      <c r="M1495" t="e">
        <v>#N/A</v>
      </c>
      <c r="N1495" s="1">
        <v>37895</v>
      </c>
    </row>
    <row r="1496" spans="11:14" x14ac:dyDescent="0.3">
      <c r="K1496" s="1">
        <v>38261</v>
      </c>
      <c r="M1496" t="e">
        <v>#N/A</v>
      </c>
      <c r="N1496" s="1">
        <v>37895</v>
      </c>
    </row>
    <row r="1497" spans="11:14" x14ac:dyDescent="0.3">
      <c r="K1497" s="1">
        <v>38261</v>
      </c>
      <c r="M1497" t="e">
        <v>#N/A</v>
      </c>
      <c r="N1497" s="1">
        <v>37895</v>
      </c>
    </row>
    <row r="1498" spans="11:14" x14ac:dyDescent="0.3">
      <c r="K1498" s="1">
        <v>38261</v>
      </c>
      <c r="M1498" t="e">
        <v>#N/A</v>
      </c>
      <c r="N1498" s="1">
        <v>37895</v>
      </c>
    </row>
    <row r="1499" spans="11:14" x14ac:dyDescent="0.3">
      <c r="K1499" s="1">
        <v>38261</v>
      </c>
      <c r="M1499" t="e">
        <v>#N/A</v>
      </c>
      <c r="N1499" s="1">
        <v>37895</v>
      </c>
    </row>
    <row r="1500" spans="11:14" x14ac:dyDescent="0.3">
      <c r="K1500" s="1">
        <v>38261</v>
      </c>
      <c r="M1500" t="e">
        <v>#N/A</v>
      </c>
      <c r="N1500" s="1">
        <v>37895</v>
      </c>
    </row>
    <row r="1501" spans="11:14" x14ac:dyDescent="0.3">
      <c r="K1501" s="1">
        <v>38261</v>
      </c>
      <c r="M1501" t="e">
        <v>#N/A</v>
      </c>
      <c r="N1501" s="1">
        <v>37895</v>
      </c>
    </row>
    <row r="1502" spans="11:14" x14ac:dyDescent="0.3">
      <c r="K1502" s="1">
        <v>38261</v>
      </c>
      <c r="M1502" t="e">
        <v>#N/A</v>
      </c>
      <c r="N1502" s="1">
        <v>37895</v>
      </c>
    </row>
    <row r="1503" spans="11:14" x14ac:dyDescent="0.3">
      <c r="K1503" s="1">
        <v>38261</v>
      </c>
      <c r="M1503" t="e">
        <v>#N/A</v>
      </c>
      <c r="N1503" s="1">
        <v>37895</v>
      </c>
    </row>
    <row r="1504" spans="11:14" x14ac:dyDescent="0.3">
      <c r="K1504" s="1">
        <v>38261</v>
      </c>
      <c r="M1504" t="e">
        <v>#N/A</v>
      </c>
      <c r="N1504" s="1">
        <v>37895</v>
      </c>
    </row>
    <row r="1505" spans="11:14" x14ac:dyDescent="0.3">
      <c r="K1505" s="1">
        <v>38261</v>
      </c>
      <c r="M1505" t="e">
        <v>#N/A</v>
      </c>
      <c r="N1505" s="1">
        <v>37895</v>
      </c>
    </row>
    <row r="1506" spans="11:14" x14ac:dyDescent="0.3">
      <c r="K1506" s="1">
        <v>38261</v>
      </c>
      <c r="M1506" t="e">
        <v>#N/A</v>
      </c>
      <c r="N1506" s="1">
        <v>37895</v>
      </c>
    </row>
    <row r="1507" spans="11:14" x14ac:dyDescent="0.3">
      <c r="K1507" s="1">
        <v>38261</v>
      </c>
      <c r="M1507" t="e">
        <v>#N/A</v>
      </c>
      <c r="N1507" s="1">
        <v>37895</v>
      </c>
    </row>
    <row r="1508" spans="11:14" x14ac:dyDescent="0.3">
      <c r="K1508" s="1">
        <v>38261</v>
      </c>
      <c r="M1508" t="e">
        <v>#N/A</v>
      </c>
      <c r="N1508" s="1">
        <v>37895</v>
      </c>
    </row>
    <row r="1509" spans="11:14" x14ac:dyDescent="0.3">
      <c r="K1509" s="1">
        <v>38261</v>
      </c>
      <c r="M1509" t="e">
        <v>#N/A</v>
      </c>
      <c r="N1509" s="1">
        <v>37895</v>
      </c>
    </row>
    <row r="1510" spans="11:14" x14ac:dyDescent="0.3">
      <c r="K1510" s="1">
        <v>38261</v>
      </c>
      <c r="M1510" t="e">
        <v>#N/A</v>
      </c>
      <c r="N1510" s="1">
        <v>37895</v>
      </c>
    </row>
    <row r="1511" spans="11:14" x14ac:dyDescent="0.3">
      <c r="K1511" s="1">
        <v>38261</v>
      </c>
      <c r="M1511" t="e">
        <v>#N/A</v>
      </c>
      <c r="N1511" s="1">
        <v>37895</v>
      </c>
    </row>
    <row r="1512" spans="11:14" x14ac:dyDescent="0.3">
      <c r="K1512" s="1">
        <v>38261</v>
      </c>
      <c r="M1512" t="e">
        <v>#N/A</v>
      </c>
      <c r="N1512" s="1">
        <v>37895</v>
      </c>
    </row>
    <row r="1513" spans="11:14" x14ac:dyDescent="0.3">
      <c r="K1513" s="1">
        <v>38261</v>
      </c>
      <c r="M1513" t="e">
        <v>#N/A</v>
      </c>
      <c r="N1513" s="1">
        <v>37895</v>
      </c>
    </row>
    <row r="1514" spans="11:14" x14ac:dyDescent="0.3">
      <c r="K1514" s="1">
        <v>38261</v>
      </c>
      <c r="M1514" t="e">
        <v>#N/A</v>
      </c>
      <c r="N1514" s="1">
        <v>37895</v>
      </c>
    </row>
    <row r="1515" spans="11:14" x14ac:dyDescent="0.3">
      <c r="K1515" s="1">
        <v>38261</v>
      </c>
      <c r="M1515" t="e">
        <v>#N/A</v>
      </c>
      <c r="N1515" s="1">
        <v>37895</v>
      </c>
    </row>
    <row r="1516" spans="11:14" x14ac:dyDescent="0.3">
      <c r="K1516" s="1">
        <v>38261</v>
      </c>
      <c r="M1516" t="e">
        <v>#N/A</v>
      </c>
      <c r="N1516" s="1">
        <v>37895</v>
      </c>
    </row>
    <row r="1517" spans="11:14" x14ac:dyDescent="0.3">
      <c r="K1517" s="1">
        <v>38261</v>
      </c>
      <c r="M1517" t="e">
        <v>#N/A</v>
      </c>
      <c r="N1517" s="1">
        <v>37895</v>
      </c>
    </row>
    <row r="1518" spans="11:14" x14ac:dyDescent="0.3">
      <c r="K1518" s="1">
        <v>38261</v>
      </c>
      <c r="M1518" t="e">
        <v>#N/A</v>
      </c>
      <c r="N1518" s="1">
        <v>37895</v>
      </c>
    </row>
    <row r="1519" spans="11:14" x14ac:dyDescent="0.3">
      <c r="K1519" s="1">
        <v>38261</v>
      </c>
      <c r="M1519" t="e">
        <v>#N/A</v>
      </c>
      <c r="N1519" s="1">
        <v>37895</v>
      </c>
    </row>
    <row r="1520" spans="11:14" x14ac:dyDescent="0.3">
      <c r="K1520" s="1">
        <v>38261</v>
      </c>
      <c r="M1520" t="e">
        <v>#N/A</v>
      </c>
      <c r="N1520" s="1">
        <v>37895</v>
      </c>
    </row>
    <row r="1521" spans="11:14" x14ac:dyDescent="0.3">
      <c r="K1521" s="1">
        <v>38261</v>
      </c>
      <c r="M1521" t="e">
        <v>#N/A</v>
      </c>
      <c r="N1521" s="1">
        <v>37895</v>
      </c>
    </row>
    <row r="1522" spans="11:14" x14ac:dyDescent="0.3">
      <c r="K1522" s="1">
        <v>38261</v>
      </c>
      <c r="M1522" t="e">
        <v>#N/A</v>
      </c>
      <c r="N1522" s="1">
        <v>37895</v>
      </c>
    </row>
    <row r="1523" spans="11:14" x14ac:dyDescent="0.3">
      <c r="K1523" s="1">
        <v>38261</v>
      </c>
      <c r="M1523" t="e">
        <v>#N/A</v>
      </c>
      <c r="N1523" s="1">
        <v>37895</v>
      </c>
    </row>
    <row r="1524" spans="11:14" x14ac:dyDescent="0.3">
      <c r="K1524" s="1">
        <v>38261</v>
      </c>
      <c r="M1524" t="e">
        <v>#N/A</v>
      </c>
      <c r="N1524" s="1">
        <v>37895</v>
      </c>
    </row>
    <row r="1525" spans="11:14" x14ac:dyDescent="0.3">
      <c r="K1525" s="1">
        <v>38261</v>
      </c>
      <c r="M1525" t="e">
        <v>#N/A</v>
      </c>
      <c r="N1525" s="1">
        <v>37895</v>
      </c>
    </row>
    <row r="1526" spans="11:14" x14ac:dyDescent="0.3">
      <c r="K1526" s="1">
        <v>38261</v>
      </c>
      <c r="M1526" t="e">
        <v>#N/A</v>
      </c>
      <c r="N1526" s="1">
        <v>37895</v>
      </c>
    </row>
    <row r="1527" spans="11:14" x14ac:dyDescent="0.3">
      <c r="K1527" s="1">
        <v>38261</v>
      </c>
      <c r="M1527" t="e">
        <v>#N/A</v>
      </c>
      <c r="N1527" s="1">
        <v>37895</v>
      </c>
    </row>
    <row r="1528" spans="11:14" x14ac:dyDescent="0.3">
      <c r="K1528" s="1">
        <v>38261</v>
      </c>
      <c r="M1528" t="e">
        <v>#N/A</v>
      </c>
      <c r="N1528" s="1">
        <v>37895</v>
      </c>
    </row>
    <row r="1529" spans="11:14" x14ac:dyDescent="0.3">
      <c r="K1529" s="1">
        <v>38261</v>
      </c>
      <c r="M1529" t="e">
        <v>#N/A</v>
      </c>
      <c r="N1529" s="1">
        <v>37895</v>
      </c>
    </row>
    <row r="1530" spans="11:14" x14ac:dyDescent="0.3">
      <c r="K1530" s="1">
        <v>38261</v>
      </c>
      <c r="M1530" t="e">
        <v>#N/A</v>
      </c>
      <c r="N1530" s="1">
        <v>37895</v>
      </c>
    </row>
    <row r="1531" spans="11:14" x14ac:dyDescent="0.3">
      <c r="K1531" s="1">
        <v>38261</v>
      </c>
      <c r="M1531" t="e">
        <v>#N/A</v>
      </c>
      <c r="N1531" s="1">
        <v>37895</v>
      </c>
    </row>
    <row r="1532" spans="11:14" x14ac:dyDescent="0.3">
      <c r="K1532" s="1">
        <v>38261</v>
      </c>
      <c r="M1532" t="e">
        <v>#N/A</v>
      </c>
      <c r="N1532" s="1">
        <v>37895</v>
      </c>
    </row>
    <row r="1533" spans="11:14" x14ac:dyDescent="0.3">
      <c r="K1533" s="1">
        <v>38261</v>
      </c>
      <c r="M1533" t="e">
        <v>#N/A</v>
      </c>
      <c r="N1533" s="1">
        <v>37895</v>
      </c>
    </row>
    <row r="1534" spans="11:14" x14ac:dyDescent="0.3">
      <c r="K1534" s="1">
        <v>38261</v>
      </c>
      <c r="M1534" t="e">
        <v>#N/A</v>
      </c>
      <c r="N1534" s="1">
        <v>37895</v>
      </c>
    </row>
    <row r="1535" spans="11:14" x14ac:dyDescent="0.3">
      <c r="K1535" s="1">
        <v>38261</v>
      </c>
      <c r="M1535" t="e">
        <v>#N/A</v>
      </c>
      <c r="N1535" s="1">
        <v>37895</v>
      </c>
    </row>
    <row r="1536" spans="11:14" x14ac:dyDescent="0.3">
      <c r="K1536" s="1">
        <v>38261</v>
      </c>
      <c r="M1536" t="e">
        <v>#N/A</v>
      </c>
      <c r="N1536" s="1">
        <v>37895</v>
      </c>
    </row>
    <row r="1537" spans="11:14" x14ac:dyDescent="0.3">
      <c r="K1537" s="1">
        <v>38261</v>
      </c>
      <c r="M1537" t="e">
        <v>#N/A</v>
      </c>
      <c r="N1537" s="1">
        <v>37895</v>
      </c>
    </row>
    <row r="1538" spans="11:14" x14ac:dyDescent="0.3">
      <c r="K1538" s="1">
        <v>38261</v>
      </c>
      <c r="M1538" t="e">
        <v>#N/A</v>
      </c>
      <c r="N1538" s="1">
        <v>37895</v>
      </c>
    </row>
    <row r="1539" spans="11:14" x14ac:dyDescent="0.3">
      <c r="K1539" s="1">
        <v>38261</v>
      </c>
      <c r="M1539" t="e">
        <v>#N/A</v>
      </c>
      <c r="N1539" s="1">
        <v>37895</v>
      </c>
    </row>
    <row r="1540" spans="11:14" x14ac:dyDescent="0.3">
      <c r="K1540" s="1">
        <v>38261</v>
      </c>
      <c r="M1540" t="e">
        <v>#N/A</v>
      </c>
      <c r="N1540" s="1">
        <v>37895</v>
      </c>
    </row>
    <row r="1541" spans="11:14" x14ac:dyDescent="0.3">
      <c r="K1541" s="1">
        <v>38261</v>
      </c>
      <c r="M1541" t="e">
        <v>#N/A</v>
      </c>
      <c r="N1541" s="1">
        <v>37895</v>
      </c>
    </row>
    <row r="1542" spans="11:14" x14ac:dyDescent="0.3">
      <c r="K1542" s="1">
        <v>38261</v>
      </c>
      <c r="M1542" t="e">
        <v>#N/A</v>
      </c>
      <c r="N1542" s="1">
        <v>37895</v>
      </c>
    </row>
    <row r="1543" spans="11:14" x14ac:dyDescent="0.3">
      <c r="K1543" s="1">
        <v>38261</v>
      </c>
      <c r="M1543" t="e">
        <v>#N/A</v>
      </c>
      <c r="N1543" s="1">
        <v>37895</v>
      </c>
    </row>
    <row r="1544" spans="11:14" x14ac:dyDescent="0.3">
      <c r="K1544" s="1">
        <v>38353</v>
      </c>
      <c r="M1544" t="e">
        <v>#N/A</v>
      </c>
      <c r="N1544" s="1">
        <v>37895</v>
      </c>
    </row>
    <row r="1545" spans="11:14" x14ac:dyDescent="0.3">
      <c r="K1545" s="1">
        <v>38353</v>
      </c>
      <c r="M1545" t="e">
        <v>#N/A</v>
      </c>
      <c r="N1545" s="1">
        <v>37895</v>
      </c>
    </row>
    <row r="1546" spans="11:14" x14ac:dyDescent="0.3">
      <c r="K1546" s="1">
        <v>38353</v>
      </c>
      <c r="M1546" t="e">
        <v>#N/A</v>
      </c>
      <c r="N1546" s="1">
        <v>37895</v>
      </c>
    </row>
    <row r="1547" spans="11:14" x14ac:dyDescent="0.3">
      <c r="K1547" s="1">
        <v>38353</v>
      </c>
      <c r="M1547" t="e">
        <v>#N/A</v>
      </c>
      <c r="N1547" s="1">
        <v>37895</v>
      </c>
    </row>
    <row r="1548" spans="11:14" x14ac:dyDescent="0.3">
      <c r="K1548" s="1">
        <v>38353</v>
      </c>
      <c r="M1548" t="e">
        <v>#N/A</v>
      </c>
      <c r="N1548" s="1">
        <v>37895</v>
      </c>
    </row>
    <row r="1549" spans="11:14" x14ac:dyDescent="0.3">
      <c r="K1549" s="1">
        <v>38353</v>
      </c>
      <c r="M1549" t="e">
        <v>#N/A</v>
      </c>
      <c r="N1549" s="1">
        <v>37895</v>
      </c>
    </row>
    <row r="1550" spans="11:14" x14ac:dyDescent="0.3">
      <c r="K1550" s="1">
        <v>38353</v>
      </c>
      <c r="M1550" t="e">
        <v>#N/A</v>
      </c>
      <c r="N1550" s="1">
        <v>37895</v>
      </c>
    </row>
    <row r="1551" spans="11:14" x14ac:dyDescent="0.3">
      <c r="K1551" s="1">
        <v>38353</v>
      </c>
      <c r="M1551" t="e">
        <v>#N/A</v>
      </c>
      <c r="N1551" s="1">
        <v>37895</v>
      </c>
    </row>
    <row r="1552" spans="11:14" x14ac:dyDescent="0.3">
      <c r="K1552" s="1">
        <v>38353</v>
      </c>
      <c r="M1552" t="e">
        <v>#N/A</v>
      </c>
      <c r="N1552" s="1">
        <v>37895</v>
      </c>
    </row>
    <row r="1553" spans="11:14" x14ac:dyDescent="0.3">
      <c r="K1553" s="1">
        <v>38353</v>
      </c>
      <c r="M1553" t="e">
        <v>#N/A</v>
      </c>
      <c r="N1553" s="1">
        <v>37895</v>
      </c>
    </row>
    <row r="1554" spans="11:14" x14ac:dyDescent="0.3">
      <c r="K1554" s="1">
        <v>38353</v>
      </c>
      <c r="M1554" t="e">
        <v>#N/A</v>
      </c>
      <c r="N1554" s="1">
        <v>37895</v>
      </c>
    </row>
    <row r="1555" spans="11:14" x14ac:dyDescent="0.3">
      <c r="K1555" s="1">
        <v>38353</v>
      </c>
      <c r="M1555" t="e">
        <v>#N/A</v>
      </c>
      <c r="N1555" s="1">
        <v>37895</v>
      </c>
    </row>
    <row r="1556" spans="11:14" x14ac:dyDescent="0.3">
      <c r="K1556" s="1">
        <v>38353</v>
      </c>
      <c r="M1556" t="e">
        <v>#N/A</v>
      </c>
      <c r="N1556" s="1">
        <v>37895</v>
      </c>
    </row>
    <row r="1557" spans="11:14" x14ac:dyDescent="0.3">
      <c r="K1557" s="1">
        <v>38353</v>
      </c>
      <c r="M1557" t="e">
        <v>#N/A</v>
      </c>
      <c r="N1557" s="1">
        <v>37895</v>
      </c>
    </row>
    <row r="1558" spans="11:14" x14ac:dyDescent="0.3">
      <c r="K1558" s="1">
        <v>38353</v>
      </c>
      <c r="M1558" t="e">
        <v>#N/A</v>
      </c>
      <c r="N1558" s="1">
        <v>37895</v>
      </c>
    </row>
    <row r="1559" spans="11:14" x14ac:dyDescent="0.3">
      <c r="K1559" s="1">
        <v>38353</v>
      </c>
      <c r="M1559" t="e">
        <v>#N/A</v>
      </c>
      <c r="N1559" s="1">
        <v>37895</v>
      </c>
    </row>
    <row r="1560" spans="11:14" x14ac:dyDescent="0.3">
      <c r="K1560" s="1">
        <v>38353</v>
      </c>
      <c r="M1560" t="e">
        <v>#N/A</v>
      </c>
      <c r="N1560" s="1">
        <v>37895</v>
      </c>
    </row>
    <row r="1561" spans="11:14" x14ac:dyDescent="0.3">
      <c r="K1561" s="1">
        <v>38353</v>
      </c>
      <c r="M1561" t="e">
        <v>#N/A</v>
      </c>
      <c r="N1561" s="1">
        <v>37895</v>
      </c>
    </row>
    <row r="1562" spans="11:14" x14ac:dyDescent="0.3">
      <c r="K1562" s="1">
        <v>38353</v>
      </c>
      <c r="M1562" t="e">
        <v>#N/A</v>
      </c>
      <c r="N1562" s="1">
        <v>37895</v>
      </c>
    </row>
    <row r="1563" spans="11:14" x14ac:dyDescent="0.3">
      <c r="K1563" s="1">
        <v>38353</v>
      </c>
      <c r="M1563" t="e">
        <v>#N/A</v>
      </c>
      <c r="N1563" s="1">
        <v>37895</v>
      </c>
    </row>
    <row r="1564" spans="11:14" x14ac:dyDescent="0.3">
      <c r="K1564" s="1">
        <v>38353</v>
      </c>
      <c r="M1564" t="e">
        <v>#N/A</v>
      </c>
      <c r="N1564" s="1">
        <v>37895</v>
      </c>
    </row>
    <row r="1565" spans="11:14" x14ac:dyDescent="0.3">
      <c r="K1565" s="1">
        <v>38353</v>
      </c>
      <c r="M1565" t="e">
        <v>#N/A</v>
      </c>
      <c r="N1565" s="1">
        <v>37895</v>
      </c>
    </row>
    <row r="1566" spans="11:14" x14ac:dyDescent="0.3">
      <c r="K1566" s="1">
        <v>38353</v>
      </c>
      <c r="M1566" t="e">
        <v>#N/A</v>
      </c>
      <c r="N1566" s="1">
        <v>37895</v>
      </c>
    </row>
    <row r="1567" spans="11:14" x14ac:dyDescent="0.3">
      <c r="K1567" s="1">
        <v>38353</v>
      </c>
      <c r="M1567" t="e">
        <v>#N/A</v>
      </c>
      <c r="N1567" s="1">
        <v>37895</v>
      </c>
    </row>
    <row r="1568" spans="11:14" x14ac:dyDescent="0.3">
      <c r="K1568" s="1">
        <v>38353</v>
      </c>
      <c r="M1568" t="e">
        <v>#N/A</v>
      </c>
      <c r="N1568" s="1">
        <v>37895</v>
      </c>
    </row>
    <row r="1569" spans="11:14" x14ac:dyDescent="0.3">
      <c r="K1569" s="1">
        <v>38353</v>
      </c>
      <c r="M1569" t="e">
        <v>#N/A</v>
      </c>
      <c r="N1569" s="1">
        <v>37895</v>
      </c>
    </row>
    <row r="1570" spans="11:14" x14ac:dyDescent="0.3">
      <c r="K1570" s="1">
        <v>38353</v>
      </c>
      <c r="M1570" t="e">
        <v>#N/A</v>
      </c>
      <c r="N1570" s="1">
        <v>37895</v>
      </c>
    </row>
    <row r="1571" spans="11:14" x14ac:dyDescent="0.3">
      <c r="K1571" s="1">
        <v>38353</v>
      </c>
      <c r="M1571" t="e">
        <v>#N/A</v>
      </c>
      <c r="N1571" s="1">
        <v>37895</v>
      </c>
    </row>
    <row r="1572" spans="11:14" x14ac:dyDescent="0.3">
      <c r="K1572" s="1">
        <v>38353</v>
      </c>
      <c r="M1572" t="e">
        <v>#N/A</v>
      </c>
      <c r="N1572" s="1">
        <v>37895</v>
      </c>
    </row>
    <row r="1573" spans="11:14" x14ac:dyDescent="0.3">
      <c r="K1573" s="1">
        <v>38353</v>
      </c>
      <c r="M1573" t="e">
        <v>#N/A</v>
      </c>
      <c r="N1573" s="1">
        <v>37895</v>
      </c>
    </row>
    <row r="1574" spans="11:14" x14ac:dyDescent="0.3">
      <c r="K1574" s="1">
        <v>38353</v>
      </c>
      <c r="M1574" t="e">
        <v>#N/A</v>
      </c>
      <c r="N1574" s="1">
        <v>37895</v>
      </c>
    </row>
    <row r="1575" spans="11:14" x14ac:dyDescent="0.3">
      <c r="K1575" s="1">
        <v>38353</v>
      </c>
      <c r="M1575" t="e">
        <v>#N/A</v>
      </c>
      <c r="N1575" s="1">
        <v>37895</v>
      </c>
    </row>
    <row r="1576" spans="11:14" x14ac:dyDescent="0.3">
      <c r="K1576" s="1">
        <v>38353</v>
      </c>
      <c r="M1576" t="e">
        <v>#N/A</v>
      </c>
      <c r="N1576" s="1">
        <v>37895</v>
      </c>
    </row>
    <row r="1577" spans="11:14" x14ac:dyDescent="0.3">
      <c r="K1577" s="1">
        <v>38353</v>
      </c>
      <c r="M1577" t="e">
        <v>#N/A</v>
      </c>
      <c r="N1577" s="1">
        <v>37895</v>
      </c>
    </row>
    <row r="1578" spans="11:14" x14ac:dyDescent="0.3">
      <c r="K1578" s="1">
        <v>38353</v>
      </c>
      <c r="M1578" t="e">
        <v>#N/A</v>
      </c>
      <c r="N1578" s="1">
        <v>37895</v>
      </c>
    </row>
    <row r="1579" spans="11:14" x14ac:dyDescent="0.3">
      <c r="K1579" s="1">
        <v>38353</v>
      </c>
      <c r="M1579" t="e">
        <v>#N/A</v>
      </c>
      <c r="N1579" s="1">
        <v>37895</v>
      </c>
    </row>
    <row r="1580" spans="11:14" x14ac:dyDescent="0.3">
      <c r="K1580" s="1">
        <v>38353</v>
      </c>
      <c r="M1580" t="e">
        <v>#N/A</v>
      </c>
      <c r="N1580" s="1">
        <v>37895</v>
      </c>
    </row>
    <row r="1581" spans="11:14" x14ac:dyDescent="0.3">
      <c r="K1581" s="1">
        <v>38353</v>
      </c>
      <c r="M1581" t="e">
        <v>#N/A</v>
      </c>
      <c r="N1581" s="1">
        <v>37895</v>
      </c>
    </row>
    <row r="1582" spans="11:14" x14ac:dyDescent="0.3">
      <c r="K1582" s="1">
        <v>38353</v>
      </c>
      <c r="M1582" t="e">
        <v>#N/A</v>
      </c>
      <c r="N1582" s="1">
        <v>37895</v>
      </c>
    </row>
    <row r="1583" spans="11:14" x14ac:dyDescent="0.3">
      <c r="K1583" s="1">
        <v>38353</v>
      </c>
      <c r="M1583" t="e">
        <v>#N/A</v>
      </c>
      <c r="N1583" s="1">
        <v>37895</v>
      </c>
    </row>
    <row r="1584" spans="11:14" x14ac:dyDescent="0.3">
      <c r="K1584" s="1">
        <v>38353</v>
      </c>
      <c r="M1584" t="e">
        <v>#N/A</v>
      </c>
      <c r="N1584" s="1">
        <v>37895</v>
      </c>
    </row>
    <row r="1585" spans="11:14" x14ac:dyDescent="0.3">
      <c r="K1585" s="1">
        <v>38353</v>
      </c>
      <c r="M1585" t="e">
        <v>#N/A</v>
      </c>
      <c r="N1585" s="1">
        <v>37895</v>
      </c>
    </row>
    <row r="1586" spans="11:14" x14ac:dyDescent="0.3">
      <c r="K1586" s="1">
        <v>38353</v>
      </c>
      <c r="M1586" t="e">
        <v>#N/A</v>
      </c>
      <c r="N1586" s="1">
        <v>37895</v>
      </c>
    </row>
    <row r="1587" spans="11:14" x14ac:dyDescent="0.3">
      <c r="K1587" s="1">
        <v>38353</v>
      </c>
      <c r="M1587" t="e">
        <v>#N/A</v>
      </c>
      <c r="N1587" s="1">
        <v>37895</v>
      </c>
    </row>
    <row r="1588" spans="11:14" x14ac:dyDescent="0.3">
      <c r="K1588" s="1">
        <v>38353</v>
      </c>
      <c r="M1588" t="e">
        <v>#N/A</v>
      </c>
      <c r="N1588" s="1">
        <v>37895</v>
      </c>
    </row>
    <row r="1589" spans="11:14" x14ac:dyDescent="0.3">
      <c r="K1589" s="1">
        <v>38353</v>
      </c>
      <c r="M1589" t="e">
        <v>#N/A</v>
      </c>
      <c r="N1589" s="1">
        <v>37895</v>
      </c>
    </row>
    <row r="1590" spans="11:14" x14ac:dyDescent="0.3">
      <c r="K1590" s="1">
        <v>38353</v>
      </c>
      <c r="M1590" t="e">
        <v>#N/A</v>
      </c>
      <c r="N1590" s="1">
        <v>37895</v>
      </c>
    </row>
    <row r="1591" spans="11:14" x14ac:dyDescent="0.3">
      <c r="K1591" s="1">
        <v>38353</v>
      </c>
      <c r="M1591" t="e">
        <v>#N/A</v>
      </c>
      <c r="N1591" s="1">
        <v>37895</v>
      </c>
    </row>
    <row r="1592" spans="11:14" x14ac:dyDescent="0.3">
      <c r="K1592" s="1">
        <v>38353</v>
      </c>
      <c r="M1592" t="e">
        <v>#N/A</v>
      </c>
      <c r="N1592" s="1">
        <v>37895</v>
      </c>
    </row>
    <row r="1593" spans="11:14" x14ac:dyDescent="0.3">
      <c r="K1593" s="1">
        <v>38353</v>
      </c>
      <c r="M1593" t="e">
        <v>#N/A</v>
      </c>
      <c r="N1593" s="1">
        <v>37895</v>
      </c>
    </row>
    <row r="1594" spans="11:14" x14ac:dyDescent="0.3">
      <c r="K1594" s="1">
        <v>38353</v>
      </c>
      <c r="M1594" t="e">
        <v>#N/A</v>
      </c>
      <c r="N1594" s="1">
        <v>37895</v>
      </c>
    </row>
    <row r="1595" spans="11:14" x14ac:dyDescent="0.3">
      <c r="K1595" s="1">
        <v>38353</v>
      </c>
      <c r="M1595" t="e">
        <v>#N/A</v>
      </c>
      <c r="N1595" s="1">
        <v>37895</v>
      </c>
    </row>
    <row r="1596" spans="11:14" x14ac:dyDescent="0.3">
      <c r="K1596" s="1">
        <v>38353</v>
      </c>
      <c r="M1596" t="e">
        <v>#N/A</v>
      </c>
      <c r="N1596" s="1">
        <v>37895</v>
      </c>
    </row>
    <row r="1597" spans="11:14" x14ac:dyDescent="0.3">
      <c r="K1597" s="1">
        <v>38353</v>
      </c>
      <c r="M1597" t="e">
        <v>#N/A</v>
      </c>
      <c r="N1597" s="1">
        <v>37895</v>
      </c>
    </row>
    <row r="1598" spans="11:14" x14ac:dyDescent="0.3">
      <c r="K1598" s="1">
        <v>38353</v>
      </c>
      <c r="M1598" t="e">
        <v>#N/A</v>
      </c>
      <c r="N1598" s="1">
        <v>37895</v>
      </c>
    </row>
    <row r="1599" spans="11:14" x14ac:dyDescent="0.3">
      <c r="K1599" s="1">
        <v>38353</v>
      </c>
      <c r="M1599" t="e">
        <v>#N/A</v>
      </c>
      <c r="N1599" s="1">
        <v>37895</v>
      </c>
    </row>
    <row r="1600" spans="11:14" x14ac:dyDescent="0.3">
      <c r="K1600" s="1">
        <v>38353</v>
      </c>
      <c r="M1600" t="e">
        <v>#N/A</v>
      </c>
      <c r="N1600" s="1">
        <v>37895</v>
      </c>
    </row>
    <row r="1601" spans="11:14" x14ac:dyDescent="0.3">
      <c r="K1601" s="1">
        <v>38353</v>
      </c>
      <c r="M1601" t="e">
        <v>#N/A</v>
      </c>
      <c r="N1601" s="1">
        <v>37895</v>
      </c>
    </row>
    <row r="1602" spans="11:14" x14ac:dyDescent="0.3">
      <c r="K1602" s="1">
        <v>38353</v>
      </c>
      <c r="M1602" t="e">
        <v>#N/A</v>
      </c>
      <c r="N1602" s="1">
        <v>37895</v>
      </c>
    </row>
    <row r="1603" spans="11:14" x14ac:dyDescent="0.3">
      <c r="K1603" s="1">
        <v>38353</v>
      </c>
      <c r="M1603" t="e">
        <v>#N/A</v>
      </c>
      <c r="N1603" s="1">
        <v>37895</v>
      </c>
    </row>
    <row r="1604" spans="11:14" x14ac:dyDescent="0.3">
      <c r="K1604" s="1">
        <v>38353</v>
      </c>
      <c r="M1604" t="e">
        <v>#N/A</v>
      </c>
      <c r="N1604" s="1">
        <v>37895</v>
      </c>
    </row>
    <row r="1605" spans="11:14" x14ac:dyDescent="0.3">
      <c r="K1605" s="1">
        <v>38353</v>
      </c>
      <c r="M1605" t="e">
        <v>#N/A</v>
      </c>
      <c r="N1605" s="1">
        <v>37895</v>
      </c>
    </row>
    <row r="1606" spans="11:14" x14ac:dyDescent="0.3">
      <c r="K1606" s="1">
        <v>38353</v>
      </c>
      <c r="M1606" t="e">
        <v>#N/A</v>
      </c>
      <c r="N1606" s="1">
        <v>37895</v>
      </c>
    </row>
    <row r="1607" spans="11:14" x14ac:dyDescent="0.3">
      <c r="K1607" s="1">
        <v>38353</v>
      </c>
      <c r="M1607" t="e">
        <v>#N/A</v>
      </c>
      <c r="N1607" s="1">
        <v>37895</v>
      </c>
    </row>
    <row r="1608" spans="11:14" x14ac:dyDescent="0.3">
      <c r="K1608" s="1">
        <v>38353</v>
      </c>
      <c r="M1608" t="e">
        <v>#N/A</v>
      </c>
      <c r="N1608" s="1">
        <v>37895</v>
      </c>
    </row>
    <row r="1609" spans="11:14" x14ac:dyDescent="0.3">
      <c r="K1609" s="1">
        <v>38353</v>
      </c>
      <c r="M1609" t="e">
        <v>#N/A</v>
      </c>
      <c r="N1609" s="1">
        <v>37895</v>
      </c>
    </row>
    <row r="1610" spans="11:14" x14ac:dyDescent="0.3">
      <c r="K1610" s="1">
        <v>38353</v>
      </c>
      <c r="M1610" t="e">
        <v>#N/A</v>
      </c>
      <c r="N1610" s="1">
        <v>37895</v>
      </c>
    </row>
    <row r="1611" spans="11:14" x14ac:dyDescent="0.3">
      <c r="K1611" s="1">
        <v>38353</v>
      </c>
      <c r="M1611" t="e">
        <v>#N/A</v>
      </c>
      <c r="N1611" s="1">
        <v>37895</v>
      </c>
    </row>
    <row r="1612" spans="11:14" x14ac:dyDescent="0.3">
      <c r="K1612" s="1">
        <v>38353</v>
      </c>
      <c r="M1612" t="e">
        <v>#N/A</v>
      </c>
      <c r="N1612" s="1">
        <v>37895</v>
      </c>
    </row>
    <row r="1613" spans="11:14" x14ac:dyDescent="0.3">
      <c r="K1613" s="1">
        <v>38353</v>
      </c>
      <c r="M1613" t="e">
        <v>#N/A</v>
      </c>
      <c r="N1613" s="1">
        <v>37895</v>
      </c>
    </row>
    <row r="1614" spans="11:14" x14ac:dyDescent="0.3">
      <c r="K1614" s="1">
        <v>38353</v>
      </c>
      <c r="M1614" t="e">
        <v>#N/A</v>
      </c>
      <c r="N1614" s="1">
        <v>37895</v>
      </c>
    </row>
    <row r="1615" spans="11:14" x14ac:dyDescent="0.3">
      <c r="K1615" s="1">
        <v>38353</v>
      </c>
      <c r="M1615" t="e">
        <v>#N/A</v>
      </c>
      <c r="N1615" s="1">
        <v>37895</v>
      </c>
    </row>
    <row r="1616" spans="11:14" x14ac:dyDescent="0.3">
      <c r="K1616" s="1">
        <v>38353</v>
      </c>
      <c r="M1616" t="e">
        <v>#N/A</v>
      </c>
      <c r="N1616" s="1">
        <v>37895</v>
      </c>
    </row>
    <row r="1617" spans="11:14" x14ac:dyDescent="0.3">
      <c r="K1617" s="1">
        <v>38353</v>
      </c>
      <c r="M1617" t="e">
        <v>#N/A</v>
      </c>
      <c r="N1617" s="1">
        <v>37895</v>
      </c>
    </row>
    <row r="1618" spans="11:14" x14ac:dyDescent="0.3">
      <c r="K1618" s="1">
        <v>38353</v>
      </c>
      <c r="M1618" t="e">
        <v>#N/A</v>
      </c>
      <c r="N1618" s="1">
        <v>37895</v>
      </c>
    </row>
    <row r="1619" spans="11:14" x14ac:dyDescent="0.3">
      <c r="K1619" s="1">
        <v>38353</v>
      </c>
      <c r="M1619" t="e">
        <v>#N/A</v>
      </c>
      <c r="N1619" s="1">
        <v>37895</v>
      </c>
    </row>
    <row r="1620" spans="11:14" x14ac:dyDescent="0.3">
      <c r="K1620" s="1">
        <v>38353</v>
      </c>
      <c r="M1620" t="e">
        <v>#N/A</v>
      </c>
      <c r="N1620" s="1">
        <v>37895</v>
      </c>
    </row>
    <row r="1621" spans="11:14" x14ac:dyDescent="0.3">
      <c r="K1621" s="1">
        <v>38353</v>
      </c>
      <c r="M1621" t="e">
        <v>#N/A</v>
      </c>
      <c r="N1621" s="1">
        <v>37895</v>
      </c>
    </row>
    <row r="1622" spans="11:14" x14ac:dyDescent="0.3">
      <c r="K1622" s="1">
        <v>38353</v>
      </c>
      <c r="M1622" t="e">
        <v>#N/A</v>
      </c>
      <c r="N1622" s="1">
        <v>37895</v>
      </c>
    </row>
    <row r="1623" spans="11:14" x14ac:dyDescent="0.3">
      <c r="K1623" s="1">
        <v>38353</v>
      </c>
      <c r="M1623" t="e">
        <v>#N/A</v>
      </c>
      <c r="N1623" s="1">
        <v>37895</v>
      </c>
    </row>
    <row r="1624" spans="11:14" x14ac:dyDescent="0.3">
      <c r="K1624" s="1">
        <v>38353</v>
      </c>
      <c r="M1624" t="e">
        <v>#N/A</v>
      </c>
      <c r="N1624" s="1">
        <v>37895</v>
      </c>
    </row>
    <row r="1625" spans="11:14" x14ac:dyDescent="0.3">
      <c r="K1625" s="1">
        <v>38353</v>
      </c>
      <c r="M1625" t="e">
        <v>#N/A</v>
      </c>
      <c r="N1625" s="1">
        <v>37895</v>
      </c>
    </row>
    <row r="1626" spans="11:14" x14ac:dyDescent="0.3">
      <c r="K1626" s="1">
        <v>38353</v>
      </c>
      <c r="M1626" t="e">
        <v>#N/A</v>
      </c>
      <c r="N1626" s="1">
        <v>37895</v>
      </c>
    </row>
    <row r="1627" spans="11:14" x14ac:dyDescent="0.3">
      <c r="K1627" s="1">
        <v>38353</v>
      </c>
      <c r="M1627" t="e">
        <v>#N/A</v>
      </c>
      <c r="N1627" s="1">
        <v>37895</v>
      </c>
    </row>
    <row r="1628" spans="11:14" x14ac:dyDescent="0.3">
      <c r="K1628" s="1">
        <v>38353</v>
      </c>
      <c r="M1628" t="e">
        <v>#N/A</v>
      </c>
      <c r="N1628" s="1">
        <v>37895</v>
      </c>
    </row>
    <row r="1629" spans="11:14" x14ac:dyDescent="0.3">
      <c r="K1629" s="1">
        <v>38353</v>
      </c>
      <c r="M1629" t="e">
        <v>#N/A</v>
      </c>
      <c r="N1629" s="1">
        <v>37895</v>
      </c>
    </row>
    <row r="1630" spans="11:14" x14ac:dyDescent="0.3">
      <c r="K1630" s="1">
        <v>38353</v>
      </c>
      <c r="M1630" t="e">
        <v>#N/A</v>
      </c>
      <c r="N1630" s="1">
        <v>37895</v>
      </c>
    </row>
    <row r="1631" spans="11:14" x14ac:dyDescent="0.3">
      <c r="K1631" s="1">
        <v>38353</v>
      </c>
      <c r="M1631" t="e">
        <v>#N/A</v>
      </c>
      <c r="N1631" s="1">
        <v>37895</v>
      </c>
    </row>
    <row r="1632" spans="11:14" x14ac:dyDescent="0.3">
      <c r="K1632" s="1">
        <v>38353</v>
      </c>
      <c r="M1632" t="e">
        <v>#N/A</v>
      </c>
      <c r="N1632" s="1">
        <v>37895</v>
      </c>
    </row>
    <row r="1633" spans="11:14" x14ac:dyDescent="0.3">
      <c r="K1633" s="1">
        <v>38353</v>
      </c>
      <c r="M1633" t="e">
        <v>#N/A</v>
      </c>
      <c r="N1633" s="1">
        <v>37895</v>
      </c>
    </row>
    <row r="1634" spans="11:14" x14ac:dyDescent="0.3">
      <c r="K1634" s="1">
        <v>38353</v>
      </c>
      <c r="M1634" t="e">
        <v>#N/A</v>
      </c>
      <c r="N1634" s="1">
        <v>37895</v>
      </c>
    </row>
    <row r="1635" spans="11:14" x14ac:dyDescent="0.3">
      <c r="K1635" s="1">
        <v>38353</v>
      </c>
      <c r="M1635" t="e">
        <v>#N/A</v>
      </c>
      <c r="N1635" s="1">
        <v>37895</v>
      </c>
    </row>
    <row r="1636" spans="11:14" x14ac:dyDescent="0.3">
      <c r="K1636" s="1">
        <v>38353</v>
      </c>
      <c r="M1636" t="e">
        <v>#N/A</v>
      </c>
      <c r="N1636" s="1">
        <v>37895</v>
      </c>
    </row>
    <row r="1637" spans="11:14" x14ac:dyDescent="0.3">
      <c r="K1637" s="1">
        <v>38353</v>
      </c>
      <c r="M1637" t="e">
        <v>#N/A</v>
      </c>
      <c r="N1637" s="1">
        <v>37895</v>
      </c>
    </row>
    <row r="1638" spans="11:14" x14ac:dyDescent="0.3">
      <c r="K1638" s="1">
        <v>38353</v>
      </c>
      <c r="M1638" t="e">
        <v>#N/A</v>
      </c>
      <c r="N1638" s="1">
        <v>37895</v>
      </c>
    </row>
    <row r="1639" spans="11:14" x14ac:dyDescent="0.3">
      <c r="K1639" s="1">
        <v>38353</v>
      </c>
      <c r="M1639" t="e">
        <v>#N/A</v>
      </c>
      <c r="N1639" s="1">
        <v>37895</v>
      </c>
    </row>
    <row r="1640" spans="11:14" x14ac:dyDescent="0.3">
      <c r="K1640" s="1">
        <v>38353</v>
      </c>
      <c r="M1640" t="e">
        <v>#N/A</v>
      </c>
      <c r="N1640" s="1">
        <v>37895</v>
      </c>
    </row>
    <row r="1641" spans="11:14" x14ac:dyDescent="0.3">
      <c r="K1641" s="1">
        <v>38353</v>
      </c>
      <c r="M1641" t="e">
        <v>#N/A</v>
      </c>
      <c r="N1641" s="1">
        <v>37895</v>
      </c>
    </row>
    <row r="1642" spans="11:14" x14ac:dyDescent="0.3">
      <c r="K1642" s="1">
        <v>38353</v>
      </c>
      <c r="M1642" t="e">
        <v>#N/A</v>
      </c>
      <c r="N1642" s="1">
        <v>37895</v>
      </c>
    </row>
    <row r="1643" spans="11:14" x14ac:dyDescent="0.3">
      <c r="K1643" s="1">
        <v>38353</v>
      </c>
      <c r="M1643" t="e">
        <v>#N/A</v>
      </c>
      <c r="N1643" s="1">
        <v>37895</v>
      </c>
    </row>
    <row r="1644" spans="11:14" x14ac:dyDescent="0.3">
      <c r="K1644" s="1">
        <v>38353</v>
      </c>
      <c r="M1644" t="e">
        <v>#N/A</v>
      </c>
      <c r="N1644" s="1">
        <v>37895</v>
      </c>
    </row>
    <row r="1645" spans="11:14" x14ac:dyDescent="0.3">
      <c r="K1645" s="1">
        <v>38353</v>
      </c>
      <c r="M1645" t="e">
        <v>#N/A</v>
      </c>
      <c r="N1645" s="1">
        <v>37895</v>
      </c>
    </row>
    <row r="1646" spans="11:14" x14ac:dyDescent="0.3">
      <c r="K1646" s="1">
        <v>38353</v>
      </c>
      <c r="M1646" t="e">
        <v>#N/A</v>
      </c>
      <c r="N1646" s="1">
        <v>37895</v>
      </c>
    </row>
    <row r="1647" spans="11:14" x14ac:dyDescent="0.3">
      <c r="K1647" s="1">
        <v>38353</v>
      </c>
      <c r="M1647" t="e">
        <v>#N/A</v>
      </c>
      <c r="N1647" s="1">
        <v>37895</v>
      </c>
    </row>
    <row r="1648" spans="11:14" x14ac:dyDescent="0.3">
      <c r="K1648" s="1">
        <v>38353</v>
      </c>
      <c r="M1648" t="e">
        <v>#N/A</v>
      </c>
      <c r="N1648" s="1">
        <v>37987</v>
      </c>
    </row>
    <row r="1649" spans="11:14" x14ac:dyDescent="0.3">
      <c r="K1649" s="1">
        <v>38353</v>
      </c>
      <c r="M1649" t="e">
        <v>#N/A</v>
      </c>
      <c r="N1649" s="1">
        <v>37987</v>
      </c>
    </row>
    <row r="1650" spans="11:14" x14ac:dyDescent="0.3">
      <c r="K1650" s="1">
        <v>38353</v>
      </c>
      <c r="M1650" t="e">
        <v>#N/A</v>
      </c>
      <c r="N1650" s="1">
        <v>37987</v>
      </c>
    </row>
    <row r="1651" spans="11:14" x14ac:dyDescent="0.3">
      <c r="K1651" s="1">
        <v>38353</v>
      </c>
      <c r="M1651" t="e">
        <v>#N/A</v>
      </c>
      <c r="N1651" s="1">
        <v>37987</v>
      </c>
    </row>
    <row r="1652" spans="11:14" x14ac:dyDescent="0.3">
      <c r="K1652" s="1">
        <v>38353</v>
      </c>
      <c r="M1652" t="e">
        <v>#N/A</v>
      </c>
      <c r="N1652" s="1">
        <v>37987</v>
      </c>
    </row>
    <row r="1653" spans="11:14" x14ac:dyDescent="0.3">
      <c r="K1653" s="1">
        <v>38353</v>
      </c>
      <c r="M1653" t="e">
        <v>#N/A</v>
      </c>
      <c r="N1653" s="1">
        <v>37987</v>
      </c>
    </row>
    <row r="1654" spans="11:14" x14ac:dyDescent="0.3">
      <c r="K1654" s="1">
        <v>38353</v>
      </c>
      <c r="M1654" t="e">
        <v>#N/A</v>
      </c>
      <c r="N1654" s="1">
        <v>37987</v>
      </c>
    </row>
    <row r="1655" spans="11:14" x14ac:dyDescent="0.3">
      <c r="K1655" s="1">
        <v>38353</v>
      </c>
      <c r="M1655" t="e">
        <v>#N/A</v>
      </c>
      <c r="N1655" s="1">
        <v>37987</v>
      </c>
    </row>
    <row r="1656" spans="11:14" x14ac:dyDescent="0.3">
      <c r="K1656" s="1">
        <v>38353</v>
      </c>
      <c r="M1656" t="e">
        <v>#N/A</v>
      </c>
      <c r="N1656" s="1">
        <v>37987</v>
      </c>
    </row>
    <row r="1657" spans="11:14" x14ac:dyDescent="0.3">
      <c r="K1657" s="1">
        <v>38353</v>
      </c>
      <c r="M1657" t="e">
        <v>#N/A</v>
      </c>
      <c r="N1657" s="1">
        <v>37987</v>
      </c>
    </row>
    <row r="1658" spans="11:14" x14ac:dyDescent="0.3">
      <c r="K1658" s="1">
        <v>38353</v>
      </c>
      <c r="M1658" t="e">
        <v>#N/A</v>
      </c>
      <c r="N1658" s="1">
        <v>37987</v>
      </c>
    </row>
    <row r="1659" spans="11:14" x14ac:dyDescent="0.3">
      <c r="K1659" s="1">
        <v>38353</v>
      </c>
      <c r="M1659" t="e">
        <v>#N/A</v>
      </c>
      <c r="N1659" s="1">
        <v>37987</v>
      </c>
    </row>
    <row r="1660" spans="11:14" x14ac:dyDescent="0.3">
      <c r="K1660" s="1">
        <v>38353</v>
      </c>
      <c r="M1660" t="e">
        <v>#N/A</v>
      </c>
      <c r="N1660" s="1">
        <v>37987</v>
      </c>
    </row>
    <row r="1661" spans="11:14" x14ac:dyDescent="0.3">
      <c r="K1661" s="1">
        <v>38353</v>
      </c>
      <c r="M1661" t="e">
        <v>#N/A</v>
      </c>
      <c r="N1661" s="1">
        <v>37987</v>
      </c>
    </row>
    <row r="1662" spans="11:14" x14ac:dyDescent="0.3">
      <c r="K1662" s="1">
        <v>38353</v>
      </c>
      <c r="M1662" t="e">
        <v>#N/A</v>
      </c>
      <c r="N1662" s="1">
        <v>37987</v>
      </c>
    </row>
    <row r="1663" spans="11:14" x14ac:dyDescent="0.3">
      <c r="K1663" s="1">
        <v>38353</v>
      </c>
      <c r="M1663" t="e">
        <v>#N/A</v>
      </c>
      <c r="N1663" s="1">
        <v>37987</v>
      </c>
    </row>
    <row r="1664" spans="11:14" x14ac:dyDescent="0.3">
      <c r="K1664" s="1">
        <v>38353</v>
      </c>
      <c r="M1664" t="e">
        <v>#N/A</v>
      </c>
      <c r="N1664" s="1">
        <v>37987</v>
      </c>
    </row>
    <row r="1665" spans="11:14" x14ac:dyDescent="0.3">
      <c r="K1665" s="1">
        <v>38353</v>
      </c>
      <c r="M1665" t="e">
        <v>#N/A</v>
      </c>
      <c r="N1665" s="1">
        <v>37987</v>
      </c>
    </row>
    <row r="1666" spans="11:14" x14ac:dyDescent="0.3">
      <c r="K1666" s="1">
        <v>38353</v>
      </c>
      <c r="M1666" t="e">
        <v>#N/A</v>
      </c>
      <c r="N1666" s="1">
        <v>37987</v>
      </c>
    </row>
    <row r="1667" spans="11:14" x14ac:dyDescent="0.3">
      <c r="K1667" s="1">
        <v>38353</v>
      </c>
      <c r="M1667" t="e">
        <v>#N/A</v>
      </c>
      <c r="N1667" s="1">
        <v>37987</v>
      </c>
    </row>
    <row r="1668" spans="11:14" x14ac:dyDescent="0.3">
      <c r="K1668" s="1">
        <v>38353</v>
      </c>
      <c r="M1668" t="e">
        <v>#N/A</v>
      </c>
      <c r="N1668" s="1">
        <v>37987</v>
      </c>
    </row>
    <row r="1669" spans="11:14" x14ac:dyDescent="0.3">
      <c r="K1669" s="1">
        <v>38353</v>
      </c>
      <c r="M1669" t="e">
        <v>#N/A</v>
      </c>
      <c r="N1669" s="1">
        <v>37987</v>
      </c>
    </row>
    <row r="1670" spans="11:14" x14ac:dyDescent="0.3">
      <c r="K1670" s="1">
        <v>38353</v>
      </c>
      <c r="M1670" t="e">
        <v>#N/A</v>
      </c>
      <c r="N1670" s="1">
        <v>37987</v>
      </c>
    </row>
    <row r="1671" spans="11:14" x14ac:dyDescent="0.3">
      <c r="K1671" s="1">
        <v>38353</v>
      </c>
      <c r="M1671" t="e">
        <v>#N/A</v>
      </c>
      <c r="N1671" s="1">
        <v>37987</v>
      </c>
    </row>
    <row r="1672" spans="11:14" x14ac:dyDescent="0.3">
      <c r="K1672" s="1">
        <v>38353</v>
      </c>
      <c r="M1672" t="e">
        <v>#N/A</v>
      </c>
      <c r="N1672" s="1">
        <v>37987</v>
      </c>
    </row>
    <row r="1673" spans="11:14" x14ac:dyDescent="0.3">
      <c r="K1673" s="1">
        <v>38353</v>
      </c>
      <c r="M1673" t="e">
        <v>#N/A</v>
      </c>
      <c r="N1673" s="1">
        <v>37987</v>
      </c>
    </row>
    <row r="1674" spans="11:14" x14ac:dyDescent="0.3">
      <c r="K1674" s="1">
        <v>38353</v>
      </c>
      <c r="M1674" t="e">
        <v>#N/A</v>
      </c>
      <c r="N1674" s="1">
        <v>37987</v>
      </c>
    </row>
    <row r="1675" spans="11:14" x14ac:dyDescent="0.3">
      <c r="K1675" s="1">
        <v>38353</v>
      </c>
      <c r="M1675" t="e">
        <v>#N/A</v>
      </c>
      <c r="N1675" s="1">
        <v>37987</v>
      </c>
    </row>
    <row r="1676" spans="11:14" x14ac:dyDescent="0.3">
      <c r="K1676" s="1">
        <v>38353</v>
      </c>
      <c r="M1676" t="e">
        <v>#N/A</v>
      </c>
      <c r="N1676" s="1">
        <v>37987</v>
      </c>
    </row>
    <row r="1677" spans="11:14" x14ac:dyDescent="0.3">
      <c r="K1677" s="1">
        <v>38353</v>
      </c>
      <c r="M1677" t="e">
        <v>#N/A</v>
      </c>
      <c r="N1677" s="1">
        <v>37987</v>
      </c>
    </row>
    <row r="1678" spans="11:14" x14ac:dyDescent="0.3">
      <c r="K1678" s="1">
        <v>38353</v>
      </c>
      <c r="M1678" t="e">
        <v>#N/A</v>
      </c>
      <c r="N1678" s="1">
        <v>37987</v>
      </c>
    </row>
    <row r="1679" spans="11:14" x14ac:dyDescent="0.3">
      <c r="K1679" s="1">
        <v>38353</v>
      </c>
      <c r="M1679" t="e">
        <v>#N/A</v>
      </c>
      <c r="N1679" s="1">
        <v>37987</v>
      </c>
    </row>
    <row r="1680" spans="11:14" x14ac:dyDescent="0.3">
      <c r="K1680" s="1">
        <v>38353</v>
      </c>
      <c r="M1680" t="e">
        <v>#N/A</v>
      </c>
      <c r="N1680" s="1">
        <v>37987</v>
      </c>
    </row>
    <row r="1681" spans="11:14" x14ac:dyDescent="0.3">
      <c r="K1681" s="1">
        <v>38353</v>
      </c>
      <c r="M1681" t="e">
        <v>#N/A</v>
      </c>
      <c r="N1681" s="1">
        <v>37987</v>
      </c>
    </row>
    <row r="1682" spans="11:14" x14ac:dyDescent="0.3">
      <c r="K1682" s="1">
        <v>38353</v>
      </c>
      <c r="M1682" t="e">
        <v>#N/A</v>
      </c>
      <c r="N1682" s="1">
        <v>37987</v>
      </c>
    </row>
    <row r="1683" spans="11:14" x14ac:dyDescent="0.3">
      <c r="K1683" s="1">
        <v>38353</v>
      </c>
      <c r="M1683" t="e">
        <v>#N/A</v>
      </c>
      <c r="N1683" s="1">
        <v>37987</v>
      </c>
    </row>
    <row r="1684" spans="11:14" x14ac:dyDescent="0.3">
      <c r="K1684" s="1">
        <v>38353</v>
      </c>
      <c r="M1684" t="e">
        <v>#N/A</v>
      </c>
      <c r="N1684" s="1">
        <v>37987</v>
      </c>
    </row>
    <row r="1685" spans="11:14" x14ac:dyDescent="0.3">
      <c r="K1685" s="1">
        <v>38353</v>
      </c>
      <c r="M1685" t="e">
        <v>#N/A</v>
      </c>
      <c r="N1685" s="1">
        <v>37987</v>
      </c>
    </row>
    <row r="1686" spans="11:14" x14ac:dyDescent="0.3">
      <c r="K1686" s="1">
        <v>38353</v>
      </c>
      <c r="M1686" t="e">
        <v>#N/A</v>
      </c>
      <c r="N1686" s="1">
        <v>37987</v>
      </c>
    </row>
    <row r="1687" spans="11:14" x14ac:dyDescent="0.3">
      <c r="K1687" s="1">
        <v>38353</v>
      </c>
      <c r="M1687" t="e">
        <v>#N/A</v>
      </c>
      <c r="N1687" s="1">
        <v>37987</v>
      </c>
    </row>
    <row r="1688" spans="11:14" x14ac:dyDescent="0.3">
      <c r="K1688" s="1">
        <v>38353</v>
      </c>
      <c r="M1688" t="e">
        <v>#N/A</v>
      </c>
      <c r="N1688" s="1">
        <v>37987</v>
      </c>
    </row>
    <row r="1689" spans="11:14" x14ac:dyDescent="0.3">
      <c r="K1689" s="1">
        <v>38353</v>
      </c>
      <c r="M1689" t="e">
        <v>#N/A</v>
      </c>
      <c r="N1689" s="1">
        <v>37987</v>
      </c>
    </row>
    <row r="1690" spans="11:14" x14ac:dyDescent="0.3">
      <c r="K1690" s="1">
        <v>38353</v>
      </c>
      <c r="M1690" t="e">
        <v>#N/A</v>
      </c>
      <c r="N1690" s="1">
        <v>37987</v>
      </c>
    </row>
    <row r="1691" spans="11:14" x14ac:dyDescent="0.3">
      <c r="K1691" s="1">
        <v>38353</v>
      </c>
      <c r="M1691" t="e">
        <v>#N/A</v>
      </c>
      <c r="N1691" s="1">
        <v>37987</v>
      </c>
    </row>
    <row r="1692" spans="11:14" x14ac:dyDescent="0.3">
      <c r="K1692" s="1">
        <v>38353</v>
      </c>
      <c r="M1692" t="e">
        <v>#N/A</v>
      </c>
      <c r="N1692" s="1">
        <v>37987</v>
      </c>
    </row>
    <row r="1693" spans="11:14" x14ac:dyDescent="0.3">
      <c r="K1693" s="1">
        <v>38353</v>
      </c>
      <c r="M1693" t="e">
        <v>#N/A</v>
      </c>
      <c r="N1693" s="1">
        <v>37987</v>
      </c>
    </row>
    <row r="1694" spans="11:14" x14ac:dyDescent="0.3">
      <c r="K1694" s="1">
        <v>38353</v>
      </c>
      <c r="M1694" t="e">
        <v>#N/A</v>
      </c>
      <c r="N1694" s="1">
        <v>37987</v>
      </c>
    </row>
    <row r="1695" spans="11:14" x14ac:dyDescent="0.3">
      <c r="K1695" s="1">
        <v>38353</v>
      </c>
      <c r="M1695" t="e">
        <v>#N/A</v>
      </c>
      <c r="N1695" s="1">
        <v>37987</v>
      </c>
    </row>
    <row r="1696" spans="11:14" x14ac:dyDescent="0.3">
      <c r="K1696" s="1">
        <v>38353</v>
      </c>
      <c r="M1696" t="e">
        <v>#N/A</v>
      </c>
      <c r="N1696" s="1">
        <v>37987</v>
      </c>
    </row>
    <row r="1697" spans="11:14" x14ac:dyDescent="0.3">
      <c r="K1697" s="1">
        <v>38353</v>
      </c>
      <c r="M1697" t="e">
        <v>#N/A</v>
      </c>
      <c r="N1697" s="1">
        <v>37987</v>
      </c>
    </row>
    <row r="1698" spans="11:14" x14ac:dyDescent="0.3">
      <c r="K1698" s="1">
        <v>38353</v>
      </c>
      <c r="M1698" t="e">
        <v>#N/A</v>
      </c>
      <c r="N1698" s="1">
        <v>37987</v>
      </c>
    </row>
    <row r="1699" spans="11:14" x14ac:dyDescent="0.3">
      <c r="K1699" s="1">
        <v>38353</v>
      </c>
      <c r="M1699" t="e">
        <v>#N/A</v>
      </c>
      <c r="N1699" s="1">
        <v>37987</v>
      </c>
    </row>
    <row r="1700" spans="11:14" x14ac:dyDescent="0.3">
      <c r="K1700" s="1">
        <v>38353</v>
      </c>
      <c r="M1700" t="e">
        <v>#N/A</v>
      </c>
      <c r="N1700" s="1">
        <v>37987</v>
      </c>
    </row>
    <row r="1701" spans="11:14" x14ac:dyDescent="0.3">
      <c r="K1701" s="1">
        <v>38353</v>
      </c>
      <c r="M1701" t="e">
        <v>#N/A</v>
      </c>
      <c r="N1701" s="1">
        <v>37987</v>
      </c>
    </row>
    <row r="1702" spans="11:14" x14ac:dyDescent="0.3">
      <c r="K1702" s="1">
        <v>38353</v>
      </c>
      <c r="M1702" t="e">
        <v>#N/A</v>
      </c>
      <c r="N1702" s="1">
        <v>37987</v>
      </c>
    </row>
    <row r="1703" spans="11:14" x14ac:dyDescent="0.3">
      <c r="K1703" s="1">
        <v>38353</v>
      </c>
      <c r="M1703" t="e">
        <v>#N/A</v>
      </c>
      <c r="N1703" s="1">
        <v>37987</v>
      </c>
    </row>
    <row r="1704" spans="11:14" x14ac:dyDescent="0.3">
      <c r="K1704" s="1">
        <v>38353</v>
      </c>
      <c r="M1704" t="e">
        <v>#N/A</v>
      </c>
      <c r="N1704" s="1">
        <v>37987</v>
      </c>
    </row>
    <row r="1705" spans="11:14" x14ac:dyDescent="0.3">
      <c r="K1705" s="1">
        <v>38353</v>
      </c>
      <c r="M1705" t="e">
        <v>#N/A</v>
      </c>
      <c r="N1705" s="1">
        <v>37987</v>
      </c>
    </row>
    <row r="1706" spans="11:14" x14ac:dyDescent="0.3">
      <c r="K1706" s="1">
        <v>38353</v>
      </c>
      <c r="M1706" t="e">
        <v>#N/A</v>
      </c>
      <c r="N1706" s="1">
        <v>37987</v>
      </c>
    </row>
    <row r="1707" spans="11:14" x14ac:dyDescent="0.3">
      <c r="K1707" s="1">
        <v>38353</v>
      </c>
      <c r="M1707" t="e">
        <v>#N/A</v>
      </c>
      <c r="N1707" s="1">
        <v>37987</v>
      </c>
    </row>
    <row r="1708" spans="11:14" x14ac:dyDescent="0.3">
      <c r="K1708" s="1">
        <v>38353</v>
      </c>
      <c r="M1708" t="e">
        <v>#N/A</v>
      </c>
      <c r="N1708" s="1">
        <v>37987</v>
      </c>
    </row>
    <row r="1709" spans="11:14" x14ac:dyDescent="0.3">
      <c r="K1709" s="1">
        <v>38353</v>
      </c>
      <c r="M1709" t="e">
        <v>#N/A</v>
      </c>
      <c r="N1709" s="1">
        <v>37987</v>
      </c>
    </row>
    <row r="1710" spans="11:14" x14ac:dyDescent="0.3">
      <c r="K1710" s="1">
        <v>38353</v>
      </c>
      <c r="M1710" t="e">
        <v>#N/A</v>
      </c>
      <c r="N1710" s="1">
        <v>37987</v>
      </c>
    </row>
    <row r="1711" spans="11:14" x14ac:dyDescent="0.3">
      <c r="K1711" s="1">
        <v>38353</v>
      </c>
      <c r="M1711" t="e">
        <v>#N/A</v>
      </c>
      <c r="N1711" s="1">
        <v>37987</v>
      </c>
    </row>
    <row r="1712" spans="11:14" x14ac:dyDescent="0.3">
      <c r="K1712" s="1">
        <v>38353</v>
      </c>
      <c r="M1712" t="e">
        <v>#N/A</v>
      </c>
      <c r="N1712" s="1">
        <v>37987</v>
      </c>
    </row>
    <row r="1713" spans="11:14" x14ac:dyDescent="0.3">
      <c r="K1713" s="1">
        <v>38353</v>
      </c>
      <c r="M1713" t="e">
        <v>#N/A</v>
      </c>
      <c r="N1713" s="1">
        <v>37987</v>
      </c>
    </row>
    <row r="1714" spans="11:14" x14ac:dyDescent="0.3">
      <c r="K1714" s="1">
        <v>38353</v>
      </c>
      <c r="M1714" t="e">
        <v>#N/A</v>
      </c>
      <c r="N1714" s="1">
        <v>37987</v>
      </c>
    </row>
    <row r="1715" spans="11:14" x14ac:dyDescent="0.3">
      <c r="K1715" s="1">
        <v>38353</v>
      </c>
      <c r="M1715" t="e">
        <v>#N/A</v>
      </c>
      <c r="N1715" s="1">
        <v>37987</v>
      </c>
    </row>
    <row r="1716" spans="11:14" x14ac:dyDescent="0.3">
      <c r="K1716" s="1">
        <v>38353</v>
      </c>
      <c r="M1716" t="e">
        <v>#N/A</v>
      </c>
      <c r="N1716" s="1">
        <v>37987</v>
      </c>
    </row>
    <row r="1717" spans="11:14" x14ac:dyDescent="0.3">
      <c r="K1717" s="1">
        <v>38353</v>
      </c>
      <c r="M1717" t="e">
        <v>#N/A</v>
      </c>
      <c r="N1717" s="1">
        <v>37987</v>
      </c>
    </row>
    <row r="1718" spans="11:14" x14ac:dyDescent="0.3">
      <c r="K1718" s="1">
        <v>38353</v>
      </c>
      <c r="M1718" t="e">
        <v>#N/A</v>
      </c>
      <c r="N1718" s="1">
        <v>37987</v>
      </c>
    </row>
    <row r="1719" spans="11:14" x14ac:dyDescent="0.3">
      <c r="K1719" s="1">
        <v>38353</v>
      </c>
      <c r="M1719" t="e">
        <v>#N/A</v>
      </c>
      <c r="N1719" s="1">
        <v>37987</v>
      </c>
    </row>
    <row r="1720" spans="11:14" x14ac:dyDescent="0.3">
      <c r="K1720" s="1">
        <v>38353</v>
      </c>
      <c r="M1720" t="e">
        <v>#N/A</v>
      </c>
      <c r="N1720" s="1">
        <v>37987</v>
      </c>
    </row>
    <row r="1721" spans="11:14" x14ac:dyDescent="0.3">
      <c r="K1721" s="1">
        <v>38353</v>
      </c>
      <c r="M1721" t="e">
        <v>#N/A</v>
      </c>
      <c r="N1721" s="1">
        <v>37987</v>
      </c>
    </row>
    <row r="1722" spans="11:14" x14ac:dyDescent="0.3">
      <c r="K1722" s="1">
        <v>38353</v>
      </c>
      <c r="M1722" t="e">
        <v>#N/A</v>
      </c>
      <c r="N1722" s="1">
        <v>37987</v>
      </c>
    </row>
    <row r="1723" spans="11:14" x14ac:dyDescent="0.3">
      <c r="K1723" s="1">
        <v>38353</v>
      </c>
      <c r="M1723" t="e">
        <v>#N/A</v>
      </c>
      <c r="N1723" s="1">
        <v>37987</v>
      </c>
    </row>
    <row r="1724" spans="11:14" x14ac:dyDescent="0.3">
      <c r="K1724" s="1">
        <v>38353</v>
      </c>
      <c r="M1724" t="e">
        <v>#N/A</v>
      </c>
      <c r="N1724" s="1">
        <v>37987</v>
      </c>
    </row>
    <row r="1725" spans="11:14" x14ac:dyDescent="0.3">
      <c r="K1725" s="1">
        <v>38353</v>
      </c>
      <c r="M1725" t="e">
        <v>#N/A</v>
      </c>
      <c r="N1725" s="1">
        <v>37987</v>
      </c>
    </row>
    <row r="1726" spans="11:14" x14ac:dyDescent="0.3">
      <c r="K1726" s="1">
        <v>38353</v>
      </c>
      <c r="M1726" t="e">
        <v>#N/A</v>
      </c>
      <c r="N1726" s="1">
        <v>37987</v>
      </c>
    </row>
    <row r="1727" spans="11:14" x14ac:dyDescent="0.3">
      <c r="K1727" s="1">
        <v>38353</v>
      </c>
      <c r="M1727" t="e">
        <v>#N/A</v>
      </c>
      <c r="N1727" s="1">
        <v>37987</v>
      </c>
    </row>
    <row r="1728" spans="11:14" x14ac:dyDescent="0.3">
      <c r="K1728" s="1">
        <v>38353</v>
      </c>
      <c r="M1728" t="e">
        <v>#N/A</v>
      </c>
      <c r="N1728" s="1">
        <v>37987</v>
      </c>
    </row>
    <row r="1729" spans="11:14" x14ac:dyDescent="0.3">
      <c r="K1729" s="1">
        <v>38353</v>
      </c>
      <c r="M1729" t="e">
        <v>#N/A</v>
      </c>
      <c r="N1729" s="1">
        <v>37987</v>
      </c>
    </row>
    <row r="1730" spans="11:14" x14ac:dyDescent="0.3">
      <c r="K1730" s="1">
        <v>38353</v>
      </c>
      <c r="M1730" t="e">
        <v>#N/A</v>
      </c>
      <c r="N1730" s="1">
        <v>37987</v>
      </c>
    </row>
    <row r="1731" spans="11:14" x14ac:dyDescent="0.3">
      <c r="K1731" s="1">
        <v>38353</v>
      </c>
      <c r="M1731" t="e">
        <v>#N/A</v>
      </c>
      <c r="N1731" s="1">
        <v>37987</v>
      </c>
    </row>
    <row r="1732" spans="11:14" x14ac:dyDescent="0.3">
      <c r="K1732" s="1">
        <v>38353</v>
      </c>
      <c r="M1732" t="e">
        <v>#N/A</v>
      </c>
      <c r="N1732" s="1">
        <v>37987</v>
      </c>
    </row>
    <row r="1733" spans="11:14" x14ac:dyDescent="0.3">
      <c r="K1733" s="1">
        <v>38353</v>
      </c>
      <c r="M1733" t="e">
        <v>#N/A</v>
      </c>
      <c r="N1733" s="1">
        <v>37987</v>
      </c>
    </row>
    <row r="1734" spans="11:14" x14ac:dyDescent="0.3">
      <c r="K1734" s="1">
        <v>38353</v>
      </c>
      <c r="M1734" t="e">
        <v>#N/A</v>
      </c>
      <c r="N1734" s="1">
        <v>37987</v>
      </c>
    </row>
    <row r="1735" spans="11:14" x14ac:dyDescent="0.3">
      <c r="K1735" s="1">
        <v>38353</v>
      </c>
      <c r="M1735" t="e">
        <v>#N/A</v>
      </c>
      <c r="N1735" s="1">
        <v>37987</v>
      </c>
    </row>
    <row r="1736" spans="11:14" x14ac:dyDescent="0.3">
      <c r="K1736" s="1">
        <v>38353</v>
      </c>
      <c r="M1736" t="e">
        <v>#N/A</v>
      </c>
      <c r="N1736" s="1">
        <v>37987</v>
      </c>
    </row>
    <row r="1737" spans="11:14" x14ac:dyDescent="0.3">
      <c r="K1737" s="1">
        <v>38353</v>
      </c>
      <c r="M1737" t="e">
        <v>#N/A</v>
      </c>
      <c r="N1737" s="1">
        <v>37987</v>
      </c>
    </row>
    <row r="1738" spans="11:14" x14ac:dyDescent="0.3">
      <c r="K1738" s="1">
        <v>38353</v>
      </c>
      <c r="M1738" t="e">
        <v>#N/A</v>
      </c>
      <c r="N1738" s="1">
        <v>37987</v>
      </c>
    </row>
    <row r="1739" spans="11:14" x14ac:dyDescent="0.3">
      <c r="K1739" s="1">
        <v>38353</v>
      </c>
      <c r="M1739" t="e">
        <v>#N/A</v>
      </c>
      <c r="N1739" s="1">
        <v>37987</v>
      </c>
    </row>
    <row r="1740" spans="11:14" x14ac:dyDescent="0.3">
      <c r="K1740" s="1">
        <v>38353</v>
      </c>
      <c r="M1740" t="e">
        <v>#N/A</v>
      </c>
      <c r="N1740" s="1">
        <v>37987</v>
      </c>
    </row>
    <row r="1741" spans="11:14" x14ac:dyDescent="0.3">
      <c r="K1741" s="1">
        <v>38353</v>
      </c>
      <c r="M1741" t="e">
        <v>#N/A</v>
      </c>
      <c r="N1741" s="1">
        <v>37987</v>
      </c>
    </row>
    <row r="1742" spans="11:14" x14ac:dyDescent="0.3">
      <c r="K1742" s="1">
        <v>38353</v>
      </c>
      <c r="M1742" t="e">
        <v>#N/A</v>
      </c>
      <c r="N1742" s="1">
        <v>37987</v>
      </c>
    </row>
    <row r="1743" spans="11:14" x14ac:dyDescent="0.3">
      <c r="K1743" s="1">
        <v>38353</v>
      </c>
      <c r="M1743" t="e">
        <v>#N/A</v>
      </c>
      <c r="N1743" s="1">
        <v>37987</v>
      </c>
    </row>
    <row r="1744" spans="11:14" x14ac:dyDescent="0.3">
      <c r="K1744" s="1">
        <v>38353</v>
      </c>
      <c r="M1744" t="e">
        <v>#N/A</v>
      </c>
      <c r="N1744" s="1">
        <v>37987</v>
      </c>
    </row>
    <row r="1745" spans="11:14" x14ac:dyDescent="0.3">
      <c r="K1745" s="1">
        <v>38353</v>
      </c>
      <c r="M1745" t="e">
        <v>#N/A</v>
      </c>
      <c r="N1745" s="1">
        <v>37987</v>
      </c>
    </row>
    <row r="1746" spans="11:14" x14ac:dyDescent="0.3">
      <c r="K1746" s="1">
        <v>38353</v>
      </c>
      <c r="M1746" t="e">
        <v>#N/A</v>
      </c>
      <c r="N1746" s="1">
        <v>37987</v>
      </c>
    </row>
    <row r="1747" spans="11:14" x14ac:dyDescent="0.3">
      <c r="K1747" s="1">
        <v>38353</v>
      </c>
      <c r="M1747" t="e">
        <v>#N/A</v>
      </c>
      <c r="N1747" s="1">
        <v>37987</v>
      </c>
    </row>
    <row r="1748" spans="11:14" x14ac:dyDescent="0.3">
      <c r="K1748" s="1">
        <v>38353</v>
      </c>
      <c r="M1748" t="e">
        <v>#N/A</v>
      </c>
      <c r="N1748" s="1">
        <v>37987</v>
      </c>
    </row>
    <row r="1749" spans="11:14" x14ac:dyDescent="0.3">
      <c r="K1749" s="1">
        <v>38353</v>
      </c>
      <c r="M1749" t="e">
        <v>#N/A</v>
      </c>
      <c r="N1749" s="1">
        <v>37987</v>
      </c>
    </row>
    <row r="1750" spans="11:14" x14ac:dyDescent="0.3">
      <c r="K1750" s="1">
        <v>38353</v>
      </c>
      <c r="M1750" t="e">
        <v>#N/A</v>
      </c>
      <c r="N1750" s="1">
        <v>37987</v>
      </c>
    </row>
    <row r="1751" spans="11:14" x14ac:dyDescent="0.3">
      <c r="K1751" s="1">
        <v>38353</v>
      </c>
      <c r="M1751" t="e">
        <v>#N/A</v>
      </c>
      <c r="N1751" s="1">
        <v>37987</v>
      </c>
    </row>
    <row r="1752" spans="11:14" x14ac:dyDescent="0.3">
      <c r="K1752" s="1">
        <v>38353</v>
      </c>
      <c r="M1752" t="e">
        <v>#N/A</v>
      </c>
      <c r="N1752" s="1">
        <v>37987</v>
      </c>
    </row>
    <row r="1753" spans="11:14" x14ac:dyDescent="0.3">
      <c r="K1753" s="1">
        <v>38353</v>
      </c>
      <c r="M1753" t="e">
        <v>#N/A</v>
      </c>
      <c r="N1753" s="1">
        <v>37987</v>
      </c>
    </row>
    <row r="1754" spans="11:14" x14ac:dyDescent="0.3">
      <c r="K1754" s="1">
        <v>38353</v>
      </c>
      <c r="M1754" t="e">
        <v>#N/A</v>
      </c>
      <c r="N1754" s="1">
        <v>37987</v>
      </c>
    </row>
    <row r="1755" spans="11:14" x14ac:dyDescent="0.3">
      <c r="K1755" s="1">
        <v>38353</v>
      </c>
      <c r="M1755" t="e">
        <v>#N/A</v>
      </c>
      <c r="N1755" s="1">
        <v>37987</v>
      </c>
    </row>
    <row r="1756" spans="11:14" x14ac:dyDescent="0.3">
      <c r="K1756" s="1">
        <v>38353</v>
      </c>
      <c r="M1756" t="e">
        <v>#N/A</v>
      </c>
      <c r="N1756" s="1">
        <v>37987</v>
      </c>
    </row>
    <row r="1757" spans="11:14" x14ac:dyDescent="0.3">
      <c r="K1757" s="1">
        <v>38353</v>
      </c>
      <c r="M1757" t="e">
        <v>#N/A</v>
      </c>
      <c r="N1757" s="1">
        <v>37987</v>
      </c>
    </row>
    <row r="1758" spans="11:14" x14ac:dyDescent="0.3">
      <c r="K1758" s="1">
        <v>38353</v>
      </c>
      <c r="M1758" t="e">
        <v>#N/A</v>
      </c>
      <c r="N1758" s="1">
        <v>37987</v>
      </c>
    </row>
    <row r="1759" spans="11:14" x14ac:dyDescent="0.3">
      <c r="K1759" s="1">
        <v>38353</v>
      </c>
      <c r="M1759" t="e">
        <v>#N/A</v>
      </c>
      <c r="N1759" s="1">
        <v>37987</v>
      </c>
    </row>
    <row r="1760" spans="11:14" x14ac:dyDescent="0.3">
      <c r="K1760" s="1">
        <v>38353</v>
      </c>
      <c r="M1760" t="e">
        <v>#N/A</v>
      </c>
      <c r="N1760" s="1">
        <v>37987</v>
      </c>
    </row>
    <row r="1761" spans="11:14" x14ac:dyDescent="0.3">
      <c r="K1761" s="1">
        <v>38353</v>
      </c>
      <c r="M1761" t="e">
        <v>#N/A</v>
      </c>
      <c r="N1761" s="1">
        <v>37987</v>
      </c>
    </row>
    <row r="1762" spans="11:14" x14ac:dyDescent="0.3">
      <c r="K1762" s="1">
        <v>38353</v>
      </c>
      <c r="M1762" t="e">
        <v>#N/A</v>
      </c>
      <c r="N1762" s="1">
        <v>37987</v>
      </c>
    </row>
    <row r="1763" spans="11:14" x14ac:dyDescent="0.3">
      <c r="K1763" s="1">
        <v>38353</v>
      </c>
      <c r="M1763" t="e">
        <v>#N/A</v>
      </c>
      <c r="N1763" s="1">
        <v>37987</v>
      </c>
    </row>
    <row r="1764" spans="11:14" x14ac:dyDescent="0.3">
      <c r="K1764" s="1">
        <v>38353</v>
      </c>
      <c r="M1764" t="e">
        <v>#N/A</v>
      </c>
      <c r="N1764" s="1">
        <v>37987</v>
      </c>
    </row>
    <row r="1765" spans="11:14" x14ac:dyDescent="0.3">
      <c r="K1765" s="1">
        <v>38353</v>
      </c>
      <c r="M1765" t="e">
        <v>#N/A</v>
      </c>
      <c r="N1765" s="1">
        <v>37987</v>
      </c>
    </row>
    <row r="1766" spans="11:14" x14ac:dyDescent="0.3">
      <c r="K1766" s="1">
        <v>38353</v>
      </c>
      <c r="M1766" t="e">
        <v>#N/A</v>
      </c>
      <c r="N1766" s="1">
        <v>37987</v>
      </c>
    </row>
    <row r="1767" spans="11:14" x14ac:dyDescent="0.3">
      <c r="K1767" s="1">
        <v>38353</v>
      </c>
      <c r="M1767" t="e">
        <v>#N/A</v>
      </c>
      <c r="N1767" s="1">
        <v>37987</v>
      </c>
    </row>
    <row r="1768" spans="11:14" x14ac:dyDescent="0.3">
      <c r="K1768" s="1">
        <v>38353</v>
      </c>
      <c r="M1768" t="e">
        <v>#N/A</v>
      </c>
      <c r="N1768" s="1">
        <v>37987</v>
      </c>
    </row>
    <row r="1769" spans="11:14" x14ac:dyDescent="0.3">
      <c r="K1769" s="1">
        <v>38353</v>
      </c>
      <c r="M1769" t="e">
        <v>#N/A</v>
      </c>
      <c r="N1769" s="1">
        <v>37987</v>
      </c>
    </row>
    <row r="1770" spans="11:14" x14ac:dyDescent="0.3">
      <c r="K1770" s="1">
        <v>38353</v>
      </c>
      <c r="M1770" t="e">
        <v>#N/A</v>
      </c>
      <c r="N1770" s="1">
        <v>37987</v>
      </c>
    </row>
    <row r="1771" spans="11:14" x14ac:dyDescent="0.3">
      <c r="K1771" s="1">
        <v>38353</v>
      </c>
      <c r="M1771" t="e">
        <v>#N/A</v>
      </c>
      <c r="N1771" s="1">
        <v>37987</v>
      </c>
    </row>
    <row r="1772" spans="11:14" x14ac:dyDescent="0.3">
      <c r="K1772" s="1">
        <v>38353</v>
      </c>
      <c r="M1772" t="e">
        <v>#N/A</v>
      </c>
      <c r="N1772" s="1">
        <v>37987</v>
      </c>
    </row>
    <row r="1773" spans="11:14" x14ac:dyDescent="0.3">
      <c r="K1773" s="1">
        <v>38353</v>
      </c>
      <c r="M1773" t="e">
        <v>#N/A</v>
      </c>
      <c r="N1773" s="1">
        <v>37987</v>
      </c>
    </row>
    <row r="1774" spans="11:14" x14ac:dyDescent="0.3">
      <c r="K1774" s="1">
        <v>38353</v>
      </c>
      <c r="M1774" t="e">
        <v>#N/A</v>
      </c>
      <c r="N1774" s="1">
        <v>37987</v>
      </c>
    </row>
    <row r="1775" spans="11:14" x14ac:dyDescent="0.3">
      <c r="K1775" s="1">
        <v>38353</v>
      </c>
      <c r="M1775" t="e">
        <v>#N/A</v>
      </c>
      <c r="N1775" s="1">
        <v>37987</v>
      </c>
    </row>
    <row r="1776" spans="11:14" x14ac:dyDescent="0.3">
      <c r="K1776" s="1">
        <v>38353</v>
      </c>
      <c r="M1776" t="e">
        <v>#N/A</v>
      </c>
      <c r="N1776" s="1">
        <v>37987</v>
      </c>
    </row>
    <row r="1777" spans="11:14" x14ac:dyDescent="0.3">
      <c r="K1777" s="1">
        <v>38353</v>
      </c>
      <c r="M1777" t="e">
        <v>#N/A</v>
      </c>
      <c r="N1777" s="1">
        <v>37987</v>
      </c>
    </row>
    <row r="1778" spans="11:14" x14ac:dyDescent="0.3">
      <c r="K1778" s="1">
        <v>38353</v>
      </c>
      <c r="M1778" t="e">
        <v>#N/A</v>
      </c>
      <c r="N1778" s="1">
        <v>37987</v>
      </c>
    </row>
    <row r="1779" spans="11:14" x14ac:dyDescent="0.3">
      <c r="K1779" s="1">
        <v>38353</v>
      </c>
      <c r="M1779" t="e">
        <v>#N/A</v>
      </c>
      <c r="N1779" s="1">
        <v>37987</v>
      </c>
    </row>
    <row r="1780" spans="11:14" x14ac:dyDescent="0.3">
      <c r="K1780" s="1">
        <v>38353</v>
      </c>
      <c r="M1780" t="e">
        <v>#N/A</v>
      </c>
      <c r="N1780" s="1">
        <v>37987</v>
      </c>
    </row>
    <row r="1781" spans="11:14" x14ac:dyDescent="0.3">
      <c r="K1781" s="1">
        <v>38353</v>
      </c>
      <c r="M1781" t="e">
        <v>#N/A</v>
      </c>
      <c r="N1781" s="1">
        <v>37987</v>
      </c>
    </row>
    <row r="1782" spans="11:14" x14ac:dyDescent="0.3">
      <c r="K1782" s="1">
        <v>38353</v>
      </c>
      <c r="M1782" t="e">
        <v>#N/A</v>
      </c>
      <c r="N1782" s="1">
        <v>37987</v>
      </c>
    </row>
    <row r="1783" spans="11:14" x14ac:dyDescent="0.3">
      <c r="K1783" s="1">
        <v>38353</v>
      </c>
      <c r="M1783" t="e">
        <v>#N/A</v>
      </c>
      <c r="N1783" s="1">
        <v>37987</v>
      </c>
    </row>
    <row r="1784" spans="11:14" x14ac:dyDescent="0.3">
      <c r="K1784" s="1">
        <v>38353</v>
      </c>
      <c r="M1784" t="e">
        <v>#N/A</v>
      </c>
      <c r="N1784" s="1">
        <v>37987</v>
      </c>
    </row>
    <row r="1785" spans="11:14" x14ac:dyDescent="0.3">
      <c r="K1785" s="1">
        <v>38353</v>
      </c>
      <c r="M1785" t="e">
        <v>#N/A</v>
      </c>
      <c r="N1785" s="1">
        <v>37987</v>
      </c>
    </row>
    <row r="1786" spans="11:14" x14ac:dyDescent="0.3">
      <c r="K1786" s="1">
        <v>38353</v>
      </c>
      <c r="M1786" t="e">
        <v>#N/A</v>
      </c>
      <c r="N1786" s="1">
        <v>37987</v>
      </c>
    </row>
    <row r="1787" spans="11:14" x14ac:dyDescent="0.3">
      <c r="K1787" s="1">
        <v>38353</v>
      </c>
      <c r="M1787" t="e">
        <v>#N/A</v>
      </c>
      <c r="N1787" s="1">
        <v>37987</v>
      </c>
    </row>
    <row r="1788" spans="11:14" x14ac:dyDescent="0.3">
      <c r="K1788" s="1">
        <v>38353</v>
      </c>
      <c r="M1788" t="e">
        <v>#N/A</v>
      </c>
      <c r="N1788" s="1">
        <v>37987</v>
      </c>
    </row>
    <row r="1789" spans="11:14" x14ac:dyDescent="0.3">
      <c r="K1789" s="1">
        <v>38353</v>
      </c>
      <c r="M1789" t="e">
        <v>#N/A</v>
      </c>
      <c r="N1789" s="1">
        <v>37987</v>
      </c>
    </row>
    <row r="1790" spans="11:14" x14ac:dyDescent="0.3">
      <c r="K1790" s="1">
        <v>38353</v>
      </c>
      <c r="M1790" t="e">
        <v>#N/A</v>
      </c>
      <c r="N1790" s="1">
        <v>37987</v>
      </c>
    </row>
    <row r="1791" spans="11:14" x14ac:dyDescent="0.3">
      <c r="K1791" s="1">
        <v>38353</v>
      </c>
      <c r="M1791" t="e">
        <v>#N/A</v>
      </c>
      <c r="N1791" s="1">
        <v>37987</v>
      </c>
    </row>
    <row r="1792" spans="11:14" x14ac:dyDescent="0.3">
      <c r="K1792" s="1">
        <v>38353</v>
      </c>
      <c r="M1792" t="e">
        <v>#N/A</v>
      </c>
      <c r="N1792" s="1">
        <v>37987</v>
      </c>
    </row>
    <row r="1793" spans="11:14" x14ac:dyDescent="0.3">
      <c r="K1793" s="1">
        <v>38353</v>
      </c>
      <c r="M1793" t="e">
        <v>#N/A</v>
      </c>
      <c r="N1793" s="1">
        <v>37987</v>
      </c>
    </row>
    <row r="1794" spans="11:14" x14ac:dyDescent="0.3">
      <c r="K1794" s="1">
        <v>38353</v>
      </c>
      <c r="M1794" t="e">
        <v>#N/A</v>
      </c>
      <c r="N1794" s="1">
        <v>37987</v>
      </c>
    </row>
    <row r="1795" spans="11:14" x14ac:dyDescent="0.3">
      <c r="K1795" s="1">
        <v>38353</v>
      </c>
      <c r="M1795" t="e">
        <v>#N/A</v>
      </c>
      <c r="N1795" s="1">
        <v>37987</v>
      </c>
    </row>
    <row r="1796" spans="11:14" x14ac:dyDescent="0.3">
      <c r="K1796" s="1">
        <v>38353</v>
      </c>
      <c r="M1796" t="e">
        <v>#N/A</v>
      </c>
      <c r="N1796" s="1">
        <v>37987</v>
      </c>
    </row>
    <row r="1797" spans="11:14" x14ac:dyDescent="0.3">
      <c r="K1797" s="1">
        <v>38353</v>
      </c>
      <c r="M1797" t="e">
        <v>#N/A</v>
      </c>
      <c r="N1797" s="1">
        <v>37987</v>
      </c>
    </row>
    <row r="1798" spans="11:14" x14ac:dyDescent="0.3">
      <c r="K1798" s="1">
        <v>38353</v>
      </c>
      <c r="M1798" t="e">
        <v>#N/A</v>
      </c>
      <c r="N1798" s="1">
        <v>37987</v>
      </c>
    </row>
    <row r="1799" spans="11:14" x14ac:dyDescent="0.3">
      <c r="K1799" s="1">
        <v>38353</v>
      </c>
      <c r="M1799" t="e">
        <v>#N/A</v>
      </c>
      <c r="N1799" s="1">
        <v>37987</v>
      </c>
    </row>
    <row r="1800" spans="11:14" x14ac:dyDescent="0.3">
      <c r="K1800" s="1">
        <v>38353</v>
      </c>
      <c r="M1800" t="e">
        <v>#N/A</v>
      </c>
      <c r="N1800" s="1">
        <v>37987</v>
      </c>
    </row>
    <row r="1801" spans="11:14" x14ac:dyDescent="0.3">
      <c r="K1801" s="1">
        <v>38353</v>
      </c>
      <c r="M1801" t="e">
        <v>#N/A</v>
      </c>
      <c r="N1801" s="1">
        <v>37987</v>
      </c>
    </row>
    <row r="1802" spans="11:14" x14ac:dyDescent="0.3">
      <c r="K1802" s="1">
        <v>38353</v>
      </c>
      <c r="M1802" t="e">
        <v>#N/A</v>
      </c>
      <c r="N1802" s="1">
        <v>37987</v>
      </c>
    </row>
    <row r="1803" spans="11:14" x14ac:dyDescent="0.3">
      <c r="K1803" s="1">
        <v>38353</v>
      </c>
      <c r="M1803" t="e">
        <v>#N/A</v>
      </c>
      <c r="N1803" s="1">
        <v>37987</v>
      </c>
    </row>
    <row r="1804" spans="11:14" x14ac:dyDescent="0.3">
      <c r="K1804" s="1">
        <v>38353</v>
      </c>
      <c r="M1804" t="e">
        <v>#N/A</v>
      </c>
      <c r="N1804" s="1">
        <v>37987</v>
      </c>
    </row>
    <row r="1805" spans="11:14" x14ac:dyDescent="0.3">
      <c r="K1805" s="1">
        <v>38353</v>
      </c>
      <c r="M1805" t="e">
        <v>#N/A</v>
      </c>
      <c r="N1805" s="1">
        <v>37987</v>
      </c>
    </row>
    <row r="1806" spans="11:14" x14ac:dyDescent="0.3">
      <c r="K1806" s="1">
        <v>38353</v>
      </c>
      <c r="M1806" t="e">
        <v>#N/A</v>
      </c>
      <c r="N1806" s="1">
        <v>37987</v>
      </c>
    </row>
    <row r="1807" spans="11:14" x14ac:dyDescent="0.3">
      <c r="K1807" s="1">
        <v>38353</v>
      </c>
      <c r="M1807" t="e">
        <v>#N/A</v>
      </c>
      <c r="N1807" s="1">
        <v>37987</v>
      </c>
    </row>
    <row r="1808" spans="11:14" x14ac:dyDescent="0.3">
      <c r="K1808" s="1">
        <v>38353</v>
      </c>
      <c r="M1808" t="e">
        <v>#N/A</v>
      </c>
      <c r="N1808" s="1">
        <v>37987</v>
      </c>
    </row>
    <row r="1809" spans="11:14" x14ac:dyDescent="0.3">
      <c r="K1809" s="1">
        <v>38353</v>
      </c>
      <c r="M1809" t="e">
        <v>#N/A</v>
      </c>
      <c r="N1809" s="1">
        <v>37987</v>
      </c>
    </row>
    <row r="1810" spans="11:14" x14ac:dyDescent="0.3">
      <c r="K1810" s="1">
        <v>38353</v>
      </c>
      <c r="M1810" t="e">
        <v>#N/A</v>
      </c>
      <c r="N1810" s="1">
        <v>37987</v>
      </c>
    </row>
    <row r="1811" spans="11:14" x14ac:dyDescent="0.3">
      <c r="K1811" s="1">
        <v>38353</v>
      </c>
      <c r="M1811" t="e">
        <v>#N/A</v>
      </c>
      <c r="N1811" s="1">
        <v>37987</v>
      </c>
    </row>
    <row r="1812" spans="11:14" x14ac:dyDescent="0.3">
      <c r="K1812" s="1">
        <v>38353</v>
      </c>
      <c r="M1812" t="e">
        <v>#N/A</v>
      </c>
      <c r="N1812" s="1">
        <v>37987</v>
      </c>
    </row>
    <row r="1813" spans="11:14" x14ac:dyDescent="0.3">
      <c r="K1813" s="1">
        <v>38353</v>
      </c>
      <c r="M1813" t="e">
        <v>#N/A</v>
      </c>
      <c r="N1813" s="1">
        <v>37987</v>
      </c>
    </row>
    <row r="1814" spans="11:14" x14ac:dyDescent="0.3">
      <c r="K1814" s="1">
        <v>38353</v>
      </c>
      <c r="M1814" t="e">
        <v>#N/A</v>
      </c>
      <c r="N1814" s="1">
        <v>37987</v>
      </c>
    </row>
    <row r="1815" spans="11:14" x14ac:dyDescent="0.3">
      <c r="K1815" s="1">
        <v>38353</v>
      </c>
      <c r="M1815" t="e">
        <v>#N/A</v>
      </c>
      <c r="N1815" s="1">
        <v>37987</v>
      </c>
    </row>
    <row r="1816" spans="11:14" x14ac:dyDescent="0.3">
      <c r="K1816" s="1">
        <v>38353</v>
      </c>
      <c r="M1816" t="e">
        <v>#N/A</v>
      </c>
      <c r="N1816" s="1">
        <v>37987</v>
      </c>
    </row>
    <row r="1817" spans="11:14" x14ac:dyDescent="0.3">
      <c r="K1817" s="1">
        <v>38353</v>
      </c>
      <c r="M1817" t="e">
        <v>#N/A</v>
      </c>
      <c r="N1817" s="1">
        <v>37987</v>
      </c>
    </row>
    <row r="1818" spans="11:14" x14ac:dyDescent="0.3">
      <c r="K1818" s="1">
        <v>38353</v>
      </c>
      <c r="M1818" t="e">
        <v>#N/A</v>
      </c>
      <c r="N1818" s="1">
        <v>37987</v>
      </c>
    </row>
    <row r="1819" spans="11:14" x14ac:dyDescent="0.3">
      <c r="K1819" s="1">
        <v>38353</v>
      </c>
      <c r="M1819" t="e">
        <v>#N/A</v>
      </c>
      <c r="N1819" s="1">
        <v>37987</v>
      </c>
    </row>
    <row r="1820" spans="11:14" x14ac:dyDescent="0.3">
      <c r="K1820" s="1">
        <v>38353</v>
      </c>
      <c r="M1820" t="e">
        <v>#N/A</v>
      </c>
      <c r="N1820" s="1">
        <v>37987</v>
      </c>
    </row>
    <row r="1821" spans="11:14" x14ac:dyDescent="0.3">
      <c r="K1821" s="1">
        <v>38353</v>
      </c>
      <c r="M1821" t="e">
        <v>#N/A</v>
      </c>
      <c r="N1821" s="1">
        <v>37987</v>
      </c>
    </row>
    <row r="1822" spans="11:14" x14ac:dyDescent="0.3">
      <c r="K1822" s="1">
        <v>38353</v>
      </c>
      <c r="M1822" t="e">
        <v>#N/A</v>
      </c>
      <c r="N1822" s="1">
        <v>37987</v>
      </c>
    </row>
    <row r="1823" spans="11:14" x14ac:dyDescent="0.3">
      <c r="K1823" s="1">
        <v>38353</v>
      </c>
      <c r="M1823" t="e">
        <v>#N/A</v>
      </c>
      <c r="N1823" s="1">
        <v>37987</v>
      </c>
    </row>
    <row r="1824" spans="11:14" x14ac:dyDescent="0.3">
      <c r="K1824" s="1">
        <v>38353</v>
      </c>
      <c r="M1824" t="e">
        <v>#N/A</v>
      </c>
      <c r="N1824" s="1">
        <v>37987</v>
      </c>
    </row>
    <row r="1825" spans="11:14" x14ac:dyDescent="0.3">
      <c r="K1825" s="1">
        <v>38353</v>
      </c>
      <c r="M1825" t="e">
        <v>#N/A</v>
      </c>
      <c r="N1825" s="1">
        <v>37987</v>
      </c>
    </row>
    <row r="1826" spans="11:14" x14ac:dyDescent="0.3">
      <c r="K1826" s="1">
        <v>38353</v>
      </c>
      <c r="M1826" t="e">
        <v>#N/A</v>
      </c>
      <c r="N1826" s="1">
        <v>37987</v>
      </c>
    </row>
    <row r="1827" spans="11:14" x14ac:dyDescent="0.3">
      <c r="K1827" s="1">
        <v>38353</v>
      </c>
      <c r="M1827" t="e">
        <v>#N/A</v>
      </c>
      <c r="N1827" s="1">
        <v>37987</v>
      </c>
    </row>
    <row r="1828" spans="11:14" x14ac:dyDescent="0.3">
      <c r="K1828" s="1">
        <v>38353</v>
      </c>
      <c r="M1828" t="e">
        <v>#N/A</v>
      </c>
      <c r="N1828" s="1">
        <v>37987</v>
      </c>
    </row>
    <row r="1829" spans="11:14" x14ac:dyDescent="0.3">
      <c r="K1829" s="1">
        <v>38353</v>
      </c>
      <c r="M1829" t="e">
        <v>#N/A</v>
      </c>
      <c r="N1829" s="1">
        <v>37987</v>
      </c>
    </row>
    <row r="1830" spans="11:14" x14ac:dyDescent="0.3">
      <c r="K1830" s="1">
        <v>38353</v>
      </c>
      <c r="M1830" t="e">
        <v>#N/A</v>
      </c>
      <c r="N1830" s="1">
        <v>37987</v>
      </c>
    </row>
    <row r="1831" spans="11:14" x14ac:dyDescent="0.3">
      <c r="K1831" s="1">
        <v>38353</v>
      </c>
      <c r="M1831" t="e">
        <v>#N/A</v>
      </c>
      <c r="N1831" s="1">
        <v>37987</v>
      </c>
    </row>
    <row r="1832" spans="11:14" x14ac:dyDescent="0.3">
      <c r="K1832" s="1">
        <v>38353</v>
      </c>
      <c r="M1832" t="e">
        <v>#N/A</v>
      </c>
      <c r="N1832" s="1">
        <v>37987</v>
      </c>
    </row>
    <row r="1833" spans="11:14" x14ac:dyDescent="0.3">
      <c r="K1833" s="1">
        <v>38353</v>
      </c>
      <c r="M1833" t="e">
        <v>#N/A</v>
      </c>
      <c r="N1833" s="1">
        <v>37987</v>
      </c>
    </row>
    <row r="1834" spans="11:14" x14ac:dyDescent="0.3">
      <c r="K1834" s="1">
        <v>38353</v>
      </c>
      <c r="M1834" t="e">
        <v>#N/A</v>
      </c>
      <c r="N1834" s="1">
        <v>37987</v>
      </c>
    </row>
    <row r="1835" spans="11:14" x14ac:dyDescent="0.3">
      <c r="K1835" s="1">
        <v>38353</v>
      </c>
      <c r="M1835" t="e">
        <v>#N/A</v>
      </c>
      <c r="N1835" s="1">
        <v>37987</v>
      </c>
    </row>
    <row r="1836" spans="11:14" x14ac:dyDescent="0.3">
      <c r="K1836" s="1">
        <v>38353</v>
      </c>
      <c r="M1836" t="e">
        <v>#N/A</v>
      </c>
      <c r="N1836" s="1">
        <v>37987</v>
      </c>
    </row>
    <row r="1837" spans="11:14" x14ac:dyDescent="0.3">
      <c r="K1837" s="1">
        <v>38353</v>
      </c>
      <c r="M1837" t="e">
        <v>#N/A</v>
      </c>
      <c r="N1837" s="1">
        <v>37987</v>
      </c>
    </row>
    <row r="1838" spans="11:14" x14ac:dyDescent="0.3">
      <c r="K1838" s="1">
        <v>38353</v>
      </c>
      <c r="M1838" t="e">
        <v>#N/A</v>
      </c>
      <c r="N1838" s="1">
        <v>37987</v>
      </c>
    </row>
    <row r="1839" spans="11:14" x14ac:dyDescent="0.3">
      <c r="K1839" s="1">
        <v>38353</v>
      </c>
      <c r="M1839" t="e">
        <v>#N/A</v>
      </c>
      <c r="N1839" s="1">
        <v>37987</v>
      </c>
    </row>
    <row r="1840" spans="11:14" x14ac:dyDescent="0.3">
      <c r="K1840" s="1">
        <v>38353</v>
      </c>
      <c r="M1840" t="e">
        <v>#N/A</v>
      </c>
      <c r="N1840" s="1">
        <v>37987</v>
      </c>
    </row>
    <row r="1841" spans="11:14" x14ac:dyDescent="0.3">
      <c r="K1841" s="1">
        <v>38353</v>
      </c>
      <c r="M1841" t="e">
        <v>#N/A</v>
      </c>
      <c r="N1841" s="1">
        <v>37987</v>
      </c>
    </row>
    <row r="1842" spans="11:14" x14ac:dyDescent="0.3">
      <c r="K1842" s="1">
        <v>38353</v>
      </c>
      <c r="M1842" t="e">
        <v>#N/A</v>
      </c>
      <c r="N1842" s="1">
        <v>37987</v>
      </c>
    </row>
    <row r="1843" spans="11:14" x14ac:dyDescent="0.3">
      <c r="K1843" s="1">
        <v>38353</v>
      </c>
      <c r="M1843" t="e">
        <v>#N/A</v>
      </c>
      <c r="N1843" s="1">
        <v>37987</v>
      </c>
    </row>
    <row r="1844" spans="11:14" x14ac:dyDescent="0.3">
      <c r="K1844" s="1">
        <v>38443</v>
      </c>
      <c r="M1844" t="e">
        <v>#N/A</v>
      </c>
      <c r="N1844" s="1">
        <v>37987</v>
      </c>
    </row>
    <row r="1845" spans="11:14" x14ac:dyDescent="0.3">
      <c r="K1845" s="1">
        <v>38443</v>
      </c>
      <c r="M1845" t="e">
        <v>#N/A</v>
      </c>
      <c r="N1845" s="1">
        <v>37987</v>
      </c>
    </row>
    <row r="1846" spans="11:14" x14ac:dyDescent="0.3">
      <c r="K1846" s="1">
        <v>38443</v>
      </c>
      <c r="M1846" t="e">
        <v>#N/A</v>
      </c>
      <c r="N1846" s="1">
        <v>37987</v>
      </c>
    </row>
    <row r="1847" spans="11:14" x14ac:dyDescent="0.3">
      <c r="K1847" s="1">
        <v>38443</v>
      </c>
      <c r="M1847" t="e">
        <v>#N/A</v>
      </c>
      <c r="N1847" s="1">
        <v>37987</v>
      </c>
    </row>
    <row r="1848" spans="11:14" x14ac:dyDescent="0.3">
      <c r="K1848" s="1">
        <v>38443</v>
      </c>
      <c r="M1848" t="e">
        <v>#N/A</v>
      </c>
      <c r="N1848" s="1">
        <v>37987</v>
      </c>
    </row>
    <row r="1849" spans="11:14" x14ac:dyDescent="0.3">
      <c r="K1849" s="1">
        <v>38443</v>
      </c>
      <c r="M1849" t="e">
        <v>#N/A</v>
      </c>
      <c r="N1849" s="1">
        <v>37987</v>
      </c>
    </row>
    <row r="1850" spans="11:14" x14ac:dyDescent="0.3">
      <c r="K1850" s="1">
        <v>38443</v>
      </c>
      <c r="M1850" t="e">
        <v>#N/A</v>
      </c>
      <c r="N1850" s="1">
        <v>37987</v>
      </c>
    </row>
    <row r="1851" spans="11:14" x14ac:dyDescent="0.3">
      <c r="K1851" s="1">
        <v>38443</v>
      </c>
      <c r="M1851" t="e">
        <v>#N/A</v>
      </c>
      <c r="N1851" s="1">
        <v>37987</v>
      </c>
    </row>
    <row r="1852" spans="11:14" x14ac:dyDescent="0.3">
      <c r="K1852" s="1">
        <v>38443</v>
      </c>
      <c r="M1852" t="e">
        <v>#N/A</v>
      </c>
      <c r="N1852" s="1">
        <v>37987</v>
      </c>
    </row>
    <row r="1853" spans="11:14" x14ac:dyDescent="0.3">
      <c r="K1853" s="1">
        <v>38443</v>
      </c>
      <c r="M1853" t="e">
        <v>#N/A</v>
      </c>
      <c r="N1853" s="1">
        <v>37987</v>
      </c>
    </row>
    <row r="1854" spans="11:14" x14ac:dyDescent="0.3">
      <c r="K1854" s="1">
        <v>38443</v>
      </c>
      <c r="M1854" t="e">
        <v>#N/A</v>
      </c>
      <c r="N1854" s="1">
        <v>37987</v>
      </c>
    </row>
    <row r="1855" spans="11:14" x14ac:dyDescent="0.3">
      <c r="K1855" s="1">
        <v>38443</v>
      </c>
      <c r="M1855" t="e">
        <v>#N/A</v>
      </c>
      <c r="N1855" s="1">
        <v>37987</v>
      </c>
    </row>
    <row r="1856" spans="11:14" x14ac:dyDescent="0.3">
      <c r="K1856" s="1">
        <v>38443</v>
      </c>
      <c r="M1856" t="e">
        <v>#N/A</v>
      </c>
      <c r="N1856" s="1">
        <v>37987</v>
      </c>
    </row>
    <row r="1857" spans="11:14" x14ac:dyDescent="0.3">
      <c r="K1857" s="1">
        <v>38443</v>
      </c>
      <c r="M1857" t="e">
        <v>#N/A</v>
      </c>
      <c r="N1857" s="1">
        <v>37987</v>
      </c>
    </row>
    <row r="1858" spans="11:14" x14ac:dyDescent="0.3">
      <c r="K1858" s="1">
        <v>38443</v>
      </c>
      <c r="M1858" t="e">
        <v>#N/A</v>
      </c>
      <c r="N1858" s="1">
        <v>37987</v>
      </c>
    </row>
    <row r="1859" spans="11:14" x14ac:dyDescent="0.3">
      <c r="K1859" s="1">
        <v>38443</v>
      </c>
      <c r="M1859" t="e">
        <v>#N/A</v>
      </c>
      <c r="N1859" s="1">
        <v>37987</v>
      </c>
    </row>
    <row r="1860" spans="11:14" x14ac:dyDescent="0.3">
      <c r="K1860" s="1">
        <v>38443</v>
      </c>
      <c r="M1860" t="e">
        <v>#N/A</v>
      </c>
      <c r="N1860" s="1">
        <v>37987</v>
      </c>
    </row>
    <row r="1861" spans="11:14" x14ac:dyDescent="0.3">
      <c r="K1861" s="1">
        <v>38443</v>
      </c>
      <c r="M1861" t="e">
        <v>#N/A</v>
      </c>
      <c r="N1861" s="1">
        <v>37987</v>
      </c>
    </row>
    <row r="1862" spans="11:14" x14ac:dyDescent="0.3">
      <c r="K1862" s="1">
        <v>38443</v>
      </c>
      <c r="M1862" t="e">
        <v>#N/A</v>
      </c>
      <c r="N1862" s="1">
        <v>37987</v>
      </c>
    </row>
    <row r="1863" spans="11:14" x14ac:dyDescent="0.3">
      <c r="K1863" s="1">
        <v>38443</v>
      </c>
      <c r="M1863" t="e">
        <v>#N/A</v>
      </c>
      <c r="N1863" s="1">
        <v>37987</v>
      </c>
    </row>
    <row r="1864" spans="11:14" x14ac:dyDescent="0.3">
      <c r="K1864" s="1">
        <v>38443</v>
      </c>
      <c r="M1864" t="e">
        <v>#N/A</v>
      </c>
      <c r="N1864" s="1">
        <v>37987</v>
      </c>
    </row>
    <row r="1865" spans="11:14" x14ac:dyDescent="0.3">
      <c r="K1865" s="1">
        <v>38443</v>
      </c>
      <c r="M1865" t="e">
        <v>#N/A</v>
      </c>
      <c r="N1865" s="1">
        <v>37987</v>
      </c>
    </row>
    <row r="1866" spans="11:14" x14ac:dyDescent="0.3">
      <c r="K1866" s="1">
        <v>38443</v>
      </c>
      <c r="M1866" t="e">
        <v>#N/A</v>
      </c>
      <c r="N1866" s="1">
        <v>37987</v>
      </c>
    </row>
    <row r="1867" spans="11:14" x14ac:dyDescent="0.3">
      <c r="K1867" s="1">
        <v>38443</v>
      </c>
      <c r="M1867" t="e">
        <v>#N/A</v>
      </c>
      <c r="N1867" s="1">
        <v>37987</v>
      </c>
    </row>
    <row r="1868" spans="11:14" x14ac:dyDescent="0.3">
      <c r="K1868" s="1">
        <v>38443</v>
      </c>
      <c r="M1868" t="e">
        <v>#N/A</v>
      </c>
      <c r="N1868" s="1">
        <v>37987</v>
      </c>
    </row>
    <row r="1869" spans="11:14" x14ac:dyDescent="0.3">
      <c r="K1869" s="1">
        <v>38443</v>
      </c>
      <c r="M1869" t="e">
        <v>#N/A</v>
      </c>
      <c r="N1869" s="1">
        <v>37987</v>
      </c>
    </row>
    <row r="1870" spans="11:14" x14ac:dyDescent="0.3">
      <c r="K1870" s="1">
        <v>38443</v>
      </c>
      <c r="M1870" t="e">
        <v>#N/A</v>
      </c>
      <c r="N1870" s="1">
        <v>37987</v>
      </c>
    </row>
    <row r="1871" spans="11:14" x14ac:dyDescent="0.3">
      <c r="K1871" s="1">
        <v>38443</v>
      </c>
      <c r="M1871" t="e">
        <v>#N/A</v>
      </c>
      <c r="N1871" s="1">
        <v>37987</v>
      </c>
    </row>
    <row r="1872" spans="11:14" x14ac:dyDescent="0.3">
      <c r="K1872" s="1">
        <v>38443</v>
      </c>
      <c r="M1872" t="e">
        <v>#N/A</v>
      </c>
      <c r="N1872" s="1">
        <v>37987</v>
      </c>
    </row>
    <row r="1873" spans="11:14" x14ac:dyDescent="0.3">
      <c r="K1873" s="1">
        <v>38443</v>
      </c>
      <c r="M1873" t="e">
        <v>#N/A</v>
      </c>
      <c r="N1873" s="1">
        <v>37987</v>
      </c>
    </row>
    <row r="1874" spans="11:14" x14ac:dyDescent="0.3">
      <c r="K1874" s="1">
        <v>38443</v>
      </c>
      <c r="M1874" t="e">
        <v>#N/A</v>
      </c>
      <c r="N1874" s="1">
        <v>37987</v>
      </c>
    </row>
    <row r="1875" spans="11:14" x14ac:dyDescent="0.3">
      <c r="K1875" s="1">
        <v>38443</v>
      </c>
      <c r="M1875" t="e">
        <v>#N/A</v>
      </c>
      <c r="N1875" s="1">
        <v>37987</v>
      </c>
    </row>
    <row r="1876" spans="11:14" x14ac:dyDescent="0.3">
      <c r="K1876" s="1">
        <v>38443</v>
      </c>
      <c r="M1876" t="e">
        <v>#N/A</v>
      </c>
      <c r="N1876" s="1">
        <v>37987</v>
      </c>
    </row>
    <row r="1877" spans="11:14" x14ac:dyDescent="0.3">
      <c r="K1877" s="1">
        <v>38443</v>
      </c>
      <c r="M1877" t="e">
        <v>#N/A</v>
      </c>
      <c r="N1877" s="1">
        <v>37987</v>
      </c>
    </row>
    <row r="1878" spans="11:14" x14ac:dyDescent="0.3">
      <c r="K1878" s="1">
        <v>38443</v>
      </c>
      <c r="M1878" t="e">
        <v>#N/A</v>
      </c>
      <c r="N1878" s="1">
        <v>37987</v>
      </c>
    </row>
    <row r="1879" spans="11:14" x14ac:dyDescent="0.3">
      <c r="K1879" s="1">
        <v>38443</v>
      </c>
      <c r="M1879" t="e">
        <v>#N/A</v>
      </c>
      <c r="N1879" s="1">
        <v>37987</v>
      </c>
    </row>
    <row r="1880" spans="11:14" x14ac:dyDescent="0.3">
      <c r="K1880" s="1">
        <v>38443</v>
      </c>
      <c r="M1880" t="e">
        <v>#N/A</v>
      </c>
      <c r="N1880" s="1">
        <v>37987</v>
      </c>
    </row>
    <row r="1881" spans="11:14" x14ac:dyDescent="0.3">
      <c r="K1881" s="1">
        <v>38443</v>
      </c>
      <c r="M1881" t="e">
        <v>#N/A</v>
      </c>
      <c r="N1881" s="1">
        <v>37987</v>
      </c>
    </row>
    <row r="1882" spans="11:14" x14ac:dyDescent="0.3">
      <c r="K1882" s="1">
        <v>38443</v>
      </c>
      <c r="M1882" t="e">
        <v>#N/A</v>
      </c>
      <c r="N1882" s="1">
        <v>37987</v>
      </c>
    </row>
    <row r="1883" spans="11:14" x14ac:dyDescent="0.3">
      <c r="K1883" s="1">
        <v>38443</v>
      </c>
      <c r="M1883" t="e">
        <v>#N/A</v>
      </c>
      <c r="N1883" s="1">
        <v>37987</v>
      </c>
    </row>
    <row r="1884" spans="11:14" x14ac:dyDescent="0.3">
      <c r="K1884" s="1">
        <v>38443</v>
      </c>
      <c r="M1884" t="e">
        <v>#N/A</v>
      </c>
      <c r="N1884" s="1">
        <v>37987</v>
      </c>
    </row>
    <row r="1885" spans="11:14" x14ac:dyDescent="0.3">
      <c r="K1885" s="1">
        <v>38443</v>
      </c>
      <c r="M1885" t="e">
        <v>#N/A</v>
      </c>
      <c r="N1885" s="1">
        <v>37987</v>
      </c>
    </row>
    <row r="1886" spans="11:14" x14ac:dyDescent="0.3">
      <c r="K1886" s="1">
        <v>38443</v>
      </c>
      <c r="M1886" t="e">
        <v>#N/A</v>
      </c>
      <c r="N1886" s="1">
        <v>37987</v>
      </c>
    </row>
    <row r="1887" spans="11:14" x14ac:dyDescent="0.3">
      <c r="K1887" s="1">
        <v>38443</v>
      </c>
      <c r="M1887" t="e">
        <v>#N/A</v>
      </c>
      <c r="N1887" s="1">
        <v>37987</v>
      </c>
    </row>
    <row r="1888" spans="11:14" x14ac:dyDescent="0.3">
      <c r="K1888" s="1">
        <v>38443</v>
      </c>
      <c r="M1888" t="e">
        <v>#N/A</v>
      </c>
      <c r="N1888" s="1">
        <v>37987</v>
      </c>
    </row>
    <row r="1889" spans="11:14" x14ac:dyDescent="0.3">
      <c r="K1889" s="1">
        <v>38443</v>
      </c>
      <c r="M1889" t="e">
        <v>#N/A</v>
      </c>
      <c r="N1889" s="1">
        <v>37987</v>
      </c>
    </row>
    <row r="1890" spans="11:14" x14ac:dyDescent="0.3">
      <c r="K1890" s="1">
        <v>38443</v>
      </c>
      <c r="M1890" t="e">
        <v>#N/A</v>
      </c>
      <c r="N1890" s="1">
        <v>37987</v>
      </c>
    </row>
    <row r="1891" spans="11:14" x14ac:dyDescent="0.3">
      <c r="K1891" s="1">
        <v>38443</v>
      </c>
      <c r="M1891" t="e">
        <v>#N/A</v>
      </c>
      <c r="N1891" s="1">
        <v>37987</v>
      </c>
    </row>
    <row r="1892" spans="11:14" x14ac:dyDescent="0.3">
      <c r="K1892" s="1">
        <v>38443</v>
      </c>
      <c r="M1892" t="e">
        <v>#N/A</v>
      </c>
      <c r="N1892" s="1">
        <v>37987</v>
      </c>
    </row>
    <row r="1893" spans="11:14" x14ac:dyDescent="0.3">
      <c r="K1893" s="1">
        <v>38443</v>
      </c>
      <c r="M1893" t="e">
        <v>#N/A</v>
      </c>
      <c r="N1893" s="1">
        <v>37987</v>
      </c>
    </row>
    <row r="1894" spans="11:14" x14ac:dyDescent="0.3">
      <c r="K1894" s="1">
        <v>38443</v>
      </c>
      <c r="M1894" t="e">
        <v>#N/A</v>
      </c>
      <c r="N1894" s="1">
        <v>37987</v>
      </c>
    </row>
    <row r="1895" spans="11:14" x14ac:dyDescent="0.3">
      <c r="K1895" s="1">
        <v>38443</v>
      </c>
      <c r="M1895" t="e">
        <v>#N/A</v>
      </c>
      <c r="N1895" s="1">
        <v>37987</v>
      </c>
    </row>
    <row r="1896" spans="11:14" x14ac:dyDescent="0.3">
      <c r="K1896" s="1">
        <v>38443</v>
      </c>
      <c r="M1896" t="e">
        <v>#N/A</v>
      </c>
      <c r="N1896" s="1">
        <v>37987</v>
      </c>
    </row>
    <row r="1897" spans="11:14" x14ac:dyDescent="0.3">
      <c r="K1897" s="1">
        <v>38443</v>
      </c>
      <c r="M1897" t="e">
        <v>#N/A</v>
      </c>
      <c r="N1897" s="1">
        <v>37987</v>
      </c>
    </row>
    <row r="1898" spans="11:14" x14ac:dyDescent="0.3">
      <c r="K1898" s="1">
        <v>38443</v>
      </c>
      <c r="M1898" t="e">
        <v>#N/A</v>
      </c>
      <c r="N1898" s="1">
        <v>37987</v>
      </c>
    </row>
    <row r="1899" spans="11:14" x14ac:dyDescent="0.3">
      <c r="K1899" s="1">
        <v>38443</v>
      </c>
      <c r="M1899" t="e">
        <v>#N/A</v>
      </c>
      <c r="N1899" s="1">
        <v>37987</v>
      </c>
    </row>
    <row r="1900" spans="11:14" x14ac:dyDescent="0.3">
      <c r="K1900" s="1">
        <v>38443</v>
      </c>
      <c r="M1900" t="e">
        <v>#N/A</v>
      </c>
      <c r="N1900" s="1">
        <v>37987</v>
      </c>
    </row>
    <row r="1901" spans="11:14" x14ac:dyDescent="0.3">
      <c r="K1901" s="1">
        <v>38443</v>
      </c>
      <c r="M1901" t="e">
        <v>#N/A</v>
      </c>
      <c r="N1901" s="1">
        <v>37987</v>
      </c>
    </row>
    <row r="1902" spans="11:14" x14ac:dyDescent="0.3">
      <c r="K1902" s="1">
        <v>38443</v>
      </c>
      <c r="M1902" t="e">
        <v>#N/A</v>
      </c>
      <c r="N1902" s="1">
        <v>37987</v>
      </c>
    </row>
    <row r="1903" spans="11:14" x14ac:dyDescent="0.3">
      <c r="K1903" s="1">
        <v>38443</v>
      </c>
      <c r="M1903" t="e">
        <v>#N/A</v>
      </c>
      <c r="N1903" s="1">
        <v>37987</v>
      </c>
    </row>
    <row r="1904" spans="11:14" x14ac:dyDescent="0.3">
      <c r="K1904" s="1">
        <v>38443</v>
      </c>
      <c r="M1904" t="e">
        <v>#N/A</v>
      </c>
      <c r="N1904" s="1">
        <v>37987</v>
      </c>
    </row>
    <row r="1905" spans="11:14" x14ac:dyDescent="0.3">
      <c r="K1905" s="1">
        <v>38443</v>
      </c>
      <c r="M1905" t="e">
        <v>#N/A</v>
      </c>
      <c r="N1905" s="1">
        <v>37987</v>
      </c>
    </row>
    <row r="1906" spans="11:14" x14ac:dyDescent="0.3">
      <c r="K1906" s="1">
        <v>38443</v>
      </c>
      <c r="M1906" t="e">
        <v>#N/A</v>
      </c>
      <c r="N1906" s="1">
        <v>37987</v>
      </c>
    </row>
    <row r="1907" spans="11:14" x14ac:dyDescent="0.3">
      <c r="K1907" s="1">
        <v>38443</v>
      </c>
      <c r="M1907" t="e">
        <v>#N/A</v>
      </c>
      <c r="N1907" s="1">
        <v>37987</v>
      </c>
    </row>
    <row r="1908" spans="11:14" x14ac:dyDescent="0.3">
      <c r="K1908" s="1">
        <v>38443</v>
      </c>
      <c r="M1908" t="e">
        <v>#N/A</v>
      </c>
      <c r="N1908" s="1">
        <v>37987</v>
      </c>
    </row>
    <row r="1909" spans="11:14" x14ac:dyDescent="0.3">
      <c r="K1909" s="1">
        <v>38443</v>
      </c>
      <c r="M1909" t="e">
        <v>#N/A</v>
      </c>
      <c r="N1909" s="1">
        <v>37987</v>
      </c>
    </row>
    <row r="1910" spans="11:14" x14ac:dyDescent="0.3">
      <c r="K1910" s="1">
        <v>38443</v>
      </c>
      <c r="M1910" t="e">
        <v>#N/A</v>
      </c>
      <c r="N1910" s="1">
        <v>37987</v>
      </c>
    </row>
    <row r="1911" spans="11:14" x14ac:dyDescent="0.3">
      <c r="K1911" s="1">
        <v>38443</v>
      </c>
      <c r="M1911" t="e">
        <v>#N/A</v>
      </c>
      <c r="N1911" s="1">
        <v>37987</v>
      </c>
    </row>
    <row r="1912" spans="11:14" x14ac:dyDescent="0.3">
      <c r="K1912" s="1">
        <v>38443</v>
      </c>
      <c r="M1912" t="e">
        <v>#N/A</v>
      </c>
      <c r="N1912" s="1">
        <v>37987</v>
      </c>
    </row>
    <row r="1913" spans="11:14" x14ac:dyDescent="0.3">
      <c r="K1913" s="1">
        <v>38443</v>
      </c>
      <c r="M1913" t="e">
        <v>#N/A</v>
      </c>
      <c r="N1913" s="1">
        <v>37987</v>
      </c>
    </row>
    <row r="1914" spans="11:14" x14ac:dyDescent="0.3">
      <c r="K1914" s="1">
        <v>38443</v>
      </c>
      <c r="M1914" t="e">
        <v>#N/A</v>
      </c>
      <c r="N1914" s="1">
        <v>37987</v>
      </c>
    </row>
    <row r="1915" spans="11:14" x14ac:dyDescent="0.3">
      <c r="K1915" s="1">
        <v>38443</v>
      </c>
      <c r="M1915" t="e">
        <v>#N/A</v>
      </c>
      <c r="N1915" s="1">
        <v>37987</v>
      </c>
    </row>
    <row r="1916" spans="11:14" x14ac:dyDescent="0.3">
      <c r="K1916" s="1">
        <v>38443</v>
      </c>
      <c r="M1916" t="e">
        <v>#N/A</v>
      </c>
      <c r="N1916" s="1">
        <v>37987</v>
      </c>
    </row>
    <row r="1917" spans="11:14" x14ac:dyDescent="0.3">
      <c r="K1917" s="1">
        <v>38443</v>
      </c>
      <c r="M1917" t="e">
        <v>#N/A</v>
      </c>
      <c r="N1917" s="1">
        <v>37987</v>
      </c>
    </row>
    <row r="1918" spans="11:14" x14ac:dyDescent="0.3">
      <c r="K1918" s="1">
        <v>38443</v>
      </c>
      <c r="M1918" t="e">
        <v>#N/A</v>
      </c>
      <c r="N1918" s="1">
        <v>37987</v>
      </c>
    </row>
    <row r="1919" spans="11:14" x14ac:dyDescent="0.3">
      <c r="K1919" s="1">
        <v>38443</v>
      </c>
      <c r="M1919" t="e">
        <v>#N/A</v>
      </c>
      <c r="N1919" s="1">
        <v>37987</v>
      </c>
    </row>
    <row r="1920" spans="11:14" x14ac:dyDescent="0.3">
      <c r="K1920" s="1">
        <v>38443</v>
      </c>
      <c r="M1920" t="e">
        <v>#N/A</v>
      </c>
      <c r="N1920" s="1">
        <v>37987</v>
      </c>
    </row>
    <row r="1921" spans="11:14" x14ac:dyDescent="0.3">
      <c r="K1921" s="1">
        <v>38443</v>
      </c>
      <c r="M1921" t="e">
        <v>#N/A</v>
      </c>
      <c r="N1921" s="1">
        <v>37987</v>
      </c>
    </row>
    <row r="1922" spans="11:14" x14ac:dyDescent="0.3">
      <c r="K1922" s="1">
        <v>38443</v>
      </c>
      <c r="M1922" t="e">
        <v>#N/A</v>
      </c>
      <c r="N1922" s="1">
        <v>37987</v>
      </c>
    </row>
    <row r="1923" spans="11:14" x14ac:dyDescent="0.3">
      <c r="K1923" s="1">
        <v>38443</v>
      </c>
      <c r="M1923" t="e">
        <v>#N/A</v>
      </c>
      <c r="N1923" s="1">
        <v>37987</v>
      </c>
    </row>
    <row r="1924" spans="11:14" x14ac:dyDescent="0.3">
      <c r="K1924" s="1">
        <v>38443</v>
      </c>
      <c r="M1924" t="e">
        <v>#N/A</v>
      </c>
      <c r="N1924" s="1">
        <v>37987</v>
      </c>
    </row>
    <row r="1925" spans="11:14" x14ac:dyDescent="0.3">
      <c r="K1925" s="1">
        <v>38443</v>
      </c>
      <c r="M1925" t="e">
        <v>#N/A</v>
      </c>
      <c r="N1925" s="1">
        <v>37987</v>
      </c>
    </row>
    <row r="1926" spans="11:14" x14ac:dyDescent="0.3">
      <c r="K1926" s="1">
        <v>38443</v>
      </c>
      <c r="M1926" t="e">
        <v>#N/A</v>
      </c>
      <c r="N1926" s="1">
        <v>37987</v>
      </c>
    </row>
    <row r="1927" spans="11:14" x14ac:dyDescent="0.3">
      <c r="K1927" s="1">
        <v>38443</v>
      </c>
      <c r="M1927" t="e">
        <v>#N/A</v>
      </c>
      <c r="N1927" s="1">
        <v>37987</v>
      </c>
    </row>
    <row r="1928" spans="11:14" x14ac:dyDescent="0.3">
      <c r="K1928" s="1">
        <v>38443</v>
      </c>
      <c r="M1928" t="e">
        <v>#N/A</v>
      </c>
      <c r="N1928" s="1">
        <v>37987</v>
      </c>
    </row>
    <row r="1929" spans="11:14" x14ac:dyDescent="0.3">
      <c r="K1929" s="1">
        <v>38443</v>
      </c>
      <c r="M1929" t="e">
        <v>#N/A</v>
      </c>
      <c r="N1929" s="1">
        <v>37987</v>
      </c>
    </row>
    <row r="1930" spans="11:14" x14ac:dyDescent="0.3">
      <c r="K1930" s="1">
        <v>38443</v>
      </c>
      <c r="M1930" t="e">
        <v>#N/A</v>
      </c>
      <c r="N1930" s="1">
        <v>37987</v>
      </c>
    </row>
    <row r="1931" spans="11:14" x14ac:dyDescent="0.3">
      <c r="K1931" s="1">
        <v>38443</v>
      </c>
      <c r="M1931" t="e">
        <v>#N/A</v>
      </c>
      <c r="N1931" s="1">
        <v>37987</v>
      </c>
    </row>
    <row r="1932" spans="11:14" x14ac:dyDescent="0.3">
      <c r="K1932" s="1">
        <v>38443</v>
      </c>
      <c r="M1932" t="e">
        <v>#N/A</v>
      </c>
      <c r="N1932" s="1">
        <v>37987</v>
      </c>
    </row>
    <row r="1933" spans="11:14" x14ac:dyDescent="0.3">
      <c r="K1933" s="1">
        <v>38443</v>
      </c>
      <c r="M1933" t="e">
        <v>#N/A</v>
      </c>
      <c r="N1933" s="1">
        <v>37987</v>
      </c>
    </row>
    <row r="1934" spans="11:14" x14ac:dyDescent="0.3">
      <c r="K1934" s="1">
        <v>38443</v>
      </c>
      <c r="M1934" t="e">
        <v>#N/A</v>
      </c>
      <c r="N1934" s="1">
        <v>37987</v>
      </c>
    </row>
    <row r="1935" spans="11:14" x14ac:dyDescent="0.3">
      <c r="K1935" s="1">
        <v>38443</v>
      </c>
      <c r="M1935" t="e">
        <v>#N/A</v>
      </c>
      <c r="N1935" s="1">
        <v>37987</v>
      </c>
    </row>
    <row r="1936" spans="11:14" x14ac:dyDescent="0.3">
      <c r="K1936" s="1">
        <v>38443</v>
      </c>
      <c r="M1936" t="e">
        <v>#N/A</v>
      </c>
      <c r="N1936" s="1">
        <v>37987</v>
      </c>
    </row>
    <row r="1937" spans="11:14" x14ac:dyDescent="0.3">
      <c r="K1937" s="1">
        <v>38443</v>
      </c>
      <c r="M1937" t="e">
        <v>#N/A</v>
      </c>
      <c r="N1937" s="1">
        <v>37987</v>
      </c>
    </row>
    <row r="1938" spans="11:14" x14ac:dyDescent="0.3">
      <c r="K1938" s="1">
        <v>38443</v>
      </c>
      <c r="M1938" t="e">
        <v>#N/A</v>
      </c>
      <c r="N1938" s="1">
        <v>37987</v>
      </c>
    </row>
    <row r="1939" spans="11:14" x14ac:dyDescent="0.3">
      <c r="K1939" s="1">
        <v>38443</v>
      </c>
      <c r="M1939" t="e">
        <v>#N/A</v>
      </c>
      <c r="N1939" s="1">
        <v>37987</v>
      </c>
    </row>
    <row r="1940" spans="11:14" x14ac:dyDescent="0.3">
      <c r="K1940" s="1">
        <v>38443</v>
      </c>
      <c r="M1940" t="e">
        <v>#N/A</v>
      </c>
      <c r="N1940" s="1">
        <v>37987</v>
      </c>
    </row>
    <row r="1941" spans="11:14" x14ac:dyDescent="0.3">
      <c r="K1941" s="1">
        <v>38443</v>
      </c>
      <c r="M1941" t="e">
        <v>#N/A</v>
      </c>
      <c r="N1941" s="1">
        <v>37987</v>
      </c>
    </row>
    <row r="1942" spans="11:14" x14ac:dyDescent="0.3">
      <c r="K1942" s="1">
        <v>38443</v>
      </c>
      <c r="M1942" t="e">
        <v>#N/A</v>
      </c>
      <c r="N1942" s="1">
        <v>37987</v>
      </c>
    </row>
    <row r="1943" spans="11:14" x14ac:dyDescent="0.3">
      <c r="K1943" s="1">
        <v>38443</v>
      </c>
      <c r="M1943" t="e">
        <v>#N/A</v>
      </c>
      <c r="N1943" s="1">
        <v>37987</v>
      </c>
    </row>
    <row r="1944" spans="11:14" x14ac:dyDescent="0.3">
      <c r="K1944" s="1">
        <v>38443</v>
      </c>
      <c r="M1944" t="e">
        <v>#N/A</v>
      </c>
      <c r="N1944" s="1">
        <v>37987</v>
      </c>
    </row>
    <row r="1945" spans="11:14" x14ac:dyDescent="0.3">
      <c r="K1945" s="1">
        <v>38443</v>
      </c>
      <c r="M1945" t="e">
        <v>#N/A</v>
      </c>
      <c r="N1945" s="1">
        <v>37987</v>
      </c>
    </row>
    <row r="1946" spans="11:14" x14ac:dyDescent="0.3">
      <c r="K1946" s="1">
        <v>38443</v>
      </c>
      <c r="M1946" t="e">
        <v>#N/A</v>
      </c>
      <c r="N1946" s="1">
        <v>37987</v>
      </c>
    </row>
    <row r="1947" spans="11:14" x14ac:dyDescent="0.3">
      <c r="K1947" s="1">
        <v>38443</v>
      </c>
      <c r="M1947" t="e">
        <v>#N/A</v>
      </c>
      <c r="N1947" s="1">
        <v>38078</v>
      </c>
    </row>
    <row r="1948" spans="11:14" x14ac:dyDescent="0.3">
      <c r="K1948" s="1">
        <v>38443</v>
      </c>
      <c r="M1948" t="e">
        <v>#N/A</v>
      </c>
      <c r="N1948" s="1">
        <v>38078</v>
      </c>
    </row>
    <row r="1949" spans="11:14" x14ac:dyDescent="0.3">
      <c r="K1949" s="1">
        <v>38443</v>
      </c>
      <c r="M1949" t="e">
        <v>#N/A</v>
      </c>
      <c r="N1949" s="1">
        <v>38078</v>
      </c>
    </row>
    <row r="1950" spans="11:14" x14ac:dyDescent="0.3">
      <c r="K1950" s="1">
        <v>38443</v>
      </c>
      <c r="M1950" t="e">
        <v>#N/A</v>
      </c>
      <c r="N1950" s="1">
        <v>38078</v>
      </c>
    </row>
    <row r="1951" spans="11:14" x14ac:dyDescent="0.3">
      <c r="K1951" s="1">
        <v>38443</v>
      </c>
      <c r="M1951" t="e">
        <v>#N/A</v>
      </c>
      <c r="N1951" s="1">
        <v>38078</v>
      </c>
    </row>
    <row r="1952" spans="11:14" x14ac:dyDescent="0.3">
      <c r="K1952" s="1">
        <v>38443</v>
      </c>
      <c r="M1952" t="e">
        <v>#N/A</v>
      </c>
      <c r="N1952" s="1">
        <v>38078</v>
      </c>
    </row>
    <row r="1953" spans="11:14" x14ac:dyDescent="0.3">
      <c r="K1953" s="1">
        <v>38443</v>
      </c>
      <c r="M1953" t="e">
        <v>#N/A</v>
      </c>
      <c r="N1953" s="1">
        <v>38078</v>
      </c>
    </row>
    <row r="1954" spans="11:14" x14ac:dyDescent="0.3">
      <c r="K1954" s="1">
        <v>38443</v>
      </c>
      <c r="M1954" t="e">
        <v>#N/A</v>
      </c>
      <c r="N1954" s="1">
        <v>38078</v>
      </c>
    </row>
    <row r="1955" spans="11:14" x14ac:dyDescent="0.3">
      <c r="K1955" s="1">
        <v>38443</v>
      </c>
      <c r="M1955" t="e">
        <v>#N/A</v>
      </c>
      <c r="N1955" s="1">
        <v>38078</v>
      </c>
    </row>
    <row r="1956" spans="11:14" x14ac:dyDescent="0.3">
      <c r="K1956" s="1">
        <v>38443</v>
      </c>
      <c r="M1956" t="e">
        <v>#N/A</v>
      </c>
      <c r="N1956" s="1">
        <v>38078</v>
      </c>
    </row>
    <row r="1957" spans="11:14" x14ac:dyDescent="0.3">
      <c r="K1957" s="1">
        <v>38443</v>
      </c>
      <c r="M1957" t="e">
        <v>#N/A</v>
      </c>
      <c r="N1957" s="1">
        <v>38078</v>
      </c>
    </row>
    <row r="1958" spans="11:14" x14ac:dyDescent="0.3">
      <c r="K1958" s="1">
        <v>38443</v>
      </c>
      <c r="M1958" t="e">
        <v>#N/A</v>
      </c>
      <c r="N1958" s="1">
        <v>38078</v>
      </c>
    </row>
    <row r="1959" spans="11:14" x14ac:dyDescent="0.3">
      <c r="K1959" s="1">
        <v>38443</v>
      </c>
      <c r="M1959" t="e">
        <v>#N/A</v>
      </c>
      <c r="N1959" s="1">
        <v>38078</v>
      </c>
    </row>
    <row r="1960" spans="11:14" x14ac:dyDescent="0.3">
      <c r="K1960" s="1">
        <v>38443</v>
      </c>
      <c r="M1960" t="e">
        <v>#N/A</v>
      </c>
      <c r="N1960" s="1">
        <v>38078</v>
      </c>
    </row>
    <row r="1961" spans="11:14" x14ac:dyDescent="0.3">
      <c r="K1961" s="1">
        <v>38443</v>
      </c>
      <c r="M1961" t="e">
        <v>#N/A</v>
      </c>
      <c r="N1961" s="1">
        <v>38078</v>
      </c>
    </row>
    <row r="1962" spans="11:14" x14ac:dyDescent="0.3">
      <c r="K1962" s="1">
        <v>38443</v>
      </c>
      <c r="M1962" t="e">
        <v>#N/A</v>
      </c>
      <c r="N1962" s="1">
        <v>38078</v>
      </c>
    </row>
    <row r="1963" spans="11:14" x14ac:dyDescent="0.3">
      <c r="K1963" s="1">
        <v>38443</v>
      </c>
      <c r="M1963" t="e">
        <v>#N/A</v>
      </c>
      <c r="N1963" s="1">
        <v>38078</v>
      </c>
    </row>
    <row r="1964" spans="11:14" x14ac:dyDescent="0.3">
      <c r="K1964" s="1">
        <v>38443</v>
      </c>
      <c r="M1964" t="e">
        <v>#N/A</v>
      </c>
      <c r="N1964" s="1">
        <v>38078</v>
      </c>
    </row>
    <row r="1965" spans="11:14" x14ac:dyDescent="0.3">
      <c r="K1965" s="1">
        <v>38443</v>
      </c>
      <c r="M1965" t="e">
        <v>#N/A</v>
      </c>
      <c r="N1965" s="1">
        <v>38078</v>
      </c>
    </row>
    <row r="1966" spans="11:14" x14ac:dyDescent="0.3">
      <c r="K1966" s="1">
        <v>38443</v>
      </c>
      <c r="M1966" t="e">
        <v>#N/A</v>
      </c>
      <c r="N1966" s="1">
        <v>38078</v>
      </c>
    </row>
    <row r="1967" spans="11:14" x14ac:dyDescent="0.3">
      <c r="K1967" s="1">
        <v>38443</v>
      </c>
      <c r="M1967" t="e">
        <v>#N/A</v>
      </c>
      <c r="N1967" s="1">
        <v>38078</v>
      </c>
    </row>
    <row r="1968" spans="11:14" x14ac:dyDescent="0.3">
      <c r="K1968" s="1">
        <v>38443</v>
      </c>
      <c r="M1968" t="e">
        <v>#N/A</v>
      </c>
      <c r="N1968" s="1">
        <v>38078</v>
      </c>
    </row>
    <row r="1969" spans="11:14" x14ac:dyDescent="0.3">
      <c r="K1969" s="1">
        <v>38443</v>
      </c>
      <c r="M1969" t="e">
        <v>#N/A</v>
      </c>
      <c r="N1969" s="1">
        <v>38078</v>
      </c>
    </row>
    <row r="1970" spans="11:14" x14ac:dyDescent="0.3">
      <c r="K1970" s="1">
        <v>38443</v>
      </c>
      <c r="M1970" t="e">
        <v>#N/A</v>
      </c>
      <c r="N1970" s="1">
        <v>38078</v>
      </c>
    </row>
    <row r="1971" spans="11:14" x14ac:dyDescent="0.3">
      <c r="K1971" s="1">
        <v>38443</v>
      </c>
      <c r="M1971" t="e">
        <v>#N/A</v>
      </c>
      <c r="N1971" s="1">
        <v>38078</v>
      </c>
    </row>
    <row r="1972" spans="11:14" x14ac:dyDescent="0.3">
      <c r="K1972" s="1">
        <v>38443</v>
      </c>
      <c r="M1972" t="e">
        <v>#N/A</v>
      </c>
      <c r="N1972" s="1">
        <v>38078</v>
      </c>
    </row>
    <row r="1973" spans="11:14" x14ac:dyDescent="0.3">
      <c r="K1973" s="1">
        <v>38443</v>
      </c>
      <c r="M1973" t="e">
        <v>#N/A</v>
      </c>
      <c r="N1973" s="1">
        <v>38078</v>
      </c>
    </row>
    <row r="1974" spans="11:14" x14ac:dyDescent="0.3">
      <c r="K1974" s="1">
        <v>38443</v>
      </c>
      <c r="M1974" t="e">
        <v>#N/A</v>
      </c>
      <c r="N1974" s="1">
        <v>38078</v>
      </c>
    </row>
    <row r="1975" spans="11:14" x14ac:dyDescent="0.3">
      <c r="K1975" s="1">
        <v>38443</v>
      </c>
      <c r="M1975" t="e">
        <v>#N/A</v>
      </c>
      <c r="N1975" s="1">
        <v>38078</v>
      </c>
    </row>
    <row r="1976" spans="11:14" x14ac:dyDescent="0.3">
      <c r="K1976" s="1">
        <v>38443</v>
      </c>
      <c r="M1976" t="e">
        <v>#N/A</v>
      </c>
      <c r="N1976" s="1">
        <v>38078</v>
      </c>
    </row>
    <row r="1977" spans="11:14" x14ac:dyDescent="0.3">
      <c r="K1977" s="1">
        <v>38443</v>
      </c>
      <c r="M1977" t="e">
        <v>#N/A</v>
      </c>
      <c r="N1977" s="1">
        <v>38078</v>
      </c>
    </row>
    <row r="1978" spans="11:14" x14ac:dyDescent="0.3">
      <c r="K1978" s="1">
        <v>38443</v>
      </c>
      <c r="M1978" t="e">
        <v>#N/A</v>
      </c>
      <c r="N1978" s="1">
        <v>38078</v>
      </c>
    </row>
    <row r="1979" spans="11:14" x14ac:dyDescent="0.3">
      <c r="K1979" s="1">
        <v>38443</v>
      </c>
      <c r="M1979" t="e">
        <v>#N/A</v>
      </c>
      <c r="N1979" s="1">
        <v>38078</v>
      </c>
    </row>
    <row r="1980" spans="11:14" x14ac:dyDescent="0.3">
      <c r="K1980" s="1">
        <v>38443</v>
      </c>
      <c r="M1980" t="e">
        <v>#N/A</v>
      </c>
      <c r="N1980" s="1">
        <v>38078</v>
      </c>
    </row>
    <row r="1981" spans="11:14" x14ac:dyDescent="0.3">
      <c r="K1981" s="1">
        <v>38443</v>
      </c>
      <c r="M1981" t="e">
        <v>#N/A</v>
      </c>
      <c r="N1981" s="1">
        <v>38078</v>
      </c>
    </row>
    <row r="1982" spans="11:14" x14ac:dyDescent="0.3">
      <c r="K1982" s="1">
        <v>38443</v>
      </c>
      <c r="M1982" t="e">
        <v>#N/A</v>
      </c>
      <c r="N1982" s="1">
        <v>38078</v>
      </c>
    </row>
    <row r="1983" spans="11:14" x14ac:dyDescent="0.3">
      <c r="K1983" s="1">
        <v>38443</v>
      </c>
      <c r="M1983" t="e">
        <v>#N/A</v>
      </c>
      <c r="N1983" s="1">
        <v>38078</v>
      </c>
    </row>
    <row r="1984" spans="11:14" x14ac:dyDescent="0.3">
      <c r="K1984" s="1">
        <v>38443</v>
      </c>
      <c r="M1984" t="e">
        <v>#N/A</v>
      </c>
      <c r="N1984" s="1">
        <v>38078</v>
      </c>
    </row>
    <row r="1985" spans="11:14" x14ac:dyDescent="0.3">
      <c r="K1985" s="1">
        <v>38443</v>
      </c>
      <c r="M1985" t="e">
        <v>#N/A</v>
      </c>
      <c r="N1985" s="1">
        <v>38078</v>
      </c>
    </row>
    <row r="1986" spans="11:14" x14ac:dyDescent="0.3">
      <c r="K1986" s="1">
        <v>38443</v>
      </c>
      <c r="M1986" t="e">
        <v>#N/A</v>
      </c>
      <c r="N1986" s="1">
        <v>38078</v>
      </c>
    </row>
    <row r="1987" spans="11:14" x14ac:dyDescent="0.3">
      <c r="K1987" s="1">
        <v>38443</v>
      </c>
      <c r="M1987" t="e">
        <v>#N/A</v>
      </c>
      <c r="N1987" s="1">
        <v>38078</v>
      </c>
    </row>
    <row r="1988" spans="11:14" x14ac:dyDescent="0.3">
      <c r="K1988" s="1">
        <v>38443</v>
      </c>
      <c r="M1988" t="e">
        <v>#N/A</v>
      </c>
      <c r="N1988" s="1">
        <v>38078</v>
      </c>
    </row>
    <row r="1989" spans="11:14" x14ac:dyDescent="0.3">
      <c r="K1989" s="1">
        <v>38443</v>
      </c>
      <c r="M1989" t="e">
        <v>#N/A</v>
      </c>
      <c r="N1989" s="1">
        <v>38078</v>
      </c>
    </row>
    <row r="1990" spans="11:14" x14ac:dyDescent="0.3">
      <c r="K1990" s="1">
        <v>38443</v>
      </c>
      <c r="M1990" t="e">
        <v>#N/A</v>
      </c>
      <c r="N1990" s="1">
        <v>38078</v>
      </c>
    </row>
    <row r="1991" spans="11:14" x14ac:dyDescent="0.3">
      <c r="K1991" s="1">
        <v>38443</v>
      </c>
      <c r="M1991" t="e">
        <v>#N/A</v>
      </c>
      <c r="N1991" s="1">
        <v>38078</v>
      </c>
    </row>
    <row r="1992" spans="11:14" x14ac:dyDescent="0.3">
      <c r="K1992" s="1">
        <v>38443</v>
      </c>
      <c r="M1992" t="e">
        <v>#N/A</v>
      </c>
      <c r="N1992" s="1">
        <v>38078</v>
      </c>
    </row>
    <row r="1993" spans="11:14" x14ac:dyDescent="0.3">
      <c r="K1993" s="1">
        <v>38443</v>
      </c>
      <c r="M1993" t="e">
        <v>#N/A</v>
      </c>
      <c r="N1993" s="1">
        <v>38078</v>
      </c>
    </row>
    <row r="1994" spans="11:14" x14ac:dyDescent="0.3">
      <c r="K1994" s="1">
        <v>38443</v>
      </c>
      <c r="M1994" t="e">
        <v>#N/A</v>
      </c>
      <c r="N1994" s="1">
        <v>38078</v>
      </c>
    </row>
    <row r="1995" spans="11:14" x14ac:dyDescent="0.3">
      <c r="K1995" s="1">
        <v>38443</v>
      </c>
      <c r="M1995" t="e">
        <v>#N/A</v>
      </c>
      <c r="N1995" s="1">
        <v>38078</v>
      </c>
    </row>
    <row r="1996" spans="11:14" x14ac:dyDescent="0.3">
      <c r="K1996" s="1">
        <v>38443</v>
      </c>
      <c r="M1996" t="e">
        <v>#N/A</v>
      </c>
      <c r="N1996" s="1">
        <v>38078</v>
      </c>
    </row>
    <row r="1997" spans="11:14" x14ac:dyDescent="0.3">
      <c r="K1997" s="1">
        <v>38443</v>
      </c>
      <c r="M1997" t="e">
        <v>#N/A</v>
      </c>
      <c r="N1997" s="1">
        <v>38078</v>
      </c>
    </row>
    <row r="1998" spans="11:14" x14ac:dyDescent="0.3">
      <c r="K1998" s="1">
        <v>38443</v>
      </c>
      <c r="M1998" t="e">
        <v>#N/A</v>
      </c>
      <c r="N1998" s="1">
        <v>38078</v>
      </c>
    </row>
    <row r="1999" spans="11:14" x14ac:dyDescent="0.3">
      <c r="K1999" s="1">
        <v>38443</v>
      </c>
      <c r="M1999" t="e">
        <v>#N/A</v>
      </c>
      <c r="N1999" s="1">
        <v>38078</v>
      </c>
    </row>
    <row r="2000" spans="11:14" x14ac:dyDescent="0.3">
      <c r="K2000" s="1">
        <v>38443</v>
      </c>
      <c r="M2000" t="e">
        <v>#N/A</v>
      </c>
      <c r="N2000" s="1">
        <v>38078</v>
      </c>
    </row>
    <row r="2001" spans="11:14" x14ac:dyDescent="0.3">
      <c r="K2001" s="1">
        <v>38443</v>
      </c>
      <c r="M2001" t="e">
        <v>#N/A</v>
      </c>
      <c r="N2001" s="1">
        <v>38078</v>
      </c>
    </row>
    <row r="2002" spans="11:14" x14ac:dyDescent="0.3">
      <c r="K2002" s="1">
        <v>38443</v>
      </c>
      <c r="M2002" t="e">
        <v>#N/A</v>
      </c>
      <c r="N2002" s="1">
        <v>38078</v>
      </c>
    </row>
    <row r="2003" spans="11:14" x14ac:dyDescent="0.3">
      <c r="K2003" s="1">
        <v>38443</v>
      </c>
      <c r="M2003" t="e">
        <v>#N/A</v>
      </c>
      <c r="N2003" s="1">
        <v>38078</v>
      </c>
    </row>
    <row r="2004" spans="11:14" x14ac:dyDescent="0.3">
      <c r="K2004" s="1">
        <v>38443</v>
      </c>
      <c r="M2004" t="e">
        <v>#N/A</v>
      </c>
      <c r="N2004" s="1">
        <v>38078</v>
      </c>
    </row>
    <row r="2005" spans="11:14" x14ac:dyDescent="0.3">
      <c r="K2005" s="1">
        <v>38443</v>
      </c>
      <c r="M2005" t="e">
        <v>#N/A</v>
      </c>
      <c r="N2005" s="1">
        <v>38078</v>
      </c>
    </row>
    <row r="2006" spans="11:14" x14ac:dyDescent="0.3">
      <c r="K2006" s="1">
        <v>38443</v>
      </c>
      <c r="M2006" t="e">
        <v>#N/A</v>
      </c>
      <c r="N2006" s="1">
        <v>38078</v>
      </c>
    </row>
    <row r="2007" spans="11:14" x14ac:dyDescent="0.3">
      <c r="K2007" s="1">
        <v>38443</v>
      </c>
      <c r="M2007" t="e">
        <v>#N/A</v>
      </c>
      <c r="N2007" s="1">
        <v>38078</v>
      </c>
    </row>
    <row r="2008" spans="11:14" x14ac:dyDescent="0.3">
      <c r="K2008" s="1">
        <v>38443</v>
      </c>
      <c r="M2008" t="e">
        <v>#N/A</v>
      </c>
      <c r="N2008" s="1">
        <v>38078</v>
      </c>
    </row>
    <row r="2009" spans="11:14" x14ac:dyDescent="0.3">
      <c r="K2009" s="1">
        <v>38443</v>
      </c>
      <c r="M2009" t="e">
        <v>#N/A</v>
      </c>
      <c r="N2009" s="1">
        <v>38078</v>
      </c>
    </row>
    <row r="2010" spans="11:14" x14ac:dyDescent="0.3">
      <c r="K2010" s="1">
        <v>38443</v>
      </c>
      <c r="M2010" t="e">
        <v>#N/A</v>
      </c>
      <c r="N2010" s="1">
        <v>38078</v>
      </c>
    </row>
    <row r="2011" spans="11:14" x14ac:dyDescent="0.3">
      <c r="K2011" s="1">
        <v>38443</v>
      </c>
      <c r="M2011" t="e">
        <v>#N/A</v>
      </c>
      <c r="N2011" s="1">
        <v>38078</v>
      </c>
    </row>
    <row r="2012" spans="11:14" x14ac:dyDescent="0.3">
      <c r="K2012" s="1">
        <v>38443</v>
      </c>
      <c r="M2012" t="e">
        <v>#N/A</v>
      </c>
      <c r="N2012" s="1">
        <v>38078</v>
      </c>
    </row>
    <row r="2013" spans="11:14" x14ac:dyDescent="0.3">
      <c r="K2013" s="1">
        <v>38443</v>
      </c>
      <c r="M2013" t="e">
        <v>#N/A</v>
      </c>
      <c r="N2013" s="1">
        <v>38078</v>
      </c>
    </row>
    <row r="2014" spans="11:14" x14ac:dyDescent="0.3">
      <c r="K2014" s="1">
        <v>38443</v>
      </c>
      <c r="M2014" t="e">
        <v>#N/A</v>
      </c>
      <c r="N2014" s="1">
        <v>38078</v>
      </c>
    </row>
    <row r="2015" spans="11:14" x14ac:dyDescent="0.3">
      <c r="K2015" s="1">
        <v>38443</v>
      </c>
      <c r="M2015" t="e">
        <v>#N/A</v>
      </c>
      <c r="N2015" s="1">
        <v>38078</v>
      </c>
    </row>
    <row r="2016" spans="11:14" x14ac:dyDescent="0.3">
      <c r="K2016" s="1">
        <v>38443</v>
      </c>
      <c r="M2016" t="e">
        <v>#N/A</v>
      </c>
      <c r="N2016" s="1">
        <v>38078</v>
      </c>
    </row>
    <row r="2017" spans="11:14" x14ac:dyDescent="0.3">
      <c r="K2017" s="1">
        <v>38443</v>
      </c>
      <c r="M2017" t="e">
        <v>#N/A</v>
      </c>
      <c r="N2017" s="1">
        <v>38078</v>
      </c>
    </row>
    <row r="2018" spans="11:14" x14ac:dyDescent="0.3">
      <c r="K2018" s="1">
        <v>38443</v>
      </c>
      <c r="M2018" t="e">
        <v>#N/A</v>
      </c>
      <c r="N2018" s="1">
        <v>38078</v>
      </c>
    </row>
    <row r="2019" spans="11:14" x14ac:dyDescent="0.3">
      <c r="K2019" s="1">
        <v>38443</v>
      </c>
      <c r="M2019" t="e">
        <v>#N/A</v>
      </c>
      <c r="N2019" s="1">
        <v>38078</v>
      </c>
    </row>
    <row r="2020" spans="11:14" x14ac:dyDescent="0.3">
      <c r="K2020" s="1">
        <v>38443</v>
      </c>
      <c r="M2020" t="e">
        <v>#N/A</v>
      </c>
      <c r="N2020" s="1">
        <v>38078</v>
      </c>
    </row>
    <row r="2021" spans="11:14" x14ac:dyDescent="0.3">
      <c r="K2021" s="1">
        <v>38443</v>
      </c>
      <c r="M2021" t="e">
        <v>#N/A</v>
      </c>
      <c r="N2021" s="1">
        <v>38078</v>
      </c>
    </row>
    <row r="2022" spans="11:14" x14ac:dyDescent="0.3">
      <c r="K2022" s="1">
        <v>38443</v>
      </c>
      <c r="M2022" t="e">
        <v>#N/A</v>
      </c>
      <c r="N2022" s="1">
        <v>38078</v>
      </c>
    </row>
    <row r="2023" spans="11:14" x14ac:dyDescent="0.3">
      <c r="K2023" s="1">
        <v>38443</v>
      </c>
      <c r="M2023" t="e">
        <v>#N/A</v>
      </c>
      <c r="N2023" s="1">
        <v>38078</v>
      </c>
    </row>
    <row r="2024" spans="11:14" x14ac:dyDescent="0.3">
      <c r="K2024" s="1">
        <v>38443</v>
      </c>
      <c r="M2024" t="e">
        <v>#N/A</v>
      </c>
      <c r="N2024" s="1">
        <v>38078</v>
      </c>
    </row>
    <row r="2025" spans="11:14" x14ac:dyDescent="0.3">
      <c r="K2025" s="1">
        <v>38443</v>
      </c>
      <c r="M2025" t="e">
        <v>#N/A</v>
      </c>
      <c r="N2025" s="1">
        <v>38078</v>
      </c>
    </row>
    <row r="2026" spans="11:14" x14ac:dyDescent="0.3">
      <c r="K2026" s="1">
        <v>38443</v>
      </c>
      <c r="M2026" t="e">
        <v>#N/A</v>
      </c>
      <c r="N2026" s="1">
        <v>38078</v>
      </c>
    </row>
    <row r="2027" spans="11:14" x14ac:dyDescent="0.3">
      <c r="K2027" s="1">
        <v>38443</v>
      </c>
      <c r="M2027" t="e">
        <v>#N/A</v>
      </c>
      <c r="N2027" s="1">
        <v>38078</v>
      </c>
    </row>
    <row r="2028" spans="11:14" x14ac:dyDescent="0.3">
      <c r="K2028" s="1">
        <v>38443</v>
      </c>
      <c r="M2028" t="e">
        <v>#N/A</v>
      </c>
      <c r="N2028" s="1">
        <v>38078</v>
      </c>
    </row>
    <row r="2029" spans="11:14" x14ac:dyDescent="0.3">
      <c r="K2029" s="1">
        <v>38443</v>
      </c>
      <c r="M2029" t="e">
        <v>#N/A</v>
      </c>
      <c r="N2029" s="1">
        <v>38078</v>
      </c>
    </row>
    <row r="2030" spans="11:14" x14ac:dyDescent="0.3">
      <c r="K2030" s="1">
        <v>38443</v>
      </c>
      <c r="M2030" t="e">
        <v>#N/A</v>
      </c>
      <c r="N2030" s="1">
        <v>38078</v>
      </c>
    </row>
    <row r="2031" spans="11:14" x14ac:dyDescent="0.3">
      <c r="K2031" s="1">
        <v>38443</v>
      </c>
      <c r="M2031" t="e">
        <v>#N/A</v>
      </c>
      <c r="N2031" s="1">
        <v>38078</v>
      </c>
    </row>
    <row r="2032" spans="11:14" x14ac:dyDescent="0.3">
      <c r="K2032" s="1">
        <v>38443</v>
      </c>
      <c r="M2032" t="e">
        <v>#N/A</v>
      </c>
      <c r="N2032" s="1">
        <v>38078</v>
      </c>
    </row>
    <row r="2033" spans="11:14" x14ac:dyDescent="0.3">
      <c r="K2033" s="1">
        <v>38443</v>
      </c>
      <c r="M2033" t="e">
        <v>#N/A</v>
      </c>
      <c r="N2033" s="1">
        <v>38078</v>
      </c>
    </row>
    <row r="2034" spans="11:14" x14ac:dyDescent="0.3">
      <c r="K2034" s="1">
        <v>38443</v>
      </c>
      <c r="M2034" t="e">
        <v>#N/A</v>
      </c>
      <c r="N2034" s="1">
        <v>38078</v>
      </c>
    </row>
    <row r="2035" spans="11:14" x14ac:dyDescent="0.3">
      <c r="K2035" s="1">
        <v>38443</v>
      </c>
      <c r="M2035" t="e">
        <v>#N/A</v>
      </c>
      <c r="N2035" s="1">
        <v>38078</v>
      </c>
    </row>
    <row r="2036" spans="11:14" x14ac:dyDescent="0.3">
      <c r="K2036" s="1">
        <v>38443</v>
      </c>
      <c r="M2036" t="e">
        <v>#N/A</v>
      </c>
      <c r="N2036" s="1">
        <v>38078</v>
      </c>
    </row>
    <row r="2037" spans="11:14" x14ac:dyDescent="0.3">
      <c r="K2037" s="1">
        <v>38443</v>
      </c>
      <c r="M2037" t="e">
        <v>#N/A</v>
      </c>
      <c r="N2037" s="1">
        <v>38078</v>
      </c>
    </row>
    <row r="2038" spans="11:14" x14ac:dyDescent="0.3">
      <c r="K2038" s="1">
        <v>38443</v>
      </c>
      <c r="M2038" t="e">
        <v>#N/A</v>
      </c>
      <c r="N2038" s="1">
        <v>38078</v>
      </c>
    </row>
    <row r="2039" spans="11:14" x14ac:dyDescent="0.3">
      <c r="K2039" s="1">
        <v>38443</v>
      </c>
      <c r="M2039" t="e">
        <v>#N/A</v>
      </c>
      <c r="N2039" s="1">
        <v>38078</v>
      </c>
    </row>
    <row r="2040" spans="11:14" x14ac:dyDescent="0.3">
      <c r="K2040" s="1">
        <v>38443</v>
      </c>
      <c r="M2040" t="e">
        <v>#N/A</v>
      </c>
      <c r="N2040" s="1">
        <v>38078</v>
      </c>
    </row>
    <row r="2041" spans="11:14" x14ac:dyDescent="0.3">
      <c r="K2041" s="1">
        <v>38443</v>
      </c>
      <c r="M2041" t="e">
        <v>#N/A</v>
      </c>
      <c r="N2041" s="1">
        <v>38078</v>
      </c>
    </row>
    <row r="2042" spans="11:14" x14ac:dyDescent="0.3">
      <c r="K2042" s="1">
        <v>38443</v>
      </c>
      <c r="M2042" t="e">
        <v>#N/A</v>
      </c>
      <c r="N2042" s="1">
        <v>38078</v>
      </c>
    </row>
    <row r="2043" spans="11:14" x14ac:dyDescent="0.3">
      <c r="K2043" s="1">
        <v>38443</v>
      </c>
      <c r="M2043" t="e">
        <v>#N/A</v>
      </c>
      <c r="N2043" s="1">
        <v>38078</v>
      </c>
    </row>
    <row r="2044" spans="11:14" x14ac:dyDescent="0.3">
      <c r="K2044" s="1">
        <v>38443</v>
      </c>
      <c r="M2044" t="e">
        <v>#N/A</v>
      </c>
      <c r="N2044" s="1">
        <v>38078</v>
      </c>
    </row>
    <row r="2045" spans="11:14" x14ac:dyDescent="0.3">
      <c r="K2045" s="1">
        <v>38443</v>
      </c>
      <c r="M2045" t="e">
        <v>#N/A</v>
      </c>
      <c r="N2045" s="1">
        <v>38078</v>
      </c>
    </row>
    <row r="2046" spans="11:14" x14ac:dyDescent="0.3">
      <c r="K2046" s="1">
        <v>38443</v>
      </c>
      <c r="M2046" t="e">
        <v>#N/A</v>
      </c>
      <c r="N2046" s="1">
        <v>38078</v>
      </c>
    </row>
    <row r="2047" spans="11:14" x14ac:dyDescent="0.3">
      <c r="K2047" s="1">
        <v>38443</v>
      </c>
      <c r="M2047" t="e">
        <v>#N/A</v>
      </c>
      <c r="N2047" s="1">
        <v>38078</v>
      </c>
    </row>
    <row r="2048" spans="11:14" x14ac:dyDescent="0.3">
      <c r="K2048" s="1">
        <v>38443</v>
      </c>
      <c r="M2048" t="e">
        <v>#N/A</v>
      </c>
      <c r="N2048" s="1">
        <v>38078</v>
      </c>
    </row>
    <row r="2049" spans="11:14" x14ac:dyDescent="0.3">
      <c r="K2049" s="1">
        <v>38443</v>
      </c>
      <c r="M2049" t="e">
        <v>#N/A</v>
      </c>
      <c r="N2049" s="1">
        <v>38078</v>
      </c>
    </row>
    <row r="2050" spans="11:14" x14ac:dyDescent="0.3">
      <c r="K2050" s="1">
        <v>38443</v>
      </c>
      <c r="M2050" t="e">
        <v>#N/A</v>
      </c>
      <c r="N2050" s="1">
        <v>38078</v>
      </c>
    </row>
    <row r="2051" spans="11:14" x14ac:dyDescent="0.3">
      <c r="K2051" s="1">
        <v>38443</v>
      </c>
      <c r="M2051" t="e">
        <v>#N/A</v>
      </c>
      <c r="N2051" s="1">
        <v>38078</v>
      </c>
    </row>
    <row r="2052" spans="11:14" x14ac:dyDescent="0.3">
      <c r="K2052" s="1">
        <v>38443</v>
      </c>
      <c r="M2052" t="e">
        <v>#N/A</v>
      </c>
      <c r="N2052" s="1">
        <v>38078</v>
      </c>
    </row>
    <row r="2053" spans="11:14" x14ac:dyDescent="0.3">
      <c r="K2053" s="1">
        <v>38443</v>
      </c>
      <c r="M2053" t="e">
        <v>#N/A</v>
      </c>
      <c r="N2053" s="1">
        <v>38078</v>
      </c>
    </row>
    <row r="2054" spans="11:14" x14ac:dyDescent="0.3">
      <c r="K2054" s="1">
        <v>38443</v>
      </c>
      <c r="M2054" t="e">
        <v>#N/A</v>
      </c>
      <c r="N2054" s="1">
        <v>38078</v>
      </c>
    </row>
    <row r="2055" spans="11:14" x14ac:dyDescent="0.3">
      <c r="K2055" s="1">
        <v>38443</v>
      </c>
      <c r="M2055" t="e">
        <v>#N/A</v>
      </c>
      <c r="N2055" s="1">
        <v>38078</v>
      </c>
    </row>
    <row r="2056" spans="11:14" x14ac:dyDescent="0.3">
      <c r="K2056" s="1">
        <v>38443</v>
      </c>
      <c r="M2056" t="e">
        <v>#N/A</v>
      </c>
      <c r="N2056" s="1">
        <v>38078</v>
      </c>
    </row>
    <row r="2057" spans="11:14" x14ac:dyDescent="0.3">
      <c r="K2057" s="1">
        <v>38443</v>
      </c>
      <c r="M2057" t="e">
        <v>#N/A</v>
      </c>
      <c r="N2057" s="1">
        <v>38078</v>
      </c>
    </row>
    <row r="2058" spans="11:14" x14ac:dyDescent="0.3">
      <c r="K2058" s="1">
        <v>38443</v>
      </c>
      <c r="M2058" t="e">
        <v>#N/A</v>
      </c>
      <c r="N2058" s="1">
        <v>38078</v>
      </c>
    </row>
    <row r="2059" spans="11:14" x14ac:dyDescent="0.3">
      <c r="K2059" s="1">
        <v>38443</v>
      </c>
      <c r="M2059" t="e">
        <v>#N/A</v>
      </c>
      <c r="N2059" s="1">
        <v>38078</v>
      </c>
    </row>
    <row r="2060" spans="11:14" x14ac:dyDescent="0.3">
      <c r="K2060" s="1">
        <v>38443</v>
      </c>
      <c r="M2060" t="e">
        <v>#N/A</v>
      </c>
      <c r="N2060" s="1">
        <v>38078</v>
      </c>
    </row>
    <row r="2061" spans="11:14" x14ac:dyDescent="0.3">
      <c r="K2061" s="1">
        <v>38443</v>
      </c>
      <c r="M2061" t="e">
        <v>#N/A</v>
      </c>
      <c r="N2061" s="1">
        <v>38078</v>
      </c>
    </row>
    <row r="2062" spans="11:14" x14ac:dyDescent="0.3">
      <c r="K2062" s="1">
        <v>38443</v>
      </c>
      <c r="M2062" t="e">
        <v>#N/A</v>
      </c>
      <c r="N2062" s="1">
        <v>38078</v>
      </c>
    </row>
    <row r="2063" spans="11:14" x14ac:dyDescent="0.3">
      <c r="K2063" s="1">
        <v>38443</v>
      </c>
      <c r="M2063" t="e">
        <v>#N/A</v>
      </c>
      <c r="N2063" s="1">
        <v>38078</v>
      </c>
    </row>
    <row r="2064" spans="11:14" x14ac:dyDescent="0.3">
      <c r="K2064" s="1">
        <v>38443</v>
      </c>
      <c r="M2064" t="e">
        <v>#N/A</v>
      </c>
      <c r="N2064" s="1">
        <v>38078</v>
      </c>
    </row>
    <row r="2065" spans="11:14" x14ac:dyDescent="0.3">
      <c r="K2065" s="1">
        <v>38443</v>
      </c>
      <c r="M2065" t="e">
        <v>#N/A</v>
      </c>
      <c r="N2065" s="1">
        <v>38078</v>
      </c>
    </row>
    <row r="2066" spans="11:14" x14ac:dyDescent="0.3">
      <c r="K2066" s="1">
        <v>38443</v>
      </c>
      <c r="M2066" t="e">
        <v>#N/A</v>
      </c>
      <c r="N2066" s="1">
        <v>38078</v>
      </c>
    </row>
    <row r="2067" spans="11:14" x14ac:dyDescent="0.3">
      <c r="K2067" s="1">
        <v>38443</v>
      </c>
      <c r="M2067" t="e">
        <v>#N/A</v>
      </c>
      <c r="N2067" s="1">
        <v>38078</v>
      </c>
    </row>
    <row r="2068" spans="11:14" x14ac:dyDescent="0.3">
      <c r="K2068" s="1">
        <v>38443</v>
      </c>
      <c r="M2068" t="e">
        <v>#N/A</v>
      </c>
      <c r="N2068" s="1">
        <v>38078</v>
      </c>
    </row>
    <row r="2069" spans="11:14" x14ac:dyDescent="0.3">
      <c r="K2069" s="1">
        <v>38443</v>
      </c>
      <c r="M2069" t="e">
        <v>#N/A</v>
      </c>
      <c r="N2069" s="1">
        <v>38078</v>
      </c>
    </row>
    <row r="2070" spans="11:14" x14ac:dyDescent="0.3">
      <c r="K2070" s="1">
        <v>38443</v>
      </c>
      <c r="M2070" t="e">
        <v>#N/A</v>
      </c>
      <c r="N2070" s="1">
        <v>38078</v>
      </c>
    </row>
    <row r="2071" spans="11:14" x14ac:dyDescent="0.3">
      <c r="K2071" s="1">
        <v>38443</v>
      </c>
      <c r="M2071" t="e">
        <v>#N/A</v>
      </c>
      <c r="N2071" s="1">
        <v>38078</v>
      </c>
    </row>
    <row r="2072" spans="11:14" x14ac:dyDescent="0.3">
      <c r="K2072" s="1">
        <v>38443</v>
      </c>
      <c r="M2072" t="e">
        <v>#N/A</v>
      </c>
      <c r="N2072" s="1">
        <v>38078</v>
      </c>
    </row>
    <row r="2073" spans="11:14" x14ac:dyDescent="0.3">
      <c r="K2073" s="1">
        <v>38443</v>
      </c>
      <c r="M2073" t="e">
        <v>#N/A</v>
      </c>
      <c r="N2073" s="1">
        <v>38078</v>
      </c>
    </row>
    <row r="2074" spans="11:14" x14ac:dyDescent="0.3">
      <c r="K2074" s="1">
        <v>38443</v>
      </c>
      <c r="M2074" t="e">
        <v>#N/A</v>
      </c>
      <c r="N2074" s="1">
        <v>38078</v>
      </c>
    </row>
    <row r="2075" spans="11:14" x14ac:dyDescent="0.3">
      <c r="K2075" s="1">
        <v>38443</v>
      </c>
      <c r="M2075" t="e">
        <v>#N/A</v>
      </c>
      <c r="N2075" s="1">
        <v>38078</v>
      </c>
    </row>
    <row r="2076" spans="11:14" x14ac:dyDescent="0.3">
      <c r="K2076" s="1">
        <v>38443</v>
      </c>
      <c r="M2076" t="e">
        <v>#N/A</v>
      </c>
      <c r="N2076" s="1">
        <v>38078</v>
      </c>
    </row>
    <row r="2077" spans="11:14" x14ac:dyDescent="0.3">
      <c r="K2077" s="1">
        <v>38443</v>
      </c>
      <c r="M2077" t="e">
        <v>#N/A</v>
      </c>
      <c r="N2077" s="1">
        <v>38078</v>
      </c>
    </row>
    <row r="2078" spans="11:14" x14ac:dyDescent="0.3">
      <c r="K2078" s="1">
        <v>38443</v>
      </c>
      <c r="M2078" t="e">
        <v>#N/A</v>
      </c>
      <c r="N2078" s="1">
        <v>38078</v>
      </c>
    </row>
    <row r="2079" spans="11:14" x14ac:dyDescent="0.3">
      <c r="K2079" s="1">
        <v>38443</v>
      </c>
      <c r="M2079" t="e">
        <v>#N/A</v>
      </c>
      <c r="N2079" s="1">
        <v>38078</v>
      </c>
    </row>
    <row r="2080" spans="11:14" x14ac:dyDescent="0.3">
      <c r="K2080" s="1">
        <v>38443</v>
      </c>
      <c r="M2080" t="e">
        <v>#N/A</v>
      </c>
      <c r="N2080" s="1">
        <v>38078</v>
      </c>
    </row>
    <row r="2081" spans="11:14" x14ac:dyDescent="0.3">
      <c r="K2081" s="1">
        <v>38443</v>
      </c>
      <c r="M2081" t="e">
        <v>#N/A</v>
      </c>
      <c r="N2081" s="1">
        <v>38078</v>
      </c>
    </row>
    <row r="2082" spans="11:14" x14ac:dyDescent="0.3">
      <c r="K2082" s="1">
        <v>38443</v>
      </c>
      <c r="M2082" t="e">
        <v>#N/A</v>
      </c>
      <c r="N2082" s="1">
        <v>38078</v>
      </c>
    </row>
    <row r="2083" spans="11:14" x14ac:dyDescent="0.3">
      <c r="K2083" s="1">
        <v>38443</v>
      </c>
      <c r="M2083" t="e">
        <v>#N/A</v>
      </c>
      <c r="N2083" s="1">
        <v>38078</v>
      </c>
    </row>
    <row r="2084" spans="11:14" x14ac:dyDescent="0.3">
      <c r="K2084" s="1">
        <v>38443</v>
      </c>
      <c r="M2084" t="e">
        <v>#N/A</v>
      </c>
      <c r="N2084" s="1">
        <v>38078</v>
      </c>
    </row>
    <row r="2085" spans="11:14" x14ac:dyDescent="0.3">
      <c r="K2085" s="1">
        <v>38443</v>
      </c>
      <c r="M2085" t="e">
        <v>#N/A</v>
      </c>
      <c r="N2085" s="1">
        <v>38078</v>
      </c>
    </row>
    <row r="2086" spans="11:14" x14ac:dyDescent="0.3">
      <c r="K2086" s="1">
        <v>38443</v>
      </c>
      <c r="M2086" t="e">
        <v>#N/A</v>
      </c>
      <c r="N2086" s="1">
        <v>38078</v>
      </c>
    </row>
    <row r="2087" spans="11:14" x14ac:dyDescent="0.3">
      <c r="K2087" s="1">
        <v>38443</v>
      </c>
      <c r="M2087" t="e">
        <v>#N/A</v>
      </c>
      <c r="N2087" s="1">
        <v>38078</v>
      </c>
    </row>
    <row r="2088" spans="11:14" x14ac:dyDescent="0.3">
      <c r="K2088" s="1">
        <v>38443</v>
      </c>
      <c r="M2088" t="e">
        <v>#N/A</v>
      </c>
      <c r="N2088" s="1">
        <v>38078</v>
      </c>
    </row>
    <row r="2089" spans="11:14" x14ac:dyDescent="0.3">
      <c r="K2089" s="1">
        <v>38443</v>
      </c>
      <c r="M2089" t="e">
        <v>#N/A</v>
      </c>
      <c r="N2089" s="1">
        <v>38078</v>
      </c>
    </row>
    <row r="2090" spans="11:14" x14ac:dyDescent="0.3">
      <c r="K2090" s="1">
        <v>38443</v>
      </c>
      <c r="M2090" t="e">
        <v>#N/A</v>
      </c>
      <c r="N2090" s="1">
        <v>38078</v>
      </c>
    </row>
    <row r="2091" spans="11:14" x14ac:dyDescent="0.3">
      <c r="K2091" s="1">
        <v>38443</v>
      </c>
      <c r="M2091" t="e">
        <v>#N/A</v>
      </c>
      <c r="N2091" s="1">
        <v>38078</v>
      </c>
    </row>
    <row r="2092" spans="11:14" x14ac:dyDescent="0.3">
      <c r="K2092" s="1">
        <v>38443</v>
      </c>
      <c r="M2092" t="e">
        <v>#N/A</v>
      </c>
      <c r="N2092" s="1">
        <v>38078</v>
      </c>
    </row>
    <row r="2093" spans="11:14" x14ac:dyDescent="0.3">
      <c r="K2093" s="1">
        <v>38443</v>
      </c>
      <c r="M2093" t="e">
        <v>#N/A</v>
      </c>
      <c r="N2093" s="1">
        <v>38078</v>
      </c>
    </row>
    <row r="2094" spans="11:14" x14ac:dyDescent="0.3">
      <c r="K2094" s="1">
        <v>38443</v>
      </c>
      <c r="M2094" t="e">
        <v>#N/A</v>
      </c>
      <c r="N2094" s="1">
        <v>38078</v>
      </c>
    </row>
    <row r="2095" spans="11:14" x14ac:dyDescent="0.3">
      <c r="K2095" s="1">
        <v>38443</v>
      </c>
      <c r="M2095" t="e">
        <v>#N/A</v>
      </c>
      <c r="N2095" s="1">
        <v>38078</v>
      </c>
    </row>
    <row r="2096" spans="11:14" x14ac:dyDescent="0.3">
      <c r="K2096" s="1">
        <v>38443</v>
      </c>
      <c r="M2096" t="e">
        <v>#N/A</v>
      </c>
      <c r="N2096" s="1">
        <v>38078</v>
      </c>
    </row>
    <row r="2097" spans="11:14" x14ac:dyDescent="0.3">
      <c r="K2097" s="1">
        <v>38443</v>
      </c>
      <c r="M2097" t="e">
        <v>#N/A</v>
      </c>
      <c r="N2097" s="1">
        <v>38078</v>
      </c>
    </row>
    <row r="2098" spans="11:14" x14ac:dyDescent="0.3">
      <c r="K2098" s="1">
        <v>38443</v>
      </c>
      <c r="M2098" t="e">
        <v>#N/A</v>
      </c>
      <c r="N2098" s="1">
        <v>38078</v>
      </c>
    </row>
    <row r="2099" spans="11:14" x14ac:dyDescent="0.3">
      <c r="K2099" s="1">
        <v>38443</v>
      </c>
      <c r="M2099" t="e">
        <v>#N/A</v>
      </c>
      <c r="N2099" s="1">
        <v>38078</v>
      </c>
    </row>
    <row r="2100" spans="11:14" x14ac:dyDescent="0.3">
      <c r="K2100" s="1">
        <v>38443</v>
      </c>
      <c r="M2100" t="e">
        <v>#N/A</v>
      </c>
      <c r="N2100" s="1">
        <v>38078</v>
      </c>
    </row>
    <row r="2101" spans="11:14" x14ac:dyDescent="0.3">
      <c r="K2101" s="1">
        <v>38443</v>
      </c>
      <c r="M2101" t="e">
        <v>#N/A</v>
      </c>
      <c r="N2101" s="1">
        <v>38078</v>
      </c>
    </row>
    <row r="2102" spans="11:14" x14ac:dyDescent="0.3">
      <c r="K2102" s="1">
        <v>38443</v>
      </c>
      <c r="M2102" t="e">
        <v>#N/A</v>
      </c>
      <c r="N2102" s="1">
        <v>38078</v>
      </c>
    </row>
    <row r="2103" spans="11:14" x14ac:dyDescent="0.3">
      <c r="K2103" s="1">
        <v>38443</v>
      </c>
      <c r="M2103" t="e">
        <v>#N/A</v>
      </c>
      <c r="N2103" s="1">
        <v>38078</v>
      </c>
    </row>
    <row r="2104" spans="11:14" x14ac:dyDescent="0.3">
      <c r="K2104" s="1">
        <v>38443</v>
      </c>
      <c r="M2104" t="e">
        <v>#N/A</v>
      </c>
      <c r="N2104" s="1">
        <v>38078</v>
      </c>
    </row>
    <row r="2105" spans="11:14" x14ac:dyDescent="0.3">
      <c r="K2105" s="1">
        <v>38443</v>
      </c>
      <c r="M2105" t="e">
        <v>#N/A</v>
      </c>
      <c r="N2105" s="1">
        <v>38078</v>
      </c>
    </row>
    <row r="2106" spans="11:14" x14ac:dyDescent="0.3">
      <c r="K2106" s="1">
        <v>38443</v>
      </c>
      <c r="M2106" t="e">
        <v>#N/A</v>
      </c>
      <c r="N2106" s="1">
        <v>38078</v>
      </c>
    </row>
    <row r="2107" spans="11:14" x14ac:dyDescent="0.3">
      <c r="K2107" s="1">
        <v>38443</v>
      </c>
      <c r="M2107" t="e">
        <v>#N/A</v>
      </c>
      <c r="N2107" s="1">
        <v>38078</v>
      </c>
    </row>
    <row r="2108" spans="11:14" x14ac:dyDescent="0.3">
      <c r="K2108" s="1">
        <v>38443</v>
      </c>
      <c r="M2108" t="e">
        <v>#N/A</v>
      </c>
      <c r="N2108" s="1">
        <v>38078</v>
      </c>
    </row>
    <row r="2109" spans="11:14" x14ac:dyDescent="0.3">
      <c r="K2109" s="1">
        <v>38443</v>
      </c>
      <c r="M2109" t="e">
        <v>#N/A</v>
      </c>
      <c r="N2109" s="1">
        <v>38078</v>
      </c>
    </row>
    <row r="2110" spans="11:14" x14ac:dyDescent="0.3">
      <c r="K2110" s="1">
        <v>38443</v>
      </c>
      <c r="M2110" t="e">
        <v>#N/A</v>
      </c>
      <c r="N2110" s="1">
        <v>38078</v>
      </c>
    </row>
    <row r="2111" spans="11:14" x14ac:dyDescent="0.3">
      <c r="K2111" s="1">
        <v>38443</v>
      </c>
      <c r="M2111" t="e">
        <v>#N/A</v>
      </c>
      <c r="N2111" s="1">
        <v>38078</v>
      </c>
    </row>
    <row r="2112" spans="11:14" x14ac:dyDescent="0.3">
      <c r="K2112" s="1">
        <v>38443</v>
      </c>
      <c r="M2112" t="e">
        <v>#N/A</v>
      </c>
      <c r="N2112" s="1">
        <v>38078</v>
      </c>
    </row>
    <row r="2113" spans="11:14" x14ac:dyDescent="0.3">
      <c r="K2113" s="1">
        <v>38443</v>
      </c>
      <c r="M2113" t="e">
        <v>#N/A</v>
      </c>
      <c r="N2113" s="1">
        <v>38078</v>
      </c>
    </row>
    <row r="2114" spans="11:14" x14ac:dyDescent="0.3">
      <c r="K2114" s="1">
        <v>38443</v>
      </c>
      <c r="M2114" t="e">
        <v>#N/A</v>
      </c>
      <c r="N2114" s="1">
        <v>38078</v>
      </c>
    </row>
    <row r="2115" spans="11:14" x14ac:dyDescent="0.3">
      <c r="K2115" s="1">
        <v>38443</v>
      </c>
      <c r="M2115" t="e">
        <v>#N/A</v>
      </c>
      <c r="N2115" s="1">
        <v>38078</v>
      </c>
    </row>
    <row r="2116" spans="11:14" x14ac:dyDescent="0.3">
      <c r="K2116" s="1">
        <v>38443</v>
      </c>
      <c r="M2116" t="e">
        <v>#N/A</v>
      </c>
      <c r="N2116" s="1">
        <v>38078</v>
      </c>
    </row>
    <row r="2117" spans="11:14" x14ac:dyDescent="0.3">
      <c r="K2117" s="1">
        <v>38443</v>
      </c>
      <c r="M2117" t="e">
        <v>#N/A</v>
      </c>
      <c r="N2117" s="1">
        <v>38078</v>
      </c>
    </row>
    <row r="2118" spans="11:14" x14ac:dyDescent="0.3">
      <c r="K2118" s="1">
        <v>38443</v>
      </c>
      <c r="M2118" t="e">
        <v>#N/A</v>
      </c>
      <c r="N2118" s="1">
        <v>38078</v>
      </c>
    </row>
    <row r="2119" spans="11:14" x14ac:dyDescent="0.3">
      <c r="K2119" s="1">
        <v>38443</v>
      </c>
      <c r="M2119" t="e">
        <v>#N/A</v>
      </c>
      <c r="N2119" s="1">
        <v>38078</v>
      </c>
    </row>
    <row r="2120" spans="11:14" x14ac:dyDescent="0.3">
      <c r="K2120" s="1">
        <v>38443</v>
      </c>
      <c r="M2120" t="e">
        <v>#N/A</v>
      </c>
      <c r="N2120" s="1">
        <v>38078</v>
      </c>
    </row>
    <row r="2121" spans="11:14" x14ac:dyDescent="0.3">
      <c r="K2121" s="1">
        <v>38443</v>
      </c>
      <c r="M2121" t="e">
        <v>#N/A</v>
      </c>
      <c r="N2121" s="1">
        <v>38078</v>
      </c>
    </row>
    <row r="2122" spans="11:14" x14ac:dyDescent="0.3">
      <c r="K2122" s="1">
        <v>38443</v>
      </c>
      <c r="M2122" t="e">
        <v>#N/A</v>
      </c>
      <c r="N2122" s="1">
        <v>38078</v>
      </c>
    </row>
    <row r="2123" spans="11:14" x14ac:dyDescent="0.3">
      <c r="K2123" s="1">
        <v>38443</v>
      </c>
      <c r="M2123" t="e">
        <v>#N/A</v>
      </c>
      <c r="N2123" s="1">
        <v>38078</v>
      </c>
    </row>
    <row r="2124" spans="11:14" x14ac:dyDescent="0.3">
      <c r="K2124" s="1">
        <v>38443</v>
      </c>
      <c r="M2124" t="e">
        <v>#N/A</v>
      </c>
      <c r="N2124" s="1">
        <v>38078</v>
      </c>
    </row>
    <row r="2125" spans="11:14" x14ac:dyDescent="0.3">
      <c r="K2125" s="1">
        <v>38443</v>
      </c>
      <c r="M2125" t="e">
        <v>#N/A</v>
      </c>
      <c r="N2125" s="1">
        <v>38078</v>
      </c>
    </row>
    <row r="2126" spans="11:14" x14ac:dyDescent="0.3">
      <c r="K2126" s="1">
        <v>38443</v>
      </c>
      <c r="M2126" t="e">
        <v>#N/A</v>
      </c>
      <c r="N2126" s="1">
        <v>38078</v>
      </c>
    </row>
    <row r="2127" spans="11:14" x14ac:dyDescent="0.3">
      <c r="K2127" s="1">
        <v>38443</v>
      </c>
      <c r="M2127" t="e">
        <v>#N/A</v>
      </c>
      <c r="N2127" s="1">
        <v>38078</v>
      </c>
    </row>
    <row r="2128" spans="11:14" x14ac:dyDescent="0.3">
      <c r="K2128" s="1">
        <v>38443</v>
      </c>
      <c r="M2128" t="e">
        <v>#N/A</v>
      </c>
      <c r="N2128" s="1">
        <v>38078</v>
      </c>
    </row>
    <row r="2129" spans="11:14" x14ac:dyDescent="0.3">
      <c r="K2129" s="1">
        <v>38443</v>
      </c>
      <c r="M2129" t="e">
        <v>#N/A</v>
      </c>
      <c r="N2129" s="1">
        <v>38078</v>
      </c>
    </row>
    <row r="2130" spans="11:14" x14ac:dyDescent="0.3">
      <c r="K2130" s="1">
        <v>38443</v>
      </c>
      <c r="M2130" t="e">
        <v>#N/A</v>
      </c>
      <c r="N2130" s="1">
        <v>38078</v>
      </c>
    </row>
    <row r="2131" spans="11:14" x14ac:dyDescent="0.3">
      <c r="K2131" s="1">
        <v>38443</v>
      </c>
      <c r="M2131" t="e">
        <v>#N/A</v>
      </c>
      <c r="N2131" s="1">
        <v>38078</v>
      </c>
    </row>
    <row r="2132" spans="11:14" x14ac:dyDescent="0.3">
      <c r="K2132" s="1">
        <v>38443</v>
      </c>
      <c r="M2132" t="e">
        <v>#N/A</v>
      </c>
      <c r="N2132" s="1">
        <v>38078</v>
      </c>
    </row>
    <row r="2133" spans="11:14" x14ac:dyDescent="0.3">
      <c r="K2133" s="1">
        <v>38443</v>
      </c>
      <c r="M2133" t="e">
        <v>#N/A</v>
      </c>
      <c r="N2133" s="1">
        <v>38078</v>
      </c>
    </row>
    <row r="2134" spans="11:14" x14ac:dyDescent="0.3">
      <c r="K2134" s="1">
        <v>38443</v>
      </c>
      <c r="M2134" t="e">
        <v>#N/A</v>
      </c>
      <c r="N2134" s="1">
        <v>38078</v>
      </c>
    </row>
    <row r="2135" spans="11:14" x14ac:dyDescent="0.3">
      <c r="K2135" s="1">
        <v>38443</v>
      </c>
      <c r="M2135" t="e">
        <v>#N/A</v>
      </c>
      <c r="N2135" s="1">
        <v>38078</v>
      </c>
    </row>
    <row r="2136" spans="11:14" x14ac:dyDescent="0.3">
      <c r="K2136" s="1">
        <v>38443</v>
      </c>
      <c r="M2136" t="e">
        <v>#N/A</v>
      </c>
      <c r="N2136" s="1">
        <v>38078</v>
      </c>
    </row>
    <row r="2137" spans="11:14" x14ac:dyDescent="0.3">
      <c r="K2137" s="1">
        <v>38443</v>
      </c>
      <c r="M2137" t="e">
        <v>#N/A</v>
      </c>
      <c r="N2137" s="1">
        <v>38078</v>
      </c>
    </row>
    <row r="2138" spans="11:14" x14ac:dyDescent="0.3">
      <c r="K2138" s="1">
        <v>38443</v>
      </c>
      <c r="M2138" t="e">
        <v>#N/A</v>
      </c>
      <c r="N2138" s="1">
        <v>38078</v>
      </c>
    </row>
    <row r="2139" spans="11:14" x14ac:dyDescent="0.3">
      <c r="K2139" s="1">
        <v>38443</v>
      </c>
      <c r="M2139" t="e">
        <v>#N/A</v>
      </c>
      <c r="N2139" s="1">
        <v>38078</v>
      </c>
    </row>
    <row r="2140" spans="11:14" x14ac:dyDescent="0.3">
      <c r="K2140" s="1">
        <v>38443</v>
      </c>
      <c r="M2140" t="e">
        <v>#N/A</v>
      </c>
      <c r="N2140" s="1">
        <v>38078</v>
      </c>
    </row>
    <row r="2141" spans="11:14" x14ac:dyDescent="0.3">
      <c r="K2141" s="1">
        <v>38443</v>
      </c>
      <c r="M2141" t="e">
        <v>#N/A</v>
      </c>
      <c r="N2141" s="1">
        <v>38078</v>
      </c>
    </row>
    <row r="2142" spans="11:14" x14ac:dyDescent="0.3">
      <c r="K2142" s="1">
        <v>38443</v>
      </c>
      <c r="M2142" t="e">
        <v>#N/A</v>
      </c>
      <c r="N2142" s="1">
        <v>38078</v>
      </c>
    </row>
    <row r="2143" spans="11:14" x14ac:dyDescent="0.3">
      <c r="K2143" s="1">
        <v>38443</v>
      </c>
      <c r="M2143" t="e">
        <v>#N/A</v>
      </c>
      <c r="N2143" s="1">
        <v>38078</v>
      </c>
    </row>
    <row r="2144" spans="11:14" x14ac:dyDescent="0.3">
      <c r="K2144" s="1">
        <v>38443</v>
      </c>
      <c r="M2144" t="e">
        <v>#N/A</v>
      </c>
      <c r="N2144" s="1">
        <v>38078</v>
      </c>
    </row>
    <row r="2145" spans="11:14" x14ac:dyDescent="0.3">
      <c r="K2145" s="1">
        <v>38443</v>
      </c>
      <c r="M2145" t="e">
        <v>#N/A</v>
      </c>
      <c r="N2145" s="1">
        <v>38078</v>
      </c>
    </row>
    <row r="2146" spans="11:14" x14ac:dyDescent="0.3">
      <c r="K2146" s="1">
        <v>38443</v>
      </c>
      <c r="M2146" t="e">
        <v>#N/A</v>
      </c>
      <c r="N2146" s="1">
        <v>38078</v>
      </c>
    </row>
    <row r="2147" spans="11:14" x14ac:dyDescent="0.3">
      <c r="K2147" s="1">
        <v>38443</v>
      </c>
      <c r="M2147" t="e">
        <v>#N/A</v>
      </c>
      <c r="N2147" s="1">
        <v>38078</v>
      </c>
    </row>
    <row r="2148" spans="11:14" x14ac:dyDescent="0.3">
      <c r="K2148" s="1">
        <v>38443</v>
      </c>
      <c r="M2148" t="e">
        <v>#N/A</v>
      </c>
      <c r="N2148" s="1">
        <v>38078</v>
      </c>
    </row>
    <row r="2149" spans="11:14" x14ac:dyDescent="0.3">
      <c r="K2149" s="1">
        <v>38443</v>
      </c>
      <c r="M2149" t="e">
        <v>#N/A</v>
      </c>
      <c r="N2149" s="1">
        <v>38078</v>
      </c>
    </row>
    <row r="2150" spans="11:14" x14ac:dyDescent="0.3">
      <c r="K2150" s="1">
        <v>38443</v>
      </c>
      <c r="M2150" t="e">
        <v>#N/A</v>
      </c>
      <c r="N2150" s="1">
        <v>38078</v>
      </c>
    </row>
    <row r="2151" spans="11:14" x14ac:dyDescent="0.3">
      <c r="K2151" s="1">
        <v>38443</v>
      </c>
      <c r="M2151" t="e">
        <v>#N/A</v>
      </c>
      <c r="N2151" s="1">
        <v>38078</v>
      </c>
    </row>
    <row r="2152" spans="11:14" x14ac:dyDescent="0.3">
      <c r="K2152" s="1">
        <v>38443</v>
      </c>
      <c r="M2152" t="e">
        <v>#N/A</v>
      </c>
      <c r="N2152" s="1">
        <v>38078</v>
      </c>
    </row>
    <row r="2153" spans="11:14" x14ac:dyDescent="0.3">
      <c r="K2153" s="1">
        <v>38443</v>
      </c>
      <c r="M2153" t="e">
        <v>#N/A</v>
      </c>
      <c r="N2153" s="1">
        <v>38078</v>
      </c>
    </row>
    <row r="2154" spans="11:14" x14ac:dyDescent="0.3">
      <c r="K2154" s="1">
        <v>38443</v>
      </c>
      <c r="M2154" t="e">
        <v>#N/A</v>
      </c>
      <c r="N2154" s="1">
        <v>38078</v>
      </c>
    </row>
    <row r="2155" spans="11:14" x14ac:dyDescent="0.3">
      <c r="K2155" s="1">
        <v>38443</v>
      </c>
      <c r="M2155" t="e">
        <v>#N/A</v>
      </c>
      <c r="N2155" s="1">
        <v>38078</v>
      </c>
    </row>
    <row r="2156" spans="11:14" x14ac:dyDescent="0.3">
      <c r="K2156" s="1">
        <v>38443</v>
      </c>
      <c r="M2156" t="e">
        <v>#N/A</v>
      </c>
      <c r="N2156" s="1">
        <v>38078</v>
      </c>
    </row>
    <row r="2157" spans="11:14" x14ac:dyDescent="0.3">
      <c r="K2157" s="1">
        <v>38443</v>
      </c>
      <c r="M2157" t="e">
        <v>#N/A</v>
      </c>
      <c r="N2157" s="1">
        <v>38078</v>
      </c>
    </row>
    <row r="2158" spans="11:14" x14ac:dyDescent="0.3">
      <c r="K2158" s="1">
        <v>38443</v>
      </c>
      <c r="M2158" t="e">
        <v>#N/A</v>
      </c>
      <c r="N2158" s="1">
        <v>38078</v>
      </c>
    </row>
    <row r="2159" spans="11:14" x14ac:dyDescent="0.3">
      <c r="K2159" s="1">
        <v>38443</v>
      </c>
      <c r="M2159" t="e">
        <v>#N/A</v>
      </c>
      <c r="N2159" s="1">
        <v>38078</v>
      </c>
    </row>
    <row r="2160" spans="11:14" x14ac:dyDescent="0.3">
      <c r="K2160" s="1">
        <v>38443</v>
      </c>
      <c r="M2160" t="e">
        <v>#N/A</v>
      </c>
      <c r="N2160" s="1">
        <v>38078</v>
      </c>
    </row>
    <row r="2161" spans="11:14" x14ac:dyDescent="0.3">
      <c r="K2161" s="1">
        <v>38443</v>
      </c>
      <c r="M2161" t="e">
        <v>#N/A</v>
      </c>
      <c r="N2161" s="1">
        <v>38078</v>
      </c>
    </row>
    <row r="2162" spans="11:14" x14ac:dyDescent="0.3">
      <c r="K2162" s="1">
        <v>38443</v>
      </c>
      <c r="M2162" t="e">
        <v>#N/A</v>
      </c>
      <c r="N2162" s="1">
        <v>38078</v>
      </c>
    </row>
    <row r="2163" spans="11:14" x14ac:dyDescent="0.3">
      <c r="K2163" s="1">
        <v>38443</v>
      </c>
      <c r="M2163" t="e">
        <v>#N/A</v>
      </c>
      <c r="N2163" s="1">
        <v>38078</v>
      </c>
    </row>
    <row r="2164" spans="11:14" x14ac:dyDescent="0.3">
      <c r="K2164" s="1">
        <v>38443</v>
      </c>
      <c r="M2164" t="e">
        <v>#N/A</v>
      </c>
      <c r="N2164" s="1">
        <v>38078</v>
      </c>
    </row>
    <row r="2165" spans="11:14" x14ac:dyDescent="0.3">
      <c r="K2165" s="1">
        <v>38534</v>
      </c>
      <c r="M2165" t="e">
        <v>#N/A</v>
      </c>
      <c r="N2165" s="1">
        <v>38078</v>
      </c>
    </row>
    <row r="2166" spans="11:14" x14ac:dyDescent="0.3">
      <c r="K2166" s="1">
        <v>38534</v>
      </c>
      <c r="M2166" t="e">
        <v>#N/A</v>
      </c>
      <c r="N2166" s="1">
        <v>38078</v>
      </c>
    </row>
    <row r="2167" spans="11:14" x14ac:dyDescent="0.3">
      <c r="K2167" s="1">
        <v>38534</v>
      </c>
      <c r="M2167" t="e">
        <v>#N/A</v>
      </c>
      <c r="N2167" s="1">
        <v>38078</v>
      </c>
    </row>
    <row r="2168" spans="11:14" x14ac:dyDescent="0.3">
      <c r="K2168" s="1">
        <v>38534</v>
      </c>
      <c r="M2168" t="e">
        <v>#N/A</v>
      </c>
      <c r="N2168" s="1">
        <v>38078</v>
      </c>
    </row>
    <row r="2169" spans="11:14" x14ac:dyDescent="0.3">
      <c r="K2169" s="1">
        <v>38534</v>
      </c>
      <c r="M2169" t="e">
        <v>#N/A</v>
      </c>
      <c r="N2169" s="1">
        <v>38078</v>
      </c>
    </row>
    <row r="2170" spans="11:14" x14ac:dyDescent="0.3">
      <c r="K2170" s="1">
        <v>38534</v>
      </c>
      <c r="M2170" t="e">
        <v>#N/A</v>
      </c>
      <c r="N2170" s="1">
        <v>38078</v>
      </c>
    </row>
    <row r="2171" spans="11:14" x14ac:dyDescent="0.3">
      <c r="K2171" s="1">
        <v>38534</v>
      </c>
      <c r="M2171" t="e">
        <v>#N/A</v>
      </c>
      <c r="N2171" s="1">
        <v>38078</v>
      </c>
    </row>
    <row r="2172" spans="11:14" x14ac:dyDescent="0.3">
      <c r="K2172" s="1">
        <v>38534</v>
      </c>
      <c r="M2172" t="e">
        <v>#N/A</v>
      </c>
      <c r="N2172" s="1">
        <v>38078</v>
      </c>
    </row>
    <row r="2173" spans="11:14" x14ac:dyDescent="0.3">
      <c r="K2173" s="1">
        <v>38534</v>
      </c>
      <c r="M2173" t="e">
        <v>#N/A</v>
      </c>
      <c r="N2173" s="1">
        <v>38078</v>
      </c>
    </row>
    <row r="2174" spans="11:14" x14ac:dyDescent="0.3">
      <c r="K2174" s="1">
        <v>38534</v>
      </c>
      <c r="M2174" t="e">
        <v>#N/A</v>
      </c>
      <c r="N2174" s="1">
        <v>38078</v>
      </c>
    </row>
    <row r="2175" spans="11:14" x14ac:dyDescent="0.3">
      <c r="K2175" s="1">
        <v>38534</v>
      </c>
      <c r="M2175" t="e">
        <v>#N/A</v>
      </c>
      <c r="N2175" s="1">
        <v>38078</v>
      </c>
    </row>
    <row r="2176" spans="11:14" x14ac:dyDescent="0.3">
      <c r="K2176" s="1">
        <v>38534</v>
      </c>
      <c r="M2176" t="e">
        <v>#N/A</v>
      </c>
      <c r="N2176" s="1">
        <v>38078</v>
      </c>
    </row>
    <row r="2177" spans="11:14" x14ac:dyDescent="0.3">
      <c r="K2177" s="1">
        <v>38534</v>
      </c>
      <c r="M2177" t="e">
        <v>#N/A</v>
      </c>
      <c r="N2177" s="1">
        <v>38078</v>
      </c>
    </row>
    <row r="2178" spans="11:14" x14ac:dyDescent="0.3">
      <c r="K2178" s="1">
        <v>38534</v>
      </c>
      <c r="M2178" t="e">
        <v>#N/A</v>
      </c>
      <c r="N2178" s="1">
        <v>38078</v>
      </c>
    </row>
    <row r="2179" spans="11:14" x14ac:dyDescent="0.3">
      <c r="K2179" s="1">
        <v>38534</v>
      </c>
      <c r="M2179" t="e">
        <v>#N/A</v>
      </c>
      <c r="N2179" s="1">
        <v>38078</v>
      </c>
    </row>
    <row r="2180" spans="11:14" x14ac:dyDescent="0.3">
      <c r="K2180" s="1">
        <v>38534</v>
      </c>
      <c r="M2180" t="e">
        <v>#N/A</v>
      </c>
      <c r="N2180" s="1">
        <v>38078</v>
      </c>
    </row>
    <row r="2181" spans="11:14" x14ac:dyDescent="0.3">
      <c r="K2181" s="1">
        <v>38534</v>
      </c>
      <c r="M2181" t="e">
        <v>#N/A</v>
      </c>
      <c r="N2181" s="1">
        <v>38078</v>
      </c>
    </row>
    <row r="2182" spans="11:14" x14ac:dyDescent="0.3">
      <c r="K2182" s="1">
        <v>38534</v>
      </c>
      <c r="M2182" t="e">
        <v>#N/A</v>
      </c>
      <c r="N2182" s="1">
        <v>38078</v>
      </c>
    </row>
    <row r="2183" spans="11:14" x14ac:dyDescent="0.3">
      <c r="K2183" s="1">
        <v>38534</v>
      </c>
      <c r="M2183" t="e">
        <v>#N/A</v>
      </c>
      <c r="N2183" s="1">
        <v>38078</v>
      </c>
    </row>
    <row r="2184" spans="11:14" x14ac:dyDescent="0.3">
      <c r="K2184" s="1">
        <v>38534</v>
      </c>
      <c r="M2184" t="e">
        <v>#N/A</v>
      </c>
      <c r="N2184" s="1">
        <v>38078</v>
      </c>
    </row>
    <row r="2185" spans="11:14" x14ac:dyDescent="0.3">
      <c r="K2185" s="1">
        <v>38534</v>
      </c>
      <c r="M2185" t="e">
        <v>#N/A</v>
      </c>
      <c r="N2185" s="1">
        <v>38078</v>
      </c>
    </row>
    <row r="2186" spans="11:14" x14ac:dyDescent="0.3">
      <c r="K2186" s="1">
        <v>38534</v>
      </c>
      <c r="M2186" t="e">
        <v>#N/A</v>
      </c>
      <c r="N2186" s="1">
        <v>38078</v>
      </c>
    </row>
    <row r="2187" spans="11:14" x14ac:dyDescent="0.3">
      <c r="K2187" s="1">
        <v>38534</v>
      </c>
      <c r="M2187" t="e">
        <v>#N/A</v>
      </c>
      <c r="N2187" s="1">
        <v>38078</v>
      </c>
    </row>
    <row r="2188" spans="11:14" x14ac:dyDescent="0.3">
      <c r="K2188" s="1">
        <v>38534</v>
      </c>
      <c r="M2188" t="e">
        <v>#N/A</v>
      </c>
      <c r="N2188" s="1">
        <v>38078</v>
      </c>
    </row>
    <row r="2189" spans="11:14" x14ac:dyDescent="0.3">
      <c r="K2189" s="1">
        <v>38534</v>
      </c>
      <c r="M2189" t="e">
        <v>#N/A</v>
      </c>
      <c r="N2189" s="1">
        <v>38078</v>
      </c>
    </row>
    <row r="2190" spans="11:14" x14ac:dyDescent="0.3">
      <c r="K2190" s="1">
        <v>38534</v>
      </c>
      <c r="M2190" t="e">
        <v>#N/A</v>
      </c>
      <c r="N2190" s="1">
        <v>38078</v>
      </c>
    </row>
    <row r="2191" spans="11:14" x14ac:dyDescent="0.3">
      <c r="K2191" s="1">
        <v>38534</v>
      </c>
      <c r="M2191" t="e">
        <v>#N/A</v>
      </c>
      <c r="N2191" s="1">
        <v>38078</v>
      </c>
    </row>
    <row r="2192" spans="11:14" x14ac:dyDescent="0.3">
      <c r="K2192" s="1">
        <v>38534</v>
      </c>
      <c r="M2192" t="e">
        <v>#N/A</v>
      </c>
      <c r="N2192" s="1">
        <v>38078</v>
      </c>
    </row>
    <row r="2193" spans="11:14" x14ac:dyDescent="0.3">
      <c r="K2193" s="1">
        <v>38534</v>
      </c>
      <c r="M2193" t="e">
        <v>#N/A</v>
      </c>
      <c r="N2193" s="1">
        <v>38078</v>
      </c>
    </row>
    <row r="2194" spans="11:14" x14ac:dyDescent="0.3">
      <c r="K2194" s="1">
        <v>38534</v>
      </c>
      <c r="M2194" t="e">
        <v>#N/A</v>
      </c>
      <c r="N2194" s="1">
        <v>38078</v>
      </c>
    </row>
    <row r="2195" spans="11:14" x14ac:dyDescent="0.3">
      <c r="K2195" s="1">
        <v>38534</v>
      </c>
      <c r="M2195" t="e">
        <v>#N/A</v>
      </c>
      <c r="N2195" s="1">
        <v>38078</v>
      </c>
    </row>
    <row r="2196" spans="11:14" x14ac:dyDescent="0.3">
      <c r="K2196" s="1">
        <v>38534</v>
      </c>
      <c r="M2196" t="e">
        <v>#N/A</v>
      </c>
      <c r="N2196" s="1">
        <v>38078</v>
      </c>
    </row>
    <row r="2197" spans="11:14" x14ac:dyDescent="0.3">
      <c r="K2197" s="1">
        <v>38534</v>
      </c>
      <c r="M2197" t="e">
        <v>#N/A</v>
      </c>
      <c r="N2197" s="1">
        <v>38078</v>
      </c>
    </row>
    <row r="2198" spans="11:14" x14ac:dyDescent="0.3">
      <c r="K2198" s="1">
        <v>38534</v>
      </c>
      <c r="M2198" t="e">
        <v>#N/A</v>
      </c>
      <c r="N2198" s="1">
        <v>38078</v>
      </c>
    </row>
    <row r="2199" spans="11:14" x14ac:dyDescent="0.3">
      <c r="K2199" s="1">
        <v>38534</v>
      </c>
      <c r="M2199" t="e">
        <v>#N/A</v>
      </c>
      <c r="N2199" s="1">
        <v>38078</v>
      </c>
    </row>
    <row r="2200" spans="11:14" x14ac:dyDescent="0.3">
      <c r="K2200" s="1">
        <v>38534</v>
      </c>
      <c r="M2200" t="e">
        <v>#N/A</v>
      </c>
      <c r="N2200" s="1">
        <v>38078</v>
      </c>
    </row>
    <row r="2201" spans="11:14" x14ac:dyDescent="0.3">
      <c r="K2201" s="1">
        <v>38534</v>
      </c>
      <c r="M2201" t="e">
        <v>#N/A</v>
      </c>
      <c r="N2201" s="1">
        <v>38078</v>
      </c>
    </row>
    <row r="2202" spans="11:14" x14ac:dyDescent="0.3">
      <c r="K2202" s="1">
        <v>38534</v>
      </c>
      <c r="M2202" t="e">
        <v>#N/A</v>
      </c>
      <c r="N2202" s="1">
        <v>38078</v>
      </c>
    </row>
    <row r="2203" spans="11:14" x14ac:dyDescent="0.3">
      <c r="K2203" s="1">
        <v>38534</v>
      </c>
      <c r="M2203" t="e">
        <v>#N/A</v>
      </c>
      <c r="N2203" s="1">
        <v>38078</v>
      </c>
    </row>
    <row r="2204" spans="11:14" x14ac:dyDescent="0.3">
      <c r="K2204" s="1">
        <v>38534</v>
      </c>
      <c r="M2204" t="e">
        <v>#N/A</v>
      </c>
      <c r="N2204" s="1">
        <v>38078</v>
      </c>
    </row>
    <row r="2205" spans="11:14" x14ac:dyDescent="0.3">
      <c r="K2205" s="1">
        <v>38534</v>
      </c>
      <c r="M2205" t="e">
        <v>#N/A</v>
      </c>
      <c r="N2205" s="1">
        <v>38078</v>
      </c>
    </row>
    <row r="2206" spans="11:14" x14ac:dyDescent="0.3">
      <c r="K2206" s="1">
        <v>38534</v>
      </c>
      <c r="M2206" t="e">
        <v>#N/A</v>
      </c>
      <c r="N2206" s="1">
        <v>38078</v>
      </c>
    </row>
    <row r="2207" spans="11:14" x14ac:dyDescent="0.3">
      <c r="K2207" s="1">
        <v>38534</v>
      </c>
      <c r="M2207" t="e">
        <v>#N/A</v>
      </c>
      <c r="N2207" s="1">
        <v>38078</v>
      </c>
    </row>
    <row r="2208" spans="11:14" x14ac:dyDescent="0.3">
      <c r="K2208" s="1">
        <v>38534</v>
      </c>
      <c r="M2208" t="e">
        <v>#N/A</v>
      </c>
      <c r="N2208" s="1">
        <v>38078</v>
      </c>
    </row>
    <row r="2209" spans="11:14" x14ac:dyDescent="0.3">
      <c r="K2209" s="1">
        <v>38534</v>
      </c>
      <c r="M2209" t="e">
        <v>#N/A</v>
      </c>
      <c r="N2209" s="1">
        <v>38078</v>
      </c>
    </row>
    <row r="2210" spans="11:14" x14ac:dyDescent="0.3">
      <c r="K2210" s="1">
        <v>38534</v>
      </c>
      <c r="M2210" t="e">
        <v>#N/A</v>
      </c>
      <c r="N2210" s="1">
        <v>38078</v>
      </c>
    </row>
    <row r="2211" spans="11:14" x14ac:dyDescent="0.3">
      <c r="K2211" s="1">
        <v>38534</v>
      </c>
      <c r="M2211" t="e">
        <v>#N/A</v>
      </c>
      <c r="N2211" s="1">
        <v>38078</v>
      </c>
    </row>
    <row r="2212" spans="11:14" x14ac:dyDescent="0.3">
      <c r="K2212" s="1">
        <v>38534</v>
      </c>
      <c r="M2212" t="e">
        <v>#N/A</v>
      </c>
      <c r="N2212" s="1">
        <v>38078</v>
      </c>
    </row>
    <row r="2213" spans="11:14" x14ac:dyDescent="0.3">
      <c r="K2213" s="1">
        <v>38534</v>
      </c>
      <c r="M2213" t="e">
        <v>#N/A</v>
      </c>
      <c r="N2213" s="1">
        <v>38078</v>
      </c>
    </row>
    <row r="2214" spans="11:14" x14ac:dyDescent="0.3">
      <c r="K2214" s="1">
        <v>38534</v>
      </c>
      <c r="M2214" t="e">
        <v>#N/A</v>
      </c>
      <c r="N2214" s="1">
        <v>38078</v>
      </c>
    </row>
    <row r="2215" spans="11:14" x14ac:dyDescent="0.3">
      <c r="K2215" s="1">
        <v>38534</v>
      </c>
      <c r="M2215" t="e">
        <v>#N/A</v>
      </c>
      <c r="N2215" s="1">
        <v>38078</v>
      </c>
    </row>
    <row r="2216" spans="11:14" x14ac:dyDescent="0.3">
      <c r="K2216" s="1">
        <v>38534</v>
      </c>
      <c r="M2216" t="e">
        <v>#N/A</v>
      </c>
      <c r="N2216" s="1">
        <v>38078</v>
      </c>
    </row>
    <row r="2217" spans="11:14" x14ac:dyDescent="0.3">
      <c r="K2217" s="1">
        <v>38534</v>
      </c>
      <c r="M2217" t="e">
        <v>#N/A</v>
      </c>
      <c r="N2217" s="1">
        <v>38078</v>
      </c>
    </row>
    <row r="2218" spans="11:14" x14ac:dyDescent="0.3">
      <c r="K2218" s="1">
        <v>38534</v>
      </c>
      <c r="M2218" t="e">
        <v>#N/A</v>
      </c>
      <c r="N2218" s="1">
        <v>38078</v>
      </c>
    </row>
    <row r="2219" spans="11:14" x14ac:dyDescent="0.3">
      <c r="K2219" s="1">
        <v>38534</v>
      </c>
      <c r="M2219" t="e">
        <v>#N/A</v>
      </c>
      <c r="N2219" s="1">
        <v>38078</v>
      </c>
    </row>
    <row r="2220" spans="11:14" x14ac:dyDescent="0.3">
      <c r="K2220" s="1">
        <v>38534</v>
      </c>
      <c r="M2220" t="e">
        <v>#N/A</v>
      </c>
      <c r="N2220" s="1">
        <v>38078</v>
      </c>
    </row>
    <row r="2221" spans="11:14" x14ac:dyDescent="0.3">
      <c r="K2221" s="1">
        <v>38534</v>
      </c>
      <c r="M2221" t="e">
        <v>#N/A</v>
      </c>
      <c r="N2221" s="1">
        <v>38078</v>
      </c>
    </row>
    <row r="2222" spans="11:14" x14ac:dyDescent="0.3">
      <c r="K2222" s="1">
        <v>38534</v>
      </c>
      <c r="M2222" t="e">
        <v>#N/A</v>
      </c>
      <c r="N2222" s="1">
        <v>38078</v>
      </c>
    </row>
    <row r="2223" spans="11:14" x14ac:dyDescent="0.3">
      <c r="K2223" s="1">
        <v>38534</v>
      </c>
      <c r="M2223" t="e">
        <v>#N/A</v>
      </c>
      <c r="N2223" s="1">
        <v>38078</v>
      </c>
    </row>
    <row r="2224" spans="11:14" x14ac:dyDescent="0.3">
      <c r="K2224" s="1">
        <v>38534</v>
      </c>
      <c r="M2224" t="e">
        <v>#N/A</v>
      </c>
      <c r="N2224" s="1">
        <v>38078</v>
      </c>
    </row>
    <row r="2225" spans="11:14" x14ac:dyDescent="0.3">
      <c r="K2225" s="1">
        <v>38534</v>
      </c>
      <c r="M2225" t="e">
        <v>#N/A</v>
      </c>
      <c r="N2225" s="1">
        <v>38078</v>
      </c>
    </row>
    <row r="2226" spans="11:14" x14ac:dyDescent="0.3">
      <c r="K2226" s="1">
        <v>38534</v>
      </c>
      <c r="M2226" t="e">
        <v>#N/A</v>
      </c>
      <c r="N2226" s="1">
        <v>38078</v>
      </c>
    </row>
    <row r="2227" spans="11:14" x14ac:dyDescent="0.3">
      <c r="K2227" s="1">
        <v>38534</v>
      </c>
      <c r="M2227" t="e">
        <v>#N/A</v>
      </c>
      <c r="N2227" s="1">
        <v>38078</v>
      </c>
    </row>
    <row r="2228" spans="11:14" x14ac:dyDescent="0.3">
      <c r="K2228" s="1">
        <v>38534</v>
      </c>
      <c r="M2228" t="e">
        <v>#N/A</v>
      </c>
      <c r="N2228" s="1">
        <v>38078</v>
      </c>
    </row>
    <row r="2229" spans="11:14" x14ac:dyDescent="0.3">
      <c r="K2229" s="1">
        <v>38534</v>
      </c>
      <c r="M2229" t="e">
        <v>#N/A</v>
      </c>
      <c r="N2229" s="1">
        <v>38078</v>
      </c>
    </row>
    <row r="2230" spans="11:14" x14ac:dyDescent="0.3">
      <c r="K2230" s="1">
        <v>38534</v>
      </c>
      <c r="M2230" t="e">
        <v>#N/A</v>
      </c>
      <c r="N2230" s="1">
        <v>38078</v>
      </c>
    </row>
    <row r="2231" spans="11:14" x14ac:dyDescent="0.3">
      <c r="K2231" s="1">
        <v>38534</v>
      </c>
      <c r="M2231" t="e">
        <v>#N/A</v>
      </c>
      <c r="N2231" s="1">
        <v>38078</v>
      </c>
    </row>
    <row r="2232" spans="11:14" x14ac:dyDescent="0.3">
      <c r="K2232" s="1">
        <v>38534</v>
      </c>
      <c r="M2232" t="e">
        <v>#N/A</v>
      </c>
      <c r="N2232" s="1">
        <v>38078</v>
      </c>
    </row>
    <row r="2233" spans="11:14" x14ac:dyDescent="0.3">
      <c r="K2233" s="1">
        <v>38534</v>
      </c>
      <c r="M2233" t="e">
        <v>#N/A</v>
      </c>
      <c r="N2233" s="1">
        <v>38078</v>
      </c>
    </row>
    <row r="2234" spans="11:14" x14ac:dyDescent="0.3">
      <c r="K2234" s="1">
        <v>38534</v>
      </c>
      <c r="M2234" t="e">
        <v>#N/A</v>
      </c>
      <c r="N2234" s="1">
        <v>38078</v>
      </c>
    </row>
    <row r="2235" spans="11:14" x14ac:dyDescent="0.3">
      <c r="K2235" s="1">
        <v>38534</v>
      </c>
      <c r="M2235" t="e">
        <v>#N/A</v>
      </c>
      <c r="N2235" s="1">
        <v>38078</v>
      </c>
    </row>
    <row r="2236" spans="11:14" x14ac:dyDescent="0.3">
      <c r="K2236" s="1">
        <v>38534</v>
      </c>
      <c r="M2236" t="e">
        <v>#N/A</v>
      </c>
      <c r="N2236" s="1">
        <v>38078</v>
      </c>
    </row>
    <row r="2237" spans="11:14" x14ac:dyDescent="0.3">
      <c r="K2237" s="1">
        <v>38534</v>
      </c>
      <c r="M2237" t="e">
        <v>#N/A</v>
      </c>
      <c r="N2237" s="1">
        <v>38078</v>
      </c>
    </row>
    <row r="2238" spans="11:14" x14ac:dyDescent="0.3">
      <c r="K2238" s="1">
        <v>38534</v>
      </c>
      <c r="M2238" t="e">
        <v>#N/A</v>
      </c>
      <c r="N2238" s="1">
        <v>38078</v>
      </c>
    </row>
    <row r="2239" spans="11:14" x14ac:dyDescent="0.3">
      <c r="K2239" s="1">
        <v>38534</v>
      </c>
      <c r="M2239" t="e">
        <v>#N/A</v>
      </c>
      <c r="N2239" s="1">
        <v>38078</v>
      </c>
    </row>
    <row r="2240" spans="11:14" x14ac:dyDescent="0.3">
      <c r="K2240" s="1">
        <v>38534</v>
      </c>
      <c r="M2240" t="e">
        <v>#N/A</v>
      </c>
      <c r="N2240" s="1">
        <v>38078</v>
      </c>
    </row>
    <row r="2241" spans="11:14" x14ac:dyDescent="0.3">
      <c r="K2241" s="1">
        <v>38534</v>
      </c>
      <c r="M2241" t="e">
        <v>#N/A</v>
      </c>
      <c r="N2241" s="1">
        <v>38078</v>
      </c>
    </row>
    <row r="2242" spans="11:14" x14ac:dyDescent="0.3">
      <c r="K2242" s="1">
        <v>38534</v>
      </c>
      <c r="M2242" t="e">
        <v>#N/A</v>
      </c>
      <c r="N2242" s="1">
        <v>38078</v>
      </c>
    </row>
    <row r="2243" spans="11:14" x14ac:dyDescent="0.3">
      <c r="K2243" s="1">
        <v>38534</v>
      </c>
      <c r="M2243" t="e">
        <v>#N/A</v>
      </c>
      <c r="N2243" s="1">
        <v>38078</v>
      </c>
    </row>
    <row r="2244" spans="11:14" x14ac:dyDescent="0.3">
      <c r="K2244" s="1">
        <v>38534</v>
      </c>
      <c r="M2244" t="e">
        <v>#N/A</v>
      </c>
      <c r="N2244" s="1">
        <v>38169</v>
      </c>
    </row>
    <row r="2245" spans="11:14" x14ac:dyDescent="0.3">
      <c r="K2245" s="1">
        <v>38534</v>
      </c>
      <c r="M2245" t="e">
        <v>#N/A</v>
      </c>
      <c r="N2245" s="1">
        <v>38169</v>
      </c>
    </row>
    <row r="2246" spans="11:14" x14ac:dyDescent="0.3">
      <c r="K2246" s="1">
        <v>38534</v>
      </c>
      <c r="M2246" t="e">
        <v>#N/A</v>
      </c>
      <c r="N2246" s="1">
        <v>38169</v>
      </c>
    </row>
    <row r="2247" spans="11:14" x14ac:dyDescent="0.3">
      <c r="K2247" s="1">
        <v>38534</v>
      </c>
      <c r="M2247" t="e">
        <v>#N/A</v>
      </c>
      <c r="N2247" s="1">
        <v>38169</v>
      </c>
    </row>
    <row r="2248" spans="11:14" x14ac:dyDescent="0.3">
      <c r="K2248" s="1">
        <v>38534</v>
      </c>
      <c r="M2248" t="e">
        <v>#N/A</v>
      </c>
      <c r="N2248" s="1">
        <v>38169</v>
      </c>
    </row>
    <row r="2249" spans="11:14" x14ac:dyDescent="0.3">
      <c r="K2249" s="1">
        <v>38534</v>
      </c>
      <c r="M2249" t="e">
        <v>#N/A</v>
      </c>
      <c r="N2249" s="1">
        <v>38169</v>
      </c>
    </row>
    <row r="2250" spans="11:14" x14ac:dyDescent="0.3">
      <c r="K2250" s="1">
        <v>38534</v>
      </c>
      <c r="M2250" t="e">
        <v>#N/A</v>
      </c>
      <c r="N2250" s="1">
        <v>38169</v>
      </c>
    </row>
    <row r="2251" spans="11:14" x14ac:dyDescent="0.3">
      <c r="K2251" s="1">
        <v>38534</v>
      </c>
      <c r="M2251" t="e">
        <v>#N/A</v>
      </c>
      <c r="N2251" s="1">
        <v>38169</v>
      </c>
    </row>
    <row r="2252" spans="11:14" x14ac:dyDescent="0.3">
      <c r="K2252" s="1">
        <v>38534</v>
      </c>
      <c r="M2252" t="e">
        <v>#N/A</v>
      </c>
      <c r="N2252" s="1">
        <v>38169</v>
      </c>
    </row>
    <row r="2253" spans="11:14" x14ac:dyDescent="0.3">
      <c r="K2253" s="1">
        <v>38534</v>
      </c>
      <c r="M2253" t="e">
        <v>#N/A</v>
      </c>
      <c r="N2253" s="1">
        <v>38169</v>
      </c>
    </row>
    <row r="2254" spans="11:14" x14ac:dyDescent="0.3">
      <c r="K2254" s="1">
        <v>38534</v>
      </c>
      <c r="M2254" t="e">
        <v>#N/A</v>
      </c>
      <c r="N2254" s="1">
        <v>38169</v>
      </c>
    </row>
    <row r="2255" spans="11:14" x14ac:dyDescent="0.3">
      <c r="K2255" s="1">
        <v>38534</v>
      </c>
      <c r="M2255" t="e">
        <v>#N/A</v>
      </c>
      <c r="N2255" s="1">
        <v>38169</v>
      </c>
    </row>
    <row r="2256" spans="11:14" x14ac:dyDescent="0.3">
      <c r="K2256" s="1">
        <v>38534</v>
      </c>
      <c r="M2256" t="e">
        <v>#N/A</v>
      </c>
      <c r="N2256" s="1">
        <v>38169</v>
      </c>
    </row>
    <row r="2257" spans="11:14" x14ac:dyDescent="0.3">
      <c r="K2257" s="1">
        <v>38534</v>
      </c>
      <c r="M2257" t="e">
        <v>#N/A</v>
      </c>
      <c r="N2257" s="1">
        <v>38169</v>
      </c>
    </row>
    <row r="2258" spans="11:14" x14ac:dyDescent="0.3">
      <c r="K2258" s="1">
        <v>38534</v>
      </c>
      <c r="M2258" t="e">
        <v>#N/A</v>
      </c>
      <c r="N2258" s="1">
        <v>38169</v>
      </c>
    </row>
    <row r="2259" spans="11:14" x14ac:dyDescent="0.3">
      <c r="K2259" s="1">
        <v>38534</v>
      </c>
      <c r="M2259" t="e">
        <v>#N/A</v>
      </c>
      <c r="N2259" s="1">
        <v>38169</v>
      </c>
    </row>
    <row r="2260" spans="11:14" x14ac:dyDescent="0.3">
      <c r="K2260" s="1">
        <v>38534</v>
      </c>
      <c r="M2260" t="e">
        <v>#N/A</v>
      </c>
      <c r="N2260" s="1">
        <v>38169</v>
      </c>
    </row>
    <row r="2261" spans="11:14" x14ac:dyDescent="0.3">
      <c r="K2261" s="1">
        <v>38534</v>
      </c>
      <c r="M2261" t="e">
        <v>#N/A</v>
      </c>
      <c r="N2261" s="1">
        <v>38169</v>
      </c>
    </row>
    <row r="2262" spans="11:14" x14ac:dyDescent="0.3">
      <c r="K2262" s="1">
        <v>38534</v>
      </c>
      <c r="M2262" t="e">
        <v>#N/A</v>
      </c>
      <c r="N2262" s="1">
        <v>38169</v>
      </c>
    </row>
    <row r="2263" spans="11:14" x14ac:dyDescent="0.3">
      <c r="K2263" s="1">
        <v>38534</v>
      </c>
      <c r="M2263" t="e">
        <v>#N/A</v>
      </c>
      <c r="N2263" s="1">
        <v>38169</v>
      </c>
    </row>
    <row r="2264" spans="11:14" x14ac:dyDescent="0.3">
      <c r="K2264" s="1">
        <v>38534</v>
      </c>
      <c r="M2264" t="e">
        <v>#N/A</v>
      </c>
      <c r="N2264" s="1">
        <v>38169</v>
      </c>
    </row>
    <row r="2265" spans="11:14" x14ac:dyDescent="0.3">
      <c r="K2265" s="1">
        <v>38534</v>
      </c>
      <c r="M2265" t="e">
        <v>#N/A</v>
      </c>
      <c r="N2265" s="1">
        <v>38169</v>
      </c>
    </row>
    <row r="2266" spans="11:14" x14ac:dyDescent="0.3">
      <c r="K2266" s="1">
        <v>38534</v>
      </c>
      <c r="M2266" t="e">
        <v>#N/A</v>
      </c>
      <c r="N2266" s="1">
        <v>38169</v>
      </c>
    </row>
    <row r="2267" spans="11:14" x14ac:dyDescent="0.3">
      <c r="K2267" s="1">
        <v>38534</v>
      </c>
      <c r="M2267" t="e">
        <v>#N/A</v>
      </c>
      <c r="N2267" s="1">
        <v>38169</v>
      </c>
    </row>
    <row r="2268" spans="11:14" x14ac:dyDescent="0.3">
      <c r="K2268" s="1">
        <v>38534</v>
      </c>
      <c r="M2268" t="e">
        <v>#N/A</v>
      </c>
      <c r="N2268" s="1">
        <v>38169</v>
      </c>
    </row>
    <row r="2269" spans="11:14" x14ac:dyDescent="0.3">
      <c r="K2269" s="1">
        <v>38534</v>
      </c>
      <c r="M2269" t="e">
        <v>#N/A</v>
      </c>
      <c r="N2269" s="1">
        <v>38169</v>
      </c>
    </row>
    <row r="2270" spans="11:14" x14ac:dyDescent="0.3">
      <c r="K2270" s="1">
        <v>38534</v>
      </c>
      <c r="M2270" t="e">
        <v>#N/A</v>
      </c>
      <c r="N2270" s="1">
        <v>38169</v>
      </c>
    </row>
    <row r="2271" spans="11:14" x14ac:dyDescent="0.3">
      <c r="K2271" s="1">
        <v>38534</v>
      </c>
      <c r="M2271" t="e">
        <v>#N/A</v>
      </c>
      <c r="N2271" s="1">
        <v>38169</v>
      </c>
    </row>
    <row r="2272" spans="11:14" x14ac:dyDescent="0.3">
      <c r="K2272" s="1">
        <v>38534</v>
      </c>
      <c r="M2272" t="e">
        <v>#N/A</v>
      </c>
      <c r="N2272" s="1">
        <v>38169</v>
      </c>
    </row>
    <row r="2273" spans="11:14" x14ac:dyDescent="0.3">
      <c r="K2273" s="1">
        <v>38534</v>
      </c>
      <c r="M2273" t="e">
        <v>#N/A</v>
      </c>
      <c r="N2273" s="1">
        <v>38169</v>
      </c>
    </row>
    <row r="2274" spans="11:14" x14ac:dyDescent="0.3">
      <c r="K2274" s="1">
        <v>38534</v>
      </c>
      <c r="M2274" t="e">
        <v>#N/A</v>
      </c>
      <c r="N2274" s="1">
        <v>38169</v>
      </c>
    </row>
    <row r="2275" spans="11:14" x14ac:dyDescent="0.3">
      <c r="K2275" s="1">
        <v>38534</v>
      </c>
      <c r="M2275" t="e">
        <v>#N/A</v>
      </c>
      <c r="N2275" s="1">
        <v>38169</v>
      </c>
    </row>
    <row r="2276" spans="11:14" x14ac:dyDescent="0.3">
      <c r="K2276" s="1">
        <v>38534</v>
      </c>
      <c r="M2276" t="e">
        <v>#N/A</v>
      </c>
      <c r="N2276" s="1">
        <v>38169</v>
      </c>
    </row>
    <row r="2277" spans="11:14" x14ac:dyDescent="0.3">
      <c r="K2277" s="1">
        <v>38534</v>
      </c>
      <c r="M2277" t="e">
        <v>#N/A</v>
      </c>
      <c r="N2277" s="1">
        <v>38169</v>
      </c>
    </row>
    <row r="2278" spans="11:14" x14ac:dyDescent="0.3">
      <c r="K2278" s="1">
        <v>38534</v>
      </c>
      <c r="M2278" t="e">
        <v>#N/A</v>
      </c>
      <c r="N2278" s="1">
        <v>38169</v>
      </c>
    </row>
    <row r="2279" spans="11:14" x14ac:dyDescent="0.3">
      <c r="K2279" s="1">
        <v>38534</v>
      </c>
      <c r="M2279" t="e">
        <v>#N/A</v>
      </c>
      <c r="N2279" s="1">
        <v>38169</v>
      </c>
    </row>
    <row r="2280" spans="11:14" x14ac:dyDescent="0.3">
      <c r="K2280" s="1">
        <v>38534</v>
      </c>
      <c r="M2280" t="e">
        <v>#N/A</v>
      </c>
      <c r="N2280" s="1">
        <v>38169</v>
      </c>
    </row>
    <row r="2281" spans="11:14" x14ac:dyDescent="0.3">
      <c r="K2281" s="1">
        <v>38534</v>
      </c>
      <c r="M2281" t="e">
        <v>#N/A</v>
      </c>
      <c r="N2281" s="1">
        <v>38169</v>
      </c>
    </row>
    <row r="2282" spans="11:14" x14ac:dyDescent="0.3">
      <c r="K2282" s="1">
        <v>38534</v>
      </c>
      <c r="M2282" t="e">
        <v>#N/A</v>
      </c>
      <c r="N2282" s="1">
        <v>38169</v>
      </c>
    </row>
    <row r="2283" spans="11:14" x14ac:dyDescent="0.3">
      <c r="K2283" s="1">
        <v>38534</v>
      </c>
      <c r="M2283" t="e">
        <v>#N/A</v>
      </c>
      <c r="N2283" s="1">
        <v>38169</v>
      </c>
    </row>
    <row r="2284" spans="11:14" x14ac:dyDescent="0.3">
      <c r="K2284" s="1">
        <v>38534</v>
      </c>
      <c r="M2284" t="e">
        <v>#N/A</v>
      </c>
      <c r="N2284" s="1">
        <v>38169</v>
      </c>
    </row>
    <row r="2285" spans="11:14" x14ac:dyDescent="0.3">
      <c r="K2285" s="1">
        <v>38534</v>
      </c>
      <c r="M2285" t="e">
        <v>#N/A</v>
      </c>
      <c r="N2285" s="1">
        <v>38169</v>
      </c>
    </row>
    <row r="2286" spans="11:14" x14ac:dyDescent="0.3">
      <c r="K2286" s="1">
        <v>38534</v>
      </c>
      <c r="M2286" t="e">
        <v>#N/A</v>
      </c>
      <c r="N2286" s="1">
        <v>38169</v>
      </c>
    </row>
    <row r="2287" spans="11:14" x14ac:dyDescent="0.3">
      <c r="K2287" s="1">
        <v>38534</v>
      </c>
      <c r="M2287" t="e">
        <v>#N/A</v>
      </c>
      <c r="N2287" s="1">
        <v>38169</v>
      </c>
    </row>
    <row r="2288" spans="11:14" x14ac:dyDescent="0.3">
      <c r="K2288" s="1">
        <v>38534</v>
      </c>
      <c r="M2288" t="e">
        <v>#N/A</v>
      </c>
      <c r="N2288" s="1">
        <v>38169</v>
      </c>
    </row>
    <row r="2289" spans="11:14" x14ac:dyDescent="0.3">
      <c r="K2289" s="1">
        <v>38534</v>
      </c>
      <c r="M2289" t="e">
        <v>#N/A</v>
      </c>
      <c r="N2289" s="1">
        <v>38169</v>
      </c>
    </row>
    <row r="2290" spans="11:14" x14ac:dyDescent="0.3">
      <c r="K2290" s="1">
        <v>38534</v>
      </c>
      <c r="M2290" t="e">
        <v>#N/A</v>
      </c>
      <c r="N2290" s="1">
        <v>38169</v>
      </c>
    </row>
    <row r="2291" spans="11:14" x14ac:dyDescent="0.3">
      <c r="K2291" s="1">
        <v>38534</v>
      </c>
      <c r="M2291" t="e">
        <v>#N/A</v>
      </c>
      <c r="N2291" s="1">
        <v>38169</v>
      </c>
    </row>
    <row r="2292" spans="11:14" x14ac:dyDescent="0.3">
      <c r="K2292" s="1">
        <v>38534</v>
      </c>
      <c r="M2292" t="e">
        <v>#N/A</v>
      </c>
      <c r="N2292" s="1">
        <v>38169</v>
      </c>
    </row>
    <row r="2293" spans="11:14" x14ac:dyDescent="0.3">
      <c r="K2293" s="1">
        <v>38534</v>
      </c>
      <c r="M2293" t="e">
        <v>#N/A</v>
      </c>
      <c r="N2293" s="1">
        <v>38169</v>
      </c>
    </row>
    <row r="2294" spans="11:14" x14ac:dyDescent="0.3">
      <c r="K2294" s="1">
        <v>38534</v>
      </c>
      <c r="M2294" t="e">
        <v>#N/A</v>
      </c>
      <c r="N2294" s="1">
        <v>38169</v>
      </c>
    </row>
    <row r="2295" spans="11:14" x14ac:dyDescent="0.3">
      <c r="K2295" s="1">
        <v>38534</v>
      </c>
      <c r="M2295" t="e">
        <v>#N/A</v>
      </c>
      <c r="N2295" s="1">
        <v>38169</v>
      </c>
    </row>
    <row r="2296" spans="11:14" x14ac:dyDescent="0.3">
      <c r="K2296" s="1">
        <v>38534</v>
      </c>
      <c r="M2296" t="e">
        <v>#N/A</v>
      </c>
      <c r="N2296" s="1">
        <v>38169</v>
      </c>
    </row>
    <row r="2297" spans="11:14" x14ac:dyDescent="0.3">
      <c r="K2297" s="1">
        <v>38534</v>
      </c>
      <c r="M2297" t="e">
        <v>#N/A</v>
      </c>
      <c r="N2297" s="1">
        <v>38169</v>
      </c>
    </row>
    <row r="2298" spans="11:14" x14ac:dyDescent="0.3">
      <c r="K2298" s="1">
        <v>38534</v>
      </c>
      <c r="M2298" t="e">
        <v>#N/A</v>
      </c>
      <c r="N2298" s="1">
        <v>38169</v>
      </c>
    </row>
    <row r="2299" spans="11:14" x14ac:dyDescent="0.3">
      <c r="K2299" s="1">
        <v>38534</v>
      </c>
      <c r="M2299" t="e">
        <v>#N/A</v>
      </c>
      <c r="N2299" s="1">
        <v>38169</v>
      </c>
    </row>
    <row r="2300" spans="11:14" x14ac:dyDescent="0.3">
      <c r="K2300" s="1">
        <v>38534</v>
      </c>
      <c r="M2300" t="e">
        <v>#N/A</v>
      </c>
      <c r="N2300" s="1">
        <v>38169</v>
      </c>
    </row>
    <row r="2301" spans="11:14" x14ac:dyDescent="0.3">
      <c r="K2301" s="1">
        <v>38534</v>
      </c>
      <c r="M2301" t="e">
        <v>#N/A</v>
      </c>
      <c r="N2301" s="1">
        <v>38169</v>
      </c>
    </row>
    <row r="2302" spans="11:14" x14ac:dyDescent="0.3">
      <c r="K2302" s="1">
        <v>38534</v>
      </c>
      <c r="M2302" t="e">
        <v>#N/A</v>
      </c>
      <c r="N2302" s="1">
        <v>38169</v>
      </c>
    </row>
    <row r="2303" spans="11:14" x14ac:dyDescent="0.3">
      <c r="K2303" s="1">
        <v>38534</v>
      </c>
      <c r="M2303" t="e">
        <v>#N/A</v>
      </c>
      <c r="N2303" s="1">
        <v>38169</v>
      </c>
    </row>
    <row r="2304" spans="11:14" x14ac:dyDescent="0.3">
      <c r="K2304" s="1">
        <v>38534</v>
      </c>
      <c r="M2304" t="e">
        <v>#N/A</v>
      </c>
      <c r="N2304" s="1">
        <v>38169</v>
      </c>
    </row>
    <row r="2305" spans="11:14" x14ac:dyDescent="0.3">
      <c r="K2305" s="1">
        <v>38534</v>
      </c>
      <c r="M2305" t="e">
        <v>#N/A</v>
      </c>
      <c r="N2305" s="1">
        <v>38169</v>
      </c>
    </row>
    <row r="2306" spans="11:14" x14ac:dyDescent="0.3">
      <c r="K2306" s="1">
        <v>38534</v>
      </c>
      <c r="M2306" t="e">
        <v>#N/A</v>
      </c>
      <c r="N2306" s="1">
        <v>38169</v>
      </c>
    </row>
    <row r="2307" spans="11:14" x14ac:dyDescent="0.3">
      <c r="K2307" s="1">
        <v>38534</v>
      </c>
      <c r="M2307" t="e">
        <v>#N/A</v>
      </c>
      <c r="N2307" s="1">
        <v>38169</v>
      </c>
    </row>
    <row r="2308" spans="11:14" x14ac:dyDescent="0.3">
      <c r="K2308" s="1">
        <v>38534</v>
      </c>
      <c r="M2308" t="e">
        <v>#N/A</v>
      </c>
      <c r="N2308" s="1">
        <v>38169</v>
      </c>
    </row>
    <row r="2309" spans="11:14" x14ac:dyDescent="0.3">
      <c r="K2309" s="1">
        <v>38534</v>
      </c>
      <c r="M2309" t="e">
        <v>#N/A</v>
      </c>
      <c r="N2309" s="1">
        <v>38169</v>
      </c>
    </row>
    <row r="2310" spans="11:14" x14ac:dyDescent="0.3">
      <c r="K2310" s="1">
        <v>38534</v>
      </c>
      <c r="M2310" t="e">
        <v>#N/A</v>
      </c>
      <c r="N2310" s="1">
        <v>38169</v>
      </c>
    </row>
    <row r="2311" spans="11:14" x14ac:dyDescent="0.3">
      <c r="K2311" s="1">
        <v>38534</v>
      </c>
      <c r="M2311" t="e">
        <v>#N/A</v>
      </c>
      <c r="N2311" s="1">
        <v>38169</v>
      </c>
    </row>
    <row r="2312" spans="11:14" x14ac:dyDescent="0.3">
      <c r="K2312" s="1">
        <v>38534</v>
      </c>
      <c r="M2312" t="e">
        <v>#N/A</v>
      </c>
      <c r="N2312" s="1">
        <v>38169</v>
      </c>
    </row>
    <row r="2313" spans="11:14" x14ac:dyDescent="0.3">
      <c r="K2313" s="1">
        <v>38534</v>
      </c>
      <c r="M2313" t="e">
        <v>#N/A</v>
      </c>
      <c r="N2313" s="1">
        <v>38169</v>
      </c>
    </row>
    <row r="2314" spans="11:14" x14ac:dyDescent="0.3">
      <c r="K2314" s="1">
        <v>38534</v>
      </c>
      <c r="M2314" t="e">
        <v>#N/A</v>
      </c>
      <c r="N2314" s="1">
        <v>38169</v>
      </c>
    </row>
    <row r="2315" spans="11:14" x14ac:dyDescent="0.3">
      <c r="K2315" s="1">
        <v>38534</v>
      </c>
      <c r="M2315" t="e">
        <v>#N/A</v>
      </c>
      <c r="N2315" s="1">
        <v>38169</v>
      </c>
    </row>
    <row r="2316" spans="11:14" x14ac:dyDescent="0.3">
      <c r="K2316" s="1">
        <v>38534</v>
      </c>
      <c r="M2316" t="e">
        <v>#N/A</v>
      </c>
      <c r="N2316" s="1">
        <v>38169</v>
      </c>
    </row>
    <row r="2317" spans="11:14" x14ac:dyDescent="0.3">
      <c r="K2317" s="1">
        <v>38534</v>
      </c>
      <c r="M2317" t="e">
        <v>#N/A</v>
      </c>
      <c r="N2317" s="1">
        <v>38169</v>
      </c>
    </row>
    <row r="2318" spans="11:14" x14ac:dyDescent="0.3">
      <c r="K2318" s="1">
        <v>38534</v>
      </c>
      <c r="M2318" t="e">
        <v>#N/A</v>
      </c>
      <c r="N2318" s="1">
        <v>38169</v>
      </c>
    </row>
    <row r="2319" spans="11:14" x14ac:dyDescent="0.3">
      <c r="K2319" s="1">
        <v>38534</v>
      </c>
      <c r="M2319" t="e">
        <v>#N/A</v>
      </c>
      <c r="N2319" s="1">
        <v>38169</v>
      </c>
    </row>
    <row r="2320" spans="11:14" x14ac:dyDescent="0.3">
      <c r="K2320" s="1">
        <v>38534</v>
      </c>
      <c r="M2320" t="e">
        <v>#N/A</v>
      </c>
      <c r="N2320" s="1">
        <v>38169</v>
      </c>
    </row>
    <row r="2321" spans="11:14" x14ac:dyDescent="0.3">
      <c r="K2321" s="1">
        <v>38534</v>
      </c>
      <c r="M2321" t="e">
        <v>#N/A</v>
      </c>
      <c r="N2321" s="1">
        <v>38169</v>
      </c>
    </row>
    <row r="2322" spans="11:14" x14ac:dyDescent="0.3">
      <c r="K2322" s="1">
        <v>38534</v>
      </c>
      <c r="M2322" t="e">
        <v>#N/A</v>
      </c>
      <c r="N2322" s="1">
        <v>38169</v>
      </c>
    </row>
    <row r="2323" spans="11:14" x14ac:dyDescent="0.3">
      <c r="K2323" s="1">
        <v>38534</v>
      </c>
      <c r="M2323" t="e">
        <v>#N/A</v>
      </c>
      <c r="N2323" s="1">
        <v>38169</v>
      </c>
    </row>
    <row r="2324" spans="11:14" x14ac:dyDescent="0.3">
      <c r="K2324" s="1">
        <v>38534</v>
      </c>
      <c r="M2324" t="e">
        <v>#N/A</v>
      </c>
      <c r="N2324" s="1">
        <v>38169</v>
      </c>
    </row>
    <row r="2325" spans="11:14" x14ac:dyDescent="0.3">
      <c r="K2325" s="1">
        <v>38534</v>
      </c>
      <c r="M2325" t="e">
        <v>#N/A</v>
      </c>
      <c r="N2325" s="1">
        <v>38169</v>
      </c>
    </row>
    <row r="2326" spans="11:14" x14ac:dyDescent="0.3">
      <c r="K2326" s="1">
        <v>38534</v>
      </c>
      <c r="M2326" t="e">
        <v>#N/A</v>
      </c>
      <c r="N2326" s="1">
        <v>38169</v>
      </c>
    </row>
    <row r="2327" spans="11:14" x14ac:dyDescent="0.3">
      <c r="K2327" s="1">
        <v>38534</v>
      </c>
      <c r="M2327" t="e">
        <v>#N/A</v>
      </c>
      <c r="N2327" s="1">
        <v>38169</v>
      </c>
    </row>
    <row r="2328" spans="11:14" x14ac:dyDescent="0.3">
      <c r="K2328" s="1">
        <v>38534</v>
      </c>
      <c r="M2328" t="e">
        <v>#N/A</v>
      </c>
      <c r="N2328" s="1">
        <v>38169</v>
      </c>
    </row>
    <row r="2329" spans="11:14" x14ac:dyDescent="0.3">
      <c r="K2329" s="1">
        <v>38534</v>
      </c>
      <c r="M2329" t="e">
        <v>#N/A</v>
      </c>
      <c r="N2329" s="1">
        <v>38169</v>
      </c>
    </row>
    <row r="2330" spans="11:14" x14ac:dyDescent="0.3">
      <c r="K2330" s="1">
        <v>38534</v>
      </c>
      <c r="M2330" t="e">
        <v>#N/A</v>
      </c>
      <c r="N2330" s="1">
        <v>38169</v>
      </c>
    </row>
    <row r="2331" spans="11:14" x14ac:dyDescent="0.3">
      <c r="K2331" s="1">
        <v>38534</v>
      </c>
      <c r="M2331" t="e">
        <v>#N/A</v>
      </c>
      <c r="N2331" s="1">
        <v>38169</v>
      </c>
    </row>
    <row r="2332" spans="11:14" x14ac:dyDescent="0.3">
      <c r="K2332" s="1">
        <v>38534</v>
      </c>
      <c r="M2332" t="e">
        <v>#N/A</v>
      </c>
      <c r="N2332" s="1">
        <v>38169</v>
      </c>
    </row>
    <row r="2333" spans="11:14" x14ac:dyDescent="0.3">
      <c r="K2333" s="1">
        <v>38534</v>
      </c>
      <c r="M2333" t="e">
        <v>#N/A</v>
      </c>
      <c r="N2333" s="1">
        <v>38169</v>
      </c>
    </row>
    <row r="2334" spans="11:14" x14ac:dyDescent="0.3">
      <c r="K2334" s="1">
        <v>38534</v>
      </c>
      <c r="M2334" t="e">
        <v>#N/A</v>
      </c>
      <c r="N2334" s="1">
        <v>38169</v>
      </c>
    </row>
    <row r="2335" spans="11:14" x14ac:dyDescent="0.3">
      <c r="K2335" s="1">
        <v>38534</v>
      </c>
      <c r="M2335" t="e">
        <v>#N/A</v>
      </c>
      <c r="N2335" s="1">
        <v>38169</v>
      </c>
    </row>
    <row r="2336" spans="11:14" x14ac:dyDescent="0.3">
      <c r="K2336" s="1">
        <v>38534</v>
      </c>
      <c r="M2336" t="e">
        <v>#N/A</v>
      </c>
      <c r="N2336" s="1">
        <v>38169</v>
      </c>
    </row>
    <row r="2337" spans="11:14" x14ac:dyDescent="0.3">
      <c r="K2337" s="1">
        <v>38534</v>
      </c>
      <c r="M2337" t="e">
        <v>#N/A</v>
      </c>
      <c r="N2337" s="1">
        <v>38169</v>
      </c>
    </row>
    <row r="2338" spans="11:14" x14ac:dyDescent="0.3">
      <c r="K2338" s="1">
        <v>38534</v>
      </c>
      <c r="M2338" t="e">
        <v>#N/A</v>
      </c>
      <c r="N2338" s="1">
        <v>38169</v>
      </c>
    </row>
    <row r="2339" spans="11:14" x14ac:dyDescent="0.3">
      <c r="K2339" s="1">
        <v>38534</v>
      </c>
      <c r="M2339" t="e">
        <v>#N/A</v>
      </c>
      <c r="N2339" s="1">
        <v>38169</v>
      </c>
    </row>
    <row r="2340" spans="11:14" x14ac:dyDescent="0.3">
      <c r="K2340" s="1">
        <v>38534</v>
      </c>
      <c r="M2340" t="e">
        <v>#N/A</v>
      </c>
      <c r="N2340" s="1">
        <v>38169</v>
      </c>
    </row>
    <row r="2341" spans="11:14" x14ac:dyDescent="0.3">
      <c r="K2341" s="1">
        <v>38534</v>
      </c>
      <c r="M2341" t="e">
        <v>#N/A</v>
      </c>
      <c r="N2341" s="1">
        <v>38169</v>
      </c>
    </row>
    <row r="2342" spans="11:14" x14ac:dyDescent="0.3">
      <c r="K2342" s="1">
        <v>38534</v>
      </c>
      <c r="M2342" t="e">
        <v>#N/A</v>
      </c>
      <c r="N2342" s="1">
        <v>38169</v>
      </c>
    </row>
    <row r="2343" spans="11:14" x14ac:dyDescent="0.3">
      <c r="K2343" s="1">
        <v>38534</v>
      </c>
      <c r="M2343" t="e">
        <v>#N/A</v>
      </c>
      <c r="N2343" s="1">
        <v>38169</v>
      </c>
    </row>
    <row r="2344" spans="11:14" x14ac:dyDescent="0.3">
      <c r="K2344" s="1">
        <v>38534</v>
      </c>
      <c r="M2344" t="e">
        <v>#N/A</v>
      </c>
      <c r="N2344" s="1">
        <v>38169</v>
      </c>
    </row>
    <row r="2345" spans="11:14" x14ac:dyDescent="0.3">
      <c r="K2345" s="1">
        <v>38534</v>
      </c>
      <c r="M2345" t="e">
        <v>#N/A</v>
      </c>
      <c r="N2345" s="1">
        <v>38169</v>
      </c>
    </row>
    <row r="2346" spans="11:14" x14ac:dyDescent="0.3">
      <c r="K2346" s="1">
        <v>38534</v>
      </c>
      <c r="M2346" t="e">
        <v>#N/A</v>
      </c>
      <c r="N2346" s="1">
        <v>38169</v>
      </c>
    </row>
    <row r="2347" spans="11:14" x14ac:dyDescent="0.3">
      <c r="K2347" s="1">
        <v>38534</v>
      </c>
      <c r="M2347" t="e">
        <v>#N/A</v>
      </c>
      <c r="N2347" s="1">
        <v>38169</v>
      </c>
    </row>
    <row r="2348" spans="11:14" x14ac:dyDescent="0.3">
      <c r="K2348" s="1">
        <v>38534</v>
      </c>
      <c r="M2348" t="e">
        <v>#N/A</v>
      </c>
      <c r="N2348" s="1">
        <v>38169</v>
      </c>
    </row>
    <row r="2349" spans="11:14" x14ac:dyDescent="0.3">
      <c r="K2349" s="1">
        <v>38534</v>
      </c>
      <c r="M2349" t="e">
        <v>#N/A</v>
      </c>
      <c r="N2349" s="1">
        <v>38169</v>
      </c>
    </row>
    <row r="2350" spans="11:14" x14ac:dyDescent="0.3">
      <c r="K2350" s="1">
        <v>38534</v>
      </c>
      <c r="M2350" t="e">
        <v>#N/A</v>
      </c>
      <c r="N2350" s="1">
        <v>38169</v>
      </c>
    </row>
    <row r="2351" spans="11:14" x14ac:dyDescent="0.3">
      <c r="K2351" s="1">
        <v>38534</v>
      </c>
      <c r="M2351" t="e">
        <v>#N/A</v>
      </c>
      <c r="N2351" s="1">
        <v>38169</v>
      </c>
    </row>
    <row r="2352" spans="11:14" x14ac:dyDescent="0.3">
      <c r="K2352" s="1">
        <v>38534</v>
      </c>
      <c r="M2352" t="e">
        <v>#N/A</v>
      </c>
      <c r="N2352" s="1">
        <v>38169</v>
      </c>
    </row>
    <row r="2353" spans="11:14" x14ac:dyDescent="0.3">
      <c r="K2353" s="1">
        <v>38534</v>
      </c>
      <c r="M2353" t="e">
        <v>#N/A</v>
      </c>
      <c r="N2353" s="1">
        <v>38169</v>
      </c>
    </row>
    <row r="2354" spans="11:14" x14ac:dyDescent="0.3">
      <c r="K2354" s="1">
        <v>38534</v>
      </c>
      <c r="M2354" t="e">
        <v>#N/A</v>
      </c>
      <c r="N2354" s="1">
        <v>38169</v>
      </c>
    </row>
    <row r="2355" spans="11:14" x14ac:dyDescent="0.3">
      <c r="K2355" s="1">
        <v>38534</v>
      </c>
      <c r="M2355" t="e">
        <v>#N/A</v>
      </c>
      <c r="N2355" s="1">
        <v>38169</v>
      </c>
    </row>
    <row r="2356" spans="11:14" x14ac:dyDescent="0.3">
      <c r="K2356" s="1">
        <v>38534</v>
      </c>
      <c r="M2356" t="e">
        <v>#N/A</v>
      </c>
      <c r="N2356" s="1">
        <v>38169</v>
      </c>
    </row>
    <row r="2357" spans="11:14" x14ac:dyDescent="0.3">
      <c r="K2357" s="1">
        <v>38534</v>
      </c>
      <c r="M2357" t="e">
        <v>#N/A</v>
      </c>
      <c r="N2357" s="1">
        <v>38169</v>
      </c>
    </row>
    <row r="2358" spans="11:14" x14ac:dyDescent="0.3">
      <c r="K2358" s="1">
        <v>38534</v>
      </c>
      <c r="M2358" t="e">
        <v>#N/A</v>
      </c>
      <c r="N2358" s="1">
        <v>38169</v>
      </c>
    </row>
    <row r="2359" spans="11:14" x14ac:dyDescent="0.3">
      <c r="K2359" s="1">
        <v>38534</v>
      </c>
      <c r="M2359" t="e">
        <v>#N/A</v>
      </c>
      <c r="N2359" s="1">
        <v>38169</v>
      </c>
    </row>
    <row r="2360" spans="11:14" x14ac:dyDescent="0.3">
      <c r="K2360" s="1">
        <v>38534</v>
      </c>
      <c r="M2360" t="e">
        <v>#N/A</v>
      </c>
      <c r="N2360" s="1">
        <v>38169</v>
      </c>
    </row>
    <row r="2361" spans="11:14" x14ac:dyDescent="0.3">
      <c r="K2361" s="1">
        <v>38534</v>
      </c>
      <c r="M2361" t="e">
        <v>#N/A</v>
      </c>
      <c r="N2361" s="1">
        <v>38169</v>
      </c>
    </row>
    <row r="2362" spans="11:14" x14ac:dyDescent="0.3">
      <c r="K2362" s="1">
        <v>38534</v>
      </c>
      <c r="M2362" t="e">
        <v>#N/A</v>
      </c>
      <c r="N2362" s="1">
        <v>38169</v>
      </c>
    </row>
    <row r="2363" spans="11:14" x14ac:dyDescent="0.3">
      <c r="K2363" s="1">
        <v>38534</v>
      </c>
      <c r="M2363" t="e">
        <v>#N/A</v>
      </c>
      <c r="N2363" s="1">
        <v>38169</v>
      </c>
    </row>
    <row r="2364" spans="11:14" x14ac:dyDescent="0.3">
      <c r="K2364" s="1">
        <v>38534</v>
      </c>
      <c r="M2364" t="e">
        <v>#N/A</v>
      </c>
      <c r="N2364" s="1">
        <v>38169</v>
      </c>
    </row>
    <row r="2365" spans="11:14" x14ac:dyDescent="0.3">
      <c r="K2365" s="1">
        <v>38534</v>
      </c>
      <c r="M2365" t="e">
        <v>#N/A</v>
      </c>
      <c r="N2365" s="1">
        <v>38169</v>
      </c>
    </row>
    <row r="2366" spans="11:14" x14ac:dyDescent="0.3">
      <c r="K2366" s="1">
        <v>38534</v>
      </c>
      <c r="M2366" t="e">
        <v>#N/A</v>
      </c>
      <c r="N2366" s="1">
        <v>38169</v>
      </c>
    </row>
    <row r="2367" spans="11:14" x14ac:dyDescent="0.3">
      <c r="K2367" s="1">
        <v>38534</v>
      </c>
      <c r="M2367" t="e">
        <v>#N/A</v>
      </c>
      <c r="N2367" s="1">
        <v>38169</v>
      </c>
    </row>
    <row r="2368" spans="11:14" x14ac:dyDescent="0.3">
      <c r="K2368" s="1">
        <v>38534</v>
      </c>
      <c r="M2368" t="e">
        <v>#N/A</v>
      </c>
      <c r="N2368" s="1">
        <v>38169</v>
      </c>
    </row>
    <row r="2369" spans="11:14" x14ac:dyDescent="0.3">
      <c r="K2369" s="1">
        <v>38534</v>
      </c>
      <c r="M2369" t="e">
        <v>#N/A</v>
      </c>
      <c r="N2369" s="1">
        <v>38169</v>
      </c>
    </row>
    <row r="2370" spans="11:14" x14ac:dyDescent="0.3">
      <c r="K2370" s="1">
        <v>38534</v>
      </c>
      <c r="M2370" t="e">
        <v>#N/A</v>
      </c>
      <c r="N2370" s="1">
        <v>38169</v>
      </c>
    </row>
    <row r="2371" spans="11:14" x14ac:dyDescent="0.3">
      <c r="K2371" s="1">
        <v>38534</v>
      </c>
      <c r="M2371" t="e">
        <v>#N/A</v>
      </c>
      <c r="N2371" s="1">
        <v>38169</v>
      </c>
    </row>
    <row r="2372" spans="11:14" x14ac:dyDescent="0.3">
      <c r="K2372" s="1">
        <v>38534</v>
      </c>
      <c r="M2372" t="e">
        <v>#N/A</v>
      </c>
      <c r="N2372" s="1">
        <v>38169</v>
      </c>
    </row>
    <row r="2373" spans="11:14" x14ac:dyDescent="0.3">
      <c r="K2373" s="1">
        <v>38534</v>
      </c>
      <c r="M2373" t="e">
        <v>#N/A</v>
      </c>
      <c r="N2373" s="1">
        <v>38169</v>
      </c>
    </row>
    <row r="2374" spans="11:14" x14ac:dyDescent="0.3">
      <c r="K2374" s="1">
        <v>38534</v>
      </c>
      <c r="M2374" t="e">
        <v>#N/A</v>
      </c>
      <c r="N2374" s="1">
        <v>38169</v>
      </c>
    </row>
    <row r="2375" spans="11:14" x14ac:dyDescent="0.3">
      <c r="K2375" s="1">
        <v>38534</v>
      </c>
      <c r="M2375" t="e">
        <v>#N/A</v>
      </c>
      <c r="N2375" s="1">
        <v>38169</v>
      </c>
    </row>
    <row r="2376" spans="11:14" x14ac:dyDescent="0.3">
      <c r="K2376" s="1">
        <v>38534</v>
      </c>
      <c r="M2376" t="e">
        <v>#N/A</v>
      </c>
      <c r="N2376" s="1">
        <v>38169</v>
      </c>
    </row>
    <row r="2377" spans="11:14" x14ac:dyDescent="0.3">
      <c r="K2377" s="1">
        <v>38534</v>
      </c>
      <c r="M2377" t="e">
        <v>#N/A</v>
      </c>
      <c r="N2377" s="1">
        <v>38169</v>
      </c>
    </row>
    <row r="2378" spans="11:14" x14ac:dyDescent="0.3">
      <c r="K2378" s="1">
        <v>38534</v>
      </c>
      <c r="M2378" t="e">
        <v>#N/A</v>
      </c>
      <c r="N2378" s="1">
        <v>38169</v>
      </c>
    </row>
    <row r="2379" spans="11:14" x14ac:dyDescent="0.3">
      <c r="K2379" s="1">
        <v>38534</v>
      </c>
      <c r="M2379" t="e">
        <v>#N/A</v>
      </c>
      <c r="N2379" s="1">
        <v>38169</v>
      </c>
    </row>
    <row r="2380" spans="11:14" x14ac:dyDescent="0.3">
      <c r="K2380" s="1">
        <v>38534</v>
      </c>
      <c r="M2380" t="e">
        <v>#N/A</v>
      </c>
      <c r="N2380" s="1">
        <v>38169</v>
      </c>
    </row>
    <row r="2381" spans="11:14" x14ac:dyDescent="0.3">
      <c r="K2381" s="1">
        <v>38534</v>
      </c>
      <c r="M2381" t="e">
        <v>#N/A</v>
      </c>
      <c r="N2381" s="1">
        <v>38169</v>
      </c>
    </row>
    <row r="2382" spans="11:14" x14ac:dyDescent="0.3">
      <c r="K2382" s="1">
        <v>38534</v>
      </c>
      <c r="M2382" t="e">
        <v>#N/A</v>
      </c>
      <c r="N2382" s="1">
        <v>38169</v>
      </c>
    </row>
    <row r="2383" spans="11:14" x14ac:dyDescent="0.3">
      <c r="K2383" s="1">
        <v>38534</v>
      </c>
      <c r="M2383" t="e">
        <v>#N/A</v>
      </c>
      <c r="N2383" s="1">
        <v>38169</v>
      </c>
    </row>
    <row r="2384" spans="11:14" x14ac:dyDescent="0.3">
      <c r="K2384" s="1">
        <v>38534</v>
      </c>
      <c r="M2384" t="e">
        <v>#N/A</v>
      </c>
      <c r="N2384" s="1">
        <v>38169</v>
      </c>
    </row>
    <row r="2385" spans="11:14" x14ac:dyDescent="0.3">
      <c r="K2385" s="1">
        <v>38534</v>
      </c>
      <c r="M2385" t="e">
        <v>#N/A</v>
      </c>
      <c r="N2385" s="1">
        <v>38169</v>
      </c>
    </row>
    <row r="2386" spans="11:14" x14ac:dyDescent="0.3">
      <c r="K2386" s="1">
        <v>38534</v>
      </c>
      <c r="M2386" t="e">
        <v>#N/A</v>
      </c>
      <c r="N2386" s="1">
        <v>38169</v>
      </c>
    </row>
    <row r="2387" spans="11:14" x14ac:dyDescent="0.3">
      <c r="K2387" s="1">
        <v>38534</v>
      </c>
      <c r="M2387" t="e">
        <v>#N/A</v>
      </c>
      <c r="N2387" s="1">
        <v>38169</v>
      </c>
    </row>
    <row r="2388" spans="11:14" x14ac:dyDescent="0.3">
      <c r="K2388" s="1">
        <v>38534</v>
      </c>
      <c r="M2388" t="e">
        <v>#N/A</v>
      </c>
      <c r="N2388" s="1">
        <v>38169</v>
      </c>
    </row>
    <row r="2389" spans="11:14" x14ac:dyDescent="0.3">
      <c r="K2389" s="1">
        <v>38534</v>
      </c>
      <c r="M2389" t="e">
        <v>#N/A</v>
      </c>
      <c r="N2389" s="1">
        <v>38169</v>
      </c>
    </row>
    <row r="2390" spans="11:14" x14ac:dyDescent="0.3">
      <c r="K2390" s="1">
        <v>38534</v>
      </c>
      <c r="M2390" t="e">
        <v>#N/A</v>
      </c>
      <c r="N2390" s="1">
        <v>38169</v>
      </c>
    </row>
    <row r="2391" spans="11:14" x14ac:dyDescent="0.3">
      <c r="K2391" s="1">
        <v>38534</v>
      </c>
      <c r="M2391" t="e">
        <v>#N/A</v>
      </c>
      <c r="N2391" s="1">
        <v>38169</v>
      </c>
    </row>
    <row r="2392" spans="11:14" x14ac:dyDescent="0.3">
      <c r="K2392" s="1">
        <v>38534</v>
      </c>
      <c r="M2392" t="e">
        <v>#N/A</v>
      </c>
      <c r="N2392" s="1">
        <v>38169</v>
      </c>
    </row>
    <row r="2393" spans="11:14" x14ac:dyDescent="0.3">
      <c r="K2393" s="1">
        <v>38534</v>
      </c>
      <c r="M2393" t="e">
        <v>#N/A</v>
      </c>
      <c r="N2393" s="1">
        <v>38169</v>
      </c>
    </row>
    <row r="2394" spans="11:14" x14ac:dyDescent="0.3">
      <c r="K2394" s="1">
        <v>38534</v>
      </c>
      <c r="M2394" t="e">
        <v>#N/A</v>
      </c>
      <c r="N2394" s="1">
        <v>38169</v>
      </c>
    </row>
    <row r="2395" spans="11:14" x14ac:dyDescent="0.3">
      <c r="K2395" s="1">
        <v>38534</v>
      </c>
      <c r="M2395" t="e">
        <v>#N/A</v>
      </c>
      <c r="N2395" s="1">
        <v>38169</v>
      </c>
    </row>
    <row r="2396" spans="11:14" x14ac:dyDescent="0.3">
      <c r="K2396" s="1">
        <v>38534</v>
      </c>
      <c r="M2396" t="e">
        <v>#N/A</v>
      </c>
      <c r="N2396" s="1">
        <v>38169</v>
      </c>
    </row>
    <row r="2397" spans="11:14" x14ac:dyDescent="0.3">
      <c r="K2397" s="1">
        <v>38534</v>
      </c>
      <c r="M2397" t="e">
        <v>#N/A</v>
      </c>
      <c r="N2397" s="1">
        <v>38169</v>
      </c>
    </row>
    <row r="2398" spans="11:14" x14ac:dyDescent="0.3">
      <c r="K2398" s="1">
        <v>38534</v>
      </c>
      <c r="M2398" t="e">
        <v>#N/A</v>
      </c>
      <c r="N2398" s="1">
        <v>38169</v>
      </c>
    </row>
    <row r="2399" spans="11:14" x14ac:dyDescent="0.3">
      <c r="K2399" s="1">
        <v>38534</v>
      </c>
      <c r="M2399" t="e">
        <v>#N/A</v>
      </c>
      <c r="N2399" s="1">
        <v>38169</v>
      </c>
    </row>
    <row r="2400" spans="11:14" x14ac:dyDescent="0.3">
      <c r="K2400" s="1">
        <v>38534</v>
      </c>
      <c r="M2400" t="e">
        <v>#N/A</v>
      </c>
      <c r="N2400" s="1">
        <v>38169</v>
      </c>
    </row>
    <row r="2401" spans="11:14" x14ac:dyDescent="0.3">
      <c r="K2401" s="1">
        <v>38534</v>
      </c>
      <c r="M2401" t="e">
        <v>#N/A</v>
      </c>
      <c r="N2401" s="1">
        <v>38169</v>
      </c>
    </row>
    <row r="2402" spans="11:14" x14ac:dyDescent="0.3">
      <c r="K2402" s="1">
        <v>38534</v>
      </c>
      <c r="M2402" t="e">
        <v>#N/A</v>
      </c>
      <c r="N2402" s="1">
        <v>38169</v>
      </c>
    </row>
    <row r="2403" spans="11:14" x14ac:dyDescent="0.3">
      <c r="K2403" s="1">
        <v>38534</v>
      </c>
      <c r="M2403" t="e">
        <v>#N/A</v>
      </c>
      <c r="N2403" s="1">
        <v>38169</v>
      </c>
    </row>
    <row r="2404" spans="11:14" x14ac:dyDescent="0.3">
      <c r="K2404" s="1">
        <v>38534</v>
      </c>
      <c r="M2404" t="e">
        <v>#N/A</v>
      </c>
      <c r="N2404" s="1">
        <v>38169</v>
      </c>
    </row>
    <row r="2405" spans="11:14" x14ac:dyDescent="0.3">
      <c r="K2405" s="1">
        <v>38534</v>
      </c>
      <c r="M2405" t="e">
        <v>#N/A</v>
      </c>
      <c r="N2405" s="1">
        <v>38169</v>
      </c>
    </row>
    <row r="2406" spans="11:14" x14ac:dyDescent="0.3">
      <c r="K2406" s="1">
        <v>38534</v>
      </c>
      <c r="M2406" t="e">
        <v>#N/A</v>
      </c>
      <c r="N2406" s="1">
        <v>38169</v>
      </c>
    </row>
    <row r="2407" spans="11:14" x14ac:dyDescent="0.3">
      <c r="K2407" s="1">
        <v>38534</v>
      </c>
      <c r="M2407" t="e">
        <v>#N/A</v>
      </c>
      <c r="N2407" s="1">
        <v>38169</v>
      </c>
    </row>
    <row r="2408" spans="11:14" x14ac:dyDescent="0.3">
      <c r="K2408" s="1">
        <v>38534</v>
      </c>
      <c r="M2408" t="e">
        <v>#N/A</v>
      </c>
      <c r="N2408" s="1">
        <v>38169</v>
      </c>
    </row>
    <row r="2409" spans="11:14" x14ac:dyDescent="0.3">
      <c r="K2409" s="1">
        <v>38534</v>
      </c>
      <c r="M2409" t="e">
        <v>#N/A</v>
      </c>
      <c r="N2409" s="1">
        <v>38169</v>
      </c>
    </row>
    <row r="2410" spans="11:14" x14ac:dyDescent="0.3">
      <c r="K2410" s="1">
        <v>38534</v>
      </c>
      <c r="M2410" t="e">
        <v>#N/A</v>
      </c>
      <c r="N2410" s="1">
        <v>38169</v>
      </c>
    </row>
    <row r="2411" spans="11:14" x14ac:dyDescent="0.3">
      <c r="K2411" s="1">
        <v>38534</v>
      </c>
      <c r="M2411" t="e">
        <v>#N/A</v>
      </c>
      <c r="N2411" s="1">
        <v>38169</v>
      </c>
    </row>
    <row r="2412" spans="11:14" x14ac:dyDescent="0.3">
      <c r="K2412" s="1">
        <v>38534</v>
      </c>
      <c r="M2412" t="e">
        <v>#N/A</v>
      </c>
      <c r="N2412" s="1">
        <v>38169</v>
      </c>
    </row>
    <row r="2413" spans="11:14" x14ac:dyDescent="0.3">
      <c r="K2413" s="1">
        <v>38534</v>
      </c>
      <c r="M2413" t="e">
        <v>#N/A</v>
      </c>
      <c r="N2413" s="1">
        <v>38169</v>
      </c>
    </row>
    <row r="2414" spans="11:14" x14ac:dyDescent="0.3">
      <c r="K2414" s="1">
        <v>38534</v>
      </c>
      <c r="M2414" t="e">
        <v>#N/A</v>
      </c>
      <c r="N2414" s="1">
        <v>38169</v>
      </c>
    </row>
    <row r="2415" spans="11:14" x14ac:dyDescent="0.3">
      <c r="K2415" s="1">
        <v>38534</v>
      </c>
      <c r="M2415" t="e">
        <v>#N/A</v>
      </c>
      <c r="N2415" s="1">
        <v>38169</v>
      </c>
    </row>
    <row r="2416" spans="11:14" x14ac:dyDescent="0.3">
      <c r="K2416" s="1">
        <v>38534</v>
      </c>
      <c r="M2416" t="e">
        <v>#N/A</v>
      </c>
      <c r="N2416" s="1">
        <v>38169</v>
      </c>
    </row>
    <row r="2417" spans="11:14" x14ac:dyDescent="0.3">
      <c r="K2417" s="1">
        <v>38534</v>
      </c>
      <c r="M2417" t="e">
        <v>#N/A</v>
      </c>
      <c r="N2417" s="1">
        <v>38169</v>
      </c>
    </row>
    <row r="2418" spans="11:14" x14ac:dyDescent="0.3">
      <c r="K2418" s="1">
        <v>38534</v>
      </c>
      <c r="M2418" t="e">
        <v>#N/A</v>
      </c>
      <c r="N2418" s="1">
        <v>38169</v>
      </c>
    </row>
    <row r="2419" spans="11:14" x14ac:dyDescent="0.3">
      <c r="K2419" s="1">
        <v>38534</v>
      </c>
      <c r="M2419" t="e">
        <v>#N/A</v>
      </c>
      <c r="N2419" s="1">
        <v>38169</v>
      </c>
    </row>
    <row r="2420" spans="11:14" x14ac:dyDescent="0.3">
      <c r="K2420" s="1">
        <v>38534</v>
      </c>
      <c r="M2420" t="e">
        <v>#N/A</v>
      </c>
      <c r="N2420" s="1">
        <v>38169</v>
      </c>
    </row>
    <row r="2421" spans="11:14" x14ac:dyDescent="0.3">
      <c r="K2421" s="1">
        <v>38534</v>
      </c>
      <c r="M2421" t="e">
        <v>#N/A</v>
      </c>
      <c r="N2421" s="1">
        <v>38169</v>
      </c>
    </row>
    <row r="2422" spans="11:14" x14ac:dyDescent="0.3">
      <c r="K2422" s="1">
        <v>38534</v>
      </c>
      <c r="M2422" t="e">
        <v>#N/A</v>
      </c>
      <c r="N2422" s="1">
        <v>38169</v>
      </c>
    </row>
    <row r="2423" spans="11:14" x14ac:dyDescent="0.3">
      <c r="K2423" s="1">
        <v>38534</v>
      </c>
      <c r="M2423" t="e">
        <v>#N/A</v>
      </c>
      <c r="N2423" s="1">
        <v>38169</v>
      </c>
    </row>
    <row r="2424" spans="11:14" x14ac:dyDescent="0.3">
      <c r="K2424" s="1">
        <v>38534</v>
      </c>
      <c r="M2424" t="e">
        <v>#N/A</v>
      </c>
      <c r="N2424" s="1">
        <v>38169</v>
      </c>
    </row>
    <row r="2425" spans="11:14" x14ac:dyDescent="0.3">
      <c r="K2425" s="1">
        <v>38534</v>
      </c>
      <c r="M2425" t="e">
        <v>#N/A</v>
      </c>
      <c r="N2425" s="1">
        <v>38169</v>
      </c>
    </row>
    <row r="2426" spans="11:14" x14ac:dyDescent="0.3">
      <c r="K2426" s="1">
        <v>38534</v>
      </c>
      <c r="M2426" t="e">
        <v>#N/A</v>
      </c>
      <c r="N2426" s="1">
        <v>38169</v>
      </c>
    </row>
    <row r="2427" spans="11:14" x14ac:dyDescent="0.3">
      <c r="K2427" s="1">
        <v>38534</v>
      </c>
      <c r="M2427" t="e">
        <v>#N/A</v>
      </c>
      <c r="N2427" s="1">
        <v>38169</v>
      </c>
    </row>
    <row r="2428" spans="11:14" x14ac:dyDescent="0.3">
      <c r="K2428" s="1">
        <v>38534</v>
      </c>
      <c r="M2428" t="e">
        <v>#N/A</v>
      </c>
      <c r="N2428" s="1">
        <v>38169</v>
      </c>
    </row>
    <row r="2429" spans="11:14" x14ac:dyDescent="0.3">
      <c r="K2429" s="1">
        <v>38534</v>
      </c>
      <c r="M2429" t="e">
        <v>#N/A</v>
      </c>
      <c r="N2429" s="1">
        <v>38169</v>
      </c>
    </row>
    <row r="2430" spans="11:14" x14ac:dyDescent="0.3">
      <c r="K2430" s="1">
        <v>38534</v>
      </c>
      <c r="M2430" t="e">
        <v>#N/A</v>
      </c>
      <c r="N2430" s="1">
        <v>38169</v>
      </c>
    </row>
    <row r="2431" spans="11:14" x14ac:dyDescent="0.3">
      <c r="K2431" s="1">
        <v>38534</v>
      </c>
      <c r="M2431" t="e">
        <v>#N/A</v>
      </c>
      <c r="N2431" s="1">
        <v>38169</v>
      </c>
    </row>
    <row r="2432" spans="11:14" x14ac:dyDescent="0.3">
      <c r="K2432" s="1">
        <v>38534</v>
      </c>
      <c r="M2432" t="e">
        <v>#N/A</v>
      </c>
      <c r="N2432" s="1">
        <v>38169</v>
      </c>
    </row>
    <row r="2433" spans="11:14" x14ac:dyDescent="0.3">
      <c r="K2433" s="1">
        <v>38534</v>
      </c>
      <c r="M2433" t="e">
        <v>#N/A</v>
      </c>
      <c r="N2433" s="1">
        <v>38169</v>
      </c>
    </row>
    <row r="2434" spans="11:14" x14ac:dyDescent="0.3">
      <c r="K2434" s="1">
        <v>38534</v>
      </c>
      <c r="M2434" t="e">
        <v>#N/A</v>
      </c>
      <c r="N2434" s="1">
        <v>38169</v>
      </c>
    </row>
    <row r="2435" spans="11:14" x14ac:dyDescent="0.3">
      <c r="K2435" s="1">
        <v>38534</v>
      </c>
      <c r="M2435" t="e">
        <v>#N/A</v>
      </c>
      <c r="N2435" s="1">
        <v>38169</v>
      </c>
    </row>
    <row r="2436" spans="11:14" x14ac:dyDescent="0.3">
      <c r="K2436" s="1">
        <v>38534</v>
      </c>
      <c r="M2436" t="e">
        <v>#N/A</v>
      </c>
      <c r="N2436" s="1">
        <v>38169</v>
      </c>
    </row>
    <row r="2437" spans="11:14" x14ac:dyDescent="0.3">
      <c r="K2437" s="1">
        <v>38534</v>
      </c>
      <c r="M2437" t="e">
        <v>#N/A</v>
      </c>
      <c r="N2437" s="1">
        <v>38169</v>
      </c>
    </row>
    <row r="2438" spans="11:14" x14ac:dyDescent="0.3">
      <c r="K2438" s="1">
        <v>38534</v>
      </c>
      <c r="M2438" t="e">
        <v>#N/A</v>
      </c>
      <c r="N2438" s="1">
        <v>38169</v>
      </c>
    </row>
    <row r="2439" spans="11:14" x14ac:dyDescent="0.3">
      <c r="K2439" s="1">
        <v>38534</v>
      </c>
      <c r="M2439" t="e">
        <v>#N/A</v>
      </c>
      <c r="N2439" s="1">
        <v>38169</v>
      </c>
    </row>
    <row r="2440" spans="11:14" x14ac:dyDescent="0.3">
      <c r="K2440" s="1">
        <v>38534</v>
      </c>
      <c r="M2440" t="e">
        <v>#N/A</v>
      </c>
      <c r="N2440" s="1">
        <v>38169</v>
      </c>
    </row>
    <row r="2441" spans="11:14" x14ac:dyDescent="0.3">
      <c r="K2441" s="1">
        <v>38534</v>
      </c>
      <c r="M2441" t="e">
        <v>#N/A</v>
      </c>
      <c r="N2441" s="1">
        <v>38169</v>
      </c>
    </row>
    <row r="2442" spans="11:14" x14ac:dyDescent="0.3">
      <c r="K2442" s="1">
        <v>38534</v>
      </c>
      <c r="M2442" t="e">
        <v>#N/A</v>
      </c>
      <c r="N2442" s="1">
        <v>38169</v>
      </c>
    </row>
    <row r="2443" spans="11:14" x14ac:dyDescent="0.3">
      <c r="K2443" s="1">
        <v>38534</v>
      </c>
      <c r="M2443" t="e">
        <v>#N/A</v>
      </c>
      <c r="N2443" s="1">
        <v>38169</v>
      </c>
    </row>
    <row r="2444" spans="11:14" x14ac:dyDescent="0.3">
      <c r="K2444" s="1">
        <v>38534</v>
      </c>
      <c r="M2444" t="e">
        <v>#N/A</v>
      </c>
      <c r="N2444" s="1">
        <v>38169</v>
      </c>
    </row>
    <row r="2445" spans="11:14" x14ac:dyDescent="0.3">
      <c r="K2445" s="1">
        <v>38534</v>
      </c>
      <c r="M2445" t="e">
        <v>#N/A</v>
      </c>
      <c r="N2445" s="1">
        <v>38169</v>
      </c>
    </row>
    <row r="2446" spans="11:14" x14ac:dyDescent="0.3">
      <c r="K2446" s="1">
        <v>38534</v>
      </c>
      <c r="M2446" t="e">
        <v>#N/A</v>
      </c>
      <c r="N2446" s="1">
        <v>38169</v>
      </c>
    </row>
    <row r="2447" spans="11:14" x14ac:dyDescent="0.3">
      <c r="K2447" s="1">
        <v>38534</v>
      </c>
      <c r="M2447" t="e">
        <v>#N/A</v>
      </c>
      <c r="N2447" s="1">
        <v>38169</v>
      </c>
    </row>
    <row r="2448" spans="11:14" x14ac:dyDescent="0.3">
      <c r="K2448" s="1">
        <v>38534</v>
      </c>
      <c r="M2448" t="e">
        <v>#N/A</v>
      </c>
      <c r="N2448" s="1">
        <v>38169</v>
      </c>
    </row>
    <row r="2449" spans="11:14" x14ac:dyDescent="0.3">
      <c r="K2449" s="1">
        <v>38534</v>
      </c>
      <c r="M2449" t="e">
        <v>#N/A</v>
      </c>
      <c r="N2449" s="1">
        <v>38169</v>
      </c>
    </row>
    <row r="2450" spans="11:14" x14ac:dyDescent="0.3">
      <c r="K2450" s="1">
        <v>38534</v>
      </c>
      <c r="M2450" t="e">
        <v>#N/A</v>
      </c>
      <c r="N2450" s="1">
        <v>38169</v>
      </c>
    </row>
    <row r="2451" spans="11:14" x14ac:dyDescent="0.3">
      <c r="K2451" s="1">
        <v>38534</v>
      </c>
      <c r="M2451" t="e">
        <v>#N/A</v>
      </c>
      <c r="N2451" s="1">
        <v>38169</v>
      </c>
    </row>
    <row r="2452" spans="11:14" x14ac:dyDescent="0.3">
      <c r="K2452" s="1">
        <v>38534</v>
      </c>
      <c r="M2452" t="e">
        <v>#N/A</v>
      </c>
      <c r="N2452" s="1">
        <v>38169</v>
      </c>
    </row>
    <row r="2453" spans="11:14" x14ac:dyDescent="0.3">
      <c r="K2453" s="1">
        <v>38534</v>
      </c>
      <c r="M2453" t="e">
        <v>#N/A</v>
      </c>
      <c r="N2453" s="1">
        <v>38169</v>
      </c>
    </row>
    <row r="2454" spans="11:14" x14ac:dyDescent="0.3">
      <c r="K2454" s="1">
        <v>38534</v>
      </c>
      <c r="M2454" t="e">
        <v>#N/A</v>
      </c>
      <c r="N2454" s="1">
        <v>38169</v>
      </c>
    </row>
    <row r="2455" spans="11:14" x14ac:dyDescent="0.3">
      <c r="K2455" s="1">
        <v>38534</v>
      </c>
      <c r="M2455" t="e">
        <v>#N/A</v>
      </c>
      <c r="N2455" s="1">
        <v>38169</v>
      </c>
    </row>
    <row r="2456" spans="11:14" x14ac:dyDescent="0.3">
      <c r="K2456" s="1">
        <v>38534</v>
      </c>
      <c r="M2456" t="e">
        <v>#N/A</v>
      </c>
      <c r="N2456" s="1">
        <v>38169</v>
      </c>
    </row>
    <row r="2457" spans="11:14" x14ac:dyDescent="0.3">
      <c r="K2457" s="1">
        <v>38534</v>
      </c>
      <c r="M2457" t="e">
        <v>#N/A</v>
      </c>
      <c r="N2457" s="1">
        <v>38169</v>
      </c>
    </row>
    <row r="2458" spans="11:14" x14ac:dyDescent="0.3">
      <c r="K2458" s="1">
        <v>38534</v>
      </c>
      <c r="M2458" t="e">
        <v>#N/A</v>
      </c>
      <c r="N2458" s="1">
        <v>38169</v>
      </c>
    </row>
    <row r="2459" spans="11:14" x14ac:dyDescent="0.3">
      <c r="K2459" s="1">
        <v>38534</v>
      </c>
      <c r="M2459" t="e">
        <v>#N/A</v>
      </c>
      <c r="N2459" s="1">
        <v>38169</v>
      </c>
    </row>
    <row r="2460" spans="11:14" x14ac:dyDescent="0.3">
      <c r="K2460" s="1">
        <v>38534</v>
      </c>
      <c r="M2460" t="e">
        <v>#N/A</v>
      </c>
      <c r="N2460" s="1">
        <v>38169</v>
      </c>
    </row>
    <row r="2461" spans="11:14" x14ac:dyDescent="0.3">
      <c r="K2461" s="1">
        <v>38534</v>
      </c>
      <c r="M2461" t="e">
        <v>#N/A</v>
      </c>
      <c r="N2461" s="1">
        <v>38169</v>
      </c>
    </row>
    <row r="2462" spans="11:14" x14ac:dyDescent="0.3">
      <c r="K2462" s="1">
        <v>38534</v>
      </c>
      <c r="M2462" t="e">
        <v>#N/A</v>
      </c>
      <c r="N2462" s="1">
        <v>38169</v>
      </c>
    </row>
    <row r="2463" spans="11:14" x14ac:dyDescent="0.3">
      <c r="K2463" s="1">
        <v>38534</v>
      </c>
      <c r="M2463" t="e">
        <v>#N/A</v>
      </c>
      <c r="N2463" s="1">
        <v>38169</v>
      </c>
    </row>
    <row r="2464" spans="11:14" x14ac:dyDescent="0.3">
      <c r="K2464" s="1">
        <v>38534</v>
      </c>
      <c r="M2464" t="e">
        <v>#N/A</v>
      </c>
      <c r="N2464" s="1">
        <v>38169</v>
      </c>
    </row>
    <row r="2465" spans="11:14" x14ac:dyDescent="0.3">
      <c r="K2465" s="1">
        <v>38534</v>
      </c>
      <c r="M2465" t="e">
        <v>#N/A</v>
      </c>
      <c r="N2465" s="1">
        <v>38169</v>
      </c>
    </row>
    <row r="2466" spans="11:14" x14ac:dyDescent="0.3">
      <c r="K2466" s="1">
        <v>38534</v>
      </c>
      <c r="M2466" t="e">
        <v>#N/A</v>
      </c>
      <c r="N2466" s="1">
        <v>38169</v>
      </c>
    </row>
    <row r="2467" spans="11:14" x14ac:dyDescent="0.3">
      <c r="K2467" s="1">
        <v>38534</v>
      </c>
      <c r="M2467" t="e">
        <v>#N/A</v>
      </c>
      <c r="N2467" s="1">
        <v>38169</v>
      </c>
    </row>
    <row r="2468" spans="11:14" x14ac:dyDescent="0.3">
      <c r="K2468" s="1">
        <v>38534</v>
      </c>
      <c r="M2468" t="e">
        <v>#N/A</v>
      </c>
      <c r="N2468" s="1">
        <v>38169</v>
      </c>
    </row>
    <row r="2469" spans="11:14" x14ac:dyDescent="0.3">
      <c r="K2469" s="1">
        <v>38534</v>
      </c>
      <c r="M2469" t="e">
        <v>#N/A</v>
      </c>
      <c r="N2469" s="1">
        <v>38169</v>
      </c>
    </row>
    <row r="2470" spans="11:14" x14ac:dyDescent="0.3">
      <c r="K2470" s="1">
        <v>38534</v>
      </c>
      <c r="M2470" t="e">
        <v>#N/A</v>
      </c>
      <c r="N2470" s="1">
        <v>38169</v>
      </c>
    </row>
    <row r="2471" spans="11:14" x14ac:dyDescent="0.3">
      <c r="K2471" s="1">
        <v>38534</v>
      </c>
      <c r="M2471" t="e">
        <v>#N/A</v>
      </c>
      <c r="N2471" s="1">
        <v>38169</v>
      </c>
    </row>
    <row r="2472" spans="11:14" x14ac:dyDescent="0.3">
      <c r="K2472" s="1">
        <v>38626</v>
      </c>
      <c r="M2472" t="e">
        <v>#N/A</v>
      </c>
      <c r="N2472" s="1">
        <v>38169</v>
      </c>
    </row>
    <row r="2473" spans="11:14" x14ac:dyDescent="0.3">
      <c r="K2473" s="1">
        <v>38626</v>
      </c>
      <c r="M2473" t="e">
        <v>#N/A</v>
      </c>
      <c r="N2473" s="1">
        <v>38169</v>
      </c>
    </row>
    <row r="2474" spans="11:14" x14ac:dyDescent="0.3">
      <c r="K2474" s="1">
        <v>38626</v>
      </c>
      <c r="M2474" t="e">
        <v>#N/A</v>
      </c>
      <c r="N2474" s="1">
        <v>38169</v>
      </c>
    </row>
    <row r="2475" spans="11:14" x14ac:dyDescent="0.3">
      <c r="K2475" s="1">
        <v>38626</v>
      </c>
      <c r="M2475" t="e">
        <v>#N/A</v>
      </c>
      <c r="N2475" s="1">
        <v>38169</v>
      </c>
    </row>
    <row r="2476" spans="11:14" x14ac:dyDescent="0.3">
      <c r="K2476" s="1">
        <v>38626</v>
      </c>
      <c r="M2476" t="e">
        <v>#N/A</v>
      </c>
      <c r="N2476" s="1">
        <v>38169</v>
      </c>
    </row>
    <row r="2477" spans="11:14" x14ac:dyDescent="0.3">
      <c r="K2477" s="1">
        <v>38626</v>
      </c>
      <c r="M2477" t="e">
        <v>#N/A</v>
      </c>
      <c r="N2477" s="1">
        <v>38169</v>
      </c>
    </row>
    <row r="2478" spans="11:14" x14ac:dyDescent="0.3">
      <c r="K2478" s="1">
        <v>38626</v>
      </c>
      <c r="M2478" t="e">
        <v>#N/A</v>
      </c>
      <c r="N2478" s="1">
        <v>38169</v>
      </c>
    </row>
    <row r="2479" spans="11:14" x14ac:dyDescent="0.3">
      <c r="K2479" s="1">
        <v>38626</v>
      </c>
      <c r="M2479" t="e">
        <v>#N/A</v>
      </c>
      <c r="N2479" s="1">
        <v>38169</v>
      </c>
    </row>
    <row r="2480" spans="11:14" x14ac:dyDescent="0.3">
      <c r="K2480" s="1">
        <v>38626</v>
      </c>
      <c r="M2480" t="e">
        <v>#N/A</v>
      </c>
      <c r="N2480" s="1">
        <v>38169</v>
      </c>
    </row>
    <row r="2481" spans="11:14" x14ac:dyDescent="0.3">
      <c r="K2481" s="1">
        <v>38626</v>
      </c>
      <c r="M2481" t="e">
        <v>#N/A</v>
      </c>
      <c r="N2481" s="1">
        <v>38169</v>
      </c>
    </row>
    <row r="2482" spans="11:14" x14ac:dyDescent="0.3">
      <c r="K2482" s="1">
        <v>38626</v>
      </c>
      <c r="M2482" t="e">
        <v>#N/A</v>
      </c>
      <c r="N2482" s="1">
        <v>38169</v>
      </c>
    </row>
    <row r="2483" spans="11:14" x14ac:dyDescent="0.3">
      <c r="K2483" s="1">
        <v>38626</v>
      </c>
      <c r="M2483" t="e">
        <v>#N/A</v>
      </c>
      <c r="N2483" s="1">
        <v>38169</v>
      </c>
    </row>
    <row r="2484" spans="11:14" x14ac:dyDescent="0.3">
      <c r="K2484" s="1">
        <v>38626</v>
      </c>
      <c r="M2484" t="e">
        <v>#N/A</v>
      </c>
      <c r="N2484" s="1">
        <v>38169</v>
      </c>
    </row>
    <row r="2485" spans="11:14" x14ac:dyDescent="0.3">
      <c r="K2485" s="1">
        <v>38626</v>
      </c>
      <c r="M2485" t="e">
        <v>#N/A</v>
      </c>
      <c r="N2485" s="1">
        <v>38169</v>
      </c>
    </row>
    <row r="2486" spans="11:14" x14ac:dyDescent="0.3">
      <c r="K2486" s="1">
        <v>38626</v>
      </c>
      <c r="M2486" t="e">
        <v>#N/A</v>
      </c>
      <c r="N2486" s="1">
        <v>38169</v>
      </c>
    </row>
    <row r="2487" spans="11:14" x14ac:dyDescent="0.3">
      <c r="K2487" s="1">
        <v>38626</v>
      </c>
      <c r="M2487" t="e">
        <v>#N/A</v>
      </c>
      <c r="N2487" s="1">
        <v>38169</v>
      </c>
    </row>
    <row r="2488" spans="11:14" x14ac:dyDescent="0.3">
      <c r="K2488" s="1">
        <v>38626</v>
      </c>
      <c r="M2488" t="e">
        <v>#N/A</v>
      </c>
      <c r="N2488" s="1">
        <v>38169</v>
      </c>
    </row>
    <row r="2489" spans="11:14" x14ac:dyDescent="0.3">
      <c r="K2489" s="1">
        <v>38626</v>
      </c>
      <c r="M2489" t="e">
        <v>#N/A</v>
      </c>
      <c r="N2489" s="1">
        <v>38169</v>
      </c>
    </row>
    <row r="2490" spans="11:14" x14ac:dyDescent="0.3">
      <c r="K2490" s="1">
        <v>38626</v>
      </c>
      <c r="M2490" t="e">
        <v>#N/A</v>
      </c>
      <c r="N2490" s="1">
        <v>38169</v>
      </c>
    </row>
    <row r="2491" spans="11:14" x14ac:dyDescent="0.3">
      <c r="K2491" s="1">
        <v>38626</v>
      </c>
      <c r="M2491" t="e">
        <v>#N/A</v>
      </c>
      <c r="N2491" s="1">
        <v>38169</v>
      </c>
    </row>
    <row r="2492" spans="11:14" x14ac:dyDescent="0.3">
      <c r="K2492" s="1">
        <v>38626</v>
      </c>
      <c r="M2492" t="e">
        <v>#N/A</v>
      </c>
      <c r="N2492" s="1">
        <v>38169</v>
      </c>
    </row>
    <row r="2493" spans="11:14" x14ac:dyDescent="0.3">
      <c r="K2493" s="1">
        <v>38626</v>
      </c>
      <c r="M2493" t="e">
        <v>#N/A</v>
      </c>
      <c r="N2493" s="1">
        <v>38169</v>
      </c>
    </row>
    <row r="2494" spans="11:14" x14ac:dyDescent="0.3">
      <c r="K2494" s="1">
        <v>38626</v>
      </c>
      <c r="M2494" t="e">
        <v>#N/A</v>
      </c>
      <c r="N2494" s="1">
        <v>38169</v>
      </c>
    </row>
    <row r="2495" spans="11:14" x14ac:dyDescent="0.3">
      <c r="K2495" s="1">
        <v>38626</v>
      </c>
      <c r="M2495" t="e">
        <v>#N/A</v>
      </c>
      <c r="N2495" s="1">
        <v>38169</v>
      </c>
    </row>
    <row r="2496" spans="11:14" x14ac:dyDescent="0.3">
      <c r="K2496" s="1">
        <v>38626</v>
      </c>
      <c r="M2496" t="e">
        <v>#N/A</v>
      </c>
      <c r="N2496" s="1">
        <v>38169</v>
      </c>
    </row>
    <row r="2497" spans="11:14" x14ac:dyDescent="0.3">
      <c r="K2497" s="1">
        <v>38626</v>
      </c>
      <c r="M2497" t="e">
        <v>#N/A</v>
      </c>
      <c r="N2497" s="1">
        <v>38169</v>
      </c>
    </row>
    <row r="2498" spans="11:14" x14ac:dyDescent="0.3">
      <c r="K2498" s="1">
        <v>38626</v>
      </c>
      <c r="M2498" t="e">
        <v>#N/A</v>
      </c>
      <c r="N2498" s="1">
        <v>38169</v>
      </c>
    </row>
    <row r="2499" spans="11:14" x14ac:dyDescent="0.3">
      <c r="K2499" s="1">
        <v>38626</v>
      </c>
      <c r="M2499" t="e">
        <v>#N/A</v>
      </c>
      <c r="N2499" s="1">
        <v>38169</v>
      </c>
    </row>
    <row r="2500" spans="11:14" x14ac:dyDescent="0.3">
      <c r="K2500" s="1">
        <v>38626</v>
      </c>
      <c r="M2500" t="e">
        <v>#N/A</v>
      </c>
      <c r="N2500" s="1">
        <v>38169</v>
      </c>
    </row>
    <row r="2501" spans="11:14" x14ac:dyDescent="0.3">
      <c r="K2501" s="1">
        <v>38626</v>
      </c>
      <c r="M2501" t="e">
        <v>#N/A</v>
      </c>
      <c r="N2501" s="1">
        <v>38169</v>
      </c>
    </row>
    <row r="2502" spans="11:14" x14ac:dyDescent="0.3">
      <c r="K2502" s="1">
        <v>38626</v>
      </c>
      <c r="M2502" t="e">
        <v>#N/A</v>
      </c>
      <c r="N2502" s="1">
        <v>38169</v>
      </c>
    </row>
    <row r="2503" spans="11:14" x14ac:dyDescent="0.3">
      <c r="K2503" s="1">
        <v>38626</v>
      </c>
      <c r="M2503" t="e">
        <v>#N/A</v>
      </c>
      <c r="N2503" s="1">
        <v>38169</v>
      </c>
    </row>
    <row r="2504" spans="11:14" x14ac:dyDescent="0.3">
      <c r="K2504" s="1">
        <v>38626</v>
      </c>
      <c r="M2504" t="e">
        <v>#N/A</v>
      </c>
      <c r="N2504" s="1">
        <v>38169</v>
      </c>
    </row>
    <row r="2505" spans="11:14" x14ac:dyDescent="0.3">
      <c r="K2505" s="1">
        <v>38626</v>
      </c>
      <c r="M2505" t="e">
        <v>#N/A</v>
      </c>
      <c r="N2505" s="1">
        <v>38169</v>
      </c>
    </row>
    <row r="2506" spans="11:14" x14ac:dyDescent="0.3">
      <c r="K2506" s="1">
        <v>38626</v>
      </c>
      <c r="M2506" t="e">
        <v>#N/A</v>
      </c>
      <c r="N2506" s="1">
        <v>38169</v>
      </c>
    </row>
    <row r="2507" spans="11:14" x14ac:dyDescent="0.3">
      <c r="K2507" s="1">
        <v>38626</v>
      </c>
      <c r="M2507" t="e">
        <v>#N/A</v>
      </c>
      <c r="N2507" s="1">
        <v>38169</v>
      </c>
    </row>
    <row r="2508" spans="11:14" x14ac:dyDescent="0.3">
      <c r="K2508" s="1">
        <v>38626</v>
      </c>
      <c r="M2508" t="e">
        <v>#N/A</v>
      </c>
      <c r="N2508" s="1">
        <v>38169</v>
      </c>
    </row>
    <row r="2509" spans="11:14" x14ac:dyDescent="0.3">
      <c r="K2509" s="1">
        <v>38626</v>
      </c>
      <c r="M2509" t="e">
        <v>#N/A</v>
      </c>
      <c r="N2509" s="1">
        <v>38169</v>
      </c>
    </row>
    <row r="2510" spans="11:14" x14ac:dyDescent="0.3">
      <c r="K2510" s="1">
        <v>38626</v>
      </c>
      <c r="M2510" t="e">
        <v>#N/A</v>
      </c>
      <c r="N2510" s="1">
        <v>38169</v>
      </c>
    </row>
    <row r="2511" spans="11:14" x14ac:dyDescent="0.3">
      <c r="K2511" s="1">
        <v>38626</v>
      </c>
      <c r="M2511" t="e">
        <v>#N/A</v>
      </c>
      <c r="N2511" s="1">
        <v>38169</v>
      </c>
    </row>
    <row r="2512" spans="11:14" x14ac:dyDescent="0.3">
      <c r="K2512" s="1">
        <v>38626</v>
      </c>
      <c r="M2512" t="e">
        <v>#N/A</v>
      </c>
      <c r="N2512" s="1">
        <v>38169</v>
      </c>
    </row>
    <row r="2513" spans="11:14" x14ac:dyDescent="0.3">
      <c r="K2513" s="1">
        <v>38626</v>
      </c>
      <c r="M2513" t="e">
        <v>#N/A</v>
      </c>
      <c r="N2513" s="1">
        <v>38169</v>
      </c>
    </row>
    <row r="2514" spans="11:14" x14ac:dyDescent="0.3">
      <c r="K2514" s="1">
        <v>38626</v>
      </c>
      <c r="M2514" t="e">
        <v>#N/A</v>
      </c>
      <c r="N2514" s="1">
        <v>38169</v>
      </c>
    </row>
    <row r="2515" spans="11:14" x14ac:dyDescent="0.3">
      <c r="K2515" s="1">
        <v>38626</v>
      </c>
      <c r="M2515" t="e">
        <v>#N/A</v>
      </c>
      <c r="N2515" s="1">
        <v>38169</v>
      </c>
    </row>
    <row r="2516" spans="11:14" x14ac:dyDescent="0.3">
      <c r="K2516" s="1">
        <v>38626</v>
      </c>
      <c r="M2516" t="e">
        <v>#N/A</v>
      </c>
      <c r="N2516" s="1">
        <v>38169</v>
      </c>
    </row>
    <row r="2517" spans="11:14" x14ac:dyDescent="0.3">
      <c r="K2517" s="1">
        <v>38626</v>
      </c>
      <c r="M2517" t="e">
        <v>#N/A</v>
      </c>
      <c r="N2517" s="1">
        <v>38169</v>
      </c>
    </row>
    <row r="2518" spans="11:14" x14ac:dyDescent="0.3">
      <c r="K2518" s="1">
        <v>38626</v>
      </c>
      <c r="M2518" t="e">
        <v>#N/A</v>
      </c>
      <c r="N2518" s="1">
        <v>38169</v>
      </c>
    </row>
    <row r="2519" spans="11:14" x14ac:dyDescent="0.3">
      <c r="K2519" s="1">
        <v>38626</v>
      </c>
      <c r="M2519" t="e">
        <v>#N/A</v>
      </c>
      <c r="N2519" s="1">
        <v>38169</v>
      </c>
    </row>
    <row r="2520" spans="11:14" x14ac:dyDescent="0.3">
      <c r="K2520" s="1">
        <v>38626</v>
      </c>
      <c r="M2520" t="e">
        <v>#N/A</v>
      </c>
      <c r="N2520" s="1">
        <v>38169</v>
      </c>
    </row>
    <row r="2521" spans="11:14" x14ac:dyDescent="0.3">
      <c r="K2521" s="1">
        <v>38626</v>
      </c>
      <c r="M2521" t="e">
        <v>#N/A</v>
      </c>
      <c r="N2521" s="1">
        <v>38169</v>
      </c>
    </row>
    <row r="2522" spans="11:14" x14ac:dyDescent="0.3">
      <c r="K2522" s="1">
        <v>38626</v>
      </c>
      <c r="M2522" t="e">
        <v>#N/A</v>
      </c>
      <c r="N2522" s="1">
        <v>38169</v>
      </c>
    </row>
    <row r="2523" spans="11:14" x14ac:dyDescent="0.3">
      <c r="K2523" s="1">
        <v>38626</v>
      </c>
      <c r="M2523" t="e">
        <v>#N/A</v>
      </c>
      <c r="N2523" s="1">
        <v>38169</v>
      </c>
    </row>
    <row r="2524" spans="11:14" x14ac:dyDescent="0.3">
      <c r="K2524" s="1">
        <v>38626</v>
      </c>
      <c r="M2524" t="e">
        <v>#N/A</v>
      </c>
      <c r="N2524" s="1">
        <v>38169</v>
      </c>
    </row>
    <row r="2525" spans="11:14" x14ac:dyDescent="0.3">
      <c r="K2525" s="1">
        <v>38626</v>
      </c>
      <c r="M2525" t="e">
        <v>#N/A</v>
      </c>
      <c r="N2525" s="1">
        <v>38169</v>
      </c>
    </row>
    <row r="2526" spans="11:14" x14ac:dyDescent="0.3">
      <c r="K2526" s="1">
        <v>38626</v>
      </c>
      <c r="M2526" t="e">
        <v>#N/A</v>
      </c>
      <c r="N2526" s="1">
        <v>38169</v>
      </c>
    </row>
    <row r="2527" spans="11:14" x14ac:dyDescent="0.3">
      <c r="K2527" s="1">
        <v>38626</v>
      </c>
      <c r="M2527" t="e">
        <v>#N/A</v>
      </c>
      <c r="N2527" s="1">
        <v>38169</v>
      </c>
    </row>
    <row r="2528" spans="11:14" x14ac:dyDescent="0.3">
      <c r="K2528" s="1">
        <v>38626</v>
      </c>
      <c r="M2528" t="e">
        <v>#N/A</v>
      </c>
      <c r="N2528" s="1">
        <v>38169</v>
      </c>
    </row>
    <row r="2529" spans="11:14" x14ac:dyDescent="0.3">
      <c r="K2529" s="1">
        <v>38626</v>
      </c>
      <c r="M2529" t="e">
        <v>#N/A</v>
      </c>
      <c r="N2529" s="1">
        <v>38169</v>
      </c>
    </row>
    <row r="2530" spans="11:14" x14ac:dyDescent="0.3">
      <c r="K2530" s="1">
        <v>38626</v>
      </c>
      <c r="M2530" t="e">
        <v>#N/A</v>
      </c>
      <c r="N2530" s="1">
        <v>38169</v>
      </c>
    </row>
    <row r="2531" spans="11:14" x14ac:dyDescent="0.3">
      <c r="K2531" s="1">
        <v>38626</v>
      </c>
      <c r="M2531" t="e">
        <v>#N/A</v>
      </c>
      <c r="N2531" s="1">
        <v>38169</v>
      </c>
    </row>
    <row r="2532" spans="11:14" x14ac:dyDescent="0.3">
      <c r="K2532" s="1">
        <v>38626</v>
      </c>
      <c r="M2532" t="e">
        <v>#N/A</v>
      </c>
      <c r="N2532" s="1">
        <v>38169</v>
      </c>
    </row>
    <row r="2533" spans="11:14" x14ac:dyDescent="0.3">
      <c r="K2533" s="1">
        <v>38626</v>
      </c>
      <c r="M2533" t="e">
        <v>#N/A</v>
      </c>
      <c r="N2533" s="1">
        <v>38169</v>
      </c>
    </row>
    <row r="2534" spans="11:14" x14ac:dyDescent="0.3">
      <c r="K2534" s="1">
        <v>38626</v>
      </c>
      <c r="M2534" t="e">
        <v>#N/A</v>
      </c>
      <c r="N2534" s="1">
        <v>38169</v>
      </c>
    </row>
    <row r="2535" spans="11:14" x14ac:dyDescent="0.3">
      <c r="K2535" s="1">
        <v>38626</v>
      </c>
      <c r="M2535" t="e">
        <v>#N/A</v>
      </c>
      <c r="N2535" s="1">
        <v>38169</v>
      </c>
    </row>
    <row r="2536" spans="11:14" x14ac:dyDescent="0.3">
      <c r="K2536" s="1">
        <v>38626</v>
      </c>
      <c r="M2536" t="e">
        <v>#N/A</v>
      </c>
      <c r="N2536" s="1">
        <v>38169</v>
      </c>
    </row>
    <row r="2537" spans="11:14" x14ac:dyDescent="0.3">
      <c r="K2537" s="1">
        <v>38626</v>
      </c>
      <c r="M2537" t="e">
        <v>#N/A</v>
      </c>
      <c r="N2537" s="1">
        <v>38169</v>
      </c>
    </row>
    <row r="2538" spans="11:14" x14ac:dyDescent="0.3">
      <c r="K2538" s="1">
        <v>38626</v>
      </c>
      <c r="M2538" t="e">
        <v>#N/A</v>
      </c>
      <c r="N2538" s="1">
        <v>38169</v>
      </c>
    </row>
    <row r="2539" spans="11:14" x14ac:dyDescent="0.3">
      <c r="K2539" s="1">
        <v>38626</v>
      </c>
      <c r="M2539" t="e">
        <v>#N/A</v>
      </c>
      <c r="N2539" s="1">
        <v>38169</v>
      </c>
    </row>
    <row r="2540" spans="11:14" x14ac:dyDescent="0.3">
      <c r="K2540" s="1">
        <v>38626</v>
      </c>
      <c r="M2540" t="e">
        <v>#N/A</v>
      </c>
      <c r="N2540" s="1">
        <v>38169</v>
      </c>
    </row>
    <row r="2541" spans="11:14" x14ac:dyDescent="0.3">
      <c r="K2541" s="1">
        <v>38626</v>
      </c>
      <c r="M2541" t="e">
        <v>#N/A</v>
      </c>
      <c r="N2541" s="1">
        <v>38169</v>
      </c>
    </row>
    <row r="2542" spans="11:14" x14ac:dyDescent="0.3">
      <c r="K2542" s="1">
        <v>38626</v>
      </c>
      <c r="M2542" t="e">
        <v>#N/A</v>
      </c>
      <c r="N2542" s="1">
        <v>38169</v>
      </c>
    </row>
    <row r="2543" spans="11:14" x14ac:dyDescent="0.3">
      <c r="K2543" s="1">
        <v>38626</v>
      </c>
      <c r="M2543" t="e">
        <v>#N/A</v>
      </c>
      <c r="N2543" s="1">
        <v>38169</v>
      </c>
    </row>
    <row r="2544" spans="11:14" x14ac:dyDescent="0.3">
      <c r="K2544" s="1">
        <v>38626</v>
      </c>
      <c r="M2544" t="e">
        <v>#N/A</v>
      </c>
      <c r="N2544" s="1">
        <v>38169</v>
      </c>
    </row>
    <row r="2545" spans="11:14" x14ac:dyDescent="0.3">
      <c r="K2545" s="1">
        <v>38626</v>
      </c>
      <c r="M2545" t="e">
        <v>#N/A</v>
      </c>
      <c r="N2545" s="1">
        <v>38169</v>
      </c>
    </row>
    <row r="2546" spans="11:14" x14ac:dyDescent="0.3">
      <c r="K2546" s="1">
        <v>38626</v>
      </c>
      <c r="M2546" t="e">
        <v>#N/A</v>
      </c>
      <c r="N2546" s="1">
        <v>38169</v>
      </c>
    </row>
    <row r="2547" spans="11:14" x14ac:dyDescent="0.3">
      <c r="K2547" s="1">
        <v>38626</v>
      </c>
      <c r="M2547" t="e">
        <v>#N/A</v>
      </c>
      <c r="N2547" s="1">
        <v>38169</v>
      </c>
    </row>
    <row r="2548" spans="11:14" x14ac:dyDescent="0.3">
      <c r="K2548" s="1">
        <v>38626</v>
      </c>
      <c r="M2548" t="e">
        <v>#N/A</v>
      </c>
      <c r="N2548" s="1">
        <v>38169</v>
      </c>
    </row>
    <row r="2549" spans="11:14" x14ac:dyDescent="0.3">
      <c r="K2549" s="1">
        <v>38626</v>
      </c>
      <c r="M2549" t="e">
        <v>#N/A</v>
      </c>
      <c r="N2549" s="1">
        <v>38169</v>
      </c>
    </row>
    <row r="2550" spans="11:14" x14ac:dyDescent="0.3">
      <c r="K2550" s="1">
        <v>38626</v>
      </c>
      <c r="M2550" t="e">
        <v>#N/A</v>
      </c>
      <c r="N2550" s="1">
        <v>38169</v>
      </c>
    </row>
    <row r="2551" spans="11:14" x14ac:dyDescent="0.3">
      <c r="K2551" s="1">
        <v>38626</v>
      </c>
      <c r="M2551" t="e">
        <v>#N/A</v>
      </c>
      <c r="N2551" s="1">
        <v>38169</v>
      </c>
    </row>
    <row r="2552" spans="11:14" x14ac:dyDescent="0.3">
      <c r="K2552" s="1">
        <v>38626</v>
      </c>
      <c r="M2552" t="e">
        <v>#N/A</v>
      </c>
      <c r="N2552" s="1">
        <v>38169</v>
      </c>
    </row>
    <row r="2553" spans="11:14" x14ac:dyDescent="0.3">
      <c r="K2553" s="1">
        <v>38626</v>
      </c>
      <c r="M2553" t="e">
        <v>#N/A</v>
      </c>
      <c r="N2553" s="1">
        <v>38169</v>
      </c>
    </row>
    <row r="2554" spans="11:14" x14ac:dyDescent="0.3">
      <c r="K2554" s="1">
        <v>38626</v>
      </c>
      <c r="M2554" t="e">
        <v>#N/A</v>
      </c>
      <c r="N2554" s="1">
        <v>38169</v>
      </c>
    </row>
    <row r="2555" spans="11:14" x14ac:dyDescent="0.3">
      <c r="K2555" s="1">
        <v>38626</v>
      </c>
      <c r="M2555" t="e">
        <v>#N/A</v>
      </c>
      <c r="N2555" s="1">
        <v>38169</v>
      </c>
    </row>
    <row r="2556" spans="11:14" x14ac:dyDescent="0.3">
      <c r="K2556" s="1">
        <v>38626</v>
      </c>
      <c r="M2556" t="e">
        <v>#N/A</v>
      </c>
      <c r="N2556" s="1">
        <v>38169</v>
      </c>
    </row>
    <row r="2557" spans="11:14" x14ac:dyDescent="0.3">
      <c r="K2557" s="1">
        <v>38626</v>
      </c>
      <c r="M2557" t="e">
        <v>#N/A</v>
      </c>
      <c r="N2557" s="1">
        <v>38169</v>
      </c>
    </row>
    <row r="2558" spans="11:14" x14ac:dyDescent="0.3">
      <c r="K2558" s="1">
        <v>38626</v>
      </c>
      <c r="M2558" t="e">
        <v>#N/A</v>
      </c>
      <c r="N2558" s="1">
        <v>38169</v>
      </c>
    </row>
    <row r="2559" spans="11:14" x14ac:dyDescent="0.3">
      <c r="K2559" s="1">
        <v>38626</v>
      </c>
      <c r="M2559" t="e">
        <v>#N/A</v>
      </c>
      <c r="N2559" s="1">
        <v>38169</v>
      </c>
    </row>
    <row r="2560" spans="11:14" x14ac:dyDescent="0.3">
      <c r="K2560" s="1">
        <v>38626</v>
      </c>
      <c r="M2560" t="e">
        <v>#N/A</v>
      </c>
      <c r="N2560" s="1">
        <v>38169</v>
      </c>
    </row>
    <row r="2561" spans="11:14" x14ac:dyDescent="0.3">
      <c r="K2561" s="1">
        <v>38626</v>
      </c>
      <c r="M2561" t="e">
        <v>#N/A</v>
      </c>
      <c r="N2561" s="1">
        <v>38169</v>
      </c>
    </row>
    <row r="2562" spans="11:14" x14ac:dyDescent="0.3">
      <c r="K2562" s="1">
        <v>38626</v>
      </c>
      <c r="M2562" t="e">
        <v>#N/A</v>
      </c>
      <c r="N2562" s="1">
        <v>38169</v>
      </c>
    </row>
    <row r="2563" spans="11:14" x14ac:dyDescent="0.3">
      <c r="K2563" s="1">
        <v>38626</v>
      </c>
      <c r="M2563" t="e">
        <v>#N/A</v>
      </c>
      <c r="N2563" s="1">
        <v>38169</v>
      </c>
    </row>
    <row r="2564" spans="11:14" x14ac:dyDescent="0.3">
      <c r="K2564" s="1">
        <v>38626</v>
      </c>
      <c r="M2564" t="e">
        <v>#N/A</v>
      </c>
      <c r="N2564" s="1">
        <v>38169</v>
      </c>
    </row>
    <row r="2565" spans="11:14" x14ac:dyDescent="0.3">
      <c r="K2565" s="1">
        <v>38626</v>
      </c>
      <c r="M2565" t="e">
        <v>#N/A</v>
      </c>
      <c r="N2565" s="1">
        <v>38169</v>
      </c>
    </row>
    <row r="2566" spans="11:14" x14ac:dyDescent="0.3">
      <c r="K2566" s="1">
        <v>38626</v>
      </c>
      <c r="M2566" t="e">
        <v>#N/A</v>
      </c>
      <c r="N2566" s="1">
        <v>38169</v>
      </c>
    </row>
    <row r="2567" spans="11:14" x14ac:dyDescent="0.3">
      <c r="K2567" s="1">
        <v>38626</v>
      </c>
      <c r="M2567" t="e">
        <v>#N/A</v>
      </c>
      <c r="N2567" s="1">
        <v>38169</v>
      </c>
    </row>
    <row r="2568" spans="11:14" x14ac:dyDescent="0.3">
      <c r="K2568" s="1">
        <v>38626</v>
      </c>
      <c r="M2568" t="e">
        <v>#N/A</v>
      </c>
      <c r="N2568" s="1">
        <v>38169</v>
      </c>
    </row>
    <row r="2569" spans="11:14" x14ac:dyDescent="0.3">
      <c r="K2569" s="1">
        <v>38626</v>
      </c>
      <c r="M2569" t="e">
        <v>#N/A</v>
      </c>
      <c r="N2569" s="1">
        <v>38261</v>
      </c>
    </row>
    <row r="2570" spans="11:14" x14ac:dyDescent="0.3">
      <c r="K2570" s="1">
        <v>38626</v>
      </c>
      <c r="M2570" t="e">
        <v>#N/A</v>
      </c>
      <c r="N2570" s="1">
        <v>38261</v>
      </c>
    </row>
    <row r="2571" spans="11:14" x14ac:dyDescent="0.3">
      <c r="K2571" s="1">
        <v>38626</v>
      </c>
      <c r="M2571" t="e">
        <v>#N/A</v>
      </c>
      <c r="N2571" s="1">
        <v>38261</v>
      </c>
    </row>
    <row r="2572" spans="11:14" x14ac:dyDescent="0.3">
      <c r="K2572" s="1">
        <v>38626</v>
      </c>
      <c r="M2572" t="e">
        <v>#N/A</v>
      </c>
      <c r="N2572" s="1">
        <v>38261</v>
      </c>
    </row>
    <row r="2573" spans="11:14" x14ac:dyDescent="0.3">
      <c r="K2573" s="1">
        <v>38626</v>
      </c>
      <c r="M2573" t="e">
        <v>#N/A</v>
      </c>
      <c r="N2573" s="1">
        <v>38261</v>
      </c>
    </row>
    <row r="2574" spans="11:14" x14ac:dyDescent="0.3">
      <c r="K2574" s="1">
        <v>38626</v>
      </c>
      <c r="M2574" t="e">
        <v>#N/A</v>
      </c>
      <c r="N2574" s="1">
        <v>38261</v>
      </c>
    </row>
    <row r="2575" spans="11:14" x14ac:dyDescent="0.3">
      <c r="K2575" s="1">
        <v>38626</v>
      </c>
      <c r="M2575" t="e">
        <v>#N/A</v>
      </c>
      <c r="N2575" s="1">
        <v>38261</v>
      </c>
    </row>
    <row r="2576" spans="11:14" x14ac:dyDescent="0.3">
      <c r="K2576" s="1">
        <v>38626</v>
      </c>
      <c r="M2576" t="e">
        <v>#N/A</v>
      </c>
      <c r="N2576" s="1">
        <v>38261</v>
      </c>
    </row>
    <row r="2577" spans="11:14" x14ac:dyDescent="0.3">
      <c r="K2577" s="1">
        <v>38626</v>
      </c>
      <c r="M2577" t="e">
        <v>#N/A</v>
      </c>
      <c r="N2577" s="1">
        <v>38261</v>
      </c>
    </row>
    <row r="2578" spans="11:14" x14ac:dyDescent="0.3">
      <c r="K2578" s="1">
        <v>38626</v>
      </c>
      <c r="M2578" t="e">
        <v>#N/A</v>
      </c>
      <c r="N2578" s="1">
        <v>38261</v>
      </c>
    </row>
    <row r="2579" spans="11:14" x14ac:dyDescent="0.3">
      <c r="K2579" s="1">
        <v>38626</v>
      </c>
      <c r="M2579" t="e">
        <v>#N/A</v>
      </c>
      <c r="N2579" s="1">
        <v>38261</v>
      </c>
    </row>
    <row r="2580" spans="11:14" x14ac:dyDescent="0.3">
      <c r="K2580" s="1">
        <v>38626</v>
      </c>
      <c r="M2580" t="e">
        <v>#N/A</v>
      </c>
      <c r="N2580" s="1">
        <v>38261</v>
      </c>
    </row>
    <row r="2581" spans="11:14" x14ac:dyDescent="0.3">
      <c r="K2581" s="1">
        <v>38626</v>
      </c>
      <c r="M2581" t="e">
        <v>#N/A</v>
      </c>
      <c r="N2581" s="1">
        <v>38261</v>
      </c>
    </row>
    <row r="2582" spans="11:14" x14ac:dyDescent="0.3">
      <c r="K2582" s="1">
        <v>38626</v>
      </c>
      <c r="M2582" t="e">
        <v>#N/A</v>
      </c>
      <c r="N2582" s="1">
        <v>38261</v>
      </c>
    </row>
    <row r="2583" spans="11:14" x14ac:dyDescent="0.3">
      <c r="K2583" s="1">
        <v>38626</v>
      </c>
      <c r="M2583" t="e">
        <v>#N/A</v>
      </c>
      <c r="N2583" s="1">
        <v>38261</v>
      </c>
    </row>
    <row r="2584" spans="11:14" x14ac:dyDescent="0.3">
      <c r="K2584" s="1">
        <v>38626</v>
      </c>
      <c r="M2584" t="e">
        <v>#N/A</v>
      </c>
      <c r="N2584" s="1">
        <v>38261</v>
      </c>
    </row>
    <row r="2585" spans="11:14" x14ac:dyDescent="0.3">
      <c r="K2585" s="1">
        <v>38626</v>
      </c>
      <c r="M2585" t="e">
        <v>#N/A</v>
      </c>
      <c r="N2585" s="1">
        <v>38261</v>
      </c>
    </row>
    <row r="2586" spans="11:14" x14ac:dyDescent="0.3">
      <c r="K2586" s="1">
        <v>38626</v>
      </c>
      <c r="M2586" t="e">
        <v>#N/A</v>
      </c>
      <c r="N2586" s="1">
        <v>38261</v>
      </c>
    </row>
    <row r="2587" spans="11:14" x14ac:dyDescent="0.3">
      <c r="K2587" s="1">
        <v>38626</v>
      </c>
      <c r="M2587" t="e">
        <v>#N/A</v>
      </c>
      <c r="N2587" s="1">
        <v>38261</v>
      </c>
    </row>
    <row r="2588" spans="11:14" x14ac:dyDescent="0.3">
      <c r="K2588" s="1">
        <v>38626</v>
      </c>
      <c r="M2588" t="e">
        <v>#N/A</v>
      </c>
      <c r="N2588" s="1">
        <v>38261</v>
      </c>
    </row>
    <row r="2589" spans="11:14" x14ac:dyDescent="0.3">
      <c r="K2589" s="1">
        <v>38626</v>
      </c>
      <c r="M2589" t="e">
        <v>#N/A</v>
      </c>
      <c r="N2589" s="1">
        <v>38261</v>
      </c>
    </row>
    <row r="2590" spans="11:14" x14ac:dyDescent="0.3">
      <c r="K2590" s="1">
        <v>38626</v>
      </c>
      <c r="M2590" t="e">
        <v>#N/A</v>
      </c>
      <c r="N2590" s="1">
        <v>38261</v>
      </c>
    </row>
    <row r="2591" spans="11:14" x14ac:dyDescent="0.3">
      <c r="K2591" s="1">
        <v>38626</v>
      </c>
      <c r="M2591" t="e">
        <v>#N/A</v>
      </c>
      <c r="N2591" s="1">
        <v>38261</v>
      </c>
    </row>
    <row r="2592" spans="11:14" x14ac:dyDescent="0.3">
      <c r="K2592" s="1">
        <v>38626</v>
      </c>
      <c r="M2592" t="e">
        <v>#N/A</v>
      </c>
      <c r="N2592" s="1">
        <v>38261</v>
      </c>
    </row>
    <row r="2593" spans="11:14" x14ac:dyDescent="0.3">
      <c r="K2593" s="1">
        <v>38626</v>
      </c>
      <c r="M2593" t="e">
        <v>#N/A</v>
      </c>
      <c r="N2593" s="1">
        <v>38261</v>
      </c>
    </row>
    <row r="2594" spans="11:14" x14ac:dyDescent="0.3">
      <c r="K2594" s="1">
        <v>38626</v>
      </c>
      <c r="M2594" t="e">
        <v>#N/A</v>
      </c>
      <c r="N2594" s="1">
        <v>38261</v>
      </c>
    </row>
    <row r="2595" spans="11:14" x14ac:dyDescent="0.3">
      <c r="K2595" s="1">
        <v>38626</v>
      </c>
      <c r="M2595" t="e">
        <v>#N/A</v>
      </c>
      <c r="N2595" s="1">
        <v>38261</v>
      </c>
    </row>
    <row r="2596" spans="11:14" x14ac:dyDescent="0.3">
      <c r="K2596" s="1">
        <v>38626</v>
      </c>
      <c r="M2596" t="e">
        <v>#N/A</v>
      </c>
      <c r="N2596" s="1">
        <v>38261</v>
      </c>
    </row>
    <row r="2597" spans="11:14" x14ac:dyDescent="0.3">
      <c r="K2597" s="1">
        <v>38626</v>
      </c>
      <c r="M2597" t="e">
        <v>#N/A</v>
      </c>
      <c r="N2597" s="1">
        <v>38261</v>
      </c>
    </row>
    <row r="2598" spans="11:14" x14ac:dyDescent="0.3">
      <c r="K2598" s="1">
        <v>38626</v>
      </c>
      <c r="M2598" t="e">
        <v>#N/A</v>
      </c>
      <c r="N2598" s="1">
        <v>38261</v>
      </c>
    </row>
    <row r="2599" spans="11:14" x14ac:dyDescent="0.3">
      <c r="K2599" s="1">
        <v>38626</v>
      </c>
      <c r="M2599" t="e">
        <v>#N/A</v>
      </c>
      <c r="N2599" s="1">
        <v>38261</v>
      </c>
    </row>
    <row r="2600" spans="11:14" x14ac:dyDescent="0.3">
      <c r="K2600" s="1">
        <v>38626</v>
      </c>
      <c r="M2600" t="e">
        <v>#N/A</v>
      </c>
      <c r="N2600" s="1">
        <v>38261</v>
      </c>
    </row>
    <row r="2601" spans="11:14" x14ac:dyDescent="0.3">
      <c r="K2601" s="1">
        <v>38626</v>
      </c>
      <c r="M2601" t="e">
        <v>#N/A</v>
      </c>
      <c r="N2601" s="1">
        <v>38261</v>
      </c>
    </row>
    <row r="2602" spans="11:14" x14ac:dyDescent="0.3">
      <c r="K2602" s="1">
        <v>38626</v>
      </c>
      <c r="M2602" t="e">
        <v>#N/A</v>
      </c>
      <c r="N2602" s="1">
        <v>38261</v>
      </c>
    </row>
    <row r="2603" spans="11:14" x14ac:dyDescent="0.3">
      <c r="K2603" s="1">
        <v>38626</v>
      </c>
      <c r="M2603" t="e">
        <v>#N/A</v>
      </c>
      <c r="N2603" s="1">
        <v>38261</v>
      </c>
    </row>
    <row r="2604" spans="11:14" x14ac:dyDescent="0.3">
      <c r="K2604" s="1">
        <v>38626</v>
      </c>
      <c r="M2604" t="e">
        <v>#N/A</v>
      </c>
      <c r="N2604" s="1">
        <v>38261</v>
      </c>
    </row>
    <row r="2605" spans="11:14" x14ac:dyDescent="0.3">
      <c r="K2605" s="1">
        <v>38626</v>
      </c>
      <c r="M2605" t="e">
        <v>#N/A</v>
      </c>
      <c r="N2605" s="1">
        <v>38261</v>
      </c>
    </row>
    <row r="2606" spans="11:14" x14ac:dyDescent="0.3">
      <c r="K2606" s="1">
        <v>38626</v>
      </c>
      <c r="M2606" t="e">
        <v>#N/A</v>
      </c>
      <c r="N2606" s="1">
        <v>38261</v>
      </c>
    </row>
    <row r="2607" spans="11:14" x14ac:dyDescent="0.3">
      <c r="K2607" s="1">
        <v>38626</v>
      </c>
      <c r="M2607" t="e">
        <v>#N/A</v>
      </c>
      <c r="N2607" s="1">
        <v>38261</v>
      </c>
    </row>
    <row r="2608" spans="11:14" x14ac:dyDescent="0.3">
      <c r="K2608" s="1">
        <v>38626</v>
      </c>
      <c r="M2608" t="e">
        <v>#N/A</v>
      </c>
      <c r="N2608" s="1">
        <v>38261</v>
      </c>
    </row>
    <row r="2609" spans="11:14" x14ac:dyDescent="0.3">
      <c r="K2609" s="1">
        <v>38626</v>
      </c>
      <c r="M2609" t="e">
        <v>#N/A</v>
      </c>
      <c r="N2609" s="1">
        <v>38261</v>
      </c>
    </row>
    <row r="2610" spans="11:14" x14ac:dyDescent="0.3">
      <c r="K2610" s="1">
        <v>38626</v>
      </c>
      <c r="M2610" t="e">
        <v>#N/A</v>
      </c>
      <c r="N2610" s="1">
        <v>38261</v>
      </c>
    </row>
    <row r="2611" spans="11:14" x14ac:dyDescent="0.3">
      <c r="K2611" s="1">
        <v>38626</v>
      </c>
      <c r="M2611" t="e">
        <v>#N/A</v>
      </c>
      <c r="N2611" s="1">
        <v>38261</v>
      </c>
    </row>
    <row r="2612" spans="11:14" x14ac:dyDescent="0.3">
      <c r="K2612" s="1">
        <v>38626</v>
      </c>
      <c r="M2612" t="e">
        <v>#N/A</v>
      </c>
      <c r="N2612" s="1">
        <v>38261</v>
      </c>
    </row>
    <row r="2613" spans="11:14" x14ac:dyDescent="0.3">
      <c r="K2613" s="1">
        <v>38626</v>
      </c>
      <c r="M2613" t="e">
        <v>#N/A</v>
      </c>
      <c r="N2613" s="1">
        <v>38261</v>
      </c>
    </row>
    <row r="2614" spans="11:14" x14ac:dyDescent="0.3">
      <c r="K2614" s="1">
        <v>38626</v>
      </c>
      <c r="M2614" t="e">
        <v>#N/A</v>
      </c>
      <c r="N2614" s="1">
        <v>38261</v>
      </c>
    </row>
    <row r="2615" spans="11:14" x14ac:dyDescent="0.3">
      <c r="K2615" s="1">
        <v>38626</v>
      </c>
      <c r="M2615" t="e">
        <v>#N/A</v>
      </c>
      <c r="N2615" s="1">
        <v>38261</v>
      </c>
    </row>
    <row r="2616" spans="11:14" x14ac:dyDescent="0.3">
      <c r="K2616" s="1">
        <v>38626</v>
      </c>
      <c r="M2616" t="e">
        <v>#N/A</v>
      </c>
      <c r="N2616" s="1">
        <v>38261</v>
      </c>
    </row>
    <row r="2617" spans="11:14" x14ac:dyDescent="0.3">
      <c r="K2617" s="1">
        <v>38626</v>
      </c>
      <c r="M2617" t="e">
        <v>#N/A</v>
      </c>
      <c r="N2617" s="1">
        <v>38261</v>
      </c>
    </row>
    <row r="2618" spans="11:14" x14ac:dyDescent="0.3">
      <c r="K2618" s="1">
        <v>38626</v>
      </c>
      <c r="M2618" t="e">
        <v>#N/A</v>
      </c>
      <c r="N2618" s="1">
        <v>38261</v>
      </c>
    </row>
    <row r="2619" spans="11:14" x14ac:dyDescent="0.3">
      <c r="K2619" s="1">
        <v>38626</v>
      </c>
      <c r="M2619" t="e">
        <v>#N/A</v>
      </c>
      <c r="N2619" s="1">
        <v>38261</v>
      </c>
    </row>
    <row r="2620" spans="11:14" x14ac:dyDescent="0.3">
      <c r="K2620" s="1">
        <v>38626</v>
      </c>
      <c r="M2620" t="e">
        <v>#N/A</v>
      </c>
      <c r="N2620" s="1">
        <v>38261</v>
      </c>
    </row>
    <row r="2621" spans="11:14" x14ac:dyDescent="0.3">
      <c r="K2621" s="1">
        <v>38626</v>
      </c>
      <c r="M2621" t="e">
        <v>#N/A</v>
      </c>
      <c r="N2621" s="1">
        <v>38261</v>
      </c>
    </row>
    <row r="2622" spans="11:14" x14ac:dyDescent="0.3">
      <c r="K2622" s="1">
        <v>38626</v>
      </c>
      <c r="M2622" t="e">
        <v>#N/A</v>
      </c>
      <c r="N2622" s="1">
        <v>38261</v>
      </c>
    </row>
    <row r="2623" spans="11:14" x14ac:dyDescent="0.3">
      <c r="K2623" s="1">
        <v>38626</v>
      </c>
      <c r="M2623" t="e">
        <v>#N/A</v>
      </c>
      <c r="N2623" s="1">
        <v>38261</v>
      </c>
    </row>
    <row r="2624" spans="11:14" x14ac:dyDescent="0.3">
      <c r="K2624" s="1">
        <v>38626</v>
      </c>
      <c r="M2624" t="e">
        <v>#N/A</v>
      </c>
      <c r="N2624" s="1">
        <v>38261</v>
      </c>
    </row>
    <row r="2625" spans="11:14" x14ac:dyDescent="0.3">
      <c r="K2625" s="1">
        <v>38626</v>
      </c>
      <c r="M2625" t="e">
        <v>#N/A</v>
      </c>
      <c r="N2625" s="1">
        <v>38261</v>
      </c>
    </row>
    <row r="2626" spans="11:14" x14ac:dyDescent="0.3">
      <c r="K2626" s="1">
        <v>38626</v>
      </c>
      <c r="M2626" t="e">
        <v>#N/A</v>
      </c>
      <c r="N2626" s="1">
        <v>38261</v>
      </c>
    </row>
    <row r="2627" spans="11:14" x14ac:dyDescent="0.3">
      <c r="K2627" s="1">
        <v>38626</v>
      </c>
      <c r="M2627" t="e">
        <v>#N/A</v>
      </c>
      <c r="N2627" s="1">
        <v>38261</v>
      </c>
    </row>
    <row r="2628" spans="11:14" x14ac:dyDescent="0.3">
      <c r="K2628" s="1">
        <v>38626</v>
      </c>
      <c r="M2628" t="e">
        <v>#N/A</v>
      </c>
      <c r="N2628" s="1">
        <v>38261</v>
      </c>
    </row>
    <row r="2629" spans="11:14" x14ac:dyDescent="0.3">
      <c r="K2629" s="1">
        <v>38626</v>
      </c>
      <c r="M2629" t="e">
        <v>#N/A</v>
      </c>
      <c r="N2629" s="1">
        <v>38261</v>
      </c>
    </row>
    <row r="2630" spans="11:14" x14ac:dyDescent="0.3">
      <c r="K2630" s="1">
        <v>38626</v>
      </c>
      <c r="M2630" t="e">
        <v>#N/A</v>
      </c>
      <c r="N2630" s="1">
        <v>38261</v>
      </c>
    </row>
    <row r="2631" spans="11:14" x14ac:dyDescent="0.3">
      <c r="K2631" s="1">
        <v>38626</v>
      </c>
      <c r="M2631" t="e">
        <v>#N/A</v>
      </c>
      <c r="N2631" s="1">
        <v>38261</v>
      </c>
    </row>
    <row r="2632" spans="11:14" x14ac:dyDescent="0.3">
      <c r="K2632" s="1">
        <v>38626</v>
      </c>
      <c r="M2632" t="e">
        <v>#N/A</v>
      </c>
      <c r="N2632" s="1">
        <v>38261</v>
      </c>
    </row>
    <row r="2633" spans="11:14" x14ac:dyDescent="0.3">
      <c r="K2633" s="1">
        <v>38626</v>
      </c>
      <c r="M2633" t="e">
        <v>#N/A</v>
      </c>
      <c r="N2633" s="1">
        <v>38261</v>
      </c>
    </row>
    <row r="2634" spans="11:14" x14ac:dyDescent="0.3">
      <c r="K2634" s="1">
        <v>38626</v>
      </c>
      <c r="M2634" t="e">
        <v>#N/A</v>
      </c>
      <c r="N2634" s="1">
        <v>38261</v>
      </c>
    </row>
    <row r="2635" spans="11:14" x14ac:dyDescent="0.3">
      <c r="K2635" s="1">
        <v>38626</v>
      </c>
      <c r="M2635" t="e">
        <v>#N/A</v>
      </c>
      <c r="N2635" s="1">
        <v>38261</v>
      </c>
    </row>
    <row r="2636" spans="11:14" x14ac:dyDescent="0.3">
      <c r="K2636" s="1">
        <v>38626</v>
      </c>
      <c r="M2636" t="e">
        <v>#N/A</v>
      </c>
      <c r="N2636" s="1">
        <v>38261</v>
      </c>
    </row>
    <row r="2637" spans="11:14" x14ac:dyDescent="0.3">
      <c r="K2637" s="1">
        <v>38626</v>
      </c>
      <c r="M2637" t="e">
        <v>#N/A</v>
      </c>
      <c r="N2637" s="1">
        <v>38261</v>
      </c>
    </row>
    <row r="2638" spans="11:14" x14ac:dyDescent="0.3">
      <c r="K2638" s="1">
        <v>38626</v>
      </c>
      <c r="M2638" t="e">
        <v>#N/A</v>
      </c>
      <c r="N2638" s="1">
        <v>38261</v>
      </c>
    </row>
    <row r="2639" spans="11:14" x14ac:dyDescent="0.3">
      <c r="K2639" s="1">
        <v>38626</v>
      </c>
      <c r="M2639" t="e">
        <v>#N/A</v>
      </c>
      <c r="N2639" s="1">
        <v>38261</v>
      </c>
    </row>
    <row r="2640" spans="11:14" x14ac:dyDescent="0.3">
      <c r="K2640" s="1">
        <v>38626</v>
      </c>
      <c r="M2640" t="e">
        <v>#N/A</v>
      </c>
      <c r="N2640" s="1">
        <v>38261</v>
      </c>
    </row>
    <row r="2641" spans="11:14" x14ac:dyDescent="0.3">
      <c r="K2641" s="1">
        <v>38626</v>
      </c>
      <c r="M2641" t="e">
        <v>#N/A</v>
      </c>
      <c r="N2641" s="1">
        <v>38261</v>
      </c>
    </row>
    <row r="2642" spans="11:14" x14ac:dyDescent="0.3">
      <c r="K2642" s="1">
        <v>38626</v>
      </c>
      <c r="M2642" t="e">
        <v>#N/A</v>
      </c>
      <c r="N2642" s="1">
        <v>38261</v>
      </c>
    </row>
    <row r="2643" spans="11:14" x14ac:dyDescent="0.3">
      <c r="K2643" s="1">
        <v>38626</v>
      </c>
      <c r="M2643" t="e">
        <v>#N/A</v>
      </c>
      <c r="N2643" s="1">
        <v>38261</v>
      </c>
    </row>
    <row r="2644" spans="11:14" x14ac:dyDescent="0.3">
      <c r="K2644" s="1">
        <v>38626</v>
      </c>
      <c r="M2644" t="e">
        <v>#N/A</v>
      </c>
      <c r="N2644" s="1">
        <v>38261</v>
      </c>
    </row>
    <row r="2645" spans="11:14" x14ac:dyDescent="0.3">
      <c r="K2645" s="1">
        <v>38626</v>
      </c>
      <c r="M2645" t="e">
        <v>#N/A</v>
      </c>
      <c r="N2645" s="1">
        <v>38261</v>
      </c>
    </row>
    <row r="2646" spans="11:14" x14ac:dyDescent="0.3">
      <c r="K2646" s="1">
        <v>38626</v>
      </c>
      <c r="M2646" t="e">
        <v>#N/A</v>
      </c>
      <c r="N2646" s="1">
        <v>38261</v>
      </c>
    </row>
    <row r="2647" spans="11:14" x14ac:dyDescent="0.3">
      <c r="K2647" s="1">
        <v>38626</v>
      </c>
      <c r="M2647" t="e">
        <v>#N/A</v>
      </c>
      <c r="N2647" s="1">
        <v>38261</v>
      </c>
    </row>
    <row r="2648" spans="11:14" x14ac:dyDescent="0.3">
      <c r="K2648" s="1">
        <v>38626</v>
      </c>
      <c r="M2648" t="e">
        <v>#N/A</v>
      </c>
      <c r="N2648" s="1">
        <v>38261</v>
      </c>
    </row>
    <row r="2649" spans="11:14" x14ac:dyDescent="0.3">
      <c r="K2649" s="1">
        <v>38626</v>
      </c>
      <c r="M2649" t="e">
        <v>#N/A</v>
      </c>
      <c r="N2649" s="1">
        <v>38261</v>
      </c>
    </row>
    <row r="2650" spans="11:14" x14ac:dyDescent="0.3">
      <c r="K2650" s="1">
        <v>38626</v>
      </c>
      <c r="M2650" t="e">
        <v>#N/A</v>
      </c>
      <c r="N2650" s="1">
        <v>38261</v>
      </c>
    </row>
    <row r="2651" spans="11:14" x14ac:dyDescent="0.3">
      <c r="K2651" s="1">
        <v>38626</v>
      </c>
      <c r="M2651" t="e">
        <v>#N/A</v>
      </c>
      <c r="N2651" s="1">
        <v>38261</v>
      </c>
    </row>
    <row r="2652" spans="11:14" x14ac:dyDescent="0.3">
      <c r="K2652" s="1">
        <v>38626</v>
      </c>
      <c r="M2652" t="e">
        <v>#N/A</v>
      </c>
      <c r="N2652" s="1">
        <v>38261</v>
      </c>
    </row>
    <row r="2653" spans="11:14" x14ac:dyDescent="0.3">
      <c r="K2653" s="1">
        <v>38626</v>
      </c>
      <c r="M2653" t="e">
        <v>#N/A</v>
      </c>
      <c r="N2653" s="1">
        <v>38261</v>
      </c>
    </row>
    <row r="2654" spans="11:14" x14ac:dyDescent="0.3">
      <c r="K2654" s="1">
        <v>38626</v>
      </c>
      <c r="M2654" t="e">
        <v>#N/A</v>
      </c>
      <c r="N2654" s="1">
        <v>38261</v>
      </c>
    </row>
    <row r="2655" spans="11:14" x14ac:dyDescent="0.3">
      <c r="K2655" s="1">
        <v>38626</v>
      </c>
      <c r="M2655" t="e">
        <v>#N/A</v>
      </c>
      <c r="N2655" s="1">
        <v>38261</v>
      </c>
    </row>
    <row r="2656" spans="11:14" x14ac:dyDescent="0.3">
      <c r="K2656" s="1">
        <v>38626</v>
      </c>
      <c r="M2656" t="e">
        <v>#N/A</v>
      </c>
      <c r="N2656" s="1">
        <v>38261</v>
      </c>
    </row>
    <row r="2657" spans="11:14" x14ac:dyDescent="0.3">
      <c r="K2657" s="1">
        <v>38626</v>
      </c>
      <c r="M2657" t="e">
        <v>#N/A</v>
      </c>
      <c r="N2657" s="1">
        <v>38261</v>
      </c>
    </row>
    <row r="2658" spans="11:14" x14ac:dyDescent="0.3">
      <c r="K2658" s="1">
        <v>38626</v>
      </c>
      <c r="M2658" t="e">
        <v>#N/A</v>
      </c>
      <c r="N2658" s="1">
        <v>38261</v>
      </c>
    </row>
    <row r="2659" spans="11:14" x14ac:dyDescent="0.3">
      <c r="K2659" s="1">
        <v>38626</v>
      </c>
      <c r="M2659" t="e">
        <v>#N/A</v>
      </c>
      <c r="N2659" s="1">
        <v>38261</v>
      </c>
    </row>
    <row r="2660" spans="11:14" x14ac:dyDescent="0.3">
      <c r="K2660" s="1">
        <v>38626</v>
      </c>
      <c r="M2660" t="e">
        <v>#N/A</v>
      </c>
      <c r="N2660" s="1">
        <v>38261</v>
      </c>
    </row>
    <row r="2661" spans="11:14" x14ac:dyDescent="0.3">
      <c r="K2661" s="1">
        <v>38626</v>
      </c>
      <c r="M2661" t="e">
        <v>#N/A</v>
      </c>
      <c r="N2661" s="1">
        <v>38261</v>
      </c>
    </row>
    <row r="2662" spans="11:14" x14ac:dyDescent="0.3">
      <c r="K2662" s="1">
        <v>38626</v>
      </c>
      <c r="M2662" t="e">
        <v>#N/A</v>
      </c>
      <c r="N2662" s="1">
        <v>38261</v>
      </c>
    </row>
    <row r="2663" spans="11:14" x14ac:dyDescent="0.3">
      <c r="K2663" s="1">
        <v>38626</v>
      </c>
      <c r="M2663" t="e">
        <v>#N/A</v>
      </c>
      <c r="N2663" s="1">
        <v>38261</v>
      </c>
    </row>
    <row r="2664" spans="11:14" x14ac:dyDescent="0.3">
      <c r="K2664" s="1">
        <v>38626</v>
      </c>
      <c r="M2664" t="e">
        <v>#N/A</v>
      </c>
      <c r="N2664" s="1">
        <v>38261</v>
      </c>
    </row>
    <row r="2665" spans="11:14" x14ac:dyDescent="0.3">
      <c r="K2665" s="1">
        <v>38626</v>
      </c>
      <c r="M2665" t="e">
        <v>#N/A</v>
      </c>
      <c r="N2665" s="1">
        <v>38261</v>
      </c>
    </row>
    <row r="2666" spans="11:14" x14ac:dyDescent="0.3">
      <c r="K2666" s="1">
        <v>38626</v>
      </c>
      <c r="M2666" t="e">
        <v>#N/A</v>
      </c>
      <c r="N2666" s="1">
        <v>38261</v>
      </c>
    </row>
    <row r="2667" spans="11:14" x14ac:dyDescent="0.3">
      <c r="K2667" s="1">
        <v>38626</v>
      </c>
      <c r="M2667" t="e">
        <v>#N/A</v>
      </c>
      <c r="N2667" s="1">
        <v>38261</v>
      </c>
    </row>
    <row r="2668" spans="11:14" x14ac:dyDescent="0.3">
      <c r="K2668" s="1">
        <v>38626</v>
      </c>
      <c r="M2668" t="e">
        <v>#N/A</v>
      </c>
      <c r="N2668" s="1">
        <v>38261</v>
      </c>
    </row>
    <row r="2669" spans="11:14" x14ac:dyDescent="0.3">
      <c r="K2669" s="1">
        <v>38626</v>
      </c>
      <c r="M2669" t="e">
        <v>#N/A</v>
      </c>
      <c r="N2669" s="1">
        <v>38261</v>
      </c>
    </row>
    <row r="2670" spans="11:14" x14ac:dyDescent="0.3">
      <c r="K2670" s="1">
        <v>38626</v>
      </c>
      <c r="M2670" t="e">
        <v>#N/A</v>
      </c>
      <c r="N2670" s="1">
        <v>38261</v>
      </c>
    </row>
    <row r="2671" spans="11:14" x14ac:dyDescent="0.3">
      <c r="K2671" s="1">
        <v>38626</v>
      </c>
      <c r="M2671" t="e">
        <v>#N/A</v>
      </c>
      <c r="N2671" s="1">
        <v>38261</v>
      </c>
    </row>
    <row r="2672" spans="11:14" x14ac:dyDescent="0.3">
      <c r="K2672" s="1">
        <v>38626</v>
      </c>
      <c r="M2672" t="e">
        <v>#N/A</v>
      </c>
      <c r="N2672" s="1">
        <v>38261</v>
      </c>
    </row>
    <row r="2673" spans="11:14" x14ac:dyDescent="0.3">
      <c r="K2673" s="1">
        <v>38626</v>
      </c>
      <c r="M2673" t="e">
        <v>#N/A</v>
      </c>
      <c r="N2673" s="1">
        <v>38261</v>
      </c>
    </row>
    <row r="2674" spans="11:14" x14ac:dyDescent="0.3">
      <c r="K2674" s="1">
        <v>38626</v>
      </c>
      <c r="M2674" t="e">
        <v>#N/A</v>
      </c>
      <c r="N2674" s="1">
        <v>38261</v>
      </c>
    </row>
    <row r="2675" spans="11:14" x14ac:dyDescent="0.3">
      <c r="K2675" s="1">
        <v>38626</v>
      </c>
      <c r="M2675" t="e">
        <v>#N/A</v>
      </c>
      <c r="N2675" s="1">
        <v>38261</v>
      </c>
    </row>
    <row r="2676" spans="11:14" x14ac:dyDescent="0.3">
      <c r="K2676" s="1">
        <v>38626</v>
      </c>
      <c r="M2676" t="e">
        <v>#N/A</v>
      </c>
      <c r="N2676" s="1">
        <v>38261</v>
      </c>
    </row>
    <row r="2677" spans="11:14" x14ac:dyDescent="0.3">
      <c r="K2677" s="1">
        <v>38626</v>
      </c>
      <c r="M2677" t="e">
        <v>#N/A</v>
      </c>
      <c r="N2677" s="1">
        <v>38261</v>
      </c>
    </row>
    <row r="2678" spans="11:14" x14ac:dyDescent="0.3">
      <c r="K2678" s="1">
        <v>38626</v>
      </c>
      <c r="M2678" t="e">
        <v>#N/A</v>
      </c>
      <c r="N2678" s="1">
        <v>38261</v>
      </c>
    </row>
    <row r="2679" spans="11:14" x14ac:dyDescent="0.3">
      <c r="K2679" s="1">
        <v>38626</v>
      </c>
      <c r="M2679" t="e">
        <v>#N/A</v>
      </c>
      <c r="N2679" s="1">
        <v>38261</v>
      </c>
    </row>
    <row r="2680" spans="11:14" x14ac:dyDescent="0.3">
      <c r="K2680" s="1">
        <v>38626</v>
      </c>
      <c r="M2680" t="e">
        <v>#N/A</v>
      </c>
      <c r="N2680" s="1">
        <v>38261</v>
      </c>
    </row>
    <row r="2681" spans="11:14" x14ac:dyDescent="0.3">
      <c r="K2681" s="1">
        <v>38626</v>
      </c>
      <c r="M2681" t="e">
        <v>#N/A</v>
      </c>
      <c r="N2681" s="1">
        <v>38261</v>
      </c>
    </row>
    <row r="2682" spans="11:14" x14ac:dyDescent="0.3">
      <c r="K2682" s="1">
        <v>38626</v>
      </c>
      <c r="M2682" t="e">
        <v>#N/A</v>
      </c>
      <c r="N2682" s="1">
        <v>38261</v>
      </c>
    </row>
    <row r="2683" spans="11:14" x14ac:dyDescent="0.3">
      <c r="K2683" s="1">
        <v>38626</v>
      </c>
      <c r="M2683" t="e">
        <v>#N/A</v>
      </c>
      <c r="N2683" s="1">
        <v>38261</v>
      </c>
    </row>
    <row r="2684" spans="11:14" x14ac:dyDescent="0.3">
      <c r="K2684" s="1">
        <v>38626</v>
      </c>
      <c r="M2684" t="e">
        <v>#N/A</v>
      </c>
      <c r="N2684" s="1">
        <v>38261</v>
      </c>
    </row>
    <row r="2685" spans="11:14" x14ac:dyDescent="0.3">
      <c r="K2685" s="1">
        <v>38626</v>
      </c>
      <c r="M2685" t="e">
        <v>#N/A</v>
      </c>
      <c r="N2685" s="1">
        <v>38261</v>
      </c>
    </row>
    <row r="2686" spans="11:14" x14ac:dyDescent="0.3">
      <c r="K2686" s="1">
        <v>38626</v>
      </c>
      <c r="M2686" t="e">
        <v>#N/A</v>
      </c>
      <c r="N2686" s="1">
        <v>38261</v>
      </c>
    </row>
    <row r="2687" spans="11:14" x14ac:dyDescent="0.3">
      <c r="K2687" s="1">
        <v>38626</v>
      </c>
      <c r="M2687" t="e">
        <v>#N/A</v>
      </c>
      <c r="N2687" s="1">
        <v>38261</v>
      </c>
    </row>
    <row r="2688" spans="11:14" x14ac:dyDescent="0.3">
      <c r="K2688" s="1">
        <v>38626</v>
      </c>
      <c r="M2688" t="e">
        <v>#N/A</v>
      </c>
      <c r="N2688" s="1">
        <v>38261</v>
      </c>
    </row>
    <row r="2689" spans="11:14" x14ac:dyDescent="0.3">
      <c r="K2689" s="1">
        <v>38626</v>
      </c>
      <c r="M2689" t="e">
        <v>#N/A</v>
      </c>
      <c r="N2689" s="1">
        <v>38261</v>
      </c>
    </row>
    <row r="2690" spans="11:14" x14ac:dyDescent="0.3">
      <c r="K2690" s="1">
        <v>38626</v>
      </c>
      <c r="M2690" t="e">
        <v>#N/A</v>
      </c>
      <c r="N2690" s="1">
        <v>38261</v>
      </c>
    </row>
    <row r="2691" spans="11:14" x14ac:dyDescent="0.3">
      <c r="K2691" s="1">
        <v>38626</v>
      </c>
      <c r="M2691" t="e">
        <v>#N/A</v>
      </c>
      <c r="N2691" s="1">
        <v>38261</v>
      </c>
    </row>
    <row r="2692" spans="11:14" x14ac:dyDescent="0.3">
      <c r="K2692" s="1">
        <v>38626</v>
      </c>
      <c r="M2692" t="e">
        <v>#N/A</v>
      </c>
      <c r="N2692" s="1">
        <v>38261</v>
      </c>
    </row>
    <row r="2693" spans="11:14" x14ac:dyDescent="0.3">
      <c r="K2693" s="1">
        <v>38626</v>
      </c>
      <c r="M2693" t="e">
        <v>#N/A</v>
      </c>
      <c r="N2693" s="1">
        <v>38261</v>
      </c>
    </row>
    <row r="2694" spans="11:14" x14ac:dyDescent="0.3">
      <c r="K2694" s="1">
        <v>38626</v>
      </c>
      <c r="M2694" t="e">
        <v>#N/A</v>
      </c>
      <c r="N2694" s="1">
        <v>38261</v>
      </c>
    </row>
    <row r="2695" spans="11:14" x14ac:dyDescent="0.3">
      <c r="K2695" s="1">
        <v>38626</v>
      </c>
      <c r="M2695" t="e">
        <v>#N/A</v>
      </c>
      <c r="N2695" s="1">
        <v>38261</v>
      </c>
    </row>
    <row r="2696" spans="11:14" x14ac:dyDescent="0.3">
      <c r="K2696" s="1">
        <v>38626</v>
      </c>
      <c r="M2696" t="e">
        <v>#N/A</v>
      </c>
      <c r="N2696" s="1">
        <v>38261</v>
      </c>
    </row>
    <row r="2697" spans="11:14" x14ac:dyDescent="0.3">
      <c r="K2697" s="1">
        <v>38626</v>
      </c>
      <c r="M2697" t="e">
        <v>#N/A</v>
      </c>
      <c r="N2697" s="1">
        <v>38261</v>
      </c>
    </row>
    <row r="2698" spans="11:14" x14ac:dyDescent="0.3">
      <c r="K2698" s="1">
        <v>38626</v>
      </c>
      <c r="M2698" t="e">
        <v>#N/A</v>
      </c>
      <c r="N2698" s="1">
        <v>38261</v>
      </c>
    </row>
    <row r="2699" spans="11:14" x14ac:dyDescent="0.3">
      <c r="K2699" s="1">
        <v>38626</v>
      </c>
      <c r="M2699" t="e">
        <v>#N/A</v>
      </c>
      <c r="N2699" s="1">
        <v>38261</v>
      </c>
    </row>
    <row r="2700" spans="11:14" x14ac:dyDescent="0.3">
      <c r="K2700" s="1">
        <v>38626</v>
      </c>
      <c r="M2700" t="e">
        <v>#N/A</v>
      </c>
      <c r="N2700" s="1">
        <v>38261</v>
      </c>
    </row>
    <row r="2701" spans="11:14" x14ac:dyDescent="0.3">
      <c r="K2701" s="1">
        <v>38626</v>
      </c>
      <c r="M2701" t="e">
        <v>#N/A</v>
      </c>
      <c r="N2701" s="1">
        <v>38261</v>
      </c>
    </row>
    <row r="2702" spans="11:14" x14ac:dyDescent="0.3">
      <c r="K2702" s="1">
        <v>38626</v>
      </c>
      <c r="M2702" t="e">
        <v>#N/A</v>
      </c>
      <c r="N2702" s="1">
        <v>38261</v>
      </c>
    </row>
    <row r="2703" spans="11:14" x14ac:dyDescent="0.3">
      <c r="K2703" s="1">
        <v>38626</v>
      </c>
      <c r="M2703" t="e">
        <v>#N/A</v>
      </c>
      <c r="N2703" s="1">
        <v>38261</v>
      </c>
    </row>
    <row r="2704" spans="11:14" x14ac:dyDescent="0.3">
      <c r="K2704" s="1">
        <v>38626</v>
      </c>
      <c r="M2704" t="e">
        <v>#N/A</v>
      </c>
      <c r="N2704" s="1">
        <v>38261</v>
      </c>
    </row>
    <row r="2705" spans="11:14" x14ac:dyDescent="0.3">
      <c r="K2705" s="1">
        <v>38626</v>
      </c>
      <c r="M2705" t="e">
        <v>#N/A</v>
      </c>
      <c r="N2705" s="1">
        <v>38261</v>
      </c>
    </row>
    <row r="2706" spans="11:14" x14ac:dyDescent="0.3">
      <c r="K2706" s="1">
        <v>38626</v>
      </c>
      <c r="M2706" t="e">
        <v>#N/A</v>
      </c>
      <c r="N2706" s="1">
        <v>38261</v>
      </c>
    </row>
    <row r="2707" spans="11:14" x14ac:dyDescent="0.3">
      <c r="K2707" s="1">
        <v>38626</v>
      </c>
      <c r="M2707" t="e">
        <v>#N/A</v>
      </c>
      <c r="N2707" s="1">
        <v>38261</v>
      </c>
    </row>
    <row r="2708" spans="11:14" x14ac:dyDescent="0.3">
      <c r="K2708" s="1">
        <v>38626</v>
      </c>
      <c r="M2708" t="e">
        <v>#N/A</v>
      </c>
      <c r="N2708" s="1">
        <v>38261</v>
      </c>
    </row>
    <row r="2709" spans="11:14" x14ac:dyDescent="0.3">
      <c r="K2709" s="1">
        <v>38626</v>
      </c>
      <c r="M2709" t="e">
        <v>#N/A</v>
      </c>
      <c r="N2709" s="1">
        <v>38261</v>
      </c>
    </row>
    <row r="2710" spans="11:14" x14ac:dyDescent="0.3">
      <c r="K2710" s="1">
        <v>38626</v>
      </c>
      <c r="M2710" t="e">
        <v>#N/A</v>
      </c>
      <c r="N2710" s="1">
        <v>38261</v>
      </c>
    </row>
    <row r="2711" spans="11:14" x14ac:dyDescent="0.3">
      <c r="K2711" s="1">
        <v>38626</v>
      </c>
      <c r="M2711" t="e">
        <v>#N/A</v>
      </c>
      <c r="N2711" s="1">
        <v>38261</v>
      </c>
    </row>
    <row r="2712" spans="11:14" x14ac:dyDescent="0.3">
      <c r="K2712" s="1">
        <v>38626</v>
      </c>
      <c r="M2712" t="e">
        <v>#N/A</v>
      </c>
      <c r="N2712" s="1">
        <v>38261</v>
      </c>
    </row>
    <row r="2713" spans="11:14" x14ac:dyDescent="0.3">
      <c r="K2713" s="1">
        <v>38626</v>
      </c>
      <c r="M2713" t="e">
        <v>#N/A</v>
      </c>
      <c r="N2713" s="1">
        <v>38261</v>
      </c>
    </row>
    <row r="2714" spans="11:14" x14ac:dyDescent="0.3">
      <c r="K2714" s="1">
        <v>38626</v>
      </c>
      <c r="M2714" t="e">
        <v>#N/A</v>
      </c>
      <c r="N2714" s="1">
        <v>38261</v>
      </c>
    </row>
    <row r="2715" spans="11:14" x14ac:dyDescent="0.3">
      <c r="K2715" s="1">
        <v>38626</v>
      </c>
      <c r="M2715" t="e">
        <v>#N/A</v>
      </c>
      <c r="N2715" s="1">
        <v>38261</v>
      </c>
    </row>
    <row r="2716" spans="11:14" x14ac:dyDescent="0.3">
      <c r="K2716" s="1">
        <v>38626</v>
      </c>
      <c r="M2716" t="e">
        <v>#N/A</v>
      </c>
      <c r="N2716" s="1">
        <v>38261</v>
      </c>
    </row>
    <row r="2717" spans="11:14" x14ac:dyDescent="0.3">
      <c r="K2717" s="1">
        <v>38626</v>
      </c>
      <c r="M2717" t="e">
        <v>#N/A</v>
      </c>
      <c r="N2717" s="1">
        <v>38261</v>
      </c>
    </row>
    <row r="2718" spans="11:14" x14ac:dyDescent="0.3">
      <c r="K2718" s="1">
        <v>38626</v>
      </c>
      <c r="M2718" t="e">
        <v>#N/A</v>
      </c>
      <c r="N2718" s="1">
        <v>38261</v>
      </c>
    </row>
    <row r="2719" spans="11:14" x14ac:dyDescent="0.3">
      <c r="K2719" s="1">
        <v>38626</v>
      </c>
      <c r="M2719" t="e">
        <v>#N/A</v>
      </c>
      <c r="N2719" s="1">
        <v>38261</v>
      </c>
    </row>
    <row r="2720" spans="11:14" x14ac:dyDescent="0.3">
      <c r="K2720" s="1">
        <v>38626</v>
      </c>
      <c r="M2720" t="e">
        <v>#N/A</v>
      </c>
      <c r="N2720" s="1">
        <v>38261</v>
      </c>
    </row>
    <row r="2721" spans="11:14" x14ac:dyDescent="0.3">
      <c r="K2721" s="1">
        <v>38626</v>
      </c>
      <c r="M2721" t="e">
        <v>#N/A</v>
      </c>
      <c r="N2721" s="1">
        <v>38261</v>
      </c>
    </row>
    <row r="2722" spans="11:14" x14ac:dyDescent="0.3">
      <c r="K2722" s="1">
        <v>38626</v>
      </c>
      <c r="M2722" t="e">
        <v>#N/A</v>
      </c>
      <c r="N2722" s="1">
        <v>38261</v>
      </c>
    </row>
    <row r="2723" spans="11:14" x14ac:dyDescent="0.3">
      <c r="K2723" s="1">
        <v>38626</v>
      </c>
      <c r="M2723" t="e">
        <v>#N/A</v>
      </c>
      <c r="N2723" s="1">
        <v>38261</v>
      </c>
    </row>
    <row r="2724" spans="11:14" x14ac:dyDescent="0.3">
      <c r="K2724" s="1">
        <v>38626</v>
      </c>
      <c r="M2724" t="e">
        <v>#N/A</v>
      </c>
      <c r="N2724" s="1">
        <v>38261</v>
      </c>
    </row>
    <row r="2725" spans="11:14" x14ac:dyDescent="0.3">
      <c r="K2725" s="1">
        <v>38626</v>
      </c>
      <c r="M2725" t="e">
        <v>#N/A</v>
      </c>
      <c r="N2725" s="1">
        <v>38261</v>
      </c>
    </row>
    <row r="2726" spans="11:14" x14ac:dyDescent="0.3">
      <c r="K2726" s="1">
        <v>38626</v>
      </c>
      <c r="M2726" t="e">
        <v>#N/A</v>
      </c>
      <c r="N2726" s="1">
        <v>38261</v>
      </c>
    </row>
    <row r="2727" spans="11:14" x14ac:dyDescent="0.3">
      <c r="K2727" s="1">
        <v>38626</v>
      </c>
      <c r="M2727" t="e">
        <v>#N/A</v>
      </c>
      <c r="N2727" s="1">
        <v>38261</v>
      </c>
    </row>
    <row r="2728" spans="11:14" x14ac:dyDescent="0.3">
      <c r="K2728" s="1">
        <v>38626</v>
      </c>
      <c r="M2728" t="e">
        <v>#N/A</v>
      </c>
      <c r="N2728" s="1">
        <v>38261</v>
      </c>
    </row>
    <row r="2729" spans="11:14" x14ac:dyDescent="0.3">
      <c r="K2729" s="1">
        <v>38626</v>
      </c>
      <c r="M2729" t="e">
        <v>#N/A</v>
      </c>
      <c r="N2729" s="1">
        <v>38261</v>
      </c>
    </row>
    <row r="2730" spans="11:14" x14ac:dyDescent="0.3">
      <c r="K2730" s="1">
        <v>38626</v>
      </c>
      <c r="M2730" t="e">
        <v>#N/A</v>
      </c>
      <c r="N2730" s="1">
        <v>38261</v>
      </c>
    </row>
    <row r="2731" spans="11:14" x14ac:dyDescent="0.3">
      <c r="K2731" s="1">
        <v>38626</v>
      </c>
      <c r="M2731" t="e">
        <v>#N/A</v>
      </c>
      <c r="N2731" s="1">
        <v>38261</v>
      </c>
    </row>
    <row r="2732" spans="11:14" x14ac:dyDescent="0.3">
      <c r="K2732" s="1">
        <v>38626</v>
      </c>
      <c r="M2732" t="e">
        <v>#N/A</v>
      </c>
      <c r="N2732" s="1">
        <v>38261</v>
      </c>
    </row>
    <row r="2733" spans="11:14" x14ac:dyDescent="0.3">
      <c r="K2733" s="1">
        <v>38626</v>
      </c>
      <c r="M2733" t="e">
        <v>#N/A</v>
      </c>
      <c r="N2733" s="1">
        <v>38261</v>
      </c>
    </row>
    <row r="2734" spans="11:14" x14ac:dyDescent="0.3">
      <c r="K2734" s="1">
        <v>38626</v>
      </c>
      <c r="M2734" t="e">
        <v>#N/A</v>
      </c>
      <c r="N2734" s="1">
        <v>38261</v>
      </c>
    </row>
    <row r="2735" spans="11:14" x14ac:dyDescent="0.3">
      <c r="K2735" s="1">
        <v>38626</v>
      </c>
      <c r="M2735" t="e">
        <v>#N/A</v>
      </c>
      <c r="N2735" s="1">
        <v>38261</v>
      </c>
    </row>
    <row r="2736" spans="11:14" x14ac:dyDescent="0.3">
      <c r="K2736" s="1">
        <v>38626</v>
      </c>
      <c r="M2736" t="e">
        <v>#N/A</v>
      </c>
      <c r="N2736" s="1">
        <v>38261</v>
      </c>
    </row>
    <row r="2737" spans="11:14" x14ac:dyDescent="0.3">
      <c r="K2737" s="1">
        <v>38626</v>
      </c>
      <c r="M2737" t="e">
        <v>#N/A</v>
      </c>
      <c r="N2737" s="1">
        <v>38261</v>
      </c>
    </row>
    <row r="2738" spans="11:14" x14ac:dyDescent="0.3">
      <c r="K2738" s="1">
        <v>38626</v>
      </c>
      <c r="M2738" t="e">
        <v>#N/A</v>
      </c>
      <c r="N2738" s="1">
        <v>38261</v>
      </c>
    </row>
    <row r="2739" spans="11:14" x14ac:dyDescent="0.3">
      <c r="K2739" s="1">
        <v>38626</v>
      </c>
      <c r="M2739" t="e">
        <v>#N/A</v>
      </c>
      <c r="N2739" s="1">
        <v>38261</v>
      </c>
    </row>
    <row r="2740" spans="11:14" x14ac:dyDescent="0.3">
      <c r="K2740" s="1">
        <v>38626</v>
      </c>
      <c r="M2740" t="e">
        <v>#N/A</v>
      </c>
      <c r="N2740" s="1">
        <v>38261</v>
      </c>
    </row>
    <row r="2741" spans="11:14" x14ac:dyDescent="0.3">
      <c r="K2741" s="1">
        <v>38626</v>
      </c>
      <c r="M2741" t="e">
        <v>#N/A</v>
      </c>
      <c r="N2741" s="1">
        <v>38261</v>
      </c>
    </row>
    <row r="2742" spans="11:14" x14ac:dyDescent="0.3">
      <c r="K2742" s="1">
        <v>38626</v>
      </c>
      <c r="M2742" t="e">
        <v>#N/A</v>
      </c>
      <c r="N2742" s="1">
        <v>38261</v>
      </c>
    </row>
    <row r="2743" spans="11:14" x14ac:dyDescent="0.3">
      <c r="K2743" s="1">
        <v>38626</v>
      </c>
      <c r="M2743" t="e">
        <v>#N/A</v>
      </c>
      <c r="N2743" s="1">
        <v>38261</v>
      </c>
    </row>
    <row r="2744" spans="11:14" x14ac:dyDescent="0.3">
      <c r="K2744" s="1">
        <v>38626</v>
      </c>
      <c r="M2744" t="e">
        <v>#N/A</v>
      </c>
      <c r="N2744" s="1">
        <v>38261</v>
      </c>
    </row>
    <row r="2745" spans="11:14" x14ac:dyDescent="0.3">
      <c r="K2745" s="1">
        <v>38626</v>
      </c>
      <c r="M2745" t="e">
        <v>#N/A</v>
      </c>
      <c r="N2745" s="1">
        <v>38261</v>
      </c>
    </row>
    <row r="2746" spans="11:14" x14ac:dyDescent="0.3">
      <c r="K2746" s="1">
        <v>38626</v>
      </c>
      <c r="M2746" t="e">
        <v>#N/A</v>
      </c>
      <c r="N2746" s="1">
        <v>38261</v>
      </c>
    </row>
    <row r="2747" spans="11:14" x14ac:dyDescent="0.3">
      <c r="K2747" s="1">
        <v>38626</v>
      </c>
      <c r="M2747" t="e">
        <v>#N/A</v>
      </c>
      <c r="N2747" s="1">
        <v>38261</v>
      </c>
    </row>
    <row r="2748" spans="11:14" x14ac:dyDescent="0.3">
      <c r="K2748" s="1">
        <v>38626</v>
      </c>
      <c r="M2748" t="e">
        <v>#N/A</v>
      </c>
      <c r="N2748" s="1">
        <v>38261</v>
      </c>
    </row>
    <row r="2749" spans="11:14" x14ac:dyDescent="0.3">
      <c r="K2749" s="1">
        <v>38626</v>
      </c>
      <c r="M2749" t="e">
        <v>#N/A</v>
      </c>
      <c r="N2749" s="1">
        <v>38261</v>
      </c>
    </row>
    <row r="2750" spans="11:14" x14ac:dyDescent="0.3">
      <c r="K2750" s="1">
        <v>38626</v>
      </c>
      <c r="M2750" t="e">
        <v>#N/A</v>
      </c>
      <c r="N2750" s="1">
        <v>38261</v>
      </c>
    </row>
    <row r="2751" spans="11:14" x14ac:dyDescent="0.3">
      <c r="K2751" s="1">
        <v>38626</v>
      </c>
      <c r="M2751" t="e">
        <v>#N/A</v>
      </c>
      <c r="N2751" s="1">
        <v>38261</v>
      </c>
    </row>
    <row r="2752" spans="11:14" x14ac:dyDescent="0.3">
      <c r="K2752" s="1">
        <v>38626</v>
      </c>
      <c r="M2752" t="e">
        <v>#N/A</v>
      </c>
      <c r="N2752" s="1">
        <v>38261</v>
      </c>
    </row>
    <row r="2753" spans="11:14" x14ac:dyDescent="0.3">
      <c r="K2753" s="1">
        <v>38626</v>
      </c>
      <c r="M2753" t="e">
        <v>#N/A</v>
      </c>
      <c r="N2753" s="1">
        <v>38261</v>
      </c>
    </row>
    <row r="2754" spans="11:14" x14ac:dyDescent="0.3">
      <c r="K2754" s="1">
        <v>38626</v>
      </c>
      <c r="M2754" t="e">
        <v>#N/A</v>
      </c>
      <c r="N2754" s="1">
        <v>38261</v>
      </c>
    </row>
    <row r="2755" spans="11:14" x14ac:dyDescent="0.3">
      <c r="K2755" s="1">
        <v>38626</v>
      </c>
      <c r="M2755" t="e">
        <v>#N/A</v>
      </c>
      <c r="N2755" s="1">
        <v>38261</v>
      </c>
    </row>
    <row r="2756" spans="11:14" x14ac:dyDescent="0.3">
      <c r="K2756" s="1">
        <v>38626</v>
      </c>
      <c r="M2756" t="e">
        <v>#N/A</v>
      </c>
      <c r="N2756" s="1">
        <v>38261</v>
      </c>
    </row>
    <row r="2757" spans="11:14" x14ac:dyDescent="0.3">
      <c r="K2757" s="1">
        <v>38626</v>
      </c>
      <c r="M2757" t="e">
        <v>#N/A</v>
      </c>
      <c r="N2757" s="1">
        <v>38261</v>
      </c>
    </row>
    <row r="2758" spans="11:14" x14ac:dyDescent="0.3">
      <c r="K2758" s="1">
        <v>38626</v>
      </c>
      <c r="M2758" t="e">
        <v>#N/A</v>
      </c>
      <c r="N2758" s="1">
        <v>38261</v>
      </c>
    </row>
    <row r="2759" spans="11:14" x14ac:dyDescent="0.3">
      <c r="K2759" s="1">
        <v>38626</v>
      </c>
      <c r="M2759" t="e">
        <v>#N/A</v>
      </c>
      <c r="N2759" s="1">
        <v>38261</v>
      </c>
    </row>
    <row r="2760" spans="11:14" x14ac:dyDescent="0.3">
      <c r="K2760" s="1">
        <v>38626</v>
      </c>
      <c r="M2760" t="e">
        <v>#N/A</v>
      </c>
      <c r="N2760" s="1">
        <v>38261</v>
      </c>
    </row>
    <row r="2761" spans="11:14" x14ac:dyDescent="0.3">
      <c r="K2761" s="1">
        <v>38626</v>
      </c>
      <c r="M2761" t="e">
        <v>#N/A</v>
      </c>
      <c r="N2761" s="1">
        <v>38261</v>
      </c>
    </row>
    <row r="2762" spans="11:14" x14ac:dyDescent="0.3">
      <c r="K2762" s="1">
        <v>38626</v>
      </c>
      <c r="M2762" t="e">
        <v>#N/A</v>
      </c>
      <c r="N2762" s="1">
        <v>38261</v>
      </c>
    </row>
    <row r="2763" spans="11:14" x14ac:dyDescent="0.3">
      <c r="K2763" s="1">
        <v>38626</v>
      </c>
      <c r="M2763" t="e">
        <v>#N/A</v>
      </c>
      <c r="N2763" s="1">
        <v>38261</v>
      </c>
    </row>
    <row r="2764" spans="11:14" x14ac:dyDescent="0.3">
      <c r="K2764" s="1">
        <v>38626</v>
      </c>
      <c r="M2764" t="e">
        <v>#N/A</v>
      </c>
      <c r="N2764" s="1">
        <v>38261</v>
      </c>
    </row>
    <row r="2765" spans="11:14" x14ac:dyDescent="0.3">
      <c r="K2765" s="1">
        <v>38626</v>
      </c>
      <c r="M2765" t="e">
        <v>#N/A</v>
      </c>
      <c r="N2765" s="1">
        <v>38261</v>
      </c>
    </row>
    <row r="2766" spans="11:14" x14ac:dyDescent="0.3">
      <c r="K2766" s="1">
        <v>38626</v>
      </c>
      <c r="M2766" t="e">
        <v>#N/A</v>
      </c>
      <c r="N2766" s="1">
        <v>38261</v>
      </c>
    </row>
    <row r="2767" spans="11:14" x14ac:dyDescent="0.3">
      <c r="K2767" s="1">
        <v>38626</v>
      </c>
      <c r="M2767" t="e">
        <v>#N/A</v>
      </c>
      <c r="N2767" s="1">
        <v>38261</v>
      </c>
    </row>
    <row r="2768" spans="11:14" x14ac:dyDescent="0.3">
      <c r="K2768" s="1">
        <v>38626</v>
      </c>
      <c r="M2768" t="e">
        <v>#N/A</v>
      </c>
      <c r="N2768" s="1">
        <v>38261</v>
      </c>
    </row>
    <row r="2769" spans="11:14" x14ac:dyDescent="0.3">
      <c r="K2769" s="1">
        <v>38626</v>
      </c>
      <c r="M2769" t="e">
        <v>#N/A</v>
      </c>
      <c r="N2769" s="1">
        <v>38261</v>
      </c>
    </row>
    <row r="2770" spans="11:14" x14ac:dyDescent="0.3">
      <c r="K2770" s="1">
        <v>38626</v>
      </c>
      <c r="M2770" t="e">
        <v>#N/A</v>
      </c>
      <c r="N2770" s="1">
        <v>38261</v>
      </c>
    </row>
    <row r="2771" spans="11:14" x14ac:dyDescent="0.3">
      <c r="K2771" s="1">
        <v>38626</v>
      </c>
      <c r="M2771" t="e">
        <v>#N/A</v>
      </c>
      <c r="N2771" s="1">
        <v>38261</v>
      </c>
    </row>
    <row r="2772" spans="11:14" x14ac:dyDescent="0.3">
      <c r="K2772" s="1">
        <v>38626</v>
      </c>
      <c r="M2772" t="e">
        <v>#N/A</v>
      </c>
      <c r="N2772" s="1">
        <v>38261</v>
      </c>
    </row>
    <row r="2773" spans="11:14" x14ac:dyDescent="0.3">
      <c r="K2773" s="1">
        <v>38626</v>
      </c>
      <c r="M2773" t="e">
        <v>#N/A</v>
      </c>
      <c r="N2773" s="1">
        <v>38261</v>
      </c>
    </row>
    <row r="2774" spans="11:14" x14ac:dyDescent="0.3">
      <c r="K2774" s="1">
        <v>38626</v>
      </c>
      <c r="M2774" t="e">
        <v>#N/A</v>
      </c>
      <c r="N2774" s="1">
        <v>38261</v>
      </c>
    </row>
    <row r="2775" spans="11:14" x14ac:dyDescent="0.3">
      <c r="K2775" s="1">
        <v>38626</v>
      </c>
      <c r="M2775" t="e">
        <v>#N/A</v>
      </c>
      <c r="N2775" s="1">
        <v>38261</v>
      </c>
    </row>
    <row r="2776" spans="11:14" x14ac:dyDescent="0.3">
      <c r="K2776" s="1">
        <v>38626</v>
      </c>
      <c r="M2776" t="e">
        <v>#N/A</v>
      </c>
      <c r="N2776" s="1">
        <v>38261</v>
      </c>
    </row>
    <row r="2777" spans="11:14" x14ac:dyDescent="0.3">
      <c r="K2777" s="1">
        <v>38626</v>
      </c>
      <c r="M2777" t="e">
        <v>#N/A</v>
      </c>
      <c r="N2777" s="1">
        <v>38261</v>
      </c>
    </row>
    <row r="2778" spans="11:14" x14ac:dyDescent="0.3">
      <c r="K2778" s="1">
        <v>38626</v>
      </c>
      <c r="M2778" t="e">
        <v>#N/A</v>
      </c>
      <c r="N2778" s="1">
        <v>38261</v>
      </c>
    </row>
    <row r="2779" spans="11:14" x14ac:dyDescent="0.3">
      <c r="K2779" s="1">
        <v>38626</v>
      </c>
      <c r="M2779" t="e">
        <v>#N/A</v>
      </c>
      <c r="N2779" s="1">
        <v>38261</v>
      </c>
    </row>
    <row r="2780" spans="11:14" x14ac:dyDescent="0.3">
      <c r="K2780" s="1">
        <v>38626</v>
      </c>
      <c r="M2780" t="e">
        <v>#N/A</v>
      </c>
      <c r="N2780" s="1">
        <v>38261</v>
      </c>
    </row>
    <row r="2781" spans="11:14" x14ac:dyDescent="0.3">
      <c r="K2781" s="1">
        <v>38626</v>
      </c>
      <c r="M2781" t="e">
        <v>#N/A</v>
      </c>
      <c r="N2781" s="1">
        <v>38261</v>
      </c>
    </row>
    <row r="2782" spans="11:14" x14ac:dyDescent="0.3">
      <c r="K2782" s="1">
        <v>38626</v>
      </c>
      <c r="M2782" t="e">
        <v>#N/A</v>
      </c>
      <c r="N2782" s="1">
        <v>38261</v>
      </c>
    </row>
    <row r="2783" spans="11:14" x14ac:dyDescent="0.3">
      <c r="K2783" s="1">
        <v>38626</v>
      </c>
      <c r="M2783" t="e">
        <v>#N/A</v>
      </c>
      <c r="N2783" s="1">
        <v>38261</v>
      </c>
    </row>
    <row r="2784" spans="11:14" x14ac:dyDescent="0.3">
      <c r="K2784" s="1">
        <v>38626</v>
      </c>
      <c r="M2784" t="e">
        <v>#N/A</v>
      </c>
      <c r="N2784" s="1">
        <v>38261</v>
      </c>
    </row>
    <row r="2785" spans="11:14" x14ac:dyDescent="0.3">
      <c r="K2785" s="1">
        <v>38626</v>
      </c>
      <c r="M2785" t="e">
        <v>#N/A</v>
      </c>
      <c r="N2785" s="1">
        <v>38261</v>
      </c>
    </row>
    <row r="2786" spans="11:14" x14ac:dyDescent="0.3">
      <c r="K2786" s="1">
        <v>38626</v>
      </c>
      <c r="M2786" t="e">
        <v>#N/A</v>
      </c>
      <c r="N2786" s="1">
        <v>38261</v>
      </c>
    </row>
    <row r="2787" spans="11:14" x14ac:dyDescent="0.3">
      <c r="K2787" s="1">
        <v>38626</v>
      </c>
      <c r="M2787" t="e">
        <v>#N/A</v>
      </c>
      <c r="N2787" s="1">
        <v>38261</v>
      </c>
    </row>
    <row r="2788" spans="11:14" x14ac:dyDescent="0.3">
      <c r="K2788" s="1">
        <v>38626</v>
      </c>
      <c r="M2788" t="e">
        <v>#N/A</v>
      </c>
      <c r="N2788" s="1">
        <v>38261</v>
      </c>
    </row>
    <row r="2789" spans="11:14" x14ac:dyDescent="0.3">
      <c r="K2789" s="1">
        <v>38626</v>
      </c>
      <c r="M2789" t="e">
        <v>#N/A</v>
      </c>
      <c r="N2789" s="1">
        <v>38261</v>
      </c>
    </row>
    <row r="2790" spans="11:14" x14ac:dyDescent="0.3">
      <c r="K2790" s="1">
        <v>38626</v>
      </c>
      <c r="M2790" t="e">
        <v>#N/A</v>
      </c>
      <c r="N2790" s="1">
        <v>38261</v>
      </c>
    </row>
    <row r="2791" spans="11:14" x14ac:dyDescent="0.3">
      <c r="K2791" s="1">
        <v>38626</v>
      </c>
      <c r="M2791" t="e">
        <v>#N/A</v>
      </c>
      <c r="N2791" s="1">
        <v>38261</v>
      </c>
    </row>
    <row r="2792" spans="11:14" x14ac:dyDescent="0.3">
      <c r="K2792" s="1">
        <v>38626</v>
      </c>
      <c r="M2792" t="e">
        <v>#N/A</v>
      </c>
      <c r="N2792" s="1">
        <v>38261</v>
      </c>
    </row>
    <row r="2793" spans="11:14" x14ac:dyDescent="0.3">
      <c r="K2793" s="1">
        <v>38626</v>
      </c>
      <c r="M2793" t="e">
        <v>#N/A</v>
      </c>
      <c r="N2793" s="1">
        <v>38261</v>
      </c>
    </row>
    <row r="2794" spans="11:14" x14ac:dyDescent="0.3">
      <c r="K2794" s="1">
        <v>38626</v>
      </c>
      <c r="M2794" t="e">
        <v>#N/A</v>
      </c>
      <c r="N2794" s="1">
        <v>38261</v>
      </c>
    </row>
    <row r="2795" spans="11:14" x14ac:dyDescent="0.3">
      <c r="K2795" s="1">
        <v>38626</v>
      </c>
      <c r="M2795" t="e">
        <v>#N/A</v>
      </c>
      <c r="N2795" s="1">
        <v>38261</v>
      </c>
    </row>
    <row r="2796" spans="11:14" x14ac:dyDescent="0.3">
      <c r="K2796" s="1">
        <v>38626</v>
      </c>
      <c r="M2796" t="e">
        <v>#N/A</v>
      </c>
      <c r="N2796" s="1">
        <v>38261</v>
      </c>
    </row>
    <row r="2797" spans="11:14" x14ac:dyDescent="0.3">
      <c r="K2797" s="1">
        <v>38626</v>
      </c>
      <c r="M2797" t="e">
        <v>#N/A</v>
      </c>
      <c r="N2797" s="1">
        <v>38261</v>
      </c>
    </row>
    <row r="2798" spans="11:14" x14ac:dyDescent="0.3">
      <c r="K2798" s="1">
        <v>38626</v>
      </c>
      <c r="M2798" t="e">
        <v>#N/A</v>
      </c>
      <c r="N2798" s="1">
        <v>38261</v>
      </c>
    </row>
    <row r="2799" spans="11:14" x14ac:dyDescent="0.3">
      <c r="K2799" s="1">
        <v>38626</v>
      </c>
      <c r="M2799" t="e">
        <v>#N/A</v>
      </c>
      <c r="N2799" s="1">
        <v>38261</v>
      </c>
    </row>
    <row r="2800" spans="11:14" x14ac:dyDescent="0.3">
      <c r="K2800" s="1">
        <v>38626</v>
      </c>
      <c r="M2800" t="e">
        <v>#N/A</v>
      </c>
      <c r="N2800" s="1">
        <v>38261</v>
      </c>
    </row>
    <row r="2801" spans="11:14" x14ac:dyDescent="0.3">
      <c r="K2801" s="1">
        <v>38626</v>
      </c>
      <c r="M2801" t="e">
        <v>#N/A</v>
      </c>
      <c r="N2801" s="1">
        <v>38261</v>
      </c>
    </row>
    <row r="2802" spans="11:14" x14ac:dyDescent="0.3">
      <c r="K2802" s="1">
        <v>38626</v>
      </c>
      <c r="M2802" t="e">
        <v>#N/A</v>
      </c>
      <c r="N2802" s="1">
        <v>38261</v>
      </c>
    </row>
    <row r="2803" spans="11:14" x14ac:dyDescent="0.3">
      <c r="K2803" s="1">
        <v>38626</v>
      </c>
      <c r="M2803" t="e">
        <v>#N/A</v>
      </c>
      <c r="N2803" s="1">
        <v>38261</v>
      </c>
    </row>
    <row r="2804" spans="11:14" x14ac:dyDescent="0.3">
      <c r="K2804" s="1">
        <v>38626</v>
      </c>
      <c r="M2804" t="e">
        <v>#N/A</v>
      </c>
      <c r="N2804" s="1">
        <v>38261</v>
      </c>
    </row>
    <row r="2805" spans="11:14" x14ac:dyDescent="0.3">
      <c r="K2805" s="1">
        <v>38626</v>
      </c>
      <c r="M2805" t="e">
        <v>#N/A</v>
      </c>
      <c r="N2805" s="1">
        <v>38261</v>
      </c>
    </row>
    <row r="2806" spans="11:14" x14ac:dyDescent="0.3">
      <c r="K2806" s="1">
        <v>38718</v>
      </c>
      <c r="M2806" t="e">
        <v>#N/A</v>
      </c>
      <c r="N2806" s="1">
        <v>38261</v>
      </c>
    </row>
    <row r="2807" spans="11:14" x14ac:dyDescent="0.3">
      <c r="K2807" s="1">
        <v>38718</v>
      </c>
      <c r="M2807" t="e">
        <v>#N/A</v>
      </c>
      <c r="N2807" s="1">
        <v>38261</v>
      </c>
    </row>
    <row r="2808" spans="11:14" x14ac:dyDescent="0.3">
      <c r="K2808" s="1">
        <v>38718</v>
      </c>
      <c r="M2808" t="e">
        <v>#N/A</v>
      </c>
      <c r="N2808" s="1">
        <v>38261</v>
      </c>
    </row>
    <row r="2809" spans="11:14" x14ac:dyDescent="0.3">
      <c r="K2809" s="1">
        <v>38718</v>
      </c>
      <c r="M2809" t="e">
        <v>#N/A</v>
      </c>
      <c r="N2809" s="1">
        <v>38261</v>
      </c>
    </row>
    <row r="2810" spans="11:14" x14ac:dyDescent="0.3">
      <c r="K2810" s="1">
        <v>38718</v>
      </c>
      <c r="M2810" t="e">
        <v>#N/A</v>
      </c>
      <c r="N2810" s="1">
        <v>38261</v>
      </c>
    </row>
    <row r="2811" spans="11:14" x14ac:dyDescent="0.3">
      <c r="K2811" s="1">
        <v>38718</v>
      </c>
      <c r="M2811" t="e">
        <v>#N/A</v>
      </c>
      <c r="N2811" s="1">
        <v>38261</v>
      </c>
    </row>
    <row r="2812" spans="11:14" x14ac:dyDescent="0.3">
      <c r="K2812" s="1">
        <v>38718</v>
      </c>
      <c r="M2812" t="e">
        <v>#N/A</v>
      </c>
      <c r="N2812" s="1">
        <v>38261</v>
      </c>
    </row>
    <row r="2813" spans="11:14" x14ac:dyDescent="0.3">
      <c r="K2813" s="1">
        <v>38718</v>
      </c>
      <c r="M2813" t="e">
        <v>#N/A</v>
      </c>
      <c r="N2813" s="1">
        <v>38261</v>
      </c>
    </row>
    <row r="2814" spans="11:14" x14ac:dyDescent="0.3">
      <c r="K2814" s="1">
        <v>38718</v>
      </c>
      <c r="M2814" t="e">
        <v>#N/A</v>
      </c>
      <c r="N2814" s="1">
        <v>38261</v>
      </c>
    </row>
    <row r="2815" spans="11:14" x14ac:dyDescent="0.3">
      <c r="K2815" s="1">
        <v>38718</v>
      </c>
      <c r="M2815" t="e">
        <v>#N/A</v>
      </c>
      <c r="N2815" s="1">
        <v>38261</v>
      </c>
    </row>
    <row r="2816" spans="11:14" x14ac:dyDescent="0.3">
      <c r="K2816" s="1">
        <v>38718</v>
      </c>
      <c r="M2816" t="e">
        <v>#N/A</v>
      </c>
      <c r="N2816" s="1">
        <v>38261</v>
      </c>
    </row>
    <row r="2817" spans="11:14" x14ac:dyDescent="0.3">
      <c r="K2817" s="1">
        <v>38718</v>
      </c>
      <c r="M2817" t="e">
        <v>#N/A</v>
      </c>
      <c r="N2817" s="1">
        <v>38261</v>
      </c>
    </row>
    <row r="2818" spans="11:14" x14ac:dyDescent="0.3">
      <c r="K2818" s="1">
        <v>38718</v>
      </c>
      <c r="M2818" t="e">
        <v>#N/A</v>
      </c>
      <c r="N2818" s="1">
        <v>38261</v>
      </c>
    </row>
    <row r="2819" spans="11:14" x14ac:dyDescent="0.3">
      <c r="K2819" s="1">
        <v>38718</v>
      </c>
      <c r="M2819" t="e">
        <v>#N/A</v>
      </c>
      <c r="N2819" s="1">
        <v>38261</v>
      </c>
    </row>
    <row r="2820" spans="11:14" x14ac:dyDescent="0.3">
      <c r="K2820" s="1">
        <v>38718</v>
      </c>
      <c r="M2820" t="e">
        <v>#N/A</v>
      </c>
      <c r="N2820" s="1">
        <v>38261</v>
      </c>
    </row>
    <row r="2821" spans="11:14" x14ac:dyDescent="0.3">
      <c r="K2821" s="1">
        <v>38718</v>
      </c>
      <c r="M2821" t="e">
        <v>#N/A</v>
      </c>
      <c r="N2821" s="1">
        <v>38261</v>
      </c>
    </row>
    <row r="2822" spans="11:14" x14ac:dyDescent="0.3">
      <c r="K2822" s="1">
        <v>38718</v>
      </c>
      <c r="M2822" t="e">
        <v>#N/A</v>
      </c>
      <c r="N2822" s="1">
        <v>38261</v>
      </c>
    </row>
    <row r="2823" spans="11:14" x14ac:dyDescent="0.3">
      <c r="K2823" s="1">
        <v>38718</v>
      </c>
      <c r="M2823" t="e">
        <v>#N/A</v>
      </c>
      <c r="N2823" s="1">
        <v>38261</v>
      </c>
    </row>
    <row r="2824" spans="11:14" x14ac:dyDescent="0.3">
      <c r="K2824" s="1">
        <v>38718</v>
      </c>
      <c r="M2824" t="e">
        <v>#N/A</v>
      </c>
      <c r="N2824" s="1">
        <v>38261</v>
      </c>
    </row>
    <row r="2825" spans="11:14" x14ac:dyDescent="0.3">
      <c r="K2825" s="1">
        <v>38718</v>
      </c>
      <c r="M2825" t="e">
        <v>#N/A</v>
      </c>
      <c r="N2825" s="1">
        <v>38261</v>
      </c>
    </row>
    <row r="2826" spans="11:14" x14ac:dyDescent="0.3">
      <c r="K2826" s="1">
        <v>38718</v>
      </c>
      <c r="M2826" t="e">
        <v>#N/A</v>
      </c>
      <c r="N2826" s="1">
        <v>38261</v>
      </c>
    </row>
    <row r="2827" spans="11:14" x14ac:dyDescent="0.3">
      <c r="K2827" s="1">
        <v>38718</v>
      </c>
      <c r="M2827" t="e">
        <v>#N/A</v>
      </c>
      <c r="N2827" s="1">
        <v>38261</v>
      </c>
    </row>
    <row r="2828" spans="11:14" x14ac:dyDescent="0.3">
      <c r="K2828" s="1">
        <v>38718</v>
      </c>
      <c r="M2828" t="e">
        <v>#N/A</v>
      </c>
      <c r="N2828" s="1">
        <v>38261</v>
      </c>
    </row>
    <row r="2829" spans="11:14" x14ac:dyDescent="0.3">
      <c r="K2829" s="1">
        <v>38718</v>
      </c>
      <c r="M2829" t="e">
        <v>#N/A</v>
      </c>
      <c r="N2829" s="1">
        <v>38261</v>
      </c>
    </row>
    <row r="2830" spans="11:14" x14ac:dyDescent="0.3">
      <c r="K2830" s="1">
        <v>38718</v>
      </c>
      <c r="M2830" t="e">
        <v>#N/A</v>
      </c>
      <c r="N2830" s="1">
        <v>38261</v>
      </c>
    </row>
    <row r="2831" spans="11:14" x14ac:dyDescent="0.3">
      <c r="K2831" s="1">
        <v>38718</v>
      </c>
      <c r="M2831" t="e">
        <v>#N/A</v>
      </c>
      <c r="N2831" s="1">
        <v>38261</v>
      </c>
    </row>
    <row r="2832" spans="11:14" x14ac:dyDescent="0.3">
      <c r="K2832" s="1">
        <v>38718</v>
      </c>
      <c r="M2832" t="e">
        <v>#N/A</v>
      </c>
      <c r="N2832" s="1">
        <v>38261</v>
      </c>
    </row>
    <row r="2833" spans="11:14" x14ac:dyDescent="0.3">
      <c r="K2833" s="1">
        <v>38718</v>
      </c>
      <c r="M2833" t="e">
        <v>#N/A</v>
      </c>
      <c r="N2833" s="1">
        <v>38261</v>
      </c>
    </row>
    <row r="2834" spans="11:14" x14ac:dyDescent="0.3">
      <c r="K2834" s="1">
        <v>38718</v>
      </c>
      <c r="M2834" t="e">
        <v>#N/A</v>
      </c>
      <c r="N2834" s="1">
        <v>38261</v>
      </c>
    </row>
    <row r="2835" spans="11:14" x14ac:dyDescent="0.3">
      <c r="K2835" s="1">
        <v>38718</v>
      </c>
      <c r="M2835" t="e">
        <v>#N/A</v>
      </c>
      <c r="N2835" s="1">
        <v>38261</v>
      </c>
    </row>
    <row r="2836" spans="11:14" x14ac:dyDescent="0.3">
      <c r="K2836" s="1">
        <v>38718</v>
      </c>
      <c r="M2836" t="e">
        <v>#N/A</v>
      </c>
      <c r="N2836" s="1">
        <v>38261</v>
      </c>
    </row>
    <row r="2837" spans="11:14" x14ac:dyDescent="0.3">
      <c r="K2837" s="1">
        <v>38718</v>
      </c>
      <c r="M2837" t="e">
        <v>#N/A</v>
      </c>
      <c r="N2837" s="1">
        <v>38261</v>
      </c>
    </row>
    <row r="2838" spans="11:14" x14ac:dyDescent="0.3">
      <c r="K2838" s="1">
        <v>38718</v>
      </c>
      <c r="M2838" t="e">
        <v>#N/A</v>
      </c>
      <c r="N2838" s="1">
        <v>38261</v>
      </c>
    </row>
    <row r="2839" spans="11:14" x14ac:dyDescent="0.3">
      <c r="K2839" s="1">
        <v>38718</v>
      </c>
      <c r="M2839" t="e">
        <v>#N/A</v>
      </c>
      <c r="N2839" s="1">
        <v>38261</v>
      </c>
    </row>
    <row r="2840" spans="11:14" x14ac:dyDescent="0.3">
      <c r="K2840" s="1">
        <v>38718</v>
      </c>
      <c r="M2840" t="e">
        <v>#N/A</v>
      </c>
      <c r="N2840" s="1">
        <v>38261</v>
      </c>
    </row>
    <row r="2841" spans="11:14" x14ac:dyDescent="0.3">
      <c r="K2841" s="1">
        <v>38718</v>
      </c>
      <c r="M2841" t="e">
        <v>#N/A</v>
      </c>
      <c r="N2841" s="1">
        <v>38261</v>
      </c>
    </row>
    <row r="2842" spans="11:14" x14ac:dyDescent="0.3">
      <c r="K2842" s="1">
        <v>38718</v>
      </c>
      <c r="M2842" t="e">
        <v>#N/A</v>
      </c>
      <c r="N2842" s="1">
        <v>38261</v>
      </c>
    </row>
    <row r="2843" spans="11:14" x14ac:dyDescent="0.3">
      <c r="K2843" s="1">
        <v>38718</v>
      </c>
      <c r="M2843" t="e">
        <v>#N/A</v>
      </c>
      <c r="N2843" s="1">
        <v>38261</v>
      </c>
    </row>
    <row r="2844" spans="11:14" x14ac:dyDescent="0.3">
      <c r="K2844" s="1">
        <v>38718</v>
      </c>
      <c r="M2844" t="e">
        <v>#N/A</v>
      </c>
      <c r="N2844" s="1">
        <v>38261</v>
      </c>
    </row>
    <row r="2845" spans="11:14" x14ac:dyDescent="0.3">
      <c r="K2845" s="1">
        <v>38718</v>
      </c>
      <c r="M2845" t="e">
        <v>#N/A</v>
      </c>
      <c r="N2845" s="1">
        <v>38261</v>
      </c>
    </row>
    <row r="2846" spans="11:14" x14ac:dyDescent="0.3">
      <c r="K2846" s="1">
        <v>38718</v>
      </c>
      <c r="M2846" t="e">
        <v>#N/A</v>
      </c>
      <c r="N2846" s="1">
        <v>38261</v>
      </c>
    </row>
    <row r="2847" spans="11:14" x14ac:dyDescent="0.3">
      <c r="K2847" s="1">
        <v>38718</v>
      </c>
      <c r="M2847" t="e">
        <v>#N/A</v>
      </c>
      <c r="N2847" s="1">
        <v>38261</v>
      </c>
    </row>
    <row r="2848" spans="11:14" x14ac:dyDescent="0.3">
      <c r="K2848" s="1">
        <v>38718</v>
      </c>
      <c r="M2848" t="e">
        <v>#N/A</v>
      </c>
      <c r="N2848" s="1">
        <v>38261</v>
      </c>
    </row>
    <row r="2849" spans="11:14" x14ac:dyDescent="0.3">
      <c r="K2849" s="1">
        <v>38718</v>
      </c>
      <c r="M2849" t="e">
        <v>#N/A</v>
      </c>
      <c r="N2849" s="1">
        <v>38261</v>
      </c>
    </row>
    <row r="2850" spans="11:14" x14ac:dyDescent="0.3">
      <c r="K2850" s="1">
        <v>38718</v>
      </c>
      <c r="M2850" t="e">
        <v>#N/A</v>
      </c>
      <c r="N2850" s="1">
        <v>38261</v>
      </c>
    </row>
    <row r="2851" spans="11:14" x14ac:dyDescent="0.3">
      <c r="K2851" s="1">
        <v>38718</v>
      </c>
      <c r="M2851" t="e">
        <v>#N/A</v>
      </c>
      <c r="N2851" s="1">
        <v>38261</v>
      </c>
    </row>
    <row r="2852" spans="11:14" x14ac:dyDescent="0.3">
      <c r="K2852" s="1">
        <v>38718</v>
      </c>
      <c r="M2852" t="e">
        <v>#N/A</v>
      </c>
      <c r="N2852" s="1">
        <v>38261</v>
      </c>
    </row>
    <row r="2853" spans="11:14" x14ac:dyDescent="0.3">
      <c r="K2853" s="1">
        <v>38718</v>
      </c>
      <c r="M2853" t="e">
        <v>#N/A</v>
      </c>
      <c r="N2853" s="1">
        <v>38261</v>
      </c>
    </row>
    <row r="2854" spans="11:14" x14ac:dyDescent="0.3">
      <c r="K2854" s="1">
        <v>38718</v>
      </c>
      <c r="M2854" t="e">
        <v>#N/A</v>
      </c>
      <c r="N2854" s="1">
        <v>38261</v>
      </c>
    </row>
    <row r="2855" spans="11:14" x14ac:dyDescent="0.3">
      <c r="K2855" s="1">
        <v>38718</v>
      </c>
      <c r="M2855" t="e">
        <v>#N/A</v>
      </c>
      <c r="N2855" s="1">
        <v>38261</v>
      </c>
    </row>
    <row r="2856" spans="11:14" x14ac:dyDescent="0.3">
      <c r="K2856" s="1">
        <v>38718</v>
      </c>
      <c r="M2856" t="e">
        <v>#N/A</v>
      </c>
      <c r="N2856" s="1">
        <v>38261</v>
      </c>
    </row>
    <row r="2857" spans="11:14" x14ac:dyDescent="0.3">
      <c r="K2857" s="1">
        <v>38718</v>
      </c>
      <c r="M2857" t="e">
        <v>#N/A</v>
      </c>
      <c r="N2857" s="1">
        <v>38261</v>
      </c>
    </row>
    <row r="2858" spans="11:14" x14ac:dyDescent="0.3">
      <c r="K2858" s="1">
        <v>38718</v>
      </c>
      <c r="M2858" t="e">
        <v>#N/A</v>
      </c>
      <c r="N2858" s="1">
        <v>38261</v>
      </c>
    </row>
    <row r="2859" spans="11:14" x14ac:dyDescent="0.3">
      <c r="K2859" s="1">
        <v>38718</v>
      </c>
      <c r="M2859" t="e">
        <v>#N/A</v>
      </c>
      <c r="N2859" s="1">
        <v>38261</v>
      </c>
    </row>
    <row r="2860" spans="11:14" x14ac:dyDescent="0.3">
      <c r="K2860" s="1">
        <v>38718</v>
      </c>
      <c r="M2860" t="e">
        <v>#N/A</v>
      </c>
      <c r="N2860" s="1">
        <v>38261</v>
      </c>
    </row>
    <row r="2861" spans="11:14" x14ac:dyDescent="0.3">
      <c r="K2861" s="1">
        <v>38718</v>
      </c>
      <c r="M2861" t="e">
        <v>#N/A</v>
      </c>
      <c r="N2861" s="1">
        <v>38261</v>
      </c>
    </row>
    <row r="2862" spans="11:14" x14ac:dyDescent="0.3">
      <c r="K2862" s="1">
        <v>38718</v>
      </c>
      <c r="M2862" t="e">
        <v>#N/A</v>
      </c>
      <c r="N2862" s="1">
        <v>38261</v>
      </c>
    </row>
    <row r="2863" spans="11:14" x14ac:dyDescent="0.3">
      <c r="K2863" s="1">
        <v>38718</v>
      </c>
      <c r="M2863" t="e">
        <v>#N/A</v>
      </c>
      <c r="N2863" s="1">
        <v>38261</v>
      </c>
    </row>
    <row r="2864" spans="11:14" x14ac:dyDescent="0.3">
      <c r="K2864" s="1">
        <v>38718</v>
      </c>
      <c r="M2864" t="e">
        <v>#N/A</v>
      </c>
      <c r="N2864" s="1">
        <v>38261</v>
      </c>
    </row>
    <row r="2865" spans="11:14" x14ac:dyDescent="0.3">
      <c r="K2865" s="1">
        <v>38718</v>
      </c>
      <c r="M2865" t="e">
        <v>#N/A</v>
      </c>
      <c r="N2865" s="1">
        <v>38261</v>
      </c>
    </row>
    <row r="2866" spans="11:14" x14ac:dyDescent="0.3">
      <c r="K2866" s="1">
        <v>38718</v>
      </c>
      <c r="M2866" t="e">
        <v>#N/A</v>
      </c>
      <c r="N2866" s="1">
        <v>38261</v>
      </c>
    </row>
    <row r="2867" spans="11:14" x14ac:dyDescent="0.3">
      <c r="K2867" s="1">
        <v>38718</v>
      </c>
      <c r="M2867" t="e">
        <v>#N/A</v>
      </c>
      <c r="N2867" s="1">
        <v>38261</v>
      </c>
    </row>
    <row r="2868" spans="11:14" x14ac:dyDescent="0.3">
      <c r="K2868" s="1">
        <v>38718</v>
      </c>
      <c r="M2868" t="e">
        <v>#N/A</v>
      </c>
      <c r="N2868" s="1">
        <v>38261</v>
      </c>
    </row>
    <row r="2869" spans="11:14" x14ac:dyDescent="0.3">
      <c r="K2869" s="1">
        <v>38718</v>
      </c>
      <c r="M2869" t="e">
        <v>#N/A</v>
      </c>
      <c r="N2869" s="1">
        <v>38261</v>
      </c>
    </row>
    <row r="2870" spans="11:14" x14ac:dyDescent="0.3">
      <c r="K2870" s="1">
        <v>38718</v>
      </c>
      <c r="M2870" t="e">
        <v>#N/A</v>
      </c>
      <c r="N2870" s="1">
        <v>38261</v>
      </c>
    </row>
    <row r="2871" spans="11:14" x14ac:dyDescent="0.3">
      <c r="K2871" s="1">
        <v>38718</v>
      </c>
      <c r="M2871" t="e">
        <v>#N/A</v>
      </c>
      <c r="N2871" s="1">
        <v>38261</v>
      </c>
    </row>
    <row r="2872" spans="11:14" x14ac:dyDescent="0.3">
      <c r="K2872" s="1">
        <v>38718</v>
      </c>
      <c r="M2872" t="e">
        <v>#N/A</v>
      </c>
      <c r="N2872" s="1">
        <v>38261</v>
      </c>
    </row>
    <row r="2873" spans="11:14" x14ac:dyDescent="0.3">
      <c r="K2873" s="1">
        <v>38718</v>
      </c>
      <c r="M2873" t="e">
        <v>#N/A</v>
      </c>
      <c r="N2873" s="1">
        <v>38261</v>
      </c>
    </row>
    <row r="2874" spans="11:14" x14ac:dyDescent="0.3">
      <c r="K2874" s="1">
        <v>38718</v>
      </c>
      <c r="M2874" t="e">
        <v>#N/A</v>
      </c>
      <c r="N2874" s="1">
        <v>38261</v>
      </c>
    </row>
    <row r="2875" spans="11:14" x14ac:dyDescent="0.3">
      <c r="K2875" s="1">
        <v>38718</v>
      </c>
      <c r="M2875" t="e">
        <v>#N/A</v>
      </c>
      <c r="N2875" s="1">
        <v>38261</v>
      </c>
    </row>
    <row r="2876" spans="11:14" x14ac:dyDescent="0.3">
      <c r="K2876" s="1">
        <v>38718</v>
      </c>
      <c r="M2876" t="e">
        <v>#N/A</v>
      </c>
      <c r="N2876" s="1">
        <v>38353</v>
      </c>
    </row>
    <row r="2877" spans="11:14" x14ac:dyDescent="0.3">
      <c r="K2877" s="1">
        <v>38718</v>
      </c>
      <c r="M2877" t="e">
        <v>#N/A</v>
      </c>
      <c r="N2877" s="1">
        <v>38353</v>
      </c>
    </row>
    <row r="2878" spans="11:14" x14ac:dyDescent="0.3">
      <c r="K2878" s="1">
        <v>38718</v>
      </c>
      <c r="M2878" t="e">
        <v>#N/A</v>
      </c>
      <c r="N2878" s="1">
        <v>38353</v>
      </c>
    </row>
    <row r="2879" spans="11:14" x14ac:dyDescent="0.3">
      <c r="K2879" s="1">
        <v>38718</v>
      </c>
      <c r="M2879" t="e">
        <v>#N/A</v>
      </c>
      <c r="N2879" s="1">
        <v>38353</v>
      </c>
    </row>
    <row r="2880" spans="11:14" x14ac:dyDescent="0.3">
      <c r="K2880" s="1">
        <v>38718</v>
      </c>
      <c r="M2880" t="e">
        <v>#N/A</v>
      </c>
      <c r="N2880" s="1">
        <v>38353</v>
      </c>
    </row>
    <row r="2881" spans="11:14" x14ac:dyDescent="0.3">
      <c r="K2881" s="1">
        <v>38718</v>
      </c>
      <c r="M2881" t="e">
        <v>#N/A</v>
      </c>
      <c r="N2881" s="1">
        <v>38353</v>
      </c>
    </row>
    <row r="2882" spans="11:14" x14ac:dyDescent="0.3">
      <c r="K2882" s="1">
        <v>38718</v>
      </c>
      <c r="M2882" t="e">
        <v>#N/A</v>
      </c>
      <c r="N2882" s="1">
        <v>38353</v>
      </c>
    </row>
    <row r="2883" spans="11:14" x14ac:dyDescent="0.3">
      <c r="K2883" s="1">
        <v>38718</v>
      </c>
      <c r="M2883" t="e">
        <v>#N/A</v>
      </c>
      <c r="N2883" s="1">
        <v>38353</v>
      </c>
    </row>
    <row r="2884" spans="11:14" x14ac:dyDescent="0.3">
      <c r="K2884" s="1">
        <v>38718</v>
      </c>
      <c r="M2884" t="e">
        <v>#N/A</v>
      </c>
      <c r="N2884" s="1">
        <v>38353</v>
      </c>
    </row>
    <row r="2885" spans="11:14" x14ac:dyDescent="0.3">
      <c r="K2885" s="1">
        <v>38718</v>
      </c>
      <c r="M2885" t="e">
        <v>#N/A</v>
      </c>
      <c r="N2885" s="1">
        <v>38353</v>
      </c>
    </row>
    <row r="2886" spans="11:14" x14ac:dyDescent="0.3">
      <c r="K2886" s="1">
        <v>38718</v>
      </c>
      <c r="M2886" t="e">
        <v>#N/A</v>
      </c>
      <c r="N2886" s="1">
        <v>38353</v>
      </c>
    </row>
    <row r="2887" spans="11:14" x14ac:dyDescent="0.3">
      <c r="K2887" s="1">
        <v>38718</v>
      </c>
      <c r="M2887" t="e">
        <v>#N/A</v>
      </c>
      <c r="N2887" s="1">
        <v>38353</v>
      </c>
    </row>
    <row r="2888" spans="11:14" x14ac:dyDescent="0.3">
      <c r="K2888" s="1">
        <v>38718</v>
      </c>
      <c r="M2888" t="e">
        <v>#N/A</v>
      </c>
      <c r="N2888" s="1">
        <v>38353</v>
      </c>
    </row>
    <row r="2889" spans="11:14" x14ac:dyDescent="0.3">
      <c r="K2889" s="1">
        <v>38718</v>
      </c>
      <c r="M2889" t="e">
        <v>#N/A</v>
      </c>
      <c r="N2889" s="1">
        <v>38353</v>
      </c>
    </row>
    <row r="2890" spans="11:14" x14ac:dyDescent="0.3">
      <c r="K2890" s="1">
        <v>38718</v>
      </c>
      <c r="M2890" t="e">
        <v>#N/A</v>
      </c>
      <c r="N2890" s="1">
        <v>38353</v>
      </c>
    </row>
    <row r="2891" spans="11:14" x14ac:dyDescent="0.3">
      <c r="K2891" s="1">
        <v>38718</v>
      </c>
      <c r="M2891" t="e">
        <v>#N/A</v>
      </c>
      <c r="N2891" s="1">
        <v>38353</v>
      </c>
    </row>
    <row r="2892" spans="11:14" x14ac:dyDescent="0.3">
      <c r="K2892" s="1">
        <v>38718</v>
      </c>
      <c r="M2892" t="e">
        <v>#N/A</v>
      </c>
      <c r="N2892" s="1">
        <v>38353</v>
      </c>
    </row>
    <row r="2893" spans="11:14" x14ac:dyDescent="0.3">
      <c r="K2893" s="1">
        <v>38718</v>
      </c>
      <c r="M2893" t="e">
        <v>#N/A</v>
      </c>
      <c r="N2893" s="1">
        <v>38353</v>
      </c>
    </row>
    <row r="2894" spans="11:14" x14ac:dyDescent="0.3">
      <c r="K2894" s="1">
        <v>38718</v>
      </c>
      <c r="M2894" t="e">
        <v>#N/A</v>
      </c>
      <c r="N2894" s="1">
        <v>38353</v>
      </c>
    </row>
    <row r="2895" spans="11:14" x14ac:dyDescent="0.3">
      <c r="K2895" s="1">
        <v>38718</v>
      </c>
      <c r="M2895" t="e">
        <v>#N/A</v>
      </c>
      <c r="N2895" s="1">
        <v>38353</v>
      </c>
    </row>
    <row r="2896" spans="11:14" x14ac:dyDescent="0.3">
      <c r="K2896" s="1">
        <v>38718</v>
      </c>
      <c r="M2896" t="e">
        <v>#N/A</v>
      </c>
      <c r="N2896" s="1">
        <v>38353</v>
      </c>
    </row>
    <row r="2897" spans="11:14" x14ac:dyDescent="0.3">
      <c r="K2897" s="1">
        <v>38718</v>
      </c>
      <c r="M2897" t="e">
        <v>#N/A</v>
      </c>
      <c r="N2897" s="1">
        <v>38353</v>
      </c>
    </row>
    <row r="2898" spans="11:14" x14ac:dyDescent="0.3">
      <c r="K2898" s="1">
        <v>38718</v>
      </c>
      <c r="M2898" t="e">
        <v>#N/A</v>
      </c>
      <c r="N2898" s="1">
        <v>38353</v>
      </c>
    </row>
    <row r="2899" spans="11:14" x14ac:dyDescent="0.3">
      <c r="K2899" s="1">
        <v>38718</v>
      </c>
      <c r="M2899" t="e">
        <v>#N/A</v>
      </c>
      <c r="N2899" s="1">
        <v>38353</v>
      </c>
    </row>
    <row r="2900" spans="11:14" x14ac:dyDescent="0.3">
      <c r="K2900" s="1">
        <v>38718</v>
      </c>
      <c r="M2900" t="e">
        <v>#N/A</v>
      </c>
      <c r="N2900" s="1">
        <v>38353</v>
      </c>
    </row>
    <row r="2901" spans="11:14" x14ac:dyDescent="0.3">
      <c r="K2901" s="1">
        <v>38718</v>
      </c>
      <c r="M2901" t="e">
        <v>#N/A</v>
      </c>
      <c r="N2901" s="1">
        <v>38353</v>
      </c>
    </row>
    <row r="2902" spans="11:14" x14ac:dyDescent="0.3">
      <c r="K2902" s="1">
        <v>38718</v>
      </c>
      <c r="M2902" t="e">
        <v>#N/A</v>
      </c>
      <c r="N2902" s="1">
        <v>38353</v>
      </c>
    </row>
    <row r="2903" spans="11:14" x14ac:dyDescent="0.3">
      <c r="K2903" s="1">
        <v>38718</v>
      </c>
      <c r="M2903" t="e">
        <v>#N/A</v>
      </c>
      <c r="N2903" s="1">
        <v>38353</v>
      </c>
    </row>
    <row r="2904" spans="11:14" x14ac:dyDescent="0.3">
      <c r="K2904" s="1">
        <v>38718</v>
      </c>
      <c r="M2904" t="e">
        <v>#N/A</v>
      </c>
      <c r="N2904" s="1">
        <v>38353</v>
      </c>
    </row>
    <row r="2905" spans="11:14" x14ac:dyDescent="0.3">
      <c r="K2905" s="1">
        <v>38718</v>
      </c>
      <c r="M2905" t="e">
        <v>#N/A</v>
      </c>
      <c r="N2905" s="1">
        <v>38353</v>
      </c>
    </row>
    <row r="2906" spans="11:14" x14ac:dyDescent="0.3">
      <c r="K2906" s="1">
        <v>38718</v>
      </c>
      <c r="M2906" t="e">
        <v>#N/A</v>
      </c>
      <c r="N2906" s="1">
        <v>38353</v>
      </c>
    </row>
    <row r="2907" spans="11:14" x14ac:dyDescent="0.3">
      <c r="K2907" s="1">
        <v>38718</v>
      </c>
      <c r="M2907" t="e">
        <v>#N/A</v>
      </c>
      <c r="N2907" s="1">
        <v>38353</v>
      </c>
    </row>
    <row r="2908" spans="11:14" x14ac:dyDescent="0.3">
      <c r="K2908" s="1">
        <v>38718</v>
      </c>
      <c r="M2908" t="e">
        <v>#N/A</v>
      </c>
      <c r="N2908" s="1">
        <v>38353</v>
      </c>
    </row>
    <row r="2909" spans="11:14" x14ac:dyDescent="0.3">
      <c r="K2909" s="1">
        <v>38718</v>
      </c>
      <c r="M2909" t="e">
        <v>#N/A</v>
      </c>
      <c r="N2909" s="1">
        <v>38353</v>
      </c>
    </row>
    <row r="2910" spans="11:14" x14ac:dyDescent="0.3">
      <c r="K2910" s="1">
        <v>38718</v>
      </c>
      <c r="M2910" t="e">
        <v>#N/A</v>
      </c>
      <c r="N2910" s="1">
        <v>38353</v>
      </c>
    </row>
    <row r="2911" spans="11:14" x14ac:dyDescent="0.3">
      <c r="K2911" s="1">
        <v>38718</v>
      </c>
      <c r="M2911" t="e">
        <v>#N/A</v>
      </c>
      <c r="N2911" s="1">
        <v>38353</v>
      </c>
    </row>
    <row r="2912" spans="11:14" x14ac:dyDescent="0.3">
      <c r="K2912" s="1">
        <v>38718</v>
      </c>
      <c r="M2912" t="e">
        <v>#N/A</v>
      </c>
      <c r="N2912" s="1">
        <v>38353</v>
      </c>
    </row>
    <row r="2913" spans="11:14" x14ac:dyDescent="0.3">
      <c r="K2913" s="1">
        <v>38718</v>
      </c>
      <c r="M2913" t="e">
        <v>#N/A</v>
      </c>
      <c r="N2913" s="1">
        <v>38353</v>
      </c>
    </row>
    <row r="2914" spans="11:14" x14ac:dyDescent="0.3">
      <c r="K2914" s="1">
        <v>38718</v>
      </c>
      <c r="M2914" t="e">
        <v>#N/A</v>
      </c>
      <c r="N2914" s="1">
        <v>38353</v>
      </c>
    </row>
    <row r="2915" spans="11:14" x14ac:dyDescent="0.3">
      <c r="K2915" s="1">
        <v>38718</v>
      </c>
      <c r="M2915" t="e">
        <v>#N/A</v>
      </c>
      <c r="N2915" s="1">
        <v>38353</v>
      </c>
    </row>
    <row r="2916" spans="11:14" x14ac:dyDescent="0.3">
      <c r="K2916" s="1">
        <v>38718</v>
      </c>
      <c r="M2916" t="e">
        <v>#N/A</v>
      </c>
      <c r="N2916" s="1">
        <v>38353</v>
      </c>
    </row>
    <row r="2917" spans="11:14" x14ac:dyDescent="0.3">
      <c r="K2917" s="1">
        <v>38718</v>
      </c>
      <c r="M2917" t="e">
        <v>#N/A</v>
      </c>
      <c r="N2917" s="1">
        <v>38353</v>
      </c>
    </row>
    <row r="2918" spans="11:14" x14ac:dyDescent="0.3">
      <c r="K2918" s="1">
        <v>38718</v>
      </c>
      <c r="M2918" t="e">
        <v>#N/A</v>
      </c>
      <c r="N2918" s="1">
        <v>38353</v>
      </c>
    </row>
    <row r="2919" spans="11:14" x14ac:dyDescent="0.3">
      <c r="K2919" s="1">
        <v>38718</v>
      </c>
      <c r="M2919" t="e">
        <v>#N/A</v>
      </c>
      <c r="N2919" s="1">
        <v>38353</v>
      </c>
    </row>
    <row r="2920" spans="11:14" x14ac:dyDescent="0.3">
      <c r="K2920" s="1">
        <v>38718</v>
      </c>
      <c r="M2920" t="e">
        <v>#N/A</v>
      </c>
      <c r="N2920" s="1">
        <v>38353</v>
      </c>
    </row>
    <row r="2921" spans="11:14" x14ac:dyDescent="0.3">
      <c r="K2921" s="1">
        <v>38718</v>
      </c>
      <c r="M2921" t="e">
        <v>#N/A</v>
      </c>
      <c r="N2921" s="1">
        <v>38353</v>
      </c>
    </row>
    <row r="2922" spans="11:14" x14ac:dyDescent="0.3">
      <c r="K2922" s="1">
        <v>38718</v>
      </c>
      <c r="M2922" t="e">
        <v>#N/A</v>
      </c>
      <c r="N2922" s="1">
        <v>38353</v>
      </c>
    </row>
    <row r="2923" spans="11:14" x14ac:dyDescent="0.3">
      <c r="K2923" s="1">
        <v>38718</v>
      </c>
      <c r="M2923" t="e">
        <v>#N/A</v>
      </c>
      <c r="N2923" s="1">
        <v>38353</v>
      </c>
    </row>
    <row r="2924" spans="11:14" x14ac:dyDescent="0.3">
      <c r="K2924" s="1">
        <v>38718</v>
      </c>
      <c r="M2924" t="e">
        <v>#N/A</v>
      </c>
      <c r="N2924" s="1">
        <v>38353</v>
      </c>
    </row>
    <row r="2925" spans="11:14" x14ac:dyDescent="0.3">
      <c r="K2925" s="1">
        <v>38718</v>
      </c>
      <c r="M2925" t="e">
        <v>#N/A</v>
      </c>
      <c r="N2925" s="1">
        <v>38353</v>
      </c>
    </row>
    <row r="2926" spans="11:14" x14ac:dyDescent="0.3">
      <c r="K2926" s="1">
        <v>38718</v>
      </c>
      <c r="M2926" t="e">
        <v>#N/A</v>
      </c>
      <c r="N2926" s="1">
        <v>38353</v>
      </c>
    </row>
    <row r="2927" spans="11:14" x14ac:dyDescent="0.3">
      <c r="K2927" s="1">
        <v>38718</v>
      </c>
      <c r="M2927" t="e">
        <v>#N/A</v>
      </c>
      <c r="N2927" s="1">
        <v>38353</v>
      </c>
    </row>
    <row r="2928" spans="11:14" x14ac:dyDescent="0.3">
      <c r="K2928" s="1">
        <v>38718</v>
      </c>
      <c r="M2928" t="e">
        <v>#N/A</v>
      </c>
      <c r="N2928" s="1">
        <v>38353</v>
      </c>
    </row>
    <row r="2929" spans="11:14" x14ac:dyDescent="0.3">
      <c r="K2929" s="1">
        <v>38718</v>
      </c>
      <c r="M2929" t="e">
        <v>#N/A</v>
      </c>
      <c r="N2929" s="1">
        <v>38353</v>
      </c>
    </row>
    <row r="2930" spans="11:14" x14ac:dyDescent="0.3">
      <c r="K2930" s="1">
        <v>38718</v>
      </c>
      <c r="M2930" t="e">
        <v>#N/A</v>
      </c>
      <c r="N2930" s="1">
        <v>38353</v>
      </c>
    </row>
    <row r="2931" spans="11:14" x14ac:dyDescent="0.3">
      <c r="K2931" s="1">
        <v>38718</v>
      </c>
      <c r="M2931" t="e">
        <v>#N/A</v>
      </c>
      <c r="N2931" s="1">
        <v>38353</v>
      </c>
    </row>
    <row r="2932" spans="11:14" x14ac:dyDescent="0.3">
      <c r="K2932" s="1">
        <v>38718</v>
      </c>
      <c r="M2932" t="e">
        <v>#N/A</v>
      </c>
      <c r="N2932" s="1">
        <v>38353</v>
      </c>
    </row>
    <row r="2933" spans="11:14" x14ac:dyDescent="0.3">
      <c r="K2933" s="1">
        <v>38718</v>
      </c>
      <c r="M2933" t="e">
        <v>#N/A</v>
      </c>
      <c r="N2933" s="1">
        <v>38353</v>
      </c>
    </row>
    <row r="2934" spans="11:14" x14ac:dyDescent="0.3">
      <c r="K2934" s="1">
        <v>38718</v>
      </c>
      <c r="M2934" t="e">
        <v>#N/A</v>
      </c>
      <c r="N2934" s="1">
        <v>38353</v>
      </c>
    </row>
    <row r="2935" spans="11:14" x14ac:dyDescent="0.3">
      <c r="K2935" s="1">
        <v>38718</v>
      </c>
      <c r="M2935" t="e">
        <v>#N/A</v>
      </c>
      <c r="N2935" s="1">
        <v>38353</v>
      </c>
    </row>
    <row r="2936" spans="11:14" x14ac:dyDescent="0.3">
      <c r="K2936" s="1">
        <v>38718</v>
      </c>
      <c r="M2936" t="e">
        <v>#N/A</v>
      </c>
      <c r="N2936" s="1">
        <v>38353</v>
      </c>
    </row>
    <row r="2937" spans="11:14" x14ac:dyDescent="0.3">
      <c r="K2937" s="1">
        <v>38718</v>
      </c>
      <c r="M2937" t="e">
        <v>#N/A</v>
      </c>
      <c r="N2937" s="1">
        <v>38353</v>
      </c>
    </row>
    <row r="2938" spans="11:14" x14ac:dyDescent="0.3">
      <c r="K2938" s="1">
        <v>38718</v>
      </c>
      <c r="M2938" t="e">
        <v>#N/A</v>
      </c>
      <c r="N2938" s="1">
        <v>38353</v>
      </c>
    </row>
    <row r="2939" spans="11:14" x14ac:dyDescent="0.3">
      <c r="K2939" s="1">
        <v>38718</v>
      </c>
      <c r="M2939" t="e">
        <v>#N/A</v>
      </c>
      <c r="N2939" s="1">
        <v>38353</v>
      </c>
    </row>
    <row r="2940" spans="11:14" x14ac:dyDescent="0.3">
      <c r="K2940" s="1">
        <v>38718</v>
      </c>
      <c r="M2940" t="e">
        <v>#N/A</v>
      </c>
      <c r="N2940" s="1">
        <v>38353</v>
      </c>
    </row>
    <row r="2941" spans="11:14" x14ac:dyDescent="0.3">
      <c r="K2941" s="1">
        <v>38718</v>
      </c>
      <c r="M2941" t="e">
        <v>#N/A</v>
      </c>
      <c r="N2941" s="1">
        <v>38353</v>
      </c>
    </row>
    <row r="2942" spans="11:14" x14ac:dyDescent="0.3">
      <c r="K2942" s="1">
        <v>38718</v>
      </c>
      <c r="M2942" t="e">
        <v>#N/A</v>
      </c>
      <c r="N2942" s="1">
        <v>38353</v>
      </c>
    </row>
    <row r="2943" spans="11:14" x14ac:dyDescent="0.3">
      <c r="K2943" s="1">
        <v>38718</v>
      </c>
      <c r="M2943" t="e">
        <v>#N/A</v>
      </c>
      <c r="N2943" s="1">
        <v>38353</v>
      </c>
    </row>
    <row r="2944" spans="11:14" x14ac:dyDescent="0.3">
      <c r="K2944" s="1">
        <v>38718</v>
      </c>
      <c r="M2944" t="e">
        <v>#N/A</v>
      </c>
      <c r="N2944" s="1">
        <v>38353</v>
      </c>
    </row>
    <row r="2945" spans="11:14" x14ac:dyDescent="0.3">
      <c r="K2945" s="1">
        <v>38718</v>
      </c>
      <c r="M2945" t="e">
        <v>#N/A</v>
      </c>
      <c r="N2945" s="1">
        <v>38353</v>
      </c>
    </row>
    <row r="2946" spans="11:14" x14ac:dyDescent="0.3">
      <c r="K2946" s="1">
        <v>38718</v>
      </c>
      <c r="M2946" t="e">
        <v>#N/A</v>
      </c>
      <c r="N2946" s="1">
        <v>38353</v>
      </c>
    </row>
    <row r="2947" spans="11:14" x14ac:dyDescent="0.3">
      <c r="K2947" s="1">
        <v>38718</v>
      </c>
      <c r="M2947" t="e">
        <v>#N/A</v>
      </c>
      <c r="N2947" s="1">
        <v>38353</v>
      </c>
    </row>
    <row r="2948" spans="11:14" x14ac:dyDescent="0.3">
      <c r="K2948" s="1">
        <v>38718</v>
      </c>
      <c r="M2948" t="e">
        <v>#N/A</v>
      </c>
      <c r="N2948" s="1">
        <v>38353</v>
      </c>
    </row>
    <row r="2949" spans="11:14" x14ac:dyDescent="0.3">
      <c r="K2949" s="1">
        <v>38718</v>
      </c>
      <c r="M2949" t="e">
        <v>#N/A</v>
      </c>
      <c r="N2949" s="1">
        <v>38353</v>
      </c>
    </row>
    <row r="2950" spans="11:14" x14ac:dyDescent="0.3">
      <c r="K2950" s="1">
        <v>38718</v>
      </c>
      <c r="M2950" t="e">
        <v>#N/A</v>
      </c>
      <c r="N2950" s="1">
        <v>38353</v>
      </c>
    </row>
    <row r="2951" spans="11:14" x14ac:dyDescent="0.3">
      <c r="K2951" s="1">
        <v>38718</v>
      </c>
      <c r="M2951" t="e">
        <v>#N/A</v>
      </c>
      <c r="N2951" s="1">
        <v>38353</v>
      </c>
    </row>
    <row r="2952" spans="11:14" x14ac:dyDescent="0.3">
      <c r="K2952" s="1">
        <v>38718</v>
      </c>
      <c r="M2952" t="e">
        <v>#N/A</v>
      </c>
      <c r="N2952" s="1">
        <v>38353</v>
      </c>
    </row>
    <row r="2953" spans="11:14" x14ac:dyDescent="0.3">
      <c r="K2953" s="1">
        <v>38718</v>
      </c>
      <c r="M2953" t="e">
        <v>#N/A</v>
      </c>
      <c r="N2953" s="1">
        <v>38353</v>
      </c>
    </row>
    <row r="2954" spans="11:14" x14ac:dyDescent="0.3">
      <c r="K2954" s="1">
        <v>38718</v>
      </c>
      <c r="M2954" t="e">
        <v>#N/A</v>
      </c>
      <c r="N2954" s="1">
        <v>38353</v>
      </c>
    </row>
    <row r="2955" spans="11:14" x14ac:dyDescent="0.3">
      <c r="K2955" s="1">
        <v>38718</v>
      </c>
      <c r="M2955" t="e">
        <v>#N/A</v>
      </c>
      <c r="N2955" s="1">
        <v>38353</v>
      </c>
    </row>
    <row r="2956" spans="11:14" x14ac:dyDescent="0.3">
      <c r="K2956" s="1">
        <v>38718</v>
      </c>
      <c r="M2956" t="e">
        <v>#N/A</v>
      </c>
      <c r="N2956" s="1">
        <v>38353</v>
      </c>
    </row>
    <row r="2957" spans="11:14" x14ac:dyDescent="0.3">
      <c r="K2957" s="1">
        <v>38718</v>
      </c>
      <c r="M2957" t="e">
        <v>#N/A</v>
      </c>
      <c r="N2957" s="1">
        <v>38353</v>
      </c>
    </row>
    <row r="2958" spans="11:14" x14ac:dyDescent="0.3">
      <c r="K2958" s="1">
        <v>38718</v>
      </c>
      <c r="M2958" t="e">
        <v>#N/A</v>
      </c>
      <c r="N2958" s="1">
        <v>38353</v>
      </c>
    </row>
    <row r="2959" spans="11:14" x14ac:dyDescent="0.3">
      <c r="K2959" s="1">
        <v>38718</v>
      </c>
      <c r="M2959" t="e">
        <v>#N/A</v>
      </c>
      <c r="N2959" s="1">
        <v>38353</v>
      </c>
    </row>
    <row r="2960" spans="11:14" x14ac:dyDescent="0.3">
      <c r="K2960" s="1">
        <v>38718</v>
      </c>
      <c r="M2960" t="e">
        <v>#N/A</v>
      </c>
      <c r="N2960" s="1">
        <v>38353</v>
      </c>
    </row>
    <row r="2961" spans="11:14" x14ac:dyDescent="0.3">
      <c r="K2961" s="1">
        <v>38718</v>
      </c>
      <c r="M2961" t="e">
        <v>#N/A</v>
      </c>
      <c r="N2961" s="1">
        <v>38353</v>
      </c>
    </row>
    <row r="2962" spans="11:14" x14ac:dyDescent="0.3">
      <c r="K2962" s="1">
        <v>38718</v>
      </c>
      <c r="M2962" t="e">
        <v>#N/A</v>
      </c>
      <c r="N2962" s="1">
        <v>38353</v>
      </c>
    </row>
    <row r="2963" spans="11:14" x14ac:dyDescent="0.3">
      <c r="K2963" s="1">
        <v>38718</v>
      </c>
      <c r="M2963" t="e">
        <v>#N/A</v>
      </c>
      <c r="N2963" s="1">
        <v>38353</v>
      </c>
    </row>
    <row r="2964" spans="11:14" x14ac:dyDescent="0.3">
      <c r="K2964" s="1">
        <v>38718</v>
      </c>
      <c r="M2964" t="e">
        <v>#N/A</v>
      </c>
      <c r="N2964" s="1">
        <v>38353</v>
      </c>
    </row>
    <row r="2965" spans="11:14" x14ac:dyDescent="0.3">
      <c r="K2965" s="1">
        <v>38718</v>
      </c>
      <c r="M2965" t="e">
        <v>#N/A</v>
      </c>
      <c r="N2965" s="1">
        <v>38353</v>
      </c>
    </row>
    <row r="2966" spans="11:14" x14ac:dyDescent="0.3">
      <c r="K2966" s="1">
        <v>38718</v>
      </c>
      <c r="M2966" t="e">
        <v>#N/A</v>
      </c>
      <c r="N2966" s="1">
        <v>38353</v>
      </c>
    </row>
    <row r="2967" spans="11:14" x14ac:dyDescent="0.3">
      <c r="K2967" s="1">
        <v>38718</v>
      </c>
      <c r="M2967" t="e">
        <v>#N/A</v>
      </c>
      <c r="N2967" s="1">
        <v>38353</v>
      </c>
    </row>
    <row r="2968" spans="11:14" x14ac:dyDescent="0.3">
      <c r="K2968" s="1">
        <v>38718</v>
      </c>
      <c r="M2968" t="e">
        <v>#N/A</v>
      </c>
      <c r="N2968" s="1">
        <v>38353</v>
      </c>
    </row>
    <row r="2969" spans="11:14" x14ac:dyDescent="0.3">
      <c r="K2969" s="1">
        <v>38718</v>
      </c>
      <c r="M2969" t="e">
        <v>#N/A</v>
      </c>
      <c r="N2969" s="1">
        <v>38353</v>
      </c>
    </row>
    <row r="2970" spans="11:14" x14ac:dyDescent="0.3">
      <c r="K2970" s="1">
        <v>38718</v>
      </c>
      <c r="M2970" t="e">
        <v>#N/A</v>
      </c>
      <c r="N2970" s="1">
        <v>38353</v>
      </c>
    </row>
    <row r="2971" spans="11:14" x14ac:dyDescent="0.3">
      <c r="K2971" s="1">
        <v>38718</v>
      </c>
      <c r="M2971" t="e">
        <v>#N/A</v>
      </c>
      <c r="N2971" s="1">
        <v>38353</v>
      </c>
    </row>
    <row r="2972" spans="11:14" x14ac:dyDescent="0.3">
      <c r="K2972" s="1">
        <v>38718</v>
      </c>
      <c r="M2972" t="e">
        <v>#N/A</v>
      </c>
      <c r="N2972" s="1">
        <v>38353</v>
      </c>
    </row>
    <row r="2973" spans="11:14" x14ac:dyDescent="0.3">
      <c r="K2973" s="1">
        <v>38718</v>
      </c>
      <c r="M2973" t="e">
        <v>#N/A</v>
      </c>
      <c r="N2973" s="1">
        <v>38353</v>
      </c>
    </row>
    <row r="2974" spans="11:14" x14ac:dyDescent="0.3">
      <c r="K2974" s="1">
        <v>38718</v>
      </c>
      <c r="M2974" t="e">
        <v>#N/A</v>
      </c>
      <c r="N2974" s="1">
        <v>38353</v>
      </c>
    </row>
    <row r="2975" spans="11:14" x14ac:dyDescent="0.3">
      <c r="K2975" s="1">
        <v>38718</v>
      </c>
      <c r="M2975" t="e">
        <v>#N/A</v>
      </c>
      <c r="N2975" s="1">
        <v>38353</v>
      </c>
    </row>
    <row r="2976" spans="11:14" x14ac:dyDescent="0.3">
      <c r="K2976" s="1">
        <v>38718</v>
      </c>
      <c r="M2976" t="e">
        <v>#N/A</v>
      </c>
      <c r="N2976" s="1">
        <v>38353</v>
      </c>
    </row>
    <row r="2977" spans="11:14" x14ac:dyDescent="0.3">
      <c r="K2977" s="1">
        <v>38718</v>
      </c>
      <c r="M2977" t="e">
        <v>#N/A</v>
      </c>
      <c r="N2977" s="1">
        <v>38353</v>
      </c>
    </row>
    <row r="2978" spans="11:14" x14ac:dyDescent="0.3">
      <c r="K2978" s="1">
        <v>38718</v>
      </c>
      <c r="M2978" t="e">
        <v>#N/A</v>
      </c>
      <c r="N2978" s="1">
        <v>38353</v>
      </c>
    </row>
    <row r="2979" spans="11:14" x14ac:dyDescent="0.3">
      <c r="K2979" s="1">
        <v>38718</v>
      </c>
      <c r="M2979" t="e">
        <v>#N/A</v>
      </c>
      <c r="N2979" s="1">
        <v>38353</v>
      </c>
    </row>
    <row r="2980" spans="11:14" x14ac:dyDescent="0.3">
      <c r="K2980" s="1">
        <v>38718</v>
      </c>
      <c r="M2980" t="e">
        <v>#N/A</v>
      </c>
      <c r="N2980" s="1">
        <v>38353</v>
      </c>
    </row>
    <row r="2981" spans="11:14" x14ac:dyDescent="0.3">
      <c r="K2981" s="1">
        <v>38718</v>
      </c>
      <c r="M2981" t="e">
        <v>#N/A</v>
      </c>
      <c r="N2981" s="1">
        <v>38353</v>
      </c>
    </row>
    <row r="2982" spans="11:14" x14ac:dyDescent="0.3">
      <c r="K2982" s="1">
        <v>38718</v>
      </c>
      <c r="M2982" t="e">
        <v>#N/A</v>
      </c>
      <c r="N2982" s="1">
        <v>38353</v>
      </c>
    </row>
    <row r="2983" spans="11:14" x14ac:dyDescent="0.3">
      <c r="K2983" s="1">
        <v>38718</v>
      </c>
      <c r="M2983" t="e">
        <v>#N/A</v>
      </c>
      <c r="N2983" s="1">
        <v>38353</v>
      </c>
    </row>
    <row r="2984" spans="11:14" x14ac:dyDescent="0.3">
      <c r="K2984" s="1">
        <v>38718</v>
      </c>
      <c r="M2984" t="e">
        <v>#N/A</v>
      </c>
      <c r="N2984" s="1">
        <v>38353</v>
      </c>
    </row>
    <row r="2985" spans="11:14" x14ac:dyDescent="0.3">
      <c r="K2985" s="1">
        <v>38718</v>
      </c>
      <c r="M2985" t="e">
        <v>#N/A</v>
      </c>
      <c r="N2985" s="1">
        <v>38353</v>
      </c>
    </row>
    <row r="2986" spans="11:14" x14ac:dyDescent="0.3">
      <c r="K2986" s="1">
        <v>38718</v>
      </c>
      <c r="M2986" t="e">
        <v>#N/A</v>
      </c>
      <c r="N2986" s="1">
        <v>38353</v>
      </c>
    </row>
    <row r="2987" spans="11:14" x14ac:dyDescent="0.3">
      <c r="K2987" s="1">
        <v>38718</v>
      </c>
      <c r="M2987" t="e">
        <v>#N/A</v>
      </c>
      <c r="N2987" s="1">
        <v>38353</v>
      </c>
    </row>
    <row r="2988" spans="11:14" x14ac:dyDescent="0.3">
      <c r="K2988" s="1">
        <v>38718</v>
      </c>
      <c r="M2988" t="e">
        <v>#N/A</v>
      </c>
      <c r="N2988" s="1">
        <v>38353</v>
      </c>
    </row>
    <row r="2989" spans="11:14" x14ac:dyDescent="0.3">
      <c r="K2989" s="1">
        <v>38718</v>
      </c>
      <c r="M2989" t="e">
        <v>#N/A</v>
      </c>
      <c r="N2989" s="1">
        <v>38353</v>
      </c>
    </row>
    <row r="2990" spans="11:14" x14ac:dyDescent="0.3">
      <c r="K2990" s="1">
        <v>38718</v>
      </c>
      <c r="M2990" t="e">
        <v>#N/A</v>
      </c>
      <c r="N2990" s="1">
        <v>38353</v>
      </c>
    </row>
    <row r="2991" spans="11:14" x14ac:dyDescent="0.3">
      <c r="K2991" s="1">
        <v>38718</v>
      </c>
      <c r="M2991" t="e">
        <v>#N/A</v>
      </c>
      <c r="N2991" s="1">
        <v>38353</v>
      </c>
    </row>
    <row r="2992" spans="11:14" x14ac:dyDescent="0.3">
      <c r="K2992" s="1">
        <v>38718</v>
      </c>
      <c r="M2992" t="e">
        <v>#N/A</v>
      </c>
      <c r="N2992" s="1">
        <v>38353</v>
      </c>
    </row>
    <row r="2993" spans="11:14" x14ac:dyDescent="0.3">
      <c r="K2993" s="1">
        <v>38718</v>
      </c>
      <c r="M2993" t="e">
        <v>#N/A</v>
      </c>
      <c r="N2993" s="1">
        <v>38353</v>
      </c>
    </row>
    <row r="2994" spans="11:14" x14ac:dyDescent="0.3">
      <c r="K2994" s="1">
        <v>38718</v>
      </c>
      <c r="M2994" t="e">
        <v>#N/A</v>
      </c>
      <c r="N2994" s="1">
        <v>38353</v>
      </c>
    </row>
    <row r="2995" spans="11:14" x14ac:dyDescent="0.3">
      <c r="K2995" s="1">
        <v>38718</v>
      </c>
      <c r="M2995" t="e">
        <v>#N/A</v>
      </c>
      <c r="N2995" s="1">
        <v>38353</v>
      </c>
    </row>
    <row r="2996" spans="11:14" x14ac:dyDescent="0.3">
      <c r="K2996" s="1">
        <v>38718</v>
      </c>
      <c r="M2996" t="e">
        <v>#N/A</v>
      </c>
      <c r="N2996" s="1">
        <v>38353</v>
      </c>
    </row>
    <row r="2997" spans="11:14" x14ac:dyDescent="0.3">
      <c r="K2997" s="1">
        <v>38718</v>
      </c>
      <c r="M2997" t="e">
        <v>#N/A</v>
      </c>
      <c r="N2997" s="1">
        <v>38353</v>
      </c>
    </row>
    <row r="2998" spans="11:14" x14ac:dyDescent="0.3">
      <c r="K2998" s="1">
        <v>38718</v>
      </c>
      <c r="M2998" t="e">
        <v>#N/A</v>
      </c>
      <c r="N2998" s="1">
        <v>38353</v>
      </c>
    </row>
    <row r="2999" spans="11:14" x14ac:dyDescent="0.3">
      <c r="K2999" s="1">
        <v>38718</v>
      </c>
      <c r="M2999" t="e">
        <v>#N/A</v>
      </c>
      <c r="N2999" s="1">
        <v>38353</v>
      </c>
    </row>
    <row r="3000" spans="11:14" x14ac:dyDescent="0.3">
      <c r="K3000" s="1">
        <v>38718</v>
      </c>
      <c r="M3000" t="e">
        <v>#N/A</v>
      </c>
      <c r="N3000" s="1">
        <v>38353</v>
      </c>
    </row>
    <row r="3001" spans="11:14" x14ac:dyDescent="0.3">
      <c r="K3001" s="1">
        <v>38718</v>
      </c>
      <c r="M3001" t="e">
        <v>#N/A</v>
      </c>
      <c r="N3001" s="1">
        <v>38353</v>
      </c>
    </row>
    <row r="3002" spans="11:14" x14ac:dyDescent="0.3">
      <c r="K3002" s="1">
        <v>38718</v>
      </c>
      <c r="M3002" t="e">
        <v>#N/A</v>
      </c>
      <c r="N3002" s="1">
        <v>38353</v>
      </c>
    </row>
    <row r="3003" spans="11:14" x14ac:dyDescent="0.3">
      <c r="K3003" s="1">
        <v>38718</v>
      </c>
      <c r="M3003" t="e">
        <v>#N/A</v>
      </c>
      <c r="N3003" s="1">
        <v>38353</v>
      </c>
    </row>
    <row r="3004" spans="11:14" x14ac:dyDescent="0.3">
      <c r="K3004" s="1">
        <v>38718</v>
      </c>
      <c r="M3004" t="e">
        <v>#N/A</v>
      </c>
      <c r="N3004" s="1">
        <v>38353</v>
      </c>
    </row>
    <row r="3005" spans="11:14" x14ac:dyDescent="0.3">
      <c r="K3005" s="1">
        <v>38718</v>
      </c>
      <c r="M3005" t="e">
        <v>#N/A</v>
      </c>
      <c r="N3005" s="1">
        <v>38353</v>
      </c>
    </row>
    <row r="3006" spans="11:14" x14ac:dyDescent="0.3">
      <c r="K3006" s="1">
        <v>38718</v>
      </c>
      <c r="M3006" t="e">
        <v>#N/A</v>
      </c>
      <c r="N3006" s="1">
        <v>38353</v>
      </c>
    </row>
    <row r="3007" spans="11:14" x14ac:dyDescent="0.3">
      <c r="K3007" s="1">
        <v>38718</v>
      </c>
      <c r="M3007" t="e">
        <v>#N/A</v>
      </c>
      <c r="N3007" s="1">
        <v>38353</v>
      </c>
    </row>
    <row r="3008" spans="11:14" x14ac:dyDescent="0.3">
      <c r="K3008" s="1">
        <v>38718</v>
      </c>
      <c r="M3008" t="e">
        <v>#N/A</v>
      </c>
      <c r="N3008" s="1">
        <v>38353</v>
      </c>
    </row>
    <row r="3009" spans="11:14" x14ac:dyDescent="0.3">
      <c r="K3009" s="1">
        <v>38718</v>
      </c>
      <c r="M3009" t="e">
        <v>#N/A</v>
      </c>
      <c r="N3009" s="1">
        <v>38353</v>
      </c>
    </row>
    <row r="3010" spans="11:14" x14ac:dyDescent="0.3">
      <c r="K3010" s="1">
        <v>38718</v>
      </c>
      <c r="M3010" t="e">
        <v>#N/A</v>
      </c>
      <c r="N3010" s="1">
        <v>38353</v>
      </c>
    </row>
    <row r="3011" spans="11:14" x14ac:dyDescent="0.3">
      <c r="K3011" s="1">
        <v>38718</v>
      </c>
      <c r="M3011" t="e">
        <v>#N/A</v>
      </c>
      <c r="N3011" s="1">
        <v>38353</v>
      </c>
    </row>
    <row r="3012" spans="11:14" x14ac:dyDescent="0.3">
      <c r="K3012" s="1">
        <v>38718</v>
      </c>
      <c r="M3012" t="e">
        <v>#N/A</v>
      </c>
      <c r="N3012" s="1">
        <v>38353</v>
      </c>
    </row>
    <row r="3013" spans="11:14" x14ac:dyDescent="0.3">
      <c r="K3013" s="1">
        <v>38718</v>
      </c>
      <c r="M3013" t="e">
        <v>#N/A</v>
      </c>
      <c r="N3013" s="1">
        <v>38353</v>
      </c>
    </row>
    <row r="3014" spans="11:14" x14ac:dyDescent="0.3">
      <c r="K3014" s="1">
        <v>38718</v>
      </c>
      <c r="M3014" t="e">
        <v>#N/A</v>
      </c>
      <c r="N3014" s="1">
        <v>38353</v>
      </c>
    </row>
    <row r="3015" spans="11:14" x14ac:dyDescent="0.3">
      <c r="K3015" s="1">
        <v>38718</v>
      </c>
      <c r="M3015" t="e">
        <v>#N/A</v>
      </c>
      <c r="N3015" s="1">
        <v>38353</v>
      </c>
    </row>
    <row r="3016" spans="11:14" x14ac:dyDescent="0.3">
      <c r="K3016" s="1">
        <v>38718</v>
      </c>
      <c r="M3016" t="e">
        <v>#N/A</v>
      </c>
      <c r="N3016" s="1">
        <v>38353</v>
      </c>
    </row>
    <row r="3017" spans="11:14" x14ac:dyDescent="0.3">
      <c r="K3017" s="1">
        <v>38718</v>
      </c>
      <c r="M3017" t="e">
        <v>#N/A</v>
      </c>
      <c r="N3017" s="1">
        <v>38353</v>
      </c>
    </row>
    <row r="3018" spans="11:14" x14ac:dyDescent="0.3">
      <c r="K3018" s="1">
        <v>38718</v>
      </c>
      <c r="M3018" t="e">
        <v>#N/A</v>
      </c>
      <c r="N3018" s="1">
        <v>38353</v>
      </c>
    </row>
    <row r="3019" spans="11:14" x14ac:dyDescent="0.3">
      <c r="K3019" s="1">
        <v>38718</v>
      </c>
      <c r="M3019" t="e">
        <v>#N/A</v>
      </c>
      <c r="N3019" s="1">
        <v>38353</v>
      </c>
    </row>
    <row r="3020" spans="11:14" x14ac:dyDescent="0.3">
      <c r="K3020" s="1">
        <v>38718</v>
      </c>
      <c r="M3020" t="e">
        <v>#N/A</v>
      </c>
      <c r="N3020" s="1">
        <v>38353</v>
      </c>
    </row>
    <row r="3021" spans="11:14" x14ac:dyDescent="0.3">
      <c r="K3021" s="1">
        <v>38718</v>
      </c>
      <c r="M3021" t="e">
        <v>#N/A</v>
      </c>
      <c r="N3021" s="1">
        <v>38353</v>
      </c>
    </row>
    <row r="3022" spans="11:14" x14ac:dyDescent="0.3">
      <c r="K3022" s="1">
        <v>38718</v>
      </c>
      <c r="M3022" t="e">
        <v>#N/A</v>
      </c>
      <c r="N3022" s="1">
        <v>38353</v>
      </c>
    </row>
    <row r="3023" spans="11:14" x14ac:dyDescent="0.3">
      <c r="K3023" s="1">
        <v>38718</v>
      </c>
      <c r="M3023" t="e">
        <v>#N/A</v>
      </c>
      <c r="N3023" s="1">
        <v>38353</v>
      </c>
    </row>
    <row r="3024" spans="11:14" x14ac:dyDescent="0.3">
      <c r="K3024" s="1">
        <v>38718</v>
      </c>
      <c r="M3024" t="e">
        <v>#N/A</v>
      </c>
      <c r="N3024" s="1">
        <v>38353</v>
      </c>
    </row>
    <row r="3025" spans="11:14" x14ac:dyDescent="0.3">
      <c r="K3025" s="1">
        <v>38718</v>
      </c>
      <c r="M3025" t="e">
        <v>#N/A</v>
      </c>
      <c r="N3025" s="1">
        <v>38353</v>
      </c>
    </row>
    <row r="3026" spans="11:14" x14ac:dyDescent="0.3">
      <c r="K3026" s="1">
        <v>38718</v>
      </c>
      <c r="M3026" t="e">
        <v>#N/A</v>
      </c>
      <c r="N3026" s="1">
        <v>38353</v>
      </c>
    </row>
    <row r="3027" spans="11:14" x14ac:dyDescent="0.3">
      <c r="K3027" s="1">
        <v>38718</v>
      </c>
      <c r="M3027" t="e">
        <v>#N/A</v>
      </c>
      <c r="N3027" s="1">
        <v>38353</v>
      </c>
    </row>
    <row r="3028" spans="11:14" x14ac:dyDescent="0.3">
      <c r="K3028" s="1">
        <v>38718</v>
      </c>
      <c r="M3028" t="e">
        <v>#N/A</v>
      </c>
      <c r="N3028" s="1">
        <v>38353</v>
      </c>
    </row>
    <row r="3029" spans="11:14" x14ac:dyDescent="0.3">
      <c r="K3029" s="1">
        <v>38718</v>
      </c>
      <c r="M3029" t="e">
        <v>#N/A</v>
      </c>
      <c r="N3029" s="1">
        <v>38353</v>
      </c>
    </row>
    <row r="3030" spans="11:14" x14ac:dyDescent="0.3">
      <c r="K3030" s="1">
        <v>38718</v>
      </c>
      <c r="M3030" t="e">
        <v>#N/A</v>
      </c>
      <c r="N3030" s="1">
        <v>38353</v>
      </c>
    </row>
    <row r="3031" spans="11:14" x14ac:dyDescent="0.3">
      <c r="K3031" s="1">
        <v>38718</v>
      </c>
      <c r="M3031" t="e">
        <v>#N/A</v>
      </c>
      <c r="N3031" s="1">
        <v>38353</v>
      </c>
    </row>
    <row r="3032" spans="11:14" x14ac:dyDescent="0.3">
      <c r="K3032" s="1">
        <v>38718</v>
      </c>
      <c r="M3032" t="e">
        <v>#N/A</v>
      </c>
      <c r="N3032" s="1">
        <v>38353</v>
      </c>
    </row>
    <row r="3033" spans="11:14" x14ac:dyDescent="0.3">
      <c r="K3033" s="1">
        <v>38718</v>
      </c>
      <c r="M3033" t="e">
        <v>#N/A</v>
      </c>
      <c r="N3033" s="1">
        <v>38353</v>
      </c>
    </row>
    <row r="3034" spans="11:14" x14ac:dyDescent="0.3">
      <c r="K3034" s="1">
        <v>38718</v>
      </c>
      <c r="M3034" t="e">
        <v>#N/A</v>
      </c>
      <c r="N3034" s="1">
        <v>38353</v>
      </c>
    </row>
    <row r="3035" spans="11:14" x14ac:dyDescent="0.3">
      <c r="K3035" s="1">
        <v>38718</v>
      </c>
      <c r="M3035" t="e">
        <v>#N/A</v>
      </c>
      <c r="N3035" s="1">
        <v>38353</v>
      </c>
    </row>
    <row r="3036" spans="11:14" x14ac:dyDescent="0.3">
      <c r="K3036" s="1">
        <v>38718</v>
      </c>
      <c r="M3036" t="e">
        <v>#N/A</v>
      </c>
      <c r="N3036" s="1">
        <v>38353</v>
      </c>
    </row>
    <row r="3037" spans="11:14" x14ac:dyDescent="0.3">
      <c r="K3037" s="1">
        <v>38718</v>
      </c>
      <c r="M3037" t="e">
        <v>#N/A</v>
      </c>
      <c r="N3037" s="1">
        <v>38353</v>
      </c>
    </row>
    <row r="3038" spans="11:14" x14ac:dyDescent="0.3">
      <c r="K3038" s="1">
        <v>38718</v>
      </c>
      <c r="M3038" t="e">
        <v>#N/A</v>
      </c>
      <c r="N3038" s="1">
        <v>38353</v>
      </c>
    </row>
    <row r="3039" spans="11:14" x14ac:dyDescent="0.3">
      <c r="K3039" s="1">
        <v>38718</v>
      </c>
      <c r="M3039" t="e">
        <v>#N/A</v>
      </c>
      <c r="N3039" s="1">
        <v>38353</v>
      </c>
    </row>
    <row r="3040" spans="11:14" x14ac:dyDescent="0.3">
      <c r="K3040" s="1">
        <v>38718</v>
      </c>
      <c r="M3040" t="e">
        <v>#N/A</v>
      </c>
      <c r="N3040" s="1">
        <v>38353</v>
      </c>
    </row>
    <row r="3041" spans="11:14" x14ac:dyDescent="0.3">
      <c r="K3041" s="1">
        <v>38718</v>
      </c>
      <c r="M3041" t="e">
        <v>#N/A</v>
      </c>
      <c r="N3041" s="1">
        <v>38353</v>
      </c>
    </row>
    <row r="3042" spans="11:14" x14ac:dyDescent="0.3">
      <c r="K3042" s="1">
        <v>38718</v>
      </c>
      <c r="M3042" t="e">
        <v>#N/A</v>
      </c>
      <c r="N3042" s="1">
        <v>38353</v>
      </c>
    </row>
    <row r="3043" spans="11:14" x14ac:dyDescent="0.3">
      <c r="K3043" s="1">
        <v>38718</v>
      </c>
      <c r="M3043" t="e">
        <v>#N/A</v>
      </c>
      <c r="N3043" s="1">
        <v>38353</v>
      </c>
    </row>
    <row r="3044" spans="11:14" x14ac:dyDescent="0.3">
      <c r="K3044" s="1">
        <v>38718</v>
      </c>
      <c r="M3044" t="e">
        <v>#N/A</v>
      </c>
      <c r="N3044" s="1">
        <v>38353</v>
      </c>
    </row>
    <row r="3045" spans="11:14" x14ac:dyDescent="0.3">
      <c r="K3045" s="1">
        <v>38718</v>
      </c>
      <c r="M3045" t="e">
        <v>#N/A</v>
      </c>
      <c r="N3045" s="1">
        <v>38353</v>
      </c>
    </row>
    <row r="3046" spans="11:14" x14ac:dyDescent="0.3">
      <c r="K3046" s="1">
        <v>38718</v>
      </c>
      <c r="M3046" t="e">
        <v>#N/A</v>
      </c>
      <c r="N3046" s="1">
        <v>38353</v>
      </c>
    </row>
    <row r="3047" spans="11:14" x14ac:dyDescent="0.3">
      <c r="K3047" s="1">
        <v>38718</v>
      </c>
      <c r="M3047" t="e">
        <v>#N/A</v>
      </c>
      <c r="N3047" s="1">
        <v>38353</v>
      </c>
    </row>
    <row r="3048" spans="11:14" x14ac:dyDescent="0.3">
      <c r="K3048" s="1">
        <v>38718</v>
      </c>
      <c r="M3048" t="e">
        <v>#N/A</v>
      </c>
      <c r="N3048" s="1">
        <v>38353</v>
      </c>
    </row>
    <row r="3049" spans="11:14" x14ac:dyDescent="0.3">
      <c r="K3049" s="1">
        <v>38718</v>
      </c>
      <c r="M3049" t="e">
        <v>#N/A</v>
      </c>
      <c r="N3049" s="1">
        <v>38353</v>
      </c>
    </row>
    <row r="3050" spans="11:14" x14ac:dyDescent="0.3">
      <c r="K3050" s="1">
        <v>38718</v>
      </c>
      <c r="M3050" t="e">
        <v>#N/A</v>
      </c>
      <c r="N3050" s="1">
        <v>38353</v>
      </c>
    </row>
    <row r="3051" spans="11:14" x14ac:dyDescent="0.3">
      <c r="K3051" s="1">
        <v>38718</v>
      </c>
      <c r="M3051" t="e">
        <v>#N/A</v>
      </c>
      <c r="N3051" s="1">
        <v>38353</v>
      </c>
    </row>
    <row r="3052" spans="11:14" x14ac:dyDescent="0.3">
      <c r="K3052" s="1">
        <v>38718</v>
      </c>
      <c r="M3052" t="e">
        <v>#N/A</v>
      </c>
      <c r="N3052" s="1">
        <v>38353</v>
      </c>
    </row>
    <row r="3053" spans="11:14" x14ac:dyDescent="0.3">
      <c r="K3053" s="1">
        <v>38718</v>
      </c>
      <c r="M3053" t="e">
        <v>#N/A</v>
      </c>
      <c r="N3053" s="1">
        <v>38353</v>
      </c>
    </row>
    <row r="3054" spans="11:14" x14ac:dyDescent="0.3">
      <c r="K3054" s="1">
        <v>38718</v>
      </c>
      <c r="M3054" t="e">
        <v>#N/A</v>
      </c>
      <c r="N3054" s="1">
        <v>38353</v>
      </c>
    </row>
    <row r="3055" spans="11:14" x14ac:dyDescent="0.3">
      <c r="K3055" s="1">
        <v>38718</v>
      </c>
      <c r="M3055" t="e">
        <v>#N/A</v>
      </c>
      <c r="N3055" s="1">
        <v>38353</v>
      </c>
    </row>
    <row r="3056" spans="11:14" x14ac:dyDescent="0.3">
      <c r="K3056" s="1">
        <v>38718</v>
      </c>
      <c r="M3056" t="e">
        <v>#N/A</v>
      </c>
      <c r="N3056" s="1">
        <v>38353</v>
      </c>
    </row>
    <row r="3057" spans="11:14" x14ac:dyDescent="0.3">
      <c r="K3057" s="1">
        <v>38718</v>
      </c>
      <c r="M3057" t="e">
        <v>#N/A</v>
      </c>
      <c r="N3057" s="1">
        <v>38353</v>
      </c>
    </row>
    <row r="3058" spans="11:14" x14ac:dyDescent="0.3">
      <c r="K3058" s="1">
        <v>38718</v>
      </c>
      <c r="M3058" t="e">
        <v>#N/A</v>
      </c>
      <c r="N3058" s="1">
        <v>38353</v>
      </c>
    </row>
    <row r="3059" spans="11:14" x14ac:dyDescent="0.3">
      <c r="K3059" s="1">
        <v>38718</v>
      </c>
      <c r="M3059" t="e">
        <v>#N/A</v>
      </c>
      <c r="N3059" s="1">
        <v>38353</v>
      </c>
    </row>
    <row r="3060" spans="11:14" x14ac:dyDescent="0.3">
      <c r="K3060" s="1">
        <v>38718</v>
      </c>
      <c r="M3060" t="e">
        <v>#N/A</v>
      </c>
      <c r="N3060" s="1">
        <v>38353</v>
      </c>
    </row>
    <row r="3061" spans="11:14" x14ac:dyDescent="0.3">
      <c r="K3061" s="1">
        <v>38718</v>
      </c>
      <c r="M3061" t="e">
        <v>#N/A</v>
      </c>
      <c r="N3061" s="1">
        <v>38353</v>
      </c>
    </row>
    <row r="3062" spans="11:14" x14ac:dyDescent="0.3">
      <c r="K3062" s="1">
        <v>38718</v>
      </c>
      <c r="M3062" t="e">
        <v>#N/A</v>
      </c>
      <c r="N3062" s="1">
        <v>38353</v>
      </c>
    </row>
    <row r="3063" spans="11:14" x14ac:dyDescent="0.3">
      <c r="K3063" s="1">
        <v>38718</v>
      </c>
      <c r="M3063" t="e">
        <v>#N/A</v>
      </c>
      <c r="N3063" s="1">
        <v>38353</v>
      </c>
    </row>
    <row r="3064" spans="11:14" x14ac:dyDescent="0.3">
      <c r="K3064" s="1">
        <v>38718</v>
      </c>
      <c r="M3064" t="e">
        <v>#N/A</v>
      </c>
      <c r="N3064" s="1">
        <v>38353</v>
      </c>
    </row>
    <row r="3065" spans="11:14" x14ac:dyDescent="0.3">
      <c r="K3065" s="1">
        <v>38718</v>
      </c>
      <c r="M3065" t="e">
        <v>#N/A</v>
      </c>
      <c r="N3065" s="1">
        <v>38353</v>
      </c>
    </row>
    <row r="3066" spans="11:14" x14ac:dyDescent="0.3">
      <c r="K3066" s="1">
        <v>38718</v>
      </c>
      <c r="M3066" t="e">
        <v>#N/A</v>
      </c>
      <c r="N3066" s="1">
        <v>38353</v>
      </c>
    </row>
    <row r="3067" spans="11:14" x14ac:dyDescent="0.3">
      <c r="K3067" s="1">
        <v>38718</v>
      </c>
      <c r="M3067" t="e">
        <v>#N/A</v>
      </c>
      <c r="N3067" s="1">
        <v>38353</v>
      </c>
    </row>
    <row r="3068" spans="11:14" x14ac:dyDescent="0.3">
      <c r="K3068" s="1">
        <v>38718</v>
      </c>
      <c r="M3068" t="e">
        <v>#N/A</v>
      </c>
      <c r="N3068" s="1">
        <v>38353</v>
      </c>
    </row>
    <row r="3069" spans="11:14" x14ac:dyDescent="0.3">
      <c r="K3069" s="1">
        <v>38718</v>
      </c>
      <c r="M3069" t="e">
        <v>#N/A</v>
      </c>
      <c r="N3069" s="1">
        <v>38353</v>
      </c>
    </row>
    <row r="3070" spans="11:14" x14ac:dyDescent="0.3">
      <c r="K3070" s="1">
        <v>38718</v>
      </c>
      <c r="M3070" t="e">
        <v>#N/A</v>
      </c>
      <c r="N3070" s="1">
        <v>38353</v>
      </c>
    </row>
    <row r="3071" spans="11:14" x14ac:dyDescent="0.3">
      <c r="K3071" s="1">
        <v>38718</v>
      </c>
      <c r="M3071" t="e">
        <v>#N/A</v>
      </c>
      <c r="N3071" s="1">
        <v>38353</v>
      </c>
    </row>
    <row r="3072" spans="11:14" x14ac:dyDescent="0.3">
      <c r="K3072" s="1">
        <v>38718</v>
      </c>
      <c r="M3072" t="e">
        <v>#N/A</v>
      </c>
      <c r="N3072" s="1">
        <v>38353</v>
      </c>
    </row>
    <row r="3073" spans="11:14" x14ac:dyDescent="0.3">
      <c r="K3073" s="1">
        <v>38718</v>
      </c>
      <c r="M3073" t="e">
        <v>#N/A</v>
      </c>
      <c r="N3073" s="1">
        <v>38353</v>
      </c>
    </row>
    <row r="3074" spans="11:14" x14ac:dyDescent="0.3">
      <c r="K3074" s="1">
        <v>38718</v>
      </c>
      <c r="M3074" t="e">
        <v>#N/A</v>
      </c>
      <c r="N3074" s="1">
        <v>38353</v>
      </c>
    </row>
    <row r="3075" spans="11:14" x14ac:dyDescent="0.3">
      <c r="K3075" s="1">
        <v>38718</v>
      </c>
      <c r="M3075" t="e">
        <v>#N/A</v>
      </c>
      <c r="N3075" s="1">
        <v>38353</v>
      </c>
    </row>
    <row r="3076" spans="11:14" x14ac:dyDescent="0.3">
      <c r="K3076" s="1">
        <v>38718</v>
      </c>
      <c r="M3076" t="e">
        <v>#N/A</v>
      </c>
      <c r="N3076" s="1">
        <v>38353</v>
      </c>
    </row>
    <row r="3077" spans="11:14" x14ac:dyDescent="0.3">
      <c r="K3077" s="1">
        <v>38718</v>
      </c>
      <c r="M3077" t="e">
        <v>#N/A</v>
      </c>
      <c r="N3077" s="1">
        <v>38353</v>
      </c>
    </row>
    <row r="3078" spans="11:14" x14ac:dyDescent="0.3">
      <c r="K3078" s="1">
        <v>38718</v>
      </c>
      <c r="M3078" t="e">
        <v>#N/A</v>
      </c>
      <c r="N3078" s="1">
        <v>38353</v>
      </c>
    </row>
    <row r="3079" spans="11:14" x14ac:dyDescent="0.3">
      <c r="K3079" s="1">
        <v>38718</v>
      </c>
      <c r="M3079" t="e">
        <v>#N/A</v>
      </c>
      <c r="N3079" s="1">
        <v>38353</v>
      </c>
    </row>
    <row r="3080" spans="11:14" x14ac:dyDescent="0.3">
      <c r="K3080" s="1">
        <v>38718</v>
      </c>
      <c r="M3080" t="e">
        <v>#N/A</v>
      </c>
      <c r="N3080" s="1">
        <v>38353</v>
      </c>
    </row>
    <row r="3081" spans="11:14" x14ac:dyDescent="0.3">
      <c r="K3081" s="1">
        <v>38718</v>
      </c>
      <c r="M3081" t="e">
        <v>#N/A</v>
      </c>
      <c r="N3081" s="1">
        <v>38353</v>
      </c>
    </row>
    <row r="3082" spans="11:14" x14ac:dyDescent="0.3">
      <c r="K3082" s="1">
        <v>38718</v>
      </c>
      <c r="M3082" t="e">
        <v>#N/A</v>
      </c>
      <c r="N3082" s="1">
        <v>38353</v>
      </c>
    </row>
    <row r="3083" spans="11:14" x14ac:dyDescent="0.3">
      <c r="K3083" s="1">
        <v>38718</v>
      </c>
      <c r="M3083" t="e">
        <v>#N/A</v>
      </c>
      <c r="N3083" s="1">
        <v>38353</v>
      </c>
    </row>
    <row r="3084" spans="11:14" x14ac:dyDescent="0.3">
      <c r="K3084" s="1">
        <v>38718</v>
      </c>
      <c r="M3084" t="e">
        <v>#N/A</v>
      </c>
      <c r="N3084" s="1">
        <v>38353</v>
      </c>
    </row>
    <row r="3085" spans="11:14" x14ac:dyDescent="0.3">
      <c r="K3085" s="1">
        <v>38718</v>
      </c>
      <c r="M3085" t="e">
        <v>#N/A</v>
      </c>
      <c r="N3085" s="1">
        <v>38353</v>
      </c>
    </row>
    <row r="3086" spans="11:14" x14ac:dyDescent="0.3">
      <c r="K3086" s="1">
        <v>38718</v>
      </c>
      <c r="M3086" t="e">
        <v>#N/A</v>
      </c>
      <c r="N3086" s="1">
        <v>38353</v>
      </c>
    </row>
    <row r="3087" spans="11:14" x14ac:dyDescent="0.3">
      <c r="K3087" s="1">
        <v>38718</v>
      </c>
      <c r="M3087" t="e">
        <v>#N/A</v>
      </c>
      <c r="N3087" s="1">
        <v>38353</v>
      </c>
    </row>
    <row r="3088" spans="11:14" x14ac:dyDescent="0.3">
      <c r="K3088" s="1">
        <v>38718</v>
      </c>
      <c r="M3088" t="e">
        <v>#N/A</v>
      </c>
      <c r="N3088" s="1">
        <v>38353</v>
      </c>
    </row>
    <row r="3089" spans="11:14" x14ac:dyDescent="0.3">
      <c r="K3089" s="1">
        <v>38718</v>
      </c>
      <c r="M3089" t="e">
        <v>#N/A</v>
      </c>
      <c r="N3089" s="1">
        <v>38353</v>
      </c>
    </row>
    <row r="3090" spans="11:14" x14ac:dyDescent="0.3">
      <c r="K3090" s="1">
        <v>38718</v>
      </c>
      <c r="M3090" t="e">
        <v>#N/A</v>
      </c>
      <c r="N3090" s="1">
        <v>38353</v>
      </c>
    </row>
    <row r="3091" spans="11:14" x14ac:dyDescent="0.3">
      <c r="K3091" s="1">
        <v>38718</v>
      </c>
      <c r="M3091" t="e">
        <v>#N/A</v>
      </c>
      <c r="N3091" s="1">
        <v>38353</v>
      </c>
    </row>
    <row r="3092" spans="11:14" x14ac:dyDescent="0.3">
      <c r="K3092" s="1">
        <v>38718</v>
      </c>
      <c r="M3092" t="e">
        <v>#N/A</v>
      </c>
      <c r="N3092" s="1">
        <v>38353</v>
      </c>
    </row>
    <row r="3093" spans="11:14" x14ac:dyDescent="0.3">
      <c r="K3093" s="1">
        <v>38718</v>
      </c>
      <c r="M3093" t="e">
        <v>#N/A</v>
      </c>
      <c r="N3093" s="1">
        <v>38353</v>
      </c>
    </row>
    <row r="3094" spans="11:14" x14ac:dyDescent="0.3">
      <c r="K3094" s="1">
        <v>38718</v>
      </c>
      <c r="M3094" t="e">
        <v>#N/A</v>
      </c>
      <c r="N3094" s="1">
        <v>38353</v>
      </c>
    </row>
    <row r="3095" spans="11:14" x14ac:dyDescent="0.3">
      <c r="K3095" s="1">
        <v>38718</v>
      </c>
      <c r="M3095" t="e">
        <v>#N/A</v>
      </c>
      <c r="N3095" s="1">
        <v>38353</v>
      </c>
    </row>
    <row r="3096" spans="11:14" x14ac:dyDescent="0.3">
      <c r="K3096" s="1">
        <v>38718</v>
      </c>
      <c r="M3096" t="e">
        <v>#N/A</v>
      </c>
      <c r="N3096" s="1">
        <v>38353</v>
      </c>
    </row>
    <row r="3097" spans="11:14" x14ac:dyDescent="0.3">
      <c r="K3097" s="1">
        <v>38718</v>
      </c>
      <c r="M3097" t="e">
        <v>#N/A</v>
      </c>
      <c r="N3097" s="1">
        <v>38353</v>
      </c>
    </row>
    <row r="3098" spans="11:14" x14ac:dyDescent="0.3">
      <c r="K3098" s="1">
        <v>38718</v>
      </c>
      <c r="M3098" t="e">
        <v>#N/A</v>
      </c>
      <c r="N3098" s="1">
        <v>38353</v>
      </c>
    </row>
    <row r="3099" spans="11:14" x14ac:dyDescent="0.3">
      <c r="K3099" s="1">
        <v>38718</v>
      </c>
      <c r="M3099" t="e">
        <v>#N/A</v>
      </c>
      <c r="N3099" s="1">
        <v>38353</v>
      </c>
    </row>
    <row r="3100" spans="11:14" x14ac:dyDescent="0.3">
      <c r="K3100" s="1">
        <v>38718</v>
      </c>
      <c r="M3100" t="e">
        <v>#N/A</v>
      </c>
      <c r="N3100" s="1">
        <v>38353</v>
      </c>
    </row>
    <row r="3101" spans="11:14" x14ac:dyDescent="0.3">
      <c r="K3101" s="1">
        <v>38718</v>
      </c>
      <c r="M3101" t="e">
        <v>#N/A</v>
      </c>
      <c r="N3101" s="1">
        <v>38353</v>
      </c>
    </row>
    <row r="3102" spans="11:14" x14ac:dyDescent="0.3">
      <c r="K3102" s="1">
        <v>38718</v>
      </c>
      <c r="M3102" t="e">
        <v>#N/A</v>
      </c>
      <c r="N3102" s="1">
        <v>38353</v>
      </c>
    </row>
    <row r="3103" spans="11:14" x14ac:dyDescent="0.3">
      <c r="K3103" s="1">
        <v>38718</v>
      </c>
      <c r="M3103" t="e">
        <v>#N/A</v>
      </c>
      <c r="N3103" s="1">
        <v>38353</v>
      </c>
    </row>
    <row r="3104" spans="11:14" x14ac:dyDescent="0.3">
      <c r="K3104" s="1">
        <v>38718</v>
      </c>
      <c r="M3104" t="e">
        <v>#N/A</v>
      </c>
      <c r="N3104" s="1">
        <v>38353</v>
      </c>
    </row>
    <row r="3105" spans="11:14" x14ac:dyDescent="0.3">
      <c r="K3105" s="1">
        <v>38718</v>
      </c>
      <c r="M3105" t="e">
        <v>#N/A</v>
      </c>
      <c r="N3105" s="1">
        <v>38353</v>
      </c>
    </row>
    <row r="3106" spans="11:14" x14ac:dyDescent="0.3">
      <c r="K3106" s="1">
        <v>38718</v>
      </c>
      <c r="M3106" t="e">
        <v>#N/A</v>
      </c>
      <c r="N3106" s="1">
        <v>38353</v>
      </c>
    </row>
    <row r="3107" spans="11:14" x14ac:dyDescent="0.3">
      <c r="K3107" s="1">
        <v>38718</v>
      </c>
      <c r="M3107" t="e">
        <v>#N/A</v>
      </c>
      <c r="N3107" s="1">
        <v>38353</v>
      </c>
    </row>
    <row r="3108" spans="11:14" x14ac:dyDescent="0.3">
      <c r="K3108" s="1">
        <v>38718</v>
      </c>
      <c r="M3108" t="e">
        <v>#N/A</v>
      </c>
      <c r="N3108" s="1">
        <v>38353</v>
      </c>
    </row>
    <row r="3109" spans="11:14" x14ac:dyDescent="0.3">
      <c r="K3109" s="1">
        <v>38718</v>
      </c>
      <c r="M3109" t="e">
        <v>#N/A</v>
      </c>
      <c r="N3109" s="1">
        <v>38353</v>
      </c>
    </row>
    <row r="3110" spans="11:14" x14ac:dyDescent="0.3">
      <c r="K3110" s="1">
        <v>38718</v>
      </c>
      <c r="M3110" t="e">
        <v>#N/A</v>
      </c>
      <c r="N3110" s="1">
        <v>38353</v>
      </c>
    </row>
    <row r="3111" spans="11:14" x14ac:dyDescent="0.3">
      <c r="K3111" s="1">
        <v>38718</v>
      </c>
      <c r="M3111" t="e">
        <v>#N/A</v>
      </c>
      <c r="N3111" s="1">
        <v>38353</v>
      </c>
    </row>
    <row r="3112" spans="11:14" x14ac:dyDescent="0.3">
      <c r="K3112" s="1">
        <v>38718</v>
      </c>
      <c r="M3112" t="e">
        <v>#N/A</v>
      </c>
      <c r="N3112" s="1">
        <v>38353</v>
      </c>
    </row>
    <row r="3113" spans="11:14" x14ac:dyDescent="0.3">
      <c r="K3113" s="1">
        <v>38718</v>
      </c>
      <c r="M3113" t="e">
        <v>#N/A</v>
      </c>
      <c r="N3113" s="1">
        <v>38353</v>
      </c>
    </row>
    <row r="3114" spans="11:14" x14ac:dyDescent="0.3">
      <c r="K3114" s="1">
        <v>38718</v>
      </c>
      <c r="M3114" t="e">
        <v>#N/A</v>
      </c>
      <c r="N3114" s="1">
        <v>38353</v>
      </c>
    </row>
    <row r="3115" spans="11:14" x14ac:dyDescent="0.3">
      <c r="K3115" s="1">
        <v>38718</v>
      </c>
      <c r="M3115" t="e">
        <v>#N/A</v>
      </c>
      <c r="N3115" s="1">
        <v>38353</v>
      </c>
    </row>
    <row r="3116" spans="11:14" x14ac:dyDescent="0.3">
      <c r="K3116" s="1">
        <v>38718</v>
      </c>
      <c r="M3116" t="e">
        <v>#N/A</v>
      </c>
      <c r="N3116" s="1">
        <v>38353</v>
      </c>
    </row>
    <row r="3117" spans="11:14" x14ac:dyDescent="0.3">
      <c r="K3117" s="1">
        <v>38718</v>
      </c>
      <c r="M3117" t="e">
        <v>#N/A</v>
      </c>
      <c r="N3117" s="1">
        <v>38353</v>
      </c>
    </row>
    <row r="3118" spans="11:14" x14ac:dyDescent="0.3">
      <c r="K3118" s="1">
        <v>38718</v>
      </c>
      <c r="M3118" t="e">
        <v>#N/A</v>
      </c>
      <c r="N3118" s="1">
        <v>38353</v>
      </c>
    </row>
    <row r="3119" spans="11:14" x14ac:dyDescent="0.3">
      <c r="K3119" s="1">
        <v>38718</v>
      </c>
      <c r="M3119" t="e">
        <v>#N/A</v>
      </c>
      <c r="N3119" s="1">
        <v>38353</v>
      </c>
    </row>
    <row r="3120" spans="11:14" x14ac:dyDescent="0.3">
      <c r="K3120" s="1">
        <v>38718</v>
      </c>
      <c r="M3120" t="e">
        <v>#N/A</v>
      </c>
      <c r="N3120" s="1">
        <v>38353</v>
      </c>
    </row>
    <row r="3121" spans="11:14" x14ac:dyDescent="0.3">
      <c r="K3121" s="1">
        <v>38718</v>
      </c>
      <c r="M3121" t="e">
        <v>#N/A</v>
      </c>
      <c r="N3121" s="1">
        <v>38353</v>
      </c>
    </row>
    <row r="3122" spans="11:14" x14ac:dyDescent="0.3">
      <c r="K3122" s="1">
        <v>38718</v>
      </c>
      <c r="M3122" t="e">
        <v>#N/A</v>
      </c>
      <c r="N3122" s="1">
        <v>38353</v>
      </c>
    </row>
    <row r="3123" spans="11:14" x14ac:dyDescent="0.3">
      <c r="K3123" s="1">
        <v>38718</v>
      </c>
      <c r="M3123" t="e">
        <v>#N/A</v>
      </c>
      <c r="N3123" s="1">
        <v>38353</v>
      </c>
    </row>
    <row r="3124" spans="11:14" x14ac:dyDescent="0.3">
      <c r="K3124" s="1">
        <v>38718</v>
      </c>
      <c r="M3124" t="e">
        <v>#N/A</v>
      </c>
      <c r="N3124" s="1">
        <v>38353</v>
      </c>
    </row>
    <row r="3125" spans="11:14" x14ac:dyDescent="0.3">
      <c r="K3125" s="1">
        <v>38718</v>
      </c>
      <c r="M3125" t="e">
        <v>#N/A</v>
      </c>
      <c r="N3125" s="1">
        <v>38353</v>
      </c>
    </row>
    <row r="3126" spans="11:14" x14ac:dyDescent="0.3">
      <c r="K3126" s="1">
        <v>38718</v>
      </c>
      <c r="M3126" t="e">
        <v>#N/A</v>
      </c>
      <c r="N3126" s="1">
        <v>38353</v>
      </c>
    </row>
    <row r="3127" spans="11:14" x14ac:dyDescent="0.3">
      <c r="K3127" s="1">
        <v>38718</v>
      </c>
      <c r="M3127" t="e">
        <v>#N/A</v>
      </c>
      <c r="N3127" s="1">
        <v>38353</v>
      </c>
    </row>
    <row r="3128" spans="11:14" x14ac:dyDescent="0.3">
      <c r="K3128" s="1">
        <v>38718</v>
      </c>
      <c r="M3128" t="e">
        <v>#N/A</v>
      </c>
      <c r="N3128" s="1">
        <v>38353</v>
      </c>
    </row>
    <row r="3129" spans="11:14" x14ac:dyDescent="0.3">
      <c r="K3129" s="1">
        <v>38718</v>
      </c>
      <c r="M3129" t="e">
        <v>#N/A</v>
      </c>
      <c r="N3129" s="1">
        <v>38353</v>
      </c>
    </row>
    <row r="3130" spans="11:14" x14ac:dyDescent="0.3">
      <c r="K3130" s="1">
        <v>38718</v>
      </c>
      <c r="M3130" t="e">
        <v>#N/A</v>
      </c>
      <c r="N3130" s="1">
        <v>38353</v>
      </c>
    </row>
    <row r="3131" spans="11:14" x14ac:dyDescent="0.3">
      <c r="K3131" s="1">
        <v>38718</v>
      </c>
      <c r="M3131" t="e">
        <v>#N/A</v>
      </c>
      <c r="N3131" s="1">
        <v>38353</v>
      </c>
    </row>
    <row r="3132" spans="11:14" x14ac:dyDescent="0.3">
      <c r="K3132" s="1">
        <v>38718</v>
      </c>
      <c r="M3132" t="e">
        <v>#N/A</v>
      </c>
      <c r="N3132" s="1">
        <v>38353</v>
      </c>
    </row>
    <row r="3133" spans="11:14" x14ac:dyDescent="0.3">
      <c r="K3133" s="1">
        <v>38718</v>
      </c>
      <c r="M3133" t="e">
        <v>#N/A</v>
      </c>
      <c r="N3133" s="1">
        <v>38353</v>
      </c>
    </row>
    <row r="3134" spans="11:14" x14ac:dyDescent="0.3">
      <c r="K3134" s="1">
        <v>38718</v>
      </c>
      <c r="M3134" t="e">
        <v>#N/A</v>
      </c>
      <c r="N3134" s="1">
        <v>38353</v>
      </c>
    </row>
    <row r="3135" spans="11:14" x14ac:dyDescent="0.3">
      <c r="K3135" s="1">
        <v>38718</v>
      </c>
      <c r="M3135" t="e">
        <v>#N/A</v>
      </c>
      <c r="N3135" s="1">
        <v>38353</v>
      </c>
    </row>
    <row r="3136" spans="11:14" x14ac:dyDescent="0.3">
      <c r="K3136" s="1">
        <v>38718</v>
      </c>
      <c r="M3136" t="e">
        <v>#N/A</v>
      </c>
      <c r="N3136" s="1">
        <v>38353</v>
      </c>
    </row>
    <row r="3137" spans="11:14" x14ac:dyDescent="0.3">
      <c r="K3137" s="1">
        <v>38718</v>
      </c>
      <c r="M3137" t="e">
        <v>#N/A</v>
      </c>
      <c r="N3137" s="1">
        <v>38353</v>
      </c>
    </row>
    <row r="3138" spans="11:14" x14ac:dyDescent="0.3">
      <c r="K3138" s="1">
        <v>38718</v>
      </c>
      <c r="M3138" t="e">
        <v>#N/A</v>
      </c>
      <c r="N3138" s="1">
        <v>38353</v>
      </c>
    </row>
    <row r="3139" spans="11:14" x14ac:dyDescent="0.3">
      <c r="K3139" s="1">
        <v>38718</v>
      </c>
      <c r="M3139" t="e">
        <v>#N/A</v>
      </c>
      <c r="N3139" s="1">
        <v>38353</v>
      </c>
    </row>
    <row r="3140" spans="11:14" x14ac:dyDescent="0.3">
      <c r="K3140" s="1">
        <v>38808</v>
      </c>
      <c r="M3140" t="e">
        <v>#N/A</v>
      </c>
      <c r="N3140" s="1">
        <v>38353</v>
      </c>
    </row>
    <row r="3141" spans="11:14" x14ac:dyDescent="0.3">
      <c r="K3141" s="1">
        <v>38808</v>
      </c>
      <c r="M3141" t="e">
        <v>#N/A</v>
      </c>
      <c r="N3141" s="1">
        <v>38353</v>
      </c>
    </row>
    <row r="3142" spans="11:14" x14ac:dyDescent="0.3">
      <c r="K3142" s="1">
        <v>38808</v>
      </c>
      <c r="M3142" t="e">
        <v>#N/A</v>
      </c>
      <c r="N3142" s="1">
        <v>38353</v>
      </c>
    </row>
    <row r="3143" spans="11:14" x14ac:dyDescent="0.3">
      <c r="K3143" s="1">
        <v>38808</v>
      </c>
      <c r="M3143" t="e">
        <v>#N/A</v>
      </c>
      <c r="N3143" s="1">
        <v>38353</v>
      </c>
    </row>
    <row r="3144" spans="11:14" x14ac:dyDescent="0.3">
      <c r="K3144" s="1">
        <v>38808</v>
      </c>
      <c r="M3144" t="e">
        <v>#N/A</v>
      </c>
      <c r="N3144" s="1">
        <v>38353</v>
      </c>
    </row>
    <row r="3145" spans="11:14" x14ac:dyDescent="0.3">
      <c r="K3145" s="1">
        <v>38808</v>
      </c>
      <c r="M3145" t="e">
        <v>#N/A</v>
      </c>
      <c r="N3145" s="1">
        <v>38353</v>
      </c>
    </row>
    <row r="3146" spans="11:14" x14ac:dyDescent="0.3">
      <c r="K3146" s="1">
        <v>38808</v>
      </c>
      <c r="M3146" t="e">
        <v>#N/A</v>
      </c>
      <c r="N3146" s="1">
        <v>38353</v>
      </c>
    </row>
    <row r="3147" spans="11:14" x14ac:dyDescent="0.3">
      <c r="K3147" s="1">
        <v>38808</v>
      </c>
      <c r="M3147" t="e">
        <v>#N/A</v>
      </c>
      <c r="N3147" s="1">
        <v>38353</v>
      </c>
    </row>
    <row r="3148" spans="11:14" x14ac:dyDescent="0.3">
      <c r="K3148" s="1">
        <v>38808</v>
      </c>
      <c r="M3148" t="e">
        <v>#N/A</v>
      </c>
      <c r="N3148" s="1">
        <v>38353</v>
      </c>
    </row>
    <row r="3149" spans="11:14" x14ac:dyDescent="0.3">
      <c r="K3149" s="1">
        <v>38808</v>
      </c>
      <c r="M3149" t="e">
        <v>#N/A</v>
      </c>
      <c r="N3149" s="1">
        <v>38353</v>
      </c>
    </row>
    <row r="3150" spans="11:14" x14ac:dyDescent="0.3">
      <c r="K3150" s="1">
        <v>38808</v>
      </c>
      <c r="M3150" t="e">
        <v>#N/A</v>
      </c>
      <c r="N3150" s="1">
        <v>38353</v>
      </c>
    </row>
    <row r="3151" spans="11:14" x14ac:dyDescent="0.3">
      <c r="K3151" s="1">
        <v>38808</v>
      </c>
      <c r="M3151" t="e">
        <v>#N/A</v>
      </c>
      <c r="N3151" s="1">
        <v>38353</v>
      </c>
    </row>
    <row r="3152" spans="11:14" x14ac:dyDescent="0.3">
      <c r="K3152" s="1">
        <v>38808</v>
      </c>
      <c r="M3152" t="e">
        <v>#N/A</v>
      </c>
      <c r="N3152" s="1">
        <v>38353</v>
      </c>
    </row>
    <row r="3153" spans="11:14" x14ac:dyDescent="0.3">
      <c r="K3153" s="1">
        <v>38808</v>
      </c>
      <c r="M3153" t="e">
        <v>#N/A</v>
      </c>
      <c r="N3153" s="1">
        <v>38353</v>
      </c>
    </row>
    <row r="3154" spans="11:14" x14ac:dyDescent="0.3">
      <c r="K3154" s="1">
        <v>38808</v>
      </c>
      <c r="M3154" t="e">
        <v>#N/A</v>
      </c>
      <c r="N3154" s="1">
        <v>38353</v>
      </c>
    </row>
    <row r="3155" spans="11:14" x14ac:dyDescent="0.3">
      <c r="K3155" s="1">
        <v>38808</v>
      </c>
      <c r="M3155" t="e">
        <v>#N/A</v>
      </c>
      <c r="N3155" s="1">
        <v>38353</v>
      </c>
    </row>
    <row r="3156" spans="11:14" x14ac:dyDescent="0.3">
      <c r="K3156" s="1">
        <v>38808</v>
      </c>
      <c r="M3156" t="e">
        <v>#N/A</v>
      </c>
      <c r="N3156" s="1">
        <v>38353</v>
      </c>
    </row>
    <row r="3157" spans="11:14" x14ac:dyDescent="0.3">
      <c r="K3157" s="1">
        <v>38808</v>
      </c>
      <c r="M3157" t="e">
        <v>#N/A</v>
      </c>
      <c r="N3157" s="1">
        <v>38353</v>
      </c>
    </row>
    <row r="3158" spans="11:14" x14ac:dyDescent="0.3">
      <c r="K3158" s="1">
        <v>38808</v>
      </c>
      <c r="M3158" t="e">
        <v>#N/A</v>
      </c>
      <c r="N3158" s="1">
        <v>38353</v>
      </c>
    </row>
    <row r="3159" spans="11:14" x14ac:dyDescent="0.3">
      <c r="K3159" s="1">
        <v>38808</v>
      </c>
      <c r="M3159" t="e">
        <v>#N/A</v>
      </c>
      <c r="N3159" s="1">
        <v>38353</v>
      </c>
    </row>
    <row r="3160" spans="11:14" x14ac:dyDescent="0.3">
      <c r="K3160" s="1">
        <v>38808</v>
      </c>
      <c r="M3160" t="e">
        <v>#N/A</v>
      </c>
      <c r="N3160" s="1">
        <v>38353</v>
      </c>
    </row>
    <row r="3161" spans="11:14" x14ac:dyDescent="0.3">
      <c r="K3161" s="1">
        <v>38808</v>
      </c>
      <c r="M3161" t="e">
        <v>#N/A</v>
      </c>
      <c r="N3161" s="1">
        <v>38353</v>
      </c>
    </row>
    <row r="3162" spans="11:14" x14ac:dyDescent="0.3">
      <c r="K3162" s="1">
        <v>38808</v>
      </c>
      <c r="M3162" t="e">
        <v>#N/A</v>
      </c>
      <c r="N3162" s="1">
        <v>38353</v>
      </c>
    </row>
    <row r="3163" spans="11:14" x14ac:dyDescent="0.3">
      <c r="K3163" s="1">
        <v>38808</v>
      </c>
      <c r="M3163" t="e">
        <v>#N/A</v>
      </c>
      <c r="N3163" s="1">
        <v>38353</v>
      </c>
    </row>
    <row r="3164" spans="11:14" x14ac:dyDescent="0.3">
      <c r="K3164" s="1">
        <v>38808</v>
      </c>
      <c r="M3164" t="e">
        <v>#N/A</v>
      </c>
      <c r="N3164" s="1">
        <v>38353</v>
      </c>
    </row>
    <row r="3165" spans="11:14" x14ac:dyDescent="0.3">
      <c r="K3165" s="1">
        <v>38808</v>
      </c>
      <c r="M3165" t="e">
        <v>#N/A</v>
      </c>
      <c r="N3165" s="1">
        <v>38353</v>
      </c>
    </row>
    <row r="3166" spans="11:14" x14ac:dyDescent="0.3">
      <c r="K3166" s="1">
        <v>38808</v>
      </c>
      <c r="M3166" t="e">
        <v>#N/A</v>
      </c>
      <c r="N3166" s="1">
        <v>38353</v>
      </c>
    </row>
    <row r="3167" spans="11:14" x14ac:dyDescent="0.3">
      <c r="K3167" s="1">
        <v>38808</v>
      </c>
      <c r="M3167" t="e">
        <v>#N/A</v>
      </c>
      <c r="N3167" s="1">
        <v>38353</v>
      </c>
    </row>
    <row r="3168" spans="11:14" x14ac:dyDescent="0.3">
      <c r="K3168" s="1">
        <v>38808</v>
      </c>
      <c r="M3168" t="e">
        <v>#N/A</v>
      </c>
      <c r="N3168" s="1">
        <v>38353</v>
      </c>
    </row>
    <row r="3169" spans="11:14" x14ac:dyDescent="0.3">
      <c r="K3169" s="1">
        <v>38808</v>
      </c>
      <c r="M3169" t="e">
        <v>#N/A</v>
      </c>
      <c r="N3169" s="1">
        <v>38353</v>
      </c>
    </row>
    <row r="3170" spans="11:14" x14ac:dyDescent="0.3">
      <c r="K3170" s="1">
        <v>38808</v>
      </c>
      <c r="M3170" t="e">
        <v>#N/A</v>
      </c>
      <c r="N3170" s="1">
        <v>38353</v>
      </c>
    </row>
    <row r="3171" spans="11:14" x14ac:dyDescent="0.3">
      <c r="K3171" s="1">
        <v>38808</v>
      </c>
      <c r="M3171" t="e">
        <v>#N/A</v>
      </c>
      <c r="N3171" s="1">
        <v>38353</v>
      </c>
    </row>
    <row r="3172" spans="11:14" x14ac:dyDescent="0.3">
      <c r="K3172" s="1">
        <v>38808</v>
      </c>
      <c r="M3172" t="e">
        <v>#N/A</v>
      </c>
      <c r="N3172" s="1">
        <v>38353</v>
      </c>
    </row>
    <row r="3173" spans="11:14" x14ac:dyDescent="0.3">
      <c r="K3173" s="1">
        <v>38808</v>
      </c>
      <c r="M3173" t="e">
        <v>#N/A</v>
      </c>
      <c r="N3173" s="1">
        <v>38353</v>
      </c>
    </row>
    <row r="3174" spans="11:14" x14ac:dyDescent="0.3">
      <c r="K3174" s="1">
        <v>38808</v>
      </c>
      <c r="M3174" t="e">
        <v>#N/A</v>
      </c>
      <c r="N3174" s="1">
        <v>38353</v>
      </c>
    </row>
    <row r="3175" spans="11:14" x14ac:dyDescent="0.3">
      <c r="K3175" s="1">
        <v>38808</v>
      </c>
      <c r="M3175" t="e">
        <v>#N/A</v>
      </c>
      <c r="N3175" s="1">
        <v>38353</v>
      </c>
    </row>
    <row r="3176" spans="11:14" x14ac:dyDescent="0.3">
      <c r="K3176" s="1">
        <v>38808</v>
      </c>
      <c r="M3176" t="e">
        <v>#N/A</v>
      </c>
      <c r="N3176" s="1">
        <v>38443</v>
      </c>
    </row>
    <row r="3177" spans="11:14" x14ac:dyDescent="0.3">
      <c r="K3177" s="1">
        <v>38808</v>
      </c>
      <c r="M3177" t="e">
        <v>#N/A</v>
      </c>
      <c r="N3177" s="1">
        <v>38443</v>
      </c>
    </row>
    <row r="3178" spans="11:14" x14ac:dyDescent="0.3">
      <c r="K3178" s="1">
        <v>38808</v>
      </c>
      <c r="M3178" t="e">
        <v>#N/A</v>
      </c>
      <c r="N3178" s="1">
        <v>38443</v>
      </c>
    </row>
    <row r="3179" spans="11:14" x14ac:dyDescent="0.3">
      <c r="K3179" s="1">
        <v>38808</v>
      </c>
      <c r="M3179" t="e">
        <v>#N/A</v>
      </c>
      <c r="N3179" s="1">
        <v>38443</v>
      </c>
    </row>
    <row r="3180" spans="11:14" x14ac:dyDescent="0.3">
      <c r="K3180" s="1">
        <v>38808</v>
      </c>
      <c r="M3180" t="e">
        <v>#N/A</v>
      </c>
      <c r="N3180" s="1">
        <v>38443</v>
      </c>
    </row>
    <row r="3181" spans="11:14" x14ac:dyDescent="0.3">
      <c r="K3181" s="1">
        <v>38808</v>
      </c>
      <c r="M3181" t="e">
        <v>#N/A</v>
      </c>
      <c r="N3181" s="1">
        <v>38443</v>
      </c>
    </row>
    <row r="3182" spans="11:14" x14ac:dyDescent="0.3">
      <c r="K3182" s="1">
        <v>38808</v>
      </c>
      <c r="M3182" t="e">
        <v>#N/A</v>
      </c>
      <c r="N3182" s="1">
        <v>38443</v>
      </c>
    </row>
    <row r="3183" spans="11:14" x14ac:dyDescent="0.3">
      <c r="K3183" s="1">
        <v>38808</v>
      </c>
      <c r="M3183" t="e">
        <v>#N/A</v>
      </c>
      <c r="N3183" s="1">
        <v>38443</v>
      </c>
    </row>
    <row r="3184" spans="11:14" x14ac:dyDescent="0.3">
      <c r="K3184" s="1">
        <v>38808</v>
      </c>
      <c r="M3184" t="e">
        <v>#N/A</v>
      </c>
      <c r="N3184" s="1">
        <v>38443</v>
      </c>
    </row>
    <row r="3185" spans="11:14" x14ac:dyDescent="0.3">
      <c r="K3185" s="1">
        <v>38808</v>
      </c>
      <c r="M3185" t="e">
        <v>#N/A</v>
      </c>
      <c r="N3185" s="1">
        <v>38443</v>
      </c>
    </row>
    <row r="3186" spans="11:14" x14ac:dyDescent="0.3">
      <c r="K3186" s="1">
        <v>38808</v>
      </c>
      <c r="M3186" t="e">
        <v>#N/A</v>
      </c>
      <c r="N3186" s="1">
        <v>38443</v>
      </c>
    </row>
    <row r="3187" spans="11:14" x14ac:dyDescent="0.3">
      <c r="K3187" s="1">
        <v>38808</v>
      </c>
      <c r="M3187" t="e">
        <v>#N/A</v>
      </c>
      <c r="N3187" s="1">
        <v>38443</v>
      </c>
    </row>
    <row r="3188" spans="11:14" x14ac:dyDescent="0.3">
      <c r="K3188" s="1">
        <v>38808</v>
      </c>
      <c r="M3188" t="e">
        <v>#N/A</v>
      </c>
      <c r="N3188" s="1">
        <v>38443</v>
      </c>
    </row>
    <row r="3189" spans="11:14" x14ac:dyDescent="0.3">
      <c r="K3189" s="1">
        <v>38808</v>
      </c>
      <c r="M3189" t="e">
        <v>#N/A</v>
      </c>
      <c r="N3189" s="1">
        <v>38443</v>
      </c>
    </row>
    <row r="3190" spans="11:14" x14ac:dyDescent="0.3">
      <c r="K3190" s="1">
        <v>38808</v>
      </c>
      <c r="M3190" t="e">
        <v>#N/A</v>
      </c>
      <c r="N3190" s="1">
        <v>38443</v>
      </c>
    </row>
    <row r="3191" spans="11:14" x14ac:dyDescent="0.3">
      <c r="K3191" s="1">
        <v>38808</v>
      </c>
      <c r="M3191" t="e">
        <v>#N/A</v>
      </c>
      <c r="N3191" s="1">
        <v>38443</v>
      </c>
    </row>
    <row r="3192" spans="11:14" x14ac:dyDescent="0.3">
      <c r="K3192" s="1">
        <v>38808</v>
      </c>
      <c r="M3192" t="e">
        <v>#N/A</v>
      </c>
      <c r="N3192" s="1">
        <v>38443</v>
      </c>
    </row>
    <row r="3193" spans="11:14" x14ac:dyDescent="0.3">
      <c r="K3193" s="1">
        <v>38808</v>
      </c>
      <c r="M3193" t="e">
        <v>#N/A</v>
      </c>
      <c r="N3193" s="1">
        <v>38443</v>
      </c>
    </row>
    <row r="3194" spans="11:14" x14ac:dyDescent="0.3">
      <c r="K3194" s="1">
        <v>38808</v>
      </c>
      <c r="M3194" t="e">
        <v>#N/A</v>
      </c>
      <c r="N3194" s="1">
        <v>38443</v>
      </c>
    </row>
    <row r="3195" spans="11:14" x14ac:dyDescent="0.3">
      <c r="K3195" s="1">
        <v>38808</v>
      </c>
      <c r="M3195" t="e">
        <v>#N/A</v>
      </c>
      <c r="N3195" s="1">
        <v>38443</v>
      </c>
    </row>
    <row r="3196" spans="11:14" x14ac:dyDescent="0.3">
      <c r="K3196" s="1">
        <v>38808</v>
      </c>
      <c r="M3196" t="e">
        <v>#N/A</v>
      </c>
      <c r="N3196" s="1">
        <v>38443</v>
      </c>
    </row>
    <row r="3197" spans="11:14" x14ac:dyDescent="0.3">
      <c r="K3197" s="1">
        <v>38808</v>
      </c>
      <c r="M3197" t="e">
        <v>#N/A</v>
      </c>
      <c r="N3197" s="1">
        <v>38443</v>
      </c>
    </row>
    <row r="3198" spans="11:14" x14ac:dyDescent="0.3">
      <c r="K3198" s="1">
        <v>38808</v>
      </c>
      <c r="M3198" t="e">
        <v>#N/A</v>
      </c>
      <c r="N3198" s="1">
        <v>38443</v>
      </c>
    </row>
    <row r="3199" spans="11:14" x14ac:dyDescent="0.3">
      <c r="K3199" s="1">
        <v>38808</v>
      </c>
      <c r="M3199" t="e">
        <v>#N/A</v>
      </c>
      <c r="N3199" s="1">
        <v>38443</v>
      </c>
    </row>
    <row r="3200" spans="11:14" x14ac:dyDescent="0.3">
      <c r="K3200" s="1">
        <v>38808</v>
      </c>
      <c r="M3200" t="e">
        <v>#N/A</v>
      </c>
      <c r="N3200" s="1">
        <v>38443</v>
      </c>
    </row>
    <row r="3201" spans="11:14" x14ac:dyDescent="0.3">
      <c r="K3201" s="1">
        <v>38808</v>
      </c>
      <c r="M3201" t="e">
        <v>#N/A</v>
      </c>
      <c r="N3201" s="1">
        <v>38443</v>
      </c>
    </row>
    <row r="3202" spans="11:14" x14ac:dyDescent="0.3">
      <c r="K3202" s="1">
        <v>38808</v>
      </c>
      <c r="M3202" t="e">
        <v>#N/A</v>
      </c>
      <c r="N3202" s="1">
        <v>38443</v>
      </c>
    </row>
    <row r="3203" spans="11:14" x14ac:dyDescent="0.3">
      <c r="K3203" s="1">
        <v>38808</v>
      </c>
      <c r="M3203" t="e">
        <v>#N/A</v>
      </c>
      <c r="N3203" s="1">
        <v>38443</v>
      </c>
    </row>
    <row r="3204" spans="11:14" x14ac:dyDescent="0.3">
      <c r="K3204" s="1">
        <v>38808</v>
      </c>
      <c r="M3204" t="e">
        <v>#N/A</v>
      </c>
      <c r="N3204" s="1">
        <v>38443</v>
      </c>
    </row>
    <row r="3205" spans="11:14" x14ac:dyDescent="0.3">
      <c r="K3205" s="1">
        <v>38808</v>
      </c>
      <c r="M3205" t="e">
        <v>#N/A</v>
      </c>
      <c r="N3205" s="1">
        <v>38443</v>
      </c>
    </row>
    <row r="3206" spans="11:14" x14ac:dyDescent="0.3">
      <c r="K3206" s="1">
        <v>38808</v>
      </c>
      <c r="M3206" t="e">
        <v>#N/A</v>
      </c>
      <c r="N3206" s="1">
        <v>38443</v>
      </c>
    </row>
    <row r="3207" spans="11:14" x14ac:dyDescent="0.3">
      <c r="K3207" s="1">
        <v>38808</v>
      </c>
      <c r="M3207" t="e">
        <v>#N/A</v>
      </c>
      <c r="N3207" s="1">
        <v>38443</v>
      </c>
    </row>
    <row r="3208" spans="11:14" x14ac:dyDescent="0.3">
      <c r="K3208" s="1">
        <v>38808</v>
      </c>
      <c r="M3208" t="e">
        <v>#N/A</v>
      </c>
      <c r="N3208" s="1">
        <v>38443</v>
      </c>
    </row>
    <row r="3209" spans="11:14" x14ac:dyDescent="0.3">
      <c r="K3209" s="1">
        <v>38808</v>
      </c>
      <c r="M3209" t="e">
        <v>#N/A</v>
      </c>
      <c r="N3209" s="1">
        <v>38443</v>
      </c>
    </row>
    <row r="3210" spans="11:14" x14ac:dyDescent="0.3">
      <c r="K3210" s="1">
        <v>38808</v>
      </c>
      <c r="M3210" t="e">
        <v>#N/A</v>
      </c>
      <c r="N3210" s="1">
        <v>38443</v>
      </c>
    </row>
    <row r="3211" spans="11:14" x14ac:dyDescent="0.3">
      <c r="K3211" s="1">
        <v>38808</v>
      </c>
      <c r="M3211" t="e">
        <v>#N/A</v>
      </c>
      <c r="N3211" s="1">
        <v>38443</v>
      </c>
    </row>
    <row r="3212" spans="11:14" x14ac:dyDescent="0.3">
      <c r="K3212" s="1">
        <v>38808</v>
      </c>
      <c r="M3212" t="e">
        <v>#N/A</v>
      </c>
      <c r="N3212" s="1">
        <v>38443</v>
      </c>
    </row>
    <row r="3213" spans="11:14" x14ac:dyDescent="0.3">
      <c r="K3213" s="1">
        <v>38808</v>
      </c>
      <c r="M3213" t="e">
        <v>#N/A</v>
      </c>
      <c r="N3213" s="1">
        <v>38443</v>
      </c>
    </row>
    <row r="3214" spans="11:14" x14ac:dyDescent="0.3">
      <c r="K3214" s="1">
        <v>38808</v>
      </c>
      <c r="M3214" t="e">
        <v>#N/A</v>
      </c>
      <c r="N3214" s="1">
        <v>38443</v>
      </c>
    </row>
    <row r="3215" spans="11:14" x14ac:dyDescent="0.3">
      <c r="K3215" s="1">
        <v>38808</v>
      </c>
      <c r="M3215" t="e">
        <v>#N/A</v>
      </c>
      <c r="N3215" s="1">
        <v>38443</v>
      </c>
    </row>
    <row r="3216" spans="11:14" x14ac:dyDescent="0.3">
      <c r="K3216" s="1">
        <v>38808</v>
      </c>
      <c r="M3216" t="e">
        <v>#N/A</v>
      </c>
      <c r="N3216" s="1">
        <v>38443</v>
      </c>
    </row>
    <row r="3217" spans="11:14" x14ac:dyDescent="0.3">
      <c r="K3217" s="1">
        <v>38808</v>
      </c>
      <c r="M3217" t="e">
        <v>#N/A</v>
      </c>
      <c r="N3217" s="1">
        <v>38443</v>
      </c>
    </row>
    <row r="3218" spans="11:14" x14ac:dyDescent="0.3">
      <c r="K3218" s="1">
        <v>38808</v>
      </c>
      <c r="M3218" t="e">
        <v>#N/A</v>
      </c>
      <c r="N3218" s="1">
        <v>38443</v>
      </c>
    </row>
    <row r="3219" spans="11:14" x14ac:dyDescent="0.3">
      <c r="K3219" s="1">
        <v>38808</v>
      </c>
      <c r="M3219" t="e">
        <v>#N/A</v>
      </c>
      <c r="N3219" s="1">
        <v>38443</v>
      </c>
    </row>
    <row r="3220" spans="11:14" x14ac:dyDescent="0.3">
      <c r="K3220" s="1">
        <v>38808</v>
      </c>
      <c r="M3220" t="e">
        <v>#N/A</v>
      </c>
      <c r="N3220" s="1">
        <v>38443</v>
      </c>
    </row>
    <row r="3221" spans="11:14" x14ac:dyDescent="0.3">
      <c r="K3221" s="1">
        <v>38808</v>
      </c>
      <c r="M3221" t="e">
        <v>#N/A</v>
      </c>
      <c r="N3221" s="1">
        <v>38443</v>
      </c>
    </row>
    <row r="3222" spans="11:14" x14ac:dyDescent="0.3">
      <c r="K3222" s="1">
        <v>38808</v>
      </c>
      <c r="M3222" t="e">
        <v>#N/A</v>
      </c>
      <c r="N3222" s="1">
        <v>38443</v>
      </c>
    </row>
    <row r="3223" spans="11:14" x14ac:dyDescent="0.3">
      <c r="K3223" s="1">
        <v>38808</v>
      </c>
      <c r="M3223" t="e">
        <v>#N/A</v>
      </c>
      <c r="N3223" s="1">
        <v>38443</v>
      </c>
    </row>
    <row r="3224" spans="11:14" x14ac:dyDescent="0.3">
      <c r="K3224" s="1">
        <v>38808</v>
      </c>
      <c r="M3224" t="e">
        <v>#N/A</v>
      </c>
      <c r="N3224" s="1">
        <v>38443</v>
      </c>
    </row>
    <row r="3225" spans="11:14" x14ac:dyDescent="0.3">
      <c r="K3225" s="1">
        <v>38808</v>
      </c>
      <c r="M3225" t="e">
        <v>#N/A</v>
      </c>
      <c r="N3225" s="1">
        <v>38443</v>
      </c>
    </row>
    <row r="3226" spans="11:14" x14ac:dyDescent="0.3">
      <c r="K3226" s="1">
        <v>38808</v>
      </c>
      <c r="M3226" t="e">
        <v>#N/A</v>
      </c>
      <c r="N3226" s="1">
        <v>38443</v>
      </c>
    </row>
    <row r="3227" spans="11:14" x14ac:dyDescent="0.3">
      <c r="K3227" s="1">
        <v>38808</v>
      </c>
      <c r="M3227" t="e">
        <v>#N/A</v>
      </c>
      <c r="N3227" s="1">
        <v>38443</v>
      </c>
    </row>
    <row r="3228" spans="11:14" x14ac:dyDescent="0.3">
      <c r="K3228" s="1">
        <v>38808</v>
      </c>
      <c r="M3228" t="e">
        <v>#N/A</v>
      </c>
      <c r="N3228" s="1">
        <v>38443</v>
      </c>
    </row>
    <row r="3229" spans="11:14" x14ac:dyDescent="0.3">
      <c r="K3229" s="1">
        <v>38808</v>
      </c>
      <c r="M3229" t="e">
        <v>#N/A</v>
      </c>
      <c r="N3229" s="1">
        <v>38443</v>
      </c>
    </row>
    <row r="3230" spans="11:14" x14ac:dyDescent="0.3">
      <c r="K3230" s="1">
        <v>38808</v>
      </c>
      <c r="M3230" t="e">
        <v>#N/A</v>
      </c>
      <c r="N3230" s="1">
        <v>38443</v>
      </c>
    </row>
    <row r="3231" spans="11:14" x14ac:dyDescent="0.3">
      <c r="K3231" s="1">
        <v>38808</v>
      </c>
      <c r="M3231" t="e">
        <v>#N/A</v>
      </c>
      <c r="N3231" s="1">
        <v>38443</v>
      </c>
    </row>
    <row r="3232" spans="11:14" x14ac:dyDescent="0.3">
      <c r="K3232" s="1">
        <v>38808</v>
      </c>
      <c r="M3232" t="e">
        <v>#N/A</v>
      </c>
      <c r="N3232" s="1">
        <v>38443</v>
      </c>
    </row>
    <row r="3233" spans="11:14" x14ac:dyDescent="0.3">
      <c r="K3233" s="1">
        <v>38808</v>
      </c>
      <c r="M3233" t="e">
        <v>#N/A</v>
      </c>
      <c r="N3233" s="1">
        <v>38443</v>
      </c>
    </row>
    <row r="3234" spans="11:14" x14ac:dyDescent="0.3">
      <c r="K3234" s="1">
        <v>38808</v>
      </c>
      <c r="M3234" t="e">
        <v>#N/A</v>
      </c>
      <c r="N3234" s="1">
        <v>38443</v>
      </c>
    </row>
    <row r="3235" spans="11:14" x14ac:dyDescent="0.3">
      <c r="K3235" s="1">
        <v>38808</v>
      </c>
      <c r="M3235" t="e">
        <v>#N/A</v>
      </c>
      <c r="N3235" s="1">
        <v>38443</v>
      </c>
    </row>
    <row r="3236" spans="11:14" x14ac:dyDescent="0.3">
      <c r="K3236" s="1">
        <v>38808</v>
      </c>
      <c r="M3236" t="e">
        <v>#N/A</v>
      </c>
      <c r="N3236" s="1">
        <v>38443</v>
      </c>
    </row>
    <row r="3237" spans="11:14" x14ac:dyDescent="0.3">
      <c r="K3237" s="1">
        <v>38808</v>
      </c>
      <c r="M3237" t="e">
        <v>#N/A</v>
      </c>
      <c r="N3237" s="1">
        <v>38443</v>
      </c>
    </row>
    <row r="3238" spans="11:14" x14ac:dyDescent="0.3">
      <c r="K3238" s="1">
        <v>38808</v>
      </c>
      <c r="M3238" t="e">
        <v>#N/A</v>
      </c>
      <c r="N3238" s="1">
        <v>38443</v>
      </c>
    </row>
    <row r="3239" spans="11:14" x14ac:dyDescent="0.3">
      <c r="K3239" s="1">
        <v>38808</v>
      </c>
      <c r="M3239" t="e">
        <v>#N/A</v>
      </c>
      <c r="N3239" s="1">
        <v>38443</v>
      </c>
    </row>
    <row r="3240" spans="11:14" x14ac:dyDescent="0.3">
      <c r="K3240" s="1">
        <v>38808</v>
      </c>
      <c r="M3240" t="e">
        <v>#N/A</v>
      </c>
      <c r="N3240" s="1">
        <v>38443</v>
      </c>
    </row>
    <row r="3241" spans="11:14" x14ac:dyDescent="0.3">
      <c r="K3241" s="1">
        <v>38808</v>
      </c>
      <c r="M3241" t="e">
        <v>#N/A</v>
      </c>
      <c r="N3241" s="1">
        <v>38443</v>
      </c>
    </row>
    <row r="3242" spans="11:14" x14ac:dyDescent="0.3">
      <c r="K3242" s="1">
        <v>38808</v>
      </c>
      <c r="M3242" t="e">
        <v>#N/A</v>
      </c>
      <c r="N3242" s="1">
        <v>38443</v>
      </c>
    </row>
    <row r="3243" spans="11:14" x14ac:dyDescent="0.3">
      <c r="K3243" s="1">
        <v>38808</v>
      </c>
      <c r="M3243" t="e">
        <v>#N/A</v>
      </c>
      <c r="N3243" s="1">
        <v>38443</v>
      </c>
    </row>
    <row r="3244" spans="11:14" x14ac:dyDescent="0.3">
      <c r="K3244" s="1">
        <v>38808</v>
      </c>
      <c r="M3244" t="e">
        <v>#N/A</v>
      </c>
      <c r="N3244" s="1">
        <v>38443</v>
      </c>
    </row>
    <row r="3245" spans="11:14" x14ac:dyDescent="0.3">
      <c r="K3245" s="1">
        <v>38808</v>
      </c>
      <c r="M3245" t="e">
        <v>#N/A</v>
      </c>
      <c r="N3245" s="1">
        <v>38443</v>
      </c>
    </row>
    <row r="3246" spans="11:14" x14ac:dyDescent="0.3">
      <c r="K3246" s="1">
        <v>38808</v>
      </c>
      <c r="M3246" t="e">
        <v>#N/A</v>
      </c>
      <c r="N3246" s="1">
        <v>38443</v>
      </c>
    </row>
    <row r="3247" spans="11:14" x14ac:dyDescent="0.3">
      <c r="K3247" s="1">
        <v>38808</v>
      </c>
      <c r="M3247" t="e">
        <v>#N/A</v>
      </c>
      <c r="N3247" s="1">
        <v>38443</v>
      </c>
    </row>
    <row r="3248" spans="11:14" x14ac:dyDescent="0.3">
      <c r="K3248" s="1">
        <v>38808</v>
      </c>
      <c r="M3248" t="e">
        <v>#N/A</v>
      </c>
      <c r="N3248" s="1">
        <v>38443</v>
      </c>
    </row>
    <row r="3249" spans="11:14" x14ac:dyDescent="0.3">
      <c r="K3249" s="1">
        <v>38808</v>
      </c>
      <c r="M3249" t="e">
        <v>#N/A</v>
      </c>
      <c r="N3249" s="1">
        <v>38443</v>
      </c>
    </row>
    <row r="3250" spans="11:14" x14ac:dyDescent="0.3">
      <c r="K3250" s="1">
        <v>38808</v>
      </c>
      <c r="M3250" t="e">
        <v>#N/A</v>
      </c>
      <c r="N3250" s="1">
        <v>38443</v>
      </c>
    </row>
    <row r="3251" spans="11:14" x14ac:dyDescent="0.3">
      <c r="K3251" s="1">
        <v>38808</v>
      </c>
      <c r="M3251" t="e">
        <v>#N/A</v>
      </c>
      <c r="N3251" s="1">
        <v>38443</v>
      </c>
    </row>
    <row r="3252" spans="11:14" x14ac:dyDescent="0.3">
      <c r="K3252" s="1">
        <v>38808</v>
      </c>
      <c r="M3252" t="e">
        <v>#N/A</v>
      </c>
      <c r="N3252" s="1">
        <v>38443</v>
      </c>
    </row>
    <row r="3253" spans="11:14" x14ac:dyDescent="0.3">
      <c r="K3253" s="1">
        <v>38808</v>
      </c>
      <c r="M3253" t="e">
        <v>#N/A</v>
      </c>
      <c r="N3253" s="1">
        <v>38443</v>
      </c>
    </row>
    <row r="3254" spans="11:14" x14ac:dyDescent="0.3">
      <c r="K3254" s="1">
        <v>38808</v>
      </c>
      <c r="M3254" t="e">
        <v>#N/A</v>
      </c>
      <c r="N3254" s="1">
        <v>38443</v>
      </c>
    </row>
    <row r="3255" spans="11:14" x14ac:dyDescent="0.3">
      <c r="K3255" s="1">
        <v>38808</v>
      </c>
      <c r="M3255" t="e">
        <v>#N/A</v>
      </c>
      <c r="N3255" s="1">
        <v>38443</v>
      </c>
    </row>
    <row r="3256" spans="11:14" x14ac:dyDescent="0.3">
      <c r="K3256" s="1">
        <v>38808</v>
      </c>
      <c r="M3256" t="e">
        <v>#N/A</v>
      </c>
      <c r="N3256" s="1">
        <v>38443</v>
      </c>
    </row>
    <row r="3257" spans="11:14" x14ac:dyDescent="0.3">
      <c r="K3257" s="1">
        <v>38808</v>
      </c>
      <c r="M3257" t="e">
        <v>#N/A</v>
      </c>
      <c r="N3257" s="1">
        <v>38443</v>
      </c>
    </row>
    <row r="3258" spans="11:14" x14ac:dyDescent="0.3">
      <c r="K3258" s="1">
        <v>38808</v>
      </c>
      <c r="M3258" t="e">
        <v>#N/A</v>
      </c>
      <c r="N3258" s="1">
        <v>38443</v>
      </c>
    </row>
    <row r="3259" spans="11:14" x14ac:dyDescent="0.3">
      <c r="K3259" s="1">
        <v>38808</v>
      </c>
      <c r="M3259" t="e">
        <v>#N/A</v>
      </c>
      <c r="N3259" s="1">
        <v>38443</v>
      </c>
    </row>
    <row r="3260" spans="11:14" x14ac:dyDescent="0.3">
      <c r="K3260" s="1">
        <v>38808</v>
      </c>
      <c r="M3260" t="e">
        <v>#N/A</v>
      </c>
      <c r="N3260" s="1">
        <v>38443</v>
      </c>
    </row>
    <row r="3261" spans="11:14" x14ac:dyDescent="0.3">
      <c r="K3261" s="1">
        <v>38808</v>
      </c>
      <c r="M3261" t="e">
        <v>#N/A</v>
      </c>
      <c r="N3261" s="1">
        <v>38443</v>
      </c>
    </row>
    <row r="3262" spans="11:14" x14ac:dyDescent="0.3">
      <c r="K3262" s="1">
        <v>38808</v>
      </c>
      <c r="M3262" t="e">
        <v>#N/A</v>
      </c>
      <c r="N3262" s="1">
        <v>38443</v>
      </c>
    </row>
    <row r="3263" spans="11:14" x14ac:dyDescent="0.3">
      <c r="K3263" s="1">
        <v>38808</v>
      </c>
      <c r="M3263" t="e">
        <v>#N/A</v>
      </c>
      <c r="N3263" s="1">
        <v>38443</v>
      </c>
    </row>
    <row r="3264" spans="11:14" x14ac:dyDescent="0.3">
      <c r="K3264" s="1">
        <v>38808</v>
      </c>
      <c r="M3264" t="e">
        <v>#N/A</v>
      </c>
      <c r="N3264" s="1">
        <v>38443</v>
      </c>
    </row>
    <row r="3265" spans="11:14" x14ac:dyDescent="0.3">
      <c r="K3265" s="1">
        <v>38808</v>
      </c>
      <c r="M3265" t="e">
        <v>#N/A</v>
      </c>
      <c r="N3265" s="1">
        <v>38443</v>
      </c>
    </row>
    <row r="3266" spans="11:14" x14ac:dyDescent="0.3">
      <c r="K3266" s="1">
        <v>38808</v>
      </c>
      <c r="M3266" t="e">
        <v>#N/A</v>
      </c>
      <c r="N3266" s="1">
        <v>38443</v>
      </c>
    </row>
    <row r="3267" spans="11:14" x14ac:dyDescent="0.3">
      <c r="K3267" s="1">
        <v>38808</v>
      </c>
      <c r="M3267" t="e">
        <v>#N/A</v>
      </c>
      <c r="N3267" s="1">
        <v>38443</v>
      </c>
    </row>
    <row r="3268" spans="11:14" x14ac:dyDescent="0.3">
      <c r="K3268" s="1">
        <v>38808</v>
      </c>
      <c r="M3268" t="e">
        <v>#N/A</v>
      </c>
      <c r="N3268" s="1">
        <v>38443</v>
      </c>
    </row>
    <row r="3269" spans="11:14" x14ac:dyDescent="0.3">
      <c r="K3269" s="1">
        <v>38808</v>
      </c>
      <c r="M3269" t="e">
        <v>#N/A</v>
      </c>
      <c r="N3269" s="1">
        <v>38443</v>
      </c>
    </row>
    <row r="3270" spans="11:14" x14ac:dyDescent="0.3">
      <c r="K3270" s="1">
        <v>38808</v>
      </c>
      <c r="M3270" t="e">
        <v>#N/A</v>
      </c>
      <c r="N3270" s="1">
        <v>38443</v>
      </c>
    </row>
    <row r="3271" spans="11:14" x14ac:dyDescent="0.3">
      <c r="K3271" s="1">
        <v>38808</v>
      </c>
      <c r="M3271" t="e">
        <v>#N/A</v>
      </c>
      <c r="N3271" s="1">
        <v>38443</v>
      </c>
    </row>
    <row r="3272" spans="11:14" x14ac:dyDescent="0.3">
      <c r="K3272" s="1">
        <v>38808</v>
      </c>
      <c r="M3272" t="e">
        <v>#N/A</v>
      </c>
      <c r="N3272" s="1">
        <v>38443</v>
      </c>
    </row>
    <row r="3273" spans="11:14" x14ac:dyDescent="0.3">
      <c r="K3273" s="1">
        <v>38808</v>
      </c>
      <c r="M3273" t="e">
        <v>#N/A</v>
      </c>
      <c r="N3273" s="1">
        <v>38443</v>
      </c>
    </row>
    <row r="3274" spans="11:14" x14ac:dyDescent="0.3">
      <c r="K3274" s="1">
        <v>38808</v>
      </c>
      <c r="M3274" t="e">
        <v>#N/A</v>
      </c>
      <c r="N3274" s="1">
        <v>38443</v>
      </c>
    </row>
    <row r="3275" spans="11:14" x14ac:dyDescent="0.3">
      <c r="K3275" s="1">
        <v>38808</v>
      </c>
      <c r="M3275" t="e">
        <v>#N/A</v>
      </c>
      <c r="N3275" s="1">
        <v>38443</v>
      </c>
    </row>
    <row r="3276" spans="11:14" x14ac:dyDescent="0.3">
      <c r="K3276" s="1">
        <v>38808</v>
      </c>
      <c r="M3276" t="e">
        <v>#N/A</v>
      </c>
      <c r="N3276" s="1">
        <v>38443</v>
      </c>
    </row>
    <row r="3277" spans="11:14" x14ac:dyDescent="0.3">
      <c r="K3277" s="1">
        <v>38808</v>
      </c>
      <c r="M3277" t="e">
        <v>#N/A</v>
      </c>
      <c r="N3277" s="1">
        <v>38443</v>
      </c>
    </row>
    <row r="3278" spans="11:14" x14ac:dyDescent="0.3">
      <c r="K3278" s="1">
        <v>38808</v>
      </c>
      <c r="M3278" t="e">
        <v>#N/A</v>
      </c>
      <c r="N3278" s="1">
        <v>38443</v>
      </c>
    </row>
    <row r="3279" spans="11:14" x14ac:dyDescent="0.3">
      <c r="K3279" s="1">
        <v>38808</v>
      </c>
      <c r="M3279" t="e">
        <v>#N/A</v>
      </c>
      <c r="N3279" s="1">
        <v>38443</v>
      </c>
    </row>
    <row r="3280" spans="11:14" x14ac:dyDescent="0.3">
      <c r="K3280" s="1">
        <v>38808</v>
      </c>
      <c r="M3280" t="e">
        <v>#N/A</v>
      </c>
      <c r="N3280" s="1">
        <v>38443</v>
      </c>
    </row>
    <row r="3281" spans="11:14" x14ac:dyDescent="0.3">
      <c r="K3281" s="1">
        <v>38808</v>
      </c>
      <c r="M3281" t="e">
        <v>#N/A</v>
      </c>
      <c r="N3281" s="1">
        <v>38443</v>
      </c>
    </row>
    <row r="3282" spans="11:14" x14ac:dyDescent="0.3">
      <c r="K3282" s="1">
        <v>38808</v>
      </c>
      <c r="M3282" t="e">
        <v>#N/A</v>
      </c>
      <c r="N3282" s="1">
        <v>38443</v>
      </c>
    </row>
    <row r="3283" spans="11:14" x14ac:dyDescent="0.3">
      <c r="K3283" s="1">
        <v>38808</v>
      </c>
      <c r="M3283" t="e">
        <v>#N/A</v>
      </c>
      <c r="N3283" s="1">
        <v>38443</v>
      </c>
    </row>
    <row r="3284" spans="11:14" x14ac:dyDescent="0.3">
      <c r="K3284" s="1">
        <v>38808</v>
      </c>
      <c r="M3284" t="e">
        <v>#N/A</v>
      </c>
      <c r="N3284" s="1">
        <v>38443</v>
      </c>
    </row>
    <row r="3285" spans="11:14" x14ac:dyDescent="0.3">
      <c r="K3285" s="1">
        <v>38808</v>
      </c>
      <c r="M3285" t="e">
        <v>#N/A</v>
      </c>
      <c r="N3285" s="1">
        <v>38443</v>
      </c>
    </row>
    <row r="3286" spans="11:14" x14ac:dyDescent="0.3">
      <c r="K3286" s="1">
        <v>38808</v>
      </c>
      <c r="M3286" t="e">
        <v>#N/A</v>
      </c>
      <c r="N3286" s="1">
        <v>38443</v>
      </c>
    </row>
    <row r="3287" spans="11:14" x14ac:dyDescent="0.3">
      <c r="K3287" s="1">
        <v>38808</v>
      </c>
      <c r="M3287" t="e">
        <v>#N/A</v>
      </c>
      <c r="N3287" s="1">
        <v>38443</v>
      </c>
    </row>
    <row r="3288" spans="11:14" x14ac:dyDescent="0.3">
      <c r="K3288" s="1">
        <v>38808</v>
      </c>
      <c r="M3288" t="e">
        <v>#N/A</v>
      </c>
      <c r="N3288" s="1">
        <v>38443</v>
      </c>
    </row>
    <row r="3289" spans="11:14" x14ac:dyDescent="0.3">
      <c r="K3289" s="1">
        <v>38808</v>
      </c>
      <c r="M3289" t="e">
        <v>#N/A</v>
      </c>
      <c r="N3289" s="1">
        <v>38443</v>
      </c>
    </row>
    <row r="3290" spans="11:14" x14ac:dyDescent="0.3">
      <c r="K3290" s="1">
        <v>38808</v>
      </c>
      <c r="M3290" t="e">
        <v>#N/A</v>
      </c>
      <c r="N3290" s="1">
        <v>38443</v>
      </c>
    </row>
    <row r="3291" spans="11:14" x14ac:dyDescent="0.3">
      <c r="K3291" s="1">
        <v>38808</v>
      </c>
      <c r="M3291" t="e">
        <v>#N/A</v>
      </c>
      <c r="N3291" s="1">
        <v>38443</v>
      </c>
    </row>
    <row r="3292" spans="11:14" x14ac:dyDescent="0.3">
      <c r="K3292" s="1">
        <v>38808</v>
      </c>
      <c r="M3292" t="e">
        <v>#N/A</v>
      </c>
      <c r="N3292" s="1">
        <v>38443</v>
      </c>
    </row>
    <row r="3293" spans="11:14" x14ac:dyDescent="0.3">
      <c r="K3293" s="1">
        <v>38808</v>
      </c>
      <c r="M3293" t="e">
        <v>#N/A</v>
      </c>
      <c r="N3293" s="1">
        <v>38443</v>
      </c>
    </row>
    <row r="3294" spans="11:14" x14ac:dyDescent="0.3">
      <c r="K3294" s="1">
        <v>38808</v>
      </c>
      <c r="M3294" t="e">
        <v>#N/A</v>
      </c>
      <c r="N3294" s="1">
        <v>38443</v>
      </c>
    </row>
    <row r="3295" spans="11:14" x14ac:dyDescent="0.3">
      <c r="K3295" s="1">
        <v>38808</v>
      </c>
      <c r="M3295" t="e">
        <v>#N/A</v>
      </c>
      <c r="N3295" s="1">
        <v>38443</v>
      </c>
    </row>
    <row r="3296" spans="11:14" x14ac:dyDescent="0.3">
      <c r="K3296" s="1">
        <v>38808</v>
      </c>
      <c r="M3296" t="e">
        <v>#N/A</v>
      </c>
      <c r="N3296" s="1">
        <v>38443</v>
      </c>
    </row>
    <row r="3297" spans="11:14" x14ac:dyDescent="0.3">
      <c r="K3297" s="1">
        <v>38808</v>
      </c>
      <c r="M3297" t="e">
        <v>#N/A</v>
      </c>
      <c r="N3297" s="1">
        <v>38443</v>
      </c>
    </row>
    <row r="3298" spans="11:14" x14ac:dyDescent="0.3">
      <c r="K3298" s="1">
        <v>38808</v>
      </c>
      <c r="M3298" t="e">
        <v>#N/A</v>
      </c>
      <c r="N3298" s="1">
        <v>38443</v>
      </c>
    </row>
    <row r="3299" spans="11:14" x14ac:dyDescent="0.3">
      <c r="K3299" s="1">
        <v>38808</v>
      </c>
      <c r="M3299" t="e">
        <v>#N/A</v>
      </c>
      <c r="N3299" s="1">
        <v>38443</v>
      </c>
    </row>
    <row r="3300" spans="11:14" x14ac:dyDescent="0.3">
      <c r="K3300" s="1">
        <v>38808</v>
      </c>
      <c r="M3300" t="e">
        <v>#N/A</v>
      </c>
      <c r="N3300" s="1">
        <v>38443</v>
      </c>
    </row>
    <row r="3301" spans="11:14" x14ac:dyDescent="0.3">
      <c r="K3301" s="1">
        <v>38808</v>
      </c>
      <c r="M3301" t="e">
        <v>#N/A</v>
      </c>
      <c r="N3301" s="1">
        <v>38443</v>
      </c>
    </row>
    <row r="3302" spans="11:14" x14ac:dyDescent="0.3">
      <c r="K3302" s="1">
        <v>38808</v>
      </c>
      <c r="M3302" t="e">
        <v>#N/A</v>
      </c>
      <c r="N3302" s="1">
        <v>38443</v>
      </c>
    </row>
    <row r="3303" spans="11:14" x14ac:dyDescent="0.3">
      <c r="K3303" s="1">
        <v>38808</v>
      </c>
      <c r="M3303" t="e">
        <v>#N/A</v>
      </c>
      <c r="N3303" s="1">
        <v>38443</v>
      </c>
    </row>
    <row r="3304" spans="11:14" x14ac:dyDescent="0.3">
      <c r="K3304" s="1">
        <v>38808</v>
      </c>
      <c r="M3304" t="e">
        <v>#N/A</v>
      </c>
      <c r="N3304" s="1">
        <v>38443</v>
      </c>
    </row>
    <row r="3305" spans="11:14" x14ac:dyDescent="0.3">
      <c r="K3305" s="1">
        <v>38808</v>
      </c>
      <c r="M3305" t="e">
        <v>#N/A</v>
      </c>
      <c r="N3305" s="1">
        <v>38443</v>
      </c>
    </row>
    <row r="3306" spans="11:14" x14ac:dyDescent="0.3">
      <c r="K3306" s="1">
        <v>38808</v>
      </c>
      <c r="M3306" t="e">
        <v>#N/A</v>
      </c>
      <c r="N3306" s="1">
        <v>38443</v>
      </c>
    </row>
    <row r="3307" spans="11:14" x14ac:dyDescent="0.3">
      <c r="K3307" s="1">
        <v>38808</v>
      </c>
      <c r="M3307" t="e">
        <v>#N/A</v>
      </c>
      <c r="N3307" s="1">
        <v>38443</v>
      </c>
    </row>
    <row r="3308" spans="11:14" x14ac:dyDescent="0.3">
      <c r="K3308" s="1">
        <v>38808</v>
      </c>
      <c r="M3308" t="e">
        <v>#N/A</v>
      </c>
      <c r="N3308" s="1">
        <v>38443</v>
      </c>
    </row>
    <row r="3309" spans="11:14" x14ac:dyDescent="0.3">
      <c r="K3309" s="1">
        <v>38808</v>
      </c>
      <c r="M3309" t="e">
        <v>#N/A</v>
      </c>
      <c r="N3309" s="1">
        <v>38443</v>
      </c>
    </row>
    <row r="3310" spans="11:14" x14ac:dyDescent="0.3">
      <c r="K3310" s="1">
        <v>38808</v>
      </c>
      <c r="M3310" t="e">
        <v>#N/A</v>
      </c>
      <c r="N3310" s="1">
        <v>38443</v>
      </c>
    </row>
    <row r="3311" spans="11:14" x14ac:dyDescent="0.3">
      <c r="K3311" s="1">
        <v>38808</v>
      </c>
      <c r="M3311" t="e">
        <v>#N/A</v>
      </c>
      <c r="N3311" s="1">
        <v>38443</v>
      </c>
    </row>
    <row r="3312" spans="11:14" x14ac:dyDescent="0.3">
      <c r="K3312" s="1">
        <v>38808</v>
      </c>
      <c r="M3312" t="e">
        <v>#N/A</v>
      </c>
      <c r="N3312" s="1">
        <v>38443</v>
      </c>
    </row>
    <row r="3313" spans="11:14" x14ac:dyDescent="0.3">
      <c r="K3313" s="1">
        <v>38808</v>
      </c>
      <c r="M3313" t="e">
        <v>#N/A</v>
      </c>
      <c r="N3313" s="1">
        <v>38443</v>
      </c>
    </row>
    <row r="3314" spans="11:14" x14ac:dyDescent="0.3">
      <c r="K3314" s="1">
        <v>38808</v>
      </c>
      <c r="M3314" t="e">
        <v>#N/A</v>
      </c>
      <c r="N3314" s="1">
        <v>38443</v>
      </c>
    </row>
    <row r="3315" spans="11:14" x14ac:dyDescent="0.3">
      <c r="K3315" s="1">
        <v>38808</v>
      </c>
      <c r="M3315" t="e">
        <v>#N/A</v>
      </c>
      <c r="N3315" s="1">
        <v>38443</v>
      </c>
    </row>
    <row r="3316" spans="11:14" x14ac:dyDescent="0.3">
      <c r="K3316" s="1">
        <v>38808</v>
      </c>
      <c r="M3316" t="e">
        <v>#N/A</v>
      </c>
      <c r="N3316" s="1">
        <v>38443</v>
      </c>
    </row>
    <row r="3317" spans="11:14" x14ac:dyDescent="0.3">
      <c r="K3317" s="1">
        <v>38808</v>
      </c>
      <c r="M3317" t="e">
        <v>#N/A</v>
      </c>
      <c r="N3317" s="1">
        <v>38443</v>
      </c>
    </row>
    <row r="3318" spans="11:14" x14ac:dyDescent="0.3">
      <c r="K3318" s="1">
        <v>38808</v>
      </c>
      <c r="M3318" t="e">
        <v>#N/A</v>
      </c>
      <c r="N3318" s="1">
        <v>38443</v>
      </c>
    </row>
    <row r="3319" spans="11:14" x14ac:dyDescent="0.3">
      <c r="K3319" s="1">
        <v>38808</v>
      </c>
      <c r="M3319" t="e">
        <v>#N/A</v>
      </c>
      <c r="N3319" s="1">
        <v>38443</v>
      </c>
    </row>
    <row r="3320" spans="11:14" x14ac:dyDescent="0.3">
      <c r="K3320" s="1">
        <v>38808</v>
      </c>
      <c r="M3320" t="e">
        <v>#N/A</v>
      </c>
      <c r="N3320" s="1">
        <v>38443</v>
      </c>
    </row>
    <row r="3321" spans="11:14" x14ac:dyDescent="0.3">
      <c r="K3321" s="1">
        <v>38808</v>
      </c>
      <c r="M3321" t="e">
        <v>#N/A</v>
      </c>
      <c r="N3321" s="1">
        <v>38443</v>
      </c>
    </row>
    <row r="3322" spans="11:14" x14ac:dyDescent="0.3">
      <c r="K3322" s="1">
        <v>38808</v>
      </c>
      <c r="M3322" t="e">
        <v>#N/A</v>
      </c>
      <c r="N3322" s="1">
        <v>38443</v>
      </c>
    </row>
    <row r="3323" spans="11:14" x14ac:dyDescent="0.3">
      <c r="K3323" s="1">
        <v>38808</v>
      </c>
      <c r="M3323" t="e">
        <v>#N/A</v>
      </c>
      <c r="N3323" s="1">
        <v>38443</v>
      </c>
    </row>
    <row r="3324" spans="11:14" x14ac:dyDescent="0.3">
      <c r="K3324" s="1">
        <v>38808</v>
      </c>
      <c r="M3324" t="e">
        <v>#N/A</v>
      </c>
      <c r="N3324" s="1">
        <v>38443</v>
      </c>
    </row>
    <row r="3325" spans="11:14" x14ac:dyDescent="0.3">
      <c r="K3325" s="1">
        <v>38808</v>
      </c>
      <c r="M3325" t="e">
        <v>#N/A</v>
      </c>
      <c r="N3325" s="1">
        <v>38443</v>
      </c>
    </row>
    <row r="3326" spans="11:14" x14ac:dyDescent="0.3">
      <c r="K3326" s="1">
        <v>38808</v>
      </c>
      <c r="M3326" t="e">
        <v>#N/A</v>
      </c>
      <c r="N3326" s="1">
        <v>38443</v>
      </c>
    </row>
    <row r="3327" spans="11:14" x14ac:dyDescent="0.3">
      <c r="K3327" s="1">
        <v>38808</v>
      </c>
      <c r="M3327" t="e">
        <v>#N/A</v>
      </c>
      <c r="N3327" s="1">
        <v>38443</v>
      </c>
    </row>
    <row r="3328" spans="11:14" x14ac:dyDescent="0.3">
      <c r="K3328" s="1">
        <v>38808</v>
      </c>
      <c r="M3328" t="e">
        <v>#N/A</v>
      </c>
      <c r="N3328" s="1">
        <v>38443</v>
      </c>
    </row>
    <row r="3329" spans="11:14" x14ac:dyDescent="0.3">
      <c r="K3329" s="1">
        <v>38808</v>
      </c>
      <c r="M3329" t="e">
        <v>#N/A</v>
      </c>
      <c r="N3329" s="1">
        <v>38443</v>
      </c>
    </row>
    <row r="3330" spans="11:14" x14ac:dyDescent="0.3">
      <c r="K3330" s="1">
        <v>38808</v>
      </c>
      <c r="M3330" t="e">
        <v>#N/A</v>
      </c>
      <c r="N3330" s="1">
        <v>38443</v>
      </c>
    </row>
    <row r="3331" spans="11:14" x14ac:dyDescent="0.3">
      <c r="K3331" s="1">
        <v>38808</v>
      </c>
      <c r="M3331" t="e">
        <v>#N/A</v>
      </c>
      <c r="N3331" s="1">
        <v>38443</v>
      </c>
    </row>
    <row r="3332" spans="11:14" x14ac:dyDescent="0.3">
      <c r="K3332" s="1">
        <v>38808</v>
      </c>
      <c r="M3332" t="e">
        <v>#N/A</v>
      </c>
      <c r="N3332" s="1">
        <v>38443</v>
      </c>
    </row>
    <row r="3333" spans="11:14" x14ac:dyDescent="0.3">
      <c r="K3333" s="1">
        <v>38808</v>
      </c>
      <c r="M3333" t="e">
        <v>#N/A</v>
      </c>
      <c r="N3333" s="1">
        <v>38443</v>
      </c>
    </row>
    <row r="3334" spans="11:14" x14ac:dyDescent="0.3">
      <c r="K3334" s="1">
        <v>38808</v>
      </c>
      <c r="M3334" t="e">
        <v>#N/A</v>
      </c>
      <c r="N3334" s="1">
        <v>38443</v>
      </c>
    </row>
    <row r="3335" spans="11:14" x14ac:dyDescent="0.3">
      <c r="K3335" s="1">
        <v>38808</v>
      </c>
      <c r="M3335" t="e">
        <v>#N/A</v>
      </c>
      <c r="N3335" s="1">
        <v>38443</v>
      </c>
    </row>
    <row r="3336" spans="11:14" x14ac:dyDescent="0.3">
      <c r="K3336" s="1">
        <v>38808</v>
      </c>
      <c r="M3336" t="e">
        <v>#N/A</v>
      </c>
      <c r="N3336" s="1">
        <v>38443</v>
      </c>
    </row>
    <row r="3337" spans="11:14" x14ac:dyDescent="0.3">
      <c r="K3337" s="1">
        <v>38808</v>
      </c>
      <c r="M3337" t="e">
        <v>#N/A</v>
      </c>
      <c r="N3337" s="1">
        <v>38443</v>
      </c>
    </row>
    <row r="3338" spans="11:14" x14ac:dyDescent="0.3">
      <c r="K3338" s="1">
        <v>38808</v>
      </c>
      <c r="M3338" t="e">
        <v>#N/A</v>
      </c>
      <c r="N3338" s="1">
        <v>38443</v>
      </c>
    </row>
    <row r="3339" spans="11:14" x14ac:dyDescent="0.3">
      <c r="K3339" s="1">
        <v>38808</v>
      </c>
      <c r="M3339" t="e">
        <v>#N/A</v>
      </c>
      <c r="N3339" s="1">
        <v>38443</v>
      </c>
    </row>
    <row r="3340" spans="11:14" x14ac:dyDescent="0.3">
      <c r="K3340" s="1">
        <v>38808</v>
      </c>
      <c r="M3340" t="e">
        <v>#N/A</v>
      </c>
      <c r="N3340" s="1">
        <v>38443</v>
      </c>
    </row>
    <row r="3341" spans="11:14" x14ac:dyDescent="0.3">
      <c r="K3341" s="1">
        <v>38808</v>
      </c>
      <c r="M3341" t="e">
        <v>#N/A</v>
      </c>
      <c r="N3341" s="1">
        <v>38443</v>
      </c>
    </row>
    <row r="3342" spans="11:14" x14ac:dyDescent="0.3">
      <c r="K3342" s="1">
        <v>38808</v>
      </c>
      <c r="M3342" t="e">
        <v>#N/A</v>
      </c>
      <c r="N3342" s="1">
        <v>38443</v>
      </c>
    </row>
    <row r="3343" spans="11:14" x14ac:dyDescent="0.3">
      <c r="K3343" s="1">
        <v>38808</v>
      </c>
      <c r="M3343" t="e">
        <v>#N/A</v>
      </c>
      <c r="N3343" s="1">
        <v>38443</v>
      </c>
    </row>
    <row r="3344" spans="11:14" x14ac:dyDescent="0.3">
      <c r="K3344" s="1">
        <v>38808</v>
      </c>
      <c r="M3344" t="e">
        <v>#N/A</v>
      </c>
      <c r="N3344" s="1">
        <v>38443</v>
      </c>
    </row>
    <row r="3345" spans="11:14" x14ac:dyDescent="0.3">
      <c r="K3345" s="1">
        <v>38808</v>
      </c>
      <c r="M3345" t="e">
        <v>#N/A</v>
      </c>
      <c r="N3345" s="1">
        <v>38443</v>
      </c>
    </row>
    <row r="3346" spans="11:14" x14ac:dyDescent="0.3">
      <c r="K3346" s="1">
        <v>38808</v>
      </c>
      <c r="M3346" t="e">
        <v>#N/A</v>
      </c>
      <c r="N3346" s="1">
        <v>38443</v>
      </c>
    </row>
    <row r="3347" spans="11:14" x14ac:dyDescent="0.3">
      <c r="K3347" s="1">
        <v>38808</v>
      </c>
      <c r="M3347" t="e">
        <v>#N/A</v>
      </c>
      <c r="N3347" s="1">
        <v>38443</v>
      </c>
    </row>
    <row r="3348" spans="11:14" x14ac:dyDescent="0.3">
      <c r="K3348" s="1">
        <v>38808</v>
      </c>
      <c r="M3348" t="e">
        <v>#N/A</v>
      </c>
      <c r="N3348" s="1">
        <v>38443</v>
      </c>
    </row>
    <row r="3349" spans="11:14" x14ac:dyDescent="0.3">
      <c r="K3349" s="1">
        <v>38808</v>
      </c>
      <c r="M3349" t="e">
        <v>#N/A</v>
      </c>
      <c r="N3349" s="1">
        <v>38443</v>
      </c>
    </row>
    <row r="3350" spans="11:14" x14ac:dyDescent="0.3">
      <c r="K3350" s="1">
        <v>38808</v>
      </c>
      <c r="M3350" t="e">
        <v>#N/A</v>
      </c>
      <c r="N3350" s="1">
        <v>38443</v>
      </c>
    </row>
    <row r="3351" spans="11:14" x14ac:dyDescent="0.3">
      <c r="K3351" s="1">
        <v>38808</v>
      </c>
      <c r="M3351" t="e">
        <v>#N/A</v>
      </c>
      <c r="N3351" s="1">
        <v>38443</v>
      </c>
    </row>
    <row r="3352" spans="11:14" x14ac:dyDescent="0.3">
      <c r="K3352" s="1">
        <v>38808</v>
      </c>
      <c r="M3352" t="e">
        <v>#N/A</v>
      </c>
      <c r="N3352" s="1">
        <v>38443</v>
      </c>
    </row>
    <row r="3353" spans="11:14" x14ac:dyDescent="0.3">
      <c r="K3353" s="1">
        <v>38808</v>
      </c>
      <c r="M3353" t="e">
        <v>#N/A</v>
      </c>
      <c r="N3353" s="1">
        <v>38443</v>
      </c>
    </row>
    <row r="3354" spans="11:14" x14ac:dyDescent="0.3">
      <c r="K3354" s="1">
        <v>38808</v>
      </c>
      <c r="M3354" t="e">
        <v>#N/A</v>
      </c>
      <c r="N3354" s="1">
        <v>38443</v>
      </c>
    </row>
    <row r="3355" spans="11:14" x14ac:dyDescent="0.3">
      <c r="K3355" s="1">
        <v>38808</v>
      </c>
      <c r="M3355" t="e">
        <v>#N/A</v>
      </c>
      <c r="N3355" s="1">
        <v>38443</v>
      </c>
    </row>
    <row r="3356" spans="11:14" x14ac:dyDescent="0.3">
      <c r="K3356" s="1">
        <v>38808</v>
      </c>
      <c r="M3356" t="e">
        <v>#N/A</v>
      </c>
      <c r="N3356" s="1">
        <v>38443</v>
      </c>
    </row>
    <row r="3357" spans="11:14" x14ac:dyDescent="0.3">
      <c r="K3357" s="1">
        <v>38808</v>
      </c>
      <c r="M3357" t="e">
        <v>#N/A</v>
      </c>
      <c r="N3357" s="1">
        <v>38443</v>
      </c>
    </row>
    <row r="3358" spans="11:14" x14ac:dyDescent="0.3">
      <c r="K3358" s="1">
        <v>38808</v>
      </c>
      <c r="M3358" t="e">
        <v>#N/A</v>
      </c>
      <c r="N3358" s="1">
        <v>38443</v>
      </c>
    </row>
    <row r="3359" spans="11:14" x14ac:dyDescent="0.3">
      <c r="K3359" s="1">
        <v>38808</v>
      </c>
      <c r="M3359" t="e">
        <v>#N/A</v>
      </c>
      <c r="N3359" s="1">
        <v>38443</v>
      </c>
    </row>
    <row r="3360" spans="11:14" x14ac:dyDescent="0.3">
      <c r="K3360" s="1">
        <v>38808</v>
      </c>
      <c r="M3360" t="e">
        <v>#N/A</v>
      </c>
      <c r="N3360" s="1">
        <v>38443</v>
      </c>
    </row>
    <row r="3361" spans="11:14" x14ac:dyDescent="0.3">
      <c r="K3361" s="1">
        <v>38808</v>
      </c>
      <c r="M3361" t="e">
        <v>#N/A</v>
      </c>
      <c r="N3361" s="1">
        <v>38443</v>
      </c>
    </row>
    <row r="3362" spans="11:14" x14ac:dyDescent="0.3">
      <c r="K3362" s="1">
        <v>38808</v>
      </c>
      <c r="M3362" t="e">
        <v>#N/A</v>
      </c>
      <c r="N3362" s="1">
        <v>38443</v>
      </c>
    </row>
    <row r="3363" spans="11:14" x14ac:dyDescent="0.3">
      <c r="K3363" s="1">
        <v>38808</v>
      </c>
      <c r="M3363" t="e">
        <v>#N/A</v>
      </c>
      <c r="N3363" s="1">
        <v>38443</v>
      </c>
    </row>
    <row r="3364" spans="11:14" x14ac:dyDescent="0.3">
      <c r="K3364" s="1">
        <v>38808</v>
      </c>
      <c r="M3364" t="e">
        <v>#N/A</v>
      </c>
      <c r="N3364" s="1">
        <v>38443</v>
      </c>
    </row>
    <row r="3365" spans="11:14" x14ac:dyDescent="0.3">
      <c r="K3365" s="1">
        <v>38808</v>
      </c>
      <c r="M3365" t="e">
        <v>#N/A</v>
      </c>
      <c r="N3365" s="1">
        <v>38443</v>
      </c>
    </row>
    <row r="3366" spans="11:14" x14ac:dyDescent="0.3">
      <c r="K3366" s="1">
        <v>38808</v>
      </c>
      <c r="M3366" t="e">
        <v>#N/A</v>
      </c>
      <c r="N3366" s="1">
        <v>38443</v>
      </c>
    </row>
    <row r="3367" spans="11:14" x14ac:dyDescent="0.3">
      <c r="K3367" s="1">
        <v>38808</v>
      </c>
      <c r="M3367" t="e">
        <v>#N/A</v>
      </c>
      <c r="N3367" s="1">
        <v>38443</v>
      </c>
    </row>
    <row r="3368" spans="11:14" x14ac:dyDescent="0.3">
      <c r="K3368" s="1">
        <v>38808</v>
      </c>
      <c r="M3368" t="e">
        <v>#N/A</v>
      </c>
      <c r="N3368" s="1">
        <v>38443</v>
      </c>
    </row>
    <row r="3369" spans="11:14" x14ac:dyDescent="0.3">
      <c r="K3369" s="1">
        <v>38808</v>
      </c>
      <c r="M3369" t="e">
        <v>#N/A</v>
      </c>
      <c r="N3369" s="1">
        <v>38443</v>
      </c>
    </row>
    <row r="3370" spans="11:14" x14ac:dyDescent="0.3">
      <c r="K3370" s="1">
        <v>38808</v>
      </c>
      <c r="M3370" t="e">
        <v>#N/A</v>
      </c>
      <c r="N3370" s="1">
        <v>38443</v>
      </c>
    </row>
    <row r="3371" spans="11:14" x14ac:dyDescent="0.3">
      <c r="K3371" s="1">
        <v>38808</v>
      </c>
      <c r="M3371" t="e">
        <v>#N/A</v>
      </c>
      <c r="N3371" s="1">
        <v>38443</v>
      </c>
    </row>
    <row r="3372" spans="11:14" x14ac:dyDescent="0.3">
      <c r="K3372" s="1">
        <v>38808</v>
      </c>
      <c r="M3372" t="e">
        <v>#N/A</v>
      </c>
      <c r="N3372" s="1">
        <v>38443</v>
      </c>
    </row>
    <row r="3373" spans="11:14" x14ac:dyDescent="0.3">
      <c r="K3373" s="1">
        <v>38808</v>
      </c>
      <c r="M3373" t="e">
        <v>#N/A</v>
      </c>
      <c r="N3373" s="1">
        <v>38443</v>
      </c>
    </row>
    <row r="3374" spans="11:14" x14ac:dyDescent="0.3">
      <c r="K3374" s="1">
        <v>38808</v>
      </c>
      <c r="M3374" t="e">
        <v>#N/A</v>
      </c>
      <c r="N3374" s="1">
        <v>38443</v>
      </c>
    </row>
    <row r="3375" spans="11:14" x14ac:dyDescent="0.3">
      <c r="K3375" s="1">
        <v>38808</v>
      </c>
      <c r="M3375" t="e">
        <v>#N/A</v>
      </c>
      <c r="N3375" s="1">
        <v>38443</v>
      </c>
    </row>
    <row r="3376" spans="11:14" x14ac:dyDescent="0.3">
      <c r="K3376" s="1">
        <v>38808</v>
      </c>
      <c r="M3376" t="e">
        <v>#N/A</v>
      </c>
      <c r="N3376" s="1">
        <v>38443</v>
      </c>
    </row>
    <row r="3377" spans="11:14" x14ac:dyDescent="0.3">
      <c r="K3377" s="1">
        <v>38808</v>
      </c>
      <c r="M3377" t="e">
        <v>#N/A</v>
      </c>
      <c r="N3377" s="1">
        <v>38443</v>
      </c>
    </row>
    <row r="3378" spans="11:14" x14ac:dyDescent="0.3">
      <c r="K3378" s="1">
        <v>38808</v>
      </c>
      <c r="M3378" t="e">
        <v>#N/A</v>
      </c>
      <c r="N3378" s="1">
        <v>38443</v>
      </c>
    </row>
    <row r="3379" spans="11:14" x14ac:dyDescent="0.3">
      <c r="K3379" s="1">
        <v>38808</v>
      </c>
      <c r="M3379" t="e">
        <v>#N/A</v>
      </c>
      <c r="N3379" s="1">
        <v>38443</v>
      </c>
    </row>
    <row r="3380" spans="11:14" x14ac:dyDescent="0.3">
      <c r="K3380" s="1">
        <v>38808</v>
      </c>
      <c r="M3380" t="e">
        <v>#N/A</v>
      </c>
      <c r="N3380" s="1">
        <v>38443</v>
      </c>
    </row>
    <row r="3381" spans="11:14" x14ac:dyDescent="0.3">
      <c r="K3381" s="1">
        <v>38808</v>
      </c>
      <c r="M3381" t="e">
        <v>#N/A</v>
      </c>
      <c r="N3381" s="1">
        <v>38443</v>
      </c>
    </row>
    <row r="3382" spans="11:14" x14ac:dyDescent="0.3">
      <c r="K3382" s="1">
        <v>38808</v>
      </c>
      <c r="M3382" t="e">
        <v>#N/A</v>
      </c>
      <c r="N3382" s="1">
        <v>38443</v>
      </c>
    </row>
    <row r="3383" spans="11:14" x14ac:dyDescent="0.3">
      <c r="K3383" s="1">
        <v>38808</v>
      </c>
      <c r="M3383" t="e">
        <v>#N/A</v>
      </c>
      <c r="N3383" s="1">
        <v>38443</v>
      </c>
    </row>
    <row r="3384" spans="11:14" x14ac:dyDescent="0.3">
      <c r="K3384" s="1">
        <v>38808</v>
      </c>
      <c r="M3384" t="e">
        <v>#N/A</v>
      </c>
      <c r="N3384" s="1">
        <v>38443</v>
      </c>
    </row>
    <row r="3385" spans="11:14" x14ac:dyDescent="0.3">
      <c r="K3385" s="1">
        <v>38808</v>
      </c>
      <c r="M3385" t="e">
        <v>#N/A</v>
      </c>
      <c r="N3385" s="1">
        <v>38443</v>
      </c>
    </row>
    <row r="3386" spans="11:14" x14ac:dyDescent="0.3">
      <c r="K3386" s="1">
        <v>38808</v>
      </c>
      <c r="M3386" t="e">
        <v>#N/A</v>
      </c>
      <c r="N3386" s="1">
        <v>38443</v>
      </c>
    </row>
    <row r="3387" spans="11:14" x14ac:dyDescent="0.3">
      <c r="K3387" s="1">
        <v>38808</v>
      </c>
      <c r="M3387" t="e">
        <v>#N/A</v>
      </c>
      <c r="N3387" s="1">
        <v>38443</v>
      </c>
    </row>
    <row r="3388" spans="11:14" x14ac:dyDescent="0.3">
      <c r="K3388" s="1">
        <v>38808</v>
      </c>
      <c r="M3388" t="e">
        <v>#N/A</v>
      </c>
      <c r="N3388" s="1">
        <v>38443</v>
      </c>
    </row>
    <row r="3389" spans="11:14" x14ac:dyDescent="0.3">
      <c r="K3389" s="1">
        <v>38808</v>
      </c>
      <c r="M3389" t="e">
        <v>#N/A</v>
      </c>
      <c r="N3389" s="1">
        <v>38443</v>
      </c>
    </row>
    <row r="3390" spans="11:14" x14ac:dyDescent="0.3">
      <c r="K3390" s="1">
        <v>38808</v>
      </c>
      <c r="M3390" t="e">
        <v>#N/A</v>
      </c>
      <c r="N3390" s="1">
        <v>38443</v>
      </c>
    </row>
    <row r="3391" spans="11:14" x14ac:dyDescent="0.3">
      <c r="K3391" s="1">
        <v>38808</v>
      </c>
      <c r="M3391" t="e">
        <v>#N/A</v>
      </c>
      <c r="N3391" s="1">
        <v>38443</v>
      </c>
    </row>
    <row r="3392" spans="11:14" x14ac:dyDescent="0.3">
      <c r="K3392" s="1">
        <v>38808</v>
      </c>
      <c r="M3392" t="e">
        <v>#N/A</v>
      </c>
      <c r="N3392" s="1">
        <v>38443</v>
      </c>
    </row>
    <row r="3393" spans="11:14" x14ac:dyDescent="0.3">
      <c r="K3393" s="1">
        <v>38808</v>
      </c>
      <c r="M3393" t="e">
        <v>#N/A</v>
      </c>
      <c r="N3393" s="1">
        <v>38443</v>
      </c>
    </row>
    <row r="3394" spans="11:14" x14ac:dyDescent="0.3">
      <c r="K3394" s="1">
        <v>38808</v>
      </c>
      <c r="M3394" t="e">
        <v>#N/A</v>
      </c>
      <c r="N3394" s="1">
        <v>38443</v>
      </c>
    </row>
    <row r="3395" spans="11:14" x14ac:dyDescent="0.3">
      <c r="K3395" s="1">
        <v>38808</v>
      </c>
      <c r="M3395" t="e">
        <v>#N/A</v>
      </c>
      <c r="N3395" s="1">
        <v>38443</v>
      </c>
    </row>
    <row r="3396" spans="11:14" x14ac:dyDescent="0.3">
      <c r="K3396" s="1">
        <v>38808</v>
      </c>
      <c r="M3396" t="e">
        <v>#N/A</v>
      </c>
      <c r="N3396" s="1">
        <v>38443</v>
      </c>
    </row>
    <row r="3397" spans="11:14" x14ac:dyDescent="0.3">
      <c r="K3397" s="1">
        <v>38808</v>
      </c>
      <c r="M3397" t="e">
        <v>#N/A</v>
      </c>
      <c r="N3397" s="1">
        <v>38443</v>
      </c>
    </row>
    <row r="3398" spans="11:14" x14ac:dyDescent="0.3">
      <c r="K3398" s="1">
        <v>38808</v>
      </c>
      <c r="M3398" t="e">
        <v>#N/A</v>
      </c>
      <c r="N3398" s="1">
        <v>38443</v>
      </c>
    </row>
    <row r="3399" spans="11:14" x14ac:dyDescent="0.3">
      <c r="K3399" s="1">
        <v>38808</v>
      </c>
      <c r="M3399" t="e">
        <v>#N/A</v>
      </c>
      <c r="N3399" s="1">
        <v>38443</v>
      </c>
    </row>
    <row r="3400" spans="11:14" x14ac:dyDescent="0.3">
      <c r="K3400" s="1">
        <v>38808</v>
      </c>
      <c r="M3400" t="e">
        <v>#N/A</v>
      </c>
      <c r="N3400" s="1">
        <v>38443</v>
      </c>
    </row>
    <row r="3401" spans="11:14" x14ac:dyDescent="0.3">
      <c r="K3401" s="1">
        <v>38808</v>
      </c>
      <c r="M3401" t="e">
        <v>#N/A</v>
      </c>
      <c r="N3401" s="1">
        <v>38443</v>
      </c>
    </row>
    <row r="3402" spans="11:14" x14ac:dyDescent="0.3">
      <c r="K3402" s="1">
        <v>38808</v>
      </c>
      <c r="M3402" t="e">
        <v>#N/A</v>
      </c>
      <c r="N3402" s="1">
        <v>38443</v>
      </c>
    </row>
    <row r="3403" spans="11:14" x14ac:dyDescent="0.3">
      <c r="K3403" s="1">
        <v>38808</v>
      </c>
      <c r="M3403" t="e">
        <v>#N/A</v>
      </c>
      <c r="N3403" s="1">
        <v>38443</v>
      </c>
    </row>
    <row r="3404" spans="11:14" x14ac:dyDescent="0.3">
      <c r="K3404" s="1">
        <v>38808</v>
      </c>
      <c r="M3404" t="e">
        <v>#N/A</v>
      </c>
      <c r="N3404" s="1">
        <v>38443</v>
      </c>
    </row>
    <row r="3405" spans="11:14" x14ac:dyDescent="0.3">
      <c r="K3405" s="1">
        <v>38808</v>
      </c>
      <c r="M3405" t="e">
        <v>#N/A</v>
      </c>
      <c r="N3405" s="1">
        <v>38443</v>
      </c>
    </row>
    <row r="3406" spans="11:14" x14ac:dyDescent="0.3">
      <c r="K3406" s="1">
        <v>38808</v>
      </c>
      <c r="M3406" t="e">
        <v>#N/A</v>
      </c>
      <c r="N3406" s="1">
        <v>38443</v>
      </c>
    </row>
    <row r="3407" spans="11:14" x14ac:dyDescent="0.3">
      <c r="K3407" s="1">
        <v>38808</v>
      </c>
      <c r="M3407" t="e">
        <v>#N/A</v>
      </c>
      <c r="N3407" s="1">
        <v>38443</v>
      </c>
    </row>
    <row r="3408" spans="11:14" x14ac:dyDescent="0.3">
      <c r="K3408" s="1">
        <v>38808</v>
      </c>
      <c r="M3408" t="e">
        <v>#N/A</v>
      </c>
      <c r="N3408" s="1">
        <v>38443</v>
      </c>
    </row>
    <row r="3409" spans="11:14" x14ac:dyDescent="0.3">
      <c r="K3409" s="1">
        <v>38808</v>
      </c>
      <c r="M3409" t="e">
        <v>#N/A</v>
      </c>
      <c r="N3409" s="1">
        <v>38443</v>
      </c>
    </row>
    <row r="3410" spans="11:14" x14ac:dyDescent="0.3">
      <c r="K3410" s="1">
        <v>38808</v>
      </c>
      <c r="M3410" t="e">
        <v>#N/A</v>
      </c>
      <c r="N3410" s="1">
        <v>38443</v>
      </c>
    </row>
    <row r="3411" spans="11:14" x14ac:dyDescent="0.3">
      <c r="K3411" s="1">
        <v>38808</v>
      </c>
      <c r="M3411" t="e">
        <v>#N/A</v>
      </c>
      <c r="N3411" s="1">
        <v>38443</v>
      </c>
    </row>
    <row r="3412" spans="11:14" x14ac:dyDescent="0.3">
      <c r="K3412" s="1">
        <v>38808</v>
      </c>
      <c r="M3412" t="e">
        <v>#N/A</v>
      </c>
      <c r="N3412" s="1">
        <v>38443</v>
      </c>
    </row>
    <row r="3413" spans="11:14" x14ac:dyDescent="0.3">
      <c r="K3413" s="1">
        <v>38808</v>
      </c>
      <c r="M3413" t="e">
        <v>#N/A</v>
      </c>
      <c r="N3413" s="1">
        <v>38443</v>
      </c>
    </row>
    <row r="3414" spans="11:14" x14ac:dyDescent="0.3">
      <c r="K3414" s="1">
        <v>38808</v>
      </c>
      <c r="M3414" t="e">
        <v>#N/A</v>
      </c>
      <c r="N3414" s="1">
        <v>38443</v>
      </c>
    </row>
    <row r="3415" spans="11:14" x14ac:dyDescent="0.3">
      <c r="K3415" s="1">
        <v>38808</v>
      </c>
      <c r="M3415" t="e">
        <v>#N/A</v>
      </c>
      <c r="N3415" s="1">
        <v>38443</v>
      </c>
    </row>
    <row r="3416" spans="11:14" x14ac:dyDescent="0.3">
      <c r="K3416" s="1">
        <v>38808</v>
      </c>
      <c r="M3416" t="e">
        <v>#N/A</v>
      </c>
      <c r="N3416" s="1">
        <v>38443</v>
      </c>
    </row>
    <row r="3417" spans="11:14" x14ac:dyDescent="0.3">
      <c r="K3417" s="1">
        <v>38808</v>
      </c>
      <c r="M3417" t="e">
        <v>#N/A</v>
      </c>
      <c r="N3417" s="1">
        <v>38443</v>
      </c>
    </row>
    <row r="3418" spans="11:14" x14ac:dyDescent="0.3">
      <c r="K3418" s="1">
        <v>38808</v>
      </c>
      <c r="M3418" t="e">
        <v>#N/A</v>
      </c>
      <c r="N3418" s="1">
        <v>38443</v>
      </c>
    </row>
    <row r="3419" spans="11:14" x14ac:dyDescent="0.3">
      <c r="K3419" s="1">
        <v>38808</v>
      </c>
      <c r="M3419" t="e">
        <v>#N/A</v>
      </c>
      <c r="N3419" s="1">
        <v>38443</v>
      </c>
    </row>
    <row r="3420" spans="11:14" x14ac:dyDescent="0.3">
      <c r="K3420" s="1">
        <v>38808</v>
      </c>
      <c r="M3420" t="e">
        <v>#N/A</v>
      </c>
      <c r="N3420" s="1">
        <v>38443</v>
      </c>
    </row>
    <row r="3421" spans="11:14" x14ac:dyDescent="0.3">
      <c r="K3421" s="1">
        <v>38808</v>
      </c>
      <c r="M3421" t="e">
        <v>#N/A</v>
      </c>
      <c r="N3421" s="1">
        <v>38443</v>
      </c>
    </row>
    <row r="3422" spans="11:14" x14ac:dyDescent="0.3">
      <c r="K3422" s="1">
        <v>38808</v>
      </c>
      <c r="M3422" t="e">
        <v>#N/A</v>
      </c>
      <c r="N3422" s="1">
        <v>38443</v>
      </c>
    </row>
    <row r="3423" spans="11:14" x14ac:dyDescent="0.3">
      <c r="K3423" s="1">
        <v>38808</v>
      </c>
      <c r="M3423" t="e">
        <v>#N/A</v>
      </c>
      <c r="N3423" s="1">
        <v>38443</v>
      </c>
    </row>
    <row r="3424" spans="11:14" x14ac:dyDescent="0.3">
      <c r="K3424" s="1">
        <v>38808</v>
      </c>
      <c r="M3424" t="e">
        <v>#N/A</v>
      </c>
      <c r="N3424" s="1">
        <v>38443</v>
      </c>
    </row>
    <row r="3425" spans="11:14" x14ac:dyDescent="0.3">
      <c r="K3425" s="1">
        <v>38808</v>
      </c>
      <c r="M3425" t="e">
        <v>#N/A</v>
      </c>
      <c r="N3425" s="1">
        <v>38443</v>
      </c>
    </row>
    <row r="3426" spans="11:14" x14ac:dyDescent="0.3">
      <c r="K3426" s="1">
        <v>38808</v>
      </c>
      <c r="M3426" t="e">
        <v>#N/A</v>
      </c>
      <c r="N3426" s="1">
        <v>38443</v>
      </c>
    </row>
    <row r="3427" spans="11:14" x14ac:dyDescent="0.3">
      <c r="K3427" s="1">
        <v>38808</v>
      </c>
      <c r="M3427" t="e">
        <v>#N/A</v>
      </c>
      <c r="N3427" s="1">
        <v>38443</v>
      </c>
    </row>
    <row r="3428" spans="11:14" x14ac:dyDescent="0.3">
      <c r="K3428" s="1">
        <v>38808</v>
      </c>
      <c r="M3428" t="e">
        <v>#N/A</v>
      </c>
      <c r="N3428" s="1">
        <v>38443</v>
      </c>
    </row>
    <row r="3429" spans="11:14" x14ac:dyDescent="0.3">
      <c r="K3429" s="1">
        <v>38808</v>
      </c>
      <c r="M3429" t="e">
        <v>#N/A</v>
      </c>
      <c r="N3429" s="1">
        <v>38443</v>
      </c>
    </row>
    <row r="3430" spans="11:14" x14ac:dyDescent="0.3">
      <c r="K3430" s="1">
        <v>38808</v>
      </c>
      <c r="M3430" t="e">
        <v>#N/A</v>
      </c>
      <c r="N3430" s="1">
        <v>38443</v>
      </c>
    </row>
    <row r="3431" spans="11:14" x14ac:dyDescent="0.3">
      <c r="K3431" s="1">
        <v>38808</v>
      </c>
      <c r="M3431" t="e">
        <v>#N/A</v>
      </c>
      <c r="N3431" s="1">
        <v>38443</v>
      </c>
    </row>
    <row r="3432" spans="11:14" x14ac:dyDescent="0.3">
      <c r="K3432" s="1">
        <v>38808</v>
      </c>
      <c r="M3432" t="e">
        <v>#N/A</v>
      </c>
      <c r="N3432" s="1">
        <v>38443</v>
      </c>
    </row>
    <row r="3433" spans="11:14" x14ac:dyDescent="0.3">
      <c r="K3433" s="1">
        <v>38808</v>
      </c>
      <c r="M3433" t="e">
        <v>#N/A</v>
      </c>
      <c r="N3433" s="1">
        <v>38443</v>
      </c>
    </row>
    <row r="3434" spans="11:14" x14ac:dyDescent="0.3">
      <c r="K3434" s="1">
        <v>38808</v>
      </c>
      <c r="M3434" t="e">
        <v>#N/A</v>
      </c>
      <c r="N3434" s="1">
        <v>38443</v>
      </c>
    </row>
    <row r="3435" spans="11:14" x14ac:dyDescent="0.3">
      <c r="K3435" s="1">
        <v>38808</v>
      </c>
      <c r="M3435" t="e">
        <v>#N/A</v>
      </c>
      <c r="N3435" s="1">
        <v>38443</v>
      </c>
    </row>
    <row r="3436" spans="11:14" x14ac:dyDescent="0.3">
      <c r="K3436" s="1">
        <v>38808</v>
      </c>
      <c r="M3436" t="e">
        <v>#N/A</v>
      </c>
      <c r="N3436" s="1">
        <v>38443</v>
      </c>
    </row>
    <row r="3437" spans="11:14" x14ac:dyDescent="0.3">
      <c r="K3437" s="1">
        <v>38808</v>
      </c>
      <c r="M3437" t="e">
        <v>#N/A</v>
      </c>
      <c r="N3437" s="1">
        <v>38443</v>
      </c>
    </row>
    <row r="3438" spans="11:14" x14ac:dyDescent="0.3">
      <c r="K3438" s="1">
        <v>38808</v>
      </c>
      <c r="M3438" t="e">
        <v>#N/A</v>
      </c>
      <c r="N3438" s="1">
        <v>38443</v>
      </c>
    </row>
    <row r="3439" spans="11:14" x14ac:dyDescent="0.3">
      <c r="K3439" s="1">
        <v>38808</v>
      </c>
      <c r="M3439" t="e">
        <v>#N/A</v>
      </c>
      <c r="N3439" s="1">
        <v>38443</v>
      </c>
    </row>
    <row r="3440" spans="11:14" x14ac:dyDescent="0.3">
      <c r="K3440" s="1">
        <v>38808</v>
      </c>
      <c r="M3440" t="e">
        <v>#N/A</v>
      </c>
      <c r="N3440" s="1">
        <v>38443</v>
      </c>
    </row>
    <row r="3441" spans="11:14" x14ac:dyDescent="0.3">
      <c r="K3441" s="1">
        <v>38808</v>
      </c>
      <c r="M3441" t="e">
        <v>#N/A</v>
      </c>
      <c r="N3441" s="1">
        <v>38443</v>
      </c>
    </row>
    <row r="3442" spans="11:14" x14ac:dyDescent="0.3">
      <c r="K3442" s="1">
        <v>38808</v>
      </c>
      <c r="M3442" t="e">
        <v>#N/A</v>
      </c>
      <c r="N3442" s="1">
        <v>38443</v>
      </c>
    </row>
    <row r="3443" spans="11:14" x14ac:dyDescent="0.3">
      <c r="K3443" s="1">
        <v>38808</v>
      </c>
      <c r="M3443" t="e">
        <v>#N/A</v>
      </c>
      <c r="N3443" s="1">
        <v>38443</v>
      </c>
    </row>
    <row r="3444" spans="11:14" x14ac:dyDescent="0.3">
      <c r="K3444" s="1">
        <v>38808</v>
      </c>
      <c r="M3444" t="e">
        <v>#N/A</v>
      </c>
      <c r="N3444" s="1">
        <v>38443</v>
      </c>
    </row>
    <row r="3445" spans="11:14" x14ac:dyDescent="0.3">
      <c r="K3445" s="1">
        <v>38808</v>
      </c>
      <c r="M3445" t="e">
        <v>#N/A</v>
      </c>
      <c r="N3445" s="1">
        <v>38443</v>
      </c>
    </row>
    <row r="3446" spans="11:14" x14ac:dyDescent="0.3">
      <c r="K3446" s="1">
        <v>38808</v>
      </c>
      <c r="M3446" t="e">
        <v>#N/A</v>
      </c>
      <c r="N3446" s="1">
        <v>38443</v>
      </c>
    </row>
    <row r="3447" spans="11:14" x14ac:dyDescent="0.3">
      <c r="K3447" s="1">
        <v>38808</v>
      </c>
      <c r="M3447" t="e">
        <v>#N/A</v>
      </c>
      <c r="N3447" s="1">
        <v>38443</v>
      </c>
    </row>
    <row r="3448" spans="11:14" x14ac:dyDescent="0.3">
      <c r="K3448" s="1">
        <v>38808</v>
      </c>
      <c r="M3448" t="e">
        <v>#N/A</v>
      </c>
      <c r="N3448" s="1">
        <v>38443</v>
      </c>
    </row>
    <row r="3449" spans="11:14" x14ac:dyDescent="0.3">
      <c r="K3449" s="1">
        <v>38808</v>
      </c>
      <c r="M3449" t="e">
        <v>#N/A</v>
      </c>
      <c r="N3449" s="1">
        <v>38443</v>
      </c>
    </row>
    <row r="3450" spans="11:14" x14ac:dyDescent="0.3">
      <c r="K3450" s="1">
        <v>38808</v>
      </c>
      <c r="M3450" t="e">
        <v>#N/A</v>
      </c>
      <c r="N3450" s="1">
        <v>38443</v>
      </c>
    </row>
    <row r="3451" spans="11:14" x14ac:dyDescent="0.3">
      <c r="K3451" s="1">
        <v>38808</v>
      </c>
      <c r="M3451" t="e">
        <v>#N/A</v>
      </c>
      <c r="N3451" s="1">
        <v>38443</v>
      </c>
    </row>
    <row r="3452" spans="11:14" x14ac:dyDescent="0.3">
      <c r="K3452" s="1">
        <v>38808</v>
      </c>
      <c r="M3452" t="e">
        <v>#N/A</v>
      </c>
      <c r="N3452" s="1">
        <v>38443</v>
      </c>
    </row>
    <row r="3453" spans="11:14" x14ac:dyDescent="0.3">
      <c r="K3453" s="1">
        <v>38808</v>
      </c>
      <c r="M3453" t="e">
        <v>#N/A</v>
      </c>
      <c r="N3453" s="1">
        <v>38443</v>
      </c>
    </row>
    <row r="3454" spans="11:14" x14ac:dyDescent="0.3">
      <c r="K3454" s="1">
        <v>38808</v>
      </c>
      <c r="M3454" t="e">
        <v>#N/A</v>
      </c>
      <c r="N3454" s="1">
        <v>38443</v>
      </c>
    </row>
    <row r="3455" spans="11:14" x14ac:dyDescent="0.3">
      <c r="K3455" s="1">
        <v>38899</v>
      </c>
      <c r="M3455" t="e">
        <v>#N/A</v>
      </c>
      <c r="N3455" s="1">
        <v>38443</v>
      </c>
    </row>
    <row r="3456" spans="11:14" x14ac:dyDescent="0.3">
      <c r="K3456" s="1">
        <v>38899</v>
      </c>
      <c r="M3456" t="e">
        <v>#N/A</v>
      </c>
      <c r="N3456" s="1">
        <v>38443</v>
      </c>
    </row>
    <row r="3457" spans="11:14" x14ac:dyDescent="0.3">
      <c r="K3457" s="1">
        <v>38899</v>
      </c>
      <c r="M3457" t="e">
        <v>#N/A</v>
      </c>
      <c r="N3457" s="1">
        <v>38443</v>
      </c>
    </row>
    <row r="3458" spans="11:14" x14ac:dyDescent="0.3">
      <c r="K3458" s="1">
        <v>38899</v>
      </c>
      <c r="M3458" t="e">
        <v>#N/A</v>
      </c>
      <c r="N3458" s="1">
        <v>38443</v>
      </c>
    </row>
    <row r="3459" spans="11:14" x14ac:dyDescent="0.3">
      <c r="K3459" s="1">
        <v>38899</v>
      </c>
      <c r="M3459" t="e">
        <v>#N/A</v>
      </c>
      <c r="N3459" s="1">
        <v>38443</v>
      </c>
    </row>
    <row r="3460" spans="11:14" x14ac:dyDescent="0.3">
      <c r="K3460" s="1">
        <v>38899</v>
      </c>
      <c r="M3460" t="e">
        <v>#N/A</v>
      </c>
      <c r="N3460" s="1">
        <v>38443</v>
      </c>
    </row>
    <row r="3461" spans="11:14" x14ac:dyDescent="0.3">
      <c r="K3461" s="1">
        <v>38899</v>
      </c>
      <c r="M3461" t="e">
        <v>#N/A</v>
      </c>
      <c r="N3461" s="1">
        <v>38443</v>
      </c>
    </row>
    <row r="3462" spans="11:14" x14ac:dyDescent="0.3">
      <c r="K3462" s="1">
        <v>38899</v>
      </c>
      <c r="M3462" t="e">
        <v>#N/A</v>
      </c>
      <c r="N3462" s="1">
        <v>38443</v>
      </c>
    </row>
    <row r="3463" spans="11:14" x14ac:dyDescent="0.3">
      <c r="K3463" s="1">
        <v>38899</v>
      </c>
      <c r="M3463" t="e">
        <v>#N/A</v>
      </c>
      <c r="N3463" s="1">
        <v>38443</v>
      </c>
    </row>
    <row r="3464" spans="11:14" x14ac:dyDescent="0.3">
      <c r="K3464" s="1">
        <v>38899</v>
      </c>
      <c r="M3464" t="e">
        <v>#N/A</v>
      </c>
      <c r="N3464" s="1">
        <v>38443</v>
      </c>
    </row>
    <row r="3465" spans="11:14" x14ac:dyDescent="0.3">
      <c r="K3465" s="1">
        <v>38899</v>
      </c>
      <c r="M3465" t="e">
        <v>#N/A</v>
      </c>
      <c r="N3465" s="1">
        <v>38443</v>
      </c>
    </row>
    <row r="3466" spans="11:14" x14ac:dyDescent="0.3">
      <c r="K3466" s="1">
        <v>38899</v>
      </c>
      <c r="M3466" t="e">
        <v>#N/A</v>
      </c>
      <c r="N3466" s="1">
        <v>38443</v>
      </c>
    </row>
    <row r="3467" spans="11:14" x14ac:dyDescent="0.3">
      <c r="K3467" s="1">
        <v>38899</v>
      </c>
      <c r="M3467" t="e">
        <v>#N/A</v>
      </c>
      <c r="N3467" s="1">
        <v>38443</v>
      </c>
    </row>
    <row r="3468" spans="11:14" x14ac:dyDescent="0.3">
      <c r="K3468" s="1">
        <v>38899</v>
      </c>
      <c r="M3468" t="e">
        <v>#N/A</v>
      </c>
      <c r="N3468" s="1">
        <v>38443</v>
      </c>
    </row>
    <row r="3469" spans="11:14" x14ac:dyDescent="0.3">
      <c r="K3469" s="1">
        <v>38899</v>
      </c>
      <c r="M3469" t="e">
        <v>#N/A</v>
      </c>
      <c r="N3469" s="1">
        <v>38443</v>
      </c>
    </row>
    <row r="3470" spans="11:14" x14ac:dyDescent="0.3">
      <c r="K3470" s="1">
        <v>38899</v>
      </c>
      <c r="M3470" t="e">
        <v>#N/A</v>
      </c>
      <c r="N3470" s="1">
        <v>38443</v>
      </c>
    </row>
    <row r="3471" spans="11:14" x14ac:dyDescent="0.3">
      <c r="K3471" s="1">
        <v>38899</v>
      </c>
      <c r="M3471" t="e">
        <v>#N/A</v>
      </c>
      <c r="N3471" s="1">
        <v>38443</v>
      </c>
    </row>
    <row r="3472" spans="11:14" x14ac:dyDescent="0.3">
      <c r="K3472" s="1">
        <v>38899</v>
      </c>
      <c r="M3472" t="e">
        <v>#N/A</v>
      </c>
      <c r="N3472" s="1">
        <v>38443</v>
      </c>
    </row>
    <row r="3473" spans="11:14" x14ac:dyDescent="0.3">
      <c r="K3473" s="1">
        <v>38899</v>
      </c>
      <c r="M3473" t="e">
        <v>#N/A</v>
      </c>
      <c r="N3473" s="1">
        <v>38443</v>
      </c>
    </row>
    <row r="3474" spans="11:14" x14ac:dyDescent="0.3">
      <c r="K3474" s="1">
        <v>38899</v>
      </c>
      <c r="M3474" t="e">
        <v>#N/A</v>
      </c>
      <c r="N3474" s="1">
        <v>38443</v>
      </c>
    </row>
    <row r="3475" spans="11:14" x14ac:dyDescent="0.3">
      <c r="K3475" s="1">
        <v>38899</v>
      </c>
      <c r="M3475" t="e">
        <v>#N/A</v>
      </c>
      <c r="N3475" s="1">
        <v>38443</v>
      </c>
    </row>
    <row r="3476" spans="11:14" x14ac:dyDescent="0.3">
      <c r="K3476" s="1">
        <v>38899</v>
      </c>
      <c r="M3476" t="e">
        <v>#N/A</v>
      </c>
      <c r="N3476" s="1">
        <v>38443</v>
      </c>
    </row>
    <row r="3477" spans="11:14" x14ac:dyDescent="0.3">
      <c r="K3477" s="1">
        <v>38899</v>
      </c>
      <c r="M3477" t="e">
        <v>#N/A</v>
      </c>
      <c r="N3477" s="1">
        <v>38443</v>
      </c>
    </row>
    <row r="3478" spans="11:14" x14ac:dyDescent="0.3">
      <c r="K3478" s="1">
        <v>38899</v>
      </c>
      <c r="M3478" t="e">
        <v>#N/A</v>
      </c>
      <c r="N3478" s="1">
        <v>38443</v>
      </c>
    </row>
    <row r="3479" spans="11:14" x14ac:dyDescent="0.3">
      <c r="K3479" s="1">
        <v>38899</v>
      </c>
      <c r="M3479" t="e">
        <v>#N/A</v>
      </c>
      <c r="N3479" s="1">
        <v>38443</v>
      </c>
    </row>
    <row r="3480" spans="11:14" x14ac:dyDescent="0.3">
      <c r="K3480" s="1">
        <v>38899</v>
      </c>
      <c r="M3480" t="e">
        <v>#N/A</v>
      </c>
      <c r="N3480" s="1">
        <v>38443</v>
      </c>
    </row>
    <row r="3481" spans="11:14" x14ac:dyDescent="0.3">
      <c r="K3481" s="1">
        <v>38899</v>
      </c>
      <c r="M3481" t="e">
        <v>#N/A</v>
      </c>
      <c r="N3481" s="1">
        <v>38443</v>
      </c>
    </row>
    <row r="3482" spans="11:14" x14ac:dyDescent="0.3">
      <c r="K3482" s="1">
        <v>38899</v>
      </c>
      <c r="M3482" t="e">
        <v>#N/A</v>
      </c>
      <c r="N3482" s="1">
        <v>38443</v>
      </c>
    </row>
    <row r="3483" spans="11:14" x14ac:dyDescent="0.3">
      <c r="K3483" s="1">
        <v>38899</v>
      </c>
      <c r="M3483" t="e">
        <v>#N/A</v>
      </c>
      <c r="N3483" s="1">
        <v>38443</v>
      </c>
    </row>
    <row r="3484" spans="11:14" x14ac:dyDescent="0.3">
      <c r="K3484" s="1">
        <v>38899</v>
      </c>
      <c r="M3484" t="e">
        <v>#N/A</v>
      </c>
      <c r="N3484" s="1">
        <v>38443</v>
      </c>
    </row>
    <row r="3485" spans="11:14" x14ac:dyDescent="0.3">
      <c r="K3485" s="1">
        <v>38899</v>
      </c>
      <c r="M3485" t="e">
        <v>#N/A</v>
      </c>
      <c r="N3485" s="1">
        <v>38443</v>
      </c>
    </row>
    <row r="3486" spans="11:14" x14ac:dyDescent="0.3">
      <c r="K3486" s="1">
        <v>38899</v>
      </c>
      <c r="M3486" t="e">
        <v>#N/A</v>
      </c>
      <c r="N3486" s="1">
        <v>38443</v>
      </c>
    </row>
    <row r="3487" spans="11:14" x14ac:dyDescent="0.3">
      <c r="K3487" s="1">
        <v>38899</v>
      </c>
      <c r="M3487" t="e">
        <v>#N/A</v>
      </c>
      <c r="N3487" s="1">
        <v>38443</v>
      </c>
    </row>
    <row r="3488" spans="11:14" x14ac:dyDescent="0.3">
      <c r="K3488" s="1">
        <v>38899</v>
      </c>
      <c r="M3488" t="e">
        <v>#N/A</v>
      </c>
      <c r="N3488" s="1">
        <v>38443</v>
      </c>
    </row>
    <row r="3489" spans="11:14" x14ac:dyDescent="0.3">
      <c r="K3489" s="1">
        <v>38899</v>
      </c>
      <c r="M3489" t="e">
        <v>#N/A</v>
      </c>
      <c r="N3489" s="1">
        <v>38443</v>
      </c>
    </row>
    <row r="3490" spans="11:14" x14ac:dyDescent="0.3">
      <c r="K3490" s="1">
        <v>38899</v>
      </c>
      <c r="M3490" t="e">
        <v>#N/A</v>
      </c>
      <c r="N3490" s="1">
        <v>38443</v>
      </c>
    </row>
    <row r="3491" spans="11:14" x14ac:dyDescent="0.3">
      <c r="K3491" s="1">
        <v>38899</v>
      </c>
      <c r="M3491" t="e">
        <v>#N/A</v>
      </c>
      <c r="N3491" s="1">
        <v>38443</v>
      </c>
    </row>
    <row r="3492" spans="11:14" x14ac:dyDescent="0.3">
      <c r="K3492" s="1">
        <v>38899</v>
      </c>
      <c r="M3492" t="e">
        <v>#N/A</v>
      </c>
      <c r="N3492" s="1">
        <v>38443</v>
      </c>
    </row>
    <row r="3493" spans="11:14" x14ac:dyDescent="0.3">
      <c r="K3493" s="1">
        <v>38899</v>
      </c>
      <c r="M3493" t="e">
        <v>#N/A</v>
      </c>
      <c r="N3493" s="1">
        <v>38443</v>
      </c>
    </row>
    <row r="3494" spans="11:14" x14ac:dyDescent="0.3">
      <c r="K3494" s="1">
        <v>38899</v>
      </c>
      <c r="M3494" t="e">
        <v>#N/A</v>
      </c>
      <c r="N3494" s="1">
        <v>38443</v>
      </c>
    </row>
    <row r="3495" spans="11:14" x14ac:dyDescent="0.3">
      <c r="K3495" s="1">
        <v>38899</v>
      </c>
      <c r="M3495" t="e">
        <v>#N/A</v>
      </c>
      <c r="N3495" s="1">
        <v>38443</v>
      </c>
    </row>
    <row r="3496" spans="11:14" x14ac:dyDescent="0.3">
      <c r="K3496" s="1">
        <v>38899</v>
      </c>
      <c r="M3496" t="e">
        <v>#N/A</v>
      </c>
      <c r="N3496" s="1">
        <v>38443</v>
      </c>
    </row>
    <row r="3497" spans="11:14" x14ac:dyDescent="0.3">
      <c r="K3497" s="1">
        <v>38899</v>
      </c>
      <c r="M3497" t="e">
        <v>#N/A</v>
      </c>
      <c r="N3497" s="1">
        <v>38534</v>
      </c>
    </row>
    <row r="3498" spans="11:14" x14ac:dyDescent="0.3">
      <c r="K3498" s="1">
        <v>38899</v>
      </c>
      <c r="M3498" t="e">
        <v>#N/A</v>
      </c>
      <c r="N3498" s="1">
        <v>38534</v>
      </c>
    </row>
    <row r="3499" spans="11:14" x14ac:dyDescent="0.3">
      <c r="K3499" s="1">
        <v>38899</v>
      </c>
      <c r="M3499" t="e">
        <v>#N/A</v>
      </c>
      <c r="N3499" s="1">
        <v>38534</v>
      </c>
    </row>
    <row r="3500" spans="11:14" x14ac:dyDescent="0.3">
      <c r="K3500" s="1">
        <v>38899</v>
      </c>
      <c r="M3500" t="e">
        <v>#N/A</v>
      </c>
      <c r="N3500" s="1">
        <v>38534</v>
      </c>
    </row>
    <row r="3501" spans="11:14" x14ac:dyDescent="0.3">
      <c r="K3501" s="1">
        <v>38899</v>
      </c>
      <c r="M3501" t="e">
        <v>#N/A</v>
      </c>
      <c r="N3501" s="1">
        <v>38534</v>
      </c>
    </row>
    <row r="3502" spans="11:14" x14ac:dyDescent="0.3">
      <c r="K3502" s="1">
        <v>38899</v>
      </c>
      <c r="M3502" t="e">
        <v>#N/A</v>
      </c>
      <c r="N3502" s="1">
        <v>38534</v>
      </c>
    </row>
    <row r="3503" spans="11:14" x14ac:dyDescent="0.3">
      <c r="K3503" s="1">
        <v>38899</v>
      </c>
      <c r="M3503" t="e">
        <v>#N/A</v>
      </c>
      <c r="N3503" s="1">
        <v>38534</v>
      </c>
    </row>
    <row r="3504" spans="11:14" x14ac:dyDescent="0.3">
      <c r="K3504" s="1">
        <v>38899</v>
      </c>
      <c r="M3504" t="e">
        <v>#N/A</v>
      </c>
      <c r="N3504" s="1">
        <v>38534</v>
      </c>
    </row>
    <row r="3505" spans="11:14" x14ac:dyDescent="0.3">
      <c r="K3505" s="1">
        <v>38899</v>
      </c>
      <c r="M3505" t="e">
        <v>#N/A</v>
      </c>
      <c r="N3505" s="1">
        <v>38534</v>
      </c>
    </row>
    <row r="3506" spans="11:14" x14ac:dyDescent="0.3">
      <c r="K3506" s="1">
        <v>38899</v>
      </c>
      <c r="M3506" t="e">
        <v>#N/A</v>
      </c>
      <c r="N3506" s="1">
        <v>38534</v>
      </c>
    </row>
    <row r="3507" spans="11:14" x14ac:dyDescent="0.3">
      <c r="K3507" s="1">
        <v>38899</v>
      </c>
      <c r="M3507" t="e">
        <v>#N/A</v>
      </c>
      <c r="N3507" s="1">
        <v>38534</v>
      </c>
    </row>
    <row r="3508" spans="11:14" x14ac:dyDescent="0.3">
      <c r="K3508" s="1">
        <v>38899</v>
      </c>
      <c r="M3508" t="e">
        <v>#N/A</v>
      </c>
      <c r="N3508" s="1">
        <v>38534</v>
      </c>
    </row>
    <row r="3509" spans="11:14" x14ac:dyDescent="0.3">
      <c r="K3509" s="1">
        <v>38899</v>
      </c>
      <c r="M3509" t="e">
        <v>#N/A</v>
      </c>
      <c r="N3509" s="1">
        <v>38534</v>
      </c>
    </row>
    <row r="3510" spans="11:14" x14ac:dyDescent="0.3">
      <c r="K3510" s="1">
        <v>38899</v>
      </c>
      <c r="M3510" t="e">
        <v>#N/A</v>
      </c>
      <c r="N3510" s="1">
        <v>38534</v>
      </c>
    </row>
    <row r="3511" spans="11:14" x14ac:dyDescent="0.3">
      <c r="K3511" s="1">
        <v>38899</v>
      </c>
      <c r="M3511" t="e">
        <v>#N/A</v>
      </c>
      <c r="N3511" s="1">
        <v>38534</v>
      </c>
    </row>
    <row r="3512" spans="11:14" x14ac:dyDescent="0.3">
      <c r="K3512" s="1">
        <v>38899</v>
      </c>
      <c r="M3512" t="e">
        <v>#N/A</v>
      </c>
      <c r="N3512" s="1">
        <v>38534</v>
      </c>
    </row>
    <row r="3513" spans="11:14" x14ac:dyDescent="0.3">
      <c r="K3513" s="1">
        <v>38899</v>
      </c>
      <c r="M3513" t="e">
        <v>#N/A</v>
      </c>
      <c r="N3513" s="1">
        <v>38534</v>
      </c>
    </row>
    <row r="3514" spans="11:14" x14ac:dyDescent="0.3">
      <c r="K3514" s="1">
        <v>38899</v>
      </c>
      <c r="M3514" t="e">
        <v>#N/A</v>
      </c>
      <c r="N3514" s="1">
        <v>38534</v>
      </c>
    </row>
    <row r="3515" spans="11:14" x14ac:dyDescent="0.3">
      <c r="K3515" s="1">
        <v>38899</v>
      </c>
      <c r="M3515" t="e">
        <v>#N/A</v>
      </c>
      <c r="N3515" s="1">
        <v>38534</v>
      </c>
    </row>
    <row r="3516" spans="11:14" x14ac:dyDescent="0.3">
      <c r="K3516" s="1">
        <v>38899</v>
      </c>
      <c r="M3516" t="e">
        <v>#N/A</v>
      </c>
      <c r="N3516" s="1">
        <v>38534</v>
      </c>
    </row>
    <row r="3517" spans="11:14" x14ac:dyDescent="0.3">
      <c r="K3517" s="1">
        <v>38899</v>
      </c>
      <c r="M3517" t="e">
        <v>#N/A</v>
      </c>
      <c r="N3517" s="1">
        <v>38534</v>
      </c>
    </row>
    <row r="3518" spans="11:14" x14ac:dyDescent="0.3">
      <c r="K3518" s="1">
        <v>38899</v>
      </c>
      <c r="M3518" t="e">
        <v>#N/A</v>
      </c>
      <c r="N3518" s="1">
        <v>38534</v>
      </c>
    </row>
    <row r="3519" spans="11:14" x14ac:dyDescent="0.3">
      <c r="K3519" s="1">
        <v>38899</v>
      </c>
      <c r="M3519" t="e">
        <v>#N/A</v>
      </c>
      <c r="N3519" s="1">
        <v>38534</v>
      </c>
    </row>
    <row r="3520" spans="11:14" x14ac:dyDescent="0.3">
      <c r="K3520" s="1">
        <v>38899</v>
      </c>
      <c r="M3520" t="e">
        <v>#N/A</v>
      </c>
      <c r="N3520" s="1">
        <v>38534</v>
      </c>
    </row>
    <row r="3521" spans="11:14" x14ac:dyDescent="0.3">
      <c r="K3521" s="1">
        <v>38899</v>
      </c>
      <c r="M3521" t="e">
        <v>#N/A</v>
      </c>
      <c r="N3521" s="1">
        <v>38534</v>
      </c>
    </row>
    <row r="3522" spans="11:14" x14ac:dyDescent="0.3">
      <c r="K3522" s="1">
        <v>38899</v>
      </c>
      <c r="M3522" t="e">
        <v>#N/A</v>
      </c>
      <c r="N3522" s="1">
        <v>38534</v>
      </c>
    </row>
    <row r="3523" spans="11:14" x14ac:dyDescent="0.3">
      <c r="K3523" s="1">
        <v>38899</v>
      </c>
      <c r="M3523" t="e">
        <v>#N/A</v>
      </c>
      <c r="N3523" s="1">
        <v>38534</v>
      </c>
    </row>
    <row r="3524" spans="11:14" x14ac:dyDescent="0.3">
      <c r="K3524" s="1">
        <v>38899</v>
      </c>
      <c r="M3524" t="e">
        <v>#N/A</v>
      </c>
      <c r="N3524" s="1">
        <v>38534</v>
      </c>
    </row>
    <row r="3525" spans="11:14" x14ac:dyDescent="0.3">
      <c r="K3525" s="1">
        <v>38899</v>
      </c>
      <c r="M3525" t="e">
        <v>#N/A</v>
      </c>
      <c r="N3525" s="1">
        <v>38534</v>
      </c>
    </row>
    <row r="3526" spans="11:14" x14ac:dyDescent="0.3">
      <c r="K3526" s="1">
        <v>38899</v>
      </c>
      <c r="M3526" t="e">
        <v>#N/A</v>
      </c>
      <c r="N3526" s="1">
        <v>38534</v>
      </c>
    </row>
    <row r="3527" spans="11:14" x14ac:dyDescent="0.3">
      <c r="K3527" s="1">
        <v>38899</v>
      </c>
      <c r="M3527" t="e">
        <v>#N/A</v>
      </c>
      <c r="N3527" s="1">
        <v>38534</v>
      </c>
    </row>
    <row r="3528" spans="11:14" x14ac:dyDescent="0.3">
      <c r="K3528" s="1">
        <v>38899</v>
      </c>
      <c r="M3528" t="e">
        <v>#N/A</v>
      </c>
      <c r="N3528" s="1">
        <v>38534</v>
      </c>
    </row>
    <row r="3529" spans="11:14" x14ac:dyDescent="0.3">
      <c r="K3529" s="1">
        <v>38899</v>
      </c>
      <c r="M3529" t="e">
        <v>#N/A</v>
      </c>
      <c r="N3529" s="1">
        <v>38534</v>
      </c>
    </row>
    <row r="3530" spans="11:14" x14ac:dyDescent="0.3">
      <c r="K3530" s="1">
        <v>38899</v>
      </c>
      <c r="M3530" t="e">
        <v>#N/A</v>
      </c>
      <c r="N3530" s="1">
        <v>38534</v>
      </c>
    </row>
    <row r="3531" spans="11:14" x14ac:dyDescent="0.3">
      <c r="K3531" s="1">
        <v>38899</v>
      </c>
      <c r="M3531" t="e">
        <v>#N/A</v>
      </c>
      <c r="N3531" s="1">
        <v>38534</v>
      </c>
    </row>
    <row r="3532" spans="11:14" x14ac:dyDescent="0.3">
      <c r="K3532" s="1">
        <v>38899</v>
      </c>
      <c r="M3532" t="e">
        <v>#N/A</v>
      </c>
      <c r="N3532" s="1">
        <v>38534</v>
      </c>
    </row>
    <row r="3533" spans="11:14" x14ac:dyDescent="0.3">
      <c r="K3533" s="1">
        <v>38899</v>
      </c>
      <c r="M3533" t="e">
        <v>#N/A</v>
      </c>
      <c r="N3533" s="1">
        <v>38534</v>
      </c>
    </row>
    <row r="3534" spans="11:14" x14ac:dyDescent="0.3">
      <c r="K3534" s="1">
        <v>38899</v>
      </c>
      <c r="M3534" t="e">
        <v>#N/A</v>
      </c>
      <c r="N3534" s="1">
        <v>38534</v>
      </c>
    </row>
    <row r="3535" spans="11:14" x14ac:dyDescent="0.3">
      <c r="K3535" s="1">
        <v>38899</v>
      </c>
      <c r="M3535" t="e">
        <v>#N/A</v>
      </c>
      <c r="N3535" s="1">
        <v>38534</v>
      </c>
    </row>
    <row r="3536" spans="11:14" x14ac:dyDescent="0.3">
      <c r="K3536" s="1">
        <v>38899</v>
      </c>
      <c r="M3536" t="e">
        <v>#N/A</v>
      </c>
      <c r="N3536" s="1">
        <v>38534</v>
      </c>
    </row>
    <row r="3537" spans="11:14" x14ac:dyDescent="0.3">
      <c r="K3537" s="1">
        <v>38899</v>
      </c>
      <c r="M3537" t="e">
        <v>#N/A</v>
      </c>
      <c r="N3537" s="1">
        <v>38534</v>
      </c>
    </row>
    <row r="3538" spans="11:14" x14ac:dyDescent="0.3">
      <c r="K3538" s="1">
        <v>38899</v>
      </c>
      <c r="M3538" t="e">
        <v>#N/A</v>
      </c>
      <c r="N3538" s="1">
        <v>38534</v>
      </c>
    </row>
    <row r="3539" spans="11:14" x14ac:dyDescent="0.3">
      <c r="K3539" s="1">
        <v>38899</v>
      </c>
      <c r="M3539" t="e">
        <v>#N/A</v>
      </c>
      <c r="N3539" s="1">
        <v>38534</v>
      </c>
    </row>
    <row r="3540" spans="11:14" x14ac:dyDescent="0.3">
      <c r="K3540" s="1">
        <v>38899</v>
      </c>
      <c r="M3540" t="e">
        <v>#N/A</v>
      </c>
      <c r="N3540" s="1">
        <v>38534</v>
      </c>
    </row>
    <row r="3541" spans="11:14" x14ac:dyDescent="0.3">
      <c r="K3541" s="1">
        <v>38899</v>
      </c>
      <c r="M3541" t="e">
        <v>#N/A</v>
      </c>
      <c r="N3541" s="1">
        <v>38534</v>
      </c>
    </row>
    <row r="3542" spans="11:14" x14ac:dyDescent="0.3">
      <c r="K3542" s="1">
        <v>38899</v>
      </c>
      <c r="M3542" t="e">
        <v>#N/A</v>
      </c>
      <c r="N3542" s="1">
        <v>38534</v>
      </c>
    </row>
    <row r="3543" spans="11:14" x14ac:dyDescent="0.3">
      <c r="K3543" s="1">
        <v>38899</v>
      </c>
      <c r="M3543" t="e">
        <v>#N/A</v>
      </c>
      <c r="N3543" s="1">
        <v>38534</v>
      </c>
    </row>
    <row r="3544" spans="11:14" x14ac:dyDescent="0.3">
      <c r="K3544" s="1">
        <v>38899</v>
      </c>
      <c r="M3544" t="e">
        <v>#N/A</v>
      </c>
      <c r="N3544" s="1">
        <v>38534</v>
      </c>
    </row>
    <row r="3545" spans="11:14" x14ac:dyDescent="0.3">
      <c r="K3545" s="1">
        <v>38899</v>
      </c>
      <c r="M3545" t="e">
        <v>#N/A</v>
      </c>
      <c r="N3545" s="1">
        <v>38534</v>
      </c>
    </row>
    <row r="3546" spans="11:14" x14ac:dyDescent="0.3">
      <c r="K3546" s="1">
        <v>38899</v>
      </c>
      <c r="M3546" t="e">
        <v>#N/A</v>
      </c>
      <c r="N3546" s="1">
        <v>38534</v>
      </c>
    </row>
    <row r="3547" spans="11:14" x14ac:dyDescent="0.3">
      <c r="K3547" s="1">
        <v>38899</v>
      </c>
      <c r="M3547" t="e">
        <v>#N/A</v>
      </c>
      <c r="N3547" s="1">
        <v>38534</v>
      </c>
    </row>
    <row r="3548" spans="11:14" x14ac:dyDescent="0.3">
      <c r="K3548" s="1">
        <v>38899</v>
      </c>
      <c r="M3548" t="e">
        <v>#N/A</v>
      </c>
      <c r="N3548" s="1">
        <v>38534</v>
      </c>
    </row>
    <row r="3549" spans="11:14" x14ac:dyDescent="0.3">
      <c r="K3549" s="1">
        <v>38899</v>
      </c>
      <c r="M3549" t="e">
        <v>#N/A</v>
      </c>
      <c r="N3549" s="1">
        <v>38534</v>
      </c>
    </row>
    <row r="3550" spans="11:14" x14ac:dyDescent="0.3">
      <c r="K3550" s="1">
        <v>38899</v>
      </c>
      <c r="M3550" t="e">
        <v>#N/A</v>
      </c>
      <c r="N3550" s="1">
        <v>38534</v>
      </c>
    </row>
    <row r="3551" spans="11:14" x14ac:dyDescent="0.3">
      <c r="K3551" s="1">
        <v>38899</v>
      </c>
      <c r="M3551" t="e">
        <v>#N/A</v>
      </c>
      <c r="N3551" s="1">
        <v>38534</v>
      </c>
    </row>
    <row r="3552" spans="11:14" x14ac:dyDescent="0.3">
      <c r="K3552" s="1">
        <v>38899</v>
      </c>
      <c r="M3552" t="e">
        <v>#N/A</v>
      </c>
      <c r="N3552" s="1">
        <v>38534</v>
      </c>
    </row>
    <row r="3553" spans="11:14" x14ac:dyDescent="0.3">
      <c r="K3553" s="1">
        <v>38899</v>
      </c>
      <c r="M3553" t="e">
        <v>#N/A</v>
      </c>
      <c r="N3553" s="1">
        <v>38534</v>
      </c>
    </row>
    <row r="3554" spans="11:14" x14ac:dyDescent="0.3">
      <c r="K3554" s="1">
        <v>38899</v>
      </c>
      <c r="M3554" t="e">
        <v>#N/A</v>
      </c>
      <c r="N3554" s="1">
        <v>38534</v>
      </c>
    </row>
    <row r="3555" spans="11:14" x14ac:dyDescent="0.3">
      <c r="K3555" s="1">
        <v>38899</v>
      </c>
      <c r="M3555" t="e">
        <v>#N/A</v>
      </c>
      <c r="N3555" s="1">
        <v>38534</v>
      </c>
    </row>
    <row r="3556" spans="11:14" x14ac:dyDescent="0.3">
      <c r="K3556" s="1">
        <v>38899</v>
      </c>
      <c r="M3556" t="e">
        <v>#N/A</v>
      </c>
      <c r="N3556" s="1">
        <v>38534</v>
      </c>
    </row>
    <row r="3557" spans="11:14" x14ac:dyDescent="0.3">
      <c r="K3557" s="1">
        <v>38899</v>
      </c>
      <c r="M3557" t="e">
        <v>#N/A</v>
      </c>
      <c r="N3557" s="1">
        <v>38534</v>
      </c>
    </row>
    <row r="3558" spans="11:14" x14ac:dyDescent="0.3">
      <c r="K3558" s="1">
        <v>38899</v>
      </c>
      <c r="M3558" t="e">
        <v>#N/A</v>
      </c>
      <c r="N3558" s="1">
        <v>38534</v>
      </c>
    </row>
    <row r="3559" spans="11:14" x14ac:dyDescent="0.3">
      <c r="K3559" s="1">
        <v>38899</v>
      </c>
      <c r="M3559" t="e">
        <v>#N/A</v>
      </c>
      <c r="N3559" s="1">
        <v>38534</v>
      </c>
    </row>
    <row r="3560" spans="11:14" x14ac:dyDescent="0.3">
      <c r="K3560" s="1">
        <v>38899</v>
      </c>
      <c r="M3560" t="e">
        <v>#N/A</v>
      </c>
      <c r="N3560" s="1">
        <v>38534</v>
      </c>
    </row>
    <row r="3561" spans="11:14" x14ac:dyDescent="0.3">
      <c r="K3561" s="1">
        <v>38899</v>
      </c>
      <c r="M3561" t="e">
        <v>#N/A</v>
      </c>
      <c r="N3561" s="1">
        <v>38534</v>
      </c>
    </row>
    <row r="3562" spans="11:14" x14ac:dyDescent="0.3">
      <c r="K3562" s="1">
        <v>38899</v>
      </c>
      <c r="M3562" t="e">
        <v>#N/A</v>
      </c>
      <c r="N3562" s="1">
        <v>38534</v>
      </c>
    </row>
    <row r="3563" spans="11:14" x14ac:dyDescent="0.3">
      <c r="K3563" s="1">
        <v>38899</v>
      </c>
      <c r="M3563" t="e">
        <v>#N/A</v>
      </c>
      <c r="N3563" s="1">
        <v>38534</v>
      </c>
    </row>
    <row r="3564" spans="11:14" x14ac:dyDescent="0.3">
      <c r="K3564" s="1">
        <v>38899</v>
      </c>
      <c r="M3564" t="e">
        <v>#N/A</v>
      </c>
      <c r="N3564" s="1">
        <v>38534</v>
      </c>
    </row>
    <row r="3565" spans="11:14" x14ac:dyDescent="0.3">
      <c r="K3565" s="1">
        <v>38899</v>
      </c>
      <c r="M3565" t="e">
        <v>#N/A</v>
      </c>
      <c r="N3565" s="1">
        <v>38534</v>
      </c>
    </row>
    <row r="3566" spans="11:14" x14ac:dyDescent="0.3">
      <c r="K3566" s="1">
        <v>38899</v>
      </c>
      <c r="M3566" t="e">
        <v>#N/A</v>
      </c>
      <c r="N3566" s="1">
        <v>38534</v>
      </c>
    </row>
    <row r="3567" spans="11:14" x14ac:dyDescent="0.3">
      <c r="K3567" s="1">
        <v>38899</v>
      </c>
      <c r="M3567" t="e">
        <v>#N/A</v>
      </c>
      <c r="N3567" s="1">
        <v>38534</v>
      </c>
    </row>
    <row r="3568" spans="11:14" x14ac:dyDescent="0.3">
      <c r="K3568" s="1">
        <v>38899</v>
      </c>
      <c r="M3568" t="e">
        <v>#N/A</v>
      </c>
      <c r="N3568" s="1">
        <v>38534</v>
      </c>
    </row>
    <row r="3569" spans="11:14" x14ac:dyDescent="0.3">
      <c r="K3569" s="1">
        <v>38899</v>
      </c>
      <c r="M3569" t="e">
        <v>#N/A</v>
      </c>
      <c r="N3569" s="1">
        <v>38534</v>
      </c>
    </row>
    <row r="3570" spans="11:14" x14ac:dyDescent="0.3">
      <c r="K3570" s="1">
        <v>38899</v>
      </c>
      <c r="M3570" t="e">
        <v>#N/A</v>
      </c>
      <c r="N3570" s="1">
        <v>38534</v>
      </c>
    </row>
    <row r="3571" spans="11:14" x14ac:dyDescent="0.3">
      <c r="K3571" s="1">
        <v>38899</v>
      </c>
      <c r="M3571" t="e">
        <v>#N/A</v>
      </c>
      <c r="N3571" s="1">
        <v>38534</v>
      </c>
    </row>
    <row r="3572" spans="11:14" x14ac:dyDescent="0.3">
      <c r="K3572" s="1">
        <v>38899</v>
      </c>
      <c r="M3572" t="e">
        <v>#N/A</v>
      </c>
      <c r="N3572" s="1">
        <v>38534</v>
      </c>
    </row>
    <row r="3573" spans="11:14" x14ac:dyDescent="0.3">
      <c r="K3573" s="1">
        <v>38899</v>
      </c>
      <c r="M3573" t="e">
        <v>#N/A</v>
      </c>
      <c r="N3573" s="1">
        <v>38534</v>
      </c>
    </row>
    <row r="3574" spans="11:14" x14ac:dyDescent="0.3">
      <c r="K3574" s="1">
        <v>38899</v>
      </c>
      <c r="M3574" t="e">
        <v>#N/A</v>
      </c>
      <c r="N3574" s="1">
        <v>38534</v>
      </c>
    </row>
    <row r="3575" spans="11:14" x14ac:dyDescent="0.3">
      <c r="K3575" s="1">
        <v>38899</v>
      </c>
      <c r="M3575" t="e">
        <v>#N/A</v>
      </c>
      <c r="N3575" s="1">
        <v>38534</v>
      </c>
    </row>
    <row r="3576" spans="11:14" x14ac:dyDescent="0.3">
      <c r="K3576" s="1">
        <v>38899</v>
      </c>
      <c r="M3576" t="e">
        <v>#N/A</v>
      </c>
      <c r="N3576" s="1">
        <v>38534</v>
      </c>
    </row>
    <row r="3577" spans="11:14" x14ac:dyDescent="0.3">
      <c r="K3577" s="1">
        <v>38899</v>
      </c>
      <c r="M3577" t="e">
        <v>#N/A</v>
      </c>
      <c r="N3577" s="1">
        <v>38534</v>
      </c>
    </row>
    <row r="3578" spans="11:14" x14ac:dyDescent="0.3">
      <c r="K3578" s="1">
        <v>38899</v>
      </c>
      <c r="M3578" t="e">
        <v>#N/A</v>
      </c>
      <c r="N3578" s="1">
        <v>38534</v>
      </c>
    </row>
    <row r="3579" spans="11:14" x14ac:dyDescent="0.3">
      <c r="K3579" s="1">
        <v>38899</v>
      </c>
      <c r="M3579" t="e">
        <v>#N/A</v>
      </c>
      <c r="N3579" s="1">
        <v>38534</v>
      </c>
    </row>
    <row r="3580" spans="11:14" x14ac:dyDescent="0.3">
      <c r="K3580" s="1">
        <v>38899</v>
      </c>
      <c r="M3580" t="e">
        <v>#N/A</v>
      </c>
      <c r="N3580" s="1">
        <v>38534</v>
      </c>
    </row>
    <row r="3581" spans="11:14" x14ac:dyDescent="0.3">
      <c r="K3581" s="1">
        <v>38899</v>
      </c>
      <c r="M3581" t="e">
        <v>#N/A</v>
      </c>
      <c r="N3581" s="1">
        <v>38534</v>
      </c>
    </row>
    <row r="3582" spans="11:14" x14ac:dyDescent="0.3">
      <c r="K3582" s="1">
        <v>38899</v>
      </c>
      <c r="M3582" t="e">
        <v>#N/A</v>
      </c>
      <c r="N3582" s="1">
        <v>38534</v>
      </c>
    </row>
    <row r="3583" spans="11:14" x14ac:dyDescent="0.3">
      <c r="K3583" s="1">
        <v>38899</v>
      </c>
      <c r="M3583" t="e">
        <v>#N/A</v>
      </c>
      <c r="N3583" s="1">
        <v>38534</v>
      </c>
    </row>
    <row r="3584" spans="11:14" x14ac:dyDescent="0.3">
      <c r="K3584" s="1">
        <v>38899</v>
      </c>
      <c r="M3584" t="e">
        <v>#N/A</v>
      </c>
      <c r="N3584" s="1">
        <v>38534</v>
      </c>
    </row>
    <row r="3585" spans="11:14" x14ac:dyDescent="0.3">
      <c r="K3585" s="1">
        <v>38899</v>
      </c>
      <c r="M3585" t="e">
        <v>#N/A</v>
      </c>
      <c r="N3585" s="1">
        <v>38534</v>
      </c>
    </row>
    <row r="3586" spans="11:14" x14ac:dyDescent="0.3">
      <c r="K3586" s="1">
        <v>38899</v>
      </c>
      <c r="M3586" t="e">
        <v>#N/A</v>
      </c>
      <c r="N3586" s="1">
        <v>38534</v>
      </c>
    </row>
    <row r="3587" spans="11:14" x14ac:dyDescent="0.3">
      <c r="K3587" s="1">
        <v>38899</v>
      </c>
      <c r="M3587" t="e">
        <v>#N/A</v>
      </c>
      <c r="N3587" s="1">
        <v>38534</v>
      </c>
    </row>
    <row r="3588" spans="11:14" x14ac:dyDescent="0.3">
      <c r="K3588" s="1">
        <v>38899</v>
      </c>
      <c r="M3588" t="e">
        <v>#N/A</v>
      </c>
      <c r="N3588" s="1">
        <v>38534</v>
      </c>
    </row>
    <row r="3589" spans="11:14" x14ac:dyDescent="0.3">
      <c r="K3589" s="1">
        <v>38899</v>
      </c>
      <c r="M3589" t="e">
        <v>#N/A</v>
      </c>
      <c r="N3589" s="1">
        <v>38534</v>
      </c>
    </row>
    <row r="3590" spans="11:14" x14ac:dyDescent="0.3">
      <c r="K3590" s="1">
        <v>38899</v>
      </c>
      <c r="M3590" t="e">
        <v>#N/A</v>
      </c>
      <c r="N3590" s="1">
        <v>38534</v>
      </c>
    </row>
    <row r="3591" spans="11:14" x14ac:dyDescent="0.3">
      <c r="K3591" s="1">
        <v>38899</v>
      </c>
      <c r="M3591" t="e">
        <v>#N/A</v>
      </c>
      <c r="N3591" s="1">
        <v>38534</v>
      </c>
    </row>
    <row r="3592" spans="11:14" x14ac:dyDescent="0.3">
      <c r="K3592" s="1">
        <v>38899</v>
      </c>
      <c r="M3592" t="e">
        <v>#N/A</v>
      </c>
      <c r="N3592" s="1">
        <v>38534</v>
      </c>
    </row>
    <row r="3593" spans="11:14" x14ac:dyDescent="0.3">
      <c r="K3593" s="1">
        <v>38899</v>
      </c>
      <c r="M3593" t="e">
        <v>#N/A</v>
      </c>
      <c r="N3593" s="1">
        <v>38534</v>
      </c>
    </row>
    <row r="3594" spans="11:14" x14ac:dyDescent="0.3">
      <c r="K3594" s="1">
        <v>38899</v>
      </c>
      <c r="M3594" t="e">
        <v>#N/A</v>
      </c>
      <c r="N3594" s="1">
        <v>38534</v>
      </c>
    </row>
    <row r="3595" spans="11:14" x14ac:dyDescent="0.3">
      <c r="K3595" s="1">
        <v>38899</v>
      </c>
      <c r="M3595" t="e">
        <v>#N/A</v>
      </c>
      <c r="N3595" s="1">
        <v>38534</v>
      </c>
    </row>
    <row r="3596" spans="11:14" x14ac:dyDescent="0.3">
      <c r="K3596" s="1">
        <v>38899</v>
      </c>
      <c r="M3596" t="e">
        <v>#N/A</v>
      </c>
      <c r="N3596" s="1">
        <v>38534</v>
      </c>
    </row>
    <row r="3597" spans="11:14" x14ac:dyDescent="0.3">
      <c r="K3597" s="1">
        <v>38899</v>
      </c>
      <c r="M3597" t="e">
        <v>#N/A</v>
      </c>
      <c r="N3597" s="1">
        <v>38534</v>
      </c>
    </row>
    <row r="3598" spans="11:14" x14ac:dyDescent="0.3">
      <c r="K3598" s="1">
        <v>38899</v>
      </c>
      <c r="M3598" t="e">
        <v>#N/A</v>
      </c>
      <c r="N3598" s="1">
        <v>38534</v>
      </c>
    </row>
    <row r="3599" spans="11:14" x14ac:dyDescent="0.3">
      <c r="K3599" s="1">
        <v>38899</v>
      </c>
      <c r="M3599" t="e">
        <v>#N/A</v>
      </c>
      <c r="N3599" s="1">
        <v>38534</v>
      </c>
    </row>
    <row r="3600" spans="11:14" x14ac:dyDescent="0.3">
      <c r="K3600" s="1">
        <v>38899</v>
      </c>
      <c r="M3600" t="e">
        <v>#N/A</v>
      </c>
      <c r="N3600" s="1">
        <v>38534</v>
      </c>
    </row>
    <row r="3601" spans="11:14" x14ac:dyDescent="0.3">
      <c r="K3601" s="1">
        <v>38899</v>
      </c>
      <c r="M3601" t="e">
        <v>#N/A</v>
      </c>
      <c r="N3601" s="1">
        <v>38534</v>
      </c>
    </row>
    <row r="3602" spans="11:14" x14ac:dyDescent="0.3">
      <c r="K3602" s="1">
        <v>38899</v>
      </c>
      <c r="M3602" t="e">
        <v>#N/A</v>
      </c>
      <c r="N3602" s="1">
        <v>38534</v>
      </c>
    </row>
    <row r="3603" spans="11:14" x14ac:dyDescent="0.3">
      <c r="K3603" s="1">
        <v>38899</v>
      </c>
      <c r="M3603" t="e">
        <v>#N/A</v>
      </c>
      <c r="N3603" s="1">
        <v>38534</v>
      </c>
    </row>
    <row r="3604" spans="11:14" x14ac:dyDescent="0.3">
      <c r="K3604" s="1">
        <v>38899</v>
      </c>
      <c r="M3604" t="e">
        <v>#N/A</v>
      </c>
      <c r="N3604" s="1">
        <v>38534</v>
      </c>
    </row>
    <row r="3605" spans="11:14" x14ac:dyDescent="0.3">
      <c r="K3605" s="1">
        <v>38899</v>
      </c>
      <c r="M3605" t="e">
        <v>#N/A</v>
      </c>
      <c r="N3605" s="1">
        <v>38534</v>
      </c>
    </row>
    <row r="3606" spans="11:14" x14ac:dyDescent="0.3">
      <c r="K3606" s="1">
        <v>38899</v>
      </c>
      <c r="M3606" t="e">
        <v>#N/A</v>
      </c>
      <c r="N3606" s="1">
        <v>38534</v>
      </c>
    </row>
    <row r="3607" spans="11:14" x14ac:dyDescent="0.3">
      <c r="K3607" s="1">
        <v>38899</v>
      </c>
      <c r="M3607" t="e">
        <v>#N/A</v>
      </c>
      <c r="N3607" s="1">
        <v>38534</v>
      </c>
    </row>
    <row r="3608" spans="11:14" x14ac:dyDescent="0.3">
      <c r="K3608" s="1">
        <v>38899</v>
      </c>
      <c r="M3608" t="e">
        <v>#N/A</v>
      </c>
      <c r="N3608" s="1">
        <v>38534</v>
      </c>
    </row>
    <row r="3609" spans="11:14" x14ac:dyDescent="0.3">
      <c r="K3609" s="1">
        <v>38899</v>
      </c>
      <c r="M3609" t="e">
        <v>#N/A</v>
      </c>
      <c r="N3609" s="1">
        <v>38534</v>
      </c>
    </row>
    <row r="3610" spans="11:14" x14ac:dyDescent="0.3">
      <c r="K3610" s="1">
        <v>38899</v>
      </c>
      <c r="M3610" t="e">
        <v>#N/A</v>
      </c>
      <c r="N3610" s="1">
        <v>38534</v>
      </c>
    </row>
    <row r="3611" spans="11:14" x14ac:dyDescent="0.3">
      <c r="K3611" s="1">
        <v>38899</v>
      </c>
      <c r="M3611" t="e">
        <v>#N/A</v>
      </c>
      <c r="N3611" s="1">
        <v>38534</v>
      </c>
    </row>
    <row r="3612" spans="11:14" x14ac:dyDescent="0.3">
      <c r="K3612" s="1">
        <v>38899</v>
      </c>
      <c r="M3612" t="e">
        <v>#N/A</v>
      </c>
      <c r="N3612" s="1">
        <v>38534</v>
      </c>
    </row>
    <row r="3613" spans="11:14" x14ac:dyDescent="0.3">
      <c r="K3613" s="1">
        <v>38899</v>
      </c>
      <c r="M3613" t="e">
        <v>#N/A</v>
      </c>
      <c r="N3613" s="1">
        <v>38534</v>
      </c>
    </row>
    <row r="3614" spans="11:14" x14ac:dyDescent="0.3">
      <c r="K3614" s="1">
        <v>38899</v>
      </c>
      <c r="M3614" t="e">
        <v>#N/A</v>
      </c>
      <c r="N3614" s="1">
        <v>38534</v>
      </c>
    </row>
    <row r="3615" spans="11:14" x14ac:dyDescent="0.3">
      <c r="K3615" s="1">
        <v>38899</v>
      </c>
      <c r="M3615" t="e">
        <v>#N/A</v>
      </c>
      <c r="N3615" s="1">
        <v>38534</v>
      </c>
    </row>
    <row r="3616" spans="11:14" x14ac:dyDescent="0.3">
      <c r="K3616" s="1">
        <v>38899</v>
      </c>
      <c r="M3616" t="e">
        <v>#N/A</v>
      </c>
      <c r="N3616" s="1">
        <v>38534</v>
      </c>
    </row>
    <row r="3617" spans="11:14" x14ac:dyDescent="0.3">
      <c r="K3617" s="1">
        <v>38899</v>
      </c>
      <c r="M3617" t="e">
        <v>#N/A</v>
      </c>
      <c r="N3617" s="1">
        <v>38534</v>
      </c>
    </row>
    <row r="3618" spans="11:14" x14ac:dyDescent="0.3">
      <c r="K3618" s="1">
        <v>38899</v>
      </c>
      <c r="M3618" t="e">
        <v>#N/A</v>
      </c>
      <c r="N3618" s="1">
        <v>38534</v>
      </c>
    </row>
    <row r="3619" spans="11:14" x14ac:dyDescent="0.3">
      <c r="K3619" s="1">
        <v>38899</v>
      </c>
      <c r="M3619" t="e">
        <v>#N/A</v>
      </c>
      <c r="N3619" s="1">
        <v>38534</v>
      </c>
    </row>
    <row r="3620" spans="11:14" x14ac:dyDescent="0.3">
      <c r="K3620" s="1">
        <v>38899</v>
      </c>
      <c r="M3620" t="e">
        <v>#N/A</v>
      </c>
      <c r="N3620" s="1">
        <v>38534</v>
      </c>
    </row>
    <row r="3621" spans="11:14" x14ac:dyDescent="0.3">
      <c r="K3621" s="1">
        <v>38899</v>
      </c>
      <c r="M3621" t="e">
        <v>#N/A</v>
      </c>
      <c r="N3621" s="1">
        <v>38534</v>
      </c>
    </row>
    <row r="3622" spans="11:14" x14ac:dyDescent="0.3">
      <c r="K3622" s="1">
        <v>38899</v>
      </c>
      <c r="M3622" t="e">
        <v>#N/A</v>
      </c>
      <c r="N3622" s="1">
        <v>38534</v>
      </c>
    </row>
    <row r="3623" spans="11:14" x14ac:dyDescent="0.3">
      <c r="K3623" s="1">
        <v>38899</v>
      </c>
      <c r="M3623" t="e">
        <v>#N/A</v>
      </c>
      <c r="N3623" s="1">
        <v>38534</v>
      </c>
    </row>
    <row r="3624" spans="11:14" x14ac:dyDescent="0.3">
      <c r="K3624" s="1">
        <v>38899</v>
      </c>
      <c r="M3624" t="e">
        <v>#N/A</v>
      </c>
      <c r="N3624" s="1">
        <v>38534</v>
      </c>
    </row>
    <row r="3625" spans="11:14" x14ac:dyDescent="0.3">
      <c r="K3625" s="1">
        <v>38899</v>
      </c>
      <c r="M3625" t="e">
        <v>#N/A</v>
      </c>
      <c r="N3625" s="1">
        <v>38534</v>
      </c>
    </row>
    <row r="3626" spans="11:14" x14ac:dyDescent="0.3">
      <c r="K3626" s="1">
        <v>38899</v>
      </c>
      <c r="M3626" t="e">
        <v>#N/A</v>
      </c>
      <c r="N3626" s="1">
        <v>38534</v>
      </c>
    </row>
    <row r="3627" spans="11:14" x14ac:dyDescent="0.3">
      <c r="K3627" s="1">
        <v>38899</v>
      </c>
      <c r="M3627" t="e">
        <v>#N/A</v>
      </c>
      <c r="N3627" s="1">
        <v>38534</v>
      </c>
    </row>
    <row r="3628" spans="11:14" x14ac:dyDescent="0.3">
      <c r="K3628" s="1">
        <v>38899</v>
      </c>
      <c r="M3628" t="e">
        <v>#N/A</v>
      </c>
      <c r="N3628" s="1">
        <v>38534</v>
      </c>
    </row>
    <row r="3629" spans="11:14" x14ac:dyDescent="0.3">
      <c r="K3629" s="1">
        <v>38899</v>
      </c>
      <c r="M3629" t="e">
        <v>#N/A</v>
      </c>
      <c r="N3629" s="1">
        <v>38534</v>
      </c>
    </row>
    <row r="3630" spans="11:14" x14ac:dyDescent="0.3">
      <c r="K3630" s="1">
        <v>38899</v>
      </c>
      <c r="M3630" t="e">
        <v>#N/A</v>
      </c>
      <c r="N3630" s="1">
        <v>38534</v>
      </c>
    </row>
    <row r="3631" spans="11:14" x14ac:dyDescent="0.3">
      <c r="K3631" s="1">
        <v>38899</v>
      </c>
      <c r="M3631" t="e">
        <v>#N/A</v>
      </c>
      <c r="N3631" s="1">
        <v>38534</v>
      </c>
    </row>
    <row r="3632" spans="11:14" x14ac:dyDescent="0.3">
      <c r="K3632" s="1">
        <v>38899</v>
      </c>
      <c r="M3632" t="e">
        <v>#N/A</v>
      </c>
      <c r="N3632" s="1">
        <v>38534</v>
      </c>
    </row>
    <row r="3633" spans="11:14" x14ac:dyDescent="0.3">
      <c r="K3633" s="1">
        <v>38899</v>
      </c>
      <c r="M3633" t="e">
        <v>#N/A</v>
      </c>
      <c r="N3633" s="1">
        <v>38534</v>
      </c>
    </row>
    <row r="3634" spans="11:14" x14ac:dyDescent="0.3">
      <c r="K3634" s="1">
        <v>38899</v>
      </c>
      <c r="M3634" t="e">
        <v>#N/A</v>
      </c>
      <c r="N3634" s="1">
        <v>38534</v>
      </c>
    </row>
    <row r="3635" spans="11:14" x14ac:dyDescent="0.3">
      <c r="K3635" s="1">
        <v>38899</v>
      </c>
      <c r="M3635" t="e">
        <v>#N/A</v>
      </c>
      <c r="N3635" s="1">
        <v>38534</v>
      </c>
    </row>
    <row r="3636" spans="11:14" x14ac:dyDescent="0.3">
      <c r="K3636" s="1">
        <v>38899</v>
      </c>
      <c r="M3636" t="e">
        <v>#N/A</v>
      </c>
      <c r="N3636" s="1">
        <v>38534</v>
      </c>
    </row>
    <row r="3637" spans="11:14" x14ac:dyDescent="0.3">
      <c r="K3637" s="1">
        <v>38899</v>
      </c>
      <c r="M3637" t="e">
        <v>#N/A</v>
      </c>
      <c r="N3637" s="1">
        <v>38534</v>
      </c>
    </row>
    <row r="3638" spans="11:14" x14ac:dyDescent="0.3">
      <c r="K3638" s="1">
        <v>38899</v>
      </c>
      <c r="M3638" t="e">
        <v>#N/A</v>
      </c>
      <c r="N3638" s="1">
        <v>38534</v>
      </c>
    </row>
    <row r="3639" spans="11:14" x14ac:dyDescent="0.3">
      <c r="K3639" s="1">
        <v>38899</v>
      </c>
      <c r="M3639" t="e">
        <v>#N/A</v>
      </c>
      <c r="N3639" s="1">
        <v>38534</v>
      </c>
    </row>
    <row r="3640" spans="11:14" x14ac:dyDescent="0.3">
      <c r="K3640" s="1">
        <v>38899</v>
      </c>
      <c r="M3640" t="e">
        <v>#N/A</v>
      </c>
      <c r="N3640" s="1">
        <v>38534</v>
      </c>
    </row>
    <row r="3641" spans="11:14" x14ac:dyDescent="0.3">
      <c r="K3641" s="1">
        <v>38899</v>
      </c>
      <c r="M3641" t="e">
        <v>#N/A</v>
      </c>
      <c r="N3641" s="1">
        <v>38534</v>
      </c>
    </row>
    <row r="3642" spans="11:14" x14ac:dyDescent="0.3">
      <c r="K3642" s="1">
        <v>38899</v>
      </c>
      <c r="M3642" t="e">
        <v>#N/A</v>
      </c>
      <c r="N3642" s="1">
        <v>38534</v>
      </c>
    </row>
    <row r="3643" spans="11:14" x14ac:dyDescent="0.3">
      <c r="K3643" s="1">
        <v>38899</v>
      </c>
      <c r="M3643" t="e">
        <v>#N/A</v>
      </c>
      <c r="N3643" s="1">
        <v>38534</v>
      </c>
    </row>
    <row r="3644" spans="11:14" x14ac:dyDescent="0.3">
      <c r="K3644" s="1">
        <v>38899</v>
      </c>
      <c r="M3644" t="e">
        <v>#N/A</v>
      </c>
      <c r="N3644" s="1">
        <v>38534</v>
      </c>
    </row>
    <row r="3645" spans="11:14" x14ac:dyDescent="0.3">
      <c r="K3645" s="1">
        <v>38899</v>
      </c>
      <c r="M3645" t="e">
        <v>#N/A</v>
      </c>
      <c r="N3645" s="1">
        <v>38534</v>
      </c>
    </row>
    <row r="3646" spans="11:14" x14ac:dyDescent="0.3">
      <c r="K3646" s="1">
        <v>38899</v>
      </c>
      <c r="M3646" t="e">
        <v>#N/A</v>
      </c>
      <c r="N3646" s="1">
        <v>38534</v>
      </c>
    </row>
    <row r="3647" spans="11:14" x14ac:dyDescent="0.3">
      <c r="K3647" s="1">
        <v>38899</v>
      </c>
      <c r="M3647" t="e">
        <v>#N/A</v>
      </c>
      <c r="N3647" s="1">
        <v>38534</v>
      </c>
    </row>
    <row r="3648" spans="11:14" x14ac:dyDescent="0.3">
      <c r="K3648" s="1">
        <v>38899</v>
      </c>
      <c r="M3648" t="e">
        <v>#N/A</v>
      </c>
      <c r="N3648" s="1">
        <v>38534</v>
      </c>
    </row>
    <row r="3649" spans="11:14" x14ac:dyDescent="0.3">
      <c r="K3649" s="1">
        <v>38899</v>
      </c>
      <c r="M3649" t="e">
        <v>#N/A</v>
      </c>
      <c r="N3649" s="1">
        <v>38534</v>
      </c>
    </row>
    <row r="3650" spans="11:14" x14ac:dyDescent="0.3">
      <c r="K3650" s="1">
        <v>38899</v>
      </c>
      <c r="M3650" t="e">
        <v>#N/A</v>
      </c>
      <c r="N3650" s="1">
        <v>38534</v>
      </c>
    </row>
    <row r="3651" spans="11:14" x14ac:dyDescent="0.3">
      <c r="K3651" s="1">
        <v>38899</v>
      </c>
      <c r="M3651" t="e">
        <v>#N/A</v>
      </c>
      <c r="N3651" s="1">
        <v>38534</v>
      </c>
    </row>
    <row r="3652" spans="11:14" x14ac:dyDescent="0.3">
      <c r="K3652" s="1">
        <v>38899</v>
      </c>
      <c r="M3652" t="e">
        <v>#N/A</v>
      </c>
      <c r="N3652" s="1">
        <v>38534</v>
      </c>
    </row>
    <row r="3653" spans="11:14" x14ac:dyDescent="0.3">
      <c r="K3653" s="1">
        <v>38899</v>
      </c>
      <c r="M3653" t="e">
        <v>#N/A</v>
      </c>
      <c r="N3653" s="1">
        <v>38534</v>
      </c>
    </row>
    <row r="3654" spans="11:14" x14ac:dyDescent="0.3">
      <c r="K3654" s="1">
        <v>38899</v>
      </c>
      <c r="M3654" t="e">
        <v>#N/A</v>
      </c>
      <c r="N3654" s="1">
        <v>38534</v>
      </c>
    </row>
    <row r="3655" spans="11:14" x14ac:dyDescent="0.3">
      <c r="K3655" s="1">
        <v>38899</v>
      </c>
      <c r="M3655" t="e">
        <v>#N/A</v>
      </c>
      <c r="N3655" s="1">
        <v>38534</v>
      </c>
    </row>
    <row r="3656" spans="11:14" x14ac:dyDescent="0.3">
      <c r="K3656" s="1">
        <v>38899</v>
      </c>
      <c r="M3656" t="e">
        <v>#N/A</v>
      </c>
      <c r="N3656" s="1">
        <v>38534</v>
      </c>
    </row>
    <row r="3657" spans="11:14" x14ac:dyDescent="0.3">
      <c r="K3657" s="1">
        <v>38899</v>
      </c>
      <c r="M3657" t="e">
        <v>#N/A</v>
      </c>
      <c r="N3657" s="1">
        <v>38534</v>
      </c>
    </row>
    <row r="3658" spans="11:14" x14ac:dyDescent="0.3">
      <c r="K3658" s="1">
        <v>38899</v>
      </c>
      <c r="M3658" t="e">
        <v>#N/A</v>
      </c>
      <c r="N3658" s="1">
        <v>38534</v>
      </c>
    </row>
    <row r="3659" spans="11:14" x14ac:dyDescent="0.3">
      <c r="K3659" s="1">
        <v>38899</v>
      </c>
      <c r="M3659" t="e">
        <v>#N/A</v>
      </c>
      <c r="N3659" s="1">
        <v>38534</v>
      </c>
    </row>
    <row r="3660" spans="11:14" x14ac:dyDescent="0.3">
      <c r="K3660" s="1">
        <v>38899</v>
      </c>
      <c r="M3660" t="e">
        <v>#N/A</v>
      </c>
      <c r="N3660" s="1">
        <v>38534</v>
      </c>
    </row>
    <row r="3661" spans="11:14" x14ac:dyDescent="0.3">
      <c r="K3661" s="1">
        <v>38899</v>
      </c>
      <c r="M3661" t="e">
        <v>#N/A</v>
      </c>
      <c r="N3661" s="1">
        <v>38534</v>
      </c>
    </row>
    <row r="3662" spans="11:14" x14ac:dyDescent="0.3">
      <c r="K3662" s="1">
        <v>38899</v>
      </c>
      <c r="M3662" t="e">
        <v>#N/A</v>
      </c>
      <c r="N3662" s="1">
        <v>38534</v>
      </c>
    </row>
    <row r="3663" spans="11:14" x14ac:dyDescent="0.3">
      <c r="K3663" s="1">
        <v>38899</v>
      </c>
      <c r="M3663" t="e">
        <v>#N/A</v>
      </c>
      <c r="N3663" s="1">
        <v>38534</v>
      </c>
    </row>
    <row r="3664" spans="11:14" x14ac:dyDescent="0.3">
      <c r="K3664" s="1">
        <v>38899</v>
      </c>
      <c r="M3664" t="e">
        <v>#N/A</v>
      </c>
      <c r="N3664" s="1">
        <v>38534</v>
      </c>
    </row>
    <row r="3665" spans="11:14" x14ac:dyDescent="0.3">
      <c r="K3665" s="1">
        <v>38899</v>
      </c>
      <c r="M3665" t="e">
        <v>#N/A</v>
      </c>
      <c r="N3665" s="1">
        <v>38534</v>
      </c>
    </row>
    <row r="3666" spans="11:14" x14ac:dyDescent="0.3">
      <c r="K3666" s="1">
        <v>38899</v>
      </c>
      <c r="M3666" t="e">
        <v>#N/A</v>
      </c>
      <c r="N3666" s="1">
        <v>38534</v>
      </c>
    </row>
    <row r="3667" spans="11:14" x14ac:dyDescent="0.3">
      <c r="K3667" s="1">
        <v>38899</v>
      </c>
      <c r="M3667" t="e">
        <v>#N/A</v>
      </c>
      <c r="N3667" s="1">
        <v>38534</v>
      </c>
    </row>
    <row r="3668" spans="11:14" x14ac:dyDescent="0.3">
      <c r="K3668" s="1">
        <v>38899</v>
      </c>
      <c r="M3668" t="e">
        <v>#N/A</v>
      </c>
      <c r="N3668" s="1">
        <v>38534</v>
      </c>
    </row>
    <row r="3669" spans="11:14" x14ac:dyDescent="0.3">
      <c r="K3669" s="1">
        <v>38899</v>
      </c>
      <c r="M3669" t="e">
        <v>#N/A</v>
      </c>
      <c r="N3669" s="1">
        <v>38534</v>
      </c>
    </row>
    <row r="3670" spans="11:14" x14ac:dyDescent="0.3">
      <c r="K3670" s="1">
        <v>38899</v>
      </c>
      <c r="M3670" t="e">
        <v>#N/A</v>
      </c>
      <c r="N3670" s="1">
        <v>38534</v>
      </c>
    </row>
    <row r="3671" spans="11:14" x14ac:dyDescent="0.3">
      <c r="K3671" s="1">
        <v>38899</v>
      </c>
      <c r="M3671" t="e">
        <v>#N/A</v>
      </c>
      <c r="N3671" s="1">
        <v>38534</v>
      </c>
    </row>
    <row r="3672" spans="11:14" x14ac:dyDescent="0.3">
      <c r="K3672" s="1">
        <v>38899</v>
      </c>
      <c r="M3672" t="e">
        <v>#N/A</v>
      </c>
      <c r="N3672" s="1">
        <v>38534</v>
      </c>
    </row>
    <row r="3673" spans="11:14" x14ac:dyDescent="0.3">
      <c r="K3673" s="1">
        <v>38899</v>
      </c>
      <c r="M3673" t="e">
        <v>#N/A</v>
      </c>
      <c r="N3673" s="1">
        <v>38534</v>
      </c>
    </row>
    <row r="3674" spans="11:14" x14ac:dyDescent="0.3">
      <c r="K3674" s="1">
        <v>38899</v>
      </c>
      <c r="M3674" t="e">
        <v>#N/A</v>
      </c>
      <c r="N3674" s="1">
        <v>38534</v>
      </c>
    </row>
    <row r="3675" spans="11:14" x14ac:dyDescent="0.3">
      <c r="K3675" s="1">
        <v>38899</v>
      </c>
      <c r="M3675" t="e">
        <v>#N/A</v>
      </c>
      <c r="N3675" s="1">
        <v>38534</v>
      </c>
    </row>
    <row r="3676" spans="11:14" x14ac:dyDescent="0.3">
      <c r="K3676" s="1">
        <v>38899</v>
      </c>
      <c r="M3676" t="e">
        <v>#N/A</v>
      </c>
      <c r="N3676" s="1">
        <v>38534</v>
      </c>
    </row>
    <row r="3677" spans="11:14" x14ac:dyDescent="0.3">
      <c r="K3677" s="1">
        <v>38899</v>
      </c>
      <c r="M3677" t="e">
        <v>#N/A</v>
      </c>
      <c r="N3677" s="1">
        <v>38534</v>
      </c>
    </row>
    <row r="3678" spans="11:14" x14ac:dyDescent="0.3">
      <c r="K3678" s="1">
        <v>38899</v>
      </c>
      <c r="M3678" t="e">
        <v>#N/A</v>
      </c>
      <c r="N3678" s="1">
        <v>38534</v>
      </c>
    </row>
    <row r="3679" spans="11:14" x14ac:dyDescent="0.3">
      <c r="K3679" s="1">
        <v>38899</v>
      </c>
      <c r="M3679" t="e">
        <v>#N/A</v>
      </c>
      <c r="N3679" s="1">
        <v>38534</v>
      </c>
    </row>
    <row r="3680" spans="11:14" x14ac:dyDescent="0.3">
      <c r="K3680" s="1">
        <v>38899</v>
      </c>
      <c r="M3680" t="e">
        <v>#N/A</v>
      </c>
      <c r="N3680" s="1">
        <v>38534</v>
      </c>
    </row>
    <row r="3681" spans="11:14" x14ac:dyDescent="0.3">
      <c r="K3681" s="1">
        <v>38899</v>
      </c>
      <c r="M3681" t="e">
        <v>#N/A</v>
      </c>
      <c r="N3681" s="1">
        <v>38534</v>
      </c>
    </row>
    <row r="3682" spans="11:14" x14ac:dyDescent="0.3">
      <c r="K3682" s="1">
        <v>38899</v>
      </c>
      <c r="M3682" t="e">
        <v>#N/A</v>
      </c>
      <c r="N3682" s="1">
        <v>38534</v>
      </c>
    </row>
    <row r="3683" spans="11:14" x14ac:dyDescent="0.3">
      <c r="K3683" s="1">
        <v>38899</v>
      </c>
      <c r="M3683" t="e">
        <v>#N/A</v>
      </c>
      <c r="N3683" s="1">
        <v>38534</v>
      </c>
    </row>
    <row r="3684" spans="11:14" x14ac:dyDescent="0.3">
      <c r="K3684" s="1">
        <v>38899</v>
      </c>
      <c r="M3684" t="e">
        <v>#N/A</v>
      </c>
      <c r="N3684" s="1">
        <v>38534</v>
      </c>
    </row>
    <row r="3685" spans="11:14" x14ac:dyDescent="0.3">
      <c r="K3685" s="1">
        <v>38899</v>
      </c>
      <c r="M3685" t="e">
        <v>#N/A</v>
      </c>
      <c r="N3685" s="1">
        <v>38534</v>
      </c>
    </row>
    <row r="3686" spans="11:14" x14ac:dyDescent="0.3">
      <c r="K3686" s="1">
        <v>38899</v>
      </c>
      <c r="M3686" t="e">
        <v>#N/A</v>
      </c>
      <c r="N3686" s="1">
        <v>38534</v>
      </c>
    </row>
    <row r="3687" spans="11:14" x14ac:dyDescent="0.3">
      <c r="K3687" s="1">
        <v>38899</v>
      </c>
      <c r="M3687" t="e">
        <v>#N/A</v>
      </c>
      <c r="N3687" s="1">
        <v>38534</v>
      </c>
    </row>
    <row r="3688" spans="11:14" x14ac:dyDescent="0.3">
      <c r="K3688" s="1">
        <v>38899</v>
      </c>
      <c r="M3688" t="e">
        <v>#N/A</v>
      </c>
      <c r="N3688" s="1">
        <v>38534</v>
      </c>
    </row>
    <row r="3689" spans="11:14" x14ac:dyDescent="0.3">
      <c r="K3689" s="1">
        <v>38899</v>
      </c>
      <c r="M3689" t="e">
        <v>#N/A</v>
      </c>
      <c r="N3689" s="1">
        <v>38534</v>
      </c>
    </row>
    <row r="3690" spans="11:14" x14ac:dyDescent="0.3">
      <c r="K3690" s="1">
        <v>38899</v>
      </c>
      <c r="M3690" t="e">
        <v>#N/A</v>
      </c>
      <c r="N3690" s="1">
        <v>38534</v>
      </c>
    </row>
    <row r="3691" spans="11:14" x14ac:dyDescent="0.3">
      <c r="K3691" s="1">
        <v>38899</v>
      </c>
      <c r="M3691" t="e">
        <v>#N/A</v>
      </c>
      <c r="N3691" s="1">
        <v>38534</v>
      </c>
    </row>
    <row r="3692" spans="11:14" x14ac:dyDescent="0.3">
      <c r="K3692" s="1">
        <v>38899</v>
      </c>
      <c r="M3692" t="e">
        <v>#N/A</v>
      </c>
      <c r="N3692" s="1">
        <v>38534</v>
      </c>
    </row>
    <row r="3693" spans="11:14" x14ac:dyDescent="0.3">
      <c r="K3693" s="1">
        <v>38899</v>
      </c>
      <c r="M3693" t="e">
        <v>#N/A</v>
      </c>
      <c r="N3693" s="1">
        <v>38534</v>
      </c>
    </row>
    <row r="3694" spans="11:14" x14ac:dyDescent="0.3">
      <c r="K3694" s="1">
        <v>38899</v>
      </c>
      <c r="M3694" t="e">
        <v>#N/A</v>
      </c>
      <c r="N3694" s="1">
        <v>38534</v>
      </c>
    </row>
    <row r="3695" spans="11:14" x14ac:dyDescent="0.3">
      <c r="K3695" s="1">
        <v>38899</v>
      </c>
      <c r="M3695" t="e">
        <v>#N/A</v>
      </c>
      <c r="N3695" s="1">
        <v>38534</v>
      </c>
    </row>
    <row r="3696" spans="11:14" x14ac:dyDescent="0.3">
      <c r="K3696" s="1">
        <v>38899</v>
      </c>
      <c r="M3696" t="e">
        <v>#N/A</v>
      </c>
      <c r="N3696" s="1">
        <v>38534</v>
      </c>
    </row>
    <row r="3697" spans="11:14" x14ac:dyDescent="0.3">
      <c r="K3697" s="1">
        <v>38899</v>
      </c>
      <c r="M3697" t="e">
        <v>#N/A</v>
      </c>
      <c r="N3697" s="1">
        <v>38534</v>
      </c>
    </row>
    <row r="3698" spans="11:14" x14ac:dyDescent="0.3">
      <c r="K3698" s="1">
        <v>38899</v>
      </c>
      <c r="M3698" t="e">
        <v>#N/A</v>
      </c>
      <c r="N3698" s="1">
        <v>38534</v>
      </c>
    </row>
    <row r="3699" spans="11:14" x14ac:dyDescent="0.3">
      <c r="K3699" s="1">
        <v>38899</v>
      </c>
      <c r="M3699" t="e">
        <v>#N/A</v>
      </c>
      <c r="N3699" s="1">
        <v>38534</v>
      </c>
    </row>
    <row r="3700" spans="11:14" x14ac:dyDescent="0.3">
      <c r="K3700" s="1">
        <v>38899</v>
      </c>
      <c r="M3700" t="e">
        <v>#N/A</v>
      </c>
      <c r="N3700" s="1">
        <v>38534</v>
      </c>
    </row>
    <row r="3701" spans="11:14" x14ac:dyDescent="0.3">
      <c r="K3701" s="1">
        <v>38899</v>
      </c>
      <c r="M3701" t="e">
        <v>#N/A</v>
      </c>
      <c r="N3701" s="1">
        <v>38534</v>
      </c>
    </row>
    <row r="3702" spans="11:14" x14ac:dyDescent="0.3">
      <c r="K3702" s="1">
        <v>38899</v>
      </c>
      <c r="M3702" t="e">
        <v>#N/A</v>
      </c>
      <c r="N3702" s="1">
        <v>38534</v>
      </c>
    </row>
    <row r="3703" spans="11:14" x14ac:dyDescent="0.3">
      <c r="K3703" s="1">
        <v>38899</v>
      </c>
      <c r="M3703" t="e">
        <v>#N/A</v>
      </c>
      <c r="N3703" s="1">
        <v>38534</v>
      </c>
    </row>
    <row r="3704" spans="11:14" x14ac:dyDescent="0.3">
      <c r="K3704" s="1">
        <v>38899</v>
      </c>
      <c r="M3704" t="e">
        <v>#N/A</v>
      </c>
      <c r="N3704" s="1">
        <v>38534</v>
      </c>
    </row>
    <row r="3705" spans="11:14" x14ac:dyDescent="0.3">
      <c r="K3705" s="1">
        <v>38899</v>
      </c>
      <c r="M3705" t="e">
        <v>#N/A</v>
      </c>
      <c r="N3705" s="1">
        <v>38534</v>
      </c>
    </row>
    <row r="3706" spans="11:14" x14ac:dyDescent="0.3">
      <c r="K3706" s="1">
        <v>38899</v>
      </c>
      <c r="M3706" t="e">
        <v>#N/A</v>
      </c>
      <c r="N3706" s="1">
        <v>38534</v>
      </c>
    </row>
    <row r="3707" spans="11:14" x14ac:dyDescent="0.3">
      <c r="K3707" s="1">
        <v>38899</v>
      </c>
      <c r="M3707" t="e">
        <v>#N/A</v>
      </c>
      <c r="N3707" s="1">
        <v>38534</v>
      </c>
    </row>
    <row r="3708" spans="11:14" x14ac:dyDescent="0.3">
      <c r="K3708" s="1">
        <v>38899</v>
      </c>
      <c r="M3708" t="e">
        <v>#N/A</v>
      </c>
      <c r="N3708" s="1">
        <v>38534</v>
      </c>
    </row>
    <row r="3709" spans="11:14" x14ac:dyDescent="0.3">
      <c r="K3709" s="1">
        <v>38899</v>
      </c>
      <c r="M3709" t="e">
        <v>#N/A</v>
      </c>
      <c r="N3709" s="1">
        <v>38534</v>
      </c>
    </row>
    <row r="3710" spans="11:14" x14ac:dyDescent="0.3">
      <c r="K3710" s="1">
        <v>38899</v>
      </c>
      <c r="M3710" t="e">
        <v>#N/A</v>
      </c>
      <c r="N3710" s="1">
        <v>38534</v>
      </c>
    </row>
    <row r="3711" spans="11:14" x14ac:dyDescent="0.3">
      <c r="K3711" s="1">
        <v>38899</v>
      </c>
      <c r="M3711" t="e">
        <v>#N/A</v>
      </c>
      <c r="N3711" s="1">
        <v>38534</v>
      </c>
    </row>
    <row r="3712" spans="11:14" x14ac:dyDescent="0.3">
      <c r="K3712" s="1">
        <v>38899</v>
      </c>
      <c r="M3712" t="e">
        <v>#N/A</v>
      </c>
      <c r="N3712" s="1">
        <v>38534</v>
      </c>
    </row>
    <row r="3713" spans="11:14" x14ac:dyDescent="0.3">
      <c r="K3713" s="1">
        <v>38899</v>
      </c>
      <c r="M3713" t="e">
        <v>#N/A</v>
      </c>
      <c r="N3713" s="1">
        <v>38534</v>
      </c>
    </row>
    <row r="3714" spans="11:14" x14ac:dyDescent="0.3">
      <c r="K3714" s="1">
        <v>38899</v>
      </c>
      <c r="M3714" t="e">
        <v>#N/A</v>
      </c>
      <c r="N3714" s="1">
        <v>38534</v>
      </c>
    </row>
    <row r="3715" spans="11:14" x14ac:dyDescent="0.3">
      <c r="K3715" s="1">
        <v>38899</v>
      </c>
      <c r="M3715" t="e">
        <v>#N/A</v>
      </c>
      <c r="N3715" s="1">
        <v>38534</v>
      </c>
    </row>
    <row r="3716" spans="11:14" x14ac:dyDescent="0.3">
      <c r="K3716" s="1">
        <v>38899</v>
      </c>
      <c r="M3716" t="e">
        <v>#N/A</v>
      </c>
      <c r="N3716" s="1">
        <v>38534</v>
      </c>
    </row>
    <row r="3717" spans="11:14" x14ac:dyDescent="0.3">
      <c r="K3717" s="1">
        <v>38899</v>
      </c>
      <c r="M3717" t="e">
        <v>#N/A</v>
      </c>
      <c r="N3717" s="1">
        <v>38534</v>
      </c>
    </row>
    <row r="3718" spans="11:14" x14ac:dyDescent="0.3">
      <c r="K3718" s="1">
        <v>38899</v>
      </c>
      <c r="M3718" t="e">
        <v>#N/A</v>
      </c>
      <c r="N3718" s="1">
        <v>38534</v>
      </c>
    </row>
    <row r="3719" spans="11:14" x14ac:dyDescent="0.3">
      <c r="K3719" s="1">
        <v>38899</v>
      </c>
      <c r="M3719" t="e">
        <v>#N/A</v>
      </c>
      <c r="N3719" s="1">
        <v>38534</v>
      </c>
    </row>
    <row r="3720" spans="11:14" x14ac:dyDescent="0.3">
      <c r="K3720" s="1">
        <v>38899</v>
      </c>
      <c r="M3720" t="e">
        <v>#N/A</v>
      </c>
      <c r="N3720" s="1">
        <v>38534</v>
      </c>
    </row>
    <row r="3721" spans="11:14" x14ac:dyDescent="0.3">
      <c r="K3721" s="1">
        <v>38899</v>
      </c>
      <c r="M3721" t="e">
        <v>#N/A</v>
      </c>
      <c r="N3721" s="1">
        <v>38534</v>
      </c>
    </row>
    <row r="3722" spans="11:14" x14ac:dyDescent="0.3">
      <c r="K3722" s="1">
        <v>38899</v>
      </c>
      <c r="M3722" t="e">
        <v>#N/A</v>
      </c>
      <c r="N3722" s="1">
        <v>38534</v>
      </c>
    </row>
    <row r="3723" spans="11:14" x14ac:dyDescent="0.3">
      <c r="K3723" s="1">
        <v>38899</v>
      </c>
      <c r="M3723" t="e">
        <v>#N/A</v>
      </c>
      <c r="N3723" s="1">
        <v>38534</v>
      </c>
    </row>
    <row r="3724" spans="11:14" x14ac:dyDescent="0.3">
      <c r="K3724" s="1">
        <v>38899</v>
      </c>
      <c r="M3724" t="e">
        <v>#N/A</v>
      </c>
      <c r="N3724" s="1">
        <v>38534</v>
      </c>
    </row>
    <row r="3725" spans="11:14" x14ac:dyDescent="0.3">
      <c r="K3725" s="1">
        <v>38899</v>
      </c>
      <c r="M3725" t="e">
        <v>#N/A</v>
      </c>
      <c r="N3725" s="1">
        <v>38534</v>
      </c>
    </row>
    <row r="3726" spans="11:14" x14ac:dyDescent="0.3">
      <c r="K3726" s="1">
        <v>38899</v>
      </c>
      <c r="M3726" t="e">
        <v>#N/A</v>
      </c>
      <c r="N3726" s="1">
        <v>38534</v>
      </c>
    </row>
    <row r="3727" spans="11:14" x14ac:dyDescent="0.3">
      <c r="K3727" s="1">
        <v>38899</v>
      </c>
      <c r="M3727" t="e">
        <v>#N/A</v>
      </c>
      <c r="N3727" s="1">
        <v>38534</v>
      </c>
    </row>
    <row r="3728" spans="11:14" x14ac:dyDescent="0.3">
      <c r="K3728" s="1">
        <v>38899</v>
      </c>
      <c r="M3728" t="e">
        <v>#N/A</v>
      </c>
      <c r="N3728" s="1">
        <v>38534</v>
      </c>
    </row>
    <row r="3729" spans="11:14" x14ac:dyDescent="0.3">
      <c r="K3729" s="1">
        <v>38899</v>
      </c>
      <c r="M3729" t="e">
        <v>#N/A</v>
      </c>
      <c r="N3729" s="1">
        <v>38534</v>
      </c>
    </row>
    <row r="3730" spans="11:14" x14ac:dyDescent="0.3">
      <c r="K3730" s="1">
        <v>38899</v>
      </c>
      <c r="M3730" t="e">
        <v>#N/A</v>
      </c>
      <c r="N3730" s="1">
        <v>38534</v>
      </c>
    </row>
    <row r="3731" spans="11:14" x14ac:dyDescent="0.3">
      <c r="K3731" s="1">
        <v>38899</v>
      </c>
      <c r="M3731" t="e">
        <v>#N/A</v>
      </c>
      <c r="N3731" s="1">
        <v>38534</v>
      </c>
    </row>
    <row r="3732" spans="11:14" x14ac:dyDescent="0.3">
      <c r="K3732" s="1">
        <v>38899</v>
      </c>
      <c r="M3732" t="e">
        <v>#N/A</v>
      </c>
      <c r="N3732" s="1">
        <v>38534</v>
      </c>
    </row>
    <row r="3733" spans="11:14" x14ac:dyDescent="0.3">
      <c r="K3733" s="1">
        <v>38899</v>
      </c>
      <c r="M3733" t="e">
        <v>#N/A</v>
      </c>
      <c r="N3733" s="1">
        <v>38534</v>
      </c>
    </row>
    <row r="3734" spans="11:14" x14ac:dyDescent="0.3">
      <c r="K3734" s="1">
        <v>38899</v>
      </c>
      <c r="M3734" t="e">
        <v>#N/A</v>
      </c>
      <c r="N3734" s="1">
        <v>38534</v>
      </c>
    </row>
    <row r="3735" spans="11:14" x14ac:dyDescent="0.3">
      <c r="K3735" s="1">
        <v>38899</v>
      </c>
      <c r="M3735" t="e">
        <v>#N/A</v>
      </c>
      <c r="N3735" s="1">
        <v>38534</v>
      </c>
    </row>
    <row r="3736" spans="11:14" x14ac:dyDescent="0.3">
      <c r="K3736" s="1">
        <v>38899</v>
      </c>
      <c r="M3736" t="e">
        <v>#N/A</v>
      </c>
      <c r="N3736" s="1">
        <v>38534</v>
      </c>
    </row>
    <row r="3737" spans="11:14" x14ac:dyDescent="0.3">
      <c r="K3737" s="1">
        <v>38899</v>
      </c>
      <c r="M3737" t="e">
        <v>#N/A</v>
      </c>
      <c r="N3737" s="1">
        <v>38534</v>
      </c>
    </row>
    <row r="3738" spans="11:14" x14ac:dyDescent="0.3">
      <c r="K3738" s="1">
        <v>38899</v>
      </c>
      <c r="M3738" t="e">
        <v>#N/A</v>
      </c>
      <c r="N3738" s="1">
        <v>38534</v>
      </c>
    </row>
    <row r="3739" spans="11:14" x14ac:dyDescent="0.3">
      <c r="K3739" s="1">
        <v>38899</v>
      </c>
      <c r="M3739" t="e">
        <v>#N/A</v>
      </c>
      <c r="N3739" s="1">
        <v>38534</v>
      </c>
    </row>
    <row r="3740" spans="11:14" x14ac:dyDescent="0.3">
      <c r="K3740" s="1">
        <v>38899</v>
      </c>
      <c r="M3740" t="e">
        <v>#N/A</v>
      </c>
      <c r="N3740" s="1">
        <v>38534</v>
      </c>
    </row>
    <row r="3741" spans="11:14" x14ac:dyDescent="0.3">
      <c r="K3741" s="1">
        <v>38899</v>
      </c>
      <c r="M3741" t="e">
        <v>#N/A</v>
      </c>
      <c r="N3741" s="1">
        <v>38534</v>
      </c>
    </row>
    <row r="3742" spans="11:14" x14ac:dyDescent="0.3">
      <c r="K3742" s="1">
        <v>38899</v>
      </c>
      <c r="M3742" t="e">
        <v>#N/A</v>
      </c>
      <c r="N3742" s="1">
        <v>38534</v>
      </c>
    </row>
    <row r="3743" spans="11:14" x14ac:dyDescent="0.3">
      <c r="K3743" s="1">
        <v>38899</v>
      </c>
      <c r="M3743" t="e">
        <v>#N/A</v>
      </c>
      <c r="N3743" s="1">
        <v>38534</v>
      </c>
    </row>
    <row r="3744" spans="11:14" x14ac:dyDescent="0.3">
      <c r="K3744" s="1">
        <v>38899</v>
      </c>
      <c r="M3744" t="e">
        <v>#N/A</v>
      </c>
      <c r="N3744" s="1">
        <v>38534</v>
      </c>
    </row>
    <row r="3745" spans="11:14" x14ac:dyDescent="0.3">
      <c r="K3745" s="1">
        <v>38899</v>
      </c>
      <c r="M3745" t="e">
        <v>#N/A</v>
      </c>
      <c r="N3745" s="1">
        <v>38534</v>
      </c>
    </row>
    <row r="3746" spans="11:14" x14ac:dyDescent="0.3">
      <c r="K3746" s="1">
        <v>38899</v>
      </c>
      <c r="M3746" t="e">
        <v>#N/A</v>
      </c>
      <c r="N3746" s="1">
        <v>38534</v>
      </c>
    </row>
    <row r="3747" spans="11:14" x14ac:dyDescent="0.3">
      <c r="K3747" s="1">
        <v>38899</v>
      </c>
      <c r="M3747" t="e">
        <v>#N/A</v>
      </c>
      <c r="N3747" s="1">
        <v>38534</v>
      </c>
    </row>
    <row r="3748" spans="11:14" x14ac:dyDescent="0.3">
      <c r="K3748" s="1">
        <v>38899</v>
      </c>
      <c r="M3748" t="e">
        <v>#N/A</v>
      </c>
      <c r="N3748" s="1">
        <v>38534</v>
      </c>
    </row>
    <row r="3749" spans="11:14" x14ac:dyDescent="0.3">
      <c r="K3749" s="1">
        <v>38899</v>
      </c>
      <c r="M3749" t="e">
        <v>#N/A</v>
      </c>
      <c r="N3749" s="1">
        <v>38534</v>
      </c>
    </row>
    <row r="3750" spans="11:14" x14ac:dyDescent="0.3">
      <c r="K3750" s="1">
        <v>38899</v>
      </c>
      <c r="M3750" t="e">
        <v>#N/A</v>
      </c>
      <c r="N3750" s="1">
        <v>38534</v>
      </c>
    </row>
    <row r="3751" spans="11:14" x14ac:dyDescent="0.3">
      <c r="K3751" s="1">
        <v>38899</v>
      </c>
      <c r="M3751" t="e">
        <v>#N/A</v>
      </c>
      <c r="N3751" s="1">
        <v>38534</v>
      </c>
    </row>
    <row r="3752" spans="11:14" x14ac:dyDescent="0.3">
      <c r="K3752" s="1">
        <v>38899</v>
      </c>
      <c r="M3752" t="e">
        <v>#N/A</v>
      </c>
      <c r="N3752" s="1">
        <v>38534</v>
      </c>
    </row>
    <row r="3753" spans="11:14" x14ac:dyDescent="0.3">
      <c r="K3753" s="1">
        <v>38899</v>
      </c>
      <c r="M3753" t="e">
        <v>#N/A</v>
      </c>
      <c r="N3753" s="1">
        <v>38534</v>
      </c>
    </row>
    <row r="3754" spans="11:14" x14ac:dyDescent="0.3">
      <c r="K3754" s="1">
        <v>38899</v>
      </c>
      <c r="M3754" t="e">
        <v>#N/A</v>
      </c>
      <c r="N3754" s="1">
        <v>38534</v>
      </c>
    </row>
    <row r="3755" spans="11:14" x14ac:dyDescent="0.3">
      <c r="K3755" s="1">
        <v>38899</v>
      </c>
      <c r="M3755" t="e">
        <v>#N/A</v>
      </c>
      <c r="N3755" s="1">
        <v>38534</v>
      </c>
    </row>
    <row r="3756" spans="11:14" x14ac:dyDescent="0.3">
      <c r="K3756" s="1">
        <v>38899</v>
      </c>
      <c r="M3756" t="e">
        <v>#N/A</v>
      </c>
      <c r="N3756" s="1">
        <v>38534</v>
      </c>
    </row>
    <row r="3757" spans="11:14" x14ac:dyDescent="0.3">
      <c r="K3757" s="1">
        <v>38899</v>
      </c>
      <c r="M3757" t="e">
        <v>#N/A</v>
      </c>
      <c r="N3757" s="1">
        <v>38534</v>
      </c>
    </row>
    <row r="3758" spans="11:14" x14ac:dyDescent="0.3">
      <c r="K3758" s="1">
        <v>38899</v>
      </c>
      <c r="M3758" t="e">
        <v>#N/A</v>
      </c>
      <c r="N3758" s="1">
        <v>38534</v>
      </c>
    </row>
    <row r="3759" spans="11:14" x14ac:dyDescent="0.3">
      <c r="K3759" s="1">
        <v>38899</v>
      </c>
      <c r="M3759" t="e">
        <v>#N/A</v>
      </c>
      <c r="N3759" s="1">
        <v>38534</v>
      </c>
    </row>
    <row r="3760" spans="11:14" x14ac:dyDescent="0.3">
      <c r="K3760" s="1">
        <v>38991</v>
      </c>
      <c r="M3760" t="e">
        <v>#N/A</v>
      </c>
      <c r="N3760" s="1">
        <v>38534</v>
      </c>
    </row>
    <row r="3761" spans="11:14" x14ac:dyDescent="0.3">
      <c r="K3761" s="1">
        <v>38991</v>
      </c>
      <c r="M3761" t="e">
        <v>#N/A</v>
      </c>
      <c r="N3761" s="1">
        <v>38534</v>
      </c>
    </row>
    <row r="3762" spans="11:14" x14ac:dyDescent="0.3">
      <c r="K3762" s="1">
        <v>38991</v>
      </c>
      <c r="M3762" t="e">
        <v>#N/A</v>
      </c>
      <c r="N3762" s="1">
        <v>38534</v>
      </c>
    </row>
    <row r="3763" spans="11:14" x14ac:dyDescent="0.3">
      <c r="K3763" s="1">
        <v>38991</v>
      </c>
      <c r="M3763" t="e">
        <v>#N/A</v>
      </c>
      <c r="N3763" s="1">
        <v>38534</v>
      </c>
    </row>
    <row r="3764" spans="11:14" x14ac:dyDescent="0.3">
      <c r="K3764" s="1">
        <v>38991</v>
      </c>
      <c r="M3764" t="e">
        <v>#N/A</v>
      </c>
      <c r="N3764" s="1">
        <v>38534</v>
      </c>
    </row>
    <row r="3765" spans="11:14" x14ac:dyDescent="0.3">
      <c r="K3765" s="1">
        <v>38991</v>
      </c>
      <c r="M3765" t="e">
        <v>#N/A</v>
      </c>
      <c r="N3765" s="1">
        <v>38534</v>
      </c>
    </row>
    <row r="3766" spans="11:14" x14ac:dyDescent="0.3">
      <c r="K3766" s="1">
        <v>38991</v>
      </c>
      <c r="M3766" t="e">
        <v>#N/A</v>
      </c>
      <c r="N3766" s="1">
        <v>38534</v>
      </c>
    </row>
    <row r="3767" spans="11:14" x14ac:dyDescent="0.3">
      <c r="K3767" s="1">
        <v>38991</v>
      </c>
      <c r="M3767" t="e">
        <v>#N/A</v>
      </c>
      <c r="N3767" s="1">
        <v>38534</v>
      </c>
    </row>
    <row r="3768" spans="11:14" x14ac:dyDescent="0.3">
      <c r="K3768" s="1">
        <v>38991</v>
      </c>
      <c r="M3768" t="e">
        <v>#N/A</v>
      </c>
      <c r="N3768" s="1">
        <v>38534</v>
      </c>
    </row>
    <row r="3769" spans="11:14" x14ac:dyDescent="0.3">
      <c r="K3769" s="1">
        <v>38991</v>
      </c>
      <c r="M3769" t="e">
        <v>#N/A</v>
      </c>
      <c r="N3769" s="1">
        <v>38534</v>
      </c>
    </row>
    <row r="3770" spans="11:14" x14ac:dyDescent="0.3">
      <c r="K3770" s="1">
        <v>38991</v>
      </c>
      <c r="M3770" t="e">
        <v>#N/A</v>
      </c>
      <c r="N3770" s="1">
        <v>38534</v>
      </c>
    </row>
    <row r="3771" spans="11:14" x14ac:dyDescent="0.3">
      <c r="K3771" s="1">
        <v>38991</v>
      </c>
      <c r="M3771" t="e">
        <v>#N/A</v>
      </c>
      <c r="N3771" s="1">
        <v>38534</v>
      </c>
    </row>
    <row r="3772" spans="11:14" x14ac:dyDescent="0.3">
      <c r="K3772" s="1">
        <v>38991</v>
      </c>
      <c r="M3772" t="e">
        <v>#N/A</v>
      </c>
      <c r="N3772" s="1">
        <v>38534</v>
      </c>
    </row>
    <row r="3773" spans="11:14" x14ac:dyDescent="0.3">
      <c r="K3773" s="1">
        <v>38991</v>
      </c>
      <c r="M3773" t="e">
        <v>#N/A</v>
      </c>
      <c r="N3773" s="1">
        <v>38534</v>
      </c>
    </row>
    <row r="3774" spans="11:14" x14ac:dyDescent="0.3">
      <c r="K3774" s="1">
        <v>38991</v>
      </c>
      <c r="M3774" t="e">
        <v>#N/A</v>
      </c>
      <c r="N3774" s="1">
        <v>38534</v>
      </c>
    </row>
    <row r="3775" spans="11:14" x14ac:dyDescent="0.3">
      <c r="K3775" s="1">
        <v>38991</v>
      </c>
      <c r="M3775" t="e">
        <v>#N/A</v>
      </c>
      <c r="N3775" s="1">
        <v>38534</v>
      </c>
    </row>
    <row r="3776" spans="11:14" x14ac:dyDescent="0.3">
      <c r="K3776" s="1">
        <v>38991</v>
      </c>
      <c r="M3776" t="e">
        <v>#N/A</v>
      </c>
      <c r="N3776" s="1">
        <v>38534</v>
      </c>
    </row>
    <row r="3777" spans="11:14" x14ac:dyDescent="0.3">
      <c r="K3777" s="1">
        <v>38991</v>
      </c>
      <c r="M3777" t="e">
        <v>#N/A</v>
      </c>
      <c r="N3777" s="1">
        <v>38534</v>
      </c>
    </row>
    <row r="3778" spans="11:14" x14ac:dyDescent="0.3">
      <c r="K3778" s="1">
        <v>38991</v>
      </c>
      <c r="M3778" t="e">
        <v>#N/A</v>
      </c>
      <c r="N3778" s="1">
        <v>38534</v>
      </c>
    </row>
    <row r="3779" spans="11:14" x14ac:dyDescent="0.3">
      <c r="K3779" s="1">
        <v>38991</v>
      </c>
      <c r="M3779" t="e">
        <v>#N/A</v>
      </c>
      <c r="N3779" s="1">
        <v>38534</v>
      </c>
    </row>
    <row r="3780" spans="11:14" x14ac:dyDescent="0.3">
      <c r="K3780" s="1">
        <v>38991</v>
      </c>
      <c r="M3780" t="e">
        <v>#N/A</v>
      </c>
      <c r="N3780" s="1">
        <v>38534</v>
      </c>
    </row>
    <row r="3781" spans="11:14" x14ac:dyDescent="0.3">
      <c r="K3781" s="1">
        <v>38991</v>
      </c>
      <c r="M3781" t="e">
        <v>#N/A</v>
      </c>
      <c r="N3781" s="1">
        <v>38534</v>
      </c>
    </row>
    <row r="3782" spans="11:14" x14ac:dyDescent="0.3">
      <c r="K3782" s="1">
        <v>38991</v>
      </c>
      <c r="M3782" t="e">
        <v>#N/A</v>
      </c>
      <c r="N3782" s="1">
        <v>38534</v>
      </c>
    </row>
    <row r="3783" spans="11:14" x14ac:dyDescent="0.3">
      <c r="K3783" s="1">
        <v>38991</v>
      </c>
      <c r="M3783" t="e">
        <v>#N/A</v>
      </c>
      <c r="N3783" s="1">
        <v>38534</v>
      </c>
    </row>
    <row r="3784" spans="11:14" x14ac:dyDescent="0.3">
      <c r="K3784" s="1">
        <v>38991</v>
      </c>
      <c r="M3784" t="e">
        <v>#N/A</v>
      </c>
      <c r="N3784" s="1">
        <v>38534</v>
      </c>
    </row>
    <row r="3785" spans="11:14" x14ac:dyDescent="0.3">
      <c r="K3785" s="1">
        <v>38991</v>
      </c>
      <c r="M3785" t="e">
        <v>#N/A</v>
      </c>
      <c r="N3785" s="1">
        <v>38534</v>
      </c>
    </row>
    <row r="3786" spans="11:14" x14ac:dyDescent="0.3">
      <c r="K3786" s="1">
        <v>38991</v>
      </c>
      <c r="M3786" t="e">
        <v>#N/A</v>
      </c>
      <c r="N3786" s="1">
        <v>38534</v>
      </c>
    </row>
    <row r="3787" spans="11:14" x14ac:dyDescent="0.3">
      <c r="K3787" s="1">
        <v>38991</v>
      </c>
      <c r="M3787" t="e">
        <v>#N/A</v>
      </c>
      <c r="N3787" s="1">
        <v>38534</v>
      </c>
    </row>
    <row r="3788" spans="11:14" x14ac:dyDescent="0.3">
      <c r="K3788" s="1">
        <v>38991</v>
      </c>
      <c r="M3788" t="e">
        <v>#N/A</v>
      </c>
      <c r="N3788" s="1">
        <v>38534</v>
      </c>
    </row>
    <row r="3789" spans="11:14" x14ac:dyDescent="0.3">
      <c r="K3789" s="1">
        <v>38991</v>
      </c>
      <c r="M3789" t="e">
        <v>#N/A</v>
      </c>
      <c r="N3789" s="1">
        <v>38534</v>
      </c>
    </row>
    <row r="3790" spans="11:14" x14ac:dyDescent="0.3">
      <c r="K3790" s="1">
        <v>38991</v>
      </c>
      <c r="M3790" t="e">
        <v>#N/A</v>
      </c>
      <c r="N3790" s="1">
        <v>38534</v>
      </c>
    </row>
    <row r="3791" spans="11:14" x14ac:dyDescent="0.3">
      <c r="K3791" s="1">
        <v>38991</v>
      </c>
      <c r="M3791" t="e">
        <v>#N/A</v>
      </c>
      <c r="N3791" s="1">
        <v>38534</v>
      </c>
    </row>
    <row r="3792" spans="11:14" x14ac:dyDescent="0.3">
      <c r="K3792" s="1">
        <v>38991</v>
      </c>
      <c r="M3792" t="e">
        <v>#N/A</v>
      </c>
      <c r="N3792" s="1">
        <v>38534</v>
      </c>
    </row>
    <row r="3793" spans="11:14" x14ac:dyDescent="0.3">
      <c r="K3793" s="1">
        <v>38991</v>
      </c>
      <c r="M3793" t="e">
        <v>#N/A</v>
      </c>
      <c r="N3793" s="1">
        <v>38534</v>
      </c>
    </row>
    <row r="3794" spans="11:14" x14ac:dyDescent="0.3">
      <c r="K3794" s="1">
        <v>38991</v>
      </c>
      <c r="M3794" t="e">
        <v>#N/A</v>
      </c>
      <c r="N3794" s="1">
        <v>38534</v>
      </c>
    </row>
    <row r="3795" spans="11:14" x14ac:dyDescent="0.3">
      <c r="K3795" s="1">
        <v>38991</v>
      </c>
      <c r="M3795" t="e">
        <v>#N/A</v>
      </c>
      <c r="N3795" s="1">
        <v>38534</v>
      </c>
    </row>
    <row r="3796" spans="11:14" x14ac:dyDescent="0.3">
      <c r="K3796" s="1">
        <v>38991</v>
      </c>
      <c r="M3796" t="e">
        <v>#N/A</v>
      </c>
      <c r="N3796" s="1">
        <v>38534</v>
      </c>
    </row>
    <row r="3797" spans="11:14" x14ac:dyDescent="0.3">
      <c r="K3797" s="1">
        <v>38991</v>
      </c>
      <c r="M3797" t="e">
        <v>#N/A</v>
      </c>
      <c r="N3797" s="1">
        <v>38534</v>
      </c>
    </row>
    <row r="3798" spans="11:14" x14ac:dyDescent="0.3">
      <c r="K3798" s="1">
        <v>38991</v>
      </c>
      <c r="M3798" t="e">
        <v>#N/A</v>
      </c>
      <c r="N3798" s="1">
        <v>38534</v>
      </c>
    </row>
    <row r="3799" spans="11:14" x14ac:dyDescent="0.3">
      <c r="K3799" s="1">
        <v>38991</v>
      </c>
      <c r="M3799" t="e">
        <v>#N/A</v>
      </c>
      <c r="N3799" s="1">
        <v>38534</v>
      </c>
    </row>
    <row r="3800" spans="11:14" x14ac:dyDescent="0.3">
      <c r="K3800" s="1">
        <v>38991</v>
      </c>
      <c r="M3800" t="e">
        <v>#N/A</v>
      </c>
      <c r="N3800" s="1">
        <v>38534</v>
      </c>
    </row>
    <row r="3801" spans="11:14" x14ac:dyDescent="0.3">
      <c r="K3801" s="1">
        <v>38991</v>
      </c>
      <c r="M3801" t="e">
        <v>#N/A</v>
      </c>
      <c r="N3801" s="1">
        <v>38534</v>
      </c>
    </row>
    <row r="3802" spans="11:14" x14ac:dyDescent="0.3">
      <c r="K3802" s="1">
        <v>38991</v>
      </c>
      <c r="M3802" t="e">
        <v>#N/A</v>
      </c>
      <c r="N3802" s="1">
        <v>38534</v>
      </c>
    </row>
    <row r="3803" spans="11:14" x14ac:dyDescent="0.3">
      <c r="K3803" s="1">
        <v>38991</v>
      </c>
      <c r="M3803" t="e">
        <v>#N/A</v>
      </c>
      <c r="N3803" s="1">
        <v>38534</v>
      </c>
    </row>
    <row r="3804" spans="11:14" x14ac:dyDescent="0.3">
      <c r="K3804" s="1">
        <v>38991</v>
      </c>
      <c r="M3804" t="e">
        <v>#N/A</v>
      </c>
      <c r="N3804" s="1">
        <v>38626</v>
      </c>
    </row>
    <row r="3805" spans="11:14" x14ac:dyDescent="0.3">
      <c r="K3805" s="1">
        <v>38991</v>
      </c>
      <c r="M3805" t="e">
        <v>#N/A</v>
      </c>
      <c r="N3805" s="1">
        <v>38626</v>
      </c>
    </row>
    <row r="3806" spans="11:14" x14ac:dyDescent="0.3">
      <c r="K3806" s="1">
        <v>38991</v>
      </c>
      <c r="M3806" t="e">
        <v>#N/A</v>
      </c>
      <c r="N3806" s="1">
        <v>38626</v>
      </c>
    </row>
    <row r="3807" spans="11:14" x14ac:dyDescent="0.3">
      <c r="K3807" s="1">
        <v>38991</v>
      </c>
      <c r="M3807" t="e">
        <v>#N/A</v>
      </c>
      <c r="N3807" s="1">
        <v>38626</v>
      </c>
    </row>
    <row r="3808" spans="11:14" x14ac:dyDescent="0.3">
      <c r="K3808" s="1">
        <v>38991</v>
      </c>
      <c r="M3808" t="e">
        <v>#N/A</v>
      </c>
      <c r="N3808" s="1">
        <v>38626</v>
      </c>
    </row>
    <row r="3809" spans="11:14" x14ac:dyDescent="0.3">
      <c r="K3809" s="1">
        <v>38991</v>
      </c>
      <c r="M3809" t="e">
        <v>#N/A</v>
      </c>
      <c r="N3809" s="1">
        <v>38626</v>
      </c>
    </row>
    <row r="3810" spans="11:14" x14ac:dyDescent="0.3">
      <c r="K3810" s="1">
        <v>38991</v>
      </c>
      <c r="M3810" t="e">
        <v>#N/A</v>
      </c>
      <c r="N3810" s="1">
        <v>38626</v>
      </c>
    </row>
    <row r="3811" spans="11:14" x14ac:dyDescent="0.3">
      <c r="K3811" s="1">
        <v>38991</v>
      </c>
      <c r="M3811" t="e">
        <v>#N/A</v>
      </c>
      <c r="N3811" s="1">
        <v>38626</v>
      </c>
    </row>
    <row r="3812" spans="11:14" x14ac:dyDescent="0.3">
      <c r="K3812" s="1">
        <v>38991</v>
      </c>
      <c r="M3812" t="e">
        <v>#N/A</v>
      </c>
      <c r="N3812" s="1">
        <v>38626</v>
      </c>
    </row>
    <row r="3813" spans="11:14" x14ac:dyDescent="0.3">
      <c r="K3813" s="1">
        <v>38991</v>
      </c>
      <c r="M3813" t="e">
        <v>#N/A</v>
      </c>
      <c r="N3813" s="1">
        <v>38626</v>
      </c>
    </row>
    <row r="3814" spans="11:14" x14ac:dyDescent="0.3">
      <c r="K3814" s="1">
        <v>38991</v>
      </c>
      <c r="M3814" t="e">
        <v>#N/A</v>
      </c>
      <c r="N3814" s="1">
        <v>38626</v>
      </c>
    </row>
    <row r="3815" spans="11:14" x14ac:dyDescent="0.3">
      <c r="K3815" s="1">
        <v>38991</v>
      </c>
      <c r="M3815" t="e">
        <v>#N/A</v>
      </c>
      <c r="N3815" s="1">
        <v>38626</v>
      </c>
    </row>
    <row r="3816" spans="11:14" x14ac:dyDescent="0.3">
      <c r="K3816" s="1">
        <v>38991</v>
      </c>
      <c r="M3816" t="e">
        <v>#N/A</v>
      </c>
      <c r="N3816" s="1">
        <v>38626</v>
      </c>
    </row>
    <row r="3817" spans="11:14" x14ac:dyDescent="0.3">
      <c r="K3817" s="1">
        <v>38991</v>
      </c>
      <c r="M3817" t="e">
        <v>#N/A</v>
      </c>
      <c r="N3817" s="1">
        <v>38626</v>
      </c>
    </row>
    <row r="3818" spans="11:14" x14ac:dyDescent="0.3">
      <c r="K3818" s="1">
        <v>38991</v>
      </c>
      <c r="M3818" t="e">
        <v>#N/A</v>
      </c>
      <c r="N3818" s="1">
        <v>38626</v>
      </c>
    </row>
    <row r="3819" spans="11:14" x14ac:dyDescent="0.3">
      <c r="K3819" s="1">
        <v>38991</v>
      </c>
      <c r="M3819" t="e">
        <v>#N/A</v>
      </c>
      <c r="N3819" s="1">
        <v>38626</v>
      </c>
    </row>
    <row r="3820" spans="11:14" x14ac:dyDescent="0.3">
      <c r="K3820" s="1">
        <v>38991</v>
      </c>
      <c r="M3820" t="e">
        <v>#N/A</v>
      </c>
      <c r="N3820" s="1">
        <v>38626</v>
      </c>
    </row>
    <row r="3821" spans="11:14" x14ac:dyDescent="0.3">
      <c r="K3821" s="1">
        <v>38991</v>
      </c>
      <c r="M3821" t="e">
        <v>#N/A</v>
      </c>
      <c r="N3821" s="1">
        <v>38626</v>
      </c>
    </row>
    <row r="3822" spans="11:14" x14ac:dyDescent="0.3">
      <c r="K3822" s="1">
        <v>38991</v>
      </c>
      <c r="M3822" t="e">
        <v>#N/A</v>
      </c>
      <c r="N3822" s="1">
        <v>38626</v>
      </c>
    </row>
    <row r="3823" spans="11:14" x14ac:dyDescent="0.3">
      <c r="K3823" s="1">
        <v>38991</v>
      </c>
      <c r="M3823" t="e">
        <v>#N/A</v>
      </c>
      <c r="N3823" s="1">
        <v>38626</v>
      </c>
    </row>
    <row r="3824" spans="11:14" x14ac:dyDescent="0.3">
      <c r="K3824" s="1">
        <v>38991</v>
      </c>
      <c r="M3824" t="e">
        <v>#N/A</v>
      </c>
      <c r="N3824" s="1">
        <v>38626</v>
      </c>
    </row>
    <row r="3825" spans="11:14" x14ac:dyDescent="0.3">
      <c r="K3825" s="1">
        <v>38991</v>
      </c>
      <c r="M3825" t="e">
        <v>#N/A</v>
      </c>
      <c r="N3825" s="1">
        <v>38626</v>
      </c>
    </row>
    <row r="3826" spans="11:14" x14ac:dyDescent="0.3">
      <c r="K3826" s="1">
        <v>38991</v>
      </c>
      <c r="M3826" t="e">
        <v>#N/A</v>
      </c>
      <c r="N3826" s="1">
        <v>38626</v>
      </c>
    </row>
    <row r="3827" spans="11:14" x14ac:dyDescent="0.3">
      <c r="K3827" s="1">
        <v>38991</v>
      </c>
      <c r="M3827" t="e">
        <v>#N/A</v>
      </c>
      <c r="N3827" s="1">
        <v>38626</v>
      </c>
    </row>
    <row r="3828" spans="11:14" x14ac:dyDescent="0.3">
      <c r="K3828" s="1">
        <v>38991</v>
      </c>
      <c r="M3828" t="e">
        <v>#N/A</v>
      </c>
      <c r="N3828" s="1">
        <v>38626</v>
      </c>
    </row>
    <row r="3829" spans="11:14" x14ac:dyDescent="0.3">
      <c r="K3829" s="1">
        <v>38991</v>
      </c>
      <c r="M3829" t="e">
        <v>#N/A</v>
      </c>
      <c r="N3829" s="1">
        <v>38626</v>
      </c>
    </row>
    <row r="3830" spans="11:14" x14ac:dyDescent="0.3">
      <c r="K3830" s="1">
        <v>38991</v>
      </c>
      <c r="M3830" t="e">
        <v>#N/A</v>
      </c>
      <c r="N3830" s="1">
        <v>38626</v>
      </c>
    </row>
    <row r="3831" spans="11:14" x14ac:dyDescent="0.3">
      <c r="K3831" s="1">
        <v>38991</v>
      </c>
      <c r="M3831" t="e">
        <v>#N/A</v>
      </c>
      <c r="N3831" s="1">
        <v>38626</v>
      </c>
    </row>
    <row r="3832" spans="11:14" x14ac:dyDescent="0.3">
      <c r="K3832" s="1">
        <v>38991</v>
      </c>
      <c r="M3832" t="e">
        <v>#N/A</v>
      </c>
      <c r="N3832" s="1">
        <v>38626</v>
      </c>
    </row>
    <row r="3833" spans="11:14" x14ac:dyDescent="0.3">
      <c r="K3833" s="1">
        <v>38991</v>
      </c>
      <c r="M3833" t="e">
        <v>#N/A</v>
      </c>
      <c r="N3833" s="1">
        <v>38626</v>
      </c>
    </row>
    <row r="3834" spans="11:14" x14ac:dyDescent="0.3">
      <c r="K3834" s="1">
        <v>38991</v>
      </c>
      <c r="M3834" t="e">
        <v>#N/A</v>
      </c>
      <c r="N3834" s="1">
        <v>38626</v>
      </c>
    </row>
    <row r="3835" spans="11:14" x14ac:dyDescent="0.3">
      <c r="K3835" s="1">
        <v>38991</v>
      </c>
      <c r="M3835" t="e">
        <v>#N/A</v>
      </c>
      <c r="N3835" s="1">
        <v>38626</v>
      </c>
    </row>
    <row r="3836" spans="11:14" x14ac:dyDescent="0.3">
      <c r="K3836" s="1">
        <v>38991</v>
      </c>
      <c r="M3836" t="e">
        <v>#N/A</v>
      </c>
      <c r="N3836" s="1">
        <v>38626</v>
      </c>
    </row>
    <row r="3837" spans="11:14" x14ac:dyDescent="0.3">
      <c r="K3837" s="1">
        <v>38991</v>
      </c>
      <c r="M3837" t="e">
        <v>#N/A</v>
      </c>
      <c r="N3837" s="1">
        <v>38626</v>
      </c>
    </row>
    <row r="3838" spans="11:14" x14ac:dyDescent="0.3">
      <c r="K3838" s="1">
        <v>38991</v>
      </c>
      <c r="M3838" t="e">
        <v>#N/A</v>
      </c>
      <c r="N3838" s="1">
        <v>38626</v>
      </c>
    </row>
    <row r="3839" spans="11:14" x14ac:dyDescent="0.3">
      <c r="K3839" s="1">
        <v>38991</v>
      </c>
      <c r="M3839" t="e">
        <v>#N/A</v>
      </c>
      <c r="N3839" s="1">
        <v>38626</v>
      </c>
    </row>
    <row r="3840" spans="11:14" x14ac:dyDescent="0.3">
      <c r="K3840" s="1">
        <v>38991</v>
      </c>
      <c r="M3840" t="e">
        <v>#N/A</v>
      </c>
      <c r="N3840" s="1">
        <v>38626</v>
      </c>
    </row>
    <row r="3841" spans="11:14" x14ac:dyDescent="0.3">
      <c r="K3841" s="1">
        <v>38991</v>
      </c>
      <c r="M3841" t="e">
        <v>#N/A</v>
      </c>
      <c r="N3841" s="1">
        <v>38626</v>
      </c>
    </row>
    <row r="3842" spans="11:14" x14ac:dyDescent="0.3">
      <c r="K3842" s="1">
        <v>38991</v>
      </c>
      <c r="M3842" t="e">
        <v>#N/A</v>
      </c>
      <c r="N3842" s="1">
        <v>38626</v>
      </c>
    </row>
    <row r="3843" spans="11:14" x14ac:dyDescent="0.3">
      <c r="K3843" s="1">
        <v>38991</v>
      </c>
      <c r="M3843" t="e">
        <v>#N/A</v>
      </c>
      <c r="N3843" s="1">
        <v>38626</v>
      </c>
    </row>
    <row r="3844" spans="11:14" x14ac:dyDescent="0.3">
      <c r="K3844" s="1">
        <v>38991</v>
      </c>
      <c r="M3844" t="e">
        <v>#N/A</v>
      </c>
      <c r="N3844" s="1">
        <v>38626</v>
      </c>
    </row>
    <row r="3845" spans="11:14" x14ac:dyDescent="0.3">
      <c r="K3845" s="1">
        <v>38991</v>
      </c>
      <c r="M3845" t="e">
        <v>#N/A</v>
      </c>
      <c r="N3845" s="1">
        <v>38626</v>
      </c>
    </row>
    <row r="3846" spans="11:14" x14ac:dyDescent="0.3">
      <c r="K3846" s="1">
        <v>38991</v>
      </c>
      <c r="M3846" t="e">
        <v>#N/A</v>
      </c>
      <c r="N3846" s="1">
        <v>38626</v>
      </c>
    </row>
    <row r="3847" spans="11:14" x14ac:dyDescent="0.3">
      <c r="K3847" s="1">
        <v>38991</v>
      </c>
      <c r="M3847" t="e">
        <v>#N/A</v>
      </c>
      <c r="N3847" s="1">
        <v>38626</v>
      </c>
    </row>
    <row r="3848" spans="11:14" x14ac:dyDescent="0.3">
      <c r="K3848" s="1">
        <v>38991</v>
      </c>
      <c r="M3848" t="e">
        <v>#N/A</v>
      </c>
      <c r="N3848" s="1">
        <v>38626</v>
      </c>
    </row>
    <row r="3849" spans="11:14" x14ac:dyDescent="0.3">
      <c r="K3849" s="1">
        <v>38991</v>
      </c>
      <c r="M3849" t="e">
        <v>#N/A</v>
      </c>
      <c r="N3849" s="1">
        <v>38626</v>
      </c>
    </row>
    <row r="3850" spans="11:14" x14ac:dyDescent="0.3">
      <c r="K3850" s="1">
        <v>38991</v>
      </c>
      <c r="M3850" t="e">
        <v>#N/A</v>
      </c>
      <c r="N3850" s="1">
        <v>38626</v>
      </c>
    </row>
    <row r="3851" spans="11:14" x14ac:dyDescent="0.3">
      <c r="K3851" s="1">
        <v>38991</v>
      </c>
      <c r="M3851" t="e">
        <v>#N/A</v>
      </c>
      <c r="N3851" s="1">
        <v>38626</v>
      </c>
    </row>
    <row r="3852" spans="11:14" x14ac:dyDescent="0.3">
      <c r="K3852" s="1">
        <v>38991</v>
      </c>
      <c r="M3852" t="e">
        <v>#N/A</v>
      </c>
      <c r="N3852" s="1">
        <v>38626</v>
      </c>
    </row>
    <row r="3853" spans="11:14" x14ac:dyDescent="0.3">
      <c r="K3853" s="1">
        <v>38991</v>
      </c>
      <c r="M3853" t="e">
        <v>#N/A</v>
      </c>
      <c r="N3853" s="1">
        <v>38626</v>
      </c>
    </row>
    <row r="3854" spans="11:14" x14ac:dyDescent="0.3">
      <c r="K3854" s="1">
        <v>38991</v>
      </c>
      <c r="M3854" t="e">
        <v>#N/A</v>
      </c>
      <c r="N3854" s="1">
        <v>38626</v>
      </c>
    </row>
    <row r="3855" spans="11:14" x14ac:dyDescent="0.3">
      <c r="K3855" s="1">
        <v>38991</v>
      </c>
      <c r="M3855" t="e">
        <v>#N/A</v>
      </c>
      <c r="N3855" s="1">
        <v>38626</v>
      </c>
    </row>
    <row r="3856" spans="11:14" x14ac:dyDescent="0.3">
      <c r="K3856" s="1">
        <v>38991</v>
      </c>
      <c r="M3856" t="e">
        <v>#N/A</v>
      </c>
      <c r="N3856" s="1">
        <v>38626</v>
      </c>
    </row>
    <row r="3857" spans="11:14" x14ac:dyDescent="0.3">
      <c r="K3857" s="1">
        <v>38991</v>
      </c>
      <c r="M3857" t="e">
        <v>#N/A</v>
      </c>
      <c r="N3857" s="1">
        <v>38626</v>
      </c>
    </row>
    <row r="3858" spans="11:14" x14ac:dyDescent="0.3">
      <c r="K3858" s="1">
        <v>38991</v>
      </c>
      <c r="M3858" t="e">
        <v>#N/A</v>
      </c>
      <c r="N3858" s="1">
        <v>38626</v>
      </c>
    </row>
    <row r="3859" spans="11:14" x14ac:dyDescent="0.3">
      <c r="K3859" s="1">
        <v>38991</v>
      </c>
      <c r="M3859" t="e">
        <v>#N/A</v>
      </c>
      <c r="N3859" s="1">
        <v>38626</v>
      </c>
    </row>
    <row r="3860" spans="11:14" x14ac:dyDescent="0.3">
      <c r="K3860" s="1">
        <v>38991</v>
      </c>
      <c r="M3860" t="e">
        <v>#N/A</v>
      </c>
      <c r="N3860" s="1">
        <v>38626</v>
      </c>
    </row>
    <row r="3861" spans="11:14" x14ac:dyDescent="0.3">
      <c r="K3861" s="1">
        <v>38991</v>
      </c>
      <c r="M3861" t="e">
        <v>#N/A</v>
      </c>
      <c r="N3861" s="1">
        <v>38626</v>
      </c>
    </row>
    <row r="3862" spans="11:14" x14ac:dyDescent="0.3">
      <c r="K3862" s="1">
        <v>38991</v>
      </c>
      <c r="M3862" t="e">
        <v>#N/A</v>
      </c>
      <c r="N3862" s="1">
        <v>38626</v>
      </c>
    </row>
    <row r="3863" spans="11:14" x14ac:dyDescent="0.3">
      <c r="K3863" s="1">
        <v>38991</v>
      </c>
      <c r="M3863" t="e">
        <v>#N/A</v>
      </c>
      <c r="N3863" s="1">
        <v>38626</v>
      </c>
    </row>
    <row r="3864" spans="11:14" x14ac:dyDescent="0.3">
      <c r="K3864" s="1">
        <v>38991</v>
      </c>
      <c r="M3864" t="e">
        <v>#N/A</v>
      </c>
      <c r="N3864" s="1">
        <v>38626</v>
      </c>
    </row>
    <row r="3865" spans="11:14" x14ac:dyDescent="0.3">
      <c r="K3865" s="1">
        <v>38991</v>
      </c>
      <c r="M3865" t="e">
        <v>#N/A</v>
      </c>
      <c r="N3865" s="1">
        <v>38626</v>
      </c>
    </row>
    <row r="3866" spans="11:14" x14ac:dyDescent="0.3">
      <c r="K3866" s="1">
        <v>38991</v>
      </c>
      <c r="M3866" t="e">
        <v>#N/A</v>
      </c>
      <c r="N3866" s="1">
        <v>38626</v>
      </c>
    </row>
    <row r="3867" spans="11:14" x14ac:dyDescent="0.3">
      <c r="K3867" s="1">
        <v>38991</v>
      </c>
      <c r="M3867" t="e">
        <v>#N/A</v>
      </c>
      <c r="N3867" s="1">
        <v>38626</v>
      </c>
    </row>
    <row r="3868" spans="11:14" x14ac:dyDescent="0.3">
      <c r="K3868" s="1">
        <v>38991</v>
      </c>
      <c r="M3868" t="e">
        <v>#N/A</v>
      </c>
      <c r="N3868" s="1">
        <v>38626</v>
      </c>
    </row>
    <row r="3869" spans="11:14" x14ac:dyDescent="0.3">
      <c r="K3869" s="1">
        <v>38991</v>
      </c>
      <c r="M3869" t="e">
        <v>#N/A</v>
      </c>
      <c r="N3869" s="1">
        <v>38626</v>
      </c>
    </row>
    <row r="3870" spans="11:14" x14ac:dyDescent="0.3">
      <c r="K3870" s="1">
        <v>38991</v>
      </c>
      <c r="M3870" t="e">
        <v>#N/A</v>
      </c>
      <c r="N3870" s="1">
        <v>38626</v>
      </c>
    </row>
    <row r="3871" spans="11:14" x14ac:dyDescent="0.3">
      <c r="K3871" s="1">
        <v>38991</v>
      </c>
      <c r="M3871" t="e">
        <v>#N/A</v>
      </c>
      <c r="N3871" s="1">
        <v>38626</v>
      </c>
    </row>
    <row r="3872" spans="11:14" x14ac:dyDescent="0.3">
      <c r="K3872" s="1">
        <v>38991</v>
      </c>
      <c r="M3872" t="e">
        <v>#N/A</v>
      </c>
      <c r="N3872" s="1">
        <v>38626</v>
      </c>
    </row>
    <row r="3873" spans="11:14" x14ac:dyDescent="0.3">
      <c r="K3873" s="1">
        <v>38991</v>
      </c>
      <c r="M3873" t="e">
        <v>#N/A</v>
      </c>
      <c r="N3873" s="1">
        <v>38626</v>
      </c>
    </row>
    <row r="3874" spans="11:14" x14ac:dyDescent="0.3">
      <c r="K3874" s="1">
        <v>38991</v>
      </c>
      <c r="M3874" t="e">
        <v>#N/A</v>
      </c>
      <c r="N3874" s="1">
        <v>38626</v>
      </c>
    </row>
    <row r="3875" spans="11:14" x14ac:dyDescent="0.3">
      <c r="K3875" s="1">
        <v>38991</v>
      </c>
      <c r="M3875" t="e">
        <v>#N/A</v>
      </c>
      <c r="N3875" s="1">
        <v>38626</v>
      </c>
    </row>
    <row r="3876" spans="11:14" x14ac:dyDescent="0.3">
      <c r="K3876" s="1">
        <v>38991</v>
      </c>
      <c r="M3876" t="e">
        <v>#N/A</v>
      </c>
      <c r="N3876" s="1">
        <v>38626</v>
      </c>
    </row>
    <row r="3877" spans="11:14" x14ac:dyDescent="0.3">
      <c r="K3877" s="1">
        <v>38991</v>
      </c>
      <c r="M3877" t="e">
        <v>#N/A</v>
      </c>
      <c r="N3877" s="1">
        <v>38626</v>
      </c>
    </row>
    <row r="3878" spans="11:14" x14ac:dyDescent="0.3">
      <c r="K3878" s="1">
        <v>38991</v>
      </c>
      <c r="M3878" t="e">
        <v>#N/A</v>
      </c>
      <c r="N3878" s="1">
        <v>38626</v>
      </c>
    </row>
    <row r="3879" spans="11:14" x14ac:dyDescent="0.3">
      <c r="K3879" s="1">
        <v>38991</v>
      </c>
      <c r="M3879" t="e">
        <v>#N/A</v>
      </c>
      <c r="N3879" s="1">
        <v>38626</v>
      </c>
    </row>
    <row r="3880" spans="11:14" x14ac:dyDescent="0.3">
      <c r="K3880" s="1">
        <v>38991</v>
      </c>
      <c r="M3880" t="e">
        <v>#N/A</v>
      </c>
      <c r="N3880" s="1">
        <v>38626</v>
      </c>
    </row>
    <row r="3881" spans="11:14" x14ac:dyDescent="0.3">
      <c r="K3881" s="1">
        <v>38991</v>
      </c>
      <c r="M3881" t="e">
        <v>#N/A</v>
      </c>
      <c r="N3881" s="1">
        <v>38626</v>
      </c>
    </row>
    <row r="3882" spans="11:14" x14ac:dyDescent="0.3">
      <c r="K3882" s="1">
        <v>38991</v>
      </c>
      <c r="M3882" t="e">
        <v>#N/A</v>
      </c>
      <c r="N3882" s="1">
        <v>38626</v>
      </c>
    </row>
    <row r="3883" spans="11:14" x14ac:dyDescent="0.3">
      <c r="K3883" s="1">
        <v>38991</v>
      </c>
      <c r="M3883" t="e">
        <v>#N/A</v>
      </c>
      <c r="N3883" s="1">
        <v>38626</v>
      </c>
    </row>
    <row r="3884" spans="11:14" x14ac:dyDescent="0.3">
      <c r="K3884" s="1">
        <v>38991</v>
      </c>
      <c r="M3884" t="e">
        <v>#N/A</v>
      </c>
      <c r="N3884" s="1">
        <v>38626</v>
      </c>
    </row>
    <row r="3885" spans="11:14" x14ac:dyDescent="0.3">
      <c r="K3885" s="1">
        <v>38991</v>
      </c>
      <c r="M3885" t="e">
        <v>#N/A</v>
      </c>
      <c r="N3885" s="1">
        <v>38626</v>
      </c>
    </row>
    <row r="3886" spans="11:14" x14ac:dyDescent="0.3">
      <c r="K3886" s="1">
        <v>38991</v>
      </c>
      <c r="M3886" t="e">
        <v>#N/A</v>
      </c>
      <c r="N3886" s="1">
        <v>38626</v>
      </c>
    </row>
    <row r="3887" spans="11:14" x14ac:dyDescent="0.3">
      <c r="K3887" s="1">
        <v>38991</v>
      </c>
      <c r="M3887" t="e">
        <v>#N/A</v>
      </c>
      <c r="N3887" s="1">
        <v>38626</v>
      </c>
    </row>
    <row r="3888" spans="11:14" x14ac:dyDescent="0.3">
      <c r="K3888" s="1">
        <v>38991</v>
      </c>
      <c r="M3888" t="e">
        <v>#N/A</v>
      </c>
      <c r="N3888" s="1">
        <v>38626</v>
      </c>
    </row>
    <row r="3889" spans="11:14" x14ac:dyDescent="0.3">
      <c r="K3889" s="1">
        <v>38991</v>
      </c>
      <c r="M3889" t="e">
        <v>#N/A</v>
      </c>
      <c r="N3889" s="1">
        <v>38626</v>
      </c>
    </row>
    <row r="3890" spans="11:14" x14ac:dyDescent="0.3">
      <c r="K3890" s="1">
        <v>38991</v>
      </c>
      <c r="M3890" t="e">
        <v>#N/A</v>
      </c>
      <c r="N3890" s="1">
        <v>38626</v>
      </c>
    </row>
    <row r="3891" spans="11:14" x14ac:dyDescent="0.3">
      <c r="K3891" s="1">
        <v>38991</v>
      </c>
      <c r="M3891" t="e">
        <v>#N/A</v>
      </c>
      <c r="N3891" s="1">
        <v>38626</v>
      </c>
    </row>
    <row r="3892" spans="11:14" x14ac:dyDescent="0.3">
      <c r="K3892" s="1">
        <v>38991</v>
      </c>
      <c r="M3892" t="e">
        <v>#N/A</v>
      </c>
      <c r="N3892" s="1">
        <v>38626</v>
      </c>
    </row>
    <row r="3893" spans="11:14" x14ac:dyDescent="0.3">
      <c r="K3893" s="1">
        <v>38991</v>
      </c>
      <c r="M3893" t="e">
        <v>#N/A</v>
      </c>
      <c r="N3893" s="1">
        <v>38626</v>
      </c>
    </row>
    <row r="3894" spans="11:14" x14ac:dyDescent="0.3">
      <c r="K3894" s="1">
        <v>38991</v>
      </c>
      <c r="M3894" t="e">
        <v>#N/A</v>
      </c>
      <c r="N3894" s="1">
        <v>38626</v>
      </c>
    </row>
    <row r="3895" spans="11:14" x14ac:dyDescent="0.3">
      <c r="K3895" s="1">
        <v>38991</v>
      </c>
      <c r="M3895" t="e">
        <v>#N/A</v>
      </c>
      <c r="N3895" s="1">
        <v>38626</v>
      </c>
    </row>
    <row r="3896" spans="11:14" x14ac:dyDescent="0.3">
      <c r="K3896" s="1">
        <v>38991</v>
      </c>
      <c r="M3896" t="e">
        <v>#N/A</v>
      </c>
      <c r="N3896" s="1">
        <v>38626</v>
      </c>
    </row>
    <row r="3897" spans="11:14" x14ac:dyDescent="0.3">
      <c r="K3897" s="1">
        <v>38991</v>
      </c>
      <c r="M3897" t="e">
        <v>#N/A</v>
      </c>
      <c r="N3897" s="1">
        <v>38626</v>
      </c>
    </row>
    <row r="3898" spans="11:14" x14ac:dyDescent="0.3">
      <c r="K3898" s="1">
        <v>38991</v>
      </c>
      <c r="M3898" t="e">
        <v>#N/A</v>
      </c>
      <c r="N3898" s="1">
        <v>38626</v>
      </c>
    </row>
    <row r="3899" spans="11:14" x14ac:dyDescent="0.3">
      <c r="K3899" s="1">
        <v>38991</v>
      </c>
      <c r="M3899" t="e">
        <v>#N/A</v>
      </c>
      <c r="N3899" s="1">
        <v>38626</v>
      </c>
    </row>
    <row r="3900" spans="11:14" x14ac:dyDescent="0.3">
      <c r="K3900" s="1">
        <v>38991</v>
      </c>
      <c r="M3900" t="e">
        <v>#N/A</v>
      </c>
      <c r="N3900" s="1">
        <v>38626</v>
      </c>
    </row>
    <row r="3901" spans="11:14" x14ac:dyDescent="0.3">
      <c r="K3901" s="1">
        <v>38991</v>
      </c>
      <c r="M3901" t="e">
        <v>#N/A</v>
      </c>
      <c r="N3901" s="1">
        <v>38626</v>
      </c>
    </row>
    <row r="3902" spans="11:14" x14ac:dyDescent="0.3">
      <c r="K3902" s="1">
        <v>38991</v>
      </c>
      <c r="M3902" t="e">
        <v>#N/A</v>
      </c>
      <c r="N3902" s="1">
        <v>38626</v>
      </c>
    </row>
    <row r="3903" spans="11:14" x14ac:dyDescent="0.3">
      <c r="K3903" s="1">
        <v>38991</v>
      </c>
      <c r="M3903" t="e">
        <v>#N/A</v>
      </c>
      <c r="N3903" s="1">
        <v>38626</v>
      </c>
    </row>
    <row r="3904" spans="11:14" x14ac:dyDescent="0.3">
      <c r="K3904" s="1">
        <v>38991</v>
      </c>
      <c r="M3904" t="e">
        <v>#N/A</v>
      </c>
      <c r="N3904" s="1">
        <v>38626</v>
      </c>
    </row>
    <row r="3905" spans="11:14" x14ac:dyDescent="0.3">
      <c r="K3905" s="1">
        <v>38991</v>
      </c>
      <c r="M3905" t="e">
        <v>#N/A</v>
      </c>
      <c r="N3905" s="1">
        <v>38626</v>
      </c>
    </row>
    <row r="3906" spans="11:14" x14ac:dyDescent="0.3">
      <c r="K3906" s="1">
        <v>38991</v>
      </c>
      <c r="M3906" t="e">
        <v>#N/A</v>
      </c>
      <c r="N3906" s="1">
        <v>38626</v>
      </c>
    </row>
    <row r="3907" spans="11:14" x14ac:dyDescent="0.3">
      <c r="K3907" s="1">
        <v>38991</v>
      </c>
      <c r="M3907" t="e">
        <v>#N/A</v>
      </c>
      <c r="N3907" s="1">
        <v>38626</v>
      </c>
    </row>
    <row r="3908" spans="11:14" x14ac:dyDescent="0.3">
      <c r="K3908" s="1">
        <v>38991</v>
      </c>
      <c r="M3908" t="e">
        <v>#N/A</v>
      </c>
      <c r="N3908" s="1">
        <v>38626</v>
      </c>
    </row>
    <row r="3909" spans="11:14" x14ac:dyDescent="0.3">
      <c r="K3909" s="1">
        <v>38991</v>
      </c>
      <c r="M3909" t="e">
        <v>#N/A</v>
      </c>
      <c r="N3909" s="1">
        <v>38626</v>
      </c>
    </row>
    <row r="3910" spans="11:14" x14ac:dyDescent="0.3">
      <c r="K3910" s="1">
        <v>38991</v>
      </c>
      <c r="M3910" t="e">
        <v>#N/A</v>
      </c>
      <c r="N3910" s="1">
        <v>38626</v>
      </c>
    </row>
    <row r="3911" spans="11:14" x14ac:dyDescent="0.3">
      <c r="K3911" s="1">
        <v>38991</v>
      </c>
      <c r="M3911" t="e">
        <v>#N/A</v>
      </c>
      <c r="N3911" s="1">
        <v>38626</v>
      </c>
    </row>
    <row r="3912" spans="11:14" x14ac:dyDescent="0.3">
      <c r="K3912" s="1">
        <v>38991</v>
      </c>
      <c r="M3912" t="e">
        <v>#N/A</v>
      </c>
      <c r="N3912" s="1">
        <v>38626</v>
      </c>
    </row>
    <row r="3913" spans="11:14" x14ac:dyDescent="0.3">
      <c r="K3913" s="1">
        <v>38991</v>
      </c>
      <c r="M3913" t="e">
        <v>#N/A</v>
      </c>
      <c r="N3913" s="1">
        <v>38626</v>
      </c>
    </row>
    <row r="3914" spans="11:14" x14ac:dyDescent="0.3">
      <c r="K3914" s="1">
        <v>38991</v>
      </c>
      <c r="M3914" t="e">
        <v>#N/A</v>
      </c>
      <c r="N3914" s="1">
        <v>38626</v>
      </c>
    </row>
    <row r="3915" spans="11:14" x14ac:dyDescent="0.3">
      <c r="K3915" s="1">
        <v>38991</v>
      </c>
      <c r="M3915" t="e">
        <v>#N/A</v>
      </c>
      <c r="N3915" s="1">
        <v>38626</v>
      </c>
    </row>
    <row r="3916" spans="11:14" x14ac:dyDescent="0.3">
      <c r="K3916" s="1">
        <v>38991</v>
      </c>
      <c r="M3916" t="e">
        <v>#N/A</v>
      </c>
      <c r="N3916" s="1">
        <v>38626</v>
      </c>
    </row>
    <row r="3917" spans="11:14" x14ac:dyDescent="0.3">
      <c r="K3917" s="1">
        <v>38991</v>
      </c>
      <c r="M3917" t="e">
        <v>#N/A</v>
      </c>
      <c r="N3917" s="1">
        <v>38626</v>
      </c>
    </row>
    <row r="3918" spans="11:14" x14ac:dyDescent="0.3">
      <c r="K3918" s="1">
        <v>38991</v>
      </c>
      <c r="M3918" t="e">
        <v>#N/A</v>
      </c>
      <c r="N3918" s="1">
        <v>38626</v>
      </c>
    </row>
    <row r="3919" spans="11:14" x14ac:dyDescent="0.3">
      <c r="K3919" s="1">
        <v>38991</v>
      </c>
      <c r="M3919" t="e">
        <v>#N/A</v>
      </c>
      <c r="N3919" s="1">
        <v>38626</v>
      </c>
    </row>
    <row r="3920" spans="11:14" x14ac:dyDescent="0.3">
      <c r="K3920" s="1">
        <v>38991</v>
      </c>
      <c r="M3920" t="e">
        <v>#N/A</v>
      </c>
      <c r="N3920" s="1">
        <v>38626</v>
      </c>
    </row>
    <row r="3921" spans="11:14" x14ac:dyDescent="0.3">
      <c r="K3921" s="1">
        <v>38991</v>
      </c>
      <c r="M3921" t="e">
        <v>#N/A</v>
      </c>
      <c r="N3921" s="1">
        <v>38626</v>
      </c>
    </row>
    <row r="3922" spans="11:14" x14ac:dyDescent="0.3">
      <c r="K3922" s="1">
        <v>38991</v>
      </c>
      <c r="M3922" t="e">
        <v>#N/A</v>
      </c>
      <c r="N3922" s="1">
        <v>38626</v>
      </c>
    </row>
    <row r="3923" spans="11:14" x14ac:dyDescent="0.3">
      <c r="K3923" s="1">
        <v>38991</v>
      </c>
      <c r="M3923" t="e">
        <v>#N/A</v>
      </c>
      <c r="N3923" s="1">
        <v>38626</v>
      </c>
    </row>
    <row r="3924" spans="11:14" x14ac:dyDescent="0.3">
      <c r="K3924" s="1">
        <v>38991</v>
      </c>
      <c r="M3924" t="e">
        <v>#N/A</v>
      </c>
      <c r="N3924" s="1">
        <v>38626</v>
      </c>
    </row>
    <row r="3925" spans="11:14" x14ac:dyDescent="0.3">
      <c r="K3925" s="1">
        <v>38991</v>
      </c>
      <c r="M3925" t="e">
        <v>#N/A</v>
      </c>
      <c r="N3925" s="1">
        <v>38626</v>
      </c>
    </row>
    <row r="3926" spans="11:14" x14ac:dyDescent="0.3">
      <c r="K3926" s="1">
        <v>38991</v>
      </c>
      <c r="M3926" t="e">
        <v>#N/A</v>
      </c>
      <c r="N3926" s="1">
        <v>38626</v>
      </c>
    </row>
    <row r="3927" spans="11:14" x14ac:dyDescent="0.3">
      <c r="K3927" s="1">
        <v>38991</v>
      </c>
      <c r="M3927" t="e">
        <v>#N/A</v>
      </c>
      <c r="N3927" s="1">
        <v>38626</v>
      </c>
    </row>
    <row r="3928" spans="11:14" x14ac:dyDescent="0.3">
      <c r="K3928" s="1">
        <v>38991</v>
      </c>
      <c r="M3928" t="e">
        <v>#N/A</v>
      </c>
      <c r="N3928" s="1">
        <v>38626</v>
      </c>
    </row>
    <row r="3929" spans="11:14" x14ac:dyDescent="0.3">
      <c r="K3929" s="1">
        <v>38991</v>
      </c>
      <c r="M3929" t="e">
        <v>#N/A</v>
      </c>
      <c r="N3929" s="1">
        <v>38626</v>
      </c>
    </row>
    <row r="3930" spans="11:14" x14ac:dyDescent="0.3">
      <c r="K3930" s="1">
        <v>38991</v>
      </c>
      <c r="M3930" t="e">
        <v>#N/A</v>
      </c>
      <c r="N3930" s="1">
        <v>38626</v>
      </c>
    </row>
    <row r="3931" spans="11:14" x14ac:dyDescent="0.3">
      <c r="K3931" s="1">
        <v>38991</v>
      </c>
      <c r="M3931" t="e">
        <v>#N/A</v>
      </c>
      <c r="N3931" s="1">
        <v>38626</v>
      </c>
    </row>
    <row r="3932" spans="11:14" x14ac:dyDescent="0.3">
      <c r="K3932" s="1">
        <v>38991</v>
      </c>
      <c r="M3932" t="e">
        <v>#N/A</v>
      </c>
      <c r="N3932" s="1">
        <v>38626</v>
      </c>
    </row>
    <row r="3933" spans="11:14" x14ac:dyDescent="0.3">
      <c r="K3933" s="1">
        <v>38991</v>
      </c>
      <c r="M3933" t="e">
        <v>#N/A</v>
      </c>
      <c r="N3933" s="1">
        <v>38626</v>
      </c>
    </row>
    <row r="3934" spans="11:14" x14ac:dyDescent="0.3">
      <c r="K3934" s="1">
        <v>38991</v>
      </c>
      <c r="M3934" t="e">
        <v>#N/A</v>
      </c>
      <c r="N3934" s="1">
        <v>38626</v>
      </c>
    </row>
    <row r="3935" spans="11:14" x14ac:dyDescent="0.3">
      <c r="K3935" s="1">
        <v>38991</v>
      </c>
      <c r="M3935" t="e">
        <v>#N/A</v>
      </c>
      <c r="N3935" s="1">
        <v>38626</v>
      </c>
    </row>
    <row r="3936" spans="11:14" x14ac:dyDescent="0.3">
      <c r="K3936" s="1">
        <v>38991</v>
      </c>
      <c r="M3936" t="e">
        <v>#N/A</v>
      </c>
      <c r="N3936" s="1">
        <v>38626</v>
      </c>
    </row>
    <row r="3937" spans="11:14" x14ac:dyDescent="0.3">
      <c r="K3937" s="1">
        <v>38991</v>
      </c>
      <c r="M3937" t="e">
        <v>#N/A</v>
      </c>
      <c r="N3937" s="1">
        <v>38626</v>
      </c>
    </row>
    <row r="3938" spans="11:14" x14ac:dyDescent="0.3">
      <c r="K3938" s="1">
        <v>38991</v>
      </c>
      <c r="M3938" t="e">
        <v>#N/A</v>
      </c>
      <c r="N3938" s="1">
        <v>38626</v>
      </c>
    </row>
    <row r="3939" spans="11:14" x14ac:dyDescent="0.3">
      <c r="K3939" s="1">
        <v>38991</v>
      </c>
      <c r="M3939" t="e">
        <v>#N/A</v>
      </c>
      <c r="N3939" s="1">
        <v>38626</v>
      </c>
    </row>
    <row r="3940" spans="11:14" x14ac:dyDescent="0.3">
      <c r="K3940" s="1">
        <v>38991</v>
      </c>
      <c r="M3940" t="e">
        <v>#N/A</v>
      </c>
      <c r="N3940" s="1">
        <v>38626</v>
      </c>
    </row>
    <row r="3941" spans="11:14" x14ac:dyDescent="0.3">
      <c r="K3941" s="1">
        <v>38991</v>
      </c>
      <c r="M3941" t="e">
        <v>#N/A</v>
      </c>
      <c r="N3941" s="1">
        <v>38626</v>
      </c>
    </row>
    <row r="3942" spans="11:14" x14ac:dyDescent="0.3">
      <c r="K3942" s="1">
        <v>38991</v>
      </c>
      <c r="M3942" t="e">
        <v>#N/A</v>
      </c>
      <c r="N3942" s="1">
        <v>38626</v>
      </c>
    </row>
    <row r="3943" spans="11:14" x14ac:dyDescent="0.3">
      <c r="K3943" s="1">
        <v>38991</v>
      </c>
      <c r="M3943" t="e">
        <v>#N/A</v>
      </c>
      <c r="N3943" s="1">
        <v>38626</v>
      </c>
    </row>
    <row r="3944" spans="11:14" x14ac:dyDescent="0.3">
      <c r="K3944" s="1">
        <v>38991</v>
      </c>
      <c r="M3944" t="e">
        <v>#N/A</v>
      </c>
      <c r="N3944" s="1">
        <v>38626</v>
      </c>
    </row>
    <row r="3945" spans="11:14" x14ac:dyDescent="0.3">
      <c r="K3945" s="1">
        <v>38991</v>
      </c>
      <c r="M3945" t="e">
        <v>#N/A</v>
      </c>
      <c r="N3945" s="1">
        <v>38626</v>
      </c>
    </row>
    <row r="3946" spans="11:14" x14ac:dyDescent="0.3">
      <c r="K3946" s="1">
        <v>38991</v>
      </c>
      <c r="M3946" t="e">
        <v>#N/A</v>
      </c>
      <c r="N3946" s="1">
        <v>38626</v>
      </c>
    </row>
    <row r="3947" spans="11:14" x14ac:dyDescent="0.3">
      <c r="K3947" s="1">
        <v>38991</v>
      </c>
      <c r="M3947" t="e">
        <v>#N/A</v>
      </c>
      <c r="N3947" s="1">
        <v>38626</v>
      </c>
    </row>
    <row r="3948" spans="11:14" x14ac:dyDescent="0.3">
      <c r="K3948" s="1">
        <v>38991</v>
      </c>
      <c r="M3948" t="e">
        <v>#N/A</v>
      </c>
      <c r="N3948" s="1">
        <v>38626</v>
      </c>
    </row>
    <row r="3949" spans="11:14" x14ac:dyDescent="0.3">
      <c r="K3949" s="1">
        <v>38991</v>
      </c>
      <c r="M3949" t="e">
        <v>#N/A</v>
      </c>
      <c r="N3949" s="1">
        <v>38626</v>
      </c>
    </row>
    <row r="3950" spans="11:14" x14ac:dyDescent="0.3">
      <c r="K3950" s="1">
        <v>38991</v>
      </c>
      <c r="M3950" t="e">
        <v>#N/A</v>
      </c>
      <c r="N3950" s="1">
        <v>38626</v>
      </c>
    </row>
    <row r="3951" spans="11:14" x14ac:dyDescent="0.3">
      <c r="K3951" s="1">
        <v>38991</v>
      </c>
      <c r="M3951" t="e">
        <v>#N/A</v>
      </c>
      <c r="N3951" s="1">
        <v>38626</v>
      </c>
    </row>
    <row r="3952" spans="11:14" x14ac:dyDescent="0.3">
      <c r="K3952" s="1">
        <v>38991</v>
      </c>
      <c r="M3952" t="e">
        <v>#N/A</v>
      </c>
      <c r="N3952" s="1">
        <v>38626</v>
      </c>
    </row>
    <row r="3953" spans="11:14" x14ac:dyDescent="0.3">
      <c r="K3953" s="1">
        <v>38991</v>
      </c>
      <c r="M3953" t="e">
        <v>#N/A</v>
      </c>
      <c r="N3953" s="1">
        <v>38626</v>
      </c>
    </row>
    <row r="3954" spans="11:14" x14ac:dyDescent="0.3">
      <c r="K3954" s="1">
        <v>38991</v>
      </c>
      <c r="M3954" t="e">
        <v>#N/A</v>
      </c>
      <c r="N3954" s="1">
        <v>38626</v>
      </c>
    </row>
    <row r="3955" spans="11:14" x14ac:dyDescent="0.3">
      <c r="K3955" s="1">
        <v>38991</v>
      </c>
      <c r="M3955" t="e">
        <v>#N/A</v>
      </c>
      <c r="N3955" s="1">
        <v>38626</v>
      </c>
    </row>
    <row r="3956" spans="11:14" x14ac:dyDescent="0.3">
      <c r="K3956" s="1">
        <v>38991</v>
      </c>
      <c r="M3956" t="e">
        <v>#N/A</v>
      </c>
      <c r="N3956" s="1">
        <v>38626</v>
      </c>
    </row>
    <row r="3957" spans="11:14" x14ac:dyDescent="0.3">
      <c r="K3957" s="1">
        <v>38991</v>
      </c>
      <c r="M3957" t="e">
        <v>#N/A</v>
      </c>
      <c r="N3957" s="1">
        <v>38626</v>
      </c>
    </row>
    <row r="3958" spans="11:14" x14ac:dyDescent="0.3">
      <c r="K3958" s="1">
        <v>38991</v>
      </c>
      <c r="M3958" t="e">
        <v>#N/A</v>
      </c>
      <c r="N3958" s="1">
        <v>38626</v>
      </c>
    </row>
    <row r="3959" spans="11:14" x14ac:dyDescent="0.3">
      <c r="K3959" s="1">
        <v>38991</v>
      </c>
      <c r="M3959" t="e">
        <v>#N/A</v>
      </c>
      <c r="N3959" s="1">
        <v>38626</v>
      </c>
    </row>
    <row r="3960" spans="11:14" x14ac:dyDescent="0.3">
      <c r="K3960" s="1">
        <v>38991</v>
      </c>
      <c r="M3960" t="e">
        <v>#N/A</v>
      </c>
      <c r="N3960" s="1">
        <v>38626</v>
      </c>
    </row>
    <row r="3961" spans="11:14" x14ac:dyDescent="0.3">
      <c r="K3961" s="1">
        <v>38991</v>
      </c>
      <c r="M3961" t="e">
        <v>#N/A</v>
      </c>
      <c r="N3961" s="1">
        <v>38626</v>
      </c>
    </row>
    <row r="3962" spans="11:14" x14ac:dyDescent="0.3">
      <c r="K3962" s="1">
        <v>38991</v>
      </c>
      <c r="M3962" t="e">
        <v>#N/A</v>
      </c>
      <c r="N3962" s="1">
        <v>38626</v>
      </c>
    </row>
    <row r="3963" spans="11:14" x14ac:dyDescent="0.3">
      <c r="K3963" s="1">
        <v>38991</v>
      </c>
      <c r="M3963" t="e">
        <v>#N/A</v>
      </c>
      <c r="N3963" s="1">
        <v>38626</v>
      </c>
    </row>
    <row r="3964" spans="11:14" x14ac:dyDescent="0.3">
      <c r="K3964" s="1">
        <v>38991</v>
      </c>
      <c r="M3964" t="e">
        <v>#N/A</v>
      </c>
      <c r="N3964" s="1">
        <v>38626</v>
      </c>
    </row>
    <row r="3965" spans="11:14" x14ac:dyDescent="0.3">
      <c r="K3965" s="1">
        <v>38991</v>
      </c>
      <c r="M3965" t="e">
        <v>#N/A</v>
      </c>
      <c r="N3965" s="1">
        <v>38626</v>
      </c>
    </row>
    <row r="3966" spans="11:14" x14ac:dyDescent="0.3">
      <c r="K3966" s="1">
        <v>38991</v>
      </c>
      <c r="M3966" t="e">
        <v>#N/A</v>
      </c>
      <c r="N3966" s="1">
        <v>38626</v>
      </c>
    </row>
    <row r="3967" spans="11:14" x14ac:dyDescent="0.3">
      <c r="K3967" s="1">
        <v>38991</v>
      </c>
      <c r="M3967" t="e">
        <v>#N/A</v>
      </c>
      <c r="N3967" s="1">
        <v>38626</v>
      </c>
    </row>
    <row r="3968" spans="11:14" x14ac:dyDescent="0.3">
      <c r="K3968" s="1">
        <v>38991</v>
      </c>
      <c r="M3968" t="e">
        <v>#N/A</v>
      </c>
      <c r="N3968" s="1">
        <v>38626</v>
      </c>
    </row>
    <row r="3969" spans="11:14" x14ac:dyDescent="0.3">
      <c r="K3969" s="1">
        <v>38991</v>
      </c>
      <c r="M3969" t="e">
        <v>#N/A</v>
      </c>
      <c r="N3969" s="1">
        <v>38626</v>
      </c>
    </row>
    <row r="3970" spans="11:14" x14ac:dyDescent="0.3">
      <c r="K3970" s="1">
        <v>38991</v>
      </c>
      <c r="M3970" t="e">
        <v>#N/A</v>
      </c>
      <c r="N3970" s="1">
        <v>38626</v>
      </c>
    </row>
    <row r="3971" spans="11:14" x14ac:dyDescent="0.3">
      <c r="K3971" s="1">
        <v>38991</v>
      </c>
      <c r="M3971" t="e">
        <v>#N/A</v>
      </c>
      <c r="N3971" s="1">
        <v>38626</v>
      </c>
    </row>
    <row r="3972" spans="11:14" x14ac:dyDescent="0.3">
      <c r="K3972" s="1">
        <v>38991</v>
      </c>
      <c r="M3972" t="e">
        <v>#N/A</v>
      </c>
      <c r="N3972" s="1">
        <v>38626</v>
      </c>
    </row>
    <row r="3973" spans="11:14" x14ac:dyDescent="0.3">
      <c r="K3973" s="1">
        <v>38991</v>
      </c>
      <c r="M3973" t="e">
        <v>#N/A</v>
      </c>
      <c r="N3973" s="1">
        <v>38626</v>
      </c>
    </row>
    <row r="3974" spans="11:14" x14ac:dyDescent="0.3">
      <c r="K3974" s="1">
        <v>38991</v>
      </c>
      <c r="M3974" t="e">
        <v>#N/A</v>
      </c>
      <c r="N3974" s="1">
        <v>38626</v>
      </c>
    </row>
    <row r="3975" spans="11:14" x14ac:dyDescent="0.3">
      <c r="K3975" s="1">
        <v>38991</v>
      </c>
      <c r="M3975" t="e">
        <v>#N/A</v>
      </c>
      <c r="N3975" s="1">
        <v>38626</v>
      </c>
    </row>
    <row r="3976" spans="11:14" x14ac:dyDescent="0.3">
      <c r="K3976" s="1">
        <v>38991</v>
      </c>
      <c r="M3976" t="e">
        <v>#N/A</v>
      </c>
      <c r="N3976" s="1">
        <v>38626</v>
      </c>
    </row>
    <row r="3977" spans="11:14" x14ac:dyDescent="0.3">
      <c r="K3977" s="1">
        <v>38991</v>
      </c>
      <c r="M3977" t="e">
        <v>#N/A</v>
      </c>
      <c r="N3977" s="1">
        <v>38626</v>
      </c>
    </row>
    <row r="3978" spans="11:14" x14ac:dyDescent="0.3">
      <c r="K3978" s="1">
        <v>38991</v>
      </c>
      <c r="M3978" t="e">
        <v>#N/A</v>
      </c>
      <c r="N3978" s="1">
        <v>38626</v>
      </c>
    </row>
    <row r="3979" spans="11:14" x14ac:dyDescent="0.3">
      <c r="K3979" s="1">
        <v>38991</v>
      </c>
      <c r="M3979" t="e">
        <v>#N/A</v>
      </c>
      <c r="N3979" s="1">
        <v>38626</v>
      </c>
    </row>
    <row r="3980" spans="11:14" x14ac:dyDescent="0.3">
      <c r="K3980" s="1">
        <v>38991</v>
      </c>
      <c r="M3980" t="e">
        <v>#N/A</v>
      </c>
      <c r="N3980" s="1">
        <v>38626</v>
      </c>
    </row>
    <row r="3981" spans="11:14" x14ac:dyDescent="0.3">
      <c r="K3981" s="1">
        <v>38991</v>
      </c>
      <c r="M3981" t="e">
        <v>#N/A</v>
      </c>
      <c r="N3981" s="1">
        <v>38626</v>
      </c>
    </row>
    <row r="3982" spans="11:14" x14ac:dyDescent="0.3">
      <c r="K3982" s="1">
        <v>38991</v>
      </c>
      <c r="M3982" t="e">
        <v>#N/A</v>
      </c>
      <c r="N3982" s="1">
        <v>38626</v>
      </c>
    </row>
    <row r="3983" spans="11:14" x14ac:dyDescent="0.3">
      <c r="K3983" s="1">
        <v>38991</v>
      </c>
      <c r="M3983" t="e">
        <v>#N/A</v>
      </c>
      <c r="N3983" s="1">
        <v>38626</v>
      </c>
    </row>
    <row r="3984" spans="11:14" x14ac:dyDescent="0.3">
      <c r="K3984" s="1">
        <v>38991</v>
      </c>
      <c r="M3984" t="e">
        <v>#N/A</v>
      </c>
      <c r="N3984" s="1">
        <v>38626</v>
      </c>
    </row>
    <row r="3985" spans="11:14" x14ac:dyDescent="0.3">
      <c r="K3985" s="1">
        <v>38991</v>
      </c>
      <c r="M3985" t="e">
        <v>#N/A</v>
      </c>
      <c r="N3985" s="1">
        <v>38626</v>
      </c>
    </row>
    <row r="3986" spans="11:14" x14ac:dyDescent="0.3">
      <c r="K3986" s="1">
        <v>38991</v>
      </c>
      <c r="M3986" t="e">
        <v>#N/A</v>
      </c>
      <c r="N3986" s="1">
        <v>38626</v>
      </c>
    </row>
    <row r="3987" spans="11:14" x14ac:dyDescent="0.3">
      <c r="K3987" s="1">
        <v>38991</v>
      </c>
      <c r="M3987" t="e">
        <v>#N/A</v>
      </c>
      <c r="N3987" s="1">
        <v>38626</v>
      </c>
    </row>
    <row r="3988" spans="11:14" x14ac:dyDescent="0.3">
      <c r="K3988" s="1">
        <v>38991</v>
      </c>
      <c r="M3988" t="e">
        <v>#N/A</v>
      </c>
      <c r="N3988" s="1">
        <v>38626</v>
      </c>
    </row>
    <row r="3989" spans="11:14" x14ac:dyDescent="0.3">
      <c r="K3989" s="1">
        <v>38991</v>
      </c>
      <c r="M3989" t="e">
        <v>#N/A</v>
      </c>
      <c r="N3989" s="1">
        <v>38626</v>
      </c>
    </row>
    <row r="3990" spans="11:14" x14ac:dyDescent="0.3">
      <c r="K3990" s="1">
        <v>38991</v>
      </c>
      <c r="M3990" t="e">
        <v>#N/A</v>
      </c>
      <c r="N3990" s="1">
        <v>38626</v>
      </c>
    </row>
    <row r="3991" spans="11:14" x14ac:dyDescent="0.3">
      <c r="K3991" s="1">
        <v>38991</v>
      </c>
      <c r="M3991" t="e">
        <v>#N/A</v>
      </c>
      <c r="N3991" s="1">
        <v>38626</v>
      </c>
    </row>
    <row r="3992" spans="11:14" x14ac:dyDescent="0.3">
      <c r="K3992" s="1">
        <v>38991</v>
      </c>
      <c r="M3992" t="e">
        <v>#N/A</v>
      </c>
      <c r="N3992" s="1">
        <v>38626</v>
      </c>
    </row>
    <row r="3993" spans="11:14" x14ac:dyDescent="0.3">
      <c r="K3993" s="1">
        <v>38991</v>
      </c>
      <c r="M3993" t="e">
        <v>#N/A</v>
      </c>
      <c r="N3993" s="1">
        <v>38626</v>
      </c>
    </row>
    <row r="3994" spans="11:14" x14ac:dyDescent="0.3">
      <c r="K3994" s="1">
        <v>38991</v>
      </c>
      <c r="M3994" t="e">
        <v>#N/A</v>
      </c>
      <c r="N3994" s="1">
        <v>38626</v>
      </c>
    </row>
    <row r="3995" spans="11:14" x14ac:dyDescent="0.3">
      <c r="K3995" s="1">
        <v>38991</v>
      </c>
      <c r="M3995" t="e">
        <v>#N/A</v>
      </c>
      <c r="N3995" s="1">
        <v>38626</v>
      </c>
    </row>
    <row r="3996" spans="11:14" x14ac:dyDescent="0.3">
      <c r="K3996" s="1">
        <v>38991</v>
      </c>
      <c r="M3996" t="e">
        <v>#N/A</v>
      </c>
      <c r="N3996" s="1">
        <v>38626</v>
      </c>
    </row>
    <row r="3997" spans="11:14" x14ac:dyDescent="0.3">
      <c r="K3997" s="1">
        <v>38991</v>
      </c>
      <c r="M3997" t="e">
        <v>#N/A</v>
      </c>
      <c r="N3997" s="1">
        <v>38626</v>
      </c>
    </row>
    <row r="3998" spans="11:14" x14ac:dyDescent="0.3">
      <c r="K3998" s="1">
        <v>38991</v>
      </c>
      <c r="M3998" t="e">
        <v>#N/A</v>
      </c>
      <c r="N3998" s="1">
        <v>38626</v>
      </c>
    </row>
    <row r="3999" spans="11:14" x14ac:dyDescent="0.3">
      <c r="K3999" s="1">
        <v>38991</v>
      </c>
      <c r="M3999" t="e">
        <v>#N/A</v>
      </c>
      <c r="N3999" s="1">
        <v>38626</v>
      </c>
    </row>
    <row r="4000" spans="11:14" x14ac:dyDescent="0.3">
      <c r="K4000" s="1">
        <v>38991</v>
      </c>
      <c r="M4000" t="e">
        <v>#N/A</v>
      </c>
      <c r="N4000" s="1">
        <v>38626</v>
      </c>
    </row>
    <row r="4001" spans="11:14" x14ac:dyDescent="0.3">
      <c r="K4001" s="1">
        <v>38991</v>
      </c>
      <c r="M4001" t="e">
        <v>#N/A</v>
      </c>
      <c r="N4001" s="1">
        <v>38626</v>
      </c>
    </row>
    <row r="4002" spans="11:14" x14ac:dyDescent="0.3">
      <c r="K4002" s="1">
        <v>38991</v>
      </c>
      <c r="M4002" t="e">
        <v>#N/A</v>
      </c>
      <c r="N4002" s="1">
        <v>38626</v>
      </c>
    </row>
    <row r="4003" spans="11:14" x14ac:dyDescent="0.3">
      <c r="K4003" s="1">
        <v>38991</v>
      </c>
      <c r="M4003" t="e">
        <v>#N/A</v>
      </c>
      <c r="N4003" s="1">
        <v>38626</v>
      </c>
    </row>
    <row r="4004" spans="11:14" x14ac:dyDescent="0.3">
      <c r="K4004" s="1">
        <v>38991</v>
      </c>
      <c r="M4004" t="e">
        <v>#N/A</v>
      </c>
      <c r="N4004" s="1">
        <v>38626</v>
      </c>
    </row>
    <row r="4005" spans="11:14" x14ac:dyDescent="0.3">
      <c r="K4005" s="1">
        <v>38991</v>
      </c>
      <c r="M4005" t="e">
        <v>#N/A</v>
      </c>
      <c r="N4005" s="1">
        <v>38626</v>
      </c>
    </row>
    <row r="4006" spans="11:14" x14ac:dyDescent="0.3">
      <c r="K4006" s="1">
        <v>38991</v>
      </c>
      <c r="M4006" t="e">
        <v>#N/A</v>
      </c>
      <c r="N4006" s="1">
        <v>38626</v>
      </c>
    </row>
    <row r="4007" spans="11:14" x14ac:dyDescent="0.3">
      <c r="K4007" s="1">
        <v>38991</v>
      </c>
      <c r="M4007" t="e">
        <v>#N/A</v>
      </c>
      <c r="N4007" s="1">
        <v>38626</v>
      </c>
    </row>
    <row r="4008" spans="11:14" x14ac:dyDescent="0.3">
      <c r="K4008" s="1">
        <v>38991</v>
      </c>
      <c r="M4008" t="e">
        <v>#N/A</v>
      </c>
      <c r="N4008" s="1">
        <v>38626</v>
      </c>
    </row>
    <row r="4009" spans="11:14" x14ac:dyDescent="0.3">
      <c r="K4009" s="1">
        <v>38991</v>
      </c>
      <c r="M4009" t="e">
        <v>#N/A</v>
      </c>
      <c r="N4009" s="1">
        <v>38626</v>
      </c>
    </row>
    <row r="4010" spans="11:14" x14ac:dyDescent="0.3">
      <c r="K4010" s="1">
        <v>38991</v>
      </c>
      <c r="M4010" t="e">
        <v>#N/A</v>
      </c>
      <c r="N4010" s="1">
        <v>38626</v>
      </c>
    </row>
    <row r="4011" spans="11:14" x14ac:dyDescent="0.3">
      <c r="K4011" s="1">
        <v>38991</v>
      </c>
      <c r="M4011" t="e">
        <v>#N/A</v>
      </c>
      <c r="N4011" s="1">
        <v>38626</v>
      </c>
    </row>
    <row r="4012" spans="11:14" x14ac:dyDescent="0.3">
      <c r="K4012" s="1">
        <v>38991</v>
      </c>
      <c r="M4012" t="e">
        <v>#N/A</v>
      </c>
      <c r="N4012" s="1">
        <v>38626</v>
      </c>
    </row>
    <row r="4013" spans="11:14" x14ac:dyDescent="0.3">
      <c r="K4013" s="1">
        <v>38991</v>
      </c>
      <c r="M4013" t="e">
        <v>#N/A</v>
      </c>
      <c r="N4013" s="1">
        <v>38626</v>
      </c>
    </row>
    <row r="4014" spans="11:14" x14ac:dyDescent="0.3">
      <c r="K4014" s="1">
        <v>38991</v>
      </c>
      <c r="M4014" t="e">
        <v>#N/A</v>
      </c>
      <c r="N4014" s="1">
        <v>38626</v>
      </c>
    </row>
    <row r="4015" spans="11:14" x14ac:dyDescent="0.3">
      <c r="K4015" s="1">
        <v>38991</v>
      </c>
      <c r="M4015" t="e">
        <v>#N/A</v>
      </c>
      <c r="N4015" s="1">
        <v>38626</v>
      </c>
    </row>
    <row r="4016" spans="11:14" x14ac:dyDescent="0.3">
      <c r="K4016" s="1">
        <v>38991</v>
      </c>
      <c r="M4016" t="e">
        <v>#N/A</v>
      </c>
      <c r="N4016" s="1">
        <v>38626</v>
      </c>
    </row>
    <row r="4017" spans="11:14" x14ac:dyDescent="0.3">
      <c r="K4017" s="1">
        <v>38991</v>
      </c>
      <c r="M4017" t="e">
        <v>#N/A</v>
      </c>
      <c r="N4017" s="1">
        <v>38626</v>
      </c>
    </row>
    <row r="4018" spans="11:14" x14ac:dyDescent="0.3">
      <c r="K4018" s="1">
        <v>38991</v>
      </c>
      <c r="M4018" t="e">
        <v>#N/A</v>
      </c>
      <c r="N4018" s="1">
        <v>38626</v>
      </c>
    </row>
    <row r="4019" spans="11:14" x14ac:dyDescent="0.3">
      <c r="K4019" s="1">
        <v>38991</v>
      </c>
      <c r="M4019" t="e">
        <v>#N/A</v>
      </c>
      <c r="N4019" s="1">
        <v>38626</v>
      </c>
    </row>
    <row r="4020" spans="11:14" x14ac:dyDescent="0.3">
      <c r="K4020" s="1">
        <v>38991</v>
      </c>
      <c r="M4020" t="e">
        <v>#N/A</v>
      </c>
      <c r="N4020" s="1">
        <v>38626</v>
      </c>
    </row>
    <row r="4021" spans="11:14" x14ac:dyDescent="0.3">
      <c r="K4021" s="1">
        <v>38991</v>
      </c>
      <c r="M4021" t="e">
        <v>#N/A</v>
      </c>
      <c r="N4021" s="1">
        <v>38626</v>
      </c>
    </row>
    <row r="4022" spans="11:14" x14ac:dyDescent="0.3">
      <c r="K4022" s="1">
        <v>38991</v>
      </c>
      <c r="M4022" t="e">
        <v>#N/A</v>
      </c>
      <c r="N4022" s="1">
        <v>38626</v>
      </c>
    </row>
    <row r="4023" spans="11:14" x14ac:dyDescent="0.3">
      <c r="K4023" s="1">
        <v>38991</v>
      </c>
      <c r="M4023" t="e">
        <v>#N/A</v>
      </c>
      <c r="N4023" s="1">
        <v>38626</v>
      </c>
    </row>
    <row r="4024" spans="11:14" x14ac:dyDescent="0.3">
      <c r="K4024" s="1">
        <v>38991</v>
      </c>
      <c r="M4024" t="e">
        <v>#N/A</v>
      </c>
      <c r="N4024" s="1">
        <v>38626</v>
      </c>
    </row>
    <row r="4025" spans="11:14" x14ac:dyDescent="0.3">
      <c r="K4025" s="1">
        <v>38991</v>
      </c>
      <c r="M4025" t="e">
        <v>#N/A</v>
      </c>
      <c r="N4025" s="1">
        <v>38626</v>
      </c>
    </row>
    <row r="4026" spans="11:14" x14ac:dyDescent="0.3">
      <c r="K4026" s="1">
        <v>38991</v>
      </c>
      <c r="M4026" t="e">
        <v>#N/A</v>
      </c>
      <c r="N4026" s="1">
        <v>38626</v>
      </c>
    </row>
    <row r="4027" spans="11:14" x14ac:dyDescent="0.3">
      <c r="K4027" s="1">
        <v>38991</v>
      </c>
      <c r="M4027" t="e">
        <v>#N/A</v>
      </c>
      <c r="N4027" s="1">
        <v>38626</v>
      </c>
    </row>
    <row r="4028" spans="11:14" x14ac:dyDescent="0.3">
      <c r="K4028" s="1">
        <v>38991</v>
      </c>
      <c r="M4028" t="e">
        <v>#N/A</v>
      </c>
      <c r="N4028" s="1">
        <v>38626</v>
      </c>
    </row>
    <row r="4029" spans="11:14" x14ac:dyDescent="0.3">
      <c r="K4029" s="1">
        <v>38991</v>
      </c>
      <c r="M4029" t="e">
        <v>#N/A</v>
      </c>
      <c r="N4029" s="1">
        <v>38626</v>
      </c>
    </row>
    <row r="4030" spans="11:14" x14ac:dyDescent="0.3">
      <c r="K4030" s="1">
        <v>38991</v>
      </c>
      <c r="M4030" t="e">
        <v>#N/A</v>
      </c>
      <c r="N4030" s="1">
        <v>38626</v>
      </c>
    </row>
    <row r="4031" spans="11:14" x14ac:dyDescent="0.3">
      <c r="K4031" s="1">
        <v>38991</v>
      </c>
      <c r="M4031" t="e">
        <v>#N/A</v>
      </c>
      <c r="N4031" s="1">
        <v>38626</v>
      </c>
    </row>
    <row r="4032" spans="11:14" x14ac:dyDescent="0.3">
      <c r="K4032" s="1">
        <v>38991</v>
      </c>
      <c r="M4032" t="e">
        <v>#N/A</v>
      </c>
      <c r="N4032" s="1">
        <v>38626</v>
      </c>
    </row>
    <row r="4033" spans="11:14" x14ac:dyDescent="0.3">
      <c r="K4033" s="1">
        <v>38991</v>
      </c>
      <c r="M4033" t="e">
        <v>#N/A</v>
      </c>
      <c r="N4033" s="1">
        <v>38626</v>
      </c>
    </row>
    <row r="4034" spans="11:14" x14ac:dyDescent="0.3">
      <c r="K4034" s="1">
        <v>38991</v>
      </c>
      <c r="M4034" t="e">
        <v>#N/A</v>
      </c>
      <c r="N4034" s="1">
        <v>38626</v>
      </c>
    </row>
    <row r="4035" spans="11:14" x14ac:dyDescent="0.3">
      <c r="K4035" s="1">
        <v>38991</v>
      </c>
      <c r="M4035" t="e">
        <v>#N/A</v>
      </c>
      <c r="N4035" s="1">
        <v>38626</v>
      </c>
    </row>
    <row r="4036" spans="11:14" x14ac:dyDescent="0.3">
      <c r="K4036" s="1">
        <v>38991</v>
      </c>
      <c r="M4036" t="e">
        <v>#N/A</v>
      </c>
      <c r="N4036" s="1">
        <v>38626</v>
      </c>
    </row>
    <row r="4037" spans="11:14" x14ac:dyDescent="0.3">
      <c r="K4037" s="1">
        <v>38991</v>
      </c>
      <c r="M4037" t="e">
        <v>#N/A</v>
      </c>
      <c r="N4037" s="1">
        <v>38626</v>
      </c>
    </row>
    <row r="4038" spans="11:14" x14ac:dyDescent="0.3">
      <c r="K4038" s="1">
        <v>38991</v>
      </c>
      <c r="M4038" t="e">
        <v>#N/A</v>
      </c>
      <c r="N4038" s="1">
        <v>38626</v>
      </c>
    </row>
    <row r="4039" spans="11:14" x14ac:dyDescent="0.3">
      <c r="K4039" s="1">
        <v>38991</v>
      </c>
      <c r="M4039" t="e">
        <v>#N/A</v>
      </c>
      <c r="N4039" s="1">
        <v>38626</v>
      </c>
    </row>
    <row r="4040" spans="11:14" x14ac:dyDescent="0.3">
      <c r="K4040" s="1">
        <v>38991</v>
      </c>
      <c r="M4040" t="e">
        <v>#N/A</v>
      </c>
      <c r="N4040" s="1">
        <v>38626</v>
      </c>
    </row>
    <row r="4041" spans="11:14" x14ac:dyDescent="0.3">
      <c r="K4041" s="1">
        <v>38991</v>
      </c>
      <c r="M4041" t="e">
        <v>#N/A</v>
      </c>
      <c r="N4041" s="1">
        <v>38626</v>
      </c>
    </row>
    <row r="4042" spans="11:14" x14ac:dyDescent="0.3">
      <c r="K4042" s="1">
        <v>38991</v>
      </c>
      <c r="M4042" t="e">
        <v>#N/A</v>
      </c>
      <c r="N4042" s="1">
        <v>38626</v>
      </c>
    </row>
    <row r="4043" spans="11:14" x14ac:dyDescent="0.3">
      <c r="K4043" s="1">
        <v>38991</v>
      </c>
      <c r="M4043" t="e">
        <v>#N/A</v>
      </c>
      <c r="N4043" s="1">
        <v>38626</v>
      </c>
    </row>
    <row r="4044" spans="11:14" x14ac:dyDescent="0.3">
      <c r="K4044" s="1">
        <v>38991</v>
      </c>
      <c r="M4044" t="e">
        <v>#N/A</v>
      </c>
      <c r="N4044" s="1">
        <v>38626</v>
      </c>
    </row>
    <row r="4045" spans="11:14" x14ac:dyDescent="0.3">
      <c r="K4045" s="1">
        <v>38991</v>
      </c>
      <c r="M4045" t="e">
        <v>#N/A</v>
      </c>
      <c r="N4045" s="1">
        <v>38626</v>
      </c>
    </row>
    <row r="4046" spans="11:14" x14ac:dyDescent="0.3">
      <c r="K4046" s="1">
        <v>38991</v>
      </c>
      <c r="M4046" t="e">
        <v>#N/A</v>
      </c>
      <c r="N4046" s="1">
        <v>38626</v>
      </c>
    </row>
    <row r="4047" spans="11:14" x14ac:dyDescent="0.3">
      <c r="K4047" s="1">
        <v>38991</v>
      </c>
      <c r="M4047" t="e">
        <v>#N/A</v>
      </c>
      <c r="N4047" s="1">
        <v>38626</v>
      </c>
    </row>
    <row r="4048" spans="11:14" x14ac:dyDescent="0.3">
      <c r="K4048" s="1">
        <v>38991</v>
      </c>
      <c r="M4048" t="e">
        <v>#N/A</v>
      </c>
      <c r="N4048" s="1">
        <v>38626</v>
      </c>
    </row>
    <row r="4049" spans="11:14" x14ac:dyDescent="0.3">
      <c r="K4049" s="1">
        <v>38991</v>
      </c>
      <c r="M4049" t="e">
        <v>#N/A</v>
      </c>
      <c r="N4049" s="1">
        <v>38626</v>
      </c>
    </row>
    <row r="4050" spans="11:14" x14ac:dyDescent="0.3">
      <c r="K4050" s="1">
        <v>38991</v>
      </c>
      <c r="M4050" t="e">
        <v>#N/A</v>
      </c>
      <c r="N4050" s="1">
        <v>38626</v>
      </c>
    </row>
    <row r="4051" spans="11:14" x14ac:dyDescent="0.3">
      <c r="K4051" s="1">
        <v>38991</v>
      </c>
      <c r="M4051" t="e">
        <v>#N/A</v>
      </c>
      <c r="N4051" s="1">
        <v>38626</v>
      </c>
    </row>
    <row r="4052" spans="11:14" x14ac:dyDescent="0.3">
      <c r="K4052" s="1">
        <v>38991</v>
      </c>
      <c r="M4052" t="e">
        <v>#N/A</v>
      </c>
      <c r="N4052" s="1">
        <v>38626</v>
      </c>
    </row>
    <row r="4053" spans="11:14" x14ac:dyDescent="0.3">
      <c r="K4053" s="1">
        <v>38991</v>
      </c>
      <c r="M4053" t="e">
        <v>#N/A</v>
      </c>
      <c r="N4053" s="1">
        <v>38626</v>
      </c>
    </row>
    <row r="4054" spans="11:14" x14ac:dyDescent="0.3">
      <c r="K4054" s="1">
        <v>38991</v>
      </c>
      <c r="M4054" t="e">
        <v>#N/A</v>
      </c>
      <c r="N4054" s="1">
        <v>38626</v>
      </c>
    </row>
    <row r="4055" spans="11:14" x14ac:dyDescent="0.3">
      <c r="K4055" s="1">
        <v>38991</v>
      </c>
      <c r="M4055" t="e">
        <v>#N/A</v>
      </c>
      <c r="N4055" s="1">
        <v>38626</v>
      </c>
    </row>
    <row r="4056" spans="11:14" x14ac:dyDescent="0.3">
      <c r="K4056" s="1">
        <v>38991</v>
      </c>
      <c r="M4056" t="e">
        <v>#N/A</v>
      </c>
      <c r="N4056" s="1">
        <v>38626</v>
      </c>
    </row>
    <row r="4057" spans="11:14" x14ac:dyDescent="0.3">
      <c r="K4057" s="1">
        <v>38991</v>
      </c>
      <c r="M4057" t="e">
        <v>#N/A</v>
      </c>
      <c r="N4057" s="1">
        <v>38626</v>
      </c>
    </row>
    <row r="4058" spans="11:14" x14ac:dyDescent="0.3">
      <c r="K4058" s="1">
        <v>38991</v>
      </c>
      <c r="M4058" t="e">
        <v>#N/A</v>
      </c>
      <c r="N4058" s="1">
        <v>38626</v>
      </c>
    </row>
    <row r="4059" spans="11:14" x14ac:dyDescent="0.3">
      <c r="K4059" s="1">
        <v>38991</v>
      </c>
      <c r="M4059" t="e">
        <v>#N/A</v>
      </c>
      <c r="N4059" s="1">
        <v>38626</v>
      </c>
    </row>
    <row r="4060" spans="11:14" x14ac:dyDescent="0.3">
      <c r="K4060" s="1">
        <v>38991</v>
      </c>
      <c r="M4060" t="e">
        <v>#N/A</v>
      </c>
      <c r="N4060" s="1">
        <v>38626</v>
      </c>
    </row>
    <row r="4061" spans="11:14" x14ac:dyDescent="0.3">
      <c r="K4061" s="1">
        <v>38991</v>
      </c>
      <c r="M4061" t="e">
        <v>#N/A</v>
      </c>
      <c r="N4061" s="1">
        <v>38626</v>
      </c>
    </row>
    <row r="4062" spans="11:14" x14ac:dyDescent="0.3">
      <c r="K4062" s="1">
        <v>38991</v>
      </c>
      <c r="M4062" t="e">
        <v>#N/A</v>
      </c>
      <c r="N4062" s="1">
        <v>38626</v>
      </c>
    </row>
    <row r="4063" spans="11:14" x14ac:dyDescent="0.3">
      <c r="K4063" s="1">
        <v>38991</v>
      </c>
      <c r="M4063" t="e">
        <v>#N/A</v>
      </c>
      <c r="N4063" s="1">
        <v>38626</v>
      </c>
    </row>
    <row r="4064" spans="11:14" x14ac:dyDescent="0.3">
      <c r="K4064" s="1">
        <v>38991</v>
      </c>
      <c r="M4064" t="e">
        <v>#N/A</v>
      </c>
      <c r="N4064" s="1">
        <v>38626</v>
      </c>
    </row>
    <row r="4065" spans="11:14" x14ac:dyDescent="0.3">
      <c r="K4065" s="1">
        <v>38991</v>
      </c>
      <c r="M4065" t="e">
        <v>#N/A</v>
      </c>
      <c r="N4065" s="1">
        <v>38626</v>
      </c>
    </row>
    <row r="4066" spans="11:14" x14ac:dyDescent="0.3">
      <c r="K4066" s="1">
        <v>38991</v>
      </c>
      <c r="M4066" t="e">
        <v>#N/A</v>
      </c>
      <c r="N4066" s="1">
        <v>38626</v>
      </c>
    </row>
    <row r="4067" spans="11:14" x14ac:dyDescent="0.3">
      <c r="K4067" s="1">
        <v>38991</v>
      </c>
      <c r="M4067" t="e">
        <v>#N/A</v>
      </c>
      <c r="N4067" s="1">
        <v>38626</v>
      </c>
    </row>
    <row r="4068" spans="11:14" x14ac:dyDescent="0.3">
      <c r="K4068" s="1">
        <v>38991</v>
      </c>
      <c r="M4068" t="e">
        <v>#N/A</v>
      </c>
      <c r="N4068" s="1">
        <v>38626</v>
      </c>
    </row>
    <row r="4069" spans="11:14" x14ac:dyDescent="0.3">
      <c r="K4069" s="1">
        <v>38991</v>
      </c>
      <c r="M4069" t="e">
        <v>#N/A</v>
      </c>
      <c r="N4069" s="1">
        <v>38626</v>
      </c>
    </row>
    <row r="4070" spans="11:14" x14ac:dyDescent="0.3">
      <c r="K4070" s="1">
        <v>38991</v>
      </c>
      <c r="M4070" t="e">
        <v>#N/A</v>
      </c>
      <c r="N4070" s="1">
        <v>38626</v>
      </c>
    </row>
    <row r="4071" spans="11:14" x14ac:dyDescent="0.3">
      <c r="K4071" s="1">
        <v>38991</v>
      </c>
      <c r="M4071" t="e">
        <v>#N/A</v>
      </c>
      <c r="N4071" s="1">
        <v>38626</v>
      </c>
    </row>
    <row r="4072" spans="11:14" x14ac:dyDescent="0.3">
      <c r="K4072" s="1">
        <v>38991</v>
      </c>
      <c r="M4072" t="e">
        <v>#N/A</v>
      </c>
      <c r="N4072" s="1">
        <v>38626</v>
      </c>
    </row>
    <row r="4073" spans="11:14" x14ac:dyDescent="0.3">
      <c r="K4073" s="1">
        <v>38991</v>
      </c>
      <c r="M4073" t="e">
        <v>#N/A</v>
      </c>
      <c r="N4073" s="1">
        <v>38626</v>
      </c>
    </row>
    <row r="4074" spans="11:14" x14ac:dyDescent="0.3">
      <c r="K4074" s="1">
        <v>38991</v>
      </c>
      <c r="M4074" t="e">
        <v>#N/A</v>
      </c>
      <c r="N4074" s="1">
        <v>38626</v>
      </c>
    </row>
    <row r="4075" spans="11:14" x14ac:dyDescent="0.3">
      <c r="K4075" s="1">
        <v>38991</v>
      </c>
      <c r="M4075" t="e">
        <v>#N/A</v>
      </c>
      <c r="N4075" s="1">
        <v>38626</v>
      </c>
    </row>
    <row r="4076" spans="11:14" x14ac:dyDescent="0.3">
      <c r="K4076" s="1">
        <v>38991</v>
      </c>
      <c r="M4076" t="e">
        <v>#N/A</v>
      </c>
      <c r="N4076" s="1">
        <v>38626</v>
      </c>
    </row>
    <row r="4077" spans="11:14" x14ac:dyDescent="0.3">
      <c r="K4077" s="1">
        <v>38991</v>
      </c>
      <c r="M4077" t="e">
        <v>#N/A</v>
      </c>
      <c r="N4077" s="1">
        <v>38626</v>
      </c>
    </row>
    <row r="4078" spans="11:14" x14ac:dyDescent="0.3">
      <c r="K4078" s="1">
        <v>38991</v>
      </c>
      <c r="M4078" t="e">
        <v>#N/A</v>
      </c>
      <c r="N4078" s="1">
        <v>38626</v>
      </c>
    </row>
    <row r="4079" spans="11:14" x14ac:dyDescent="0.3">
      <c r="K4079" s="1">
        <v>38991</v>
      </c>
      <c r="M4079" t="e">
        <v>#N/A</v>
      </c>
      <c r="N4079" s="1">
        <v>38626</v>
      </c>
    </row>
    <row r="4080" spans="11:14" x14ac:dyDescent="0.3">
      <c r="K4080" s="1">
        <v>38991</v>
      </c>
      <c r="M4080" t="e">
        <v>#N/A</v>
      </c>
      <c r="N4080" s="1">
        <v>38626</v>
      </c>
    </row>
    <row r="4081" spans="11:14" x14ac:dyDescent="0.3">
      <c r="K4081" s="1">
        <v>38991</v>
      </c>
      <c r="M4081" t="e">
        <v>#N/A</v>
      </c>
      <c r="N4081" s="1">
        <v>38626</v>
      </c>
    </row>
    <row r="4082" spans="11:14" x14ac:dyDescent="0.3">
      <c r="K4082" s="1">
        <v>38991</v>
      </c>
      <c r="M4082" t="e">
        <v>#N/A</v>
      </c>
      <c r="N4082" s="1">
        <v>38626</v>
      </c>
    </row>
    <row r="4083" spans="11:14" x14ac:dyDescent="0.3">
      <c r="K4083" s="1">
        <v>38991</v>
      </c>
      <c r="M4083" t="e">
        <v>#N/A</v>
      </c>
      <c r="N4083" s="1">
        <v>38626</v>
      </c>
    </row>
    <row r="4084" spans="11:14" x14ac:dyDescent="0.3">
      <c r="K4084" s="1">
        <v>38991</v>
      </c>
      <c r="M4084" t="e">
        <v>#N/A</v>
      </c>
      <c r="N4084" s="1">
        <v>38626</v>
      </c>
    </row>
    <row r="4085" spans="11:14" x14ac:dyDescent="0.3">
      <c r="K4085" s="1">
        <v>38991</v>
      </c>
      <c r="M4085" t="e">
        <v>#N/A</v>
      </c>
      <c r="N4085" s="1">
        <v>38626</v>
      </c>
    </row>
    <row r="4086" spans="11:14" x14ac:dyDescent="0.3">
      <c r="K4086" s="1">
        <v>39083</v>
      </c>
      <c r="M4086" t="e">
        <v>#N/A</v>
      </c>
      <c r="N4086" s="1">
        <v>38626</v>
      </c>
    </row>
    <row r="4087" spans="11:14" x14ac:dyDescent="0.3">
      <c r="K4087" s="1">
        <v>39083</v>
      </c>
      <c r="M4087" t="e">
        <v>#N/A</v>
      </c>
      <c r="N4087" s="1">
        <v>38626</v>
      </c>
    </row>
    <row r="4088" spans="11:14" x14ac:dyDescent="0.3">
      <c r="K4088" s="1">
        <v>39083</v>
      </c>
      <c r="M4088" t="e">
        <v>#N/A</v>
      </c>
      <c r="N4088" s="1">
        <v>38626</v>
      </c>
    </row>
    <row r="4089" spans="11:14" x14ac:dyDescent="0.3">
      <c r="K4089" s="1">
        <v>39083</v>
      </c>
      <c r="M4089" t="e">
        <v>#N/A</v>
      </c>
      <c r="N4089" s="1">
        <v>38626</v>
      </c>
    </row>
    <row r="4090" spans="11:14" x14ac:dyDescent="0.3">
      <c r="K4090" s="1">
        <v>39083</v>
      </c>
      <c r="M4090" t="e">
        <v>#N/A</v>
      </c>
      <c r="N4090" s="1">
        <v>38626</v>
      </c>
    </row>
    <row r="4091" spans="11:14" x14ac:dyDescent="0.3">
      <c r="K4091" s="1">
        <v>39083</v>
      </c>
      <c r="M4091" t="e">
        <v>#N/A</v>
      </c>
      <c r="N4091" s="1">
        <v>38626</v>
      </c>
    </row>
    <row r="4092" spans="11:14" x14ac:dyDescent="0.3">
      <c r="K4092" s="1">
        <v>39083</v>
      </c>
      <c r="M4092" t="e">
        <v>#N/A</v>
      </c>
      <c r="N4092" s="1">
        <v>38626</v>
      </c>
    </row>
    <row r="4093" spans="11:14" x14ac:dyDescent="0.3">
      <c r="K4093" s="1">
        <v>39083</v>
      </c>
      <c r="M4093" t="e">
        <v>#N/A</v>
      </c>
      <c r="N4093" s="1">
        <v>38626</v>
      </c>
    </row>
    <row r="4094" spans="11:14" x14ac:dyDescent="0.3">
      <c r="K4094" s="1">
        <v>39083</v>
      </c>
      <c r="M4094" t="e">
        <v>#N/A</v>
      </c>
      <c r="N4094" s="1">
        <v>38626</v>
      </c>
    </row>
    <row r="4095" spans="11:14" x14ac:dyDescent="0.3">
      <c r="K4095" s="1">
        <v>39083</v>
      </c>
      <c r="M4095" t="e">
        <v>#N/A</v>
      </c>
      <c r="N4095" s="1">
        <v>38626</v>
      </c>
    </row>
    <row r="4096" spans="11:14" x14ac:dyDescent="0.3">
      <c r="K4096" s="1">
        <v>39083</v>
      </c>
      <c r="M4096" t="e">
        <v>#N/A</v>
      </c>
      <c r="N4096" s="1">
        <v>38626</v>
      </c>
    </row>
    <row r="4097" spans="11:14" x14ac:dyDescent="0.3">
      <c r="K4097" s="1">
        <v>39083</v>
      </c>
      <c r="M4097" t="e">
        <v>#N/A</v>
      </c>
      <c r="N4097" s="1">
        <v>38626</v>
      </c>
    </row>
    <row r="4098" spans="11:14" x14ac:dyDescent="0.3">
      <c r="K4098" s="1">
        <v>39083</v>
      </c>
      <c r="M4098" t="e">
        <v>#N/A</v>
      </c>
      <c r="N4098" s="1">
        <v>38626</v>
      </c>
    </row>
    <row r="4099" spans="11:14" x14ac:dyDescent="0.3">
      <c r="K4099" s="1">
        <v>39083</v>
      </c>
      <c r="M4099" t="e">
        <v>#N/A</v>
      </c>
      <c r="N4099" s="1">
        <v>38626</v>
      </c>
    </row>
    <row r="4100" spans="11:14" x14ac:dyDescent="0.3">
      <c r="K4100" s="1">
        <v>39083</v>
      </c>
      <c r="M4100" t="e">
        <v>#N/A</v>
      </c>
      <c r="N4100" s="1">
        <v>38626</v>
      </c>
    </row>
    <row r="4101" spans="11:14" x14ac:dyDescent="0.3">
      <c r="K4101" s="1">
        <v>39083</v>
      </c>
      <c r="M4101" t="e">
        <v>#N/A</v>
      </c>
      <c r="N4101" s="1">
        <v>38626</v>
      </c>
    </row>
    <row r="4102" spans="11:14" x14ac:dyDescent="0.3">
      <c r="K4102" s="1">
        <v>39083</v>
      </c>
      <c r="M4102" t="e">
        <v>#N/A</v>
      </c>
      <c r="N4102" s="1">
        <v>38626</v>
      </c>
    </row>
    <row r="4103" spans="11:14" x14ac:dyDescent="0.3">
      <c r="K4103" s="1">
        <v>39083</v>
      </c>
      <c r="M4103" t="e">
        <v>#N/A</v>
      </c>
      <c r="N4103" s="1">
        <v>38626</v>
      </c>
    </row>
    <row r="4104" spans="11:14" x14ac:dyDescent="0.3">
      <c r="K4104" s="1">
        <v>39083</v>
      </c>
      <c r="M4104" t="e">
        <v>#N/A</v>
      </c>
      <c r="N4104" s="1">
        <v>38626</v>
      </c>
    </row>
    <row r="4105" spans="11:14" x14ac:dyDescent="0.3">
      <c r="K4105" s="1">
        <v>39083</v>
      </c>
      <c r="M4105" t="e">
        <v>#N/A</v>
      </c>
      <c r="N4105" s="1">
        <v>38626</v>
      </c>
    </row>
    <row r="4106" spans="11:14" x14ac:dyDescent="0.3">
      <c r="K4106" s="1">
        <v>39083</v>
      </c>
      <c r="M4106" t="e">
        <v>#N/A</v>
      </c>
      <c r="N4106" s="1">
        <v>38626</v>
      </c>
    </row>
    <row r="4107" spans="11:14" x14ac:dyDescent="0.3">
      <c r="K4107" s="1">
        <v>39083</v>
      </c>
      <c r="M4107" t="e">
        <v>#N/A</v>
      </c>
      <c r="N4107" s="1">
        <v>38626</v>
      </c>
    </row>
    <row r="4108" spans="11:14" x14ac:dyDescent="0.3">
      <c r="K4108" s="1">
        <v>39083</v>
      </c>
      <c r="M4108" t="e">
        <v>#N/A</v>
      </c>
      <c r="N4108" s="1">
        <v>38626</v>
      </c>
    </row>
    <row r="4109" spans="11:14" x14ac:dyDescent="0.3">
      <c r="K4109" s="1">
        <v>39083</v>
      </c>
      <c r="M4109" t="e">
        <v>#N/A</v>
      </c>
      <c r="N4109" s="1">
        <v>38626</v>
      </c>
    </row>
    <row r="4110" spans="11:14" x14ac:dyDescent="0.3">
      <c r="K4110" s="1">
        <v>39083</v>
      </c>
      <c r="M4110" t="e">
        <v>#N/A</v>
      </c>
      <c r="N4110" s="1">
        <v>38626</v>
      </c>
    </row>
    <row r="4111" spans="11:14" x14ac:dyDescent="0.3">
      <c r="K4111" s="1">
        <v>39083</v>
      </c>
      <c r="M4111" t="e">
        <v>#N/A</v>
      </c>
      <c r="N4111" s="1">
        <v>38626</v>
      </c>
    </row>
    <row r="4112" spans="11:14" x14ac:dyDescent="0.3">
      <c r="K4112" s="1">
        <v>39083</v>
      </c>
      <c r="M4112" t="e">
        <v>#N/A</v>
      </c>
      <c r="N4112" s="1">
        <v>38626</v>
      </c>
    </row>
    <row r="4113" spans="11:14" x14ac:dyDescent="0.3">
      <c r="K4113" s="1">
        <v>39083</v>
      </c>
      <c r="M4113" t="e">
        <v>#N/A</v>
      </c>
      <c r="N4113" s="1">
        <v>38626</v>
      </c>
    </row>
    <row r="4114" spans="11:14" x14ac:dyDescent="0.3">
      <c r="K4114" s="1">
        <v>39083</v>
      </c>
      <c r="M4114" t="e">
        <v>#N/A</v>
      </c>
      <c r="N4114" s="1">
        <v>38626</v>
      </c>
    </row>
    <row r="4115" spans="11:14" x14ac:dyDescent="0.3">
      <c r="K4115" s="1">
        <v>39083</v>
      </c>
      <c r="M4115" t="e">
        <v>#N/A</v>
      </c>
      <c r="N4115" s="1">
        <v>38626</v>
      </c>
    </row>
    <row r="4116" spans="11:14" x14ac:dyDescent="0.3">
      <c r="K4116" s="1">
        <v>39083</v>
      </c>
      <c r="M4116" t="e">
        <v>#N/A</v>
      </c>
      <c r="N4116" s="1">
        <v>38626</v>
      </c>
    </row>
    <row r="4117" spans="11:14" x14ac:dyDescent="0.3">
      <c r="K4117" s="1">
        <v>39083</v>
      </c>
      <c r="M4117" t="e">
        <v>#N/A</v>
      </c>
      <c r="N4117" s="1">
        <v>38626</v>
      </c>
    </row>
    <row r="4118" spans="11:14" x14ac:dyDescent="0.3">
      <c r="K4118" s="1">
        <v>39083</v>
      </c>
      <c r="M4118" t="e">
        <v>#N/A</v>
      </c>
      <c r="N4118" s="1">
        <v>38626</v>
      </c>
    </row>
    <row r="4119" spans="11:14" x14ac:dyDescent="0.3">
      <c r="K4119" s="1">
        <v>39083</v>
      </c>
      <c r="M4119" t="e">
        <v>#N/A</v>
      </c>
      <c r="N4119" s="1">
        <v>38626</v>
      </c>
    </row>
    <row r="4120" spans="11:14" x14ac:dyDescent="0.3">
      <c r="K4120" s="1">
        <v>39083</v>
      </c>
      <c r="M4120" t="e">
        <v>#N/A</v>
      </c>
      <c r="N4120" s="1">
        <v>38626</v>
      </c>
    </row>
    <row r="4121" spans="11:14" x14ac:dyDescent="0.3">
      <c r="K4121" s="1">
        <v>39083</v>
      </c>
      <c r="M4121" t="e">
        <v>#N/A</v>
      </c>
      <c r="N4121" s="1">
        <v>38626</v>
      </c>
    </row>
    <row r="4122" spans="11:14" x14ac:dyDescent="0.3">
      <c r="K4122" s="1">
        <v>39083</v>
      </c>
      <c r="M4122" t="e">
        <v>#N/A</v>
      </c>
      <c r="N4122" s="1">
        <v>38626</v>
      </c>
    </row>
    <row r="4123" spans="11:14" x14ac:dyDescent="0.3">
      <c r="K4123" s="1">
        <v>39083</v>
      </c>
      <c r="M4123" t="e">
        <v>#N/A</v>
      </c>
      <c r="N4123" s="1">
        <v>38626</v>
      </c>
    </row>
    <row r="4124" spans="11:14" x14ac:dyDescent="0.3">
      <c r="K4124" s="1">
        <v>39083</v>
      </c>
      <c r="M4124" t="e">
        <v>#N/A</v>
      </c>
      <c r="N4124" s="1">
        <v>38626</v>
      </c>
    </row>
    <row r="4125" spans="11:14" x14ac:dyDescent="0.3">
      <c r="K4125" s="1">
        <v>39083</v>
      </c>
      <c r="M4125" t="e">
        <v>#N/A</v>
      </c>
      <c r="N4125" s="1">
        <v>38626</v>
      </c>
    </row>
    <row r="4126" spans="11:14" x14ac:dyDescent="0.3">
      <c r="K4126" s="1">
        <v>39083</v>
      </c>
      <c r="M4126" t="e">
        <v>#N/A</v>
      </c>
      <c r="N4126" s="1">
        <v>38626</v>
      </c>
    </row>
    <row r="4127" spans="11:14" x14ac:dyDescent="0.3">
      <c r="K4127" s="1">
        <v>39083</v>
      </c>
      <c r="M4127" t="e">
        <v>#N/A</v>
      </c>
      <c r="N4127" s="1">
        <v>38626</v>
      </c>
    </row>
    <row r="4128" spans="11:14" x14ac:dyDescent="0.3">
      <c r="K4128" s="1">
        <v>39083</v>
      </c>
      <c r="M4128" t="e">
        <v>#N/A</v>
      </c>
      <c r="N4128" s="1">
        <v>38626</v>
      </c>
    </row>
    <row r="4129" spans="11:14" x14ac:dyDescent="0.3">
      <c r="K4129" s="1">
        <v>39083</v>
      </c>
      <c r="M4129" t="e">
        <v>#N/A</v>
      </c>
      <c r="N4129" s="1">
        <v>38626</v>
      </c>
    </row>
    <row r="4130" spans="11:14" x14ac:dyDescent="0.3">
      <c r="K4130" s="1">
        <v>39083</v>
      </c>
      <c r="M4130" t="e">
        <v>#N/A</v>
      </c>
      <c r="N4130" s="1">
        <v>38626</v>
      </c>
    </row>
    <row r="4131" spans="11:14" x14ac:dyDescent="0.3">
      <c r="K4131" s="1">
        <v>39083</v>
      </c>
      <c r="M4131" t="e">
        <v>#N/A</v>
      </c>
      <c r="N4131" s="1">
        <v>38626</v>
      </c>
    </row>
    <row r="4132" spans="11:14" x14ac:dyDescent="0.3">
      <c r="K4132" s="1">
        <v>39083</v>
      </c>
      <c r="M4132" t="e">
        <v>#N/A</v>
      </c>
      <c r="N4132" s="1">
        <v>38626</v>
      </c>
    </row>
    <row r="4133" spans="11:14" x14ac:dyDescent="0.3">
      <c r="K4133" s="1">
        <v>39083</v>
      </c>
      <c r="M4133" t="e">
        <v>#N/A</v>
      </c>
      <c r="N4133" s="1">
        <v>38626</v>
      </c>
    </row>
    <row r="4134" spans="11:14" x14ac:dyDescent="0.3">
      <c r="K4134" s="1">
        <v>39083</v>
      </c>
      <c r="M4134" t="e">
        <v>#N/A</v>
      </c>
      <c r="N4134" s="1">
        <v>38626</v>
      </c>
    </row>
    <row r="4135" spans="11:14" x14ac:dyDescent="0.3">
      <c r="K4135" s="1">
        <v>39083</v>
      </c>
      <c r="M4135" t="e">
        <v>#N/A</v>
      </c>
      <c r="N4135" s="1">
        <v>38626</v>
      </c>
    </row>
    <row r="4136" spans="11:14" x14ac:dyDescent="0.3">
      <c r="K4136" s="1">
        <v>39083</v>
      </c>
      <c r="M4136" t="e">
        <v>#N/A</v>
      </c>
      <c r="N4136" s="1">
        <v>38626</v>
      </c>
    </row>
    <row r="4137" spans="11:14" x14ac:dyDescent="0.3">
      <c r="K4137" s="1">
        <v>39083</v>
      </c>
      <c r="M4137" t="e">
        <v>#N/A</v>
      </c>
      <c r="N4137" s="1">
        <v>38626</v>
      </c>
    </row>
    <row r="4138" spans="11:14" x14ac:dyDescent="0.3">
      <c r="K4138" s="1">
        <v>39083</v>
      </c>
      <c r="M4138" t="e">
        <v>#N/A</v>
      </c>
      <c r="N4138" s="1">
        <v>38718</v>
      </c>
    </row>
    <row r="4139" spans="11:14" x14ac:dyDescent="0.3">
      <c r="K4139" s="1">
        <v>39083</v>
      </c>
      <c r="M4139" t="e">
        <v>#N/A</v>
      </c>
      <c r="N4139" s="1">
        <v>38718</v>
      </c>
    </row>
    <row r="4140" spans="11:14" x14ac:dyDescent="0.3">
      <c r="K4140" s="1">
        <v>39083</v>
      </c>
      <c r="M4140" t="e">
        <v>#N/A</v>
      </c>
      <c r="N4140" s="1">
        <v>38718</v>
      </c>
    </row>
    <row r="4141" spans="11:14" x14ac:dyDescent="0.3">
      <c r="K4141" s="1">
        <v>39083</v>
      </c>
      <c r="M4141" t="e">
        <v>#N/A</v>
      </c>
      <c r="N4141" s="1">
        <v>38718</v>
      </c>
    </row>
    <row r="4142" spans="11:14" x14ac:dyDescent="0.3">
      <c r="K4142" s="1">
        <v>39083</v>
      </c>
      <c r="M4142" t="e">
        <v>#N/A</v>
      </c>
      <c r="N4142" s="1">
        <v>38718</v>
      </c>
    </row>
    <row r="4143" spans="11:14" x14ac:dyDescent="0.3">
      <c r="K4143" s="1">
        <v>39083</v>
      </c>
      <c r="M4143" t="e">
        <v>#N/A</v>
      </c>
      <c r="N4143" s="1">
        <v>38718</v>
      </c>
    </row>
    <row r="4144" spans="11:14" x14ac:dyDescent="0.3">
      <c r="K4144" s="1">
        <v>39083</v>
      </c>
      <c r="M4144" t="e">
        <v>#N/A</v>
      </c>
      <c r="N4144" s="1">
        <v>38718</v>
      </c>
    </row>
    <row r="4145" spans="11:14" x14ac:dyDescent="0.3">
      <c r="K4145" s="1">
        <v>39083</v>
      </c>
      <c r="M4145" t="e">
        <v>#N/A</v>
      </c>
      <c r="N4145" s="1">
        <v>38718</v>
      </c>
    </row>
    <row r="4146" spans="11:14" x14ac:dyDescent="0.3">
      <c r="K4146" s="1">
        <v>39083</v>
      </c>
      <c r="M4146" t="e">
        <v>#N/A</v>
      </c>
      <c r="N4146" s="1">
        <v>38718</v>
      </c>
    </row>
    <row r="4147" spans="11:14" x14ac:dyDescent="0.3">
      <c r="K4147" s="1">
        <v>39083</v>
      </c>
      <c r="M4147" t="e">
        <v>#N/A</v>
      </c>
      <c r="N4147" s="1">
        <v>38718</v>
      </c>
    </row>
    <row r="4148" spans="11:14" x14ac:dyDescent="0.3">
      <c r="K4148" s="1">
        <v>39083</v>
      </c>
      <c r="M4148" t="e">
        <v>#N/A</v>
      </c>
      <c r="N4148" s="1">
        <v>38718</v>
      </c>
    </row>
    <row r="4149" spans="11:14" x14ac:dyDescent="0.3">
      <c r="K4149" s="1">
        <v>39083</v>
      </c>
      <c r="M4149" t="e">
        <v>#N/A</v>
      </c>
      <c r="N4149" s="1">
        <v>38718</v>
      </c>
    </row>
    <row r="4150" spans="11:14" x14ac:dyDescent="0.3">
      <c r="K4150" s="1">
        <v>39083</v>
      </c>
      <c r="M4150" t="e">
        <v>#N/A</v>
      </c>
      <c r="N4150" s="1">
        <v>38718</v>
      </c>
    </row>
    <row r="4151" spans="11:14" x14ac:dyDescent="0.3">
      <c r="K4151" s="1">
        <v>39083</v>
      </c>
      <c r="M4151" t="e">
        <v>#N/A</v>
      </c>
      <c r="N4151" s="1">
        <v>38718</v>
      </c>
    </row>
    <row r="4152" spans="11:14" x14ac:dyDescent="0.3">
      <c r="K4152" s="1">
        <v>39083</v>
      </c>
      <c r="M4152" t="e">
        <v>#N/A</v>
      </c>
      <c r="N4152" s="1">
        <v>38718</v>
      </c>
    </row>
    <row r="4153" spans="11:14" x14ac:dyDescent="0.3">
      <c r="K4153" s="1">
        <v>39083</v>
      </c>
      <c r="M4153" t="e">
        <v>#N/A</v>
      </c>
      <c r="N4153" s="1">
        <v>38718</v>
      </c>
    </row>
    <row r="4154" spans="11:14" x14ac:dyDescent="0.3">
      <c r="K4154" s="1">
        <v>39083</v>
      </c>
      <c r="M4154" t="e">
        <v>#N/A</v>
      </c>
      <c r="N4154" s="1">
        <v>38718</v>
      </c>
    </row>
    <row r="4155" spans="11:14" x14ac:dyDescent="0.3">
      <c r="K4155" s="1">
        <v>39083</v>
      </c>
      <c r="M4155" t="e">
        <v>#N/A</v>
      </c>
      <c r="N4155" s="1">
        <v>38718</v>
      </c>
    </row>
    <row r="4156" spans="11:14" x14ac:dyDescent="0.3">
      <c r="K4156" s="1">
        <v>39083</v>
      </c>
      <c r="M4156" t="e">
        <v>#N/A</v>
      </c>
      <c r="N4156" s="1">
        <v>38718</v>
      </c>
    </row>
    <row r="4157" spans="11:14" x14ac:dyDescent="0.3">
      <c r="K4157" s="1">
        <v>39083</v>
      </c>
      <c r="M4157" t="e">
        <v>#N/A</v>
      </c>
      <c r="N4157" s="1">
        <v>38718</v>
      </c>
    </row>
    <row r="4158" spans="11:14" x14ac:dyDescent="0.3">
      <c r="K4158" s="1">
        <v>39083</v>
      </c>
      <c r="M4158" t="e">
        <v>#N/A</v>
      </c>
      <c r="N4158" s="1">
        <v>38718</v>
      </c>
    </row>
    <row r="4159" spans="11:14" x14ac:dyDescent="0.3">
      <c r="K4159" s="1">
        <v>39083</v>
      </c>
      <c r="M4159" t="e">
        <v>#N/A</v>
      </c>
      <c r="N4159" s="1">
        <v>38718</v>
      </c>
    </row>
    <row r="4160" spans="11:14" x14ac:dyDescent="0.3">
      <c r="K4160" s="1">
        <v>39083</v>
      </c>
      <c r="M4160" t="e">
        <v>#N/A</v>
      </c>
      <c r="N4160" s="1">
        <v>38718</v>
      </c>
    </row>
    <row r="4161" spans="11:14" x14ac:dyDescent="0.3">
      <c r="K4161" s="1">
        <v>39083</v>
      </c>
      <c r="M4161" t="e">
        <v>#N/A</v>
      </c>
      <c r="N4161" s="1">
        <v>38718</v>
      </c>
    </row>
    <row r="4162" spans="11:14" x14ac:dyDescent="0.3">
      <c r="K4162" s="1">
        <v>39083</v>
      </c>
      <c r="M4162" t="e">
        <v>#N/A</v>
      </c>
      <c r="N4162" s="1">
        <v>38718</v>
      </c>
    </row>
    <row r="4163" spans="11:14" x14ac:dyDescent="0.3">
      <c r="K4163" s="1">
        <v>39083</v>
      </c>
      <c r="M4163" t="e">
        <v>#N/A</v>
      </c>
      <c r="N4163" s="1">
        <v>38718</v>
      </c>
    </row>
    <row r="4164" spans="11:14" x14ac:dyDescent="0.3">
      <c r="K4164" s="1">
        <v>39083</v>
      </c>
      <c r="M4164" t="e">
        <v>#N/A</v>
      </c>
      <c r="N4164" s="1">
        <v>38718</v>
      </c>
    </row>
    <row r="4165" spans="11:14" x14ac:dyDescent="0.3">
      <c r="K4165" s="1">
        <v>39083</v>
      </c>
      <c r="M4165" t="e">
        <v>#N/A</v>
      </c>
      <c r="N4165" s="1">
        <v>38718</v>
      </c>
    </row>
    <row r="4166" spans="11:14" x14ac:dyDescent="0.3">
      <c r="K4166" s="1">
        <v>39083</v>
      </c>
      <c r="M4166" t="e">
        <v>#N/A</v>
      </c>
      <c r="N4166" s="1">
        <v>38718</v>
      </c>
    </row>
    <row r="4167" spans="11:14" x14ac:dyDescent="0.3">
      <c r="K4167" s="1">
        <v>39083</v>
      </c>
      <c r="M4167" t="e">
        <v>#N/A</v>
      </c>
      <c r="N4167" s="1">
        <v>38718</v>
      </c>
    </row>
    <row r="4168" spans="11:14" x14ac:dyDescent="0.3">
      <c r="K4168" s="1">
        <v>39083</v>
      </c>
      <c r="M4168" t="e">
        <v>#N/A</v>
      </c>
      <c r="N4168" s="1">
        <v>38718</v>
      </c>
    </row>
    <row r="4169" spans="11:14" x14ac:dyDescent="0.3">
      <c r="K4169" s="1">
        <v>39083</v>
      </c>
      <c r="M4169" t="e">
        <v>#N/A</v>
      </c>
      <c r="N4169" s="1">
        <v>38718</v>
      </c>
    </row>
    <row r="4170" spans="11:14" x14ac:dyDescent="0.3">
      <c r="K4170" s="1">
        <v>39083</v>
      </c>
      <c r="M4170" t="e">
        <v>#N/A</v>
      </c>
      <c r="N4170" s="1">
        <v>38718</v>
      </c>
    </row>
    <row r="4171" spans="11:14" x14ac:dyDescent="0.3">
      <c r="K4171" s="1">
        <v>39083</v>
      </c>
      <c r="M4171" t="e">
        <v>#N/A</v>
      </c>
      <c r="N4171" s="1">
        <v>38718</v>
      </c>
    </row>
    <row r="4172" spans="11:14" x14ac:dyDescent="0.3">
      <c r="K4172" s="1">
        <v>39083</v>
      </c>
      <c r="M4172" t="e">
        <v>#N/A</v>
      </c>
      <c r="N4172" s="1">
        <v>38718</v>
      </c>
    </row>
    <row r="4173" spans="11:14" x14ac:dyDescent="0.3">
      <c r="K4173" s="1">
        <v>39083</v>
      </c>
      <c r="M4173" t="e">
        <v>#N/A</v>
      </c>
      <c r="N4173" s="1">
        <v>38718</v>
      </c>
    </row>
    <row r="4174" spans="11:14" x14ac:dyDescent="0.3">
      <c r="K4174" s="1">
        <v>39083</v>
      </c>
      <c r="M4174" t="e">
        <v>#N/A</v>
      </c>
      <c r="N4174" s="1">
        <v>38718</v>
      </c>
    </row>
    <row r="4175" spans="11:14" x14ac:dyDescent="0.3">
      <c r="K4175" s="1">
        <v>39083</v>
      </c>
      <c r="M4175" t="e">
        <v>#N/A</v>
      </c>
      <c r="N4175" s="1">
        <v>38718</v>
      </c>
    </row>
    <row r="4176" spans="11:14" x14ac:dyDescent="0.3">
      <c r="K4176" s="1">
        <v>39083</v>
      </c>
      <c r="M4176" t="e">
        <v>#N/A</v>
      </c>
      <c r="N4176" s="1">
        <v>38718</v>
      </c>
    </row>
    <row r="4177" spans="11:14" x14ac:dyDescent="0.3">
      <c r="K4177" s="1">
        <v>39083</v>
      </c>
      <c r="M4177" t="e">
        <v>#N/A</v>
      </c>
      <c r="N4177" s="1">
        <v>38718</v>
      </c>
    </row>
    <row r="4178" spans="11:14" x14ac:dyDescent="0.3">
      <c r="K4178" s="1">
        <v>39083</v>
      </c>
      <c r="M4178" t="e">
        <v>#N/A</v>
      </c>
      <c r="N4178" s="1">
        <v>38718</v>
      </c>
    </row>
    <row r="4179" spans="11:14" x14ac:dyDescent="0.3">
      <c r="K4179" s="1">
        <v>39083</v>
      </c>
      <c r="M4179" t="e">
        <v>#N/A</v>
      </c>
      <c r="N4179" s="1">
        <v>38718</v>
      </c>
    </row>
    <row r="4180" spans="11:14" x14ac:dyDescent="0.3">
      <c r="K4180" s="1">
        <v>39083</v>
      </c>
      <c r="M4180" t="e">
        <v>#N/A</v>
      </c>
      <c r="N4180" s="1">
        <v>38718</v>
      </c>
    </row>
    <row r="4181" spans="11:14" x14ac:dyDescent="0.3">
      <c r="K4181" s="1">
        <v>39083</v>
      </c>
      <c r="M4181" t="e">
        <v>#N/A</v>
      </c>
      <c r="N4181" s="1">
        <v>38718</v>
      </c>
    </row>
    <row r="4182" spans="11:14" x14ac:dyDescent="0.3">
      <c r="K4182" s="1">
        <v>39083</v>
      </c>
      <c r="M4182" t="e">
        <v>#N/A</v>
      </c>
      <c r="N4182" s="1">
        <v>38718</v>
      </c>
    </row>
    <row r="4183" spans="11:14" x14ac:dyDescent="0.3">
      <c r="K4183" s="1">
        <v>39083</v>
      </c>
      <c r="M4183" t="e">
        <v>#N/A</v>
      </c>
      <c r="N4183" s="1">
        <v>38718</v>
      </c>
    </row>
    <row r="4184" spans="11:14" x14ac:dyDescent="0.3">
      <c r="K4184" s="1">
        <v>39083</v>
      </c>
      <c r="M4184" t="e">
        <v>#N/A</v>
      </c>
      <c r="N4184" s="1">
        <v>38718</v>
      </c>
    </row>
    <row r="4185" spans="11:14" x14ac:dyDescent="0.3">
      <c r="K4185" s="1">
        <v>39083</v>
      </c>
      <c r="M4185" t="e">
        <v>#N/A</v>
      </c>
      <c r="N4185" s="1">
        <v>38718</v>
      </c>
    </row>
    <row r="4186" spans="11:14" x14ac:dyDescent="0.3">
      <c r="K4186" s="1">
        <v>39083</v>
      </c>
      <c r="M4186" t="e">
        <v>#N/A</v>
      </c>
      <c r="N4186" s="1">
        <v>38718</v>
      </c>
    </row>
    <row r="4187" spans="11:14" x14ac:dyDescent="0.3">
      <c r="K4187" s="1">
        <v>39083</v>
      </c>
      <c r="M4187" t="e">
        <v>#N/A</v>
      </c>
      <c r="N4187" s="1">
        <v>38718</v>
      </c>
    </row>
    <row r="4188" spans="11:14" x14ac:dyDescent="0.3">
      <c r="K4188" s="1">
        <v>39083</v>
      </c>
      <c r="M4188" t="e">
        <v>#N/A</v>
      </c>
      <c r="N4188" s="1">
        <v>38718</v>
      </c>
    </row>
    <row r="4189" spans="11:14" x14ac:dyDescent="0.3">
      <c r="K4189" s="1">
        <v>39083</v>
      </c>
      <c r="M4189" t="e">
        <v>#N/A</v>
      </c>
      <c r="N4189" s="1">
        <v>38718</v>
      </c>
    </row>
    <row r="4190" spans="11:14" x14ac:dyDescent="0.3">
      <c r="K4190" s="1">
        <v>39083</v>
      </c>
      <c r="M4190" t="e">
        <v>#N/A</v>
      </c>
      <c r="N4190" s="1">
        <v>38718</v>
      </c>
    </row>
    <row r="4191" spans="11:14" x14ac:dyDescent="0.3">
      <c r="K4191" s="1">
        <v>39083</v>
      </c>
      <c r="M4191" t="e">
        <v>#N/A</v>
      </c>
      <c r="N4191" s="1">
        <v>38718</v>
      </c>
    </row>
    <row r="4192" spans="11:14" x14ac:dyDescent="0.3">
      <c r="K4192" s="1">
        <v>39083</v>
      </c>
      <c r="M4192" t="e">
        <v>#N/A</v>
      </c>
      <c r="N4192" s="1">
        <v>38718</v>
      </c>
    </row>
    <row r="4193" spans="11:14" x14ac:dyDescent="0.3">
      <c r="K4193" s="1">
        <v>39083</v>
      </c>
      <c r="M4193" t="e">
        <v>#N/A</v>
      </c>
      <c r="N4193" s="1">
        <v>38718</v>
      </c>
    </row>
    <row r="4194" spans="11:14" x14ac:dyDescent="0.3">
      <c r="K4194" s="1">
        <v>39083</v>
      </c>
      <c r="M4194" t="e">
        <v>#N/A</v>
      </c>
      <c r="N4194" s="1">
        <v>38718</v>
      </c>
    </row>
    <row r="4195" spans="11:14" x14ac:dyDescent="0.3">
      <c r="K4195" s="1">
        <v>39083</v>
      </c>
      <c r="M4195" t="e">
        <v>#N/A</v>
      </c>
      <c r="N4195" s="1">
        <v>38718</v>
      </c>
    </row>
    <row r="4196" spans="11:14" x14ac:dyDescent="0.3">
      <c r="K4196" s="1">
        <v>39083</v>
      </c>
      <c r="M4196" t="e">
        <v>#N/A</v>
      </c>
      <c r="N4196" s="1">
        <v>38718</v>
      </c>
    </row>
    <row r="4197" spans="11:14" x14ac:dyDescent="0.3">
      <c r="K4197" s="1">
        <v>39083</v>
      </c>
      <c r="M4197" t="e">
        <v>#N/A</v>
      </c>
      <c r="N4197" s="1">
        <v>38718</v>
      </c>
    </row>
    <row r="4198" spans="11:14" x14ac:dyDescent="0.3">
      <c r="K4198" s="1">
        <v>39083</v>
      </c>
      <c r="M4198" t="e">
        <v>#N/A</v>
      </c>
      <c r="N4198" s="1">
        <v>38718</v>
      </c>
    </row>
    <row r="4199" spans="11:14" x14ac:dyDescent="0.3">
      <c r="K4199" s="1">
        <v>39083</v>
      </c>
      <c r="M4199" t="e">
        <v>#N/A</v>
      </c>
      <c r="N4199" s="1">
        <v>38718</v>
      </c>
    </row>
    <row r="4200" spans="11:14" x14ac:dyDescent="0.3">
      <c r="K4200" s="1">
        <v>39083</v>
      </c>
      <c r="M4200" t="e">
        <v>#N/A</v>
      </c>
      <c r="N4200" s="1">
        <v>38718</v>
      </c>
    </row>
    <row r="4201" spans="11:14" x14ac:dyDescent="0.3">
      <c r="K4201" s="1">
        <v>39083</v>
      </c>
      <c r="M4201" t="e">
        <v>#N/A</v>
      </c>
      <c r="N4201" s="1">
        <v>38718</v>
      </c>
    </row>
    <row r="4202" spans="11:14" x14ac:dyDescent="0.3">
      <c r="K4202" s="1">
        <v>39083</v>
      </c>
      <c r="M4202" t="e">
        <v>#N/A</v>
      </c>
      <c r="N4202" s="1">
        <v>38718</v>
      </c>
    </row>
    <row r="4203" spans="11:14" x14ac:dyDescent="0.3">
      <c r="K4203" s="1">
        <v>39083</v>
      </c>
      <c r="M4203" t="e">
        <v>#N/A</v>
      </c>
      <c r="N4203" s="1">
        <v>38718</v>
      </c>
    </row>
    <row r="4204" spans="11:14" x14ac:dyDescent="0.3">
      <c r="K4204" s="1">
        <v>39083</v>
      </c>
      <c r="M4204" t="e">
        <v>#N/A</v>
      </c>
      <c r="N4204" s="1">
        <v>38718</v>
      </c>
    </row>
    <row r="4205" spans="11:14" x14ac:dyDescent="0.3">
      <c r="K4205" s="1">
        <v>39083</v>
      </c>
      <c r="M4205" t="e">
        <v>#N/A</v>
      </c>
      <c r="N4205" s="1">
        <v>38718</v>
      </c>
    </row>
    <row r="4206" spans="11:14" x14ac:dyDescent="0.3">
      <c r="K4206" s="1">
        <v>39083</v>
      </c>
      <c r="M4206" t="e">
        <v>#N/A</v>
      </c>
      <c r="N4206" s="1">
        <v>38718</v>
      </c>
    </row>
    <row r="4207" spans="11:14" x14ac:dyDescent="0.3">
      <c r="K4207" s="1">
        <v>39083</v>
      </c>
      <c r="M4207" t="e">
        <v>#N/A</v>
      </c>
      <c r="N4207" s="1">
        <v>38718</v>
      </c>
    </row>
    <row r="4208" spans="11:14" x14ac:dyDescent="0.3">
      <c r="K4208" s="1">
        <v>39083</v>
      </c>
      <c r="M4208" t="e">
        <v>#N/A</v>
      </c>
      <c r="N4208" s="1">
        <v>38718</v>
      </c>
    </row>
    <row r="4209" spans="11:14" x14ac:dyDescent="0.3">
      <c r="K4209" s="1">
        <v>39083</v>
      </c>
      <c r="M4209" t="e">
        <v>#N/A</v>
      </c>
      <c r="N4209" s="1">
        <v>38718</v>
      </c>
    </row>
    <row r="4210" spans="11:14" x14ac:dyDescent="0.3">
      <c r="K4210" s="1">
        <v>39083</v>
      </c>
      <c r="M4210" t="e">
        <v>#N/A</v>
      </c>
      <c r="N4210" s="1">
        <v>38718</v>
      </c>
    </row>
    <row r="4211" spans="11:14" x14ac:dyDescent="0.3">
      <c r="K4211" s="1">
        <v>39083</v>
      </c>
      <c r="M4211" t="e">
        <v>#N/A</v>
      </c>
      <c r="N4211" s="1">
        <v>38718</v>
      </c>
    </row>
    <row r="4212" spans="11:14" x14ac:dyDescent="0.3">
      <c r="K4212" s="1">
        <v>39083</v>
      </c>
      <c r="M4212" t="e">
        <v>#N/A</v>
      </c>
      <c r="N4212" s="1">
        <v>38718</v>
      </c>
    </row>
    <row r="4213" spans="11:14" x14ac:dyDescent="0.3">
      <c r="K4213" s="1">
        <v>39083</v>
      </c>
      <c r="M4213" t="e">
        <v>#N/A</v>
      </c>
      <c r="N4213" s="1">
        <v>38718</v>
      </c>
    </row>
    <row r="4214" spans="11:14" x14ac:dyDescent="0.3">
      <c r="K4214" s="1">
        <v>39083</v>
      </c>
      <c r="M4214" t="e">
        <v>#N/A</v>
      </c>
      <c r="N4214" s="1">
        <v>38718</v>
      </c>
    </row>
    <row r="4215" spans="11:14" x14ac:dyDescent="0.3">
      <c r="K4215" s="1">
        <v>39083</v>
      </c>
      <c r="M4215" t="e">
        <v>#N/A</v>
      </c>
      <c r="N4215" s="1">
        <v>38718</v>
      </c>
    </row>
    <row r="4216" spans="11:14" x14ac:dyDescent="0.3">
      <c r="K4216" s="1">
        <v>39083</v>
      </c>
      <c r="M4216" t="e">
        <v>#N/A</v>
      </c>
      <c r="N4216" s="1">
        <v>38718</v>
      </c>
    </row>
    <row r="4217" spans="11:14" x14ac:dyDescent="0.3">
      <c r="K4217" s="1">
        <v>39083</v>
      </c>
      <c r="M4217" t="e">
        <v>#N/A</v>
      </c>
      <c r="N4217" s="1">
        <v>38718</v>
      </c>
    </row>
    <row r="4218" spans="11:14" x14ac:dyDescent="0.3">
      <c r="K4218" s="1">
        <v>39083</v>
      </c>
      <c r="M4218" t="e">
        <v>#N/A</v>
      </c>
      <c r="N4218" s="1">
        <v>38718</v>
      </c>
    </row>
    <row r="4219" spans="11:14" x14ac:dyDescent="0.3">
      <c r="K4219" s="1">
        <v>39083</v>
      </c>
      <c r="M4219" t="e">
        <v>#N/A</v>
      </c>
      <c r="N4219" s="1">
        <v>38718</v>
      </c>
    </row>
    <row r="4220" spans="11:14" x14ac:dyDescent="0.3">
      <c r="K4220" s="1">
        <v>39083</v>
      </c>
      <c r="M4220" t="e">
        <v>#N/A</v>
      </c>
      <c r="N4220" s="1">
        <v>38718</v>
      </c>
    </row>
    <row r="4221" spans="11:14" x14ac:dyDescent="0.3">
      <c r="K4221" s="1">
        <v>39083</v>
      </c>
      <c r="M4221" t="e">
        <v>#N/A</v>
      </c>
      <c r="N4221" s="1">
        <v>38718</v>
      </c>
    </row>
    <row r="4222" spans="11:14" x14ac:dyDescent="0.3">
      <c r="K4222" s="1">
        <v>39083</v>
      </c>
      <c r="M4222" t="e">
        <v>#N/A</v>
      </c>
      <c r="N4222" s="1">
        <v>38718</v>
      </c>
    </row>
    <row r="4223" spans="11:14" x14ac:dyDescent="0.3">
      <c r="K4223" s="1">
        <v>39083</v>
      </c>
      <c r="M4223" t="e">
        <v>#N/A</v>
      </c>
      <c r="N4223" s="1">
        <v>38718</v>
      </c>
    </row>
    <row r="4224" spans="11:14" x14ac:dyDescent="0.3">
      <c r="K4224" s="1">
        <v>39083</v>
      </c>
      <c r="M4224" t="e">
        <v>#N/A</v>
      </c>
      <c r="N4224" s="1">
        <v>38718</v>
      </c>
    </row>
    <row r="4225" spans="11:14" x14ac:dyDescent="0.3">
      <c r="K4225" s="1">
        <v>39083</v>
      </c>
      <c r="M4225" t="e">
        <v>#N/A</v>
      </c>
      <c r="N4225" s="1">
        <v>38718</v>
      </c>
    </row>
    <row r="4226" spans="11:14" x14ac:dyDescent="0.3">
      <c r="K4226" s="1">
        <v>39083</v>
      </c>
      <c r="M4226" t="e">
        <v>#N/A</v>
      </c>
      <c r="N4226" s="1">
        <v>38718</v>
      </c>
    </row>
    <row r="4227" spans="11:14" x14ac:dyDescent="0.3">
      <c r="K4227" s="1">
        <v>39083</v>
      </c>
      <c r="M4227" t="e">
        <v>#N/A</v>
      </c>
      <c r="N4227" s="1">
        <v>38718</v>
      </c>
    </row>
    <row r="4228" spans="11:14" x14ac:dyDescent="0.3">
      <c r="K4228" s="1">
        <v>39083</v>
      </c>
      <c r="M4228" t="e">
        <v>#N/A</v>
      </c>
      <c r="N4228" s="1">
        <v>38718</v>
      </c>
    </row>
    <row r="4229" spans="11:14" x14ac:dyDescent="0.3">
      <c r="K4229" s="1">
        <v>39083</v>
      </c>
      <c r="M4229" t="e">
        <v>#N/A</v>
      </c>
      <c r="N4229" s="1">
        <v>38718</v>
      </c>
    </row>
    <row r="4230" spans="11:14" x14ac:dyDescent="0.3">
      <c r="K4230" s="1">
        <v>39083</v>
      </c>
      <c r="M4230" t="e">
        <v>#N/A</v>
      </c>
      <c r="N4230" s="1">
        <v>38718</v>
      </c>
    </row>
    <row r="4231" spans="11:14" x14ac:dyDescent="0.3">
      <c r="K4231" s="1">
        <v>39083</v>
      </c>
      <c r="M4231" t="e">
        <v>#N/A</v>
      </c>
      <c r="N4231" s="1">
        <v>38718</v>
      </c>
    </row>
    <row r="4232" spans="11:14" x14ac:dyDescent="0.3">
      <c r="K4232" s="1">
        <v>39083</v>
      </c>
      <c r="M4232" t="e">
        <v>#N/A</v>
      </c>
      <c r="N4232" s="1">
        <v>38718</v>
      </c>
    </row>
    <row r="4233" spans="11:14" x14ac:dyDescent="0.3">
      <c r="K4233" s="1">
        <v>39083</v>
      </c>
      <c r="M4233" t="e">
        <v>#N/A</v>
      </c>
      <c r="N4233" s="1">
        <v>38718</v>
      </c>
    </row>
    <row r="4234" spans="11:14" x14ac:dyDescent="0.3">
      <c r="K4234" s="1">
        <v>39083</v>
      </c>
      <c r="M4234" t="e">
        <v>#N/A</v>
      </c>
      <c r="N4234" s="1">
        <v>38718</v>
      </c>
    </row>
    <row r="4235" spans="11:14" x14ac:dyDescent="0.3">
      <c r="K4235" s="1">
        <v>39083</v>
      </c>
      <c r="M4235" t="e">
        <v>#N/A</v>
      </c>
      <c r="N4235" s="1">
        <v>38718</v>
      </c>
    </row>
    <row r="4236" spans="11:14" x14ac:dyDescent="0.3">
      <c r="K4236" s="1">
        <v>39083</v>
      </c>
      <c r="M4236" t="e">
        <v>#N/A</v>
      </c>
      <c r="N4236" s="1">
        <v>38718</v>
      </c>
    </row>
    <row r="4237" spans="11:14" x14ac:dyDescent="0.3">
      <c r="K4237" s="1">
        <v>39083</v>
      </c>
      <c r="M4237" t="e">
        <v>#N/A</v>
      </c>
      <c r="N4237" s="1">
        <v>38718</v>
      </c>
    </row>
    <row r="4238" spans="11:14" x14ac:dyDescent="0.3">
      <c r="K4238" s="1">
        <v>39083</v>
      </c>
      <c r="M4238" t="e">
        <v>#N/A</v>
      </c>
      <c r="N4238" s="1">
        <v>38718</v>
      </c>
    </row>
    <row r="4239" spans="11:14" x14ac:dyDescent="0.3">
      <c r="K4239" s="1">
        <v>39083</v>
      </c>
      <c r="M4239" t="e">
        <v>#N/A</v>
      </c>
      <c r="N4239" s="1">
        <v>38718</v>
      </c>
    </row>
    <row r="4240" spans="11:14" x14ac:dyDescent="0.3">
      <c r="K4240" s="1">
        <v>39083</v>
      </c>
      <c r="M4240" t="e">
        <v>#N/A</v>
      </c>
      <c r="N4240" s="1">
        <v>38718</v>
      </c>
    </row>
    <row r="4241" spans="11:14" x14ac:dyDescent="0.3">
      <c r="K4241" s="1">
        <v>39083</v>
      </c>
      <c r="M4241" t="e">
        <v>#N/A</v>
      </c>
      <c r="N4241" s="1">
        <v>38718</v>
      </c>
    </row>
    <row r="4242" spans="11:14" x14ac:dyDescent="0.3">
      <c r="K4242" s="1">
        <v>39083</v>
      </c>
      <c r="M4242" t="e">
        <v>#N/A</v>
      </c>
      <c r="N4242" s="1">
        <v>38718</v>
      </c>
    </row>
    <row r="4243" spans="11:14" x14ac:dyDescent="0.3">
      <c r="K4243" s="1">
        <v>39083</v>
      </c>
      <c r="M4243" t="e">
        <v>#N/A</v>
      </c>
      <c r="N4243" s="1">
        <v>38718</v>
      </c>
    </row>
    <row r="4244" spans="11:14" x14ac:dyDescent="0.3">
      <c r="K4244" s="1">
        <v>39083</v>
      </c>
      <c r="M4244" t="e">
        <v>#N/A</v>
      </c>
      <c r="N4244" s="1">
        <v>38718</v>
      </c>
    </row>
    <row r="4245" spans="11:14" x14ac:dyDescent="0.3">
      <c r="K4245" s="1">
        <v>39083</v>
      </c>
      <c r="M4245" t="e">
        <v>#N/A</v>
      </c>
      <c r="N4245" s="1">
        <v>38718</v>
      </c>
    </row>
    <row r="4246" spans="11:14" x14ac:dyDescent="0.3">
      <c r="K4246" s="1">
        <v>39083</v>
      </c>
      <c r="M4246" t="e">
        <v>#N/A</v>
      </c>
      <c r="N4246" s="1">
        <v>38718</v>
      </c>
    </row>
    <row r="4247" spans="11:14" x14ac:dyDescent="0.3">
      <c r="K4247" s="1">
        <v>39083</v>
      </c>
      <c r="M4247" t="e">
        <v>#N/A</v>
      </c>
      <c r="N4247" s="1">
        <v>38718</v>
      </c>
    </row>
    <row r="4248" spans="11:14" x14ac:dyDescent="0.3">
      <c r="K4248" s="1">
        <v>39083</v>
      </c>
      <c r="M4248" t="e">
        <v>#N/A</v>
      </c>
      <c r="N4248" s="1">
        <v>38718</v>
      </c>
    </row>
    <row r="4249" spans="11:14" x14ac:dyDescent="0.3">
      <c r="K4249" s="1">
        <v>39083</v>
      </c>
      <c r="M4249" t="e">
        <v>#N/A</v>
      </c>
      <c r="N4249" s="1">
        <v>38718</v>
      </c>
    </row>
    <row r="4250" spans="11:14" x14ac:dyDescent="0.3">
      <c r="K4250" s="1">
        <v>39083</v>
      </c>
      <c r="M4250" t="e">
        <v>#N/A</v>
      </c>
      <c r="N4250" s="1">
        <v>38718</v>
      </c>
    </row>
    <row r="4251" spans="11:14" x14ac:dyDescent="0.3">
      <c r="K4251" s="1">
        <v>39083</v>
      </c>
      <c r="M4251" t="e">
        <v>#N/A</v>
      </c>
      <c r="N4251" s="1">
        <v>38718</v>
      </c>
    </row>
    <row r="4252" spans="11:14" x14ac:dyDescent="0.3">
      <c r="K4252" s="1">
        <v>39083</v>
      </c>
      <c r="M4252" t="e">
        <v>#N/A</v>
      </c>
      <c r="N4252" s="1">
        <v>38718</v>
      </c>
    </row>
    <row r="4253" spans="11:14" x14ac:dyDescent="0.3">
      <c r="K4253" s="1">
        <v>39083</v>
      </c>
      <c r="M4253" t="e">
        <v>#N/A</v>
      </c>
      <c r="N4253" s="1">
        <v>38718</v>
      </c>
    </row>
    <row r="4254" spans="11:14" x14ac:dyDescent="0.3">
      <c r="K4254" s="1">
        <v>39083</v>
      </c>
      <c r="M4254" t="e">
        <v>#N/A</v>
      </c>
      <c r="N4254" s="1">
        <v>38718</v>
      </c>
    </row>
    <row r="4255" spans="11:14" x14ac:dyDescent="0.3">
      <c r="K4255" s="1">
        <v>39083</v>
      </c>
      <c r="M4255" t="e">
        <v>#N/A</v>
      </c>
      <c r="N4255" s="1">
        <v>38718</v>
      </c>
    </row>
    <row r="4256" spans="11:14" x14ac:dyDescent="0.3">
      <c r="K4256" s="1">
        <v>39083</v>
      </c>
      <c r="M4256" t="e">
        <v>#N/A</v>
      </c>
      <c r="N4256" s="1">
        <v>38718</v>
      </c>
    </row>
    <row r="4257" spans="11:14" x14ac:dyDescent="0.3">
      <c r="K4257" s="1">
        <v>39083</v>
      </c>
      <c r="M4257" t="e">
        <v>#N/A</v>
      </c>
      <c r="N4257" s="1">
        <v>38718</v>
      </c>
    </row>
    <row r="4258" spans="11:14" x14ac:dyDescent="0.3">
      <c r="K4258" s="1">
        <v>39083</v>
      </c>
      <c r="M4258" t="e">
        <v>#N/A</v>
      </c>
      <c r="N4258" s="1">
        <v>38718</v>
      </c>
    </row>
    <row r="4259" spans="11:14" x14ac:dyDescent="0.3">
      <c r="K4259" s="1">
        <v>39083</v>
      </c>
      <c r="M4259" t="e">
        <v>#N/A</v>
      </c>
      <c r="N4259" s="1">
        <v>38718</v>
      </c>
    </row>
    <row r="4260" spans="11:14" x14ac:dyDescent="0.3">
      <c r="K4260" s="1">
        <v>39083</v>
      </c>
      <c r="M4260" t="e">
        <v>#N/A</v>
      </c>
      <c r="N4260" s="1">
        <v>38718</v>
      </c>
    </row>
    <row r="4261" spans="11:14" x14ac:dyDescent="0.3">
      <c r="K4261" s="1">
        <v>39083</v>
      </c>
      <c r="M4261" t="e">
        <v>#N/A</v>
      </c>
      <c r="N4261" s="1">
        <v>38718</v>
      </c>
    </row>
    <row r="4262" spans="11:14" x14ac:dyDescent="0.3">
      <c r="K4262" s="1">
        <v>39083</v>
      </c>
      <c r="M4262" t="e">
        <v>#N/A</v>
      </c>
      <c r="N4262" s="1">
        <v>38718</v>
      </c>
    </row>
    <row r="4263" spans="11:14" x14ac:dyDescent="0.3">
      <c r="K4263" s="1">
        <v>39083</v>
      </c>
      <c r="M4263" t="e">
        <v>#N/A</v>
      </c>
      <c r="N4263" s="1">
        <v>38718</v>
      </c>
    </row>
    <row r="4264" spans="11:14" x14ac:dyDescent="0.3">
      <c r="K4264" s="1">
        <v>39083</v>
      </c>
      <c r="M4264" t="e">
        <v>#N/A</v>
      </c>
      <c r="N4264" s="1">
        <v>38718</v>
      </c>
    </row>
    <row r="4265" spans="11:14" x14ac:dyDescent="0.3">
      <c r="K4265" s="1">
        <v>39083</v>
      </c>
      <c r="M4265" t="e">
        <v>#N/A</v>
      </c>
      <c r="N4265" s="1">
        <v>38718</v>
      </c>
    </row>
    <row r="4266" spans="11:14" x14ac:dyDescent="0.3">
      <c r="K4266" s="1">
        <v>39083</v>
      </c>
      <c r="M4266" t="e">
        <v>#N/A</v>
      </c>
      <c r="N4266" s="1">
        <v>38718</v>
      </c>
    </row>
    <row r="4267" spans="11:14" x14ac:dyDescent="0.3">
      <c r="K4267" s="1">
        <v>39083</v>
      </c>
      <c r="M4267" t="e">
        <v>#N/A</v>
      </c>
      <c r="N4267" s="1">
        <v>38718</v>
      </c>
    </row>
    <row r="4268" spans="11:14" x14ac:dyDescent="0.3">
      <c r="K4268" s="1">
        <v>39083</v>
      </c>
      <c r="M4268" t="e">
        <v>#N/A</v>
      </c>
      <c r="N4268" s="1">
        <v>38718</v>
      </c>
    </row>
    <row r="4269" spans="11:14" x14ac:dyDescent="0.3">
      <c r="K4269" s="1">
        <v>39083</v>
      </c>
      <c r="M4269" t="e">
        <v>#N/A</v>
      </c>
      <c r="N4269" s="1">
        <v>38718</v>
      </c>
    </row>
    <row r="4270" spans="11:14" x14ac:dyDescent="0.3">
      <c r="K4270" s="1">
        <v>39083</v>
      </c>
      <c r="M4270" t="e">
        <v>#N/A</v>
      </c>
      <c r="N4270" s="1">
        <v>38718</v>
      </c>
    </row>
    <row r="4271" spans="11:14" x14ac:dyDescent="0.3">
      <c r="K4271" s="1">
        <v>39083</v>
      </c>
      <c r="M4271" t="e">
        <v>#N/A</v>
      </c>
      <c r="N4271" s="1">
        <v>38718</v>
      </c>
    </row>
    <row r="4272" spans="11:14" x14ac:dyDescent="0.3">
      <c r="K4272" s="1">
        <v>39083</v>
      </c>
      <c r="M4272" t="e">
        <v>#N/A</v>
      </c>
      <c r="N4272" s="1">
        <v>38718</v>
      </c>
    </row>
    <row r="4273" spans="11:14" x14ac:dyDescent="0.3">
      <c r="K4273" s="1">
        <v>39083</v>
      </c>
      <c r="M4273" t="e">
        <v>#N/A</v>
      </c>
      <c r="N4273" s="1">
        <v>38718</v>
      </c>
    </row>
    <row r="4274" spans="11:14" x14ac:dyDescent="0.3">
      <c r="K4274" s="1">
        <v>39083</v>
      </c>
      <c r="M4274" t="e">
        <v>#N/A</v>
      </c>
      <c r="N4274" s="1">
        <v>38718</v>
      </c>
    </row>
    <row r="4275" spans="11:14" x14ac:dyDescent="0.3">
      <c r="K4275" s="1">
        <v>39083</v>
      </c>
      <c r="M4275" t="e">
        <v>#N/A</v>
      </c>
      <c r="N4275" s="1">
        <v>38718</v>
      </c>
    </row>
    <row r="4276" spans="11:14" x14ac:dyDescent="0.3">
      <c r="K4276" s="1">
        <v>39083</v>
      </c>
      <c r="M4276" t="e">
        <v>#N/A</v>
      </c>
      <c r="N4276" s="1">
        <v>38718</v>
      </c>
    </row>
    <row r="4277" spans="11:14" x14ac:dyDescent="0.3">
      <c r="K4277" s="1">
        <v>39083</v>
      </c>
      <c r="M4277" t="e">
        <v>#N/A</v>
      </c>
      <c r="N4277" s="1">
        <v>38718</v>
      </c>
    </row>
    <row r="4278" spans="11:14" x14ac:dyDescent="0.3">
      <c r="K4278" s="1">
        <v>39083</v>
      </c>
      <c r="M4278" t="e">
        <v>#N/A</v>
      </c>
      <c r="N4278" s="1">
        <v>38718</v>
      </c>
    </row>
    <row r="4279" spans="11:14" x14ac:dyDescent="0.3">
      <c r="K4279" s="1">
        <v>39083</v>
      </c>
      <c r="M4279" t="e">
        <v>#N/A</v>
      </c>
      <c r="N4279" s="1">
        <v>38718</v>
      </c>
    </row>
    <row r="4280" spans="11:14" x14ac:dyDescent="0.3">
      <c r="K4280" s="1">
        <v>39083</v>
      </c>
      <c r="M4280" t="e">
        <v>#N/A</v>
      </c>
      <c r="N4280" s="1">
        <v>38718</v>
      </c>
    </row>
    <row r="4281" spans="11:14" x14ac:dyDescent="0.3">
      <c r="K4281" s="1">
        <v>39083</v>
      </c>
      <c r="M4281" t="e">
        <v>#N/A</v>
      </c>
      <c r="N4281" s="1">
        <v>38718</v>
      </c>
    </row>
    <row r="4282" spans="11:14" x14ac:dyDescent="0.3">
      <c r="K4282" s="1">
        <v>39083</v>
      </c>
      <c r="M4282" t="e">
        <v>#N/A</v>
      </c>
      <c r="N4282" s="1">
        <v>38718</v>
      </c>
    </row>
    <row r="4283" spans="11:14" x14ac:dyDescent="0.3">
      <c r="K4283" s="1">
        <v>39083</v>
      </c>
      <c r="M4283" t="e">
        <v>#N/A</v>
      </c>
      <c r="N4283" s="1">
        <v>38718</v>
      </c>
    </row>
    <row r="4284" spans="11:14" x14ac:dyDescent="0.3">
      <c r="K4284" s="1">
        <v>39083</v>
      </c>
      <c r="M4284" t="e">
        <v>#N/A</v>
      </c>
      <c r="N4284" s="1">
        <v>38718</v>
      </c>
    </row>
    <row r="4285" spans="11:14" x14ac:dyDescent="0.3">
      <c r="K4285" s="1">
        <v>39083</v>
      </c>
      <c r="M4285" t="e">
        <v>#N/A</v>
      </c>
      <c r="N4285" s="1">
        <v>38718</v>
      </c>
    </row>
    <row r="4286" spans="11:14" x14ac:dyDescent="0.3">
      <c r="K4286" s="1">
        <v>39083</v>
      </c>
      <c r="M4286" t="e">
        <v>#N/A</v>
      </c>
      <c r="N4286" s="1">
        <v>38718</v>
      </c>
    </row>
    <row r="4287" spans="11:14" x14ac:dyDescent="0.3">
      <c r="K4287" s="1">
        <v>39083</v>
      </c>
      <c r="M4287" t="e">
        <v>#N/A</v>
      </c>
      <c r="N4287" s="1">
        <v>38718</v>
      </c>
    </row>
    <row r="4288" spans="11:14" x14ac:dyDescent="0.3">
      <c r="K4288" s="1">
        <v>39083</v>
      </c>
      <c r="M4288" t="e">
        <v>#N/A</v>
      </c>
      <c r="N4288" s="1">
        <v>38718</v>
      </c>
    </row>
    <row r="4289" spans="11:14" x14ac:dyDescent="0.3">
      <c r="K4289" s="1">
        <v>39083</v>
      </c>
      <c r="M4289" t="e">
        <v>#N/A</v>
      </c>
      <c r="N4289" s="1">
        <v>38718</v>
      </c>
    </row>
    <row r="4290" spans="11:14" x14ac:dyDescent="0.3">
      <c r="K4290" s="1">
        <v>39083</v>
      </c>
      <c r="M4290" t="e">
        <v>#N/A</v>
      </c>
      <c r="N4290" s="1">
        <v>38718</v>
      </c>
    </row>
    <row r="4291" spans="11:14" x14ac:dyDescent="0.3">
      <c r="K4291" s="1">
        <v>39083</v>
      </c>
      <c r="M4291" t="e">
        <v>#N/A</v>
      </c>
      <c r="N4291" s="1">
        <v>38718</v>
      </c>
    </row>
    <row r="4292" spans="11:14" x14ac:dyDescent="0.3">
      <c r="K4292" s="1">
        <v>39083</v>
      </c>
      <c r="M4292" t="e">
        <v>#N/A</v>
      </c>
      <c r="N4292" s="1">
        <v>38718</v>
      </c>
    </row>
    <row r="4293" spans="11:14" x14ac:dyDescent="0.3">
      <c r="K4293" s="1">
        <v>39083</v>
      </c>
      <c r="M4293" t="e">
        <v>#N/A</v>
      </c>
      <c r="N4293" s="1">
        <v>38718</v>
      </c>
    </row>
    <row r="4294" spans="11:14" x14ac:dyDescent="0.3">
      <c r="K4294" s="1">
        <v>39083</v>
      </c>
      <c r="M4294" t="e">
        <v>#N/A</v>
      </c>
      <c r="N4294" s="1">
        <v>38718</v>
      </c>
    </row>
    <row r="4295" spans="11:14" x14ac:dyDescent="0.3">
      <c r="K4295" s="1">
        <v>39083</v>
      </c>
      <c r="M4295" t="e">
        <v>#N/A</v>
      </c>
      <c r="N4295" s="1">
        <v>38718</v>
      </c>
    </row>
    <row r="4296" spans="11:14" x14ac:dyDescent="0.3">
      <c r="K4296" s="1">
        <v>39083</v>
      </c>
      <c r="M4296" t="e">
        <v>#N/A</v>
      </c>
      <c r="N4296" s="1">
        <v>38718</v>
      </c>
    </row>
    <row r="4297" spans="11:14" x14ac:dyDescent="0.3">
      <c r="K4297" s="1">
        <v>39083</v>
      </c>
      <c r="M4297" t="e">
        <v>#N/A</v>
      </c>
      <c r="N4297" s="1">
        <v>38718</v>
      </c>
    </row>
    <row r="4298" spans="11:14" x14ac:dyDescent="0.3">
      <c r="K4298" s="1">
        <v>39083</v>
      </c>
      <c r="M4298" t="e">
        <v>#N/A</v>
      </c>
      <c r="N4298" s="1">
        <v>38718</v>
      </c>
    </row>
    <row r="4299" spans="11:14" x14ac:dyDescent="0.3">
      <c r="K4299" s="1">
        <v>39083</v>
      </c>
      <c r="M4299" t="e">
        <v>#N/A</v>
      </c>
      <c r="N4299" s="1">
        <v>38718</v>
      </c>
    </row>
    <row r="4300" spans="11:14" x14ac:dyDescent="0.3">
      <c r="K4300" s="1">
        <v>39083</v>
      </c>
      <c r="M4300" t="e">
        <v>#N/A</v>
      </c>
      <c r="N4300" s="1">
        <v>38718</v>
      </c>
    </row>
    <row r="4301" spans="11:14" x14ac:dyDescent="0.3">
      <c r="K4301" s="1">
        <v>39083</v>
      </c>
      <c r="M4301" t="e">
        <v>#N/A</v>
      </c>
      <c r="N4301" s="1">
        <v>38718</v>
      </c>
    </row>
    <row r="4302" spans="11:14" x14ac:dyDescent="0.3">
      <c r="K4302" s="1">
        <v>39083</v>
      </c>
      <c r="M4302" t="e">
        <v>#N/A</v>
      </c>
      <c r="N4302" s="1">
        <v>38718</v>
      </c>
    </row>
    <row r="4303" spans="11:14" x14ac:dyDescent="0.3">
      <c r="K4303" s="1">
        <v>39083</v>
      </c>
      <c r="M4303" t="e">
        <v>#N/A</v>
      </c>
      <c r="N4303" s="1">
        <v>38718</v>
      </c>
    </row>
    <row r="4304" spans="11:14" x14ac:dyDescent="0.3">
      <c r="K4304" s="1">
        <v>39083</v>
      </c>
      <c r="M4304" t="e">
        <v>#N/A</v>
      </c>
      <c r="N4304" s="1">
        <v>38718</v>
      </c>
    </row>
    <row r="4305" spans="11:14" x14ac:dyDescent="0.3">
      <c r="K4305" s="1">
        <v>39083</v>
      </c>
      <c r="M4305" t="e">
        <v>#N/A</v>
      </c>
      <c r="N4305" s="1">
        <v>38718</v>
      </c>
    </row>
    <row r="4306" spans="11:14" x14ac:dyDescent="0.3">
      <c r="K4306" s="1">
        <v>39083</v>
      </c>
      <c r="M4306" t="e">
        <v>#N/A</v>
      </c>
      <c r="N4306" s="1">
        <v>38718</v>
      </c>
    </row>
    <row r="4307" spans="11:14" x14ac:dyDescent="0.3">
      <c r="K4307" s="1">
        <v>39083</v>
      </c>
      <c r="M4307" t="e">
        <v>#N/A</v>
      </c>
      <c r="N4307" s="1">
        <v>38718</v>
      </c>
    </row>
    <row r="4308" spans="11:14" x14ac:dyDescent="0.3">
      <c r="K4308" s="1">
        <v>39083</v>
      </c>
      <c r="M4308" t="e">
        <v>#N/A</v>
      </c>
      <c r="N4308" s="1">
        <v>38718</v>
      </c>
    </row>
    <row r="4309" spans="11:14" x14ac:dyDescent="0.3">
      <c r="K4309" s="1">
        <v>39083</v>
      </c>
      <c r="M4309" t="e">
        <v>#N/A</v>
      </c>
      <c r="N4309" s="1">
        <v>38718</v>
      </c>
    </row>
    <row r="4310" spans="11:14" x14ac:dyDescent="0.3">
      <c r="K4310" s="1">
        <v>39083</v>
      </c>
      <c r="M4310" t="e">
        <v>#N/A</v>
      </c>
      <c r="N4310" s="1">
        <v>38718</v>
      </c>
    </row>
    <row r="4311" spans="11:14" x14ac:dyDescent="0.3">
      <c r="K4311" s="1">
        <v>39083</v>
      </c>
      <c r="M4311" t="e">
        <v>#N/A</v>
      </c>
      <c r="N4311" s="1">
        <v>38718</v>
      </c>
    </row>
    <row r="4312" spans="11:14" x14ac:dyDescent="0.3">
      <c r="K4312" s="1">
        <v>39083</v>
      </c>
      <c r="M4312" t="e">
        <v>#N/A</v>
      </c>
      <c r="N4312" s="1">
        <v>38718</v>
      </c>
    </row>
    <row r="4313" spans="11:14" x14ac:dyDescent="0.3">
      <c r="K4313" s="1">
        <v>39083</v>
      </c>
      <c r="M4313" t="e">
        <v>#N/A</v>
      </c>
      <c r="N4313" s="1">
        <v>38718</v>
      </c>
    </row>
    <row r="4314" spans="11:14" x14ac:dyDescent="0.3">
      <c r="K4314" s="1">
        <v>39083</v>
      </c>
      <c r="M4314" t="e">
        <v>#N/A</v>
      </c>
      <c r="N4314" s="1">
        <v>38718</v>
      </c>
    </row>
    <row r="4315" spans="11:14" x14ac:dyDescent="0.3">
      <c r="K4315" s="1">
        <v>39083</v>
      </c>
      <c r="M4315" t="e">
        <v>#N/A</v>
      </c>
      <c r="N4315" s="1">
        <v>38718</v>
      </c>
    </row>
    <row r="4316" spans="11:14" x14ac:dyDescent="0.3">
      <c r="K4316" s="1">
        <v>39083</v>
      </c>
      <c r="M4316" t="e">
        <v>#N/A</v>
      </c>
      <c r="N4316" s="1">
        <v>38718</v>
      </c>
    </row>
    <row r="4317" spans="11:14" x14ac:dyDescent="0.3">
      <c r="K4317" s="1">
        <v>39083</v>
      </c>
      <c r="M4317" t="e">
        <v>#N/A</v>
      </c>
      <c r="N4317" s="1">
        <v>38718</v>
      </c>
    </row>
    <row r="4318" spans="11:14" x14ac:dyDescent="0.3">
      <c r="K4318" s="1">
        <v>39083</v>
      </c>
      <c r="M4318" t="e">
        <v>#N/A</v>
      </c>
      <c r="N4318" s="1">
        <v>38718</v>
      </c>
    </row>
    <row r="4319" spans="11:14" x14ac:dyDescent="0.3">
      <c r="K4319" s="1">
        <v>39083</v>
      </c>
      <c r="M4319" t="e">
        <v>#N/A</v>
      </c>
      <c r="N4319" s="1">
        <v>38718</v>
      </c>
    </row>
    <row r="4320" spans="11:14" x14ac:dyDescent="0.3">
      <c r="K4320" s="1">
        <v>39083</v>
      </c>
      <c r="M4320" t="e">
        <v>#N/A</v>
      </c>
      <c r="N4320" s="1">
        <v>38718</v>
      </c>
    </row>
    <row r="4321" spans="11:14" x14ac:dyDescent="0.3">
      <c r="K4321" s="1">
        <v>39083</v>
      </c>
      <c r="M4321" t="e">
        <v>#N/A</v>
      </c>
      <c r="N4321" s="1">
        <v>38718</v>
      </c>
    </row>
    <row r="4322" spans="11:14" x14ac:dyDescent="0.3">
      <c r="K4322" s="1">
        <v>39083</v>
      </c>
      <c r="M4322" t="e">
        <v>#N/A</v>
      </c>
      <c r="N4322" s="1">
        <v>38718</v>
      </c>
    </row>
    <row r="4323" spans="11:14" x14ac:dyDescent="0.3">
      <c r="K4323" s="1">
        <v>39083</v>
      </c>
      <c r="M4323" t="e">
        <v>#N/A</v>
      </c>
      <c r="N4323" s="1">
        <v>38718</v>
      </c>
    </row>
    <row r="4324" spans="11:14" x14ac:dyDescent="0.3">
      <c r="K4324" s="1">
        <v>39083</v>
      </c>
      <c r="M4324" t="e">
        <v>#N/A</v>
      </c>
      <c r="N4324" s="1">
        <v>38718</v>
      </c>
    </row>
    <row r="4325" spans="11:14" x14ac:dyDescent="0.3">
      <c r="K4325" s="1">
        <v>39083</v>
      </c>
      <c r="M4325" t="e">
        <v>#N/A</v>
      </c>
      <c r="N4325" s="1">
        <v>38718</v>
      </c>
    </row>
    <row r="4326" spans="11:14" x14ac:dyDescent="0.3">
      <c r="K4326" s="1">
        <v>39083</v>
      </c>
      <c r="M4326" t="e">
        <v>#N/A</v>
      </c>
      <c r="N4326" s="1">
        <v>38718</v>
      </c>
    </row>
    <row r="4327" spans="11:14" x14ac:dyDescent="0.3">
      <c r="K4327" s="1">
        <v>39083</v>
      </c>
      <c r="M4327" t="e">
        <v>#N/A</v>
      </c>
      <c r="N4327" s="1">
        <v>38718</v>
      </c>
    </row>
    <row r="4328" spans="11:14" x14ac:dyDescent="0.3">
      <c r="K4328" s="1">
        <v>39083</v>
      </c>
      <c r="M4328" t="e">
        <v>#N/A</v>
      </c>
      <c r="N4328" s="1">
        <v>38718</v>
      </c>
    </row>
    <row r="4329" spans="11:14" x14ac:dyDescent="0.3">
      <c r="K4329" s="1">
        <v>39083</v>
      </c>
      <c r="M4329" t="e">
        <v>#N/A</v>
      </c>
      <c r="N4329" s="1">
        <v>38718</v>
      </c>
    </row>
    <row r="4330" spans="11:14" x14ac:dyDescent="0.3">
      <c r="K4330" s="1">
        <v>39083</v>
      </c>
      <c r="M4330" t="e">
        <v>#N/A</v>
      </c>
      <c r="N4330" s="1">
        <v>38718</v>
      </c>
    </row>
    <row r="4331" spans="11:14" x14ac:dyDescent="0.3">
      <c r="K4331" s="1">
        <v>39083</v>
      </c>
      <c r="M4331" t="e">
        <v>#N/A</v>
      </c>
      <c r="N4331" s="1">
        <v>38718</v>
      </c>
    </row>
    <row r="4332" spans="11:14" x14ac:dyDescent="0.3">
      <c r="K4332" s="1">
        <v>39083</v>
      </c>
      <c r="M4332" t="e">
        <v>#N/A</v>
      </c>
      <c r="N4332" s="1">
        <v>38718</v>
      </c>
    </row>
    <row r="4333" spans="11:14" x14ac:dyDescent="0.3">
      <c r="K4333" s="1">
        <v>39083</v>
      </c>
      <c r="M4333" t="e">
        <v>#N/A</v>
      </c>
      <c r="N4333" s="1">
        <v>38718</v>
      </c>
    </row>
    <row r="4334" spans="11:14" x14ac:dyDescent="0.3">
      <c r="K4334" s="1">
        <v>39083</v>
      </c>
      <c r="M4334" t="e">
        <v>#N/A</v>
      </c>
      <c r="N4334" s="1">
        <v>38718</v>
      </c>
    </row>
    <row r="4335" spans="11:14" x14ac:dyDescent="0.3">
      <c r="K4335" s="1">
        <v>39083</v>
      </c>
      <c r="M4335" t="e">
        <v>#N/A</v>
      </c>
      <c r="N4335" s="1">
        <v>38718</v>
      </c>
    </row>
    <row r="4336" spans="11:14" x14ac:dyDescent="0.3">
      <c r="K4336" s="1">
        <v>39083</v>
      </c>
      <c r="M4336" t="e">
        <v>#N/A</v>
      </c>
      <c r="N4336" s="1">
        <v>38718</v>
      </c>
    </row>
    <row r="4337" spans="11:14" x14ac:dyDescent="0.3">
      <c r="K4337" s="1">
        <v>39083</v>
      </c>
      <c r="M4337" t="e">
        <v>#N/A</v>
      </c>
      <c r="N4337" s="1">
        <v>38718</v>
      </c>
    </row>
    <row r="4338" spans="11:14" x14ac:dyDescent="0.3">
      <c r="K4338" s="1">
        <v>39083</v>
      </c>
      <c r="M4338" t="e">
        <v>#N/A</v>
      </c>
      <c r="N4338" s="1">
        <v>38718</v>
      </c>
    </row>
    <row r="4339" spans="11:14" x14ac:dyDescent="0.3">
      <c r="K4339" s="1">
        <v>39083</v>
      </c>
      <c r="M4339" t="e">
        <v>#N/A</v>
      </c>
      <c r="N4339" s="1">
        <v>38718</v>
      </c>
    </row>
    <row r="4340" spans="11:14" x14ac:dyDescent="0.3">
      <c r="K4340" s="1">
        <v>39083</v>
      </c>
      <c r="M4340" t="e">
        <v>#N/A</v>
      </c>
      <c r="N4340" s="1">
        <v>38718</v>
      </c>
    </row>
    <row r="4341" spans="11:14" x14ac:dyDescent="0.3">
      <c r="K4341" s="1">
        <v>39083</v>
      </c>
      <c r="M4341" t="e">
        <v>#N/A</v>
      </c>
      <c r="N4341" s="1">
        <v>38718</v>
      </c>
    </row>
    <row r="4342" spans="11:14" x14ac:dyDescent="0.3">
      <c r="K4342" s="1">
        <v>39083</v>
      </c>
      <c r="M4342" t="e">
        <v>#N/A</v>
      </c>
      <c r="N4342" s="1">
        <v>38718</v>
      </c>
    </row>
    <row r="4343" spans="11:14" x14ac:dyDescent="0.3">
      <c r="K4343" s="1">
        <v>39083</v>
      </c>
      <c r="M4343" t="e">
        <v>#N/A</v>
      </c>
      <c r="N4343" s="1">
        <v>38718</v>
      </c>
    </row>
    <row r="4344" spans="11:14" x14ac:dyDescent="0.3">
      <c r="K4344" s="1">
        <v>39083</v>
      </c>
      <c r="M4344" t="e">
        <v>#N/A</v>
      </c>
      <c r="N4344" s="1">
        <v>38718</v>
      </c>
    </row>
    <row r="4345" spans="11:14" x14ac:dyDescent="0.3">
      <c r="K4345" s="1">
        <v>39083</v>
      </c>
      <c r="M4345" t="e">
        <v>#N/A</v>
      </c>
      <c r="N4345" s="1">
        <v>38718</v>
      </c>
    </row>
    <row r="4346" spans="11:14" x14ac:dyDescent="0.3">
      <c r="K4346" s="1">
        <v>39083</v>
      </c>
      <c r="M4346" t="e">
        <v>#N/A</v>
      </c>
      <c r="N4346" s="1">
        <v>38718</v>
      </c>
    </row>
    <row r="4347" spans="11:14" x14ac:dyDescent="0.3">
      <c r="K4347" s="1">
        <v>39083</v>
      </c>
      <c r="M4347" t="e">
        <v>#N/A</v>
      </c>
      <c r="N4347" s="1">
        <v>38718</v>
      </c>
    </row>
    <row r="4348" spans="11:14" x14ac:dyDescent="0.3">
      <c r="K4348" s="1">
        <v>39083</v>
      </c>
      <c r="M4348" t="e">
        <v>#N/A</v>
      </c>
      <c r="N4348" s="1">
        <v>38718</v>
      </c>
    </row>
    <row r="4349" spans="11:14" x14ac:dyDescent="0.3">
      <c r="K4349" s="1">
        <v>39083</v>
      </c>
      <c r="M4349" t="e">
        <v>#N/A</v>
      </c>
      <c r="N4349" s="1">
        <v>38718</v>
      </c>
    </row>
    <row r="4350" spans="11:14" x14ac:dyDescent="0.3">
      <c r="K4350" s="1">
        <v>39083</v>
      </c>
      <c r="M4350" t="e">
        <v>#N/A</v>
      </c>
      <c r="N4350" s="1">
        <v>38718</v>
      </c>
    </row>
    <row r="4351" spans="11:14" x14ac:dyDescent="0.3">
      <c r="K4351" s="1">
        <v>39083</v>
      </c>
      <c r="M4351" t="e">
        <v>#N/A</v>
      </c>
      <c r="N4351" s="1">
        <v>38718</v>
      </c>
    </row>
    <row r="4352" spans="11:14" x14ac:dyDescent="0.3">
      <c r="K4352" s="1">
        <v>39083</v>
      </c>
      <c r="M4352" t="e">
        <v>#N/A</v>
      </c>
      <c r="N4352" s="1">
        <v>38718</v>
      </c>
    </row>
    <row r="4353" spans="11:14" x14ac:dyDescent="0.3">
      <c r="K4353" s="1">
        <v>39083</v>
      </c>
      <c r="M4353" t="e">
        <v>#N/A</v>
      </c>
      <c r="N4353" s="1">
        <v>38718</v>
      </c>
    </row>
    <row r="4354" spans="11:14" x14ac:dyDescent="0.3">
      <c r="K4354" s="1">
        <v>39083</v>
      </c>
      <c r="M4354" t="e">
        <v>#N/A</v>
      </c>
      <c r="N4354" s="1">
        <v>38718</v>
      </c>
    </row>
    <row r="4355" spans="11:14" x14ac:dyDescent="0.3">
      <c r="K4355" s="1">
        <v>39083</v>
      </c>
      <c r="M4355" t="e">
        <v>#N/A</v>
      </c>
      <c r="N4355" s="1">
        <v>38718</v>
      </c>
    </row>
    <row r="4356" spans="11:14" x14ac:dyDescent="0.3">
      <c r="K4356" s="1">
        <v>39083</v>
      </c>
      <c r="M4356" t="e">
        <v>#N/A</v>
      </c>
      <c r="N4356" s="1">
        <v>38718</v>
      </c>
    </row>
    <row r="4357" spans="11:14" x14ac:dyDescent="0.3">
      <c r="K4357" s="1">
        <v>39083</v>
      </c>
      <c r="M4357" t="e">
        <v>#N/A</v>
      </c>
      <c r="N4357" s="1">
        <v>38718</v>
      </c>
    </row>
    <row r="4358" spans="11:14" x14ac:dyDescent="0.3">
      <c r="K4358" s="1">
        <v>39083</v>
      </c>
      <c r="M4358" t="e">
        <v>#N/A</v>
      </c>
      <c r="N4358" s="1">
        <v>38718</v>
      </c>
    </row>
    <row r="4359" spans="11:14" x14ac:dyDescent="0.3">
      <c r="K4359" s="1">
        <v>39083</v>
      </c>
      <c r="M4359" t="e">
        <v>#N/A</v>
      </c>
      <c r="N4359" s="1">
        <v>38718</v>
      </c>
    </row>
    <row r="4360" spans="11:14" x14ac:dyDescent="0.3">
      <c r="K4360" s="1">
        <v>39083</v>
      </c>
      <c r="M4360" t="e">
        <v>#N/A</v>
      </c>
      <c r="N4360" s="1">
        <v>38718</v>
      </c>
    </row>
    <row r="4361" spans="11:14" x14ac:dyDescent="0.3">
      <c r="K4361" s="1">
        <v>39083</v>
      </c>
      <c r="M4361" t="e">
        <v>#N/A</v>
      </c>
      <c r="N4361" s="1">
        <v>38718</v>
      </c>
    </row>
    <row r="4362" spans="11:14" x14ac:dyDescent="0.3">
      <c r="K4362" s="1">
        <v>39083</v>
      </c>
      <c r="M4362" t="e">
        <v>#N/A</v>
      </c>
      <c r="N4362" s="1">
        <v>38718</v>
      </c>
    </row>
    <row r="4363" spans="11:14" x14ac:dyDescent="0.3">
      <c r="K4363" s="1">
        <v>39083</v>
      </c>
      <c r="M4363" t="e">
        <v>#N/A</v>
      </c>
      <c r="N4363" s="1">
        <v>38718</v>
      </c>
    </row>
    <row r="4364" spans="11:14" x14ac:dyDescent="0.3">
      <c r="K4364" s="1">
        <v>39083</v>
      </c>
      <c r="M4364" t="e">
        <v>#N/A</v>
      </c>
      <c r="N4364" s="1">
        <v>38718</v>
      </c>
    </row>
    <row r="4365" spans="11:14" x14ac:dyDescent="0.3">
      <c r="K4365" s="1">
        <v>39083</v>
      </c>
      <c r="M4365" t="e">
        <v>#N/A</v>
      </c>
      <c r="N4365" s="1">
        <v>38718</v>
      </c>
    </row>
    <row r="4366" spans="11:14" x14ac:dyDescent="0.3">
      <c r="K4366" s="1">
        <v>39083</v>
      </c>
      <c r="M4366" t="e">
        <v>#N/A</v>
      </c>
      <c r="N4366" s="1">
        <v>38718</v>
      </c>
    </row>
    <row r="4367" spans="11:14" x14ac:dyDescent="0.3">
      <c r="K4367" s="1">
        <v>39083</v>
      </c>
      <c r="M4367" t="e">
        <v>#N/A</v>
      </c>
      <c r="N4367" s="1">
        <v>38718</v>
      </c>
    </row>
    <row r="4368" spans="11:14" x14ac:dyDescent="0.3">
      <c r="K4368" s="1">
        <v>39083</v>
      </c>
      <c r="M4368" t="e">
        <v>#N/A</v>
      </c>
      <c r="N4368" s="1">
        <v>38718</v>
      </c>
    </row>
    <row r="4369" spans="11:14" x14ac:dyDescent="0.3">
      <c r="K4369" s="1">
        <v>39083</v>
      </c>
      <c r="M4369" t="e">
        <v>#N/A</v>
      </c>
      <c r="N4369" s="1">
        <v>38718</v>
      </c>
    </row>
    <row r="4370" spans="11:14" x14ac:dyDescent="0.3">
      <c r="K4370" s="1">
        <v>39083</v>
      </c>
      <c r="M4370" t="e">
        <v>#N/A</v>
      </c>
      <c r="N4370" s="1">
        <v>38718</v>
      </c>
    </row>
    <row r="4371" spans="11:14" x14ac:dyDescent="0.3">
      <c r="K4371" s="1">
        <v>39083</v>
      </c>
      <c r="M4371" t="e">
        <v>#N/A</v>
      </c>
      <c r="N4371" s="1">
        <v>38718</v>
      </c>
    </row>
    <row r="4372" spans="11:14" x14ac:dyDescent="0.3">
      <c r="K4372" s="1">
        <v>39083</v>
      </c>
      <c r="M4372" t="e">
        <v>#N/A</v>
      </c>
      <c r="N4372" s="1">
        <v>38718</v>
      </c>
    </row>
    <row r="4373" spans="11:14" x14ac:dyDescent="0.3">
      <c r="K4373" s="1">
        <v>39083</v>
      </c>
      <c r="M4373" t="e">
        <v>#N/A</v>
      </c>
      <c r="N4373" s="1">
        <v>38718</v>
      </c>
    </row>
    <row r="4374" spans="11:14" x14ac:dyDescent="0.3">
      <c r="K4374" s="1">
        <v>39083</v>
      </c>
      <c r="M4374" t="e">
        <v>#N/A</v>
      </c>
      <c r="N4374" s="1">
        <v>38718</v>
      </c>
    </row>
    <row r="4375" spans="11:14" x14ac:dyDescent="0.3">
      <c r="K4375" s="1">
        <v>39083</v>
      </c>
      <c r="M4375" t="e">
        <v>#N/A</v>
      </c>
      <c r="N4375" s="1">
        <v>38718</v>
      </c>
    </row>
    <row r="4376" spans="11:14" x14ac:dyDescent="0.3">
      <c r="K4376" s="1">
        <v>39083</v>
      </c>
      <c r="M4376" t="e">
        <v>#N/A</v>
      </c>
      <c r="N4376" s="1">
        <v>38718</v>
      </c>
    </row>
    <row r="4377" spans="11:14" x14ac:dyDescent="0.3">
      <c r="K4377" s="1">
        <v>39083</v>
      </c>
      <c r="M4377" t="e">
        <v>#N/A</v>
      </c>
      <c r="N4377" s="1">
        <v>38718</v>
      </c>
    </row>
    <row r="4378" spans="11:14" x14ac:dyDescent="0.3">
      <c r="K4378" s="1">
        <v>39083</v>
      </c>
      <c r="M4378" t="e">
        <v>#N/A</v>
      </c>
      <c r="N4378" s="1">
        <v>38718</v>
      </c>
    </row>
    <row r="4379" spans="11:14" x14ac:dyDescent="0.3">
      <c r="K4379" s="1">
        <v>39083</v>
      </c>
      <c r="M4379" t="e">
        <v>#N/A</v>
      </c>
      <c r="N4379" s="1">
        <v>38718</v>
      </c>
    </row>
    <row r="4380" spans="11:14" x14ac:dyDescent="0.3">
      <c r="K4380" s="1">
        <v>39083</v>
      </c>
      <c r="M4380" t="e">
        <v>#N/A</v>
      </c>
      <c r="N4380" s="1">
        <v>38718</v>
      </c>
    </row>
    <row r="4381" spans="11:14" x14ac:dyDescent="0.3">
      <c r="K4381" s="1">
        <v>39083</v>
      </c>
      <c r="M4381" t="e">
        <v>#N/A</v>
      </c>
      <c r="N4381" s="1">
        <v>38718</v>
      </c>
    </row>
    <row r="4382" spans="11:14" x14ac:dyDescent="0.3">
      <c r="K4382" s="1">
        <v>39083</v>
      </c>
      <c r="M4382" t="e">
        <v>#N/A</v>
      </c>
      <c r="N4382" s="1">
        <v>38718</v>
      </c>
    </row>
    <row r="4383" spans="11:14" x14ac:dyDescent="0.3">
      <c r="K4383" s="1">
        <v>39083</v>
      </c>
      <c r="M4383" t="e">
        <v>#N/A</v>
      </c>
      <c r="N4383" s="1">
        <v>38718</v>
      </c>
    </row>
    <row r="4384" spans="11:14" x14ac:dyDescent="0.3">
      <c r="K4384" s="1">
        <v>39083</v>
      </c>
      <c r="M4384" t="e">
        <v>#N/A</v>
      </c>
      <c r="N4384" s="1">
        <v>38718</v>
      </c>
    </row>
    <row r="4385" spans="11:14" x14ac:dyDescent="0.3">
      <c r="K4385" s="1">
        <v>39083</v>
      </c>
      <c r="M4385" t="e">
        <v>#N/A</v>
      </c>
      <c r="N4385" s="1">
        <v>38718</v>
      </c>
    </row>
    <row r="4386" spans="11:14" x14ac:dyDescent="0.3">
      <c r="K4386" s="1">
        <v>39083</v>
      </c>
      <c r="M4386" t="e">
        <v>#N/A</v>
      </c>
      <c r="N4386" s="1">
        <v>38718</v>
      </c>
    </row>
    <row r="4387" spans="11:14" x14ac:dyDescent="0.3">
      <c r="K4387" s="1">
        <v>39083</v>
      </c>
      <c r="M4387" t="e">
        <v>#N/A</v>
      </c>
      <c r="N4387" s="1">
        <v>38718</v>
      </c>
    </row>
    <row r="4388" spans="11:14" x14ac:dyDescent="0.3">
      <c r="K4388" s="1">
        <v>39083</v>
      </c>
      <c r="M4388" t="e">
        <v>#N/A</v>
      </c>
      <c r="N4388" s="1">
        <v>38718</v>
      </c>
    </row>
    <row r="4389" spans="11:14" x14ac:dyDescent="0.3">
      <c r="K4389" s="1">
        <v>39083</v>
      </c>
      <c r="M4389" t="e">
        <v>#N/A</v>
      </c>
      <c r="N4389" s="1">
        <v>38718</v>
      </c>
    </row>
    <row r="4390" spans="11:14" x14ac:dyDescent="0.3">
      <c r="K4390" s="1">
        <v>39083</v>
      </c>
      <c r="M4390" t="e">
        <v>#N/A</v>
      </c>
      <c r="N4390" s="1">
        <v>38718</v>
      </c>
    </row>
    <row r="4391" spans="11:14" x14ac:dyDescent="0.3">
      <c r="K4391" s="1">
        <v>39083</v>
      </c>
      <c r="M4391" t="e">
        <v>#N/A</v>
      </c>
      <c r="N4391" s="1">
        <v>38718</v>
      </c>
    </row>
    <row r="4392" spans="11:14" x14ac:dyDescent="0.3">
      <c r="K4392" s="1">
        <v>39083</v>
      </c>
      <c r="M4392" t="e">
        <v>#N/A</v>
      </c>
      <c r="N4392" s="1">
        <v>38718</v>
      </c>
    </row>
    <row r="4393" spans="11:14" x14ac:dyDescent="0.3">
      <c r="K4393" s="1">
        <v>39083</v>
      </c>
      <c r="M4393" t="e">
        <v>#N/A</v>
      </c>
      <c r="N4393" s="1">
        <v>38718</v>
      </c>
    </row>
    <row r="4394" spans="11:14" x14ac:dyDescent="0.3">
      <c r="K4394" s="1">
        <v>39083</v>
      </c>
      <c r="M4394" t="e">
        <v>#N/A</v>
      </c>
      <c r="N4394" s="1">
        <v>38718</v>
      </c>
    </row>
    <row r="4395" spans="11:14" x14ac:dyDescent="0.3">
      <c r="K4395" s="1">
        <v>39083</v>
      </c>
      <c r="M4395" t="e">
        <v>#N/A</v>
      </c>
      <c r="N4395" s="1">
        <v>38718</v>
      </c>
    </row>
    <row r="4396" spans="11:14" x14ac:dyDescent="0.3">
      <c r="K4396" s="1">
        <v>39083</v>
      </c>
      <c r="M4396" t="e">
        <v>#N/A</v>
      </c>
      <c r="N4396" s="1">
        <v>38718</v>
      </c>
    </row>
    <row r="4397" spans="11:14" x14ac:dyDescent="0.3">
      <c r="K4397" s="1">
        <v>39083</v>
      </c>
      <c r="M4397" t="e">
        <v>#N/A</v>
      </c>
      <c r="N4397" s="1">
        <v>38718</v>
      </c>
    </row>
    <row r="4398" spans="11:14" x14ac:dyDescent="0.3">
      <c r="K4398" s="1">
        <v>39083</v>
      </c>
      <c r="M4398" t="e">
        <v>#N/A</v>
      </c>
      <c r="N4398" s="1">
        <v>38718</v>
      </c>
    </row>
    <row r="4399" spans="11:14" x14ac:dyDescent="0.3">
      <c r="K4399" s="1">
        <v>39083</v>
      </c>
      <c r="M4399" t="e">
        <v>#N/A</v>
      </c>
      <c r="N4399" s="1">
        <v>38718</v>
      </c>
    </row>
    <row r="4400" spans="11:14" x14ac:dyDescent="0.3">
      <c r="K4400" s="1">
        <v>39083</v>
      </c>
      <c r="M4400" t="e">
        <v>#N/A</v>
      </c>
      <c r="N4400" s="1">
        <v>38718</v>
      </c>
    </row>
    <row r="4401" spans="11:14" x14ac:dyDescent="0.3">
      <c r="K4401" s="1">
        <v>39083</v>
      </c>
      <c r="M4401" t="e">
        <v>#N/A</v>
      </c>
      <c r="N4401" s="1">
        <v>38718</v>
      </c>
    </row>
    <row r="4402" spans="11:14" x14ac:dyDescent="0.3">
      <c r="K4402" s="1">
        <v>39083</v>
      </c>
      <c r="M4402" t="e">
        <v>#N/A</v>
      </c>
      <c r="N4402" s="1">
        <v>38718</v>
      </c>
    </row>
    <row r="4403" spans="11:14" x14ac:dyDescent="0.3">
      <c r="K4403" s="1">
        <v>39083</v>
      </c>
      <c r="M4403" t="e">
        <v>#N/A</v>
      </c>
      <c r="N4403" s="1">
        <v>38718</v>
      </c>
    </row>
    <row r="4404" spans="11:14" x14ac:dyDescent="0.3">
      <c r="K4404" s="1">
        <v>39083</v>
      </c>
      <c r="M4404" t="e">
        <v>#N/A</v>
      </c>
      <c r="N4404" s="1">
        <v>38718</v>
      </c>
    </row>
    <row r="4405" spans="11:14" x14ac:dyDescent="0.3">
      <c r="K4405" s="1">
        <v>39083</v>
      </c>
      <c r="M4405" t="e">
        <v>#N/A</v>
      </c>
      <c r="N4405" s="1">
        <v>38718</v>
      </c>
    </row>
    <row r="4406" spans="11:14" x14ac:dyDescent="0.3">
      <c r="K4406" s="1">
        <v>39083</v>
      </c>
      <c r="M4406" t="e">
        <v>#N/A</v>
      </c>
      <c r="N4406" s="1">
        <v>38718</v>
      </c>
    </row>
    <row r="4407" spans="11:14" x14ac:dyDescent="0.3">
      <c r="K4407" s="1">
        <v>39083</v>
      </c>
      <c r="M4407" t="e">
        <v>#N/A</v>
      </c>
      <c r="N4407" s="1">
        <v>38718</v>
      </c>
    </row>
    <row r="4408" spans="11:14" x14ac:dyDescent="0.3">
      <c r="K4408" s="1">
        <v>39083</v>
      </c>
      <c r="M4408" t="e">
        <v>#N/A</v>
      </c>
      <c r="N4408" s="1">
        <v>38718</v>
      </c>
    </row>
    <row r="4409" spans="11:14" x14ac:dyDescent="0.3">
      <c r="K4409" s="1">
        <v>39083</v>
      </c>
      <c r="M4409" t="e">
        <v>#N/A</v>
      </c>
      <c r="N4409" s="1">
        <v>38718</v>
      </c>
    </row>
    <row r="4410" spans="11:14" x14ac:dyDescent="0.3">
      <c r="K4410" s="1">
        <v>39173</v>
      </c>
      <c r="M4410" t="e">
        <v>#N/A</v>
      </c>
      <c r="N4410" s="1">
        <v>38718</v>
      </c>
    </row>
    <row r="4411" spans="11:14" x14ac:dyDescent="0.3">
      <c r="K4411" s="1">
        <v>39173</v>
      </c>
      <c r="M4411" t="e">
        <v>#N/A</v>
      </c>
      <c r="N4411" s="1">
        <v>38718</v>
      </c>
    </row>
    <row r="4412" spans="11:14" x14ac:dyDescent="0.3">
      <c r="K4412" s="1">
        <v>39173</v>
      </c>
      <c r="M4412" t="e">
        <v>#N/A</v>
      </c>
      <c r="N4412" s="1">
        <v>38718</v>
      </c>
    </row>
    <row r="4413" spans="11:14" x14ac:dyDescent="0.3">
      <c r="K4413" s="1">
        <v>39173</v>
      </c>
      <c r="M4413" t="e">
        <v>#N/A</v>
      </c>
      <c r="N4413" s="1">
        <v>38718</v>
      </c>
    </row>
    <row r="4414" spans="11:14" x14ac:dyDescent="0.3">
      <c r="K4414" s="1">
        <v>39173</v>
      </c>
      <c r="M4414" t="e">
        <v>#N/A</v>
      </c>
      <c r="N4414" s="1">
        <v>38718</v>
      </c>
    </row>
    <row r="4415" spans="11:14" x14ac:dyDescent="0.3">
      <c r="K4415" s="1">
        <v>39173</v>
      </c>
      <c r="M4415" t="e">
        <v>#N/A</v>
      </c>
      <c r="N4415" s="1">
        <v>38718</v>
      </c>
    </row>
    <row r="4416" spans="11:14" x14ac:dyDescent="0.3">
      <c r="K4416" s="1">
        <v>39173</v>
      </c>
      <c r="M4416" t="e">
        <v>#N/A</v>
      </c>
      <c r="N4416" s="1">
        <v>38718</v>
      </c>
    </row>
    <row r="4417" spans="11:14" x14ac:dyDescent="0.3">
      <c r="K4417" s="1">
        <v>39173</v>
      </c>
      <c r="M4417" t="e">
        <v>#N/A</v>
      </c>
      <c r="N4417" s="1">
        <v>38718</v>
      </c>
    </row>
    <row r="4418" spans="11:14" x14ac:dyDescent="0.3">
      <c r="K4418" s="1">
        <v>39173</v>
      </c>
      <c r="M4418" t="e">
        <v>#N/A</v>
      </c>
      <c r="N4418" s="1">
        <v>38718</v>
      </c>
    </row>
    <row r="4419" spans="11:14" x14ac:dyDescent="0.3">
      <c r="K4419" s="1">
        <v>39173</v>
      </c>
      <c r="M4419" t="e">
        <v>#N/A</v>
      </c>
      <c r="N4419" s="1">
        <v>38718</v>
      </c>
    </row>
    <row r="4420" spans="11:14" x14ac:dyDescent="0.3">
      <c r="K4420" s="1">
        <v>39173</v>
      </c>
      <c r="M4420" t="e">
        <v>#N/A</v>
      </c>
      <c r="N4420" s="1">
        <v>38718</v>
      </c>
    </row>
    <row r="4421" spans="11:14" x14ac:dyDescent="0.3">
      <c r="K4421" s="1">
        <v>39173</v>
      </c>
      <c r="M4421" t="e">
        <v>#N/A</v>
      </c>
      <c r="N4421" s="1">
        <v>38718</v>
      </c>
    </row>
    <row r="4422" spans="11:14" x14ac:dyDescent="0.3">
      <c r="K4422" s="1">
        <v>39173</v>
      </c>
      <c r="M4422" t="e">
        <v>#N/A</v>
      </c>
      <c r="N4422" s="1">
        <v>38718</v>
      </c>
    </row>
    <row r="4423" spans="11:14" x14ac:dyDescent="0.3">
      <c r="K4423" s="1">
        <v>39173</v>
      </c>
      <c r="M4423" t="e">
        <v>#N/A</v>
      </c>
      <c r="N4423" s="1">
        <v>38718</v>
      </c>
    </row>
    <row r="4424" spans="11:14" x14ac:dyDescent="0.3">
      <c r="K4424" s="1">
        <v>39173</v>
      </c>
      <c r="M4424" t="e">
        <v>#N/A</v>
      </c>
      <c r="N4424" s="1">
        <v>38718</v>
      </c>
    </row>
    <row r="4425" spans="11:14" x14ac:dyDescent="0.3">
      <c r="K4425" s="1">
        <v>39173</v>
      </c>
      <c r="M4425" t="e">
        <v>#N/A</v>
      </c>
      <c r="N4425" s="1">
        <v>38718</v>
      </c>
    </row>
    <row r="4426" spans="11:14" x14ac:dyDescent="0.3">
      <c r="K4426" s="1">
        <v>39173</v>
      </c>
      <c r="M4426" t="e">
        <v>#N/A</v>
      </c>
      <c r="N4426" s="1">
        <v>38718</v>
      </c>
    </row>
    <row r="4427" spans="11:14" x14ac:dyDescent="0.3">
      <c r="K4427" s="1">
        <v>39173</v>
      </c>
      <c r="M4427" t="e">
        <v>#N/A</v>
      </c>
      <c r="N4427" s="1">
        <v>38718</v>
      </c>
    </row>
    <row r="4428" spans="11:14" x14ac:dyDescent="0.3">
      <c r="K4428" s="1">
        <v>39173</v>
      </c>
      <c r="M4428" t="e">
        <v>#N/A</v>
      </c>
      <c r="N4428" s="1">
        <v>38718</v>
      </c>
    </row>
    <row r="4429" spans="11:14" x14ac:dyDescent="0.3">
      <c r="K4429" s="1">
        <v>39173</v>
      </c>
      <c r="M4429" t="e">
        <v>#N/A</v>
      </c>
      <c r="N4429" s="1">
        <v>38718</v>
      </c>
    </row>
    <row r="4430" spans="11:14" x14ac:dyDescent="0.3">
      <c r="K4430" s="1">
        <v>39173</v>
      </c>
      <c r="M4430" t="e">
        <v>#N/A</v>
      </c>
      <c r="N4430" s="1">
        <v>38718</v>
      </c>
    </row>
    <row r="4431" spans="11:14" x14ac:dyDescent="0.3">
      <c r="K4431" s="1">
        <v>39173</v>
      </c>
      <c r="M4431" t="e">
        <v>#N/A</v>
      </c>
      <c r="N4431" s="1">
        <v>38718</v>
      </c>
    </row>
    <row r="4432" spans="11:14" x14ac:dyDescent="0.3">
      <c r="K4432" s="1">
        <v>39173</v>
      </c>
      <c r="M4432" t="e">
        <v>#N/A</v>
      </c>
      <c r="N4432" s="1">
        <v>38718</v>
      </c>
    </row>
    <row r="4433" spans="11:14" x14ac:dyDescent="0.3">
      <c r="K4433" s="1">
        <v>39173</v>
      </c>
      <c r="M4433" t="e">
        <v>#N/A</v>
      </c>
      <c r="N4433" s="1">
        <v>38718</v>
      </c>
    </row>
    <row r="4434" spans="11:14" x14ac:dyDescent="0.3">
      <c r="K4434" s="1">
        <v>39173</v>
      </c>
      <c r="M4434" t="e">
        <v>#N/A</v>
      </c>
      <c r="N4434" s="1">
        <v>38718</v>
      </c>
    </row>
    <row r="4435" spans="11:14" x14ac:dyDescent="0.3">
      <c r="K4435" s="1">
        <v>39173</v>
      </c>
      <c r="M4435" t="e">
        <v>#N/A</v>
      </c>
      <c r="N4435" s="1">
        <v>38718</v>
      </c>
    </row>
    <row r="4436" spans="11:14" x14ac:dyDescent="0.3">
      <c r="K4436" s="1">
        <v>39173</v>
      </c>
      <c r="M4436" t="e">
        <v>#N/A</v>
      </c>
      <c r="N4436" s="1">
        <v>38718</v>
      </c>
    </row>
    <row r="4437" spans="11:14" x14ac:dyDescent="0.3">
      <c r="K4437" s="1">
        <v>39173</v>
      </c>
      <c r="M4437" t="e">
        <v>#N/A</v>
      </c>
      <c r="N4437" s="1">
        <v>38718</v>
      </c>
    </row>
    <row r="4438" spans="11:14" x14ac:dyDescent="0.3">
      <c r="K4438" s="1">
        <v>39173</v>
      </c>
      <c r="M4438" t="e">
        <v>#N/A</v>
      </c>
      <c r="N4438" s="1">
        <v>38718</v>
      </c>
    </row>
    <row r="4439" spans="11:14" x14ac:dyDescent="0.3">
      <c r="K4439" s="1">
        <v>39173</v>
      </c>
      <c r="M4439" t="e">
        <v>#N/A</v>
      </c>
      <c r="N4439" s="1">
        <v>38718</v>
      </c>
    </row>
    <row r="4440" spans="11:14" x14ac:dyDescent="0.3">
      <c r="K4440" s="1">
        <v>39173</v>
      </c>
      <c r="M4440" t="e">
        <v>#N/A</v>
      </c>
      <c r="N4440" s="1">
        <v>38718</v>
      </c>
    </row>
    <row r="4441" spans="11:14" x14ac:dyDescent="0.3">
      <c r="K4441" s="1">
        <v>39173</v>
      </c>
      <c r="M4441" t="e">
        <v>#N/A</v>
      </c>
      <c r="N4441" s="1">
        <v>38718</v>
      </c>
    </row>
    <row r="4442" spans="11:14" x14ac:dyDescent="0.3">
      <c r="K4442" s="1">
        <v>39173</v>
      </c>
      <c r="M4442" t="e">
        <v>#N/A</v>
      </c>
      <c r="N4442" s="1">
        <v>38718</v>
      </c>
    </row>
    <row r="4443" spans="11:14" x14ac:dyDescent="0.3">
      <c r="K4443" s="1">
        <v>39173</v>
      </c>
      <c r="M4443" t="e">
        <v>#N/A</v>
      </c>
      <c r="N4443" s="1">
        <v>38718</v>
      </c>
    </row>
    <row r="4444" spans="11:14" x14ac:dyDescent="0.3">
      <c r="K4444" s="1">
        <v>39173</v>
      </c>
      <c r="M4444" t="e">
        <v>#N/A</v>
      </c>
      <c r="N4444" s="1">
        <v>38718</v>
      </c>
    </row>
    <row r="4445" spans="11:14" x14ac:dyDescent="0.3">
      <c r="K4445" s="1">
        <v>39173</v>
      </c>
      <c r="M4445" t="e">
        <v>#N/A</v>
      </c>
      <c r="N4445" s="1">
        <v>38718</v>
      </c>
    </row>
    <row r="4446" spans="11:14" x14ac:dyDescent="0.3">
      <c r="K4446" s="1">
        <v>39173</v>
      </c>
      <c r="M4446" t="e">
        <v>#N/A</v>
      </c>
      <c r="N4446" s="1">
        <v>38718</v>
      </c>
    </row>
    <row r="4447" spans="11:14" x14ac:dyDescent="0.3">
      <c r="K4447" s="1">
        <v>39173</v>
      </c>
      <c r="M4447" t="e">
        <v>#N/A</v>
      </c>
      <c r="N4447" s="1">
        <v>38718</v>
      </c>
    </row>
    <row r="4448" spans="11:14" x14ac:dyDescent="0.3">
      <c r="K4448" s="1">
        <v>39173</v>
      </c>
      <c r="M4448" t="e">
        <v>#N/A</v>
      </c>
      <c r="N4448" s="1">
        <v>38718</v>
      </c>
    </row>
    <row r="4449" spans="11:14" x14ac:dyDescent="0.3">
      <c r="K4449" s="1">
        <v>39173</v>
      </c>
      <c r="M4449" t="e">
        <v>#N/A</v>
      </c>
      <c r="N4449" s="1">
        <v>38718</v>
      </c>
    </row>
    <row r="4450" spans="11:14" x14ac:dyDescent="0.3">
      <c r="K4450" s="1">
        <v>39173</v>
      </c>
      <c r="M4450" t="e">
        <v>#N/A</v>
      </c>
      <c r="N4450" s="1">
        <v>38718</v>
      </c>
    </row>
    <row r="4451" spans="11:14" x14ac:dyDescent="0.3">
      <c r="K4451" s="1">
        <v>39173</v>
      </c>
      <c r="M4451" t="e">
        <v>#N/A</v>
      </c>
      <c r="N4451" s="1">
        <v>38718</v>
      </c>
    </row>
    <row r="4452" spans="11:14" x14ac:dyDescent="0.3">
      <c r="K4452" s="1">
        <v>39173</v>
      </c>
      <c r="M4452" t="e">
        <v>#N/A</v>
      </c>
      <c r="N4452" s="1">
        <v>38718</v>
      </c>
    </row>
    <row r="4453" spans="11:14" x14ac:dyDescent="0.3">
      <c r="K4453" s="1">
        <v>39173</v>
      </c>
      <c r="M4453" t="e">
        <v>#N/A</v>
      </c>
      <c r="N4453" s="1">
        <v>38718</v>
      </c>
    </row>
    <row r="4454" spans="11:14" x14ac:dyDescent="0.3">
      <c r="K4454" s="1">
        <v>39173</v>
      </c>
      <c r="M4454" t="e">
        <v>#N/A</v>
      </c>
      <c r="N4454" s="1">
        <v>38718</v>
      </c>
    </row>
    <row r="4455" spans="11:14" x14ac:dyDescent="0.3">
      <c r="K4455" s="1">
        <v>39173</v>
      </c>
      <c r="M4455" t="e">
        <v>#N/A</v>
      </c>
      <c r="N4455" s="1">
        <v>38718</v>
      </c>
    </row>
    <row r="4456" spans="11:14" x14ac:dyDescent="0.3">
      <c r="K4456" s="1">
        <v>39173</v>
      </c>
      <c r="M4456" t="e">
        <v>#N/A</v>
      </c>
      <c r="N4456" s="1">
        <v>38718</v>
      </c>
    </row>
    <row r="4457" spans="11:14" x14ac:dyDescent="0.3">
      <c r="K4457" s="1">
        <v>39173</v>
      </c>
      <c r="M4457" t="e">
        <v>#N/A</v>
      </c>
      <c r="N4457" s="1">
        <v>38718</v>
      </c>
    </row>
    <row r="4458" spans="11:14" x14ac:dyDescent="0.3">
      <c r="K4458" s="1">
        <v>39173</v>
      </c>
      <c r="M4458" t="e">
        <v>#N/A</v>
      </c>
      <c r="N4458" s="1">
        <v>38718</v>
      </c>
    </row>
    <row r="4459" spans="11:14" x14ac:dyDescent="0.3">
      <c r="K4459" s="1">
        <v>39173</v>
      </c>
      <c r="M4459" t="e">
        <v>#N/A</v>
      </c>
      <c r="N4459" s="1">
        <v>38718</v>
      </c>
    </row>
    <row r="4460" spans="11:14" x14ac:dyDescent="0.3">
      <c r="K4460" s="1">
        <v>39173</v>
      </c>
      <c r="M4460" t="e">
        <v>#N/A</v>
      </c>
      <c r="N4460" s="1">
        <v>38718</v>
      </c>
    </row>
    <row r="4461" spans="11:14" x14ac:dyDescent="0.3">
      <c r="K4461" s="1">
        <v>39173</v>
      </c>
      <c r="M4461" t="e">
        <v>#N/A</v>
      </c>
      <c r="N4461" s="1">
        <v>38718</v>
      </c>
    </row>
    <row r="4462" spans="11:14" x14ac:dyDescent="0.3">
      <c r="K4462" s="1">
        <v>39173</v>
      </c>
      <c r="M4462" t="e">
        <v>#N/A</v>
      </c>
      <c r="N4462" s="1">
        <v>38718</v>
      </c>
    </row>
    <row r="4463" spans="11:14" x14ac:dyDescent="0.3">
      <c r="K4463" s="1">
        <v>39173</v>
      </c>
      <c r="M4463" t="e">
        <v>#N/A</v>
      </c>
      <c r="N4463" s="1">
        <v>38718</v>
      </c>
    </row>
    <row r="4464" spans="11:14" x14ac:dyDescent="0.3">
      <c r="K4464" s="1">
        <v>39173</v>
      </c>
      <c r="M4464" t="e">
        <v>#N/A</v>
      </c>
      <c r="N4464" s="1">
        <v>38718</v>
      </c>
    </row>
    <row r="4465" spans="11:14" x14ac:dyDescent="0.3">
      <c r="K4465" s="1">
        <v>39173</v>
      </c>
      <c r="M4465" t="e">
        <v>#N/A</v>
      </c>
      <c r="N4465" s="1">
        <v>38718</v>
      </c>
    </row>
    <row r="4466" spans="11:14" x14ac:dyDescent="0.3">
      <c r="K4466" s="1">
        <v>39173</v>
      </c>
      <c r="M4466" t="e">
        <v>#N/A</v>
      </c>
      <c r="N4466" s="1">
        <v>38718</v>
      </c>
    </row>
    <row r="4467" spans="11:14" x14ac:dyDescent="0.3">
      <c r="K4467" s="1">
        <v>39173</v>
      </c>
      <c r="M4467" t="e">
        <v>#N/A</v>
      </c>
      <c r="N4467" s="1">
        <v>38718</v>
      </c>
    </row>
    <row r="4468" spans="11:14" x14ac:dyDescent="0.3">
      <c r="K4468" s="1">
        <v>39173</v>
      </c>
      <c r="M4468" t="e">
        <v>#N/A</v>
      </c>
      <c r="N4468" s="1">
        <v>38718</v>
      </c>
    </row>
    <row r="4469" spans="11:14" x14ac:dyDescent="0.3">
      <c r="K4469" s="1">
        <v>39173</v>
      </c>
      <c r="M4469" t="e">
        <v>#N/A</v>
      </c>
      <c r="N4469" s="1">
        <v>38718</v>
      </c>
    </row>
    <row r="4470" spans="11:14" x14ac:dyDescent="0.3">
      <c r="K4470" s="1">
        <v>39173</v>
      </c>
      <c r="M4470" t="e">
        <v>#N/A</v>
      </c>
      <c r="N4470" s="1">
        <v>38718</v>
      </c>
    </row>
    <row r="4471" spans="11:14" x14ac:dyDescent="0.3">
      <c r="K4471" s="1">
        <v>39173</v>
      </c>
      <c r="M4471" t="e">
        <v>#N/A</v>
      </c>
      <c r="N4471" s="1">
        <v>38718</v>
      </c>
    </row>
    <row r="4472" spans="11:14" x14ac:dyDescent="0.3">
      <c r="K4472" s="1">
        <v>39173</v>
      </c>
      <c r="M4472" t="e">
        <v>#N/A</v>
      </c>
      <c r="N4472" s="1">
        <v>38808</v>
      </c>
    </row>
    <row r="4473" spans="11:14" x14ac:dyDescent="0.3">
      <c r="K4473" s="1">
        <v>39173</v>
      </c>
      <c r="M4473" t="e">
        <v>#N/A</v>
      </c>
      <c r="N4473" s="1">
        <v>38808</v>
      </c>
    </row>
    <row r="4474" spans="11:14" x14ac:dyDescent="0.3">
      <c r="K4474" s="1">
        <v>39173</v>
      </c>
      <c r="M4474" t="e">
        <v>#N/A</v>
      </c>
      <c r="N4474" s="1">
        <v>38808</v>
      </c>
    </row>
    <row r="4475" spans="11:14" x14ac:dyDescent="0.3">
      <c r="K4475" s="1">
        <v>39173</v>
      </c>
      <c r="M4475" t="e">
        <v>#N/A</v>
      </c>
      <c r="N4475" s="1">
        <v>38808</v>
      </c>
    </row>
    <row r="4476" spans="11:14" x14ac:dyDescent="0.3">
      <c r="K4476" s="1">
        <v>39173</v>
      </c>
      <c r="M4476" t="e">
        <v>#N/A</v>
      </c>
      <c r="N4476" s="1">
        <v>38808</v>
      </c>
    </row>
    <row r="4477" spans="11:14" x14ac:dyDescent="0.3">
      <c r="K4477" s="1">
        <v>39173</v>
      </c>
      <c r="M4477" t="e">
        <v>#N/A</v>
      </c>
      <c r="N4477" s="1">
        <v>38808</v>
      </c>
    </row>
    <row r="4478" spans="11:14" x14ac:dyDescent="0.3">
      <c r="K4478" s="1">
        <v>39173</v>
      </c>
      <c r="M4478" t="e">
        <v>#N/A</v>
      </c>
      <c r="N4478" s="1">
        <v>38808</v>
      </c>
    </row>
    <row r="4479" spans="11:14" x14ac:dyDescent="0.3">
      <c r="K4479" s="1">
        <v>39173</v>
      </c>
      <c r="M4479" t="e">
        <v>#N/A</v>
      </c>
      <c r="N4479" s="1">
        <v>38808</v>
      </c>
    </row>
    <row r="4480" spans="11:14" x14ac:dyDescent="0.3">
      <c r="K4480" s="1">
        <v>39173</v>
      </c>
      <c r="M4480" t="e">
        <v>#N/A</v>
      </c>
      <c r="N4480" s="1">
        <v>38808</v>
      </c>
    </row>
    <row r="4481" spans="11:14" x14ac:dyDescent="0.3">
      <c r="K4481" s="1">
        <v>39173</v>
      </c>
      <c r="M4481" t="e">
        <v>#N/A</v>
      </c>
      <c r="N4481" s="1">
        <v>38808</v>
      </c>
    </row>
    <row r="4482" spans="11:14" x14ac:dyDescent="0.3">
      <c r="K4482" s="1">
        <v>39173</v>
      </c>
      <c r="M4482" t="e">
        <v>#N/A</v>
      </c>
      <c r="N4482" s="1">
        <v>38808</v>
      </c>
    </row>
    <row r="4483" spans="11:14" x14ac:dyDescent="0.3">
      <c r="K4483" s="1">
        <v>39173</v>
      </c>
      <c r="M4483" t="e">
        <v>#N/A</v>
      </c>
      <c r="N4483" s="1">
        <v>38808</v>
      </c>
    </row>
    <row r="4484" spans="11:14" x14ac:dyDescent="0.3">
      <c r="K4484" s="1">
        <v>39173</v>
      </c>
      <c r="M4484" t="e">
        <v>#N/A</v>
      </c>
      <c r="N4484" s="1">
        <v>38808</v>
      </c>
    </row>
    <row r="4485" spans="11:14" x14ac:dyDescent="0.3">
      <c r="K4485" s="1">
        <v>39173</v>
      </c>
      <c r="M4485" t="e">
        <v>#N/A</v>
      </c>
      <c r="N4485" s="1">
        <v>38808</v>
      </c>
    </row>
    <row r="4486" spans="11:14" x14ac:dyDescent="0.3">
      <c r="K4486" s="1">
        <v>39173</v>
      </c>
      <c r="M4486" t="e">
        <v>#N/A</v>
      </c>
      <c r="N4486" s="1">
        <v>38808</v>
      </c>
    </row>
    <row r="4487" spans="11:14" x14ac:dyDescent="0.3">
      <c r="K4487" s="1">
        <v>39173</v>
      </c>
      <c r="M4487" t="e">
        <v>#N/A</v>
      </c>
      <c r="N4487" s="1">
        <v>38808</v>
      </c>
    </row>
    <row r="4488" spans="11:14" x14ac:dyDescent="0.3">
      <c r="K4488" s="1">
        <v>39173</v>
      </c>
      <c r="M4488" t="e">
        <v>#N/A</v>
      </c>
      <c r="N4488" s="1">
        <v>38808</v>
      </c>
    </row>
    <row r="4489" spans="11:14" x14ac:dyDescent="0.3">
      <c r="K4489" s="1">
        <v>39173</v>
      </c>
      <c r="M4489" t="e">
        <v>#N/A</v>
      </c>
      <c r="N4489" s="1">
        <v>38808</v>
      </c>
    </row>
    <row r="4490" spans="11:14" x14ac:dyDescent="0.3">
      <c r="K4490" s="1">
        <v>39173</v>
      </c>
      <c r="M4490" t="e">
        <v>#N/A</v>
      </c>
      <c r="N4490" s="1">
        <v>38808</v>
      </c>
    </row>
    <row r="4491" spans="11:14" x14ac:dyDescent="0.3">
      <c r="K4491" s="1">
        <v>39173</v>
      </c>
      <c r="M4491" t="e">
        <v>#N/A</v>
      </c>
      <c r="N4491" s="1">
        <v>38808</v>
      </c>
    </row>
    <row r="4492" spans="11:14" x14ac:dyDescent="0.3">
      <c r="K4492" s="1">
        <v>39173</v>
      </c>
      <c r="M4492" t="e">
        <v>#N/A</v>
      </c>
      <c r="N4492" s="1">
        <v>38808</v>
      </c>
    </row>
    <row r="4493" spans="11:14" x14ac:dyDescent="0.3">
      <c r="K4493" s="1">
        <v>39173</v>
      </c>
      <c r="M4493" t="e">
        <v>#N/A</v>
      </c>
      <c r="N4493" s="1">
        <v>38808</v>
      </c>
    </row>
    <row r="4494" spans="11:14" x14ac:dyDescent="0.3">
      <c r="K4494" s="1">
        <v>39173</v>
      </c>
      <c r="M4494" t="e">
        <v>#N/A</v>
      </c>
      <c r="N4494" s="1">
        <v>38808</v>
      </c>
    </row>
    <row r="4495" spans="11:14" x14ac:dyDescent="0.3">
      <c r="K4495" s="1">
        <v>39173</v>
      </c>
      <c r="M4495" t="e">
        <v>#N/A</v>
      </c>
      <c r="N4495" s="1">
        <v>38808</v>
      </c>
    </row>
    <row r="4496" spans="11:14" x14ac:dyDescent="0.3">
      <c r="K4496" s="1">
        <v>39173</v>
      </c>
      <c r="M4496" t="e">
        <v>#N/A</v>
      </c>
      <c r="N4496" s="1">
        <v>38808</v>
      </c>
    </row>
    <row r="4497" spans="11:14" x14ac:dyDescent="0.3">
      <c r="K4497" s="1">
        <v>39173</v>
      </c>
      <c r="M4497" t="e">
        <v>#N/A</v>
      </c>
      <c r="N4497" s="1">
        <v>38808</v>
      </c>
    </row>
    <row r="4498" spans="11:14" x14ac:dyDescent="0.3">
      <c r="K4498" s="1">
        <v>39173</v>
      </c>
      <c r="M4498" t="e">
        <v>#N/A</v>
      </c>
      <c r="N4498" s="1">
        <v>38808</v>
      </c>
    </row>
    <row r="4499" spans="11:14" x14ac:dyDescent="0.3">
      <c r="K4499" s="1">
        <v>39173</v>
      </c>
      <c r="M4499" t="e">
        <v>#N/A</v>
      </c>
      <c r="N4499" s="1">
        <v>38808</v>
      </c>
    </row>
    <row r="4500" spans="11:14" x14ac:dyDescent="0.3">
      <c r="K4500" s="1">
        <v>39173</v>
      </c>
      <c r="M4500" t="e">
        <v>#N/A</v>
      </c>
      <c r="N4500" s="1">
        <v>38808</v>
      </c>
    </row>
    <row r="4501" spans="11:14" x14ac:dyDescent="0.3">
      <c r="K4501" s="1">
        <v>39173</v>
      </c>
      <c r="M4501" t="e">
        <v>#N/A</v>
      </c>
      <c r="N4501" s="1">
        <v>38808</v>
      </c>
    </row>
    <row r="4502" spans="11:14" x14ac:dyDescent="0.3">
      <c r="K4502" s="1">
        <v>39173</v>
      </c>
      <c r="M4502" t="e">
        <v>#N/A</v>
      </c>
      <c r="N4502" s="1">
        <v>38808</v>
      </c>
    </row>
    <row r="4503" spans="11:14" x14ac:dyDescent="0.3">
      <c r="K4503" s="1">
        <v>39173</v>
      </c>
      <c r="M4503" t="e">
        <v>#N/A</v>
      </c>
      <c r="N4503" s="1">
        <v>38808</v>
      </c>
    </row>
    <row r="4504" spans="11:14" x14ac:dyDescent="0.3">
      <c r="K4504" s="1">
        <v>39173</v>
      </c>
      <c r="M4504" t="e">
        <v>#N/A</v>
      </c>
      <c r="N4504" s="1">
        <v>38808</v>
      </c>
    </row>
    <row r="4505" spans="11:14" x14ac:dyDescent="0.3">
      <c r="K4505" s="1">
        <v>39173</v>
      </c>
      <c r="M4505" t="e">
        <v>#N/A</v>
      </c>
      <c r="N4505" s="1">
        <v>38808</v>
      </c>
    </row>
    <row r="4506" spans="11:14" x14ac:dyDescent="0.3">
      <c r="K4506" s="1">
        <v>39173</v>
      </c>
      <c r="M4506" t="e">
        <v>#N/A</v>
      </c>
      <c r="N4506" s="1">
        <v>38808</v>
      </c>
    </row>
    <row r="4507" spans="11:14" x14ac:dyDescent="0.3">
      <c r="K4507" s="1">
        <v>39173</v>
      </c>
      <c r="M4507" t="e">
        <v>#N/A</v>
      </c>
      <c r="N4507" s="1">
        <v>38808</v>
      </c>
    </row>
    <row r="4508" spans="11:14" x14ac:dyDescent="0.3">
      <c r="K4508" s="1">
        <v>39173</v>
      </c>
      <c r="M4508" t="e">
        <v>#N/A</v>
      </c>
      <c r="N4508" s="1">
        <v>38808</v>
      </c>
    </row>
    <row r="4509" spans="11:14" x14ac:dyDescent="0.3">
      <c r="K4509" s="1">
        <v>39173</v>
      </c>
      <c r="M4509" t="e">
        <v>#N/A</v>
      </c>
      <c r="N4509" s="1">
        <v>38808</v>
      </c>
    </row>
    <row r="4510" spans="11:14" x14ac:dyDescent="0.3">
      <c r="K4510" s="1">
        <v>39173</v>
      </c>
      <c r="M4510" t="e">
        <v>#N/A</v>
      </c>
      <c r="N4510" s="1">
        <v>38808</v>
      </c>
    </row>
    <row r="4511" spans="11:14" x14ac:dyDescent="0.3">
      <c r="K4511" s="1">
        <v>39173</v>
      </c>
      <c r="M4511" t="e">
        <v>#N/A</v>
      </c>
      <c r="N4511" s="1">
        <v>38808</v>
      </c>
    </row>
    <row r="4512" spans="11:14" x14ac:dyDescent="0.3">
      <c r="K4512" s="1">
        <v>39173</v>
      </c>
      <c r="M4512" t="e">
        <v>#N/A</v>
      </c>
      <c r="N4512" s="1">
        <v>38808</v>
      </c>
    </row>
    <row r="4513" spans="11:14" x14ac:dyDescent="0.3">
      <c r="K4513" s="1">
        <v>39173</v>
      </c>
      <c r="M4513" t="e">
        <v>#N/A</v>
      </c>
      <c r="N4513" s="1">
        <v>38808</v>
      </c>
    </row>
    <row r="4514" spans="11:14" x14ac:dyDescent="0.3">
      <c r="K4514" s="1">
        <v>39173</v>
      </c>
      <c r="M4514" t="e">
        <v>#N/A</v>
      </c>
      <c r="N4514" s="1">
        <v>38808</v>
      </c>
    </row>
    <row r="4515" spans="11:14" x14ac:dyDescent="0.3">
      <c r="K4515" s="1">
        <v>39173</v>
      </c>
      <c r="M4515" t="e">
        <v>#N/A</v>
      </c>
      <c r="N4515" s="1">
        <v>38808</v>
      </c>
    </row>
    <row r="4516" spans="11:14" x14ac:dyDescent="0.3">
      <c r="K4516" s="1">
        <v>39173</v>
      </c>
      <c r="M4516" t="e">
        <v>#N/A</v>
      </c>
      <c r="N4516" s="1">
        <v>38808</v>
      </c>
    </row>
    <row r="4517" spans="11:14" x14ac:dyDescent="0.3">
      <c r="K4517" s="1">
        <v>39173</v>
      </c>
      <c r="M4517" t="e">
        <v>#N/A</v>
      </c>
      <c r="N4517" s="1">
        <v>38808</v>
      </c>
    </row>
    <row r="4518" spans="11:14" x14ac:dyDescent="0.3">
      <c r="K4518" s="1">
        <v>39173</v>
      </c>
      <c r="M4518" t="e">
        <v>#N/A</v>
      </c>
      <c r="N4518" s="1">
        <v>38808</v>
      </c>
    </row>
    <row r="4519" spans="11:14" x14ac:dyDescent="0.3">
      <c r="K4519" s="1">
        <v>39173</v>
      </c>
      <c r="M4519" t="e">
        <v>#N/A</v>
      </c>
      <c r="N4519" s="1">
        <v>38808</v>
      </c>
    </row>
    <row r="4520" spans="11:14" x14ac:dyDescent="0.3">
      <c r="K4520" s="1">
        <v>39173</v>
      </c>
      <c r="M4520" t="e">
        <v>#N/A</v>
      </c>
      <c r="N4520" s="1">
        <v>38808</v>
      </c>
    </row>
    <row r="4521" spans="11:14" x14ac:dyDescent="0.3">
      <c r="K4521" s="1">
        <v>39173</v>
      </c>
      <c r="M4521" t="e">
        <v>#N/A</v>
      </c>
      <c r="N4521" s="1">
        <v>38808</v>
      </c>
    </row>
    <row r="4522" spans="11:14" x14ac:dyDescent="0.3">
      <c r="K4522" s="1">
        <v>39173</v>
      </c>
      <c r="M4522" t="e">
        <v>#N/A</v>
      </c>
      <c r="N4522" s="1">
        <v>38808</v>
      </c>
    </row>
    <row r="4523" spans="11:14" x14ac:dyDescent="0.3">
      <c r="K4523" s="1">
        <v>39173</v>
      </c>
      <c r="M4523" t="e">
        <v>#N/A</v>
      </c>
      <c r="N4523" s="1">
        <v>38808</v>
      </c>
    </row>
    <row r="4524" spans="11:14" x14ac:dyDescent="0.3">
      <c r="K4524" s="1">
        <v>39173</v>
      </c>
      <c r="M4524" t="e">
        <v>#N/A</v>
      </c>
      <c r="N4524" s="1">
        <v>38808</v>
      </c>
    </row>
    <row r="4525" spans="11:14" x14ac:dyDescent="0.3">
      <c r="K4525" s="1">
        <v>39173</v>
      </c>
      <c r="M4525" t="e">
        <v>#N/A</v>
      </c>
      <c r="N4525" s="1">
        <v>38808</v>
      </c>
    </row>
    <row r="4526" spans="11:14" x14ac:dyDescent="0.3">
      <c r="K4526" s="1">
        <v>39173</v>
      </c>
      <c r="M4526" t="e">
        <v>#N/A</v>
      </c>
      <c r="N4526" s="1">
        <v>38808</v>
      </c>
    </row>
    <row r="4527" spans="11:14" x14ac:dyDescent="0.3">
      <c r="K4527" s="1">
        <v>39173</v>
      </c>
      <c r="M4527" t="e">
        <v>#N/A</v>
      </c>
      <c r="N4527" s="1">
        <v>38808</v>
      </c>
    </row>
    <row r="4528" spans="11:14" x14ac:dyDescent="0.3">
      <c r="K4528" s="1">
        <v>39173</v>
      </c>
      <c r="M4528" t="e">
        <v>#N/A</v>
      </c>
      <c r="N4528" s="1">
        <v>38808</v>
      </c>
    </row>
    <row r="4529" spans="11:14" x14ac:dyDescent="0.3">
      <c r="K4529" s="1">
        <v>39173</v>
      </c>
      <c r="M4529" t="e">
        <v>#N/A</v>
      </c>
      <c r="N4529" s="1">
        <v>38808</v>
      </c>
    </row>
    <row r="4530" spans="11:14" x14ac:dyDescent="0.3">
      <c r="K4530" s="1">
        <v>39173</v>
      </c>
      <c r="M4530" t="e">
        <v>#N/A</v>
      </c>
      <c r="N4530" s="1">
        <v>38808</v>
      </c>
    </row>
    <row r="4531" spans="11:14" x14ac:dyDescent="0.3">
      <c r="K4531" s="1">
        <v>39173</v>
      </c>
      <c r="M4531" t="e">
        <v>#N/A</v>
      </c>
      <c r="N4531" s="1">
        <v>38808</v>
      </c>
    </row>
    <row r="4532" spans="11:14" x14ac:dyDescent="0.3">
      <c r="K4532" s="1">
        <v>39173</v>
      </c>
      <c r="M4532" t="e">
        <v>#N/A</v>
      </c>
      <c r="N4532" s="1">
        <v>38808</v>
      </c>
    </row>
    <row r="4533" spans="11:14" x14ac:dyDescent="0.3">
      <c r="K4533" s="1">
        <v>39173</v>
      </c>
      <c r="M4533" t="e">
        <v>#N/A</v>
      </c>
      <c r="N4533" s="1">
        <v>38808</v>
      </c>
    </row>
    <row r="4534" spans="11:14" x14ac:dyDescent="0.3">
      <c r="K4534" s="1">
        <v>39173</v>
      </c>
      <c r="M4534" t="e">
        <v>#N/A</v>
      </c>
      <c r="N4534" s="1">
        <v>38808</v>
      </c>
    </row>
    <row r="4535" spans="11:14" x14ac:dyDescent="0.3">
      <c r="K4535" s="1">
        <v>39173</v>
      </c>
      <c r="M4535" t="e">
        <v>#N/A</v>
      </c>
      <c r="N4535" s="1">
        <v>38808</v>
      </c>
    </row>
    <row r="4536" spans="11:14" x14ac:dyDescent="0.3">
      <c r="K4536" s="1">
        <v>39173</v>
      </c>
      <c r="M4536" t="e">
        <v>#N/A</v>
      </c>
      <c r="N4536" s="1">
        <v>38808</v>
      </c>
    </row>
    <row r="4537" spans="11:14" x14ac:dyDescent="0.3">
      <c r="K4537" s="1">
        <v>39173</v>
      </c>
      <c r="M4537" t="e">
        <v>#N/A</v>
      </c>
      <c r="N4537" s="1">
        <v>38808</v>
      </c>
    </row>
    <row r="4538" spans="11:14" x14ac:dyDescent="0.3">
      <c r="K4538" s="1">
        <v>39173</v>
      </c>
      <c r="M4538" t="e">
        <v>#N/A</v>
      </c>
      <c r="N4538" s="1">
        <v>38808</v>
      </c>
    </row>
    <row r="4539" spans="11:14" x14ac:dyDescent="0.3">
      <c r="K4539" s="1">
        <v>39173</v>
      </c>
      <c r="M4539" t="e">
        <v>#N/A</v>
      </c>
      <c r="N4539" s="1">
        <v>38808</v>
      </c>
    </row>
    <row r="4540" spans="11:14" x14ac:dyDescent="0.3">
      <c r="K4540" s="1">
        <v>39173</v>
      </c>
      <c r="M4540" t="e">
        <v>#N/A</v>
      </c>
      <c r="N4540" s="1">
        <v>38808</v>
      </c>
    </row>
    <row r="4541" spans="11:14" x14ac:dyDescent="0.3">
      <c r="K4541" s="1">
        <v>39173</v>
      </c>
      <c r="M4541" t="e">
        <v>#N/A</v>
      </c>
      <c r="N4541" s="1">
        <v>38808</v>
      </c>
    </row>
    <row r="4542" spans="11:14" x14ac:dyDescent="0.3">
      <c r="K4542" s="1">
        <v>39173</v>
      </c>
      <c r="M4542" t="e">
        <v>#N/A</v>
      </c>
      <c r="N4542" s="1">
        <v>38808</v>
      </c>
    </row>
    <row r="4543" spans="11:14" x14ac:dyDescent="0.3">
      <c r="K4543" s="1">
        <v>39173</v>
      </c>
      <c r="M4543" t="e">
        <v>#N/A</v>
      </c>
      <c r="N4543" s="1">
        <v>38808</v>
      </c>
    </row>
    <row r="4544" spans="11:14" x14ac:dyDescent="0.3">
      <c r="K4544" s="1">
        <v>39173</v>
      </c>
      <c r="M4544" t="e">
        <v>#N/A</v>
      </c>
      <c r="N4544" s="1">
        <v>38808</v>
      </c>
    </row>
    <row r="4545" spans="11:14" x14ac:dyDescent="0.3">
      <c r="K4545" s="1">
        <v>39173</v>
      </c>
      <c r="M4545" t="e">
        <v>#N/A</v>
      </c>
      <c r="N4545" s="1">
        <v>38808</v>
      </c>
    </row>
    <row r="4546" spans="11:14" x14ac:dyDescent="0.3">
      <c r="K4546" s="1">
        <v>39173</v>
      </c>
      <c r="M4546" t="e">
        <v>#N/A</v>
      </c>
      <c r="N4546" s="1">
        <v>38808</v>
      </c>
    </row>
    <row r="4547" spans="11:14" x14ac:dyDescent="0.3">
      <c r="K4547" s="1">
        <v>39173</v>
      </c>
      <c r="M4547" t="e">
        <v>#N/A</v>
      </c>
      <c r="N4547" s="1">
        <v>38808</v>
      </c>
    </row>
    <row r="4548" spans="11:14" x14ac:dyDescent="0.3">
      <c r="K4548" s="1">
        <v>39173</v>
      </c>
      <c r="M4548" t="e">
        <v>#N/A</v>
      </c>
      <c r="N4548" s="1">
        <v>38808</v>
      </c>
    </row>
    <row r="4549" spans="11:14" x14ac:dyDescent="0.3">
      <c r="K4549" s="1">
        <v>39173</v>
      </c>
      <c r="M4549" t="e">
        <v>#N/A</v>
      </c>
      <c r="N4549" s="1">
        <v>38808</v>
      </c>
    </row>
    <row r="4550" spans="11:14" x14ac:dyDescent="0.3">
      <c r="K4550" s="1">
        <v>39173</v>
      </c>
      <c r="M4550" t="e">
        <v>#N/A</v>
      </c>
      <c r="N4550" s="1">
        <v>38808</v>
      </c>
    </row>
    <row r="4551" spans="11:14" x14ac:dyDescent="0.3">
      <c r="K4551" s="1">
        <v>39173</v>
      </c>
      <c r="M4551" t="e">
        <v>#N/A</v>
      </c>
      <c r="N4551" s="1">
        <v>38808</v>
      </c>
    </row>
    <row r="4552" spans="11:14" x14ac:dyDescent="0.3">
      <c r="K4552" s="1">
        <v>39173</v>
      </c>
      <c r="M4552" t="e">
        <v>#N/A</v>
      </c>
      <c r="N4552" s="1">
        <v>38808</v>
      </c>
    </row>
    <row r="4553" spans="11:14" x14ac:dyDescent="0.3">
      <c r="K4553" s="1">
        <v>39173</v>
      </c>
      <c r="M4553" t="e">
        <v>#N/A</v>
      </c>
      <c r="N4553" s="1">
        <v>38808</v>
      </c>
    </row>
    <row r="4554" spans="11:14" x14ac:dyDescent="0.3">
      <c r="K4554" s="1">
        <v>39173</v>
      </c>
      <c r="M4554" t="e">
        <v>#N/A</v>
      </c>
      <c r="N4554" s="1">
        <v>38808</v>
      </c>
    </row>
    <row r="4555" spans="11:14" x14ac:dyDescent="0.3">
      <c r="K4555" s="1">
        <v>39173</v>
      </c>
      <c r="M4555" t="e">
        <v>#N/A</v>
      </c>
      <c r="N4555" s="1">
        <v>38808</v>
      </c>
    </row>
    <row r="4556" spans="11:14" x14ac:dyDescent="0.3">
      <c r="K4556" s="1">
        <v>39173</v>
      </c>
      <c r="M4556" t="e">
        <v>#N/A</v>
      </c>
      <c r="N4556" s="1">
        <v>38808</v>
      </c>
    </row>
    <row r="4557" spans="11:14" x14ac:dyDescent="0.3">
      <c r="K4557" s="1">
        <v>39173</v>
      </c>
      <c r="M4557" t="e">
        <v>#N/A</v>
      </c>
      <c r="N4557" s="1">
        <v>38808</v>
      </c>
    </row>
    <row r="4558" spans="11:14" x14ac:dyDescent="0.3">
      <c r="K4558" s="1">
        <v>39173</v>
      </c>
      <c r="M4558" t="e">
        <v>#N/A</v>
      </c>
      <c r="N4558" s="1">
        <v>38808</v>
      </c>
    </row>
    <row r="4559" spans="11:14" x14ac:dyDescent="0.3">
      <c r="K4559" s="1">
        <v>39173</v>
      </c>
      <c r="M4559" t="e">
        <v>#N/A</v>
      </c>
      <c r="N4559" s="1">
        <v>38808</v>
      </c>
    </row>
    <row r="4560" spans="11:14" x14ac:dyDescent="0.3">
      <c r="K4560" s="1">
        <v>39173</v>
      </c>
      <c r="M4560" t="e">
        <v>#N/A</v>
      </c>
      <c r="N4560" s="1">
        <v>38808</v>
      </c>
    </row>
    <row r="4561" spans="11:14" x14ac:dyDescent="0.3">
      <c r="K4561" s="1">
        <v>39173</v>
      </c>
      <c r="M4561" t="e">
        <v>#N/A</v>
      </c>
      <c r="N4561" s="1">
        <v>38808</v>
      </c>
    </row>
    <row r="4562" spans="11:14" x14ac:dyDescent="0.3">
      <c r="K4562" s="1">
        <v>39173</v>
      </c>
      <c r="M4562" t="e">
        <v>#N/A</v>
      </c>
      <c r="N4562" s="1">
        <v>38808</v>
      </c>
    </row>
    <row r="4563" spans="11:14" x14ac:dyDescent="0.3">
      <c r="K4563" s="1">
        <v>39173</v>
      </c>
      <c r="M4563" t="e">
        <v>#N/A</v>
      </c>
      <c r="N4563" s="1">
        <v>38808</v>
      </c>
    </row>
    <row r="4564" spans="11:14" x14ac:dyDescent="0.3">
      <c r="K4564" s="1">
        <v>39173</v>
      </c>
      <c r="M4564" t="e">
        <v>#N/A</v>
      </c>
      <c r="N4564" s="1">
        <v>38808</v>
      </c>
    </row>
    <row r="4565" spans="11:14" x14ac:dyDescent="0.3">
      <c r="K4565" s="1">
        <v>39173</v>
      </c>
      <c r="M4565" t="e">
        <v>#N/A</v>
      </c>
      <c r="N4565" s="1">
        <v>38808</v>
      </c>
    </row>
    <row r="4566" spans="11:14" x14ac:dyDescent="0.3">
      <c r="K4566" s="1">
        <v>39173</v>
      </c>
      <c r="M4566" t="e">
        <v>#N/A</v>
      </c>
      <c r="N4566" s="1">
        <v>38808</v>
      </c>
    </row>
    <row r="4567" spans="11:14" x14ac:dyDescent="0.3">
      <c r="K4567" s="1">
        <v>39173</v>
      </c>
      <c r="M4567" t="e">
        <v>#N/A</v>
      </c>
      <c r="N4567" s="1">
        <v>38808</v>
      </c>
    </row>
    <row r="4568" spans="11:14" x14ac:dyDescent="0.3">
      <c r="K4568" s="1">
        <v>39173</v>
      </c>
      <c r="M4568" t="e">
        <v>#N/A</v>
      </c>
      <c r="N4568" s="1">
        <v>38808</v>
      </c>
    </row>
    <row r="4569" spans="11:14" x14ac:dyDescent="0.3">
      <c r="K4569" s="1">
        <v>39173</v>
      </c>
      <c r="M4569" t="e">
        <v>#N/A</v>
      </c>
      <c r="N4569" s="1">
        <v>38808</v>
      </c>
    </row>
    <row r="4570" spans="11:14" x14ac:dyDescent="0.3">
      <c r="K4570" s="1">
        <v>39173</v>
      </c>
      <c r="M4570" t="e">
        <v>#N/A</v>
      </c>
      <c r="N4570" s="1">
        <v>38808</v>
      </c>
    </row>
    <row r="4571" spans="11:14" x14ac:dyDescent="0.3">
      <c r="K4571" s="1">
        <v>39173</v>
      </c>
      <c r="M4571" t="e">
        <v>#N/A</v>
      </c>
      <c r="N4571" s="1">
        <v>38808</v>
      </c>
    </row>
    <row r="4572" spans="11:14" x14ac:dyDescent="0.3">
      <c r="K4572" s="1">
        <v>39173</v>
      </c>
      <c r="M4572" t="e">
        <v>#N/A</v>
      </c>
      <c r="N4572" s="1">
        <v>38808</v>
      </c>
    </row>
    <row r="4573" spans="11:14" x14ac:dyDescent="0.3">
      <c r="K4573" s="1">
        <v>39173</v>
      </c>
      <c r="M4573" t="e">
        <v>#N/A</v>
      </c>
      <c r="N4573" s="1">
        <v>38808</v>
      </c>
    </row>
    <row r="4574" spans="11:14" x14ac:dyDescent="0.3">
      <c r="K4574" s="1">
        <v>39173</v>
      </c>
      <c r="M4574" t="e">
        <v>#N/A</v>
      </c>
      <c r="N4574" s="1">
        <v>38808</v>
      </c>
    </row>
    <row r="4575" spans="11:14" x14ac:dyDescent="0.3">
      <c r="K4575" s="1">
        <v>39173</v>
      </c>
      <c r="M4575" t="e">
        <v>#N/A</v>
      </c>
      <c r="N4575" s="1">
        <v>38808</v>
      </c>
    </row>
    <row r="4576" spans="11:14" x14ac:dyDescent="0.3">
      <c r="K4576" s="1">
        <v>39173</v>
      </c>
      <c r="M4576" t="e">
        <v>#N/A</v>
      </c>
      <c r="N4576" s="1">
        <v>38808</v>
      </c>
    </row>
    <row r="4577" spans="11:14" x14ac:dyDescent="0.3">
      <c r="K4577" s="1">
        <v>39173</v>
      </c>
      <c r="M4577" t="e">
        <v>#N/A</v>
      </c>
      <c r="N4577" s="1">
        <v>38808</v>
      </c>
    </row>
    <row r="4578" spans="11:14" x14ac:dyDescent="0.3">
      <c r="K4578" s="1">
        <v>39173</v>
      </c>
      <c r="M4578" t="e">
        <v>#N/A</v>
      </c>
      <c r="N4578" s="1">
        <v>38808</v>
      </c>
    </row>
    <row r="4579" spans="11:14" x14ac:dyDescent="0.3">
      <c r="K4579" s="1">
        <v>39173</v>
      </c>
      <c r="M4579" t="e">
        <v>#N/A</v>
      </c>
      <c r="N4579" s="1">
        <v>38808</v>
      </c>
    </row>
    <row r="4580" spans="11:14" x14ac:dyDescent="0.3">
      <c r="K4580" s="1">
        <v>39173</v>
      </c>
      <c r="M4580" t="e">
        <v>#N/A</v>
      </c>
      <c r="N4580" s="1">
        <v>38808</v>
      </c>
    </row>
    <row r="4581" spans="11:14" x14ac:dyDescent="0.3">
      <c r="K4581" s="1">
        <v>39173</v>
      </c>
      <c r="M4581" t="e">
        <v>#N/A</v>
      </c>
      <c r="N4581" s="1">
        <v>38808</v>
      </c>
    </row>
    <row r="4582" spans="11:14" x14ac:dyDescent="0.3">
      <c r="K4582" s="1">
        <v>39173</v>
      </c>
      <c r="M4582" t="e">
        <v>#N/A</v>
      </c>
      <c r="N4582" s="1">
        <v>38808</v>
      </c>
    </row>
    <row r="4583" spans="11:14" x14ac:dyDescent="0.3">
      <c r="K4583" s="1">
        <v>39173</v>
      </c>
      <c r="M4583" t="e">
        <v>#N/A</v>
      </c>
      <c r="N4583" s="1">
        <v>38808</v>
      </c>
    </row>
    <row r="4584" spans="11:14" x14ac:dyDescent="0.3">
      <c r="K4584" s="1">
        <v>39173</v>
      </c>
      <c r="M4584" t="e">
        <v>#N/A</v>
      </c>
      <c r="N4584" s="1">
        <v>38808</v>
      </c>
    </row>
    <row r="4585" spans="11:14" x14ac:dyDescent="0.3">
      <c r="K4585" s="1">
        <v>39173</v>
      </c>
      <c r="M4585" t="e">
        <v>#N/A</v>
      </c>
      <c r="N4585" s="1">
        <v>38808</v>
      </c>
    </row>
    <row r="4586" spans="11:14" x14ac:dyDescent="0.3">
      <c r="K4586" s="1">
        <v>39173</v>
      </c>
      <c r="M4586" t="e">
        <v>#N/A</v>
      </c>
      <c r="N4586" s="1">
        <v>38808</v>
      </c>
    </row>
    <row r="4587" spans="11:14" x14ac:dyDescent="0.3">
      <c r="K4587" s="1">
        <v>39173</v>
      </c>
      <c r="M4587" t="e">
        <v>#N/A</v>
      </c>
      <c r="N4587" s="1">
        <v>38808</v>
      </c>
    </row>
    <row r="4588" spans="11:14" x14ac:dyDescent="0.3">
      <c r="K4588" s="1">
        <v>39173</v>
      </c>
      <c r="M4588" t="e">
        <v>#N/A</v>
      </c>
      <c r="N4588" s="1">
        <v>38808</v>
      </c>
    </row>
    <row r="4589" spans="11:14" x14ac:dyDescent="0.3">
      <c r="K4589" s="1">
        <v>39173</v>
      </c>
      <c r="M4589" t="e">
        <v>#N/A</v>
      </c>
      <c r="N4589" s="1">
        <v>38808</v>
      </c>
    </row>
    <row r="4590" spans="11:14" x14ac:dyDescent="0.3">
      <c r="K4590" s="1">
        <v>39173</v>
      </c>
      <c r="M4590" t="e">
        <v>#N/A</v>
      </c>
      <c r="N4590" s="1">
        <v>38808</v>
      </c>
    </row>
    <row r="4591" spans="11:14" x14ac:dyDescent="0.3">
      <c r="K4591" s="1">
        <v>39173</v>
      </c>
      <c r="M4591" t="e">
        <v>#N/A</v>
      </c>
      <c r="N4591" s="1">
        <v>38808</v>
      </c>
    </row>
    <row r="4592" spans="11:14" x14ac:dyDescent="0.3">
      <c r="K4592" s="1">
        <v>39173</v>
      </c>
      <c r="M4592" t="e">
        <v>#N/A</v>
      </c>
      <c r="N4592" s="1">
        <v>38808</v>
      </c>
    </row>
    <row r="4593" spans="11:14" x14ac:dyDescent="0.3">
      <c r="K4593" s="1">
        <v>39173</v>
      </c>
      <c r="M4593" t="e">
        <v>#N/A</v>
      </c>
      <c r="N4593" s="1">
        <v>38808</v>
      </c>
    </row>
    <row r="4594" spans="11:14" x14ac:dyDescent="0.3">
      <c r="K4594" s="1">
        <v>39173</v>
      </c>
      <c r="M4594" t="e">
        <v>#N/A</v>
      </c>
      <c r="N4594" s="1">
        <v>38808</v>
      </c>
    </row>
    <row r="4595" spans="11:14" x14ac:dyDescent="0.3">
      <c r="K4595" s="1">
        <v>39173</v>
      </c>
      <c r="M4595" t="e">
        <v>#N/A</v>
      </c>
      <c r="N4595" s="1">
        <v>38808</v>
      </c>
    </row>
    <row r="4596" spans="11:14" x14ac:dyDescent="0.3">
      <c r="K4596" s="1">
        <v>39173</v>
      </c>
      <c r="M4596" t="e">
        <v>#N/A</v>
      </c>
      <c r="N4596" s="1">
        <v>38808</v>
      </c>
    </row>
    <row r="4597" spans="11:14" x14ac:dyDescent="0.3">
      <c r="K4597" s="1">
        <v>39173</v>
      </c>
      <c r="M4597" t="e">
        <v>#N/A</v>
      </c>
      <c r="N4597" s="1">
        <v>38808</v>
      </c>
    </row>
    <row r="4598" spans="11:14" x14ac:dyDescent="0.3">
      <c r="K4598" s="1">
        <v>39173</v>
      </c>
      <c r="M4598" t="e">
        <v>#N/A</v>
      </c>
      <c r="N4598" s="1">
        <v>38808</v>
      </c>
    </row>
    <row r="4599" spans="11:14" x14ac:dyDescent="0.3">
      <c r="K4599" s="1">
        <v>39173</v>
      </c>
      <c r="M4599" t="e">
        <v>#N/A</v>
      </c>
      <c r="N4599" s="1">
        <v>38808</v>
      </c>
    </row>
    <row r="4600" spans="11:14" x14ac:dyDescent="0.3">
      <c r="K4600" s="1">
        <v>39173</v>
      </c>
      <c r="M4600" t="e">
        <v>#N/A</v>
      </c>
      <c r="N4600" s="1">
        <v>38808</v>
      </c>
    </row>
    <row r="4601" spans="11:14" x14ac:dyDescent="0.3">
      <c r="K4601" s="1">
        <v>39173</v>
      </c>
      <c r="M4601" t="e">
        <v>#N/A</v>
      </c>
      <c r="N4601" s="1">
        <v>38808</v>
      </c>
    </row>
    <row r="4602" spans="11:14" x14ac:dyDescent="0.3">
      <c r="K4602" s="1">
        <v>39173</v>
      </c>
      <c r="M4602" t="e">
        <v>#N/A</v>
      </c>
      <c r="N4602" s="1">
        <v>38808</v>
      </c>
    </row>
    <row r="4603" spans="11:14" x14ac:dyDescent="0.3">
      <c r="K4603" s="1">
        <v>39173</v>
      </c>
      <c r="M4603" t="e">
        <v>#N/A</v>
      </c>
      <c r="N4603" s="1">
        <v>38808</v>
      </c>
    </row>
    <row r="4604" spans="11:14" x14ac:dyDescent="0.3">
      <c r="K4604" s="1">
        <v>39173</v>
      </c>
      <c r="M4604" t="e">
        <v>#N/A</v>
      </c>
      <c r="N4604" s="1">
        <v>38808</v>
      </c>
    </row>
    <row r="4605" spans="11:14" x14ac:dyDescent="0.3">
      <c r="K4605" s="1">
        <v>39173</v>
      </c>
      <c r="M4605" t="e">
        <v>#N/A</v>
      </c>
      <c r="N4605" s="1">
        <v>38808</v>
      </c>
    </row>
    <row r="4606" spans="11:14" x14ac:dyDescent="0.3">
      <c r="K4606" s="1">
        <v>39173</v>
      </c>
      <c r="M4606" t="e">
        <v>#N/A</v>
      </c>
      <c r="N4606" s="1">
        <v>38808</v>
      </c>
    </row>
    <row r="4607" spans="11:14" x14ac:dyDescent="0.3">
      <c r="K4607" s="1">
        <v>39173</v>
      </c>
      <c r="M4607" t="e">
        <v>#N/A</v>
      </c>
      <c r="N4607" s="1">
        <v>38808</v>
      </c>
    </row>
    <row r="4608" spans="11:14" x14ac:dyDescent="0.3">
      <c r="K4608" s="1">
        <v>39173</v>
      </c>
      <c r="M4608" t="e">
        <v>#N/A</v>
      </c>
      <c r="N4608" s="1">
        <v>38808</v>
      </c>
    </row>
    <row r="4609" spans="11:14" x14ac:dyDescent="0.3">
      <c r="K4609" s="1">
        <v>39173</v>
      </c>
      <c r="M4609" t="e">
        <v>#N/A</v>
      </c>
      <c r="N4609" s="1">
        <v>38808</v>
      </c>
    </row>
    <row r="4610" spans="11:14" x14ac:dyDescent="0.3">
      <c r="K4610" s="1">
        <v>39173</v>
      </c>
      <c r="M4610" t="e">
        <v>#N/A</v>
      </c>
      <c r="N4610" s="1">
        <v>38808</v>
      </c>
    </row>
    <row r="4611" spans="11:14" x14ac:dyDescent="0.3">
      <c r="K4611" s="1">
        <v>39173</v>
      </c>
      <c r="M4611" t="e">
        <v>#N/A</v>
      </c>
      <c r="N4611" s="1">
        <v>38808</v>
      </c>
    </row>
    <row r="4612" spans="11:14" x14ac:dyDescent="0.3">
      <c r="K4612" s="1">
        <v>39173</v>
      </c>
      <c r="M4612" t="e">
        <v>#N/A</v>
      </c>
      <c r="N4612" s="1">
        <v>38808</v>
      </c>
    </row>
    <row r="4613" spans="11:14" x14ac:dyDescent="0.3">
      <c r="K4613" s="1">
        <v>39173</v>
      </c>
      <c r="M4613" t="e">
        <v>#N/A</v>
      </c>
      <c r="N4613" s="1">
        <v>38808</v>
      </c>
    </row>
    <row r="4614" spans="11:14" x14ac:dyDescent="0.3">
      <c r="K4614" s="1">
        <v>39173</v>
      </c>
      <c r="M4614" t="e">
        <v>#N/A</v>
      </c>
      <c r="N4614" s="1">
        <v>38808</v>
      </c>
    </row>
    <row r="4615" spans="11:14" x14ac:dyDescent="0.3">
      <c r="K4615" s="1">
        <v>39173</v>
      </c>
      <c r="M4615" t="e">
        <v>#N/A</v>
      </c>
      <c r="N4615" s="1">
        <v>38808</v>
      </c>
    </row>
    <row r="4616" spans="11:14" x14ac:dyDescent="0.3">
      <c r="K4616" s="1">
        <v>39173</v>
      </c>
      <c r="M4616" t="e">
        <v>#N/A</v>
      </c>
      <c r="N4616" s="1">
        <v>38808</v>
      </c>
    </row>
    <row r="4617" spans="11:14" x14ac:dyDescent="0.3">
      <c r="K4617" s="1">
        <v>39173</v>
      </c>
      <c r="M4617" t="e">
        <v>#N/A</v>
      </c>
      <c r="N4617" s="1">
        <v>38808</v>
      </c>
    </row>
    <row r="4618" spans="11:14" x14ac:dyDescent="0.3">
      <c r="K4618" s="1">
        <v>39173</v>
      </c>
      <c r="M4618" t="e">
        <v>#N/A</v>
      </c>
      <c r="N4618" s="1">
        <v>38808</v>
      </c>
    </row>
    <row r="4619" spans="11:14" x14ac:dyDescent="0.3">
      <c r="K4619" s="1">
        <v>39173</v>
      </c>
      <c r="M4619" t="e">
        <v>#N/A</v>
      </c>
      <c r="N4619" s="1">
        <v>38808</v>
      </c>
    </row>
    <row r="4620" spans="11:14" x14ac:dyDescent="0.3">
      <c r="K4620" s="1">
        <v>39173</v>
      </c>
      <c r="M4620" t="e">
        <v>#N/A</v>
      </c>
      <c r="N4620" s="1">
        <v>38808</v>
      </c>
    </row>
    <row r="4621" spans="11:14" x14ac:dyDescent="0.3">
      <c r="K4621" s="1">
        <v>39173</v>
      </c>
      <c r="M4621" t="e">
        <v>#N/A</v>
      </c>
      <c r="N4621" s="1">
        <v>38808</v>
      </c>
    </row>
    <row r="4622" spans="11:14" x14ac:dyDescent="0.3">
      <c r="K4622" s="1">
        <v>39173</v>
      </c>
      <c r="M4622" t="e">
        <v>#N/A</v>
      </c>
      <c r="N4622" s="1">
        <v>38808</v>
      </c>
    </row>
    <row r="4623" spans="11:14" x14ac:dyDescent="0.3">
      <c r="K4623" s="1">
        <v>39173</v>
      </c>
      <c r="M4623" t="e">
        <v>#N/A</v>
      </c>
      <c r="N4623" s="1">
        <v>38808</v>
      </c>
    </row>
    <row r="4624" spans="11:14" x14ac:dyDescent="0.3">
      <c r="K4624" s="1">
        <v>39173</v>
      </c>
      <c r="M4624" t="e">
        <v>#N/A</v>
      </c>
      <c r="N4624" s="1">
        <v>38808</v>
      </c>
    </row>
    <row r="4625" spans="11:14" x14ac:dyDescent="0.3">
      <c r="K4625" s="1">
        <v>39173</v>
      </c>
      <c r="M4625" t="e">
        <v>#N/A</v>
      </c>
      <c r="N4625" s="1">
        <v>38808</v>
      </c>
    </row>
    <row r="4626" spans="11:14" x14ac:dyDescent="0.3">
      <c r="K4626" s="1">
        <v>39173</v>
      </c>
      <c r="M4626" t="e">
        <v>#N/A</v>
      </c>
      <c r="N4626" s="1">
        <v>38808</v>
      </c>
    </row>
    <row r="4627" spans="11:14" x14ac:dyDescent="0.3">
      <c r="K4627" s="1">
        <v>39173</v>
      </c>
      <c r="M4627" t="e">
        <v>#N/A</v>
      </c>
      <c r="N4627" s="1">
        <v>38808</v>
      </c>
    </row>
    <row r="4628" spans="11:14" x14ac:dyDescent="0.3">
      <c r="K4628" s="1">
        <v>39173</v>
      </c>
      <c r="M4628" t="e">
        <v>#N/A</v>
      </c>
      <c r="N4628" s="1">
        <v>38808</v>
      </c>
    </row>
    <row r="4629" spans="11:14" x14ac:dyDescent="0.3">
      <c r="K4629" s="1">
        <v>39173</v>
      </c>
      <c r="M4629" t="e">
        <v>#N/A</v>
      </c>
      <c r="N4629" s="1">
        <v>38808</v>
      </c>
    </row>
    <row r="4630" spans="11:14" x14ac:dyDescent="0.3">
      <c r="K4630" s="1">
        <v>39173</v>
      </c>
      <c r="M4630" t="e">
        <v>#N/A</v>
      </c>
      <c r="N4630" s="1">
        <v>38808</v>
      </c>
    </row>
    <row r="4631" spans="11:14" x14ac:dyDescent="0.3">
      <c r="K4631" s="1">
        <v>39173</v>
      </c>
      <c r="M4631" t="e">
        <v>#N/A</v>
      </c>
      <c r="N4631" s="1">
        <v>38808</v>
      </c>
    </row>
    <row r="4632" spans="11:14" x14ac:dyDescent="0.3">
      <c r="K4632" s="1">
        <v>39173</v>
      </c>
      <c r="M4632" t="e">
        <v>#N/A</v>
      </c>
      <c r="N4632" s="1">
        <v>38808</v>
      </c>
    </row>
    <row r="4633" spans="11:14" x14ac:dyDescent="0.3">
      <c r="K4633" s="1">
        <v>39173</v>
      </c>
      <c r="M4633" t="e">
        <v>#N/A</v>
      </c>
      <c r="N4633" s="1">
        <v>38808</v>
      </c>
    </row>
    <row r="4634" spans="11:14" x14ac:dyDescent="0.3">
      <c r="K4634" s="1">
        <v>39173</v>
      </c>
      <c r="M4634" t="e">
        <v>#N/A</v>
      </c>
      <c r="N4634" s="1">
        <v>38808</v>
      </c>
    </row>
    <row r="4635" spans="11:14" x14ac:dyDescent="0.3">
      <c r="K4635" s="1">
        <v>39173</v>
      </c>
      <c r="M4635" t="e">
        <v>#N/A</v>
      </c>
      <c r="N4635" s="1">
        <v>38808</v>
      </c>
    </row>
    <row r="4636" spans="11:14" x14ac:dyDescent="0.3">
      <c r="K4636" s="1">
        <v>39173</v>
      </c>
      <c r="M4636" t="e">
        <v>#N/A</v>
      </c>
      <c r="N4636" s="1">
        <v>38808</v>
      </c>
    </row>
    <row r="4637" spans="11:14" x14ac:dyDescent="0.3">
      <c r="K4637" s="1">
        <v>39173</v>
      </c>
      <c r="M4637" t="e">
        <v>#N/A</v>
      </c>
      <c r="N4637" s="1">
        <v>38808</v>
      </c>
    </row>
    <row r="4638" spans="11:14" x14ac:dyDescent="0.3">
      <c r="K4638" s="1">
        <v>39173</v>
      </c>
      <c r="M4638" t="e">
        <v>#N/A</v>
      </c>
      <c r="N4638" s="1">
        <v>38808</v>
      </c>
    </row>
    <row r="4639" spans="11:14" x14ac:dyDescent="0.3">
      <c r="K4639" s="1">
        <v>39173</v>
      </c>
      <c r="M4639" t="e">
        <v>#N/A</v>
      </c>
      <c r="N4639" s="1">
        <v>38808</v>
      </c>
    </row>
    <row r="4640" spans="11:14" x14ac:dyDescent="0.3">
      <c r="K4640" s="1">
        <v>39173</v>
      </c>
      <c r="M4640" t="e">
        <v>#N/A</v>
      </c>
      <c r="N4640" s="1">
        <v>38808</v>
      </c>
    </row>
    <row r="4641" spans="11:14" x14ac:dyDescent="0.3">
      <c r="K4641" s="1">
        <v>39173</v>
      </c>
      <c r="M4641" t="e">
        <v>#N/A</v>
      </c>
      <c r="N4641" s="1">
        <v>38808</v>
      </c>
    </row>
    <row r="4642" spans="11:14" x14ac:dyDescent="0.3">
      <c r="K4642" s="1">
        <v>39173</v>
      </c>
      <c r="M4642" t="e">
        <v>#N/A</v>
      </c>
      <c r="N4642" s="1">
        <v>38808</v>
      </c>
    </row>
    <row r="4643" spans="11:14" x14ac:dyDescent="0.3">
      <c r="K4643" s="1">
        <v>39173</v>
      </c>
      <c r="M4643" t="e">
        <v>#N/A</v>
      </c>
      <c r="N4643" s="1">
        <v>38808</v>
      </c>
    </row>
    <row r="4644" spans="11:14" x14ac:dyDescent="0.3">
      <c r="K4644" s="1">
        <v>39173</v>
      </c>
      <c r="M4644" t="e">
        <v>#N/A</v>
      </c>
      <c r="N4644" s="1">
        <v>38808</v>
      </c>
    </row>
    <row r="4645" spans="11:14" x14ac:dyDescent="0.3">
      <c r="K4645" s="1">
        <v>39173</v>
      </c>
      <c r="M4645" t="e">
        <v>#N/A</v>
      </c>
      <c r="N4645" s="1">
        <v>38808</v>
      </c>
    </row>
    <row r="4646" spans="11:14" x14ac:dyDescent="0.3">
      <c r="K4646" s="1">
        <v>39173</v>
      </c>
      <c r="M4646" t="e">
        <v>#N/A</v>
      </c>
      <c r="N4646" s="1">
        <v>38808</v>
      </c>
    </row>
    <row r="4647" spans="11:14" x14ac:dyDescent="0.3">
      <c r="K4647" s="1">
        <v>39173</v>
      </c>
      <c r="M4647" t="e">
        <v>#N/A</v>
      </c>
      <c r="N4647" s="1">
        <v>38808</v>
      </c>
    </row>
    <row r="4648" spans="11:14" x14ac:dyDescent="0.3">
      <c r="K4648" s="1">
        <v>39173</v>
      </c>
      <c r="M4648" t="e">
        <v>#N/A</v>
      </c>
      <c r="N4648" s="1">
        <v>38808</v>
      </c>
    </row>
    <row r="4649" spans="11:14" x14ac:dyDescent="0.3">
      <c r="K4649" s="1">
        <v>39173</v>
      </c>
      <c r="M4649" t="e">
        <v>#N/A</v>
      </c>
      <c r="N4649" s="1">
        <v>38808</v>
      </c>
    </row>
    <row r="4650" spans="11:14" x14ac:dyDescent="0.3">
      <c r="K4650" s="1">
        <v>39173</v>
      </c>
      <c r="M4650" t="e">
        <v>#N/A</v>
      </c>
      <c r="N4650" s="1">
        <v>38808</v>
      </c>
    </row>
    <row r="4651" spans="11:14" x14ac:dyDescent="0.3">
      <c r="K4651" s="1">
        <v>39173</v>
      </c>
      <c r="M4651" t="e">
        <v>#N/A</v>
      </c>
      <c r="N4651" s="1">
        <v>38808</v>
      </c>
    </row>
    <row r="4652" spans="11:14" x14ac:dyDescent="0.3">
      <c r="K4652" s="1">
        <v>39173</v>
      </c>
      <c r="M4652" t="e">
        <v>#N/A</v>
      </c>
      <c r="N4652" s="1">
        <v>38808</v>
      </c>
    </row>
    <row r="4653" spans="11:14" x14ac:dyDescent="0.3">
      <c r="K4653" s="1">
        <v>39173</v>
      </c>
      <c r="M4653" t="e">
        <v>#N/A</v>
      </c>
      <c r="N4653" s="1">
        <v>38808</v>
      </c>
    </row>
    <row r="4654" spans="11:14" x14ac:dyDescent="0.3">
      <c r="K4654" s="1">
        <v>39173</v>
      </c>
      <c r="M4654" t="e">
        <v>#N/A</v>
      </c>
      <c r="N4654" s="1">
        <v>38808</v>
      </c>
    </row>
    <row r="4655" spans="11:14" x14ac:dyDescent="0.3">
      <c r="K4655" s="1">
        <v>39173</v>
      </c>
      <c r="M4655" t="e">
        <v>#N/A</v>
      </c>
      <c r="N4655" s="1">
        <v>38808</v>
      </c>
    </row>
    <row r="4656" spans="11:14" x14ac:dyDescent="0.3">
      <c r="K4656" s="1">
        <v>39173</v>
      </c>
      <c r="M4656" t="e">
        <v>#N/A</v>
      </c>
      <c r="N4656" s="1">
        <v>38808</v>
      </c>
    </row>
    <row r="4657" spans="11:14" x14ac:dyDescent="0.3">
      <c r="K4657" s="1">
        <v>39173</v>
      </c>
      <c r="M4657" t="e">
        <v>#N/A</v>
      </c>
      <c r="N4657" s="1">
        <v>38808</v>
      </c>
    </row>
    <row r="4658" spans="11:14" x14ac:dyDescent="0.3">
      <c r="K4658" s="1">
        <v>39173</v>
      </c>
      <c r="M4658" t="e">
        <v>#N/A</v>
      </c>
      <c r="N4658" s="1">
        <v>38808</v>
      </c>
    </row>
    <row r="4659" spans="11:14" x14ac:dyDescent="0.3">
      <c r="K4659" s="1">
        <v>39173</v>
      </c>
      <c r="M4659" t="e">
        <v>#N/A</v>
      </c>
      <c r="N4659" s="1">
        <v>38808</v>
      </c>
    </row>
    <row r="4660" spans="11:14" x14ac:dyDescent="0.3">
      <c r="K4660" s="1">
        <v>39173</v>
      </c>
      <c r="M4660" t="e">
        <v>#N/A</v>
      </c>
      <c r="N4660" s="1">
        <v>38808</v>
      </c>
    </row>
    <row r="4661" spans="11:14" x14ac:dyDescent="0.3">
      <c r="K4661" s="1">
        <v>39173</v>
      </c>
      <c r="M4661" t="e">
        <v>#N/A</v>
      </c>
      <c r="N4661" s="1">
        <v>38808</v>
      </c>
    </row>
    <row r="4662" spans="11:14" x14ac:dyDescent="0.3">
      <c r="K4662" s="1">
        <v>39173</v>
      </c>
      <c r="M4662" t="e">
        <v>#N/A</v>
      </c>
      <c r="N4662" s="1">
        <v>38808</v>
      </c>
    </row>
    <row r="4663" spans="11:14" x14ac:dyDescent="0.3">
      <c r="K4663" s="1">
        <v>39173</v>
      </c>
      <c r="M4663" t="e">
        <v>#N/A</v>
      </c>
      <c r="N4663" s="1">
        <v>38808</v>
      </c>
    </row>
    <row r="4664" spans="11:14" x14ac:dyDescent="0.3">
      <c r="K4664" s="1">
        <v>39173</v>
      </c>
      <c r="M4664" t="e">
        <v>#N/A</v>
      </c>
      <c r="N4664" s="1">
        <v>38808</v>
      </c>
    </row>
    <row r="4665" spans="11:14" x14ac:dyDescent="0.3">
      <c r="K4665" s="1">
        <v>39173</v>
      </c>
      <c r="M4665" t="e">
        <v>#N/A</v>
      </c>
      <c r="N4665" s="1">
        <v>38808</v>
      </c>
    </row>
    <row r="4666" spans="11:14" x14ac:dyDescent="0.3">
      <c r="K4666" s="1">
        <v>39173</v>
      </c>
      <c r="M4666" t="e">
        <v>#N/A</v>
      </c>
      <c r="N4666" s="1">
        <v>38808</v>
      </c>
    </row>
    <row r="4667" spans="11:14" x14ac:dyDescent="0.3">
      <c r="K4667" s="1">
        <v>39173</v>
      </c>
      <c r="M4667" t="e">
        <v>#N/A</v>
      </c>
      <c r="N4667" s="1">
        <v>38808</v>
      </c>
    </row>
    <row r="4668" spans="11:14" x14ac:dyDescent="0.3">
      <c r="K4668" s="1">
        <v>39173</v>
      </c>
      <c r="M4668" t="e">
        <v>#N/A</v>
      </c>
      <c r="N4668" s="1">
        <v>38808</v>
      </c>
    </row>
    <row r="4669" spans="11:14" x14ac:dyDescent="0.3">
      <c r="K4669" s="1">
        <v>39173</v>
      </c>
      <c r="M4669" t="e">
        <v>#N/A</v>
      </c>
      <c r="N4669" s="1">
        <v>38808</v>
      </c>
    </row>
    <row r="4670" spans="11:14" x14ac:dyDescent="0.3">
      <c r="K4670" s="1">
        <v>39173</v>
      </c>
      <c r="M4670" t="e">
        <v>#N/A</v>
      </c>
      <c r="N4670" s="1">
        <v>38808</v>
      </c>
    </row>
    <row r="4671" spans="11:14" x14ac:dyDescent="0.3">
      <c r="K4671" s="1">
        <v>39173</v>
      </c>
      <c r="M4671" t="e">
        <v>#N/A</v>
      </c>
      <c r="N4671" s="1">
        <v>38808</v>
      </c>
    </row>
    <row r="4672" spans="11:14" x14ac:dyDescent="0.3">
      <c r="K4672" s="1">
        <v>39173</v>
      </c>
      <c r="M4672" t="e">
        <v>#N/A</v>
      </c>
      <c r="N4672" s="1">
        <v>38808</v>
      </c>
    </row>
    <row r="4673" spans="11:14" x14ac:dyDescent="0.3">
      <c r="K4673" s="1">
        <v>39173</v>
      </c>
      <c r="M4673" t="e">
        <v>#N/A</v>
      </c>
      <c r="N4673" s="1">
        <v>38808</v>
      </c>
    </row>
    <row r="4674" spans="11:14" x14ac:dyDescent="0.3">
      <c r="K4674" s="1">
        <v>39173</v>
      </c>
      <c r="M4674" t="e">
        <v>#N/A</v>
      </c>
      <c r="N4674" s="1">
        <v>38808</v>
      </c>
    </row>
    <row r="4675" spans="11:14" x14ac:dyDescent="0.3">
      <c r="K4675" s="1">
        <v>39173</v>
      </c>
      <c r="M4675" t="e">
        <v>#N/A</v>
      </c>
      <c r="N4675" s="1">
        <v>38808</v>
      </c>
    </row>
    <row r="4676" spans="11:14" x14ac:dyDescent="0.3">
      <c r="K4676" s="1">
        <v>39173</v>
      </c>
      <c r="M4676" t="e">
        <v>#N/A</v>
      </c>
      <c r="N4676" s="1">
        <v>38808</v>
      </c>
    </row>
    <row r="4677" spans="11:14" x14ac:dyDescent="0.3">
      <c r="K4677" s="1">
        <v>39173</v>
      </c>
      <c r="M4677" t="e">
        <v>#N/A</v>
      </c>
      <c r="N4677" s="1">
        <v>38808</v>
      </c>
    </row>
    <row r="4678" spans="11:14" x14ac:dyDescent="0.3">
      <c r="K4678" s="1">
        <v>39173</v>
      </c>
      <c r="M4678" t="e">
        <v>#N/A</v>
      </c>
      <c r="N4678" s="1">
        <v>38808</v>
      </c>
    </row>
    <row r="4679" spans="11:14" x14ac:dyDescent="0.3">
      <c r="K4679" s="1">
        <v>39173</v>
      </c>
      <c r="M4679" t="e">
        <v>#N/A</v>
      </c>
      <c r="N4679" s="1">
        <v>38808</v>
      </c>
    </row>
    <row r="4680" spans="11:14" x14ac:dyDescent="0.3">
      <c r="K4680" s="1">
        <v>39173</v>
      </c>
      <c r="M4680" t="e">
        <v>#N/A</v>
      </c>
      <c r="N4680" s="1">
        <v>38808</v>
      </c>
    </row>
    <row r="4681" spans="11:14" x14ac:dyDescent="0.3">
      <c r="K4681" s="1">
        <v>39173</v>
      </c>
      <c r="M4681" t="e">
        <v>#N/A</v>
      </c>
      <c r="N4681" s="1">
        <v>38808</v>
      </c>
    </row>
    <row r="4682" spans="11:14" x14ac:dyDescent="0.3">
      <c r="K4682" s="1">
        <v>39173</v>
      </c>
      <c r="M4682" t="e">
        <v>#N/A</v>
      </c>
      <c r="N4682" s="1">
        <v>38808</v>
      </c>
    </row>
    <row r="4683" spans="11:14" x14ac:dyDescent="0.3">
      <c r="K4683" s="1">
        <v>39173</v>
      </c>
      <c r="M4683" t="e">
        <v>#N/A</v>
      </c>
      <c r="N4683" s="1">
        <v>38808</v>
      </c>
    </row>
    <row r="4684" spans="11:14" x14ac:dyDescent="0.3">
      <c r="K4684" s="1">
        <v>39173</v>
      </c>
      <c r="M4684" t="e">
        <v>#N/A</v>
      </c>
      <c r="N4684" s="1">
        <v>38808</v>
      </c>
    </row>
    <row r="4685" spans="11:14" x14ac:dyDescent="0.3">
      <c r="K4685" s="1">
        <v>39173</v>
      </c>
      <c r="M4685" t="e">
        <v>#N/A</v>
      </c>
      <c r="N4685" s="1">
        <v>38808</v>
      </c>
    </row>
    <row r="4686" spans="11:14" x14ac:dyDescent="0.3">
      <c r="K4686" s="1">
        <v>39173</v>
      </c>
      <c r="M4686" t="e">
        <v>#N/A</v>
      </c>
      <c r="N4686" s="1">
        <v>38808</v>
      </c>
    </row>
    <row r="4687" spans="11:14" x14ac:dyDescent="0.3">
      <c r="K4687" s="1">
        <v>39173</v>
      </c>
      <c r="M4687" t="e">
        <v>#N/A</v>
      </c>
      <c r="N4687" s="1">
        <v>38808</v>
      </c>
    </row>
    <row r="4688" spans="11:14" x14ac:dyDescent="0.3">
      <c r="K4688" s="1">
        <v>39173</v>
      </c>
      <c r="M4688" t="e">
        <v>#N/A</v>
      </c>
      <c r="N4688" s="1">
        <v>38808</v>
      </c>
    </row>
    <row r="4689" spans="11:14" x14ac:dyDescent="0.3">
      <c r="K4689" s="1">
        <v>39173</v>
      </c>
      <c r="M4689" t="e">
        <v>#N/A</v>
      </c>
      <c r="N4689" s="1">
        <v>38808</v>
      </c>
    </row>
    <row r="4690" spans="11:14" x14ac:dyDescent="0.3">
      <c r="K4690" s="1">
        <v>39173</v>
      </c>
      <c r="M4690" t="e">
        <v>#N/A</v>
      </c>
      <c r="N4690" s="1">
        <v>38808</v>
      </c>
    </row>
    <row r="4691" spans="11:14" x14ac:dyDescent="0.3">
      <c r="K4691" s="1">
        <v>39173</v>
      </c>
      <c r="M4691" t="e">
        <v>#N/A</v>
      </c>
      <c r="N4691" s="1">
        <v>38808</v>
      </c>
    </row>
    <row r="4692" spans="11:14" x14ac:dyDescent="0.3">
      <c r="K4692" s="1">
        <v>39173</v>
      </c>
      <c r="M4692" t="e">
        <v>#N/A</v>
      </c>
      <c r="N4692" s="1">
        <v>38808</v>
      </c>
    </row>
    <row r="4693" spans="11:14" x14ac:dyDescent="0.3">
      <c r="K4693" s="1">
        <v>39173</v>
      </c>
      <c r="M4693" t="e">
        <v>#N/A</v>
      </c>
      <c r="N4693" s="1">
        <v>38808</v>
      </c>
    </row>
    <row r="4694" spans="11:14" x14ac:dyDescent="0.3">
      <c r="K4694" s="1">
        <v>39173</v>
      </c>
      <c r="M4694" t="e">
        <v>#N/A</v>
      </c>
      <c r="N4694" s="1">
        <v>38808</v>
      </c>
    </row>
    <row r="4695" spans="11:14" x14ac:dyDescent="0.3">
      <c r="K4695" s="1">
        <v>39173</v>
      </c>
      <c r="M4695" t="e">
        <v>#N/A</v>
      </c>
      <c r="N4695" s="1">
        <v>38808</v>
      </c>
    </row>
    <row r="4696" spans="11:14" x14ac:dyDescent="0.3">
      <c r="K4696" s="1">
        <v>39173</v>
      </c>
      <c r="M4696" t="e">
        <v>#N/A</v>
      </c>
      <c r="N4696" s="1">
        <v>38808</v>
      </c>
    </row>
    <row r="4697" spans="11:14" x14ac:dyDescent="0.3">
      <c r="K4697" s="1">
        <v>39173</v>
      </c>
      <c r="M4697" t="e">
        <v>#N/A</v>
      </c>
      <c r="N4697" s="1">
        <v>38808</v>
      </c>
    </row>
    <row r="4698" spans="11:14" x14ac:dyDescent="0.3">
      <c r="K4698" s="1">
        <v>39173</v>
      </c>
      <c r="M4698" t="e">
        <v>#N/A</v>
      </c>
      <c r="N4698" s="1">
        <v>38808</v>
      </c>
    </row>
    <row r="4699" spans="11:14" x14ac:dyDescent="0.3">
      <c r="K4699" s="1">
        <v>39173</v>
      </c>
      <c r="M4699" t="e">
        <v>#N/A</v>
      </c>
      <c r="N4699" s="1">
        <v>38808</v>
      </c>
    </row>
    <row r="4700" spans="11:14" x14ac:dyDescent="0.3">
      <c r="K4700" s="1">
        <v>39173</v>
      </c>
      <c r="M4700" t="e">
        <v>#N/A</v>
      </c>
      <c r="N4700" s="1">
        <v>38808</v>
      </c>
    </row>
    <row r="4701" spans="11:14" x14ac:dyDescent="0.3">
      <c r="K4701" s="1">
        <v>39173</v>
      </c>
      <c r="M4701" t="e">
        <v>#N/A</v>
      </c>
      <c r="N4701" s="1">
        <v>38808</v>
      </c>
    </row>
    <row r="4702" spans="11:14" x14ac:dyDescent="0.3">
      <c r="K4702" s="1">
        <v>39173</v>
      </c>
      <c r="M4702" t="e">
        <v>#N/A</v>
      </c>
      <c r="N4702" s="1">
        <v>38808</v>
      </c>
    </row>
    <row r="4703" spans="11:14" x14ac:dyDescent="0.3">
      <c r="K4703" s="1">
        <v>39173</v>
      </c>
      <c r="M4703" t="e">
        <v>#N/A</v>
      </c>
      <c r="N4703" s="1">
        <v>38808</v>
      </c>
    </row>
    <row r="4704" spans="11:14" x14ac:dyDescent="0.3">
      <c r="K4704" s="1">
        <v>39173</v>
      </c>
      <c r="M4704" t="e">
        <v>#N/A</v>
      </c>
      <c r="N4704" s="1">
        <v>38808</v>
      </c>
    </row>
    <row r="4705" spans="11:14" x14ac:dyDescent="0.3">
      <c r="K4705" s="1">
        <v>39173</v>
      </c>
      <c r="M4705" t="e">
        <v>#N/A</v>
      </c>
      <c r="N4705" s="1">
        <v>38808</v>
      </c>
    </row>
    <row r="4706" spans="11:14" x14ac:dyDescent="0.3">
      <c r="K4706" s="1">
        <v>39173</v>
      </c>
      <c r="M4706" t="e">
        <v>#N/A</v>
      </c>
      <c r="N4706" s="1">
        <v>38808</v>
      </c>
    </row>
    <row r="4707" spans="11:14" x14ac:dyDescent="0.3">
      <c r="K4707" s="1">
        <v>39173</v>
      </c>
      <c r="M4707" t="e">
        <v>#N/A</v>
      </c>
      <c r="N4707" s="1">
        <v>38808</v>
      </c>
    </row>
    <row r="4708" spans="11:14" x14ac:dyDescent="0.3">
      <c r="K4708" s="1">
        <v>39173</v>
      </c>
      <c r="M4708" t="e">
        <v>#N/A</v>
      </c>
      <c r="N4708" s="1">
        <v>38808</v>
      </c>
    </row>
    <row r="4709" spans="11:14" x14ac:dyDescent="0.3">
      <c r="K4709" s="1">
        <v>39173</v>
      </c>
      <c r="M4709" t="e">
        <v>#N/A</v>
      </c>
      <c r="N4709" s="1">
        <v>38808</v>
      </c>
    </row>
    <row r="4710" spans="11:14" x14ac:dyDescent="0.3">
      <c r="K4710" s="1">
        <v>39173</v>
      </c>
      <c r="M4710" t="e">
        <v>#N/A</v>
      </c>
      <c r="N4710" s="1">
        <v>38808</v>
      </c>
    </row>
    <row r="4711" spans="11:14" x14ac:dyDescent="0.3">
      <c r="K4711" s="1">
        <v>39173</v>
      </c>
      <c r="M4711" t="e">
        <v>#N/A</v>
      </c>
      <c r="N4711" s="1">
        <v>38808</v>
      </c>
    </row>
    <row r="4712" spans="11:14" x14ac:dyDescent="0.3">
      <c r="K4712" s="1">
        <v>39173</v>
      </c>
      <c r="M4712" t="e">
        <v>#N/A</v>
      </c>
      <c r="N4712" s="1">
        <v>38808</v>
      </c>
    </row>
    <row r="4713" spans="11:14" x14ac:dyDescent="0.3">
      <c r="K4713" s="1">
        <v>39173</v>
      </c>
      <c r="M4713" t="e">
        <v>#N/A</v>
      </c>
      <c r="N4713" s="1">
        <v>38808</v>
      </c>
    </row>
    <row r="4714" spans="11:14" x14ac:dyDescent="0.3">
      <c r="K4714" s="1">
        <v>39173</v>
      </c>
      <c r="M4714" t="e">
        <v>#N/A</v>
      </c>
      <c r="N4714" s="1">
        <v>38808</v>
      </c>
    </row>
    <row r="4715" spans="11:14" x14ac:dyDescent="0.3">
      <c r="K4715" s="1">
        <v>39173</v>
      </c>
      <c r="M4715" t="e">
        <v>#N/A</v>
      </c>
      <c r="N4715" s="1">
        <v>38808</v>
      </c>
    </row>
    <row r="4716" spans="11:14" x14ac:dyDescent="0.3">
      <c r="K4716" s="1">
        <v>39173</v>
      </c>
      <c r="M4716" t="e">
        <v>#N/A</v>
      </c>
      <c r="N4716" s="1">
        <v>38808</v>
      </c>
    </row>
    <row r="4717" spans="11:14" x14ac:dyDescent="0.3">
      <c r="K4717" s="1">
        <v>39173</v>
      </c>
      <c r="M4717" t="e">
        <v>#N/A</v>
      </c>
      <c r="N4717" s="1">
        <v>38808</v>
      </c>
    </row>
    <row r="4718" spans="11:14" x14ac:dyDescent="0.3">
      <c r="K4718" s="1">
        <v>39173</v>
      </c>
      <c r="M4718" t="e">
        <v>#N/A</v>
      </c>
      <c r="N4718" s="1">
        <v>38808</v>
      </c>
    </row>
    <row r="4719" spans="11:14" x14ac:dyDescent="0.3">
      <c r="K4719" s="1">
        <v>39173</v>
      </c>
      <c r="M4719" t="e">
        <v>#N/A</v>
      </c>
      <c r="N4719" s="1">
        <v>38808</v>
      </c>
    </row>
    <row r="4720" spans="11:14" x14ac:dyDescent="0.3">
      <c r="K4720" s="1">
        <v>39173</v>
      </c>
      <c r="M4720" t="e">
        <v>#N/A</v>
      </c>
      <c r="N4720" s="1">
        <v>38808</v>
      </c>
    </row>
    <row r="4721" spans="11:14" x14ac:dyDescent="0.3">
      <c r="K4721" s="1">
        <v>39173</v>
      </c>
      <c r="M4721" t="e">
        <v>#N/A</v>
      </c>
      <c r="N4721" s="1">
        <v>38808</v>
      </c>
    </row>
    <row r="4722" spans="11:14" x14ac:dyDescent="0.3">
      <c r="K4722" s="1">
        <v>39173</v>
      </c>
      <c r="M4722" t="e">
        <v>#N/A</v>
      </c>
      <c r="N4722" s="1">
        <v>38808</v>
      </c>
    </row>
    <row r="4723" spans="11:14" x14ac:dyDescent="0.3">
      <c r="K4723" s="1">
        <v>39173</v>
      </c>
      <c r="M4723" t="e">
        <v>#N/A</v>
      </c>
      <c r="N4723" s="1">
        <v>38808</v>
      </c>
    </row>
    <row r="4724" spans="11:14" x14ac:dyDescent="0.3">
      <c r="K4724" s="1">
        <v>39173</v>
      </c>
      <c r="M4724" t="e">
        <v>#N/A</v>
      </c>
      <c r="N4724" s="1">
        <v>38808</v>
      </c>
    </row>
    <row r="4725" spans="11:14" x14ac:dyDescent="0.3">
      <c r="K4725" s="1">
        <v>39173</v>
      </c>
      <c r="M4725" t="e">
        <v>#N/A</v>
      </c>
      <c r="N4725" s="1">
        <v>38808</v>
      </c>
    </row>
    <row r="4726" spans="11:14" x14ac:dyDescent="0.3">
      <c r="K4726" s="1">
        <v>39173</v>
      </c>
      <c r="M4726" t="e">
        <v>#N/A</v>
      </c>
      <c r="N4726" s="1">
        <v>38808</v>
      </c>
    </row>
    <row r="4727" spans="11:14" x14ac:dyDescent="0.3">
      <c r="K4727" s="1">
        <v>39173</v>
      </c>
      <c r="M4727" t="e">
        <v>#N/A</v>
      </c>
      <c r="N4727" s="1">
        <v>38808</v>
      </c>
    </row>
    <row r="4728" spans="11:14" x14ac:dyDescent="0.3">
      <c r="K4728" s="1">
        <v>39173</v>
      </c>
      <c r="M4728" t="e">
        <v>#N/A</v>
      </c>
      <c r="N4728" s="1">
        <v>38808</v>
      </c>
    </row>
    <row r="4729" spans="11:14" x14ac:dyDescent="0.3">
      <c r="K4729" s="1">
        <v>39173</v>
      </c>
      <c r="M4729" t="e">
        <v>#N/A</v>
      </c>
      <c r="N4729" s="1">
        <v>38808</v>
      </c>
    </row>
    <row r="4730" spans="11:14" x14ac:dyDescent="0.3">
      <c r="K4730" s="1">
        <v>39264</v>
      </c>
      <c r="M4730" t="e">
        <v>#N/A</v>
      </c>
      <c r="N4730" s="1">
        <v>38808</v>
      </c>
    </row>
    <row r="4731" spans="11:14" x14ac:dyDescent="0.3">
      <c r="K4731" s="1">
        <v>39264</v>
      </c>
      <c r="M4731" t="e">
        <v>#N/A</v>
      </c>
      <c r="N4731" s="1">
        <v>38808</v>
      </c>
    </row>
    <row r="4732" spans="11:14" x14ac:dyDescent="0.3">
      <c r="K4732" s="1">
        <v>39264</v>
      </c>
      <c r="M4732" t="e">
        <v>#N/A</v>
      </c>
      <c r="N4732" s="1">
        <v>38808</v>
      </c>
    </row>
    <row r="4733" spans="11:14" x14ac:dyDescent="0.3">
      <c r="K4733" s="1">
        <v>39264</v>
      </c>
      <c r="M4733" t="e">
        <v>#N/A</v>
      </c>
      <c r="N4733" s="1">
        <v>38808</v>
      </c>
    </row>
    <row r="4734" spans="11:14" x14ac:dyDescent="0.3">
      <c r="K4734" s="1">
        <v>39264</v>
      </c>
      <c r="M4734" t="e">
        <v>#N/A</v>
      </c>
      <c r="N4734" s="1">
        <v>38808</v>
      </c>
    </row>
    <row r="4735" spans="11:14" x14ac:dyDescent="0.3">
      <c r="K4735" s="1">
        <v>39264</v>
      </c>
      <c r="M4735" t="e">
        <v>#N/A</v>
      </c>
      <c r="N4735" s="1">
        <v>38808</v>
      </c>
    </row>
    <row r="4736" spans="11:14" x14ac:dyDescent="0.3">
      <c r="K4736" s="1">
        <v>39264</v>
      </c>
      <c r="M4736" t="e">
        <v>#N/A</v>
      </c>
      <c r="N4736" s="1">
        <v>38808</v>
      </c>
    </row>
    <row r="4737" spans="11:14" x14ac:dyDescent="0.3">
      <c r="K4737" s="1">
        <v>39264</v>
      </c>
      <c r="M4737" t="e">
        <v>#N/A</v>
      </c>
      <c r="N4737" s="1">
        <v>38808</v>
      </c>
    </row>
    <row r="4738" spans="11:14" x14ac:dyDescent="0.3">
      <c r="K4738" s="1">
        <v>39264</v>
      </c>
      <c r="M4738" t="e">
        <v>#N/A</v>
      </c>
      <c r="N4738" s="1">
        <v>38808</v>
      </c>
    </row>
    <row r="4739" spans="11:14" x14ac:dyDescent="0.3">
      <c r="K4739" s="1">
        <v>39264</v>
      </c>
      <c r="M4739" t="e">
        <v>#N/A</v>
      </c>
      <c r="N4739" s="1">
        <v>38808</v>
      </c>
    </row>
    <row r="4740" spans="11:14" x14ac:dyDescent="0.3">
      <c r="K4740" s="1">
        <v>39264</v>
      </c>
      <c r="M4740" t="e">
        <v>#N/A</v>
      </c>
      <c r="N4740" s="1">
        <v>38808</v>
      </c>
    </row>
    <row r="4741" spans="11:14" x14ac:dyDescent="0.3">
      <c r="K4741" s="1">
        <v>39264</v>
      </c>
      <c r="M4741" t="e">
        <v>#N/A</v>
      </c>
      <c r="N4741" s="1">
        <v>38808</v>
      </c>
    </row>
    <row r="4742" spans="11:14" x14ac:dyDescent="0.3">
      <c r="K4742" s="1">
        <v>39264</v>
      </c>
      <c r="M4742" t="e">
        <v>#N/A</v>
      </c>
      <c r="N4742" s="1">
        <v>38808</v>
      </c>
    </row>
    <row r="4743" spans="11:14" x14ac:dyDescent="0.3">
      <c r="K4743" s="1">
        <v>39264</v>
      </c>
      <c r="M4743" t="e">
        <v>#N/A</v>
      </c>
      <c r="N4743" s="1">
        <v>38808</v>
      </c>
    </row>
    <row r="4744" spans="11:14" x14ac:dyDescent="0.3">
      <c r="K4744" s="1">
        <v>39264</v>
      </c>
      <c r="M4744" t="e">
        <v>#N/A</v>
      </c>
      <c r="N4744" s="1">
        <v>38808</v>
      </c>
    </row>
    <row r="4745" spans="11:14" x14ac:dyDescent="0.3">
      <c r="K4745" s="1">
        <v>39264</v>
      </c>
      <c r="M4745" t="e">
        <v>#N/A</v>
      </c>
      <c r="N4745" s="1">
        <v>38808</v>
      </c>
    </row>
    <row r="4746" spans="11:14" x14ac:dyDescent="0.3">
      <c r="K4746" s="1">
        <v>39264</v>
      </c>
      <c r="M4746" t="e">
        <v>#N/A</v>
      </c>
      <c r="N4746" s="1">
        <v>38808</v>
      </c>
    </row>
    <row r="4747" spans="11:14" x14ac:dyDescent="0.3">
      <c r="K4747" s="1">
        <v>39264</v>
      </c>
      <c r="M4747" t="e">
        <v>#N/A</v>
      </c>
      <c r="N4747" s="1">
        <v>38808</v>
      </c>
    </row>
    <row r="4748" spans="11:14" x14ac:dyDescent="0.3">
      <c r="K4748" s="1">
        <v>39264</v>
      </c>
      <c r="M4748" t="e">
        <v>#N/A</v>
      </c>
      <c r="N4748" s="1">
        <v>38808</v>
      </c>
    </row>
    <row r="4749" spans="11:14" x14ac:dyDescent="0.3">
      <c r="K4749" s="1">
        <v>39264</v>
      </c>
      <c r="M4749" t="e">
        <v>#N/A</v>
      </c>
      <c r="N4749" s="1">
        <v>38808</v>
      </c>
    </row>
    <row r="4750" spans="11:14" x14ac:dyDescent="0.3">
      <c r="K4750" s="1">
        <v>39264</v>
      </c>
      <c r="M4750" t="e">
        <v>#N/A</v>
      </c>
      <c r="N4750" s="1">
        <v>38808</v>
      </c>
    </row>
    <row r="4751" spans="11:14" x14ac:dyDescent="0.3">
      <c r="K4751" s="1">
        <v>39264</v>
      </c>
      <c r="M4751" t="e">
        <v>#N/A</v>
      </c>
      <c r="N4751" s="1">
        <v>38808</v>
      </c>
    </row>
    <row r="4752" spans="11:14" x14ac:dyDescent="0.3">
      <c r="K4752" s="1">
        <v>39264</v>
      </c>
      <c r="M4752" t="e">
        <v>#N/A</v>
      </c>
      <c r="N4752" s="1">
        <v>38808</v>
      </c>
    </row>
    <row r="4753" spans="11:14" x14ac:dyDescent="0.3">
      <c r="K4753" s="1">
        <v>39264</v>
      </c>
      <c r="M4753" t="e">
        <v>#N/A</v>
      </c>
      <c r="N4753" s="1">
        <v>38808</v>
      </c>
    </row>
    <row r="4754" spans="11:14" x14ac:dyDescent="0.3">
      <c r="K4754" s="1">
        <v>39264</v>
      </c>
      <c r="M4754" t="e">
        <v>#N/A</v>
      </c>
      <c r="N4754" s="1">
        <v>38808</v>
      </c>
    </row>
    <row r="4755" spans="11:14" x14ac:dyDescent="0.3">
      <c r="K4755" s="1">
        <v>39264</v>
      </c>
      <c r="M4755" t="e">
        <v>#N/A</v>
      </c>
      <c r="N4755" s="1">
        <v>38808</v>
      </c>
    </row>
    <row r="4756" spans="11:14" x14ac:dyDescent="0.3">
      <c r="K4756" s="1">
        <v>39264</v>
      </c>
      <c r="M4756" t="e">
        <v>#N/A</v>
      </c>
      <c r="N4756" s="1">
        <v>38808</v>
      </c>
    </row>
    <row r="4757" spans="11:14" x14ac:dyDescent="0.3">
      <c r="K4757" s="1">
        <v>39264</v>
      </c>
      <c r="M4757" t="e">
        <v>#N/A</v>
      </c>
      <c r="N4757" s="1">
        <v>38808</v>
      </c>
    </row>
    <row r="4758" spans="11:14" x14ac:dyDescent="0.3">
      <c r="K4758" s="1">
        <v>39264</v>
      </c>
      <c r="M4758" t="e">
        <v>#N/A</v>
      </c>
      <c r="N4758" s="1">
        <v>38808</v>
      </c>
    </row>
    <row r="4759" spans="11:14" x14ac:dyDescent="0.3">
      <c r="K4759" s="1">
        <v>39264</v>
      </c>
      <c r="M4759" t="e">
        <v>#N/A</v>
      </c>
      <c r="N4759" s="1">
        <v>38808</v>
      </c>
    </row>
    <row r="4760" spans="11:14" x14ac:dyDescent="0.3">
      <c r="K4760" s="1">
        <v>39264</v>
      </c>
      <c r="M4760" t="e">
        <v>#N/A</v>
      </c>
      <c r="N4760" s="1">
        <v>38808</v>
      </c>
    </row>
    <row r="4761" spans="11:14" x14ac:dyDescent="0.3">
      <c r="K4761" s="1">
        <v>39264</v>
      </c>
      <c r="M4761" t="e">
        <v>#N/A</v>
      </c>
      <c r="N4761" s="1">
        <v>38808</v>
      </c>
    </row>
    <row r="4762" spans="11:14" x14ac:dyDescent="0.3">
      <c r="K4762" s="1">
        <v>39264</v>
      </c>
      <c r="M4762" t="e">
        <v>#N/A</v>
      </c>
      <c r="N4762" s="1">
        <v>38808</v>
      </c>
    </row>
    <row r="4763" spans="11:14" x14ac:dyDescent="0.3">
      <c r="K4763" s="1">
        <v>39264</v>
      </c>
      <c r="M4763" t="e">
        <v>#N/A</v>
      </c>
      <c r="N4763" s="1">
        <v>38808</v>
      </c>
    </row>
    <row r="4764" spans="11:14" x14ac:dyDescent="0.3">
      <c r="K4764" s="1">
        <v>39264</v>
      </c>
      <c r="M4764" t="e">
        <v>#N/A</v>
      </c>
      <c r="N4764" s="1">
        <v>38808</v>
      </c>
    </row>
    <row r="4765" spans="11:14" x14ac:dyDescent="0.3">
      <c r="K4765" s="1">
        <v>39264</v>
      </c>
      <c r="M4765" t="e">
        <v>#N/A</v>
      </c>
      <c r="N4765" s="1">
        <v>38808</v>
      </c>
    </row>
    <row r="4766" spans="11:14" x14ac:dyDescent="0.3">
      <c r="K4766" s="1">
        <v>39264</v>
      </c>
      <c r="M4766" t="e">
        <v>#N/A</v>
      </c>
      <c r="N4766" s="1">
        <v>38808</v>
      </c>
    </row>
    <row r="4767" spans="11:14" x14ac:dyDescent="0.3">
      <c r="K4767" s="1">
        <v>39264</v>
      </c>
      <c r="M4767" t="e">
        <v>#N/A</v>
      </c>
      <c r="N4767" s="1">
        <v>38808</v>
      </c>
    </row>
    <row r="4768" spans="11:14" x14ac:dyDescent="0.3">
      <c r="K4768" s="1">
        <v>39264</v>
      </c>
      <c r="M4768" t="e">
        <v>#N/A</v>
      </c>
      <c r="N4768" s="1">
        <v>38808</v>
      </c>
    </row>
    <row r="4769" spans="11:14" x14ac:dyDescent="0.3">
      <c r="K4769" s="1">
        <v>39264</v>
      </c>
      <c r="M4769" t="e">
        <v>#N/A</v>
      </c>
      <c r="N4769" s="1">
        <v>38808</v>
      </c>
    </row>
    <row r="4770" spans="11:14" x14ac:dyDescent="0.3">
      <c r="K4770" s="1">
        <v>39264</v>
      </c>
      <c r="M4770" t="e">
        <v>#N/A</v>
      </c>
      <c r="N4770" s="1">
        <v>38808</v>
      </c>
    </row>
    <row r="4771" spans="11:14" x14ac:dyDescent="0.3">
      <c r="K4771" s="1">
        <v>39264</v>
      </c>
      <c r="M4771" t="e">
        <v>#N/A</v>
      </c>
      <c r="N4771" s="1">
        <v>38808</v>
      </c>
    </row>
    <row r="4772" spans="11:14" x14ac:dyDescent="0.3">
      <c r="K4772" s="1">
        <v>39264</v>
      </c>
      <c r="M4772" t="e">
        <v>#N/A</v>
      </c>
      <c r="N4772" s="1">
        <v>38808</v>
      </c>
    </row>
    <row r="4773" spans="11:14" x14ac:dyDescent="0.3">
      <c r="K4773" s="1">
        <v>39264</v>
      </c>
      <c r="M4773" t="e">
        <v>#N/A</v>
      </c>
      <c r="N4773" s="1">
        <v>38808</v>
      </c>
    </row>
    <row r="4774" spans="11:14" x14ac:dyDescent="0.3">
      <c r="K4774" s="1">
        <v>39264</v>
      </c>
      <c r="M4774" t="e">
        <v>#N/A</v>
      </c>
      <c r="N4774" s="1">
        <v>38808</v>
      </c>
    </row>
    <row r="4775" spans="11:14" x14ac:dyDescent="0.3">
      <c r="K4775" s="1">
        <v>39264</v>
      </c>
      <c r="M4775" t="e">
        <v>#N/A</v>
      </c>
      <c r="N4775" s="1">
        <v>38808</v>
      </c>
    </row>
    <row r="4776" spans="11:14" x14ac:dyDescent="0.3">
      <c r="K4776" s="1">
        <v>39264</v>
      </c>
      <c r="M4776" t="e">
        <v>#N/A</v>
      </c>
      <c r="N4776" s="1">
        <v>38808</v>
      </c>
    </row>
    <row r="4777" spans="11:14" x14ac:dyDescent="0.3">
      <c r="K4777" s="1">
        <v>39264</v>
      </c>
      <c r="M4777" t="e">
        <v>#N/A</v>
      </c>
      <c r="N4777" s="1">
        <v>38808</v>
      </c>
    </row>
    <row r="4778" spans="11:14" x14ac:dyDescent="0.3">
      <c r="K4778" s="1">
        <v>39264</v>
      </c>
      <c r="M4778" t="e">
        <v>#N/A</v>
      </c>
      <c r="N4778" s="1">
        <v>38808</v>
      </c>
    </row>
    <row r="4779" spans="11:14" x14ac:dyDescent="0.3">
      <c r="K4779" s="1">
        <v>39264</v>
      </c>
      <c r="M4779" t="e">
        <v>#N/A</v>
      </c>
      <c r="N4779" s="1">
        <v>38808</v>
      </c>
    </row>
    <row r="4780" spans="11:14" x14ac:dyDescent="0.3">
      <c r="K4780" s="1">
        <v>39264</v>
      </c>
      <c r="M4780" t="e">
        <v>#N/A</v>
      </c>
      <c r="N4780" s="1">
        <v>38808</v>
      </c>
    </row>
    <row r="4781" spans="11:14" x14ac:dyDescent="0.3">
      <c r="K4781" s="1">
        <v>39264</v>
      </c>
      <c r="M4781" t="e">
        <v>#N/A</v>
      </c>
      <c r="N4781" s="1">
        <v>38808</v>
      </c>
    </row>
    <row r="4782" spans="11:14" x14ac:dyDescent="0.3">
      <c r="K4782" s="1">
        <v>39264</v>
      </c>
      <c r="M4782" t="e">
        <v>#N/A</v>
      </c>
      <c r="N4782" s="1">
        <v>38808</v>
      </c>
    </row>
    <row r="4783" spans="11:14" x14ac:dyDescent="0.3">
      <c r="K4783" s="1">
        <v>39264</v>
      </c>
      <c r="M4783" t="e">
        <v>#N/A</v>
      </c>
      <c r="N4783" s="1">
        <v>38808</v>
      </c>
    </row>
    <row r="4784" spans="11:14" x14ac:dyDescent="0.3">
      <c r="K4784" s="1">
        <v>39264</v>
      </c>
      <c r="M4784" t="e">
        <v>#N/A</v>
      </c>
      <c r="N4784" s="1">
        <v>38808</v>
      </c>
    </row>
    <row r="4785" spans="11:14" x14ac:dyDescent="0.3">
      <c r="K4785" s="1">
        <v>39264</v>
      </c>
      <c r="M4785" t="e">
        <v>#N/A</v>
      </c>
      <c r="N4785" s="1">
        <v>38808</v>
      </c>
    </row>
    <row r="4786" spans="11:14" x14ac:dyDescent="0.3">
      <c r="K4786" s="1">
        <v>39264</v>
      </c>
      <c r="M4786" t="e">
        <v>#N/A</v>
      </c>
      <c r="N4786" s="1">
        <v>38808</v>
      </c>
    </row>
    <row r="4787" spans="11:14" x14ac:dyDescent="0.3">
      <c r="K4787" s="1">
        <v>39264</v>
      </c>
      <c r="M4787" t="e">
        <v>#N/A</v>
      </c>
      <c r="N4787" s="1">
        <v>38899</v>
      </c>
    </row>
    <row r="4788" spans="11:14" x14ac:dyDescent="0.3">
      <c r="K4788" s="1">
        <v>39264</v>
      </c>
      <c r="M4788" t="e">
        <v>#N/A</v>
      </c>
      <c r="N4788" s="1">
        <v>38899</v>
      </c>
    </row>
    <row r="4789" spans="11:14" x14ac:dyDescent="0.3">
      <c r="K4789" s="1">
        <v>39264</v>
      </c>
      <c r="M4789" t="e">
        <v>#N/A</v>
      </c>
      <c r="N4789" s="1">
        <v>38899</v>
      </c>
    </row>
    <row r="4790" spans="11:14" x14ac:dyDescent="0.3">
      <c r="K4790" s="1">
        <v>39264</v>
      </c>
      <c r="M4790" t="e">
        <v>#N/A</v>
      </c>
      <c r="N4790" s="1">
        <v>38899</v>
      </c>
    </row>
    <row r="4791" spans="11:14" x14ac:dyDescent="0.3">
      <c r="K4791" s="1">
        <v>39264</v>
      </c>
      <c r="M4791" t="e">
        <v>#N/A</v>
      </c>
      <c r="N4791" s="1">
        <v>38899</v>
      </c>
    </row>
    <row r="4792" spans="11:14" x14ac:dyDescent="0.3">
      <c r="K4792" s="1">
        <v>39264</v>
      </c>
      <c r="M4792" t="e">
        <v>#N/A</v>
      </c>
      <c r="N4792" s="1">
        <v>38899</v>
      </c>
    </row>
    <row r="4793" spans="11:14" x14ac:dyDescent="0.3">
      <c r="K4793" s="1">
        <v>39264</v>
      </c>
      <c r="M4793" t="e">
        <v>#N/A</v>
      </c>
      <c r="N4793" s="1">
        <v>38899</v>
      </c>
    </row>
    <row r="4794" spans="11:14" x14ac:dyDescent="0.3">
      <c r="K4794" s="1">
        <v>39264</v>
      </c>
      <c r="M4794" t="e">
        <v>#N/A</v>
      </c>
      <c r="N4794" s="1">
        <v>38899</v>
      </c>
    </row>
    <row r="4795" spans="11:14" x14ac:dyDescent="0.3">
      <c r="K4795" s="1">
        <v>39264</v>
      </c>
      <c r="M4795" t="e">
        <v>#N/A</v>
      </c>
      <c r="N4795" s="1">
        <v>38899</v>
      </c>
    </row>
    <row r="4796" spans="11:14" x14ac:dyDescent="0.3">
      <c r="K4796" s="1">
        <v>39264</v>
      </c>
      <c r="M4796" t="e">
        <v>#N/A</v>
      </c>
      <c r="N4796" s="1">
        <v>38899</v>
      </c>
    </row>
    <row r="4797" spans="11:14" x14ac:dyDescent="0.3">
      <c r="K4797" s="1">
        <v>39264</v>
      </c>
      <c r="M4797" t="e">
        <v>#N/A</v>
      </c>
      <c r="N4797" s="1">
        <v>38899</v>
      </c>
    </row>
    <row r="4798" spans="11:14" x14ac:dyDescent="0.3">
      <c r="K4798" s="1">
        <v>39264</v>
      </c>
      <c r="M4798" t="e">
        <v>#N/A</v>
      </c>
      <c r="N4798" s="1">
        <v>38899</v>
      </c>
    </row>
    <row r="4799" spans="11:14" x14ac:dyDescent="0.3">
      <c r="K4799" s="1">
        <v>39264</v>
      </c>
      <c r="M4799" t="e">
        <v>#N/A</v>
      </c>
      <c r="N4799" s="1">
        <v>38899</v>
      </c>
    </row>
    <row r="4800" spans="11:14" x14ac:dyDescent="0.3">
      <c r="K4800" s="1">
        <v>39264</v>
      </c>
      <c r="M4800" t="e">
        <v>#N/A</v>
      </c>
      <c r="N4800" s="1">
        <v>38899</v>
      </c>
    </row>
    <row r="4801" spans="11:14" x14ac:dyDescent="0.3">
      <c r="K4801" s="1">
        <v>39264</v>
      </c>
      <c r="M4801" t="e">
        <v>#N/A</v>
      </c>
      <c r="N4801" s="1">
        <v>38899</v>
      </c>
    </row>
    <row r="4802" spans="11:14" x14ac:dyDescent="0.3">
      <c r="K4802" s="1">
        <v>39264</v>
      </c>
      <c r="M4802" t="e">
        <v>#N/A</v>
      </c>
      <c r="N4802" s="1">
        <v>38899</v>
      </c>
    </row>
    <row r="4803" spans="11:14" x14ac:dyDescent="0.3">
      <c r="K4803" s="1">
        <v>39264</v>
      </c>
      <c r="M4803" t="e">
        <v>#N/A</v>
      </c>
      <c r="N4803" s="1">
        <v>38899</v>
      </c>
    </row>
    <row r="4804" spans="11:14" x14ac:dyDescent="0.3">
      <c r="K4804" s="1">
        <v>39264</v>
      </c>
      <c r="M4804" t="e">
        <v>#N/A</v>
      </c>
      <c r="N4804" s="1">
        <v>38899</v>
      </c>
    </row>
    <row r="4805" spans="11:14" x14ac:dyDescent="0.3">
      <c r="K4805" s="1">
        <v>39264</v>
      </c>
      <c r="M4805" t="e">
        <v>#N/A</v>
      </c>
      <c r="N4805" s="1">
        <v>38899</v>
      </c>
    </row>
    <row r="4806" spans="11:14" x14ac:dyDescent="0.3">
      <c r="K4806" s="1">
        <v>39264</v>
      </c>
      <c r="M4806" t="e">
        <v>#N/A</v>
      </c>
      <c r="N4806" s="1">
        <v>38899</v>
      </c>
    </row>
    <row r="4807" spans="11:14" x14ac:dyDescent="0.3">
      <c r="K4807" s="1">
        <v>39264</v>
      </c>
      <c r="M4807" t="e">
        <v>#N/A</v>
      </c>
      <c r="N4807" s="1">
        <v>38899</v>
      </c>
    </row>
    <row r="4808" spans="11:14" x14ac:dyDescent="0.3">
      <c r="K4808" s="1">
        <v>39264</v>
      </c>
      <c r="M4808" t="e">
        <v>#N/A</v>
      </c>
      <c r="N4808" s="1">
        <v>38899</v>
      </c>
    </row>
    <row r="4809" spans="11:14" x14ac:dyDescent="0.3">
      <c r="K4809" s="1">
        <v>39264</v>
      </c>
      <c r="M4809" t="e">
        <v>#N/A</v>
      </c>
      <c r="N4809" s="1">
        <v>38899</v>
      </c>
    </row>
    <row r="4810" spans="11:14" x14ac:dyDescent="0.3">
      <c r="K4810" s="1">
        <v>39264</v>
      </c>
      <c r="M4810" t="e">
        <v>#N/A</v>
      </c>
      <c r="N4810" s="1">
        <v>38899</v>
      </c>
    </row>
    <row r="4811" spans="11:14" x14ac:dyDescent="0.3">
      <c r="K4811" s="1">
        <v>39264</v>
      </c>
      <c r="M4811" t="e">
        <v>#N/A</v>
      </c>
      <c r="N4811" s="1">
        <v>38899</v>
      </c>
    </row>
    <row r="4812" spans="11:14" x14ac:dyDescent="0.3">
      <c r="K4812" s="1">
        <v>39264</v>
      </c>
      <c r="M4812" t="e">
        <v>#N/A</v>
      </c>
      <c r="N4812" s="1">
        <v>38899</v>
      </c>
    </row>
    <row r="4813" spans="11:14" x14ac:dyDescent="0.3">
      <c r="K4813" s="1">
        <v>39264</v>
      </c>
      <c r="M4813" t="e">
        <v>#N/A</v>
      </c>
      <c r="N4813" s="1">
        <v>38899</v>
      </c>
    </row>
    <row r="4814" spans="11:14" x14ac:dyDescent="0.3">
      <c r="K4814" s="1">
        <v>39264</v>
      </c>
      <c r="M4814" t="e">
        <v>#N/A</v>
      </c>
      <c r="N4814" s="1">
        <v>38899</v>
      </c>
    </row>
    <row r="4815" spans="11:14" x14ac:dyDescent="0.3">
      <c r="K4815" s="1">
        <v>39264</v>
      </c>
      <c r="M4815" t="e">
        <v>#N/A</v>
      </c>
      <c r="N4815" s="1">
        <v>38899</v>
      </c>
    </row>
    <row r="4816" spans="11:14" x14ac:dyDescent="0.3">
      <c r="K4816" s="1">
        <v>39264</v>
      </c>
      <c r="M4816" t="e">
        <v>#N/A</v>
      </c>
      <c r="N4816" s="1">
        <v>38899</v>
      </c>
    </row>
    <row r="4817" spans="11:14" x14ac:dyDescent="0.3">
      <c r="K4817" s="1">
        <v>39264</v>
      </c>
      <c r="M4817" t="e">
        <v>#N/A</v>
      </c>
      <c r="N4817" s="1">
        <v>38899</v>
      </c>
    </row>
    <row r="4818" spans="11:14" x14ac:dyDescent="0.3">
      <c r="K4818" s="1">
        <v>39264</v>
      </c>
      <c r="M4818" t="e">
        <v>#N/A</v>
      </c>
      <c r="N4818" s="1">
        <v>38899</v>
      </c>
    </row>
    <row r="4819" spans="11:14" x14ac:dyDescent="0.3">
      <c r="K4819" s="1">
        <v>39264</v>
      </c>
      <c r="M4819" t="e">
        <v>#N/A</v>
      </c>
      <c r="N4819" s="1">
        <v>38899</v>
      </c>
    </row>
    <row r="4820" spans="11:14" x14ac:dyDescent="0.3">
      <c r="K4820" s="1">
        <v>39264</v>
      </c>
      <c r="M4820" t="e">
        <v>#N/A</v>
      </c>
      <c r="N4820" s="1">
        <v>38899</v>
      </c>
    </row>
    <row r="4821" spans="11:14" x14ac:dyDescent="0.3">
      <c r="K4821" s="1">
        <v>39264</v>
      </c>
      <c r="M4821" t="e">
        <v>#N/A</v>
      </c>
      <c r="N4821" s="1">
        <v>38899</v>
      </c>
    </row>
    <row r="4822" spans="11:14" x14ac:dyDescent="0.3">
      <c r="K4822" s="1">
        <v>39264</v>
      </c>
      <c r="M4822" t="e">
        <v>#N/A</v>
      </c>
      <c r="N4822" s="1">
        <v>38899</v>
      </c>
    </row>
    <row r="4823" spans="11:14" x14ac:dyDescent="0.3">
      <c r="K4823" s="1">
        <v>39264</v>
      </c>
      <c r="M4823" t="e">
        <v>#N/A</v>
      </c>
      <c r="N4823" s="1">
        <v>38899</v>
      </c>
    </row>
    <row r="4824" spans="11:14" x14ac:dyDescent="0.3">
      <c r="K4824" s="1">
        <v>39264</v>
      </c>
      <c r="M4824" t="e">
        <v>#N/A</v>
      </c>
      <c r="N4824" s="1">
        <v>38899</v>
      </c>
    </row>
    <row r="4825" spans="11:14" x14ac:dyDescent="0.3">
      <c r="K4825" s="1">
        <v>39264</v>
      </c>
      <c r="M4825" t="e">
        <v>#N/A</v>
      </c>
      <c r="N4825" s="1">
        <v>38899</v>
      </c>
    </row>
    <row r="4826" spans="11:14" x14ac:dyDescent="0.3">
      <c r="K4826" s="1">
        <v>39264</v>
      </c>
      <c r="M4826" t="e">
        <v>#N/A</v>
      </c>
      <c r="N4826" s="1">
        <v>38899</v>
      </c>
    </row>
    <row r="4827" spans="11:14" x14ac:dyDescent="0.3">
      <c r="K4827" s="1">
        <v>39264</v>
      </c>
      <c r="M4827" t="e">
        <v>#N/A</v>
      </c>
      <c r="N4827" s="1">
        <v>38899</v>
      </c>
    </row>
    <row r="4828" spans="11:14" x14ac:dyDescent="0.3">
      <c r="K4828" s="1">
        <v>39264</v>
      </c>
      <c r="M4828" t="e">
        <v>#N/A</v>
      </c>
      <c r="N4828" s="1">
        <v>38899</v>
      </c>
    </row>
    <row r="4829" spans="11:14" x14ac:dyDescent="0.3">
      <c r="K4829" s="1">
        <v>39264</v>
      </c>
      <c r="M4829" t="e">
        <v>#N/A</v>
      </c>
      <c r="N4829" s="1">
        <v>38899</v>
      </c>
    </row>
    <row r="4830" spans="11:14" x14ac:dyDescent="0.3">
      <c r="K4830" s="1">
        <v>39264</v>
      </c>
      <c r="M4830" t="e">
        <v>#N/A</v>
      </c>
      <c r="N4830" s="1">
        <v>38899</v>
      </c>
    </row>
    <row r="4831" spans="11:14" x14ac:dyDescent="0.3">
      <c r="K4831" s="1">
        <v>39264</v>
      </c>
      <c r="M4831" t="e">
        <v>#N/A</v>
      </c>
      <c r="N4831" s="1">
        <v>38899</v>
      </c>
    </row>
    <row r="4832" spans="11:14" x14ac:dyDescent="0.3">
      <c r="K4832" s="1">
        <v>39264</v>
      </c>
      <c r="M4832" t="e">
        <v>#N/A</v>
      </c>
      <c r="N4832" s="1">
        <v>38899</v>
      </c>
    </row>
    <row r="4833" spans="11:14" x14ac:dyDescent="0.3">
      <c r="K4833" s="1">
        <v>39264</v>
      </c>
      <c r="M4833" t="e">
        <v>#N/A</v>
      </c>
      <c r="N4833" s="1">
        <v>38899</v>
      </c>
    </row>
    <row r="4834" spans="11:14" x14ac:dyDescent="0.3">
      <c r="K4834" s="1">
        <v>39264</v>
      </c>
      <c r="M4834" t="e">
        <v>#N/A</v>
      </c>
      <c r="N4834" s="1">
        <v>38899</v>
      </c>
    </row>
    <row r="4835" spans="11:14" x14ac:dyDescent="0.3">
      <c r="K4835" s="1">
        <v>39264</v>
      </c>
      <c r="M4835" t="e">
        <v>#N/A</v>
      </c>
      <c r="N4835" s="1">
        <v>38899</v>
      </c>
    </row>
    <row r="4836" spans="11:14" x14ac:dyDescent="0.3">
      <c r="K4836" s="1">
        <v>39264</v>
      </c>
      <c r="M4836" t="e">
        <v>#N/A</v>
      </c>
      <c r="N4836" s="1">
        <v>38899</v>
      </c>
    </row>
    <row r="4837" spans="11:14" x14ac:dyDescent="0.3">
      <c r="K4837" s="1">
        <v>39264</v>
      </c>
      <c r="M4837" t="e">
        <v>#N/A</v>
      </c>
      <c r="N4837" s="1">
        <v>38899</v>
      </c>
    </row>
    <row r="4838" spans="11:14" x14ac:dyDescent="0.3">
      <c r="K4838" s="1">
        <v>39264</v>
      </c>
      <c r="M4838" t="e">
        <v>#N/A</v>
      </c>
      <c r="N4838" s="1">
        <v>38899</v>
      </c>
    </row>
    <row r="4839" spans="11:14" x14ac:dyDescent="0.3">
      <c r="K4839" s="1">
        <v>39264</v>
      </c>
      <c r="M4839" t="e">
        <v>#N/A</v>
      </c>
      <c r="N4839" s="1">
        <v>38899</v>
      </c>
    </row>
    <row r="4840" spans="11:14" x14ac:dyDescent="0.3">
      <c r="K4840" s="1">
        <v>39264</v>
      </c>
      <c r="M4840" t="e">
        <v>#N/A</v>
      </c>
      <c r="N4840" s="1">
        <v>38899</v>
      </c>
    </row>
    <row r="4841" spans="11:14" x14ac:dyDescent="0.3">
      <c r="K4841" s="1">
        <v>39264</v>
      </c>
      <c r="M4841" t="e">
        <v>#N/A</v>
      </c>
      <c r="N4841" s="1">
        <v>38899</v>
      </c>
    </row>
    <row r="4842" spans="11:14" x14ac:dyDescent="0.3">
      <c r="K4842" s="1">
        <v>39264</v>
      </c>
      <c r="M4842" t="e">
        <v>#N/A</v>
      </c>
      <c r="N4842" s="1">
        <v>38899</v>
      </c>
    </row>
    <row r="4843" spans="11:14" x14ac:dyDescent="0.3">
      <c r="K4843" s="1">
        <v>39264</v>
      </c>
      <c r="M4843" t="e">
        <v>#N/A</v>
      </c>
      <c r="N4843" s="1">
        <v>38899</v>
      </c>
    </row>
    <row r="4844" spans="11:14" x14ac:dyDescent="0.3">
      <c r="K4844" s="1">
        <v>39264</v>
      </c>
      <c r="M4844" t="e">
        <v>#N/A</v>
      </c>
      <c r="N4844" s="1">
        <v>38899</v>
      </c>
    </row>
    <row r="4845" spans="11:14" x14ac:dyDescent="0.3">
      <c r="K4845" s="1">
        <v>39264</v>
      </c>
      <c r="M4845" t="e">
        <v>#N/A</v>
      </c>
      <c r="N4845" s="1">
        <v>38899</v>
      </c>
    </row>
    <row r="4846" spans="11:14" x14ac:dyDescent="0.3">
      <c r="K4846" s="1">
        <v>39264</v>
      </c>
      <c r="M4846" t="e">
        <v>#N/A</v>
      </c>
      <c r="N4846" s="1">
        <v>38899</v>
      </c>
    </row>
    <row r="4847" spans="11:14" x14ac:dyDescent="0.3">
      <c r="K4847" s="1">
        <v>39264</v>
      </c>
      <c r="M4847" t="e">
        <v>#N/A</v>
      </c>
      <c r="N4847" s="1">
        <v>38899</v>
      </c>
    </row>
    <row r="4848" spans="11:14" x14ac:dyDescent="0.3">
      <c r="K4848" s="1">
        <v>39264</v>
      </c>
      <c r="M4848" t="e">
        <v>#N/A</v>
      </c>
      <c r="N4848" s="1">
        <v>38899</v>
      </c>
    </row>
    <row r="4849" spans="11:14" x14ac:dyDescent="0.3">
      <c r="K4849" s="1">
        <v>39264</v>
      </c>
      <c r="M4849" t="e">
        <v>#N/A</v>
      </c>
      <c r="N4849" s="1">
        <v>38899</v>
      </c>
    </row>
    <row r="4850" spans="11:14" x14ac:dyDescent="0.3">
      <c r="K4850" s="1">
        <v>39264</v>
      </c>
      <c r="M4850" t="e">
        <v>#N/A</v>
      </c>
      <c r="N4850" s="1">
        <v>38899</v>
      </c>
    </row>
    <row r="4851" spans="11:14" x14ac:dyDescent="0.3">
      <c r="K4851" s="1">
        <v>39264</v>
      </c>
      <c r="M4851" t="e">
        <v>#N/A</v>
      </c>
      <c r="N4851" s="1">
        <v>38899</v>
      </c>
    </row>
    <row r="4852" spans="11:14" x14ac:dyDescent="0.3">
      <c r="K4852" s="1">
        <v>39264</v>
      </c>
      <c r="M4852" t="e">
        <v>#N/A</v>
      </c>
      <c r="N4852" s="1">
        <v>38899</v>
      </c>
    </row>
    <row r="4853" spans="11:14" x14ac:dyDescent="0.3">
      <c r="K4853" s="1">
        <v>39264</v>
      </c>
      <c r="M4853" t="e">
        <v>#N/A</v>
      </c>
      <c r="N4853" s="1">
        <v>38899</v>
      </c>
    </row>
    <row r="4854" spans="11:14" x14ac:dyDescent="0.3">
      <c r="K4854" s="1">
        <v>39264</v>
      </c>
      <c r="M4854" t="e">
        <v>#N/A</v>
      </c>
      <c r="N4854" s="1">
        <v>38899</v>
      </c>
    </row>
    <row r="4855" spans="11:14" x14ac:dyDescent="0.3">
      <c r="K4855" s="1">
        <v>39264</v>
      </c>
      <c r="M4855" t="e">
        <v>#N/A</v>
      </c>
      <c r="N4855" s="1">
        <v>38899</v>
      </c>
    </row>
    <row r="4856" spans="11:14" x14ac:dyDescent="0.3">
      <c r="K4856" s="1">
        <v>39264</v>
      </c>
      <c r="M4856" t="e">
        <v>#N/A</v>
      </c>
      <c r="N4856" s="1">
        <v>38899</v>
      </c>
    </row>
    <row r="4857" spans="11:14" x14ac:dyDescent="0.3">
      <c r="K4857" s="1">
        <v>39264</v>
      </c>
      <c r="M4857" t="e">
        <v>#N/A</v>
      </c>
      <c r="N4857" s="1">
        <v>38899</v>
      </c>
    </row>
    <row r="4858" spans="11:14" x14ac:dyDescent="0.3">
      <c r="K4858" s="1">
        <v>39264</v>
      </c>
      <c r="M4858" t="e">
        <v>#N/A</v>
      </c>
      <c r="N4858" s="1">
        <v>38899</v>
      </c>
    </row>
    <row r="4859" spans="11:14" x14ac:dyDescent="0.3">
      <c r="K4859" s="1">
        <v>39264</v>
      </c>
      <c r="M4859" t="e">
        <v>#N/A</v>
      </c>
      <c r="N4859" s="1">
        <v>38899</v>
      </c>
    </row>
    <row r="4860" spans="11:14" x14ac:dyDescent="0.3">
      <c r="K4860" s="1">
        <v>39264</v>
      </c>
      <c r="M4860" t="e">
        <v>#N/A</v>
      </c>
      <c r="N4860" s="1">
        <v>38899</v>
      </c>
    </row>
    <row r="4861" spans="11:14" x14ac:dyDescent="0.3">
      <c r="K4861" s="1">
        <v>39264</v>
      </c>
      <c r="M4861" t="e">
        <v>#N/A</v>
      </c>
      <c r="N4861" s="1">
        <v>38899</v>
      </c>
    </row>
    <row r="4862" spans="11:14" x14ac:dyDescent="0.3">
      <c r="K4862" s="1">
        <v>39264</v>
      </c>
      <c r="M4862" t="e">
        <v>#N/A</v>
      </c>
      <c r="N4862" s="1">
        <v>38899</v>
      </c>
    </row>
    <row r="4863" spans="11:14" x14ac:dyDescent="0.3">
      <c r="K4863" s="1">
        <v>39264</v>
      </c>
      <c r="M4863" t="e">
        <v>#N/A</v>
      </c>
      <c r="N4863" s="1">
        <v>38899</v>
      </c>
    </row>
    <row r="4864" spans="11:14" x14ac:dyDescent="0.3">
      <c r="K4864" s="1">
        <v>39264</v>
      </c>
      <c r="M4864" t="e">
        <v>#N/A</v>
      </c>
      <c r="N4864" s="1">
        <v>38899</v>
      </c>
    </row>
    <row r="4865" spans="11:14" x14ac:dyDescent="0.3">
      <c r="K4865" s="1">
        <v>39264</v>
      </c>
      <c r="M4865" t="e">
        <v>#N/A</v>
      </c>
      <c r="N4865" s="1">
        <v>38899</v>
      </c>
    </row>
    <row r="4866" spans="11:14" x14ac:dyDescent="0.3">
      <c r="K4866" s="1">
        <v>39264</v>
      </c>
      <c r="M4866" t="e">
        <v>#N/A</v>
      </c>
      <c r="N4866" s="1">
        <v>38899</v>
      </c>
    </row>
    <row r="4867" spans="11:14" x14ac:dyDescent="0.3">
      <c r="K4867" s="1">
        <v>39264</v>
      </c>
      <c r="M4867" t="e">
        <v>#N/A</v>
      </c>
      <c r="N4867" s="1">
        <v>38899</v>
      </c>
    </row>
    <row r="4868" spans="11:14" x14ac:dyDescent="0.3">
      <c r="K4868" s="1">
        <v>39264</v>
      </c>
      <c r="M4868" t="e">
        <v>#N/A</v>
      </c>
      <c r="N4868" s="1">
        <v>38899</v>
      </c>
    </row>
    <row r="4869" spans="11:14" x14ac:dyDescent="0.3">
      <c r="K4869" s="1">
        <v>39264</v>
      </c>
      <c r="M4869" t="e">
        <v>#N/A</v>
      </c>
      <c r="N4869" s="1">
        <v>38899</v>
      </c>
    </row>
    <row r="4870" spans="11:14" x14ac:dyDescent="0.3">
      <c r="K4870" s="1">
        <v>39264</v>
      </c>
      <c r="M4870" t="e">
        <v>#N/A</v>
      </c>
      <c r="N4870" s="1">
        <v>38899</v>
      </c>
    </row>
    <row r="4871" spans="11:14" x14ac:dyDescent="0.3">
      <c r="K4871" s="1">
        <v>39264</v>
      </c>
      <c r="M4871" t="e">
        <v>#N/A</v>
      </c>
      <c r="N4871" s="1">
        <v>38899</v>
      </c>
    </row>
    <row r="4872" spans="11:14" x14ac:dyDescent="0.3">
      <c r="K4872" s="1">
        <v>39264</v>
      </c>
      <c r="M4872" t="e">
        <v>#N/A</v>
      </c>
      <c r="N4872" s="1">
        <v>38899</v>
      </c>
    </row>
    <row r="4873" spans="11:14" x14ac:dyDescent="0.3">
      <c r="K4873" s="1">
        <v>39264</v>
      </c>
      <c r="M4873" t="e">
        <v>#N/A</v>
      </c>
      <c r="N4873" s="1">
        <v>38899</v>
      </c>
    </row>
    <row r="4874" spans="11:14" x14ac:dyDescent="0.3">
      <c r="K4874" s="1">
        <v>39264</v>
      </c>
      <c r="M4874" t="e">
        <v>#N/A</v>
      </c>
      <c r="N4874" s="1">
        <v>38899</v>
      </c>
    </row>
    <row r="4875" spans="11:14" x14ac:dyDescent="0.3">
      <c r="K4875" s="1">
        <v>39264</v>
      </c>
      <c r="M4875" t="e">
        <v>#N/A</v>
      </c>
      <c r="N4875" s="1">
        <v>38899</v>
      </c>
    </row>
    <row r="4876" spans="11:14" x14ac:dyDescent="0.3">
      <c r="K4876" s="1">
        <v>39264</v>
      </c>
      <c r="M4876" t="e">
        <v>#N/A</v>
      </c>
      <c r="N4876" s="1">
        <v>38899</v>
      </c>
    </row>
    <row r="4877" spans="11:14" x14ac:dyDescent="0.3">
      <c r="K4877" s="1">
        <v>39264</v>
      </c>
      <c r="M4877" t="e">
        <v>#N/A</v>
      </c>
      <c r="N4877" s="1">
        <v>38899</v>
      </c>
    </row>
    <row r="4878" spans="11:14" x14ac:dyDescent="0.3">
      <c r="K4878" s="1">
        <v>39264</v>
      </c>
      <c r="M4878" t="e">
        <v>#N/A</v>
      </c>
      <c r="N4878" s="1">
        <v>38899</v>
      </c>
    </row>
    <row r="4879" spans="11:14" x14ac:dyDescent="0.3">
      <c r="K4879" s="1">
        <v>39264</v>
      </c>
      <c r="M4879" t="e">
        <v>#N/A</v>
      </c>
      <c r="N4879" s="1">
        <v>38899</v>
      </c>
    </row>
    <row r="4880" spans="11:14" x14ac:dyDescent="0.3">
      <c r="K4880" s="1">
        <v>39264</v>
      </c>
      <c r="M4880" t="e">
        <v>#N/A</v>
      </c>
      <c r="N4880" s="1">
        <v>38899</v>
      </c>
    </row>
    <row r="4881" spans="11:14" x14ac:dyDescent="0.3">
      <c r="K4881" s="1">
        <v>39264</v>
      </c>
      <c r="M4881" t="e">
        <v>#N/A</v>
      </c>
      <c r="N4881" s="1">
        <v>38899</v>
      </c>
    </row>
    <row r="4882" spans="11:14" x14ac:dyDescent="0.3">
      <c r="K4882" s="1">
        <v>39264</v>
      </c>
      <c r="M4882" t="e">
        <v>#N/A</v>
      </c>
      <c r="N4882" s="1">
        <v>38899</v>
      </c>
    </row>
    <row r="4883" spans="11:14" x14ac:dyDescent="0.3">
      <c r="K4883" s="1">
        <v>39264</v>
      </c>
      <c r="M4883" t="e">
        <v>#N/A</v>
      </c>
      <c r="N4883" s="1">
        <v>38899</v>
      </c>
    </row>
    <row r="4884" spans="11:14" x14ac:dyDescent="0.3">
      <c r="K4884" s="1">
        <v>39264</v>
      </c>
      <c r="M4884" t="e">
        <v>#N/A</v>
      </c>
      <c r="N4884" s="1">
        <v>38899</v>
      </c>
    </row>
    <row r="4885" spans="11:14" x14ac:dyDescent="0.3">
      <c r="K4885" s="1">
        <v>39264</v>
      </c>
      <c r="M4885" t="e">
        <v>#N/A</v>
      </c>
      <c r="N4885" s="1">
        <v>38899</v>
      </c>
    </row>
    <row r="4886" spans="11:14" x14ac:dyDescent="0.3">
      <c r="K4886" s="1">
        <v>39264</v>
      </c>
      <c r="M4886" t="e">
        <v>#N/A</v>
      </c>
      <c r="N4886" s="1">
        <v>38899</v>
      </c>
    </row>
    <row r="4887" spans="11:14" x14ac:dyDescent="0.3">
      <c r="K4887" s="1">
        <v>39264</v>
      </c>
      <c r="M4887" t="e">
        <v>#N/A</v>
      </c>
      <c r="N4887" s="1">
        <v>38899</v>
      </c>
    </row>
    <row r="4888" spans="11:14" x14ac:dyDescent="0.3">
      <c r="K4888" s="1">
        <v>39264</v>
      </c>
      <c r="M4888" t="e">
        <v>#N/A</v>
      </c>
      <c r="N4888" s="1">
        <v>38899</v>
      </c>
    </row>
    <row r="4889" spans="11:14" x14ac:dyDescent="0.3">
      <c r="K4889" s="1">
        <v>39264</v>
      </c>
      <c r="M4889" t="e">
        <v>#N/A</v>
      </c>
      <c r="N4889" s="1">
        <v>38899</v>
      </c>
    </row>
    <row r="4890" spans="11:14" x14ac:dyDescent="0.3">
      <c r="K4890" s="1">
        <v>39264</v>
      </c>
      <c r="M4890" t="e">
        <v>#N/A</v>
      </c>
      <c r="N4890" s="1">
        <v>38899</v>
      </c>
    </row>
    <row r="4891" spans="11:14" x14ac:dyDescent="0.3">
      <c r="K4891" s="1">
        <v>39264</v>
      </c>
      <c r="M4891" t="e">
        <v>#N/A</v>
      </c>
      <c r="N4891" s="1">
        <v>38899</v>
      </c>
    </row>
    <row r="4892" spans="11:14" x14ac:dyDescent="0.3">
      <c r="K4892" s="1">
        <v>39264</v>
      </c>
      <c r="M4892" t="e">
        <v>#N/A</v>
      </c>
      <c r="N4892" s="1">
        <v>38899</v>
      </c>
    </row>
    <row r="4893" spans="11:14" x14ac:dyDescent="0.3">
      <c r="K4893" s="1">
        <v>39264</v>
      </c>
      <c r="M4893" t="e">
        <v>#N/A</v>
      </c>
      <c r="N4893" s="1">
        <v>38899</v>
      </c>
    </row>
    <row r="4894" spans="11:14" x14ac:dyDescent="0.3">
      <c r="K4894" s="1">
        <v>39264</v>
      </c>
      <c r="M4894" t="e">
        <v>#N/A</v>
      </c>
      <c r="N4894" s="1">
        <v>38899</v>
      </c>
    </row>
    <row r="4895" spans="11:14" x14ac:dyDescent="0.3">
      <c r="K4895" s="1">
        <v>39264</v>
      </c>
      <c r="M4895" t="e">
        <v>#N/A</v>
      </c>
      <c r="N4895" s="1">
        <v>38899</v>
      </c>
    </row>
    <row r="4896" spans="11:14" x14ac:dyDescent="0.3">
      <c r="K4896" s="1">
        <v>39264</v>
      </c>
      <c r="M4896" t="e">
        <v>#N/A</v>
      </c>
      <c r="N4896" s="1">
        <v>38899</v>
      </c>
    </row>
    <row r="4897" spans="11:14" x14ac:dyDescent="0.3">
      <c r="K4897" s="1">
        <v>39264</v>
      </c>
      <c r="M4897" t="e">
        <v>#N/A</v>
      </c>
      <c r="N4897" s="1">
        <v>38899</v>
      </c>
    </row>
    <row r="4898" spans="11:14" x14ac:dyDescent="0.3">
      <c r="K4898" s="1">
        <v>39264</v>
      </c>
      <c r="M4898" t="e">
        <v>#N/A</v>
      </c>
      <c r="N4898" s="1">
        <v>38899</v>
      </c>
    </row>
    <row r="4899" spans="11:14" x14ac:dyDescent="0.3">
      <c r="K4899" s="1">
        <v>39264</v>
      </c>
      <c r="M4899" t="e">
        <v>#N/A</v>
      </c>
      <c r="N4899" s="1">
        <v>38899</v>
      </c>
    </row>
    <row r="4900" spans="11:14" x14ac:dyDescent="0.3">
      <c r="K4900" s="1">
        <v>39264</v>
      </c>
      <c r="M4900" t="e">
        <v>#N/A</v>
      </c>
      <c r="N4900" s="1">
        <v>38899</v>
      </c>
    </row>
    <row r="4901" spans="11:14" x14ac:dyDescent="0.3">
      <c r="K4901" s="1">
        <v>39264</v>
      </c>
      <c r="M4901" t="e">
        <v>#N/A</v>
      </c>
      <c r="N4901" s="1">
        <v>38899</v>
      </c>
    </row>
    <row r="4902" spans="11:14" x14ac:dyDescent="0.3">
      <c r="K4902" s="1">
        <v>39264</v>
      </c>
      <c r="M4902" t="e">
        <v>#N/A</v>
      </c>
      <c r="N4902" s="1">
        <v>38899</v>
      </c>
    </row>
    <row r="4903" spans="11:14" x14ac:dyDescent="0.3">
      <c r="K4903" s="1">
        <v>39264</v>
      </c>
      <c r="M4903" t="e">
        <v>#N/A</v>
      </c>
      <c r="N4903" s="1">
        <v>38899</v>
      </c>
    </row>
    <row r="4904" spans="11:14" x14ac:dyDescent="0.3">
      <c r="K4904" s="1">
        <v>39264</v>
      </c>
      <c r="M4904" t="e">
        <v>#N/A</v>
      </c>
      <c r="N4904" s="1">
        <v>38899</v>
      </c>
    </row>
    <row r="4905" spans="11:14" x14ac:dyDescent="0.3">
      <c r="K4905" s="1">
        <v>39264</v>
      </c>
      <c r="M4905" t="e">
        <v>#N/A</v>
      </c>
      <c r="N4905" s="1">
        <v>38899</v>
      </c>
    </row>
    <row r="4906" spans="11:14" x14ac:dyDescent="0.3">
      <c r="K4906" s="1">
        <v>39264</v>
      </c>
      <c r="M4906" t="e">
        <v>#N/A</v>
      </c>
      <c r="N4906" s="1">
        <v>38899</v>
      </c>
    </row>
    <row r="4907" spans="11:14" x14ac:dyDescent="0.3">
      <c r="K4907" s="1">
        <v>39264</v>
      </c>
      <c r="M4907" t="e">
        <v>#N/A</v>
      </c>
      <c r="N4907" s="1">
        <v>38899</v>
      </c>
    </row>
    <row r="4908" spans="11:14" x14ac:dyDescent="0.3">
      <c r="K4908" s="1">
        <v>39264</v>
      </c>
      <c r="M4908" t="e">
        <v>#N/A</v>
      </c>
      <c r="N4908" s="1">
        <v>38899</v>
      </c>
    </row>
    <row r="4909" spans="11:14" x14ac:dyDescent="0.3">
      <c r="K4909" s="1">
        <v>39264</v>
      </c>
      <c r="M4909" t="e">
        <v>#N/A</v>
      </c>
      <c r="N4909" s="1">
        <v>38899</v>
      </c>
    </row>
    <row r="4910" spans="11:14" x14ac:dyDescent="0.3">
      <c r="K4910" s="1">
        <v>39264</v>
      </c>
      <c r="M4910" t="e">
        <v>#N/A</v>
      </c>
      <c r="N4910" s="1">
        <v>38899</v>
      </c>
    </row>
    <row r="4911" spans="11:14" x14ac:dyDescent="0.3">
      <c r="K4911" s="1">
        <v>39264</v>
      </c>
      <c r="M4911" t="e">
        <v>#N/A</v>
      </c>
      <c r="N4911" s="1">
        <v>38899</v>
      </c>
    </row>
    <row r="4912" spans="11:14" x14ac:dyDescent="0.3">
      <c r="K4912" s="1">
        <v>39264</v>
      </c>
      <c r="M4912" t="e">
        <v>#N/A</v>
      </c>
      <c r="N4912" s="1">
        <v>38899</v>
      </c>
    </row>
    <row r="4913" spans="11:14" x14ac:dyDescent="0.3">
      <c r="K4913" s="1">
        <v>39264</v>
      </c>
      <c r="M4913" t="e">
        <v>#N/A</v>
      </c>
      <c r="N4913" s="1">
        <v>38899</v>
      </c>
    </row>
    <row r="4914" spans="11:14" x14ac:dyDescent="0.3">
      <c r="K4914" s="1">
        <v>39264</v>
      </c>
      <c r="M4914" t="e">
        <v>#N/A</v>
      </c>
      <c r="N4914" s="1">
        <v>38899</v>
      </c>
    </row>
    <row r="4915" spans="11:14" x14ac:dyDescent="0.3">
      <c r="K4915" s="1">
        <v>39264</v>
      </c>
      <c r="M4915" t="e">
        <v>#N/A</v>
      </c>
      <c r="N4915" s="1">
        <v>38899</v>
      </c>
    </row>
    <row r="4916" spans="11:14" x14ac:dyDescent="0.3">
      <c r="K4916" s="1">
        <v>39264</v>
      </c>
      <c r="M4916" t="e">
        <v>#N/A</v>
      </c>
      <c r="N4916" s="1">
        <v>38899</v>
      </c>
    </row>
    <row r="4917" spans="11:14" x14ac:dyDescent="0.3">
      <c r="K4917" s="1">
        <v>39264</v>
      </c>
      <c r="M4917" t="e">
        <v>#N/A</v>
      </c>
      <c r="N4917" s="1">
        <v>38899</v>
      </c>
    </row>
    <row r="4918" spans="11:14" x14ac:dyDescent="0.3">
      <c r="K4918" s="1">
        <v>39264</v>
      </c>
      <c r="M4918" t="e">
        <v>#N/A</v>
      </c>
      <c r="N4918" s="1">
        <v>38899</v>
      </c>
    </row>
    <row r="4919" spans="11:14" x14ac:dyDescent="0.3">
      <c r="K4919" s="1">
        <v>39264</v>
      </c>
      <c r="M4919" t="e">
        <v>#N/A</v>
      </c>
      <c r="N4919" s="1">
        <v>38899</v>
      </c>
    </row>
    <row r="4920" spans="11:14" x14ac:dyDescent="0.3">
      <c r="K4920" s="1">
        <v>39264</v>
      </c>
      <c r="M4920" t="e">
        <v>#N/A</v>
      </c>
      <c r="N4920" s="1">
        <v>38899</v>
      </c>
    </row>
    <row r="4921" spans="11:14" x14ac:dyDescent="0.3">
      <c r="K4921" s="1">
        <v>39264</v>
      </c>
      <c r="M4921" t="e">
        <v>#N/A</v>
      </c>
      <c r="N4921" s="1">
        <v>38899</v>
      </c>
    </row>
    <row r="4922" spans="11:14" x14ac:dyDescent="0.3">
      <c r="K4922" s="1">
        <v>39264</v>
      </c>
      <c r="M4922" t="e">
        <v>#N/A</v>
      </c>
      <c r="N4922" s="1">
        <v>38899</v>
      </c>
    </row>
    <row r="4923" spans="11:14" x14ac:dyDescent="0.3">
      <c r="K4923" s="1">
        <v>39264</v>
      </c>
      <c r="M4923" t="e">
        <v>#N/A</v>
      </c>
      <c r="N4923" s="1">
        <v>38899</v>
      </c>
    </row>
    <row r="4924" spans="11:14" x14ac:dyDescent="0.3">
      <c r="K4924" s="1">
        <v>39264</v>
      </c>
      <c r="M4924" t="e">
        <v>#N/A</v>
      </c>
      <c r="N4924" s="1">
        <v>38899</v>
      </c>
    </row>
    <row r="4925" spans="11:14" x14ac:dyDescent="0.3">
      <c r="K4925" s="1">
        <v>39264</v>
      </c>
      <c r="M4925" t="e">
        <v>#N/A</v>
      </c>
      <c r="N4925" s="1">
        <v>38899</v>
      </c>
    </row>
    <row r="4926" spans="11:14" x14ac:dyDescent="0.3">
      <c r="K4926" s="1">
        <v>39264</v>
      </c>
      <c r="M4926" t="e">
        <v>#N/A</v>
      </c>
      <c r="N4926" s="1">
        <v>38899</v>
      </c>
    </row>
    <row r="4927" spans="11:14" x14ac:dyDescent="0.3">
      <c r="K4927" s="1">
        <v>39264</v>
      </c>
      <c r="M4927" t="e">
        <v>#N/A</v>
      </c>
      <c r="N4927" s="1">
        <v>38899</v>
      </c>
    </row>
    <row r="4928" spans="11:14" x14ac:dyDescent="0.3">
      <c r="K4928" s="1">
        <v>39264</v>
      </c>
      <c r="M4928" t="e">
        <v>#N/A</v>
      </c>
      <c r="N4928" s="1">
        <v>38899</v>
      </c>
    </row>
    <row r="4929" spans="11:14" x14ac:dyDescent="0.3">
      <c r="K4929" s="1">
        <v>39264</v>
      </c>
      <c r="M4929" t="e">
        <v>#N/A</v>
      </c>
      <c r="N4929" s="1">
        <v>38899</v>
      </c>
    </row>
    <row r="4930" spans="11:14" x14ac:dyDescent="0.3">
      <c r="K4930" s="1">
        <v>39264</v>
      </c>
      <c r="M4930" t="e">
        <v>#N/A</v>
      </c>
      <c r="N4930" s="1">
        <v>38899</v>
      </c>
    </row>
    <row r="4931" spans="11:14" x14ac:dyDescent="0.3">
      <c r="K4931" s="1">
        <v>39264</v>
      </c>
      <c r="M4931" t="e">
        <v>#N/A</v>
      </c>
      <c r="N4931" s="1">
        <v>38899</v>
      </c>
    </row>
    <row r="4932" spans="11:14" x14ac:dyDescent="0.3">
      <c r="K4932" s="1">
        <v>39264</v>
      </c>
      <c r="M4932" t="e">
        <v>#N/A</v>
      </c>
      <c r="N4932" s="1">
        <v>38899</v>
      </c>
    </row>
    <row r="4933" spans="11:14" x14ac:dyDescent="0.3">
      <c r="K4933" s="1">
        <v>39264</v>
      </c>
      <c r="M4933" t="e">
        <v>#N/A</v>
      </c>
      <c r="N4933" s="1">
        <v>38899</v>
      </c>
    </row>
    <row r="4934" spans="11:14" x14ac:dyDescent="0.3">
      <c r="K4934" s="1">
        <v>39264</v>
      </c>
      <c r="M4934" t="e">
        <v>#N/A</v>
      </c>
      <c r="N4934" s="1">
        <v>38899</v>
      </c>
    </row>
    <row r="4935" spans="11:14" x14ac:dyDescent="0.3">
      <c r="K4935" s="1">
        <v>39264</v>
      </c>
      <c r="M4935" t="e">
        <v>#N/A</v>
      </c>
      <c r="N4935" s="1">
        <v>38899</v>
      </c>
    </row>
    <row r="4936" spans="11:14" x14ac:dyDescent="0.3">
      <c r="K4936" s="1">
        <v>39264</v>
      </c>
      <c r="M4936" t="e">
        <v>#N/A</v>
      </c>
      <c r="N4936" s="1">
        <v>38899</v>
      </c>
    </row>
    <row r="4937" spans="11:14" x14ac:dyDescent="0.3">
      <c r="K4937" s="1">
        <v>39264</v>
      </c>
      <c r="M4937" t="e">
        <v>#N/A</v>
      </c>
      <c r="N4937" s="1">
        <v>38899</v>
      </c>
    </row>
    <row r="4938" spans="11:14" x14ac:dyDescent="0.3">
      <c r="K4938" s="1">
        <v>39264</v>
      </c>
      <c r="M4938" t="e">
        <v>#N/A</v>
      </c>
      <c r="N4938" s="1">
        <v>38899</v>
      </c>
    </row>
    <row r="4939" spans="11:14" x14ac:dyDescent="0.3">
      <c r="K4939" s="1">
        <v>39264</v>
      </c>
      <c r="M4939" t="e">
        <v>#N/A</v>
      </c>
      <c r="N4939" s="1">
        <v>38899</v>
      </c>
    </row>
    <row r="4940" spans="11:14" x14ac:dyDescent="0.3">
      <c r="K4940" s="1">
        <v>39264</v>
      </c>
      <c r="M4940" t="e">
        <v>#N/A</v>
      </c>
      <c r="N4940" s="1">
        <v>38899</v>
      </c>
    </row>
    <row r="4941" spans="11:14" x14ac:dyDescent="0.3">
      <c r="K4941" s="1">
        <v>39264</v>
      </c>
      <c r="M4941" t="e">
        <v>#N/A</v>
      </c>
      <c r="N4941" s="1">
        <v>38899</v>
      </c>
    </row>
    <row r="4942" spans="11:14" x14ac:dyDescent="0.3">
      <c r="K4942" s="1">
        <v>39264</v>
      </c>
      <c r="M4942" t="e">
        <v>#N/A</v>
      </c>
      <c r="N4942" s="1">
        <v>38899</v>
      </c>
    </row>
    <row r="4943" spans="11:14" x14ac:dyDescent="0.3">
      <c r="K4943" s="1">
        <v>39264</v>
      </c>
      <c r="M4943" t="e">
        <v>#N/A</v>
      </c>
      <c r="N4943" s="1">
        <v>38899</v>
      </c>
    </row>
    <row r="4944" spans="11:14" x14ac:dyDescent="0.3">
      <c r="K4944" s="1">
        <v>39264</v>
      </c>
      <c r="M4944" t="e">
        <v>#N/A</v>
      </c>
      <c r="N4944" s="1">
        <v>38899</v>
      </c>
    </row>
    <row r="4945" spans="11:14" x14ac:dyDescent="0.3">
      <c r="K4945" s="1">
        <v>39264</v>
      </c>
      <c r="M4945" t="e">
        <v>#N/A</v>
      </c>
      <c r="N4945" s="1">
        <v>38899</v>
      </c>
    </row>
    <row r="4946" spans="11:14" x14ac:dyDescent="0.3">
      <c r="K4946" s="1">
        <v>39264</v>
      </c>
      <c r="M4946" t="e">
        <v>#N/A</v>
      </c>
      <c r="N4946" s="1">
        <v>38899</v>
      </c>
    </row>
    <row r="4947" spans="11:14" x14ac:dyDescent="0.3">
      <c r="K4947" s="1">
        <v>39264</v>
      </c>
      <c r="M4947" t="e">
        <v>#N/A</v>
      </c>
      <c r="N4947" s="1">
        <v>38899</v>
      </c>
    </row>
    <row r="4948" spans="11:14" x14ac:dyDescent="0.3">
      <c r="K4948" s="1">
        <v>39264</v>
      </c>
      <c r="M4948" t="e">
        <v>#N/A</v>
      </c>
      <c r="N4948" s="1">
        <v>38899</v>
      </c>
    </row>
    <row r="4949" spans="11:14" x14ac:dyDescent="0.3">
      <c r="K4949" s="1">
        <v>39264</v>
      </c>
      <c r="M4949" t="e">
        <v>#N/A</v>
      </c>
      <c r="N4949" s="1">
        <v>38899</v>
      </c>
    </row>
    <row r="4950" spans="11:14" x14ac:dyDescent="0.3">
      <c r="K4950" s="1">
        <v>39264</v>
      </c>
      <c r="M4950" t="e">
        <v>#N/A</v>
      </c>
      <c r="N4950" s="1">
        <v>38899</v>
      </c>
    </row>
    <row r="4951" spans="11:14" x14ac:dyDescent="0.3">
      <c r="K4951" s="1">
        <v>39264</v>
      </c>
      <c r="M4951" t="e">
        <v>#N/A</v>
      </c>
      <c r="N4951" s="1">
        <v>38899</v>
      </c>
    </row>
    <row r="4952" spans="11:14" x14ac:dyDescent="0.3">
      <c r="K4952" s="1">
        <v>39264</v>
      </c>
      <c r="M4952" t="e">
        <v>#N/A</v>
      </c>
      <c r="N4952" s="1">
        <v>38899</v>
      </c>
    </row>
    <row r="4953" spans="11:14" x14ac:dyDescent="0.3">
      <c r="K4953" s="1">
        <v>39264</v>
      </c>
      <c r="M4953" t="e">
        <v>#N/A</v>
      </c>
      <c r="N4953" s="1">
        <v>38899</v>
      </c>
    </row>
    <row r="4954" spans="11:14" x14ac:dyDescent="0.3">
      <c r="K4954" s="1">
        <v>39264</v>
      </c>
      <c r="M4954" t="e">
        <v>#N/A</v>
      </c>
      <c r="N4954" s="1">
        <v>38899</v>
      </c>
    </row>
    <row r="4955" spans="11:14" x14ac:dyDescent="0.3">
      <c r="K4955" s="1">
        <v>39264</v>
      </c>
      <c r="M4955" t="e">
        <v>#N/A</v>
      </c>
      <c r="N4955" s="1">
        <v>38899</v>
      </c>
    </row>
    <row r="4956" spans="11:14" x14ac:dyDescent="0.3">
      <c r="K4956" s="1">
        <v>39264</v>
      </c>
      <c r="M4956" t="e">
        <v>#N/A</v>
      </c>
      <c r="N4956" s="1">
        <v>38899</v>
      </c>
    </row>
    <row r="4957" spans="11:14" x14ac:dyDescent="0.3">
      <c r="K4957" s="1">
        <v>39264</v>
      </c>
      <c r="M4957" t="e">
        <v>#N/A</v>
      </c>
      <c r="N4957" s="1">
        <v>38899</v>
      </c>
    </row>
    <row r="4958" spans="11:14" x14ac:dyDescent="0.3">
      <c r="K4958" s="1">
        <v>39264</v>
      </c>
      <c r="M4958" t="e">
        <v>#N/A</v>
      </c>
      <c r="N4958" s="1">
        <v>38899</v>
      </c>
    </row>
    <row r="4959" spans="11:14" x14ac:dyDescent="0.3">
      <c r="K4959" s="1">
        <v>39264</v>
      </c>
      <c r="M4959" t="e">
        <v>#N/A</v>
      </c>
      <c r="N4959" s="1">
        <v>38899</v>
      </c>
    </row>
    <row r="4960" spans="11:14" x14ac:dyDescent="0.3">
      <c r="K4960" s="1">
        <v>39264</v>
      </c>
      <c r="M4960" t="e">
        <v>#N/A</v>
      </c>
      <c r="N4960" s="1">
        <v>38899</v>
      </c>
    </row>
    <row r="4961" spans="11:14" x14ac:dyDescent="0.3">
      <c r="K4961" s="1">
        <v>39264</v>
      </c>
      <c r="M4961" t="e">
        <v>#N/A</v>
      </c>
      <c r="N4961" s="1">
        <v>38899</v>
      </c>
    </row>
    <row r="4962" spans="11:14" x14ac:dyDescent="0.3">
      <c r="K4962" s="1">
        <v>39264</v>
      </c>
      <c r="M4962" t="e">
        <v>#N/A</v>
      </c>
      <c r="N4962" s="1">
        <v>38899</v>
      </c>
    </row>
    <row r="4963" spans="11:14" x14ac:dyDescent="0.3">
      <c r="K4963" s="1">
        <v>39264</v>
      </c>
      <c r="M4963" t="e">
        <v>#N/A</v>
      </c>
      <c r="N4963" s="1">
        <v>38899</v>
      </c>
    </row>
    <row r="4964" spans="11:14" x14ac:dyDescent="0.3">
      <c r="K4964" s="1">
        <v>39264</v>
      </c>
      <c r="M4964" t="e">
        <v>#N/A</v>
      </c>
      <c r="N4964" s="1">
        <v>38899</v>
      </c>
    </row>
    <row r="4965" spans="11:14" x14ac:dyDescent="0.3">
      <c r="K4965" s="1">
        <v>39264</v>
      </c>
      <c r="M4965" t="e">
        <v>#N/A</v>
      </c>
      <c r="N4965" s="1">
        <v>38899</v>
      </c>
    </row>
    <row r="4966" spans="11:14" x14ac:dyDescent="0.3">
      <c r="K4966" s="1">
        <v>39264</v>
      </c>
      <c r="M4966" t="e">
        <v>#N/A</v>
      </c>
      <c r="N4966" s="1">
        <v>38899</v>
      </c>
    </row>
    <row r="4967" spans="11:14" x14ac:dyDescent="0.3">
      <c r="K4967" s="1">
        <v>39264</v>
      </c>
      <c r="M4967" t="e">
        <v>#N/A</v>
      </c>
      <c r="N4967" s="1">
        <v>38899</v>
      </c>
    </row>
    <row r="4968" spans="11:14" x14ac:dyDescent="0.3">
      <c r="K4968" s="1">
        <v>39264</v>
      </c>
      <c r="M4968" t="e">
        <v>#N/A</v>
      </c>
      <c r="N4968" s="1">
        <v>38899</v>
      </c>
    </row>
    <row r="4969" spans="11:14" x14ac:dyDescent="0.3">
      <c r="K4969" s="1">
        <v>39264</v>
      </c>
      <c r="M4969" t="e">
        <v>#N/A</v>
      </c>
      <c r="N4969" s="1">
        <v>38899</v>
      </c>
    </row>
    <row r="4970" spans="11:14" x14ac:dyDescent="0.3">
      <c r="K4970" s="1">
        <v>39264</v>
      </c>
      <c r="M4970" t="e">
        <v>#N/A</v>
      </c>
      <c r="N4970" s="1">
        <v>38899</v>
      </c>
    </row>
    <row r="4971" spans="11:14" x14ac:dyDescent="0.3">
      <c r="K4971" s="1">
        <v>39264</v>
      </c>
      <c r="M4971" t="e">
        <v>#N/A</v>
      </c>
      <c r="N4971" s="1">
        <v>38899</v>
      </c>
    </row>
    <row r="4972" spans="11:14" x14ac:dyDescent="0.3">
      <c r="K4972" s="1">
        <v>39264</v>
      </c>
      <c r="M4972" t="e">
        <v>#N/A</v>
      </c>
      <c r="N4972" s="1">
        <v>38899</v>
      </c>
    </row>
    <row r="4973" spans="11:14" x14ac:dyDescent="0.3">
      <c r="K4973" s="1">
        <v>39264</v>
      </c>
      <c r="M4973" t="e">
        <v>#N/A</v>
      </c>
      <c r="N4973" s="1">
        <v>38899</v>
      </c>
    </row>
    <row r="4974" spans="11:14" x14ac:dyDescent="0.3">
      <c r="K4974" s="1">
        <v>39264</v>
      </c>
      <c r="M4974" t="e">
        <v>#N/A</v>
      </c>
      <c r="N4974" s="1">
        <v>38899</v>
      </c>
    </row>
    <row r="4975" spans="11:14" x14ac:dyDescent="0.3">
      <c r="K4975" s="1">
        <v>39264</v>
      </c>
      <c r="M4975" t="e">
        <v>#N/A</v>
      </c>
      <c r="N4975" s="1">
        <v>38899</v>
      </c>
    </row>
    <row r="4976" spans="11:14" x14ac:dyDescent="0.3">
      <c r="K4976" s="1">
        <v>39264</v>
      </c>
      <c r="M4976" t="e">
        <v>#N/A</v>
      </c>
      <c r="N4976" s="1">
        <v>38899</v>
      </c>
    </row>
    <row r="4977" spans="11:14" x14ac:dyDescent="0.3">
      <c r="K4977" s="1">
        <v>39264</v>
      </c>
      <c r="M4977" t="e">
        <v>#N/A</v>
      </c>
      <c r="N4977" s="1">
        <v>38899</v>
      </c>
    </row>
    <row r="4978" spans="11:14" x14ac:dyDescent="0.3">
      <c r="K4978" s="1">
        <v>39264</v>
      </c>
      <c r="M4978" t="e">
        <v>#N/A</v>
      </c>
      <c r="N4978" s="1">
        <v>38899</v>
      </c>
    </row>
    <row r="4979" spans="11:14" x14ac:dyDescent="0.3">
      <c r="K4979" s="1">
        <v>39264</v>
      </c>
      <c r="M4979" t="e">
        <v>#N/A</v>
      </c>
      <c r="N4979" s="1">
        <v>38899</v>
      </c>
    </row>
    <row r="4980" spans="11:14" x14ac:dyDescent="0.3">
      <c r="K4980" s="1">
        <v>39264</v>
      </c>
      <c r="M4980" t="e">
        <v>#N/A</v>
      </c>
      <c r="N4980" s="1">
        <v>38899</v>
      </c>
    </row>
    <row r="4981" spans="11:14" x14ac:dyDescent="0.3">
      <c r="K4981" s="1">
        <v>39264</v>
      </c>
      <c r="M4981" t="e">
        <v>#N/A</v>
      </c>
      <c r="N4981" s="1">
        <v>38899</v>
      </c>
    </row>
    <row r="4982" spans="11:14" x14ac:dyDescent="0.3">
      <c r="K4982" s="1">
        <v>39264</v>
      </c>
      <c r="M4982" t="e">
        <v>#N/A</v>
      </c>
      <c r="N4982" s="1">
        <v>38899</v>
      </c>
    </row>
    <row r="4983" spans="11:14" x14ac:dyDescent="0.3">
      <c r="K4983" s="1">
        <v>39264</v>
      </c>
      <c r="M4983" t="e">
        <v>#N/A</v>
      </c>
      <c r="N4983" s="1">
        <v>38899</v>
      </c>
    </row>
    <row r="4984" spans="11:14" x14ac:dyDescent="0.3">
      <c r="K4984" s="1">
        <v>39264</v>
      </c>
      <c r="M4984" t="e">
        <v>#N/A</v>
      </c>
      <c r="N4984" s="1">
        <v>38899</v>
      </c>
    </row>
    <row r="4985" spans="11:14" x14ac:dyDescent="0.3">
      <c r="K4985" s="1">
        <v>39264</v>
      </c>
      <c r="M4985" t="e">
        <v>#N/A</v>
      </c>
      <c r="N4985" s="1">
        <v>38899</v>
      </c>
    </row>
    <row r="4986" spans="11:14" x14ac:dyDescent="0.3">
      <c r="K4986" s="1">
        <v>39264</v>
      </c>
      <c r="M4986" t="e">
        <v>#N/A</v>
      </c>
      <c r="N4986" s="1">
        <v>38899</v>
      </c>
    </row>
    <row r="4987" spans="11:14" x14ac:dyDescent="0.3">
      <c r="K4987" s="1">
        <v>39264</v>
      </c>
      <c r="M4987" t="e">
        <v>#N/A</v>
      </c>
      <c r="N4987" s="1">
        <v>38899</v>
      </c>
    </row>
    <row r="4988" spans="11:14" x14ac:dyDescent="0.3">
      <c r="K4988" s="1">
        <v>39264</v>
      </c>
      <c r="M4988" t="e">
        <v>#N/A</v>
      </c>
      <c r="N4988" s="1">
        <v>38899</v>
      </c>
    </row>
    <row r="4989" spans="11:14" x14ac:dyDescent="0.3">
      <c r="K4989" s="1">
        <v>39264</v>
      </c>
      <c r="M4989" t="e">
        <v>#N/A</v>
      </c>
      <c r="N4989" s="1">
        <v>38899</v>
      </c>
    </row>
    <row r="4990" spans="11:14" x14ac:dyDescent="0.3">
      <c r="K4990" s="1">
        <v>39264</v>
      </c>
      <c r="M4990" t="e">
        <v>#N/A</v>
      </c>
      <c r="N4990" s="1">
        <v>38899</v>
      </c>
    </row>
    <row r="4991" spans="11:14" x14ac:dyDescent="0.3">
      <c r="K4991" s="1">
        <v>39264</v>
      </c>
      <c r="M4991" t="e">
        <v>#N/A</v>
      </c>
      <c r="N4991" s="1">
        <v>38899</v>
      </c>
    </row>
    <row r="4992" spans="11:14" x14ac:dyDescent="0.3">
      <c r="K4992" s="1">
        <v>39264</v>
      </c>
      <c r="M4992" t="e">
        <v>#N/A</v>
      </c>
      <c r="N4992" s="1">
        <v>38899</v>
      </c>
    </row>
    <row r="4993" spans="11:14" x14ac:dyDescent="0.3">
      <c r="K4993" s="1">
        <v>39264</v>
      </c>
      <c r="M4993" t="e">
        <v>#N/A</v>
      </c>
      <c r="N4993" s="1">
        <v>38899</v>
      </c>
    </row>
    <row r="4994" spans="11:14" x14ac:dyDescent="0.3">
      <c r="K4994" s="1">
        <v>39264</v>
      </c>
      <c r="M4994" t="e">
        <v>#N/A</v>
      </c>
      <c r="N4994" s="1">
        <v>38899</v>
      </c>
    </row>
    <row r="4995" spans="11:14" x14ac:dyDescent="0.3">
      <c r="K4995" s="1">
        <v>39264</v>
      </c>
      <c r="M4995" t="e">
        <v>#N/A</v>
      </c>
      <c r="N4995" s="1">
        <v>38899</v>
      </c>
    </row>
    <row r="4996" spans="11:14" x14ac:dyDescent="0.3">
      <c r="K4996" s="1">
        <v>39264</v>
      </c>
      <c r="M4996" t="e">
        <v>#N/A</v>
      </c>
      <c r="N4996" s="1">
        <v>38899</v>
      </c>
    </row>
    <row r="4997" spans="11:14" x14ac:dyDescent="0.3">
      <c r="K4997" s="1">
        <v>39264</v>
      </c>
      <c r="M4997" t="e">
        <v>#N/A</v>
      </c>
      <c r="N4997" s="1">
        <v>38899</v>
      </c>
    </row>
    <row r="4998" spans="11:14" x14ac:dyDescent="0.3">
      <c r="K4998" s="1">
        <v>39264</v>
      </c>
      <c r="M4998" t="e">
        <v>#N/A</v>
      </c>
      <c r="N4998" s="1">
        <v>38899</v>
      </c>
    </row>
    <row r="4999" spans="11:14" x14ac:dyDescent="0.3">
      <c r="K4999" s="1">
        <v>39264</v>
      </c>
      <c r="M4999" t="e">
        <v>#N/A</v>
      </c>
      <c r="N4999" s="1">
        <v>38899</v>
      </c>
    </row>
    <row r="5000" spans="11:14" x14ac:dyDescent="0.3">
      <c r="K5000" s="1">
        <v>39264</v>
      </c>
      <c r="M5000" t="e">
        <v>#N/A</v>
      </c>
      <c r="N5000" s="1">
        <v>38899</v>
      </c>
    </row>
    <row r="5001" spans="11:14" x14ac:dyDescent="0.3">
      <c r="K5001" s="1">
        <v>39264</v>
      </c>
      <c r="M5001" t="e">
        <v>#N/A</v>
      </c>
      <c r="N5001" s="1">
        <v>38899</v>
      </c>
    </row>
    <row r="5002" spans="11:14" x14ac:dyDescent="0.3">
      <c r="K5002" s="1">
        <v>39264</v>
      </c>
      <c r="M5002" t="e">
        <v>#N/A</v>
      </c>
      <c r="N5002" s="1">
        <v>38899</v>
      </c>
    </row>
    <row r="5003" spans="11:14" x14ac:dyDescent="0.3">
      <c r="K5003" s="1">
        <v>39264</v>
      </c>
      <c r="M5003" t="e">
        <v>#N/A</v>
      </c>
      <c r="N5003" s="1">
        <v>38899</v>
      </c>
    </row>
    <row r="5004" spans="11:14" x14ac:dyDescent="0.3">
      <c r="K5004" s="1">
        <v>39264</v>
      </c>
      <c r="M5004" t="e">
        <v>#N/A</v>
      </c>
      <c r="N5004" s="1">
        <v>38899</v>
      </c>
    </row>
    <row r="5005" spans="11:14" x14ac:dyDescent="0.3">
      <c r="K5005" s="1">
        <v>39264</v>
      </c>
      <c r="M5005" t="e">
        <v>#N/A</v>
      </c>
      <c r="N5005" s="1">
        <v>38899</v>
      </c>
    </row>
    <row r="5006" spans="11:14" x14ac:dyDescent="0.3">
      <c r="K5006" s="1">
        <v>39264</v>
      </c>
      <c r="M5006" t="e">
        <v>#N/A</v>
      </c>
      <c r="N5006" s="1">
        <v>38899</v>
      </c>
    </row>
    <row r="5007" spans="11:14" x14ac:dyDescent="0.3">
      <c r="K5007" s="1">
        <v>39264</v>
      </c>
      <c r="M5007" t="e">
        <v>#N/A</v>
      </c>
      <c r="N5007" s="1">
        <v>38899</v>
      </c>
    </row>
    <row r="5008" spans="11:14" x14ac:dyDescent="0.3">
      <c r="K5008" s="1">
        <v>39264</v>
      </c>
      <c r="M5008" t="e">
        <v>#N/A</v>
      </c>
      <c r="N5008" s="1">
        <v>38899</v>
      </c>
    </row>
    <row r="5009" spans="11:14" x14ac:dyDescent="0.3">
      <c r="K5009" s="1">
        <v>39264</v>
      </c>
      <c r="M5009" t="e">
        <v>#N/A</v>
      </c>
      <c r="N5009" s="1">
        <v>38899</v>
      </c>
    </row>
    <row r="5010" spans="11:14" x14ac:dyDescent="0.3">
      <c r="K5010" s="1">
        <v>39264</v>
      </c>
      <c r="M5010" t="e">
        <v>#N/A</v>
      </c>
      <c r="N5010" s="1">
        <v>38899</v>
      </c>
    </row>
    <row r="5011" spans="11:14" x14ac:dyDescent="0.3">
      <c r="K5011" s="1">
        <v>39264</v>
      </c>
      <c r="M5011" t="e">
        <v>#N/A</v>
      </c>
      <c r="N5011" s="1">
        <v>38899</v>
      </c>
    </row>
    <row r="5012" spans="11:14" x14ac:dyDescent="0.3">
      <c r="K5012" s="1">
        <v>39264</v>
      </c>
      <c r="M5012" t="e">
        <v>#N/A</v>
      </c>
      <c r="N5012" s="1">
        <v>38899</v>
      </c>
    </row>
    <row r="5013" spans="11:14" x14ac:dyDescent="0.3">
      <c r="K5013" s="1">
        <v>39264</v>
      </c>
      <c r="M5013" t="e">
        <v>#N/A</v>
      </c>
      <c r="N5013" s="1">
        <v>38899</v>
      </c>
    </row>
    <row r="5014" spans="11:14" x14ac:dyDescent="0.3">
      <c r="K5014" s="1">
        <v>39264</v>
      </c>
      <c r="M5014" t="e">
        <v>#N/A</v>
      </c>
      <c r="N5014" s="1">
        <v>38899</v>
      </c>
    </row>
    <row r="5015" spans="11:14" x14ac:dyDescent="0.3">
      <c r="K5015" s="1">
        <v>39264</v>
      </c>
      <c r="M5015" t="e">
        <v>#N/A</v>
      </c>
      <c r="N5015" s="1">
        <v>38899</v>
      </c>
    </row>
    <row r="5016" spans="11:14" x14ac:dyDescent="0.3">
      <c r="K5016" s="1">
        <v>39264</v>
      </c>
      <c r="M5016" t="e">
        <v>#N/A</v>
      </c>
      <c r="N5016" s="1">
        <v>38899</v>
      </c>
    </row>
    <row r="5017" spans="11:14" x14ac:dyDescent="0.3">
      <c r="K5017" s="1">
        <v>39264</v>
      </c>
      <c r="M5017" t="e">
        <v>#N/A</v>
      </c>
      <c r="N5017" s="1">
        <v>38899</v>
      </c>
    </row>
    <row r="5018" spans="11:14" x14ac:dyDescent="0.3">
      <c r="K5018" s="1">
        <v>39264</v>
      </c>
      <c r="M5018" t="e">
        <v>#N/A</v>
      </c>
      <c r="N5018" s="1">
        <v>38899</v>
      </c>
    </row>
    <row r="5019" spans="11:14" x14ac:dyDescent="0.3">
      <c r="K5019" s="1">
        <v>39264</v>
      </c>
      <c r="M5019" t="e">
        <v>#N/A</v>
      </c>
      <c r="N5019" s="1">
        <v>38899</v>
      </c>
    </row>
    <row r="5020" spans="11:14" x14ac:dyDescent="0.3">
      <c r="K5020" s="1">
        <v>39264</v>
      </c>
      <c r="M5020" t="e">
        <v>#N/A</v>
      </c>
      <c r="N5020" s="1">
        <v>38899</v>
      </c>
    </row>
    <row r="5021" spans="11:14" x14ac:dyDescent="0.3">
      <c r="K5021" s="1">
        <v>39264</v>
      </c>
      <c r="M5021" t="e">
        <v>#N/A</v>
      </c>
      <c r="N5021" s="1">
        <v>38899</v>
      </c>
    </row>
    <row r="5022" spans="11:14" x14ac:dyDescent="0.3">
      <c r="K5022" s="1">
        <v>39264</v>
      </c>
      <c r="M5022" t="e">
        <v>#N/A</v>
      </c>
      <c r="N5022" s="1">
        <v>38899</v>
      </c>
    </row>
    <row r="5023" spans="11:14" x14ac:dyDescent="0.3">
      <c r="K5023" s="1">
        <v>39264</v>
      </c>
      <c r="M5023" t="e">
        <v>#N/A</v>
      </c>
      <c r="N5023" s="1">
        <v>38899</v>
      </c>
    </row>
    <row r="5024" spans="11:14" x14ac:dyDescent="0.3">
      <c r="K5024" s="1">
        <v>39356</v>
      </c>
      <c r="M5024" t="e">
        <v>#N/A</v>
      </c>
      <c r="N5024" s="1">
        <v>38899</v>
      </c>
    </row>
    <row r="5025" spans="11:14" x14ac:dyDescent="0.3">
      <c r="K5025" s="1">
        <v>39356</v>
      </c>
      <c r="M5025" t="e">
        <v>#N/A</v>
      </c>
      <c r="N5025" s="1">
        <v>38899</v>
      </c>
    </row>
    <row r="5026" spans="11:14" x14ac:dyDescent="0.3">
      <c r="K5026" s="1">
        <v>39356</v>
      </c>
      <c r="M5026" t="e">
        <v>#N/A</v>
      </c>
      <c r="N5026" s="1">
        <v>38899</v>
      </c>
    </row>
    <row r="5027" spans="11:14" x14ac:dyDescent="0.3">
      <c r="K5027" s="1">
        <v>39356</v>
      </c>
      <c r="M5027" t="e">
        <v>#N/A</v>
      </c>
      <c r="N5027" s="1">
        <v>38899</v>
      </c>
    </row>
    <row r="5028" spans="11:14" x14ac:dyDescent="0.3">
      <c r="K5028" s="1">
        <v>39356</v>
      </c>
      <c r="M5028" t="e">
        <v>#N/A</v>
      </c>
      <c r="N5028" s="1">
        <v>38899</v>
      </c>
    </row>
    <row r="5029" spans="11:14" x14ac:dyDescent="0.3">
      <c r="K5029" s="1">
        <v>39356</v>
      </c>
      <c r="M5029" t="e">
        <v>#N/A</v>
      </c>
      <c r="N5029" s="1">
        <v>38899</v>
      </c>
    </row>
    <row r="5030" spans="11:14" x14ac:dyDescent="0.3">
      <c r="K5030" s="1">
        <v>39356</v>
      </c>
      <c r="M5030" t="e">
        <v>#N/A</v>
      </c>
      <c r="N5030" s="1">
        <v>38899</v>
      </c>
    </row>
    <row r="5031" spans="11:14" x14ac:dyDescent="0.3">
      <c r="K5031" s="1">
        <v>39356</v>
      </c>
      <c r="M5031" t="e">
        <v>#N/A</v>
      </c>
      <c r="N5031" s="1">
        <v>38899</v>
      </c>
    </row>
    <row r="5032" spans="11:14" x14ac:dyDescent="0.3">
      <c r="K5032" s="1">
        <v>39356</v>
      </c>
      <c r="M5032" t="e">
        <v>#N/A</v>
      </c>
      <c r="N5032" s="1">
        <v>38899</v>
      </c>
    </row>
    <row r="5033" spans="11:14" x14ac:dyDescent="0.3">
      <c r="K5033" s="1">
        <v>39356</v>
      </c>
      <c r="M5033" t="e">
        <v>#N/A</v>
      </c>
      <c r="N5033" s="1">
        <v>38899</v>
      </c>
    </row>
    <row r="5034" spans="11:14" x14ac:dyDescent="0.3">
      <c r="K5034" s="1">
        <v>39356</v>
      </c>
      <c r="M5034" t="e">
        <v>#N/A</v>
      </c>
      <c r="N5034" s="1">
        <v>38899</v>
      </c>
    </row>
    <row r="5035" spans="11:14" x14ac:dyDescent="0.3">
      <c r="K5035" s="1">
        <v>39356</v>
      </c>
      <c r="M5035" t="e">
        <v>#N/A</v>
      </c>
      <c r="N5035" s="1">
        <v>38899</v>
      </c>
    </row>
    <row r="5036" spans="11:14" x14ac:dyDescent="0.3">
      <c r="K5036" s="1">
        <v>39356</v>
      </c>
      <c r="M5036" t="e">
        <v>#N/A</v>
      </c>
      <c r="N5036" s="1">
        <v>38899</v>
      </c>
    </row>
    <row r="5037" spans="11:14" x14ac:dyDescent="0.3">
      <c r="K5037" s="1">
        <v>39356</v>
      </c>
      <c r="M5037" t="e">
        <v>#N/A</v>
      </c>
      <c r="N5037" s="1">
        <v>38899</v>
      </c>
    </row>
    <row r="5038" spans="11:14" x14ac:dyDescent="0.3">
      <c r="K5038" s="1">
        <v>39356</v>
      </c>
      <c r="M5038" t="e">
        <v>#N/A</v>
      </c>
      <c r="N5038" s="1">
        <v>38899</v>
      </c>
    </row>
    <row r="5039" spans="11:14" x14ac:dyDescent="0.3">
      <c r="K5039" s="1">
        <v>39356</v>
      </c>
      <c r="M5039" t="e">
        <v>#N/A</v>
      </c>
      <c r="N5039" s="1">
        <v>38899</v>
      </c>
    </row>
    <row r="5040" spans="11:14" x14ac:dyDescent="0.3">
      <c r="K5040" s="1">
        <v>39356</v>
      </c>
      <c r="M5040" t="e">
        <v>#N/A</v>
      </c>
      <c r="N5040" s="1">
        <v>38899</v>
      </c>
    </row>
    <row r="5041" spans="11:14" x14ac:dyDescent="0.3">
      <c r="K5041" s="1">
        <v>39356</v>
      </c>
      <c r="M5041" t="e">
        <v>#N/A</v>
      </c>
      <c r="N5041" s="1">
        <v>38899</v>
      </c>
    </row>
    <row r="5042" spans="11:14" x14ac:dyDescent="0.3">
      <c r="K5042" s="1">
        <v>39356</v>
      </c>
      <c r="M5042" t="e">
        <v>#N/A</v>
      </c>
      <c r="N5042" s="1">
        <v>38899</v>
      </c>
    </row>
    <row r="5043" spans="11:14" x14ac:dyDescent="0.3">
      <c r="K5043" s="1">
        <v>39356</v>
      </c>
      <c r="M5043" t="e">
        <v>#N/A</v>
      </c>
      <c r="N5043" s="1">
        <v>38899</v>
      </c>
    </row>
    <row r="5044" spans="11:14" x14ac:dyDescent="0.3">
      <c r="K5044" s="1">
        <v>39356</v>
      </c>
      <c r="M5044" t="e">
        <v>#N/A</v>
      </c>
      <c r="N5044" s="1">
        <v>38899</v>
      </c>
    </row>
    <row r="5045" spans="11:14" x14ac:dyDescent="0.3">
      <c r="K5045" s="1">
        <v>39356</v>
      </c>
      <c r="M5045" t="e">
        <v>#N/A</v>
      </c>
      <c r="N5045" s="1">
        <v>38899</v>
      </c>
    </row>
    <row r="5046" spans="11:14" x14ac:dyDescent="0.3">
      <c r="K5046" s="1">
        <v>39356</v>
      </c>
      <c r="M5046" t="e">
        <v>#N/A</v>
      </c>
      <c r="N5046" s="1">
        <v>38899</v>
      </c>
    </row>
    <row r="5047" spans="11:14" x14ac:dyDescent="0.3">
      <c r="K5047" s="1">
        <v>39356</v>
      </c>
      <c r="M5047" t="e">
        <v>#N/A</v>
      </c>
      <c r="N5047" s="1">
        <v>38899</v>
      </c>
    </row>
    <row r="5048" spans="11:14" x14ac:dyDescent="0.3">
      <c r="K5048" s="1">
        <v>39356</v>
      </c>
      <c r="M5048" t="e">
        <v>#N/A</v>
      </c>
      <c r="N5048" s="1">
        <v>38899</v>
      </c>
    </row>
    <row r="5049" spans="11:14" x14ac:dyDescent="0.3">
      <c r="K5049" s="1">
        <v>39356</v>
      </c>
      <c r="M5049" t="e">
        <v>#N/A</v>
      </c>
      <c r="N5049" s="1">
        <v>38899</v>
      </c>
    </row>
    <row r="5050" spans="11:14" x14ac:dyDescent="0.3">
      <c r="K5050" s="1">
        <v>39356</v>
      </c>
      <c r="M5050" t="e">
        <v>#N/A</v>
      </c>
      <c r="N5050" s="1">
        <v>38899</v>
      </c>
    </row>
    <row r="5051" spans="11:14" x14ac:dyDescent="0.3">
      <c r="K5051" s="1">
        <v>39356</v>
      </c>
      <c r="M5051" t="e">
        <v>#N/A</v>
      </c>
      <c r="N5051" s="1">
        <v>38899</v>
      </c>
    </row>
    <row r="5052" spans="11:14" x14ac:dyDescent="0.3">
      <c r="K5052" s="1">
        <v>39356</v>
      </c>
      <c r="M5052" t="e">
        <v>#N/A</v>
      </c>
      <c r="N5052" s="1">
        <v>38899</v>
      </c>
    </row>
    <row r="5053" spans="11:14" x14ac:dyDescent="0.3">
      <c r="K5053" s="1">
        <v>39356</v>
      </c>
      <c r="M5053" t="e">
        <v>#N/A</v>
      </c>
      <c r="N5053" s="1">
        <v>38899</v>
      </c>
    </row>
    <row r="5054" spans="11:14" x14ac:dyDescent="0.3">
      <c r="K5054" s="1">
        <v>39356</v>
      </c>
      <c r="M5054" t="e">
        <v>#N/A</v>
      </c>
      <c r="N5054" s="1">
        <v>38899</v>
      </c>
    </row>
    <row r="5055" spans="11:14" x14ac:dyDescent="0.3">
      <c r="K5055" s="1">
        <v>39356</v>
      </c>
      <c r="M5055" t="e">
        <v>#N/A</v>
      </c>
      <c r="N5055" s="1">
        <v>38899</v>
      </c>
    </row>
    <row r="5056" spans="11:14" x14ac:dyDescent="0.3">
      <c r="K5056" s="1">
        <v>39356</v>
      </c>
      <c r="M5056" t="e">
        <v>#N/A</v>
      </c>
      <c r="N5056" s="1">
        <v>38899</v>
      </c>
    </row>
    <row r="5057" spans="11:14" x14ac:dyDescent="0.3">
      <c r="K5057" s="1">
        <v>39356</v>
      </c>
      <c r="M5057" t="e">
        <v>#N/A</v>
      </c>
      <c r="N5057" s="1">
        <v>38899</v>
      </c>
    </row>
    <row r="5058" spans="11:14" x14ac:dyDescent="0.3">
      <c r="K5058" s="1">
        <v>39356</v>
      </c>
      <c r="M5058" t="e">
        <v>#N/A</v>
      </c>
      <c r="N5058" s="1">
        <v>38899</v>
      </c>
    </row>
    <row r="5059" spans="11:14" x14ac:dyDescent="0.3">
      <c r="K5059" s="1">
        <v>39356</v>
      </c>
      <c r="M5059" t="e">
        <v>#N/A</v>
      </c>
      <c r="N5059" s="1">
        <v>38899</v>
      </c>
    </row>
    <row r="5060" spans="11:14" x14ac:dyDescent="0.3">
      <c r="K5060" s="1">
        <v>39356</v>
      </c>
      <c r="M5060" t="e">
        <v>#N/A</v>
      </c>
      <c r="N5060" s="1">
        <v>38899</v>
      </c>
    </row>
    <row r="5061" spans="11:14" x14ac:dyDescent="0.3">
      <c r="K5061" s="1">
        <v>39356</v>
      </c>
      <c r="M5061" t="e">
        <v>#N/A</v>
      </c>
      <c r="N5061" s="1">
        <v>38899</v>
      </c>
    </row>
    <row r="5062" spans="11:14" x14ac:dyDescent="0.3">
      <c r="K5062" s="1">
        <v>39356</v>
      </c>
      <c r="M5062" t="e">
        <v>#N/A</v>
      </c>
      <c r="N5062" s="1">
        <v>38899</v>
      </c>
    </row>
    <row r="5063" spans="11:14" x14ac:dyDescent="0.3">
      <c r="K5063" s="1">
        <v>39356</v>
      </c>
      <c r="M5063" t="e">
        <v>#N/A</v>
      </c>
      <c r="N5063" s="1">
        <v>38899</v>
      </c>
    </row>
    <row r="5064" spans="11:14" x14ac:dyDescent="0.3">
      <c r="K5064" s="1">
        <v>39356</v>
      </c>
      <c r="M5064" t="e">
        <v>#N/A</v>
      </c>
      <c r="N5064" s="1">
        <v>38899</v>
      </c>
    </row>
    <row r="5065" spans="11:14" x14ac:dyDescent="0.3">
      <c r="K5065" s="1">
        <v>39356</v>
      </c>
      <c r="M5065" t="e">
        <v>#N/A</v>
      </c>
      <c r="N5065" s="1">
        <v>38899</v>
      </c>
    </row>
    <row r="5066" spans="11:14" x14ac:dyDescent="0.3">
      <c r="K5066" s="1">
        <v>39356</v>
      </c>
      <c r="M5066" t="e">
        <v>#N/A</v>
      </c>
      <c r="N5066" s="1">
        <v>38899</v>
      </c>
    </row>
    <row r="5067" spans="11:14" x14ac:dyDescent="0.3">
      <c r="K5067" s="1">
        <v>39356</v>
      </c>
      <c r="M5067" t="e">
        <v>#N/A</v>
      </c>
      <c r="N5067" s="1">
        <v>38899</v>
      </c>
    </row>
    <row r="5068" spans="11:14" x14ac:dyDescent="0.3">
      <c r="K5068" s="1">
        <v>39356</v>
      </c>
      <c r="M5068" t="e">
        <v>#N/A</v>
      </c>
      <c r="N5068" s="1">
        <v>38899</v>
      </c>
    </row>
    <row r="5069" spans="11:14" x14ac:dyDescent="0.3">
      <c r="K5069" s="1">
        <v>39356</v>
      </c>
      <c r="M5069" t="e">
        <v>#N/A</v>
      </c>
      <c r="N5069" s="1">
        <v>38899</v>
      </c>
    </row>
    <row r="5070" spans="11:14" x14ac:dyDescent="0.3">
      <c r="K5070" s="1">
        <v>39356</v>
      </c>
      <c r="M5070" t="e">
        <v>#N/A</v>
      </c>
      <c r="N5070" s="1">
        <v>38899</v>
      </c>
    </row>
    <row r="5071" spans="11:14" x14ac:dyDescent="0.3">
      <c r="K5071" s="1">
        <v>39356</v>
      </c>
      <c r="M5071" t="e">
        <v>#N/A</v>
      </c>
      <c r="N5071" s="1">
        <v>38899</v>
      </c>
    </row>
    <row r="5072" spans="11:14" x14ac:dyDescent="0.3">
      <c r="K5072" s="1">
        <v>39356</v>
      </c>
      <c r="M5072" t="e">
        <v>#N/A</v>
      </c>
      <c r="N5072" s="1">
        <v>38899</v>
      </c>
    </row>
    <row r="5073" spans="11:14" x14ac:dyDescent="0.3">
      <c r="K5073" s="1">
        <v>39356</v>
      </c>
      <c r="M5073" t="e">
        <v>#N/A</v>
      </c>
      <c r="N5073" s="1">
        <v>38899</v>
      </c>
    </row>
    <row r="5074" spans="11:14" x14ac:dyDescent="0.3">
      <c r="K5074" s="1">
        <v>39356</v>
      </c>
      <c r="M5074" t="e">
        <v>#N/A</v>
      </c>
      <c r="N5074" s="1">
        <v>38899</v>
      </c>
    </row>
    <row r="5075" spans="11:14" x14ac:dyDescent="0.3">
      <c r="K5075" s="1">
        <v>39356</v>
      </c>
      <c r="M5075" t="e">
        <v>#N/A</v>
      </c>
      <c r="N5075" s="1">
        <v>38899</v>
      </c>
    </row>
    <row r="5076" spans="11:14" x14ac:dyDescent="0.3">
      <c r="K5076" s="1">
        <v>39356</v>
      </c>
      <c r="M5076" t="e">
        <v>#N/A</v>
      </c>
      <c r="N5076" s="1">
        <v>38899</v>
      </c>
    </row>
    <row r="5077" spans="11:14" x14ac:dyDescent="0.3">
      <c r="K5077" s="1">
        <v>39356</v>
      </c>
      <c r="M5077" t="e">
        <v>#N/A</v>
      </c>
      <c r="N5077" s="1">
        <v>38899</v>
      </c>
    </row>
    <row r="5078" spans="11:14" x14ac:dyDescent="0.3">
      <c r="K5078" s="1">
        <v>39356</v>
      </c>
      <c r="M5078" t="e">
        <v>#N/A</v>
      </c>
      <c r="N5078" s="1">
        <v>38899</v>
      </c>
    </row>
    <row r="5079" spans="11:14" x14ac:dyDescent="0.3">
      <c r="K5079" s="1">
        <v>39356</v>
      </c>
      <c r="M5079" t="e">
        <v>#N/A</v>
      </c>
      <c r="N5079" s="1">
        <v>38899</v>
      </c>
    </row>
    <row r="5080" spans="11:14" x14ac:dyDescent="0.3">
      <c r="K5080" s="1">
        <v>39356</v>
      </c>
      <c r="M5080" t="e">
        <v>#N/A</v>
      </c>
      <c r="N5080" s="1">
        <v>38899</v>
      </c>
    </row>
    <row r="5081" spans="11:14" x14ac:dyDescent="0.3">
      <c r="K5081" s="1">
        <v>39356</v>
      </c>
      <c r="M5081" t="e">
        <v>#N/A</v>
      </c>
      <c r="N5081" s="1">
        <v>38899</v>
      </c>
    </row>
    <row r="5082" spans="11:14" x14ac:dyDescent="0.3">
      <c r="K5082" s="1">
        <v>39356</v>
      </c>
      <c r="M5082" t="e">
        <v>#N/A</v>
      </c>
      <c r="N5082" s="1">
        <v>38899</v>
      </c>
    </row>
    <row r="5083" spans="11:14" x14ac:dyDescent="0.3">
      <c r="K5083" s="1">
        <v>39356</v>
      </c>
      <c r="M5083" t="e">
        <v>#N/A</v>
      </c>
      <c r="N5083" s="1">
        <v>38899</v>
      </c>
    </row>
    <row r="5084" spans="11:14" x14ac:dyDescent="0.3">
      <c r="K5084" s="1">
        <v>39356</v>
      </c>
      <c r="M5084" t="e">
        <v>#N/A</v>
      </c>
      <c r="N5084" s="1">
        <v>38899</v>
      </c>
    </row>
    <row r="5085" spans="11:14" x14ac:dyDescent="0.3">
      <c r="K5085" s="1">
        <v>39356</v>
      </c>
      <c r="M5085" t="e">
        <v>#N/A</v>
      </c>
      <c r="N5085" s="1">
        <v>38899</v>
      </c>
    </row>
    <row r="5086" spans="11:14" x14ac:dyDescent="0.3">
      <c r="K5086" s="1">
        <v>39356</v>
      </c>
      <c r="M5086" t="e">
        <v>#N/A</v>
      </c>
      <c r="N5086" s="1">
        <v>38899</v>
      </c>
    </row>
    <row r="5087" spans="11:14" x14ac:dyDescent="0.3">
      <c r="K5087" s="1">
        <v>39356</v>
      </c>
      <c r="M5087" t="e">
        <v>#N/A</v>
      </c>
      <c r="N5087" s="1">
        <v>38899</v>
      </c>
    </row>
    <row r="5088" spans="11:14" x14ac:dyDescent="0.3">
      <c r="K5088" s="1">
        <v>39356</v>
      </c>
      <c r="M5088" t="e">
        <v>#N/A</v>
      </c>
      <c r="N5088" s="1">
        <v>38899</v>
      </c>
    </row>
    <row r="5089" spans="11:14" x14ac:dyDescent="0.3">
      <c r="K5089" s="1">
        <v>39356</v>
      </c>
      <c r="M5089" t="e">
        <v>#N/A</v>
      </c>
      <c r="N5089" s="1">
        <v>38899</v>
      </c>
    </row>
    <row r="5090" spans="11:14" x14ac:dyDescent="0.3">
      <c r="K5090" s="1">
        <v>39356</v>
      </c>
      <c r="M5090" t="e">
        <v>#N/A</v>
      </c>
      <c r="N5090" s="1">
        <v>38899</v>
      </c>
    </row>
    <row r="5091" spans="11:14" x14ac:dyDescent="0.3">
      <c r="K5091" s="1">
        <v>39356</v>
      </c>
      <c r="M5091" t="e">
        <v>#N/A</v>
      </c>
      <c r="N5091" s="1">
        <v>38899</v>
      </c>
    </row>
    <row r="5092" spans="11:14" x14ac:dyDescent="0.3">
      <c r="K5092" s="1">
        <v>39356</v>
      </c>
      <c r="M5092" t="e">
        <v>#N/A</v>
      </c>
      <c r="N5092" s="1">
        <v>38991</v>
      </c>
    </row>
    <row r="5093" spans="11:14" x14ac:dyDescent="0.3">
      <c r="K5093" s="1">
        <v>39356</v>
      </c>
      <c r="M5093" t="e">
        <v>#N/A</v>
      </c>
      <c r="N5093" s="1">
        <v>38991</v>
      </c>
    </row>
    <row r="5094" spans="11:14" x14ac:dyDescent="0.3">
      <c r="K5094" s="1">
        <v>39356</v>
      </c>
      <c r="M5094" t="e">
        <v>#N/A</v>
      </c>
      <c r="N5094" s="1">
        <v>38991</v>
      </c>
    </row>
    <row r="5095" spans="11:14" x14ac:dyDescent="0.3">
      <c r="K5095" s="1">
        <v>39356</v>
      </c>
      <c r="M5095" t="e">
        <v>#N/A</v>
      </c>
      <c r="N5095" s="1">
        <v>38991</v>
      </c>
    </row>
    <row r="5096" spans="11:14" x14ac:dyDescent="0.3">
      <c r="K5096" s="1">
        <v>39356</v>
      </c>
      <c r="M5096" t="e">
        <v>#N/A</v>
      </c>
      <c r="N5096" s="1">
        <v>38991</v>
      </c>
    </row>
    <row r="5097" spans="11:14" x14ac:dyDescent="0.3">
      <c r="K5097" s="1">
        <v>39356</v>
      </c>
      <c r="M5097" t="e">
        <v>#N/A</v>
      </c>
      <c r="N5097" s="1">
        <v>38991</v>
      </c>
    </row>
    <row r="5098" spans="11:14" x14ac:dyDescent="0.3">
      <c r="K5098" s="1">
        <v>39356</v>
      </c>
      <c r="M5098" t="e">
        <v>#N/A</v>
      </c>
      <c r="N5098" s="1">
        <v>38991</v>
      </c>
    </row>
    <row r="5099" spans="11:14" x14ac:dyDescent="0.3">
      <c r="K5099" s="1">
        <v>39356</v>
      </c>
      <c r="M5099" t="e">
        <v>#N/A</v>
      </c>
      <c r="N5099" s="1">
        <v>38991</v>
      </c>
    </row>
    <row r="5100" spans="11:14" x14ac:dyDescent="0.3">
      <c r="K5100" s="1">
        <v>39356</v>
      </c>
      <c r="M5100" t="e">
        <v>#N/A</v>
      </c>
      <c r="N5100" s="1">
        <v>38991</v>
      </c>
    </row>
    <row r="5101" spans="11:14" x14ac:dyDescent="0.3">
      <c r="K5101" s="1">
        <v>39356</v>
      </c>
      <c r="M5101" t="e">
        <v>#N/A</v>
      </c>
      <c r="N5101" s="1">
        <v>38991</v>
      </c>
    </row>
    <row r="5102" spans="11:14" x14ac:dyDescent="0.3">
      <c r="K5102" s="1">
        <v>39356</v>
      </c>
      <c r="M5102" t="e">
        <v>#N/A</v>
      </c>
      <c r="N5102" s="1">
        <v>38991</v>
      </c>
    </row>
    <row r="5103" spans="11:14" x14ac:dyDescent="0.3">
      <c r="K5103" s="1">
        <v>39356</v>
      </c>
      <c r="M5103" t="e">
        <v>#N/A</v>
      </c>
      <c r="N5103" s="1">
        <v>38991</v>
      </c>
    </row>
    <row r="5104" spans="11:14" x14ac:dyDescent="0.3">
      <c r="K5104" s="1">
        <v>39356</v>
      </c>
      <c r="M5104" t="e">
        <v>#N/A</v>
      </c>
      <c r="N5104" s="1">
        <v>38991</v>
      </c>
    </row>
    <row r="5105" spans="11:14" x14ac:dyDescent="0.3">
      <c r="K5105" s="1">
        <v>39356</v>
      </c>
      <c r="M5105" t="e">
        <v>#N/A</v>
      </c>
      <c r="N5105" s="1">
        <v>38991</v>
      </c>
    </row>
    <row r="5106" spans="11:14" x14ac:dyDescent="0.3">
      <c r="K5106" s="1">
        <v>39356</v>
      </c>
      <c r="M5106" t="e">
        <v>#N/A</v>
      </c>
      <c r="N5106" s="1">
        <v>38991</v>
      </c>
    </row>
    <row r="5107" spans="11:14" x14ac:dyDescent="0.3">
      <c r="K5107" s="1">
        <v>39356</v>
      </c>
      <c r="M5107" t="e">
        <v>#N/A</v>
      </c>
      <c r="N5107" s="1">
        <v>38991</v>
      </c>
    </row>
    <row r="5108" spans="11:14" x14ac:dyDescent="0.3">
      <c r="K5108" s="1">
        <v>39356</v>
      </c>
      <c r="M5108" t="e">
        <v>#N/A</v>
      </c>
      <c r="N5108" s="1">
        <v>38991</v>
      </c>
    </row>
    <row r="5109" spans="11:14" x14ac:dyDescent="0.3">
      <c r="K5109" s="1">
        <v>39356</v>
      </c>
      <c r="M5109" t="e">
        <v>#N/A</v>
      </c>
      <c r="N5109" s="1">
        <v>38991</v>
      </c>
    </row>
    <row r="5110" spans="11:14" x14ac:dyDescent="0.3">
      <c r="K5110" s="1">
        <v>39356</v>
      </c>
      <c r="M5110" t="e">
        <v>#N/A</v>
      </c>
      <c r="N5110" s="1">
        <v>38991</v>
      </c>
    </row>
    <row r="5111" spans="11:14" x14ac:dyDescent="0.3">
      <c r="K5111" s="1">
        <v>39356</v>
      </c>
      <c r="M5111" t="e">
        <v>#N/A</v>
      </c>
      <c r="N5111" s="1">
        <v>38991</v>
      </c>
    </row>
    <row r="5112" spans="11:14" x14ac:dyDescent="0.3">
      <c r="K5112" s="1">
        <v>39356</v>
      </c>
      <c r="M5112" t="e">
        <v>#N/A</v>
      </c>
      <c r="N5112" s="1">
        <v>38991</v>
      </c>
    </row>
    <row r="5113" spans="11:14" x14ac:dyDescent="0.3">
      <c r="K5113" s="1">
        <v>39356</v>
      </c>
      <c r="M5113" t="e">
        <v>#N/A</v>
      </c>
      <c r="N5113" s="1">
        <v>38991</v>
      </c>
    </row>
    <row r="5114" spans="11:14" x14ac:dyDescent="0.3">
      <c r="K5114" s="1">
        <v>39356</v>
      </c>
      <c r="M5114" t="e">
        <v>#N/A</v>
      </c>
      <c r="N5114" s="1">
        <v>38991</v>
      </c>
    </row>
    <row r="5115" spans="11:14" x14ac:dyDescent="0.3">
      <c r="K5115" s="1">
        <v>39356</v>
      </c>
      <c r="M5115" t="e">
        <v>#N/A</v>
      </c>
      <c r="N5115" s="1">
        <v>38991</v>
      </c>
    </row>
    <row r="5116" spans="11:14" x14ac:dyDescent="0.3">
      <c r="K5116" s="1">
        <v>39356</v>
      </c>
      <c r="M5116" t="e">
        <v>#N/A</v>
      </c>
      <c r="N5116" s="1">
        <v>38991</v>
      </c>
    </row>
    <row r="5117" spans="11:14" x14ac:dyDescent="0.3">
      <c r="K5117" s="1">
        <v>39356</v>
      </c>
      <c r="M5117" t="e">
        <v>#N/A</v>
      </c>
      <c r="N5117" s="1">
        <v>38991</v>
      </c>
    </row>
    <row r="5118" spans="11:14" x14ac:dyDescent="0.3">
      <c r="K5118" s="1">
        <v>39356</v>
      </c>
      <c r="M5118" t="e">
        <v>#N/A</v>
      </c>
      <c r="N5118" s="1">
        <v>38991</v>
      </c>
    </row>
    <row r="5119" spans="11:14" x14ac:dyDescent="0.3">
      <c r="K5119" s="1">
        <v>39356</v>
      </c>
      <c r="M5119" t="e">
        <v>#N/A</v>
      </c>
      <c r="N5119" s="1">
        <v>38991</v>
      </c>
    </row>
    <row r="5120" spans="11:14" x14ac:dyDescent="0.3">
      <c r="K5120" s="1">
        <v>39356</v>
      </c>
      <c r="M5120" t="e">
        <v>#N/A</v>
      </c>
      <c r="N5120" s="1">
        <v>38991</v>
      </c>
    </row>
    <row r="5121" spans="11:14" x14ac:dyDescent="0.3">
      <c r="K5121" s="1">
        <v>39356</v>
      </c>
      <c r="M5121" t="e">
        <v>#N/A</v>
      </c>
      <c r="N5121" s="1">
        <v>38991</v>
      </c>
    </row>
    <row r="5122" spans="11:14" x14ac:dyDescent="0.3">
      <c r="K5122" s="1">
        <v>39356</v>
      </c>
      <c r="M5122" t="e">
        <v>#N/A</v>
      </c>
      <c r="N5122" s="1">
        <v>38991</v>
      </c>
    </row>
    <row r="5123" spans="11:14" x14ac:dyDescent="0.3">
      <c r="K5123" s="1">
        <v>39356</v>
      </c>
      <c r="M5123" t="e">
        <v>#N/A</v>
      </c>
      <c r="N5123" s="1">
        <v>38991</v>
      </c>
    </row>
    <row r="5124" spans="11:14" x14ac:dyDescent="0.3">
      <c r="K5124" s="1">
        <v>39356</v>
      </c>
      <c r="M5124" t="e">
        <v>#N/A</v>
      </c>
      <c r="N5124" s="1">
        <v>38991</v>
      </c>
    </row>
    <row r="5125" spans="11:14" x14ac:dyDescent="0.3">
      <c r="K5125" s="1">
        <v>39356</v>
      </c>
      <c r="M5125" t="e">
        <v>#N/A</v>
      </c>
      <c r="N5125" s="1">
        <v>38991</v>
      </c>
    </row>
    <row r="5126" spans="11:14" x14ac:dyDescent="0.3">
      <c r="K5126" s="1">
        <v>39356</v>
      </c>
      <c r="M5126" t="e">
        <v>#N/A</v>
      </c>
      <c r="N5126" s="1">
        <v>38991</v>
      </c>
    </row>
    <row r="5127" spans="11:14" x14ac:dyDescent="0.3">
      <c r="K5127" s="1">
        <v>39356</v>
      </c>
      <c r="M5127" t="e">
        <v>#N/A</v>
      </c>
      <c r="N5127" s="1">
        <v>38991</v>
      </c>
    </row>
    <row r="5128" spans="11:14" x14ac:dyDescent="0.3">
      <c r="K5128" s="1">
        <v>39356</v>
      </c>
      <c r="M5128" t="e">
        <v>#N/A</v>
      </c>
      <c r="N5128" s="1">
        <v>38991</v>
      </c>
    </row>
    <row r="5129" spans="11:14" x14ac:dyDescent="0.3">
      <c r="K5129" s="1">
        <v>39356</v>
      </c>
      <c r="M5129" t="e">
        <v>#N/A</v>
      </c>
      <c r="N5129" s="1">
        <v>38991</v>
      </c>
    </row>
    <row r="5130" spans="11:14" x14ac:dyDescent="0.3">
      <c r="K5130" s="1">
        <v>39356</v>
      </c>
      <c r="M5130" t="e">
        <v>#N/A</v>
      </c>
      <c r="N5130" s="1">
        <v>38991</v>
      </c>
    </row>
    <row r="5131" spans="11:14" x14ac:dyDescent="0.3">
      <c r="K5131" s="1">
        <v>39356</v>
      </c>
      <c r="M5131" t="e">
        <v>#N/A</v>
      </c>
      <c r="N5131" s="1">
        <v>38991</v>
      </c>
    </row>
    <row r="5132" spans="11:14" x14ac:dyDescent="0.3">
      <c r="K5132" s="1">
        <v>39356</v>
      </c>
      <c r="M5132" t="e">
        <v>#N/A</v>
      </c>
      <c r="N5132" s="1">
        <v>38991</v>
      </c>
    </row>
    <row r="5133" spans="11:14" x14ac:dyDescent="0.3">
      <c r="K5133" s="1">
        <v>39356</v>
      </c>
      <c r="M5133" t="e">
        <v>#N/A</v>
      </c>
      <c r="N5133" s="1">
        <v>38991</v>
      </c>
    </row>
    <row r="5134" spans="11:14" x14ac:dyDescent="0.3">
      <c r="K5134" s="1">
        <v>39356</v>
      </c>
      <c r="M5134" t="e">
        <v>#N/A</v>
      </c>
      <c r="N5134" s="1">
        <v>38991</v>
      </c>
    </row>
    <row r="5135" spans="11:14" x14ac:dyDescent="0.3">
      <c r="K5135" s="1">
        <v>39356</v>
      </c>
      <c r="M5135" t="e">
        <v>#N/A</v>
      </c>
      <c r="N5135" s="1">
        <v>38991</v>
      </c>
    </row>
    <row r="5136" spans="11:14" x14ac:dyDescent="0.3">
      <c r="K5136" s="1">
        <v>39356</v>
      </c>
      <c r="M5136" t="e">
        <v>#N/A</v>
      </c>
      <c r="N5136" s="1">
        <v>38991</v>
      </c>
    </row>
    <row r="5137" spans="11:14" x14ac:dyDescent="0.3">
      <c r="K5137" s="1">
        <v>39356</v>
      </c>
      <c r="M5137" t="e">
        <v>#N/A</v>
      </c>
      <c r="N5137" s="1">
        <v>38991</v>
      </c>
    </row>
    <row r="5138" spans="11:14" x14ac:dyDescent="0.3">
      <c r="K5138" s="1">
        <v>39356</v>
      </c>
      <c r="M5138" t="e">
        <v>#N/A</v>
      </c>
      <c r="N5138" s="1">
        <v>38991</v>
      </c>
    </row>
    <row r="5139" spans="11:14" x14ac:dyDescent="0.3">
      <c r="K5139" s="1">
        <v>39356</v>
      </c>
      <c r="M5139" t="e">
        <v>#N/A</v>
      </c>
      <c r="N5139" s="1">
        <v>38991</v>
      </c>
    </row>
    <row r="5140" spans="11:14" x14ac:dyDescent="0.3">
      <c r="K5140" s="1">
        <v>39356</v>
      </c>
      <c r="M5140" t="e">
        <v>#N/A</v>
      </c>
      <c r="N5140" s="1">
        <v>38991</v>
      </c>
    </row>
    <row r="5141" spans="11:14" x14ac:dyDescent="0.3">
      <c r="K5141" s="1">
        <v>39356</v>
      </c>
      <c r="M5141" t="e">
        <v>#N/A</v>
      </c>
      <c r="N5141" s="1">
        <v>38991</v>
      </c>
    </row>
    <row r="5142" spans="11:14" x14ac:dyDescent="0.3">
      <c r="K5142" s="1">
        <v>39356</v>
      </c>
      <c r="M5142" t="e">
        <v>#N/A</v>
      </c>
      <c r="N5142" s="1">
        <v>38991</v>
      </c>
    </row>
    <row r="5143" spans="11:14" x14ac:dyDescent="0.3">
      <c r="K5143" s="1">
        <v>39356</v>
      </c>
      <c r="M5143" t="e">
        <v>#N/A</v>
      </c>
      <c r="N5143" s="1">
        <v>38991</v>
      </c>
    </row>
    <row r="5144" spans="11:14" x14ac:dyDescent="0.3">
      <c r="K5144" s="1">
        <v>39356</v>
      </c>
      <c r="M5144" t="e">
        <v>#N/A</v>
      </c>
      <c r="N5144" s="1">
        <v>38991</v>
      </c>
    </row>
    <row r="5145" spans="11:14" x14ac:dyDescent="0.3">
      <c r="K5145" s="1">
        <v>39356</v>
      </c>
      <c r="M5145" t="e">
        <v>#N/A</v>
      </c>
      <c r="N5145" s="1">
        <v>38991</v>
      </c>
    </row>
    <row r="5146" spans="11:14" x14ac:dyDescent="0.3">
      <c r="K5146" s="1">
        <v>39356</v>
      </c>
      <c r="M5146" t="e">
        <v>#N/A</v>
      </c>
      <c r="N5146" s="1">
        <v>38991</v>
      </c>
    </row>
    <row r="5147" spans="11:14" x14ac:dyDescent="0.3">
      <c r="K5147" s="1">
        <v>39356</v>
      </c>
      <c r="M5147" t="e">
        <v>#N/A</v>
      </c>
      <c r="N5147" s="1">
        <v>38991</v>
      </c>
    </row>
    <row r="5148" spans="11:14" x14ac:dyDescent="0.3">
      <c r="K5148" s="1">
        <v>39356</v>
      </c>
      <c r="M5148" t="e">
        <v>#N/A</v>
      </c>
      <c r="N5148" s="1">
        <v>38991</v>
      </c>
    </row>
    <row r="5149" spans="11:14" x14ac:dyDescent="0.3">
      <c r="K5149" s="1">
        <v>39356</v>
      </c>
      <c r="M5149" t="e">
        <v>#N/A</v>
      </c>
      <c r="N5149" s="1">
        <v>38991</v>
      </c>
    </row>
    <row r="5150" spans="11:14" x14ac:dyDescent="0.3">
      <c r="K5150" s="1">
        <v>39356</v>
      </c>
      <c r="M5150" t="e">
        <v>#N/A</v>
      </c>
      <c r="N5150" s="1">
        <v>38991</v>
      </c>
    </row>
    <row r="5151" spans="11:14" x14ac:dyDescent="0.3">
      <c r="K5151" s="1">
        <v>39356</v>
      </c>
      <c r="M5151" t="e">
        <v>#N/A</v>
      </c>
      <c r="N5151" s="1">
        <v>38991</v>
      </c>
    </row>
    <row r="5152" spans="11:14" x14ac:dyDescent="0.3">
      <c r="K5152" s="1">
        <v>39356</v>
      </c>
      <c r="M5152" t="e">
        <v>#N/A</v>
      </c>
      <c r="N5152" s="1">
        <v>38991</v>
      </c>
    </row>
    <row r="5153" spans="11:14" x14ac:dyDescent="0.3">
      <c r="K5153" s="1">
        <v>39356</v>
      </c>
      <c r="M5153" t="e">
        <v>#N/A</v>
      </c>
      <c r="N5153" s="1">
        <v>38991</v>
      </c>
    </row>
    <row r="5154" spans="11:14" x14ac:dyDescent="0.3">
      <c r="K5154" s="1">
        <v>39356</v>
      </c>
      <c r="M5154" t="e">
        <v>#N/A</v>
      </c>
      <c r="N5154" s="1">
        <v>38991</v>
      </c>
    </row>
    <row r="5155" spans="11:14" x14ac:dyDescent="0.3">
      <c r="K5155" s="1">
        <v>39356</v>
      </c>
      <c r="M5155" t="e">
        <v>#N/A</v>
      </c>
      <c r="N5155" s="1">
        <v>38991</v>
      </c>
    </row>
    <row r="5156" spans="11:14" x14ac:dyDescent="0.3">
      <c r="K5156" s="1">
        <v>39356</v>
      </c>
      <c r="M5156" t="e">
        <v>#N/A</v>
      </c>
      <c r="N5156" s="1">
        <v>38991</v>
      </c>
    </row>
    <row r="5157" spans="11:14" x14ac:dyDescent="0.3">
      <c r="K5157" s="1">
        <v>39356</v>
      </c>
      <c r="M5157" t="e">
        <v>#N/A</v>
      </c>
      <c r="N5157" s="1">
        <v>38991</v>
      </c>
    </row>
    <row r="5158" spans="11:14" x14ac:dyDescent="0.3">
      <c r="K5158" s="1">
        <v>39356</v>
      </c>
      <c r="M5158" t="e">
        <v>#N/A</v>
      </c>
      <c r="N5158" s="1">
        <v>38991</v>
      </c>
    </row>
    <row r="5159" spans="11:14" x14ac:dyDescent="0.3">
      <c r="K5159" s="1">
        <v>39356</v>
      </c>
      <c r="M5159" t="e">
        <v>#N/A</v>
      </c>
      <c r="N5159" s="1">
        <v>38991</v>
      </c>
    </row>
    <row r="5160" spans="11:14" x14ac:dyDescent="0.3">
      <c r="K5160" s="1">
        <v>39356</v>
      </c>
      <c r="M5160" t="e">
        <v>#N/A</v>
      </c>
      <c r="N5160" s="1">
        <v>38991</v>
      </c>
    </row>
    <row r="5161" spans="11:14" x14ac:dyDescent="0.3">
      <c r="K5161" s="1">
        <v>39356</v>
      </c>
      <c r="M5161" t="e">
        <v>#N/A</v>
      </c>
      <c r="N5161" s="1">
        <v>38991</v>
      </c>
    </row>
    <row r="5162" spans="11:14" x14ac:dyDescent="0.3">
      <c r="K5162" s="1">
        <v>39356</v>
      </c>
      <c r="M5162" t="e">
        <v>#N/A</v>
      </c>
      <c r="N5162" s="1">
        <v>38991</v>
      </c>
    </row>
    <row r="5163" spans="11:14" x14ac:dyDescent="0.3">
      <c r="K5163" s="1">
        <v>39356</v>
      </c>
      <c r="M5163" t="e">
        <v>#N/A</v>
      </c>
      <c r="N5163" s="1">
        <v>38991</v>
      </c>
    </row>
    <row r="5164" spans="11:14" x14ac:dyDescent="0.3">
      <c r="K5164" s="1">
        <v>39356</v>
      </c>
      <c r="M5164" t="e">
        <v>#N/A</v>
      </c>
      <c r="N5164" s="1">
        <v>38991</v>
      </c>
    </row>
    <row r="5165" spans="11:14" x14ac:dyDescent="0.3">
      <c r="K5165" s="1">
        <v>39356</v>
      </c>
      <c r="M5165" t="e">
        <v>#N/A</v>
      </c>
      <c r="N5165" s="1">
        <v>38991</v>
      </c>
    </row>
    <row r="5166" spans="11:14" x14ac:dyDescent="0.3">
      <c r="K5166" s="1">
        <v>39356</v>
      </c>
      <c r="M5166" t="e">
        <v>#N/A</v>
      </c>
      <c r="N5166" s="1">
        <v>38991</v>
      </c>
    </row>
    <row r="5167" spans="11:14" x14ac:dyDescent="0.3">
      <c r="K5167" s="1">
        <v>39356</v>
      </c>
      <c r="M5167" t="e">
        <v>#N/A</v>
      </c>
      <c r="N5167" s="1">
        <v>38991</v>
      </c>
    </row>
    <row r="5168" spans="11:14" x14ac:dyDescent="0.3">
      <c r="K5168" s="1">
        <v>39356</v>
      </c>
      <c r="M5168" t="e">
        <v>#N/A</v>
      </c>
      <c r="N5168" s="1">
        <v>38991</v>
      </c>
    </row>
    <row r="5169" spans="11:14" x14ac:dyDescent="0.3">
      <c r="K5169" s="1">
        <v>39356</v>
      </c>
      <c r="M5169" t="e">
        <v>#N/A</v>
      </c>
      <c r="N5169" s="1">
        <v>38991</v>
      </c>
    </row>
    <row r="5170" spans="11:14" x14ac:dyDescent="0.3">
      <c r="K5170" s="1">
        <v>39356</v>
      </c>
      <c r="M5170" t="e">
        <v>#N/A</v>
      </c>
      <c r="N5170" s="1">
        <v>38991</v>
      </c>
    </row>
    <row r="5171" spans="11:14" x14ac:dyDescent="0.3">
      <c r="K5171" s="1">
        <v>39356</v>
      </c>
      <c r="M5171" t="e">
        <v>#N/A</v>
      </c>
      <c r="N5171" s="1">
        <v>38991</v>
      </c>
    </row>
    <row r="5172" spans="11:14" x14ac:dyDescent="0.3">
      <c r="K5172" s="1">
        <v>39356</v>
      </c>
      <c r="M5172" t="e">
        <v>#N/A</v>
      </c>
      <c r="N5172" s="1">
        <v>38991</v>
      </c>
    </row>
    <row r="5173" spans="11:14" x14ac:dyDescent="0.3">
      <c r="K5173" s="1">
        <v>39356</v>
      </c>
      <c r="M5173" t="e">
        <v>#N/A</v>
      </c>
      <c r="N5173" s="1">
        <v>38991</v>
      </c>
    </row>
    <row r="5174" spans="11:14" x14ac:dyDescent="0.3">
      <c r="K5174" s="1">
        <v>39356</v>
      </c>
      <c r="M5174" t="e">
        <v>#N/A</v>
      </c>
      <c r="N5174" s="1">
        <v>38991</v>
      </c>
    </row>
    <row r="5175" spans="11:14" x14ac:dyDescent="0.3">
      <c r="K5175" s="1">
        <v>39356</v>
      </c>
      <c r="M5175" t="e">
        <v>#N/A</v>
      </c>
      <c r="N5175" s="1">
        <v>38991</v>
      </c>
    </row>
    <row r="5176" spans="11:14" x14ac:dyDescent="0.3">
      <c r="K5176" s="1">
        <v>39356</v>
      </c>
      <c r="M5176" t="e">
        <v>#N/A</v>
      </c>
      <c r="N5176" s="1">
        <v>38991</v>
      </c>
    </row>
    <row r="5177" spans="11:14" x14ac:dyDescent="0.3">
      <c r="K5177" s="1">
        <v>39356</v>
      </c>
      <c r="M5177" t="e">
        <v>#N/A</v>
      </c>
      <c r="N5177" s="1">
        <v>38991</v>
      </c>
    </row>
    <row r="5178" spans="11:14" x14ac:dyDescent="0.3">
      <c r="K5178" s="1">
        <v>39356</v>
      </c>
      <c r="M5178" t="e">
        <v>#N/A</v>
      </c>
      <c r="N5178" s="1">
        <v>38991</v>
      </c>
    </row>
    <row r="5179" spans="11:14" x14ac:dyDescent="0.3">
      <c r="K5179" s="1">
        <v>39356</v>
      </c>
      <c r="M5179" t="e">
        <v>#N/A</v>
      </c>
      <c r="N5179" s="1">
        <v>38991</v>
      </c>
    </row>
    <row r="5180" spans="11:14" x14ac:dyDescent="0.3">
      <c r="K5180" s="1">
        <v>39356</v>
      </c>
      <c r="M5180" t="e">
        <v>#N/A</v>
      </c>
      <c r="N5180" s="1">
        <v>38991</v>
      </c>
    </row>
    <row r="5181" spans="11:14" x14ac:dyDescent="0.3">
      <c r="K5181" s="1">
        <v>39356</v>
      </c>
      <c r="M5181" t="e">
        <v>#N/A</v>
      </c>
      <c r="N5181" s="1">
        <v>38991</v>
      </c>
    </row>
    <row r="5182" spans="11:14" x14ac:dyDescent="0.3">
      <c r="K5182" s="1">
        <v>39356</v>
      </c>
      <c r="M5182" t="e">
        <v>#N/A</v>
      </c>
      <c r="N5182" s="1">
        <v>38991</v>
      </c>
    </row>
    <row r="5183" spans="11:14" x14ac:dyDescent="0.3">
      <c r="K5183" s="1">
        <v>39356</v>
      </c>
      <c r="M5183" t="e">
        <v>#N/A</v>
      </c>
      <c r="N5183" s="1">
        <v>38991</v>
      </c>
    </row>
    <row r="5184" spans="11:14" x14ac:dyDescent="0.3">
      <c r="K5184" s="1">
        <v>39356</v>
      </c>
      <c r="M5184" t="e">
        <v>#N/A</v>
      </c>
      <c r="N5184" s="1">
        <v>38991</v>
      </c>
    </row>
    <row r="5185" spans="11:14" x14ac:dyDescent="0.3">
      <c r="K5185" s="1">
        <v>39356</v>
      </c>
      <c r="M5185" t="e">
        <v>#N/A</v>
      </c>
      <c r="N5185" s="1">
        <v>38991</v>
      </c>
    </row>
    <row r="5186" spans="11:14" x14ac:dyDescent="0.3">
      <c r="K5186" s="1">
        <v>39356</v>
      </c>
      <c r="M5186" t="e">
        <v>#N/A</v>
      </c>
      <c r="N5186" s="1">
        <v>38991</v>
      </c>
    </row>
    <row r="5187" spans="11:14" x14ac:dyDescent="0.3">
      <c r="K5187" s="1">
        <v>39356</v>
      </c>
      <c r="M5187" t="e">
        <v>#N/A</v>
      </c>
      <c r="N5187" s="1">
        <v>38991</v>
      </c>
    </row>
    <row r="5188" spans="11:14" x14ac:dyDescent="0.3">
      <c r="K5188" s="1">
        <v>39356</v>
      </c>
      <c r="M5188" t="e">
        <v>#N/A</v>
      </c>
      <c r="N5188" s="1">
        <v>38991</v>
      </c>
    </row>
    <row r="5189" spans="11:14" x14ac:dyDescent="0.3">
      <c r="K5189" s="1">
        <v>39356</v>
      </c>
      <c r="M5189" t="e">
        <v>#N/A</v>
      </c>
      <c r="N5189" s="1">
        <v>38991</v>
      </c>
    </row>
    <row r="5190" spans="11:14" x14ac:dyDescent="0.3">
      <c r="K5190" s="1">
        <v>39356</v>
      </c>
      <c r="M5190" t="e">
        <v>#N/A</v>
      </c>
      <c r="N5190" s="1">
        <v>38991</v>
      </c>
    </row>
    <row r="5191" spans="11:14" x14ac:dyDescent="0.3">
      <c r="K5191" s="1">
        <v>39356</v>
      </c>
      <c r="M5191" t="e">
        <v>#N/A</v>
      </c>
      <c r="N5191" s="1">
        <v>38991</v>
      </c>
    </row>
    <row r="5192" spans="11:14" x14ac:dyDescent="0.3">
      <c r="K5192" s="1">
        <v>39356</v>
      </c>
      <c r="M5192" t="e">
        <v>#N/A</v>
      </c>
      <c r="N5192" s="1">
        <v>38991</v>
      </c>
    </row>
    <row r="5193" spans="11:14" x14ac:dyDescent="0.3">
      <c r="K5193" s="1">
        <v>39356</v>
      </c>
      <c r="M5193" t="e">
        <v>#N/A</v>
      </c>
      <c r="N5193" s="1">
        <v>38991</v>
      </c>
    </row>
    <row r="5194" spans="11:14" x14ac:dyDescent="0.3">
      <c r="K5194" s="1">
        <v>39356</v>
      </c>
      <c r="M5194" t="e">
        <v>#N/A</v>
      </c>
      <c r="N5194" s="1">
        <v>38991</v>
      </c>
    </row>
    <row r="5195" spans="11:14" x14ac:dyDescent="0.3">
      <c r="K5195" s="1">
        <v>39356</v>
      </c>
      <c r="M5195" t="e">
        <v>#N/A</v>
      </c>
      <c r="N5195" s="1">
        <v>38991</v>
      </c>
    </row>
    <row r="5196" spans="11:14" x14ac:dyDescent="0.3">
      <c r="K5196" s="1">
        <v>39356</v>
      </c>
      <c r="M5196" t="e">
        <v>#N/A</v>
      </c>
      <c r="N5196" s="1">
        <v>38991</v>
      </c>
    </row>
    <row r="5197" spans="11:14" x14ac:dyDescent="0.3">
      <c r="K5197" s="1">
        <v>39356</v>
      </c>
      <c r="M5197" t="e">
        <v>#N/A</v>
      </c>
      <c r="N5197" s="1">
        <v>38991</v>
      </c>
    </row>
    <row r="5198" spans="11:14" x14ac:dyDescent="0.3">
      <c r="K5198" s="1">
        <v>39356</v>
      </c>
      <c r="M5198" t="e">
        <v>#N/A</v>
      </c>
      <c r="N5198" s="1">
        <v>38991</v>
      </c>
    </row>
    <row r="5199" spans="11:14" x14ac:dyDescent="0.3">
      <c r="K5199" s="1">
        <v>39356</v>
      </c>
      <c r="M5199" t="e">
        <v>#N/A</v>
      </c>
      <c r="N5199" s="1">
        <v>38991</v>
      </c>
    </row>
    <row r="5200" spans="11:14" x14ac:dyDescent="0.3">
      <c r="K5200" s="1">
        <v>39356</v>
      </c>
      <c r="M5200" t="e">
        <v>#N/A</v>
      </c>
      <c r="N5200" s="1">
        <v>38991</v>
      </c>
    </row>
    <row r="5201" spans="11:14" x14ac:dyDescent="0.3">
      <c r="K5201" s="1">
        <v>39356</v>
      </c>
      <c r="M5201" t="e">
        <v>#N/A</v>
      </c>
      <c r="N5201" s="1">
        <v>38991</v>
      </c>
    </row>
    <row r="5202" spans="11:14" x14ac:dyDescent="0.3">
      <c r="K5202" s="1">
        <v>39356</v>
      </c>
      <c r="M5202" t="e">
        <v>#N/A</v>
      </c>
      <c r="N5202" s="1">
        <v>38991</v>
      </c>
    </row>
    <row r="5203" spans="11:14" x14ac:dyDescent="0.3">
      <c r="K5203" s="1">
        <v>39356</v>
      </c>
      <c r="M5203" t="e">
        <v>#N/A</v>
      </c>
      <c r="N5203" s="1">
        <v>38991</v>
      </c>
    </row>
    <row r="5204" spans="11:14" x14ac:dyDescent="0.3">
      <c r="K5204" s="1">
        <v>39356</v>
      </c>
      <c r="M5204" t="e">
        <v>#N/A</v>
      </c>
      <c r="N5204" s="1">
        <v>38991</v>
      </c>
    </row>
    <row r="5205" spans="11:14" x14ac:dyDescent="0.3">
      <c r="K5205" s="1">
        <v>39356</v>
      </c>
      <c r="M5205" t="e">
        <v>#N/A</v>
      </c>
      <c r="N5205" s="1">
        <v>38991</v>
      </c>
    </row>
    <row r="5206" spans="11:14" x14ac:dyDescent="0.3">
      <c r="K5206" s="1">
        <v>39356</v>
      </c>
      <c r="M5206" t="e">
        <v>#N/A</v>
      </c>
      <c r="N5206" s="1">
        <v>38991</v>
      </c>
    </row>
    <row r="5207" spans="11:14" x14ac:dyDescent="0.3">
      <c r="K5207" s="1">
        <v>39356</v>
      </c>
      <c r="M5207" t="e">
        <v>#N/A</v>
      </c>
      <c r="N5207" s="1">
        <v>38991</v>
      </c>
    </row>
    <row r="5208" spans="11:14" x14ac:dyDescent="0.3">
      <c r="K5208" s="1">
        <v>39356</v>
      </c>
      <c r="M5208" t="e">
        <v>#N/A</v>
      </c>
      <c r="N5208" s="1">
        <v>38991</v>
      </c>
    </row>
    <row r="5209" spans="11:14" x14ac:dyDescent="0.3">
      <c r="K5209" s="1">
        <v>39356</v>
      </c>
      <c r="M5209" t="e">
        <v>#N/A</v>
      </c>
      <c r="N5209" s="1">
        <v>38991</v>
      </c>
    </row>
    <row r="5210" spans="11:14" x14ac:dyDescent="0.3">
      <c r="K5210" s="1">
        <v>39356</v>
      </c>
      <c r="M5210" t="e">
        <v>#N/A</v>
      </c>
      <c r="N5210" s="1">
        <v>38991</v>
      </c>
    </row>
    <row r="5211" spans="11:14" x14ac:dyDescent="0.3">
      <c r="K5211" s="1">
        <v>39356</v>
      </c>
      <c r="M5211" t="e">
        <v>#N/A</v>
      </c>
      <c r="N5211" s="1">
        <v>38991</v>
      </c>
    </row>
    <row r="5212" spans="11:14" x14ac:dyDescent="0.3">
      <c r="K5212" s="1">
        <v>39356</v>
      </c>
      <c r="M5212" t="e">
        <v>#N/A</v>
      </c>
      <c r="N5212" s="1">
        <v>38991</v>
      </c>
    </row>
    <row r="5213" spans="11:14" x14ac:dyDescent="0.3">
      <c r="K5213" s="1">
        <v>39356</v>
      </c>
      <c r="M5213" t="e">
        <v>#N/A</v>
      </c>
      <c r="N5213" s="1">
        <v>38991</v>
      </c>
    </row>
    <row r="5214" spans="11:14" x14ac:dyDescent="0.3">
      <c r="K5214" s="1">
        <v>39356</v>
      </c>
      <c r="M5214" t="e">
        <v>#N/A</v>
      </c>
      <c r="N5214" s="1">
        <v>38991</v>
      </c>
    </row>
    <row r="5215" spans="11:14" x14ac:dyDescent="0.3">
      <c r="K5215" s="1">
        <v>39356</v>
      </c>
      <c r="M5215" t="e">
        <v>#N/A</v>
      </c>
      <c r="N5215" s="1">
        <v>38991</v>
      </c>
    </row>
    <row r="5216" spans="11:14" x14ac:dyDescent="0.3">
      <c r="K5216" s="1">
        <v>39356</v>
      </c>
      <c r="M5216" t="e">
        <v>#N/A</v>
      </c>
      <c r="N5216" s="1">
        <v>38991</v>
      </c>
    </row>
    <row r="5217" spans="11:14" x14ac:dyDescent="0.3">
      <c r="K5217" s="1">
        <v>39356</v>
      </c>
      <c r="M5217" t="e">
        <v>#N/A</v>
      </c>
      <c r="N5217" s="1">
        <v>38991</v>
      </c>
    </row>
    <row r="5218" spans="11:14" x14ac:dyDescent="0.3">
      <c r="K5218" s="1">
        <v>39356</v>
      </c>
      <c r="M5218" t="e">
        <v>#N/A</v>
      </c>
      <c r="N5218" s="1">
        <v>38991</v>
      </c>
    </row>
    <row r="5219" spans="11:14" x14ac:dyDescent="0.3">
      <c r="K5219" s="1">
        <v>39356</v>
      </c>
      <c r="M5219" t="e">
        <v>#N/A</v>
      </c>
      <c r="N5219" s="1">
        <v>38991</v>
      </c>
    </row>
    <row r="5220" spans="11:14" x14ac:dyDescent="0.3">
      <c r="K5220" s="1">
        <v>39356</v>
      </c>
      <c r="M5220" t="e">
        <v>#N/A</v>
      </c>
      <c r="N5220" s="1">
        <v>38991</v>
      </c>
    </row>
    <row r="5221" spans="11:14" x14ac:dyDescent="0.3">
      <c r="K5221" s="1">
        <v>39356</v>
      </c>
      <c r="M5221" t="e">
        <v>#N/A</v>
      </c>
      <c r="N5221" s="1">
        <v>38991</v>
      </c>
    </row>
    <row r="5222" spans="11:14" x14ac:dyDescent="0.3">
      <c r="K5222" s="1">
        <v>39356</v>
      </c>
      <c r="M5222" t="e">
        <v>#N/A</v>
      </c>
      <c r="N5222" s="1">
        <v>38991</v>
      </c>
    </row>
    <row r="5223" spans="11:14" x14ac:dyDescent="0.3">
      <c r="K5223" s="1">
        <v>39356</v>
      </c>
      <c r="M5223" t="e">
        <v>#N/A</v>
      </c>
      <c r="N5223" s="1">
        <v>38991</v>
      </c>
    </row>
    <row r="5224" spans="11:14" x14ac:dyDescent="0.3">
      <c r="K5224" s="1">
        <v>39356</v>
      </c>
      <c r="M5224" t="e">
        <v>#N/A</v>
      </c>
      <c r="N5224" s="1">
        <v>38991</v>
      </c>
    </row>
    <row r="5225" spans="11:14" x14ac:dyDescent="0.3">
      <c r="K5225" s="1">
        <v>39356</v>
      </c>
      <c r="M5225" t="e">
        <v>#N/A</v>
      </c>
      <c r="N5225" s="1">
        <v>38991</v>
      </c>
    </row>
    <row r="5226" spans="11:14" x14ac:dyDescent="0.3">
      <c r="K5226" s="1">
        <v>39356</v>
      </c>
      <c r="M5226" t="e">
        <v>#N/A</v>
      </c>
      <c r="N5226" s="1">
        <v>38991</v>
      </c>
    </row>
    <row r="5227" spans="11:14" x14ac:dyDescent="0.3">
      <c r="K5227" s="1">
        <v>39356</v>
      </c>
      <c r="M5227" t="e">
        <v>#N/A</v>
      </c>
      <c r="N5227" s="1">
        <v>38991</v>
      </c>
    </row>
    <row r="5228" spans="11:14" x14ac:dyDescent="0.3">
      <c r="K5228" s="1">
        <v>39356</v>
      </c>
      <c r="M5228" t="e">
        <v>#N/A</v>
      </c>
      <c r="N5228" s="1">
        <v>38991</v>
      </c>
    </row>
    <row r="5229" spans="11:14" x14ac:dyDescent="0.3">
      <c r="K5229" s="1">
        <v>39356</v>
      </c>
      <c r="M5229" t="e">
        <v>#N/A</v>
      </c>
      <c r="N5229" s="1">
        <v>38991</v>
      </c>
    </row>
    <row r="5230" spans="11:14" x14ac:dyDescent="0.3">
      <c r="K5230" s="1">
        <v>39356</v>
      </c>
      <c r="M5230" t="e">
        <v>#N/A</v>
      </c>
      <c r="N5230" s="1">
        <v>38991</v>
      </c>
    </row>
    <row r="5231" spans="11:14" x14ac:dyDescent="0.3">
      <c r="K5231" s="1">
        <v>39356</v>
      </c>
      <c r="M5231" t="e">
        <v>#N/A</v>
      </c>
      <c r="N5231" s="1">
        <v>38991</v>
      </c>
    </row>
    <row r="5232" spans="11:14" x14ac:dyDescent="0.3">
      <c r="K5232" s="1">
        <v>39356</v>
      </c>
      <c r="M5232" t="e">
        <v>#N/A</v>
      </c>
      <c r="N5232" s="1">
        <v>38991</v>
      </c>
    </row>
    <row r="5233" spans="11:14" x14ac:dyDescent="0.3">
      <c r="K5233" s="1">
        <v>39356</v>
      </c>
      <c r="M5233" t="e">
        <v>#N/A</v>
      </c>
      <c r="N5233" s="1">
        <v>38991</v>
      </c>
    </row>
    <row r="5234" spans="11:14" x14ac:dyDescent="0.3">
      <c r="K5234" s="1">
        <v>39356</v>
      </c>
      <c r="M5234" t="e">
        <v>#N/A</v>
      </c>
      <c r="N5234" s="1">
        <v>38991</v>
      </c>
    </row>
    <row r="5235" spans="11:14" x14ac:dyDescent="0.3">
      <c r="K5235" s="1">
        <v>39356</v>
      </c>
      <c r="M5235" t="e">
        <v>#N/A</v>
      </c>
      <c r="N5235" s="1">
        <v>38991</v>
      </c>
    </row>
    <row r="5236" spans="11:14" x14ac:dyDescent="0.3">
      <c r="K5236" s="1">
        <v>39356</v>
      </c>
      <c r="M5236" t="e">
        <v>#N/A</v>
      </c>
      <c r="N5236" s="1">
        <v>38991</v>
      </c>
    </row>
    <row r="5237" spans="11:14" x14ac:dyDescent="0.3">
      <c r="K5237" s="1">
        <v>39356</v>
      </c>
      <c r="M5237" t="e">
        <v>#N/A</v>
      </c>
      <c r="N5237" s="1">
        <v>38991</v>
      </c>
    </row>
    <row r="5238" spans="11:14" x14ac:dyDescent="0.3">
      <c r="K5238" s="1">
        <v>39356</v>
      </c>
      <c r="M5238" t="e">
        <v>#N/A</v>
      </c>
      <c r="N5238" s="1">
        <v>38991</v>
      </c>
    </row>
    <row r="5239" spans="11:14" x14ac:dyDescent="0.3">
      <c r="K5239" s="1">
        <v>39356</v>
      </c>
      <c r="M5239" t="e">
        <v>#N/A</v>
      </c>
      <c r="N5239" s="1">
        <v>38991</v>
      </c>
    </row>
    <row r="5240" spans="11:14" x14ac:dyDescent="0.3">
      <c r="K5240" s="1">
        <v>39356</v>
      </c>
      <c r="M5240" t="e">
        <v>#N/A</v>
      </c>
      <c r="N5240" s="1">
        <v>38991</v>
      </c>
    </row>
    <row r="5241" spans="11:14" x14ac:dyDescent="0.3">
      <c r="K5241" s="1">
        <v>39356</v>
      </c>
      <c r="M5241" t="e">
        <v>#N/A</v>
      </c>
      <c r="N5241" s="1">
        <v>38991</v>
      </c>
    </row>
    <row r="5242" spans="11:14" x14ac:dyDescent="0.3">
      <c r="K5242" s="1">
        <v>39356</v>
      </c>
      <c r="M5242" t="e">
        <v>#N/A</v>
      </c>
      <c r="N5242" s="1">
        <v>38991</v>
      </c>
    </row>
    <row r="5243" spans="11:14" x14ac:dyDescent="0.3">
      <c r="K5243" s="1">
        <v>39356</v>
      </c>
      <c r="M5243" t="e">
        <v>#N/A</v>
      </c>
      <c r="N5243" s="1">
        <v>38991</v>
      </c>
    </row>
    <row r="5244" spans="11:14" x14ac:dyDescent="0.3">
      <c r="K5244" s="1">
        <v>39356</v>
      </c>
      <c r="M5244" t="e">
        <v>#N/A</v>
      </c>
      <c r="N5244" s="1">
        <v>38991</v>
      </c>
    </row>
    <row r="5245" spans="11:14" x14ac:dyDescent="0.3">
      <c r="K5245" s="1">
        <v>39356</v>
      </c>
      <c r="M5245" t="e">
        <v>#N/A</v>
      </c>
      <c r="N5245" s="1">
        <v>38991</v>
      </c>
    </row>
    <row r="5246" spans="11:14" x14ac:dyDescent="0.3">
      <c r="K5246" s="1">
        <v>39356</v>
      </c>
      <c r="M5246" t="e">
        <v>#N/A</v>
      </c>
      <c r="N5246" s="1">
        <v>38991</v>
      </c>
    </row>
    <row r="5247" spans="11:14" x14ac:dyDescent="0.3">
      <c r="K5247" s="1">
        <v>39356</v>
      </c>
      <c r="M5247" t="e">
        <v>#N/A</v>
      </c>
      <c r="N5247" s="1">
        <v>38991</v>
      </c>
    </row>
    <row r="5248" spans="11:14" x14ac:dyDescent="0.3">
      <c r="K5248" s="1">
        <v>39356</v>
      </c>
      <c r="M5248" t="e">
        <v>#N/A</v>
      </c>
      <c r="N5248" s="1">
        <v>38991</v>
      </c>
    </row>
    <row r="5249" spans="11:14" x14ac:dyDescent="0.3">
      <c r="K5249" s="1">
        <v>39356</v>
      </c>
      <c r="M5249" t="e">
        <v>#N/A</v>
      </c>
      <c r="N5249" s="1">
        <v>38991</v>
      </c>
    </row>
    <row r="5250" spans="11:14" x14ac:dyDescent="0.3">
      <c r="K5250" s="1">
        <v>39356</v>
      </c>
      <c r="M5250" t="e">
        <v>#N/A</v>
      </c>
      <c r="N5250" s="1">
        <v>38991</v>
      </c>
    </row>
    <row r="5251" spans="11:14" x14ac:dyDescent="0.3">
      <c r="K5251" s="1">
        <v>39356</v>
      </c>
      <c r="M5251" t="e">
        <v>#N/A</v>
      </c>
      <c r="N5251" s="1">
        <v>38991</v>
      </c>
    </row>
    <row r="5252" spans="11:14" x14ac:dyDescent="0.3">
      <c r="K5252" s="1">
        <v>39356</v>
      </c>
      <c r="M5252" t="e">
        <v>#N/A</v>
      </c>
      <c r="N5252" s="1">
        <v>38991</v>
      </c>
    </row>
    <row r="5253" spans="11:14" x14ac:dyDescent="0.3">
      <c r="K5253" s="1">
        <v>39356</v>
      </c>
      <c r="M5253" t="e">
        <v>#N/A</v>
      </c>
      <c r="N5253" s="1">
        <v>38991</v>
      </c>
    </row>
    <row r="5254" spans="11:14" x14ac:dyDescent="0.3">
      <c r="K5254" s="1">
        <v>39356</v>
      </c>
      <c r="M5254" t="e">
        <v>#N/A</v>
      </c>
      <c r="N5254" s="1">
        <v>38991</v>
      </c>
    </row>
    <row r="5255" spans="11:14" x14ac:dyDescent="0.3">
      <c r="K5255" s="1">
        <v>39356</v>
      </c>
      <c r="M5255" t="e">
        <v>#N/A</v>
      </c>
      <c r="N5255" s="1">
        <v>38991</v>
      </c>
    </row>
    <row r="5256" spans="11:14" x14ac:dyDescent="0.3">
      <c r="K5256" s="1">
        <v>39356</v>
      </c>
      <c r="M5256" t="e">
        <v>#N/A</v>
      </c>
      <c r="N5256" s="1">
        <v>38991</v>
      </c>
    </row>
    <row r="5257" spans="11:14" x14ac:dyDescent="0.3">
      <c r="K5257" s="1">
        <v>39356</v>
      </c>
      <c r="M5257" t="e">
        <v>#N/A</v>
      </c>
      <c r="N5257" s="1">
        <v>38991</v>
      </c>
    </row>
    <row r="5258" spans="11:14" x14ac:dyDescent="0.3">
      <c r="K5258" s="1">
        <v>39356</v>
      </c>
      <c r="M5258" t="e">
        <v>#N/A</v>
      </c>
      <c r="N5258" s="1">
        <v>38991</v>
      </c>
    </row>
    <row r="5259" spans="11:14" x14ac:dyDescent="0.3">
      <c r="K5259" s="1">
        <v>39356</v>
      </c>
      <c r="M5259" t="e">
        <v>#N/A</v>
      </c>
      <c r="N5259" s="1">
        <v>38991</v>
      </c>
    </row>
    <row r="5260" spans="11:14" x14ac:dyDescent="0.3">
      <c r="K5260" s="1">
        <v>39356</v>
      </c>
      <c r="M5260" t="e">
        <v>#N/A</v>
      </c>
      <c r="N5260" s="1">
        <v>38991</v>
      </c>
    </row>
    <row r="5261" spans="11:14" x14ac:dyDescent="0.3">
      <c r="K5261" s="1">
        <v>39356</v>
      </c>
      <c r="M5261" t="e">
        <v>#N/A</v>
      </c>
      <c r="N5261" s="1">
        <v>38991</v>
      </c>
    </row>
    <row r="5262" spans="11:14" x14ac:dyDescent="0.3">
      <c r="K5262" s="1">
        <v>39356</v>
      </c>
      <c r="M5262" t="e">
        <v>#N/A</v>
      </c>
      <c r="N5262" s="1">
        <v>38991</v>
      </c>
    </row>
    <row r="5263" spans="11:14" x14ac:dyDescent="0.3">
      <c r="K5263" s="1">
        <v>39356</v>
      </c>
      <c r="M5263" t="e">
        <v>#N/A</v>
      </c>
      <c r="N5263" s="1">
        <v>38991</v>
      </c>
    </row>
    <row r="5264" spans="11:14" x14ac:dyDescent="0.3">
      <c r="K5264" s="1">
        <v>39356</v>
      </c>
      <c r="M5264" t="e">
        <v>#N/A</v>
      </c>
      <c r="N5264" s="1">
        <v>38991</v>
      </c>
    </row>
    <row r="5265" spans="11:14" x14ac:dyDescent="0.3">
      <c r="K5265" s="1">
        <v>39356</v>
      </c>
      <c r="M5265" t="e">
        <v>#N/A</v>
      </c>
      <c r="N5265" s="1">
        <v>38991</v>
      </c>
    </row>
    <row r="5266" spans="11:14" x14ac:dyDescent="0.3">
      <c r="K5266" s="1">
        <v>39356</v>
      </c>
      <c r="M5266" t="e">
        <v>#N/A</v>
      </c>
      <c r="N5266" s="1">
        <v>38991</v>
      </c>
    </row>
    <row r="5267" spans="11:14" x14ac:dyDescent="0.3">
      <c r="K5267" s="1">
        <v>39356</v>
      </c>
      <c r="M5267" t="e">
        <v>#N/A</v>
      </c>
      <c r="N5267" s="1">
        <v>38991</v>
      </c>
    </row>
    <row r="5268" spans="11:14" x14ac:dyDescent="0.3">
      <c r="K5268" s="1">
        <v>39356</v>
      </c>
      <c r="M5268" t="e">
        <v>#N/A</v>
      </c>
      <c r="N5268" s="1">
        <v>38991</v>
      </c>
    </row>
    <row r="5269" spans="11:14" x14ac:dyDescent="0.3">
      <c r="K5269" s="1">
        <v>39356</v>
      </c>
      <c r="M5269" t="e">
        <v>#N/A</v>
      </c>
      <c r="N5269" s="1">
        <v>38991</v>
      </c>
    </row>
    <row r="5270" spans="11:14" x14ac:dyDescent="0.3">
      <c r="K5270" s="1">
        <v>39356</v>
      </c>
      <c r="M5270" t="e">
        <v>#N/A</v>
      </c>
      <c r="N5270" s="1">
        <v>38991</v>
      </c>
    </row>
    <row r="5271" spans="11:14" x14ac:dyDescent="0.3">
      <c r="K5271" s="1">
        <v>39356</v>
      </c>
      <c r="M5271" t="e">
        <v>#N/A</v>
      </c>
      <c r="N5271" s="1">
        <v>38991</v>
      </c>
    </row>
    <row r="5272" spans="11:14" x14ac:dyDescent="0.3">
      <c r="K5272" s="1">
        <v>39356</v>
      </c>
      <c r="M5272" t="e">
        <v>#N/A</v>
      </c>
      <c r="N5272" s="1">
        <v>38991</v>
      </c>
    </row>
    <row r="5273" spans="11:14" x14ac:dyDescent="0.3">
      <c r="K5273" s="1">
        <v>39356</v>
      </c>
      <c r="M5273" t="e">
        <v>#N/A</v>
      </c>
      <c r="N5273" s="1">
        <v>38991</v>
      </c>
    </row>
    <row r="5274" spans="11:14" x14ac:dyDescent="0.3">
      <c r="K5274" s="1">
        <v>39356</v>
      </c>
      <c r="M5274" t="e">
        <v>#N/A</v>
      </c>
      <c r="N5274" s="1">
        <v>38991</v>
      </c>
    </row>
    <row r="5275" spans="11:14" x14ac:dyDescent="0.3">
      <c r="K5275" s="1">
        <v>39356</v>
      </c>
      <c r="M5275" t="e">
        <v>#N/A</v>
      </c>
      <c r="N5275" s="1">
        <v>38991</v>
      </c>
    </row>
    <row r="5276" spans="11:14" x14ac:dyDescent="0.3">
      <c r="K5276" s="1">
        <v>39356</v>
      </c>
      <c r="M5276" t="e">
        <v>#N/A</v>
      </c>
      <c r="N5276" s="1">
        <v>38991</v>
      </c>
    </row>
    <row r="5277" spans="11:14" x14ac:dyDescent="0.3">
      <c r="K5277" s="1">
        <v>39356</v>
      </c>
      <c r="M5277" t="e">
        <v>#N/A</v>
      </c>
      <c r="N5277" s="1">
        <v>38991</v>
      </c>
    </row>
    <row r="5278" spans="11:14" x14ac:dyDescent="0.3">
      <c r="K5278" s="1">
        <v>39356</v>
      </c>
      <c r="M5278" t="e">
        <v>#N/A</v>
      </c>
      <c r="N5278" s="1">
        <v>38991</v>
      </c>
    </row>
    <row r="5279" spans="11:14" x14ac:dyDescent="0.3">
      <c r="K5279" s="1">
        <v>39356</v>
      </c>
      <c r="M5279" t="e">
        <v>#N/A</v>
      </c>
      <c r="N5279" s="1">
        <v>38991</v>
      </c>
    </row>
    <row r="5280" spans="11:14" x14ac:dyDescent="0.3">
      <c r="K5280" s="1">
        <v>39356</v>
      </c>
      <c r="M5280" t="e">
        <v>#N/A</v>
      </c>
      <c r="N5280" s="1">
        <v>38991</v>
      </c>
    </row>
    <row r="5281" spans="11:14" x14ac:dyDescent="0.3">
      <c r="K5281" s="1">
        <v>39356</v>
      </c>
      <c r="M5281" t="e">
        <v>#N/A</v>
      </c>
      <c r="N5281" s="1">
        <v>38991</v>
      </c>
    </row>
    <row r="5282" spans="11:14" x14ac:dyDescent="0.3">
      <c r="K5282" s="1">
        <v>39356</v>
      </c>
      <c r="M5282" t="e">
        <v>#N/A</v>
      </c>
      <c r="N5282" s="1">
        <v>38991</v>
      </c>
    </row>
    <row r="5283" spans="11:14" x14ac:dyDescent="0.3">
      <c r="K5283" s="1">
        <v>39356</v>
      </c>
      <c r="M5283" t="e">
        <v>#N/A</v>
      </c>
      <c r="N5283" s="1">
        <v>38991</v>
      </c>
    </row>
    <row r="5284" spans="11:14" x14ac:dyDescent="0.3">
      <c r="K5284" s="1">
        <v>39356</v>
      </c>
      <c r="M5284" t="e">
        <v>#N/A</v>
      </c>
      <c r="N5284" s="1">
        <v>38991</v>
      </c>
    </row>
    <row r="5285" spans="11:14" x14ac:dyDescent="0.3">
      <c r="K5285" s="1">
        <v>39356</v>
      </c>
      <c r="M5285" t="e">
        <v>#N/A</v>
      </c>
      <c r="N5285" s="1">
        <v>38991</v>
      </c>
    </row>
    <row r="5286" spans="11:14" x14ac:dyDescent="0.3">
      <c r="K5286" s="1">
        <v>39356</v>
      </c>
      <c r="M5286" t="e">
        <v>#N/A</v>
      </c>
      <c r="N5286" s="1">
        <v>38991</v>
      </c>
    </row>
    <row r="5287" spans="11:14" x14ac:dyDescent="0.3">
      <c r="K5287" s="1">
        <v>39356</v>
      </c>
      <c r="M5287" t="e">
        <v>#N/A</v>
      </c>
      <c r="N5287" s="1">
        <v>38991</v>
      </c>
    </row>
    <row r="5288" spans="11:14" x14ac:dyDescent="0.3">
      <c r="K5288" s="1">
        <v>39356</v>
      </c>
      <c r="M5288" t="e">
        <v>#N/A</v>
      </c>
      <c r="N5288" s="1">
        <v>38991</v>
      </c>
    </row>
    <row r="5289" spans="11:14" x14ac:dyDescent="0.3">
      <c r="K5289" s="1">
        <v>39356</v>
      </c>
      <c r="M5289" t="e">
        <v>#N/A</v>
      </c>
      <c r="N5289" s="1">
        <v>38991</v>
      </c>
    </row>
    <row r="5290" spans="11:14" x14ac:dyDescent="0.3">
      <c r="K5290" s="1">
        <v>39356</v>
      </c>
      <c r="M5290" t="e">
        <v>#N/A</v>
      </c>
      <c r="N5290" s="1">
        <v>38991</v>
      </c>
    </row>
    <row r="5291" spans="11:14" x14ac:dyDescent="0.3">
      <c r="K5291" s="1">
        <v>39356</v>
      </c>
      <c r="M5291" t="e">
        <v>#N/A</v>
      </c>
      <c r="N5291" s="1">
        <v>38991</v>
      </c>
    </row>
    <row r="5292" spans="11:14" x14ac:dyDescent="0.3">
      <c r="K5292" s="1">
        <v>39356</v>
      </c>
      <c r="M5292" t="e">
        <v>#N/A</v>
      </c>
      <c r="N5292" s="1">
        <v>38991</v>
      </c>
    </row>
    <row r="5293" spans="11:14" x14ac:dyDescent="0.3">
      <c r="K5293" s="1">
        <v>39356</v>
      </c>
      <c r="M5293" t="e">
        <v>#N/A</v>
      </c>
      <c r="N5293" s="1">
        <v>38991</v>
      </c>
    </row>
    <row r="5294" spans="11:14" x14ac:dyDescent="0.3">
      <c r="K5294" s="1">
        <v>39356</v>
      </c>
      <c r="M5294" t="e">
        <v>#N/A</v>
      </c>
      <c r="N5294" s="1">
        <v>38991</v>
      </c>
    </row>
    <row r="5295" spans="11:14" x14ac:dyDescent="0.3">
      <c r="K5295" s="1">
        <v>39356</v>
      </c>
      <c r="M5295" t="e">
        <v>#N/A</v>
      </c>
      <c r="N5295" s="1">
        <v>38991</v>
      </c>
    </row>
    <row r="5296" spans="11:14" x14ac:dyDescent="0.3">
      <c r="K5296" s="1">
        <v>39356</v>
      </c>
      <c r="M5296" t="e">
        <v>#N/A</v>
      </c>
      <c r="N5296" s="1">
        <v>38991</v>
      </c>
    </row>
    <row r="5297" spans="11:14" x14ac:dyDescent="0.3">
      <c r="K5297" s="1">
        <v>39356</v>
      </c>
      <c r="M5297" t="e">
        <v>#N/A</v>
      </c>
      <c r="N5297" s="1">
        <v>38991</v>
      </c>
    </row>
    <row r="5298" spans="11:14" x14ac:dyDescent="0.3">
      <c r="K5298" s="1">
        <v>39356</v>
      </c>
      <c r="M5298" t="e">
        <v>#N/A</v>
      </c>
      <c r="N5298" s="1">
        <v>38991</v>
      </c>
    </row>
    <row r="5299" spans="11:14" x14ac:dyDescent="0.3">
      <c r="K5299" s="1">
        <v>39356</v>
      </c>
      <c r="M5299" t="e">
        <v>#N/A</v>
      </c>
      <c r="N5299" s="1">
        <v>38991</v>
      </c>
    </row>
    <row r="5300" spans="11:14" x14ac:dyDescent="0.3">
      <c r="K5300" s="1">
        <v>39356</v>
      </c>
      <c r="M5300" t="e">
        <v>#N/A</v>
      </c>
      <c r="N5300" s="1">
        <v>38991</v>
      </c>
    </row>
    <row r="5301" spans="11:14" x14ac:dyDescent="0.3">
      <c r="K5301" s="1">
        <v>39356</v>
      </c>
      <c r="M5301" t="e">
        <v>#N/A</v>
      </c>
      <c r="N5301" s="1">
        <v>38991</v>
      </c>
    </row>
    <row r="5302" spans="11:14" x14ac:dyDescent="0.3">
      <c r="K5302" s="1">
        <v>39356</v>
      </c>
      <c r="M5302" t="e">
        <v>#N/A</v>
      </c>
      <c r="N5302" s="1">
        <v>38991</v>
      </c>
    </row>
    <row r="5303" spans="11:14" x14ac:dyDescent="0.3">
      <c r="K5303" s="1">
        <v>39356</v>
      </c>
      <c r="M5303" t="e">
        <v>#N/A</v>
      </c>
      <c r="N5303" s="1">
        <v>38991</v>
      </c>
    </row>
    <row r="5304" spans="11:14" x14ac:dyDescent="0.3">
      <c r="K5304" s="1">
        <v>39356</v>
      </c>
      <c r="M5304" t="e">
        <v>#N/A</v>
      </c>
      <c r="N5304" s="1">
        <v>38991</v>
      </c>
    </row>
    <row r="5305" spans="11:14" x14ac:dyDescent="0.3">
      <c r="K5305" s="1">
        <v>39356</v>
      </c>
      <c r="M5305" t="e">
        <v>#N/A</v>
      </c>
      <c r="N5305" s="1">
        <v>38991</v>
      </c>
    </row>
    <row r="5306" spans="11:14" x14ac:dyDescent="0.3">
      <c r="K5306" s="1">
        <v>39356</v>
      </c>
      <c r="M5306" t="e">
        <v>#N/A</v>
      </c>
      <c r="N5306" s="1">
        <v>38991</v>
      </c>
    </row>
    <row r="5307" spans="11:14" x14ac:dyDescent="0.3">
      <c r="K5307" s="1">
        <v>39356</v>
      </c>
      <c r="M5307" t="e">
        <v>#N/A</v>
      </c>
      <c r="N5307" s="1">
        <v>38991</v>
      </c>
    </row>
    <row r="5308" spans="11:14" x14ac:dyDescent="0.3">
      <c r="K5308" s="1">
        <v>39356</v>
      </c>
      <c r="M5308" t="e">
        <v>#N/A</v>
      </c>
      <c r="N5308" s="1">
        <v>38991</v>
      </c>
    </row>
    <row r="5309" spans="11:14" x14ac:dyDescent="0.3">
      <c r="K5309" s="1">
        <v>39356</v>
      </c>
      <c r="M5309" t="e">
        <v>#N/A</v>
      </c>
      <c r="N5309" s="1">
        <v>38991</v>
      </c>
    </row>
    <row r="5310" spans="11:14" x14ac:dyDescent="0.3">
      <c r="K5310" s="1">
        <v>39356</v>
      </c>
      <c r="M5310" t="e">
        <v>#N/A</v>
      </c>
      <c r="N5310" s="1">
        <v>38991</v>
      </c>
    </row>
    <row r="5311" spans="11:14" x14ac:dyDescent="0.3">
      <c r="K5311" s="1">
        <v>39356</v>
      </c>
      <c r="M5311" t="e">
        <v>#N/A</v>
      </c>
      <c r="N5311" s="1">
        <v>38991</v>
      </c>
    </row>
    <row r="5312" spans="11:14" x14ac:dyDescent="0.3">
      <c r="K5312" s="1">
        <v>39356</v>
      </c>
      <c r="M5312" t="e">
        <v>#N/A</v>
      </c>
      <c r="N5312" s="1">
        <v>38991</v>
      </c>
    </row>
    <row r="5313" spans="11:14" x14ac:dyDescent="0.3">
      <c r="K5313" s="1">
        <v>39356</v>
      </c>
      <c r="M5313" t="e">
        <v>#N/A</v>
      </c>
      <c r="N5313" s="1">
        <v>38991</v>
      </c>
    </row>
    <row r="5314" spans="11:14" x14ac:dyDescent="0.3">
      <c r="K5314" s="1">
        <v>39356</v>
      </c>
      <c r="M5314" t="e">
        <v>#N/A</v>
      </c>
      <c r="N5314" s="1">
        <v>38991</v>
      </c>
    </row>
    <row r="5315" spans="11:14" x14ac:dyDescent="0.3">
      <c r="K5315" s="1">
        <v>39356</v>
      </c>
      <c r="M5315" t="e">
        <v>#N/A</v>
      </c>
      <c r="N5315" s="1">
        <v>38991</v>
      </c>
    </row>
    <row r="5316" spans="11:14" x14ac:dyDescent="0.3">
      <c r="K5316" s="1">
        <v>39356</v>
      </c>
      <c r="M5316" t="e">
        <v>#N/A</v>
      </c>
      <c r="N5316" s="1">
        <v>38991</v>
      </c>
    </row>
    <row r="5317" spans="11:14" x14ac:dyDescent="0.3">
      <c r="K5317" s="1">
        <v>39356</v>
      </c>
      <c r="M5317" t="e">
        <v>#N/A</v>
      </c>
      <c r="N5317" s="1">
        <v>38991</v>
      </c>
    </row>
    <row r="5318" spans="11:14" x14ac:dyDescent="0.3">
      <c r="K5318" s="1">
        <v>39356</v>
      </c>
      <c r="M5318" t="e">
        <v>#N/A</v>
      </c>
      <c r="N5318" s="1">
        <v>38991</v>
      </c>
    </row>
    <row r="5319" spans="11:14" x14ac:dyDescent="0.3">
      <c r="K5319" s="1">
        <v>39356</v>
      </c>
      <c r="M5319" t="e">
        <v>#N/A</v>
      </c>
      <c r="N5319" s="1">
        <v>38991</v>
      </c>
    </row>
    <row r="5320" spans="11:14" x14ac:dyDescent="0.3">
      <c r="K5320" s="1">
        <v>39356</v>
      </c>
      <c r="M5320" t="e">
        <v>#N/A</v>
      </c>
      <c r="N5320" s="1">
        <v>38991</v>
      </c>
    </row>
    <row r="5321" spans="11:14" x14ac:dyDescent="0.3">
      <c r="K5321" s="1">
        <v>39356</v>
      </c>
      <c r="M5321" t="e">
        <v>#N/A</v>
      </c>
      <c r="N5321" s="1">
        <v>38991</v>
      </c>
    </row>
    <row r="5322" spans="11:14" x14ac:dyDescent="0.3">
      <c r="K5322" s="1">
        <v>39448</v>
      </c>
      <c r="M5322" t="e">
        <v>#N/A</v>
      </c>
      <c r="N5322" s="1">
        <v>38991</v>
      </c>
    </row>
    <row r="5323" spans="11:14" x14ac:dyDescent="0.3">
      <c r="K5323" s="1">
        <v>39448</v>
      </c>
      <c r="M5323" t="e">
        <v>#N/A</v>
      </c>
      <c r="N5323" s="1">
        <v>38991</v>
      </c>
    </row>
    <row r="5324" spans="11:14" x14ac:dyDescent="0.3">
      <c r="K5324" s="1">
        <v>39448</v>
      </c>
      <c r="M5324" t="e">
        <v>#N/A</v>
      </c>
      <c r="N5324" s="1">
        <v>38991</v>
      </c>
    </row>
    <row r="5325" spans="11:14" x14ac:dyDescent="0.3">
      <c r="K5325" s="1">
        <v>39448</v>
      </c>
      <c r="M5325" t="e">
        <v>#N/A</v>
      </c>
      <c r="N5325" s="1">
        <v>38991</v>
      </c>
    </row>
    <row r="5326" spans="11:14" x14ac:dyDescent="0.3">
      <c r="K5326" s="1">
        <v>39448</v>
      </c>
      <c r="M5326" t="e">
        <v>#N/A</v>
      </c>
      <c r="N5326" s="1">
        <v>38991</v>
      </c>
    </row>
    <row r="5327" spans="11:14" x14ac:dyDescent="0.3">
      <c r="K5327" s="1">
        <v>39448</v>
      </c>
      <c r="M5327" t="e">
        <v>#N/A</v>
      </c>
      <c r="N5327" s="1">
        <v>38991</v>
      </c>
    </row>
    <row r="5328" spans="11:14" x14ac:dyDescent="0.3">
      <c r="K5328" s="1">
        <v>39448</v>
      </c>
      <c r="M5328" t="e">
        <v>#N/A</v>
      </c>
      <c r="N5328" s="1">
        <v>38991</v>
      </c>
    </row>
    <row r="5329" spans="11:14" x14ac:dyDescent="0.3">
      <c r="K5329" s="1">
        <v>39448</v>
      </c>
      <c r="M5329" t="e">
        <v>#N/A</v>
      </c>
      <c r="N5329" s="1">
        <v>38991</v>
      </c>
    </row>
    <row r="5330" spans="11:14" x14ac:dyDescent="0.3">
      <c r="K5330" s="1">
        <v>39448</v>
      </c>
      <c r="M5330" t="e">
        <v>#N/A</v>
      </c>
      <c r="N5330" s="1">
        <v>38991</v>
      </c>
    </row>
    <row r="5331" spans="11:14" x14ac:dyDescent="0.3">
      <c r="K5331" s="1">
        <v>39448</v>
      </c>
      <c r="M5331" t="e">
        <v>#N/A</v>
      </c>
      <c r="N5331" s="1">
        <v>38991</v>
      </c>
    </row>
    <row r="5332" spans="11:14" x14ac:dyDescent="0.3">
      <c r="K5332" s="1">
        <v>39448</v>
      </c>
      <c r="M5332" t="e">
        <v>#N/A</v>
      </c>
      <c r="N5332" s="1">
        <v>38991</v>
      </c>
    </row>
    <row r="5333" spans="11:14" x14ac:dyDescent="0.3">
      <c r="K5333" s="1">
        <v>39448</v>
      </c>
      <c r="M5333" t="e">
        <v>#N/A</v>
      </c>
      <c r="N5333" s="1">
        <v>38991</v>
      </c>
    </row>
    <row r="5334" spans="11:14" x14ac:dyDescent="0.3">
      <c r="K5334" s="1">
        <v>39448</v>
      </c>
      <c r="M5334" t="e">
        <v>#N/A</v>
      </c>
      <c r="N5334" s="1">
        <v>38991</v>
      </c>
    </row>
    <row r="5335" spans="11:14" x14ac:dyDescent="0.3">
      <c r="K5335" s="1">
        <v>39448</v>
      </c>
      <c r="M5335" t="e">
        <v>#N/A</v>
      </c>
      <c r="N5335" s="1">
        <v>38991</v>
      </c>
    </row>
    <row r="5336" spans="11:14" x14ac:dyDescent="0.3">
      <c r="K5336" s="1">
        <v>39448</v>
      </c>
      <c r="M5336" t="e">
        <v>#N/A</v>
      </c>
      <c r="N5336" s="1">
        <v>38991</v>
      </c>
    </row>
    <row r="5337" spans="11:14" x14ac:dyDescent="0.3">
      <c r="K5337" s="1">
        <v>39448</v>
      </c>
      <c r="M5337" t="e">
        <v>#N/A</v>
      </c>
      <c r="N5337" s="1">
        <v>38991</v>
      </c>
    </row>
    <row r="5338" spans="11:14" x14ac:dyDescent="0.3">
      <c r="K5338" s="1">
        <v>39448</v>
      </c>
      <c r="M5338" t="e">
        <v>#N/A</v>
      </c>
      <c r="N5338" s="1">
        <v>38991</v>
      </c>
    </row>
    <row r="5339" spans="11:14" x14ac:dyDescent="0.3">
      <c r="K5339" s="1">
        <v>39448</v>
      </c>
      <c r="M5339" t="e">
        <v>#N/A</v>
      </c>
      <c r="N5339" s="1">
        <v>38991</v>
      </c>
    </row>
    <row r="5340" spans="11:14" x14ac:dyDescent="0.3">
      <c r="K5340" s="1">
        <v>39448</v>
      </c>
      <c r="M5340" t="e">
        <v>#N/A</v>
      </c>
      <c r="N5340" s="1">
        <v>38991</v>
      </c>
    </row>
    <row r="5341" spans="11:14" x14ac:dyDescent="0.3">
      <c r="K5341" s="1">
        <v>39448</v>
      </c>
      <c r="M5341" t="e">
        <v>#N/A</v>
      </c>
      <c r="N5341" s="1">
        <v>38991</v>
      </c>
    </row>
    <row r="5342" spans="11:14" x14ac:dyDescent="0.3">
      <c r="K5342" s="1">
        <v>39448</v>
      </c>
      <c r="M5342" t="e">
        <v>#N/A</v>
      </c>
      <c r="N5342" s="1">
        <v>38991</v>
      </c>
    </row>
    <row r="5343" spans="11:14" x14ac:dyDescent="0.3">
      <c r="K5343" s="1">
        <v>39448</v>
      </c>
      <c r="M5343" t="e">
        <v>#N/A</v>
      </c>
      <c r="N5343" s="1">
        <v>38991</v>
      </c>
    </row>
    <row r="5344" spans="11:14" x14ac:dyDescent="0.3">
      <c r="K5344" s="1">
        <v>39448</v>
      </c>
      <c r="M5344" t="e">
        <v>#N/A</v>
      </c>
      <c r="N5344" s="1">
        <v>38991</v>
      </c>
    </row>
    <row r="5345" spans="11:14" x14ac:dyDescent="0.3">
      <c r="K5345" s="1">
        <v>39448</v>
      </c>
      <c r="M5345" t="e">
        <v>#N/A</v>
      </c>
      <c r="N5345" s="1">
        <v>38991</v>
      </c>
    </row>
    <row r="5346" spans="11:14" x14ac:dyDescent="0.3">
      <c r="K5346" s="1">
        <v>39448</v>
      </c>
      <c r="M5346" t="e">
        <v>#N/A</v>
      </c>
      <c r="N5346" s="1">
        <v>38991</v>
      </c>
    </row>
    <row r="5347" spans="11:14" x14ac:dyDescent="0.3">
      <c r="K5347" s="1">
        <v>39448</v>
      </c>
      <c r="M5347" t="e">
        <v>#N/A</v>
      </c>
      <c r="N5347" s="1">
        <v>38991</v>
      </c>
    </row>
    <row r="5348" spans="11:14" x14ac:dyDescent="0.3">
      <c r="K5348" s="1">
        <v>39448</v>
      </c>
      <c r="M5348" t="e">
        <v>#N/A</v>
      </c>
      <c r="N5348" s="1">
        <v>38991</v>
      </c>
    </row>
    <row r="5349" spans="11:14" x14ac:dyDescent="0.3">
      <c r="K5349" s="1">
        <v>39448</v>
      </c>
      <c r="M5349" t="e">
        <v>#N/A</v>
      </c>
      <c r="N5349" s="1">
        <v>38991</v>
      </c>
    </row>
    <row r="5350" spans="11:14" x14ac:dyDescent="0.3">
      <c r="K5350" s="1">
        <v>39448</v>
      </c>
      <c r="M5350" t="e">
        <v>#N/A</v>
      </c>
      <c r="N5350" s="1">
        <v>38991</v>
      </c>
    </row>
    <row r="5351" spans="11:14" x14ac:dyDescent="0.3">
      <c r="K5351" s="1">
        <v>39448</v>
      </c>
      <c r="M5351" t="e">
        <v>#N/A</v>
      </c>
      <c r="N5351" s="1">
        <v>38991</v>
      </c>
    </row>
    <row r="5352" spans="11:14" x14ac:dyDescent="0.3">
      <c r="K5352" s="1">
        <v>39448</v>
      </c>
      <c r="M5352" t="e">
        <v>#N/A</v>
      </c>
      <c r="N5352" s="1">
        <v>38991</v>
      </c>
    </row>
    <row r="5353" spans="11:14" x14ac:dyDescent="0.3">
      <c r="K5353" s="1">
        <v>39448</v>
      </c>
      <c r="M5353" t="e">
        <v>#N/A</v>
      </c>
      <c r="N5353" s="1">
        <v>38991</v>
      </c>
    </row>
    <row r="5354" spans="11:14" x14ac:dyDescent="0.3">
      <c r="K5354" s="1">
        <v>39448</v>
      </c>
      <c r="M5354" t="e">
        <v>#N/A</v>
      </c>
      <c r="N5354" s="1">
        <v>38991</v>
      </c>
    </row>
    <row r="5355" spans="11:14" x14ac:dyDescent="0.3">
      <c r="K5355" s="1">
        <v>39448</v>
      </c>
      <c r="M5355" t="e">
        <v>#N/A</v>
      </c>
      <c r="N5355" s="1">
        <v>38991</v>
      </c>
    </row>
    <row r="5356" spans="11:14" x14ac:dyDescent="0.3">
      <c r="K5356" s="1">
        <v>39448</v>
      </c>
      <c r="M5356" t="e">
        <v>#N/A</v>
      </c>
      <c r="N5356" s="1">
        <v>38991</v>
      </c>
    </row>
    <row r="5357" spans="11:14" x14ac:dyDescent="0.3">
      <c r="K5357" s="1">
        <v>39448</v>
      </c>
      <c r="M5357" t="e">
        <v>#N/A</v>
      </c>
      <c r="N5357" s="1">
        <v>38991</v>
      </c>
    </row>
    <row r="5358" spans="11:14" x14ac:dyDescent="0.3">
      <c r="K5358" s="1">
        <v>39448</v>
      </c>
      <c r="M5358" t="e">
        <v>#N/A</v>
      </c>
      <c r="N5358" s="1">
        <v>38991</v>
      </c>
    </row>
    <row r="5359" spans="11:14" x14ac:dyDescent="0.3">
      <c r="K5359" s="1">
        <v>39448</v>
      </c>
      <c r="M5359" t="e">
        <v>#N/A</v>
      </c>
      <c r="N5359" s="1">
        <v>38991</v>
      </c>
    </row>
    <row r="5360" spans="11:14" x14ac:dyDescent="0.3">
      <c r="K5360" s="1">
        <v>39448</v>
      </c>
      <c r="M5360" t="e">
        <v>#N/A</v>
      </c>
      <c r="N5360" s="1">
        <v>38991</v>
      </c>
    </row>
    <row r="5361" spans="11:14" x14ac:dyDescent="0.3">
      <c r="K5361" s="1">
        <v>39448</v>
      </c>
      <c r="M5361" t="e">
        <v>#N/A</v>
      </c>
      <c r="N5361" s="1">
        <v>38991</v>
      </c>
    </row>
    <row r="5362" spans="11:14" x14ac:dyDescent="0.3">
      <c r="K5362" s="1">
        <v>39448</v>
      </c>
      <c r="M5362" t="e">
        <v>#N/A</v>
      </c>
      <c r="N5362" s="1">
        <v>38991</v>
      </c>
    </row>
    <row r="5363" spans="11:14" x14ac:dyDescent="0.3">
      <c r="K5363" s="1">
        <v>39448</v>
      </c>
      <c r="M5363" t="e">
        <v>#N/A</v>
      </c>
      <c r="N5363" s="1">
        <v>38991</v>
      </c>
    </row>
    <row r="5364" spans="11:14" x14ac:dyDescent="0.3">
      <c r="K5364" s="1">
        <v>39448</v>
      </c>
      <c r="M5364" t="e">
        <v>#N/A</v>
      </c>
      <c r="N5364" s="1">
        <v>38991</v>
      </c>
    </row>
    <row r="5365" spans="11:14" x14ac:dyDescent="0.3">
      <c r="K5365" s="1">
        <v>39448</v>
      </c>
      <c r="M5365" t="e">
        <v>#N/A</v>
      </c>
      <c r="N5365" s="1">
        <v>38991</v>
      </c>
    </row>
    <row r="5366" spans="11:14" x14ac:dyDescent="0.3">
      <c r="K5366" s="1">
        <v>39448</v>
      </c>
      <c r="M5366" t="e">
        <v>#N/A</v>
      </c>
      <c r="N5366" s="1">
        <v>38991</v>
      </c>
    </row>
    <row r="5367" spans="11:14" x14ac:dyDescent="0.3">
      <c r="K5367" s="1">
        <v>39448</v>
      </c>
      <c r="M5367" t="e">
        <v>#N/A</v>
      </c>
      <c r="N5367" s="1">
        <v>38991</v>
      </c>
    </row>
    <row r="5368" spans="11:14" x14ac:dyDescent="0.3">
      <c r="K5368" s="1">
        <v>39448</v>
      </c>
      <c r="M5368" t="e">
        <v>#N/A</v>
      </c>
      <c r="N5368" s="1">
        <v>38991</v>
      </c>
    </row>
    <row r="5369" spans="11:14" x14ac:dyDescent="0.3">
      <c r="K5369" s="1">
        <v>39448</v>
      </c>
      <c r="M5369" t="e">
        <v>#N/A</v>
      </c>
      <c r="N5369" s="1">
        <v>38991</v>
      </c>
    </row>
    <row r="5370" spans="11:14" x14ac:dyDescent="0.3">
      <c r="K5370" s="1">
        <v>39448</v>
      </c>
      <c r="M5370" t="e">
        <v>#N/A</v>
      </c>
      <c r="N5370" s="1">
        <v>38991</v>
      </c>
    </row>
    <row r="5371" spans="11:14" x14ac:dyDescent="0.3">
      <c r="K5371" s="1">
        <v>39448</v>
      </c>
      <c r="M5371" t="e">
        <v>#N/A</v>
      </c>
      <c r="N5371" s="1">
        <v>38991</v>
      </c>
    </row>
    <row r="5372" spans="11:14" x14ac:dyDescent="0.3">
      <c r="K5372" s="1">
        <v>39448</v>
      </c>
      <c r="M5372" t="e">
        <v>#N/A</v>
      </c>
      <c r="N5372" s="1">
        <v>38991</v>
      </c>
    </row>
    <row r="5373" spans="11:14" x14ac:dyDescent="0.3">
      <c r="K5373" s="1">
        <v>39448</v>
      </c>
      <c r="M5373" t="e">
        <v>#N/A</v>
      </c>
      <c r="N5373" s="1">
        <v>38991</v>
      </c>
    </row>
    <row r="5374" spans="11:14" x14ac:dyDescent="0.3">
      <c r="K5374" s="1">
        <v>39448</v>
      </c>
      <c r="M5374" t="e">
        <v>#N/A</v>
      </c>
      <c r="N5374" s="1">
        <v>38991</v>
      </c>
    </row>
    <row r="5375" spans="11:14" x14ac:dyDescent="0.3">
      <c r="K5375" s="1">
        <v>39448</v>
      </c>
      <c r="M5375" t="e">
        <v>#N/A</v>
      </c>
      <c r="N5375" s="1">
        <v>38991</v>
      </c>
    </row>
    <row r="5376" spans="11:14" x14ac:dyDescent="0.3">
      <c r="K5376" s="1">
        <v>39448</v>
      </c>
      <c r="M5376" t="e">
        <v>#N/A</v>
      </c>
      <c r="N5376" s="1">
        <v>38991</v>
      </c>
    </row>
    <row r="5377" spans="11:14" x14ac:dyDescent="0.3">
      <c r="K5377" s="1">
        <v>39448</v>
      </c>
      <c r="M5377" t="e">
        <v>#N/A</v>
      </c>
      <c r="N5377" s="1">
        <v>38991</v>
      </c>
    </row>
    <row r="5378" spans="11:14" x14ac:dyDescent="0.3">
      <c r="K5378" s="1">
        <v>39448</v>
      </c>
      <c r="M5378" t="e">
        <v>#N/A</v>
      </c>
      <c r="N5378" s="1">
        <v>38991</v>
      </c>
    </row>
    <row r="5379" spans="11:14" x14ac:dyDescent="0.3">
      <c r="K5379" s="1">
        <v>39448</v>
      </c>
      <c r="M5379" t="e">
        <v>#N/A</v>
      </c>
      <c r="N5379" s="1">
        <v>38991</v>
      </c>
    </row>
    <row r="5380" spans="11:14" x14ac:dyDescent="0.3">
      <c r="K5380" s="1">
        <v>39448</v>
      </c>
      <c r="M5380" t="e">
        <v>#N/A</v>
      </c>
      <c r="N5380" s="1">
        <v>38991</v>
      </c>
    </row>
    <row r="5381" spans="11:14" x14ac:dyDescent="0.3">
      <c r="K5381" s="1">
        <v>39448</v>
      </c>
      <c r="M5381" t="e">
        <v>#N/A</v>
      </c>
      <c r="N5381" s="1">
        <v>38991</v>
      </c>
    </row>
    <row r="5382" spans="11:14" x14ac:dyDescent="0.3">
      <c r="K5382" s="1">
        <v>39448</v>
      </c>
      <c r="M5382" t="e">
        <v>#N/A</v>
      </c>
      <c r="N5382" s="1">
        <v>38991</v>
      </c>
    </row>
    <row r="5383" spans="11:14" x14ac:dyDescent="0.3">
      <c r="K5383" s="1">
        <v>39448</v>
      </c>
      <c r="M5383" t="e">
        <v>#N/A</v>
      </c>
      <c r="N5383" s="1">
        <v>38991</v>
      </c>
    </row>
    <row r="5384" spans="11:14" x14ac:dyDescent="0.3">
      <c r="K5384" s="1">
        <v>39448</v>
      </c>
      <c r="M5384" t="e">
        <v>#N/A</v>
      </c>
      <c r="N5384" s="1">
        <v>38991</v>
      </c>
    </row>
    <row r="5385" spans="11:14" x14ac:dyDescent="0.3">
      <c r="K5385" s="1">
        <v>39448</v>
      </c>
      <c r="M5385" t="e">
        <v>#N/A</v>
      </c>
      <c r="N5385" s="1">
        <v>38991</v>
      </c>
    </row>
    <row r="5386" spans="11:14" x14ac:dyDescent="0.3">
      <c r="K5386" s="1">
        <v>39448</v>
      </c>
      <c r="M5386" t="e">
        <v>#N/A</v>
      </c>
      <c r="N5386" s="1">
        <v>38991</v>
      </c>
    </row>
    <row r="5387" spans="11:14" x14ac:dyDescent="0.3">
      <c r="K5387" s="1">
        <v>39448</v>
      </c>
      <c r="M5387" t="e">
        <v>#N/A</v>
      </c>
      <c r="N5387" s="1">
        <v>38991</v>
      </c>
    </row>
    <row r="5388" spans="11:14" x14ac:dyDescent="0.3">
      <c r="K5388" s="1">
        <v>39448</v>
      </c>
      <c r="M5388" t="e">
        <v>#N/A</v>
      </c>
      <c r="N5388" s="1">
        <v>38991</v>
      </c>
    </row>
    <row r="5389" spans="11:14" x14ac:dyDescent="0.3">
      <c r="K5389" s="1">
        <v>39448</v>
      </c>
      <c r="M5389" t="e">
        <v>#N/A</v>
      </c>
      <c r="N5389" s="1">
        <v>38991</v>
      </c>
    </row>
    <row r="5390" spans="11:14" x14ac:dyDescent="0.3">
      <c r="K5390" s="1">
        <v>39448</v>
      </c>
      <c r="M5390" t="e">
        <v>#N/A</v>
      </c>
      <c r="N5390" s="1">
        <v>38991</v>
      </c>
    </row>
    <row r="5391" spans="11:14" x14ac:dyDescent="0.3">
      <c r="K5391" s="1">
        <v>39448</v>
      </c>
      <c r="M5391" t="e">
        <v>#N/A</v>
      </c>
      <c r="N5391" s="1">
        <v>38991</v>
      </c>
    </row>
    <row r="5392" spans="11:14" x14ac:dyDescent="0.3">
      <c r="K5392" s="1">
        <v>39448</v>
      </c>
      <c r="M5392" t="e">
        <v>#N/A</v>
      </c>
      <c r="N5392" s="1">
        <v>38991</v>
      </c>
    </row>
    <row r="5393" spans="11:14" x14ac:dyDescent="0.3">
      <c r="K5393" s="1">
        <v>39448</v>
      </c>
      <c r="M5393" t="e">
        <v>#N/A</v>
      </c>
      <c r="N5393" s="1">
        <v>38991</v>
      </c>
    </row>
    <row r="5394" spans="11:14" x14ac:dyDescent="0.3">
      <c r="K5394" s="1">
        <v>39448</v>
      </c>
      <c r="M5394" t="e">
        <v>#N/A</v>
      </c>
      <c r="N5394" s="1">
        <v>38991</v>
      </c>
    </row>
    <row r="5395" spans="11:14" x14ac:dyDescent="0.3">
      <c r="K5395" s="1">
        <v>39448</v>
      </c>
      <c r="M5395" t="e">
        <v>#N/A</v>
      </c>
      <c r="N5395" s="1">
        <v>38991</v>
      </c>
    </row>
    <row r="5396" spans="11:14" x14ac:dyDescent="0.3">
      <c r="K5396" s="1">
        <v>39448</v>
      </c>
      <c r="M5396" t="e">
        <v>#N/A</v>
      </c>
      <c r="N5396" s="1">
        <v>38991</v>
      </c>
    </row>
    <row r="5397" spans="11:14" x14ac:dyDescent="0.3">
      <c r="K5397" s="1">
        <v>39448</v>
      </c>
      <c r="M5397" t="e">
        <v>#N/A</v>
      </c>
      <c r="N5397" s="1">
        <v>38991</v>
      </c>
    </row>
    <row r="5398" spans="11:14" x14ac:dyDescent="0.3">
      <c r="K5398" s="1">
        <v>39448</v>
      </c>
      <c r="M5398" t="e">
        <v>#N/A</v>
      </c>
      <c r="N5398" s="1">
        <v>38991</v>
      </c>
    </row>
    <row r="5399" spans="11:14" x14ac:dyDescent="0.3">
      <c r="K5399" s="1">
        <v>39448</v>
      </c>
      <c r="M5399" t="e">
        <v>#N/A</v>
      </c>
      <c r="N5399" s="1">
        <v>38991</v>
      </c>
    </row>
    <row r="5400" spans="11:14" x14ac:dyDescent="0.3">
      <c r="K5400" s="1">
        <v>39448</v>
      </c>
      <c r="M5400" t="e">
        <v>#N/A</v>
      </c>
      <c r="N5400" s="1">
        <v>38991</v>
      </c>
    </row>
    <row r="5401" spans="11:14" x14ac:dyDescent="0.3">
      <c r="K5401" s="1">
        <v>39448</v>
      </c>
      <c r="M5401" t="e">
        <v>#N/A</v>
      </c>
      <c r="N5401" s="1">
        <v>38991</v>
      </c>
    </row>
    <row r="5402" spans="11:14" x14ac:dyDescent="0.3">
      <c r="K5402" s="1">
        <v>39448</v>
      </c>
      <c r="M5402" t="e">
        <v>#N/A</v>
      </c>
      <c r="N5402" s="1">
        <v>38991</v>
      </c>
    </row>
    <row r="5403" spans="11:14" x14ac:dyDescent="0.3">
      <c r="K5403" s="1">
        <v>39448</v>
      </c>
      <c r="M5403" t="e">
        <v>#N/A</v>
      </c>
      <c r="N5403" s="1">
        <v>38991</v>
      </c>
    </row>
    <row r="5404" spans="11:14" x14ac:dyDescent="0.3">
      <c r="K5404" s="1">
        <v>39448</v>
      </c>
      <c r="M5404" t="e">
        <v>#N/A</v>
      </c>
      <c r="N5404" s="1">
        <v>38991</v>
      </c>
    </row>
    <row r="5405" spans="11:14" x14ac:dyDescent="0.3">
      <c r="K5405" s="1">
        <v>39448</v>
      </c>
      <c r="M5405" t="e">
        <v>#N/A</v>
      </c>
      <c r="N5405" s="1">
        <v>38991</v>
      </c>
    </row>
    <row r="5406" spans="11:14" x14ac:dyDescent="0.3">
      <c r="K5406" s="1">
        <v>39448</v>
      </c>
      <c r="M5406" t="e">
        <v>#N/A</v>
      </c>
      <c r="N5406" s="1">
        <v>38991</v>
      </c>
    </row>
    <row r="5407" spans="11:14" x14ac:dyDescent="0.3">
      <c r="K5407" s="1">
        <v>39448</v>
      </c>
      <c r="M5407" t="e">
        <v>#N/A</v>
      </c>
      <c r="N5407" s="1">
        <v>38991</v>
      </c>
    </row>
    <row r="5408" spans="11:14" x14ac:dyDescent="0.3">
      <c r="K5408" s="1">
        <v>39448</v>
      </c>
      <c r="M5408" t="e">
        <v>#N/A</v>
      </c>
      <c r="N5408" s="1">
        <v>38991</v>
      </c>
    </row>
    <row r="5409" spans="11:14" x14ac:dyDescent="0.3">
      <c r="K5409" s="1">
        <v>39448</v>
      </c>
      <c r="M5409" t="e">
        <v>#N/A</v>
      </c>
      <c r="N5409" s="1">
        <v>38991</v>
      </c>
    </row>
    <row r="5410" spans="11:14" x14ac:dyDescent="0.3">
      <c r="K5410" s="1">
        <v>39448</v>
      </c>
      <c r="M5410" t="e">
        <v>#N/A</v>
      </c>
      <c r="N5410" s="1">
        <v>38991</v>
      </c>
    </row>
    <row r="5411" spans="11:14" x14ac:dyDescent="0.3">
      <c r="K5411" s="1">
        <v>39448</v>
      </c>
      <c r="M5411" t="e">
        <v>#N/A</v>
      </c>
      <c r="N5411" s="1">
        <v>38991</v>
      </c>
    </row>
    <row r="5412" spans="11:14" x14ac:dyDescent="0.3">
      <c r="K5412" s="1">
        <v>39448</v>
      </c>
      <c r="M5412" t="e">
        <v>#N/A</v>
      </c>
      <c r="N5412" s="1">
        <v>38991</v>
      </c>
    </row>
    <row r="5413" spans="11:14" x14ac:dyDescent="0.3">
      <c r="K5413" s="1">
        <v>39448</v>
      </c>
      <c r="M5413" t="e">
        <v>#N/A</v>
      </c>
      <c r="N5413" s="1">
        <v>38991</v>
      </c>
    </row>
    <row r="5414" spans="11:14" x14ac:dyDescent="0.3">
      <c r="K5414" s="1">
        <v>39448</v>
      </c>
      <c r="M5414" t="e">
        <v>#N/A</v>
      </c>
      <c r="N5414" s="1">
        <v>38991</v>
      </c>
    </row>
    <row r="5415" spans="11:14" x14ac:dyDescent="0.3">
      <c r="K5415" s="1">
        <v>39448</v>
      </c>
      <c r="M5415" t="e">
        <v>#N/A</v>
      </c>
      <c r="N5415" s="1">
        <v>38991</v>
      </c>
    </row>
    <row r="5416" spans="11:14" x14ac:dyDescent="0.3">
      <c r="K5416" s="1">
        <v>39448</v>
      </c>
      <c r="M5416" t="e">
        <v>#N/A</v>
      </c>
      <c r="N5416" s="1">
        <v>38991</v>
      </c>
    </row>
    <row r="5417" spans="11:14" x14ac:dyDescent="0.3">
      <c r="K5417" s="1">
        <v>39448</v>
      </c>
      <c r="M5417" t="e">
        <v>#N/A</v>
      </c>
      <c r="N5417" s="1">
        <v>38991</v>
      </c>
    </row>
    <row r="5418" spans="11:14" x14ac:dyDescent="0.3">
      <c r="K5418" s="1">
        <v>39448</v>
      </c>
      <c r="M5418" t="e">
        <v>#N/A</v>
      </c>
      <c r="N5418" s="1">
        <v>39083</v>
      </c>
    </row>
    <row r="5419" spans="11:14" x14ac:dyDescent="0.3">
      <c r="K5419" s="1">
        <v>39448</v>
      </c>
      <c r="M5419" t="e">
        <v>#N/A</v>
      </c>
      <c r="N5419" s="1">
        <v>39083</v>
      </c>
    </row>
    <row r="5420" spans="11:14" x14ac:dyDescent="0.3">
      <c r="K5420" s="1">
        <v>39448</v>
      </c>
      <c r="M5420" t="e">
        <v>#N/A</v>
      </c>
      <c r="N5420" s="1">
        <v>39083</v>
      </c>
    </row>
    <row r="5421" spans="11:14" x14ac:dyDescent="0.3">
      <c r="K5421" s="1">
        <v>39448</v>
      </c>
      <c r="M5421" t="e">
        <v>#N/A</v>
      </c>
      <c r="N5421" s="1">
        <v>39083</v>
      </c>
    </row>
    <row r="5422" spans="11:14" x14ac:dyDescent="0.3">
      <c r="K5422" s="1">
        <v>39448</v>
      </c>
      <c r="M5422" t="e">
        <v>#N/A</v>
      </c>
      <c r="N5422" s="1">
        <v>39083</v>
      </c>
    </row>
    <row r="5423" spans="11:14" x14ac:dyDescent="0.3">
      <c r="K5423" s="1">
        <v>39448</v>
      </c>
      <c r="M5423" t="e">
        <v>#N/A</v>
      </c>
      <c r="N5423" s="1">
        <v>39083</v>
      </c>
    </row>
    <row r="5424" spans="11:14" x14ac:dyDescent="0.3">
      <c r="K5424" s="1">
        <v>39448</v>
      </c>
      <c r="M5424" t="e">
        <v>#N/A</v>
      </c>
      <c r="N5424" s="1">
        <v>39083</v>
      </c>
    </row>
    <row r="5425" spans="11:14" x14ac:dyDescent="0.3">
      <c r="K5425" s="1">
        <v>39448</v>
      </c>
      <c r="M5425" t="e">
        <v>#N/A</v>
      </c>
      <c r="N5425" s="1">
        <v>39083</v>
      </c>
    </row>
    <row r="5426" spans="11:14" x14ac:dyDescent="0.3">
      <c r="K5426" s="1">
        <v>39448</v>
      </c>
      <c r="M5426" t="e">
        <v>#N/A</v>
      </c>
      <c r="N5426" s="1">
        <v>39083</v>
      </c>
    </row>
    <row r="5427" spans="11:14" x14ac:dyDescent="0.3">
      <c r="K5427" s="1">
        <v>39448</v>
      </c>
      <c r="M5427" t="e">
        <v>#N/A</v>
      </c>
      <c r="N5427" s="1">
        <v>39083</v>
      </c>
    </row>
    <row r="5428" spans="11:14" x14ac:dyDescent="0.3">
      <c r="K5428" s="1">
        <v>39448</v>
      </c>
      <c r="M5428" t="e">
        <v>#N/A</v>
      </c>
      <c r="N5428" s="1">
        <v>39083</v>
      </c>
    </row>
    <row r="5429" spans="11:14" x14ac:dyDescent="0.3">
      <c r="K5429" s="1">
        <v>39448</v>
      </c>
      <c r="M5429" t="e">
        <v>#N/A</v>
      </c>
      <c r="N5429" s="1">
        <v>39083</v>
      </c>
    </row>
    <row r="5430" spans="11:14" x14ac:dyDescent="0.3">
      <c r="K5430" s="1">
        <v>39448</v>
      </c>
      <c r="M5430" t="e">
        <v>#N/A</v>
      </c>
      <c r="N5430" s="1">
        <v>39083</v>
      </c>
    </row>
    <row r="5431" spans="11:14" x14ac:dyDescent="0.3">
      <c r="K5431" s="1">
        <v>39448</v>
      </c>
      <c r="M5431" t="e">
        <v>#N/A</v>
      </c>
      <c r="N5431" s="1">
        <v>39083</v>
      </c>
    </row>
    <row r="5432" spans="11:14" x14ac:dyDescent="0.3">
      <c r="K5432" s="1">
        <v>39448</v>
      </c>
      <c r="M5432" t="e">
        <v>#N/A</v>
      </c>
      <c r="N5432" s="1">
        <v>39083</v>
      </c>
    </row>
    <row r="5433" spans="11:14" x14ac:dyDescent="0.3">
      <c r="K5433" s="1">
        <v>39448</v>
      </c>
      <c r="M5433" t="e">
        <v>#N/A</v>
      </c>
      <c r="N5433" s="1">
        <v>39083</v>
      </c>
    </row>
    <row r="5434" spans="11:14" x14ac:dyDescent="0.3">
      <c r="K5434" s="1">
        <v>39448</v>
      </c>
      <c r="M5434" t="e">
        <v>#N/A</v>
      </c>
      <c r="N5434" s="1">
        <v>39083</v>
      </c>
    </row>
    <row r="5435" spans="11:14" x14ac:dyDescent="0.3">
      <c r="K5435" s="1">
        <v>39448</v>
      </c>
      <c r="M5435" t="e">
        <v>#N/A</v>
      </c>
      <c r="N5435" s="1">
        <v>39083</v>
      </c>
    </row>
    <row r="5436" spans="11:14" x14ac:dyDescent="0.3">
      <c r="K5436" s="1">
        <v>39448</v>
      </c>
      <c r="M5436" t="e">
        <v>#N/A</v>
      </c>
      <c r="N5436" s="1">
        <v>39083</v>
      </c>
    </row>
    <row r="5437" spans="11:14" x14ac:dyDescent="0.3">
      <c r="K5437" s="1">
        <v>39448</v>
      </c>
      <c r="M5437" t="e">
        <v>#N/A</v>
      </c>
      <c r="N5437" s="1">
        <v>39083</v>
      </c>
    </row>
    <row r="5438" spans="11:14" x14ac:dyDescent="0.3">
      <c r="K5438" s="1">
        <v>39448</v>
      </c>
      <c r="M5438" t="e">
        <v>#N/A</v>
      </c>
      <c r="N5438" s="1">
        <v>39083</v>
      </c>
    </row>
    <row r="5439" spans="11:14" x14ac:dyDescent="0.3">
      <c r="K5439" s="1">
        <v>39448</v>
      </c>
      <c r="M5439" t="e">
        <v>#N/A</v>
      </c>
      <c r="N5439" s="1">
        <v>39083</v>
      </c>
    </row>
    <row r="5440" spans="11:14" x14ac:dyDescent="0.3">
      <c r="K5440" s="1">
        <v>39448</v>
      </c>
      <c r="M5440" t="e">
        <v>#N/A</v>
      </c>
      <c r="N5440" s="1">
        <v>39083</v>
      </c>
    </row>
    <row r="5441" spans="11:14" x14ac:dyDescent="0.3">
      <c r="K5441" s="1">
        <v>39448</v>
      </c>
      <c r="M5441" t="e">
        <v>#N/A</v>
      </c>
      <c r="N5441" s="1">
        <v>39083</v>
      </c>
    </row>
    <row r="5442" spans="11:14" x14ac:dyDescent="0.3">
      <c r="K5442" s="1">
        <v>39448</v>
      </c>
      <c r="M5442" t="e">
        <v>#N/A</v>
      </c>
      <c r="N5442" s="1">
        <v>39083</v>
      </c>
    </row>
    <row r="5443" spans="11:14" x14ac:dyDescent="0.3">
      <c r="K5443" s="1">
        <v>39448</v>
      </c>
      <c r="M5443" t="e">
        <v>#N/A</v>
      </c>
      <c r="N5443" s="1">
        <v>39083</v>
      </c>
    </row>
    <row r="5444" spans="11:14" x14ac:dyDescent="0.3">
      <c r="K5444" s="1">
        <v>39448</v>
      </c>
      <c r="M5444" t="e">
        <v>#N/A</v>
      </c>
      <c r="N5444" s="1">
        <v>39083</v>
      </c>
    </row>
    <row r="5445" spans="11:14" x14ac:dyDescent="0.3">
      <c r="K5445" s="1">
        <v>39448</v>
      </c>
      <c r="M5445" t="e">
        <v>#N/A</v>
      </c>
      <c r="N5445" s="1">
        <v>39083</v>
      </c>
    </row>
    <row r="5446" spans="11:14" x14ac:dyDescent="0.3">
      <c r="K5446" s="1">
        <v>39448</v>
      </c>
      <c r="M5446" t="e">
        <v>#N/A</v>
      </c>
      <c r="N5446" s="1">
        <v>39083</v>
      </c>
    </row>
    <row r="5447" spans="11:14" x14ac:dyDescent="0.3">
      <c r="K5447" s="1">
        <v>39448</v>
      </c>
      <c r="M5447" t="e">
        <v>#N/A</v>
      </c>
      <c r="N5447" s="1">
        <v>39083</v>
      </c>
    </row>
    <row r="5448" spans="11:14" x14ac:dyDescent="0.3">
      <c r="K5448" s="1">
        <v>39448</v>
      </c>
      <c r="M5448" t="e">
        <v>#N/A</v>
      </c>
      <c r="N5448" s="1">
        <v>39083</v>
      </c>
    </row>
    <row r="5449" spans="11:14" x14ac:dyDescent="0.3">
      <c r="K5449" s="1">
        <v>39448</v>
      </c>
      <c r="M5449" t="e">
        <v>#N/A</v>
      </c>
      <c r="N5449" s="1">
        <v>39083</v>
      </c>
    </row>
    <row r="5450" spans="11:14" x14ac:dyDescent="0.3">
      <c r="K5450" s="1">
        <v>39448</v>
      </c>
      <c r="M5450" t="e">
        <v>#N/A</v>
      </c>
      <c r="N5450" s="1">
        <v>39083</v>
      </c>
    </row>
    <row r="5451" spans="11:14" x14ac:dyDescent="0.3">
      <c r="K5451" s="1">
        <v>39448</v>
      </c>
      <c r="M5451" t="e">
        <v>#N/A</v>
      </c>
      <c r="N5451" s="1">
        <v>39083</v>
      </c>
    </row>
    <row r="5452" spans="11:14" x14ac:dyDescent="0.3">
      <c r="K5452" s="1">
        <v>39448</v>
      </c>
      <c r="M5452" t="e">
        <v>#N/A</v>
      </c>
      <c r="N5452" s="1">
        <v>39083</v>
      </c>
    </row>
    <row r="5453" spans="11:14" x14ac:dyDescent="0.3">
      <c r="K5453" s="1">
        <v>39448</v>
      </c>
      <c r="M5453" t="e">
        <v>#N/A</v>
      </c>
      <c r="N5453" s="1">
        <v>39083</v>
      </c>
    </row>
    <row r="5454" spans="11:14" x14ac:dyDescent="0.3">
      <c r="K5454" s="1">
        <v>39448</v>
      </c>
      <c r="M5454" t="e">
        <v>#N/A</v>
      </c>
      <c r="N5454" s="1">
        <v>39083</v>
      </c>
    </row>
    <row r="5455" spans="11:14" x14ac:dyDescent="0.3">
      <c r="K5455" s="1">
        <v>39448</v>
      </c>
      <c r="M5455" t="e">
        <v>#N/A</v>
      </c>
      <c r="N5455" s="1">
        <v>39083</v>
      </c>
    </row>
    <row r="5456" spans="11:14" x14ac:dyDescent="0.3">
      <c r="K5456" s="1">
        <v>39448</v>
      </c>
      <c r="M5456" t="e">
        <v>#N/A</v>
      </c>
      <c r="N5456" s="1">
        <v>39083</v>
      </c>
    </row>
    <row r="5457" spans="11:14" x14ac:dyDescent="0.3">
      <c r="K5457" s="1">
        <v>39448</v>
      </c>
      <c r="M5457" t="e">
        <v>#N/A</v>
      </c>
      <c r="N5457" s="1">
        <v>39083</v>
      </c>
    </row>
    <row r="5458" spans="11:14" x14ac:dyDescent="0.3">
      <c r="K5458" s="1">
        <v>39448</v>
      </c>
      <c r="M5458" t="e">
        <v>#N/A</v>
      </c>
      <c r="N5458" s="1">
        <v>39083</v>
      </c>
    </row>
    <row r="5459" spans="11:14" x14ac:dyDescent="0.3">
      <c r="K5459" s="1">
        <v>39448</v>
      </c>
      <c r="M5459" t="e">
        <v>#N/A</v>
      </c>
      <c r="N5459" s="1">
        <v>39083</v>
      </c>
    </row>
    <row r="5460" spans="11:14" x14ac:dyDescent="0.3">
      <c r="K5460" s="1">
        <v>39448</v>
      </c>
      <c r="M5460" t="e">
        <v>#N/A</v>
      </c>
      <c r="N5460" s="1">
        <v>39083</v>
      </c>
    </row>
    <row r="5461" spans="11:14" x14ac:dyDescent="0.3">
      <c r="K5461" s="1">
        <v>39448</v>
      </c>
      <c r="M5461" t="e">
        <v>#N/A</v>
      </c>
      <c r="N5461" s="1">
        <v>39083</v>
      </c>
    </row>
    <row r="5462" spans="11:14" x14ac:dyDescent="0.3">
      <c r="K5462" s="1">
        <v>39448</v>
      </c>
      <c r="M5462" t="e">
        <v>#N/A</v>
      </c>
      <c r="N5462" s="1">
        <v>39083</v>
      </c>
    </row>
    <row r="5463" spans="11:14" x14ac:dyDescent="0.3">
      <c r="K5463" s="1">
        <v>39448</v>
      </c>
      <c r="M5463" t="e">
        <v>#N/A</v>
      </c>
      <c r="N5463" s="1">
        <v>39083</v>
      </c>
    </row>
    <row r="5464" spans="11:14" x14ac:dyDescent="0.3">
      <c r="K5464" s="1">
        <v>39448</v>
      </c>
      <c r="M5464" t="e">
        <v>#N/A</v>
      </c>
      <c r="N5464" s="1">
        <v>39083</v>
      </c>
    </row>
    <row r="5465" spans="11:14" x14ac:dyDescent="0.3">
      <c r="K5465" s="1">
        <v>39448</v>
      </c>
      <c r="M5465" t="e">
        <v>#N/A</v>
      </c>
      <c r="N5465" s="1">
        <v>39083</v>
      </c>
    </row>
    <row r="5466" spans="11:14" x14ac:dyDescent="0.3">
      <c r="K5466" s="1">
        <v>39448</v>
      </c>
      <c r="M5466" t="e">
        <v>#N/A</v>
      </c>
      <c r="N5466" s="1">
        <v>39083</v>
      </c>
    </row>
    <row r="5467" spans="11:14" x14ac:dyDescent="0.3">
      <c r="K5467" s="1">
        <v>39448</v>
      </c>
      <c r="M5467" t="e">
        <v>#N/A</v>
      </c>
      <c r="N5467" s="1">
        <v>39083</v>
      </c>
    </row>
    <row r="5468" spans="11:14" x14ac:dyDescent="0.3">
      <c r="K5468" s="1">
        <v>39448</v>
      </c>
      <c r="M5468" t="e">
        <v>#N/A</v>
      </c>
      <c r="N5468" s="1">
        <v>39083</v>
      </c>
    </row>
    <row r="5469" spans="11:14" x14ac:dyDescent="0.3">
      <c r="K5469" s="1">
        <v>39448</v>
      </c>
      <c r="M5469" t="e">
        <v>#N/A</v>
      </c>
      <c r="N5469" s="1">
        <v>39083</v>
      </c>
    </row>
    <row r="5470" spans="11:14" x14ac:dyDescent="0.3">
      <c r="K5470" s="1">
        <v>39448</v>
      </c>
      <c r="M5470" t="e">
        <v>#N/A</v>
      </c>
      <c r="N5470" s="1">
        <v>39083</v>
      </c>
    </row>
    <row r="5471" spans="11:14" x14ac:dyDescent="0.3">
      <c r="K5471" s="1">
        <v>39448</v>
      </c>
      <c r="M5471" t="e">
        <v>#N/A</v>
      </c>
      <c r="N5471" s="1">
        <v>39083</v>
      </c>
    </row>
    <row r="5472" spans="11:14" x14ac:dyDescent="0.3">
      <c r="K5472" s="1">
        <v>39448</v>
      </c>
      <c r="M5472" t="e">
        <v>#N/A</v>
      </c>
      <c r="N5472" s="1">
        <v>39083</v>
      </c>
    </row>
    <row r="5473" spans="11:14" x14ac:dyDescent="0.3">
      <c r="K5473" s="1">
        <v>39448</v>
      </c>
      <c r="M5473" t="e">
        <v>#N/A</v>
      </c>
      <c r="N5473" s="1">
        <v>39083</v>
      </c>
    </row>
    <row r="5474" spans="11:14" x14ac:dyDescent="0.3">
      <c r="K5474" s="1">
        <v>39448</v>
      </c>
      <c r="M5474" t="e">
        <v>#N/A</v>
      </c>
      <c r="N5474" s="1">
        <v>39083</v>
      </c>
    </row>
    <row r="5475" spans="11:14" x14ac:dyDescent="0.3">
      <c r="K5475" s="1">
        <v>39448</v>
      </c>
      <c r="M5475" t="e">
        <v>#N/A</v>
      </c>
      <c r="N5475" s="1">
        <v>39083</v>
      </c>
    </row>
    <row r="5476" spans="11:14" x14ac:dyDescent="0.3">
      <c r="K5476" s="1">
        <v>39448</v>
      </c>
      <c r="M5476" t="e">
        <v>#N/A</v>
      </c>
      <c r="N5476" s="1">
        <v>39083</v>
      </c>
    </row>
    <row r="5477" spans="11:14" x14ac:dyDescent="0.3">
      <c r="K5477" s="1">
        <v>39448</v>
      </c>
      <c r="M5477" t="e">
        <v>#N/A</v>
      </c>
      <c r="N5477" s="1">
        <v>39083</v>
      </c>
    </row>
    <row r="5478" spans="11:14" x14ac:dyDescent="0.3">
      <c r="K5478" s="1">
        <v>39448</v>
      </c>
      <c r="M5478" t="e">
        <v>#N/A</v>
      </c>
      <c r="N5478" s="1">
        <v>39083</v>
      </c>
    </row>
    <row r="5479" spans="11:14" x14ac:dyDescent="0.3">
      <c r="K5479" s="1">
        <v>39448</v>
      </c>
      <c r="M5479" t="e">
        <v>#N/A</v>
      </c>
      <c r="N5479" s="1">
        <v>39083</v>
      </c>
    </row>
    <row r="5480" spans="11:14" x14ac:dyDescent="0.3">
      <c r="K5480" s="1">
        <v>39448</v>
      </c>
      <c r="M5480" t="e">
        <v>#N/A</v>
      </c>
      <c r="N5480" s="1">
        <v>39083</v>
      </c>
    </row>
    <row r="5481" spans="11:14" x14ac:dyDescent="0.3">
      <c r="K5481" s="1">
        <v>39448</v>
      </c>
      <c r="M5481" t="e">
        <v>#N/A</v>
      </c>
      <c r="N5481" s="1">
        <v>39083</v>
      </c>
    </row>
    <row r="5482" spans="11:14" x14ac:dyDescent="0.3">
      <c r="K5482" s="1">
        <v>39448</v>
      </c>
      <c r="M5482" t="e">
        <v>#N/A</v>
      </c>
      <c r="N5482" s="1">
        <v>39083</v>
      </c>
    </row>
    <row r="5483" spans="11:14" x14ac:dyDescent="0.3">
      <c r="K5483" s="1">
        <v>39448</v>
      </c>
      <c r="M5483" t="e">
        <v>#N/A</v>
      </c>
      <c r="N5483" s="1">
        <v>39083</v>
      </c>
    </row>
    <row r="5484" spans="11:14" x14ac:dyDescent="0.3">
      <c r="K5484" s="1">
        <v>39448</v>
      </c>
      <c r="M5484" t="e">
        <v>#N/A</v>
      </c>
      <c r="N5484" s="1">
        <v>39083</v>
      </c>
    </row>
    <row r="5485" spans="11:14" x14ac:dyDescent="0.3">
      <c r="K5485" s="1">
        <v>39448</v>
      </c>
      <c r="M5485" t="e">
        <v>#N/A</v>
      </c>
      <c r="N5485" s="1">
        <v>39083</v>
      </c>
    </row>
    <row r="5486" spans="11:14" x14ac:dyDescent="0.3">
      <c r="K5486" s="1">
        <v>39448</v>
      </c>
      <c r="M5486" t="e">
        <v>#N/A</v>
      </c>
      <c r="N5486" s="1">
        <v>39083</v>
      </c>
    </row>
    <row r="5487" spans="11:14" x14ac:dyDescent="0.3">
      <c r="K5487" s="1">
        <v>39448</v>
      </c>
      <c r="M5487" t="e">
        <v>#N/A</v>
      </c>
      <c r="N5487" s="1">
        <v>39083</v>
      </c>
    </row>
    <row r="5488" spans="11:14" x14ac:dyDescent="0.3">
      <c r="K5488" s="1">
        <v>39448</v>
      </c>
      <c r="M5488" t="e">
        <v>#N/A</v>
      </c>
      <c r="N5488" s="1">
        <v>39083</v>
      </c>
    </row>
    <row r="5489" spans="11:14" x14ac:dyDescent="0.3">
      <c r="K5489" s="1">
        <v>39448</v>
      </c>
      <c r="M5489" t="e">
        <v>#N/A</v>
      </c>
      <c r="N5489" s="1">
        <v>39083</v>
      </c>
    </row>
    <row r="5490" spans="11:14" x14ac:dyDescent="0.3">
      <c r="K5490" s="1">
        <v>39448</v>
      </c>
      <c r="M5490" t="e">
        <v>#N/A</v>
      </c>
      <c r="N5490" s="1">
        <v>39083</v>
      </c>
    </row>
    <row r="5491" spans="11:14" x14ac:dyDescent="0.3">
      <c r="K5491" s="1">
        <v>39448</v>
      </c>
      <c r="M5491" t="e">
        <v>#N/A</v>
      </c>
      <c r="N5491" s="1">
        <v>39083</v>
      </c>
    </row>
    <row r="5492" spans="11:14" x14ac:dyDescent="0.3">
      <c r="K5492" s="1">
        <v>39448</v>
      </c>
      <c r="M5492" t="e">
        <v>#N/A</v>
      </c>
      <c r="N5492" s="1">
        <v>39083</v>
      </c>
    </row>
    <row r="5493" spans="11:14" x14ac:dyDescent="0.3">
      <c r="K5493" s="1">
        <v>39448</v>
      </c>
      <c r="M5493" t="e">
        <v>#N/A</v>
      </c>
      <c r="N5493" s="1">
        <v>39083</v>
      </c>
    </row>
    <row r="5494" spans="11:14" x14ac:dyDescent="0.3">
      <c r="K5494" s="1">
        <v>39448</v>
      </c>
      <c r="M5494" t="e">
        <v>#N/A</v>
      </c>
      <c r="N5494" s="1">
        <v>39083</v>
      </c>
    </row>
    <row r="5495" spans="11:14" x14ac:dyDescent="0.3">
      <c r="K5495" s="1">
        <v>39448</v>
      </c>
      <c r="M5495" t="e">
        <v>#N/A</v>
      </c>
      <c r="N5495" s="1">
        <v>39083</v>
      </c>
    </row>
    <row r="5496" spans="11:14" x14ac:dyDescent="0.3">
      <c r="K5496" s="1">
        <v>39448</v>
      </c>
      <c r="M5496" t="e">
        <v>#N/A</v>
      </c>
      <c r="N5496" s="1">
        <v>39083</v>
      </c>
    </row>
    <row r="5497" spans="11:14" x14ac:dyDescent="0.3">
      <c r="K5497" s="1">
        <v>39448</v>
      </c>
      <c r="M5497" t="e">
        <v>#N/A</v>
      </c>
      <c r="N5497" s="1">
        <v>39083</v>
      </c>
    </row>
    <row r="5498" spans="11:14" x14ac:dyDescent="0.3">
      <c r="K5498" s="1">
        <v>39448</v>
      </c>
      <c r="M5498" t="e">
        <v>#N/A</v>
      </c>
      <c r="N5498" s="1">
        <v>39083</v>
      </c>
    </row>
    <row r="5499" spans="11:14" x14ac:dyDescent="0.3">
      <c r="K5499" s="1">
        <v>39448</v>
      </c>
      <c r="M5499" t="e">
        <v>#N/A</v>
      </c>
      <c r="N5499" s="1">
        <v>39083</v>
      </c>
    </row>
    <row r="5500" spans="11:14" x14ac:dyDescent="0.3">
      <c r="K5500" s="1">
        <v>39448</v>
      </c>
      <c r="M5500" t="e">
        <v>#N/A</v>
      </c>
      <c r="N5500" s="1">
        <v>39083</v>
      </c>
    </row>
    <row r="5501" spans="11:14" x14ac:dyDescent="0.3">
      <c r="K5501" s="1">
        <v>39448</v>
      </c>
      <c r="M5501" t="e">
        <v>#N/A</v>
      </c>
      <c r="N5501" s="1">
        <v>39083</v>
      </c>
    </row>
    <row r="5502" spans="11:14" x14ac:dyDescent="0.3">
      <c r="K5502" s="1">
        <v>39448</v>
      </c>
      <c r="M5502" t="e">
        <v>#N/A</v>
      </c>
      <c r="N5502" s="1">
        <v>39083</v>
      </c>
    </row>
    <row r="5503" spans="11:14" x14ac:dyDescent="0.3">
      <c r="K5503" s="1">
        <v>39448</v>
      </c>
      <c r="M5503" t="e">
        <v>#N/A</v>
      </c>
      <c r="N5503" s="1">
        <v>39083</v>
      </c>
    </row>
    <row r="5504" spans="11:14" x14ac:dyDescent="0.3">
      <c r="K5504" s="1">
        <v>39448</v>
      </c>
      <c r="M5504" t="e">
        <v>#N/A</v>
      </c>
      <c r="N5504" s="1">
        <v>39083</v>
      </c>
    </row>
    <row r="5505" spans="11:14" x14ac:dyDescent="0.3">
      <c r="K5505" s="1">
        <v>39448</v>
      </c>
      <c r="M5505" t="e">
        <v>#N/A</v>
      </c>
      <c r="N5505" s="1">
        <v>39083</v>
      </c>
    </row>
    <row r="5506" spans="11:14" x14ac:dyDescent="0.3">
      <c r="K5506" s="1">
        <v>39448</v>
      </c>
      <c r="M5506" t="e">
        <v>#N/A</v>
      </c>
      <c r="N5506" s="1">
        <v>39083</v>
      </c>
    </row>
    <row r="5507" spans="11:14" x14ac:dyDescent="0.3">
      <c r="K5507" s="1">
        <v>39448</v>
      </c>
      <c r="M5507" t="e">
        <v>#N/A</v>
      </c>
      <c r="N5507" s="1">
        <v>39083</v>
      </c>
    </row>
    <row r="5508" spans="11:14" x14ac:dyDescent="0.3">
      <c r="K5508" s="1">
        <v>39448</v>
      </c>
      <c r="M5508" t="e">
        <v>#N/A</v>
      </c>
      <c r="N5508" s="1">
        <v>39083</v>
      </c>
    </row>
    <row r="5509" spans="11:14" x14ac:dyDescent="0.3">
      <c r="K5509" s="1">
        <v>39448</v>
      </c>
      <c r="M5509" t="e">
        <v>#N/A</v>
      </c>
      <c r="N5509" s="1">
        <v>39083</v>
      </c>
    </row>
    <row r="5510" spans="11:14" x14ac:dyDescent="0.3">
      <c r="K5510" s="1">
        <v>39448</v>
      </c>
      <c r="M5510" t="e">
        <v>#N/A</v>
      </c>
      <c r="N5510" s="1">
        <v>39083</v>
      </c>
    </row>
    <row r="5511" spans="11:14" x14ac:dyDescent="0.3">
      <c r="K5511" s="1">
        <v>39448</v>
      </c>
      <c r="M5511" t="e">
        <v>#N/A</v>
      </c>
      <c r="N5511" s="1">
        <v>39083</v>
      </c>
    </row>
    <row r="5512" spans="11:14" x14ac:dyDescent="0.3">
      <c r="K5512" s="1">
        <v>39448</v>
      </c>
      <c r="M5512" t="e">
        <v>#N/A</v>
      </c>
      <c r="N5512" s="1">
        <v>39083</v>
      </c>
    </row>
    <row r="5513" spans="11:14" x14ac:dyDescent="0.3">
      <c r="K5513" s="1">
        <v>39448</v>
      </c>
      <c r="M5513" t="e">
        <v>#N/A</v>
      </c>
      <c r="N5513" s="1">
        <v>39083</v>
      </c>
    </row>
    <row r="5514" spans="11:14" x14ac:dyDescent="0.3">
      <c r="K5514" s="1">
        <v>39448</v>
      </c>
      <c r="M5514" t="e">
        <v>#N/A</v>
      </c>
      <c r="N5514" s="1">
        <v>39083</v>
      </c>
    </row>
    <row r="5515" spans="11:14" x14ac:dyDescent="0.3">
      <c r="K5515" s="1">
        <v>39448</v>
      </c>
      <c r="M5515" t="e">
        <v>#N/A</v>
      </c>
      <c r="N5515" s="1">
        <v>39083</v>
      </c>
    </row>
    <row r="5516" spans="11:14" x14ac:dyDescent="0.3">
      <c r="K5516" s="1">
        <v>39448</v>
      </c>
      <c r="M5516" t="e">
        <v>#N/A</v>
      </c>
      <c r="N5516" s="1">
        <v>39083</v>
      </c>
    </row>
    <row r="5517" spans="11:14" x14ac:dyDescent="0.3">
      <c r="K5517" s="1">
        <v>39448</v>
      </c>
      <c r="M5517" t="e">
        <v>#N/A</v>
      </c>
      <c r="N5517" s="1">
        <v>39083</v>
      </c>
    </row>
    <row r="5518" spans="11:14" x14ac:dyDescent="0.3">
      <c r="K5518" s="1">
        <v>39448</v>
      </c>
      <c r="M5518" t="e">
        <v>#N/A</v>
      </c>
      <c r="N5518" s="1">
        <v>39083</v>
      </c>
    </row>
    <row r="5519" spans="11:14" x14ac:dyDescent="0.3">
      <c r="K5519" s="1">
        <v>39448</v>
      </c>
      <c r="M5519" t="e">
        <v>#N/A</v>
      </c>
      <c r="N5519" s="1">
        <v>39083</v>
      </c>
    </row>
    <row r="5520" spans="11:14" x14ac:dyDescent="0.3">
      <c r="K5520" s="1">
        <v>39448</v>
      </c>
      <c r="M5520" t="e">
        <v>#N/A</v>
      </c>
      <c r="N5520" s="1">
        <v>39083</v>
      </c>
    </row>
    <row r="5521" spans="11:14" x14ac:dyDescent="0.3">
      <c r="K5521" s="1">
        <v>39448</v>
      </c>
      <c r="M5521" t="e">
        <v>#N/A</v>
      </c>
      <c r="N5521" s="1">
        <v>39083</v>
      </c>
    </row>
    <row r="5522" spans="11:14" x14ac:dyDescent="0.3">
      <c r="K5522" s="1">
        <v>39448</v>
      </c>
      <c r="M5522" t="e">
        <v>#N/A</v>
      </c>
      <c r="N5522" s="1">
        <v>39083</v>
      </c>
    </row>
    <row r="5523" spans="11:14" x14ac:dyDescent="0.3">
      <c r="K5523" s="1">
        <v>39448</v>
      </c>
      <c r="M5523" t="e">
        <v>#N/A</v>
      </c>
      <c r="N5523" s="1">
        <v>39083</v>
      </c>
    </row>
    <row r="5524" spans="11:14" x14ac:dyDescent="0.3">
      <c r="K5524" s="1">
        <v>39448</v>
      </c>
      <c r="M5524" t="e">
        <v>#N/A</v>
      </c>
      <c r="N5524" s="1">
        <v>39083</v>
      </c>
    </row>
    <row r="5525" spans="11:14" x14ac:dyDescent="0.3">
      <c r="K5525" s="1">
        <v>39448</v>
      </c>
      <c r="M5525" t="e">
        <v>#N/A</v>
      </c>
      <c r="N5525" s="1">
        <v>39083</v>
      </c>
    </row>
    <row r="5526" spans="11:14" x14ac:dyDescent="0.3">
      <c r="K5526" s="1">
        <v>39448</v>
      </c>
      <c r="M5526" t="e">
        <v>#N/A</v>
      </c>
      <c r="N5526" s="1">
        <v>39083</v>
      </c>
    </row>
    <row r="5527" spans="11:14" x14ac:dyDescent="0.3">
      <c r="K5527" s="1">
        <v>39448</v>
      </c>
      <c r="M5527" t="e">
        <v>#N/A</v>
      </c>
      <c r="N5527" s="1">
        <v>39083</v>
      </c>
    </row>
    <row r="5528" spans="11:14" x14ac:dyDescent="0.3">
      <c r="K5528" s="1">
        <v>39448</v>
      </c>
      <c r="M5528" t="e">
        <v>#N/A</v>
      </c>
      <c r="N5528" s="1">
        <v>39083</v>
      </c>
    </row>
    <row r="5529" spans="11:14" x14ac:dyDescent="0.3">
      <c r="K5529" s="1">
        <v>39448</v>
      </c>
      <c r="M5529" t="e">
        <v>#N/A</v>
      </c>
      <c r="N5529" s="1">
        <v>39083</v>
      </c>
    </row>
    <row r="5530" spans="11:14" x14ac:dyDescent="0.3">
      <c r="K5530" s="1">
        <v>39448</v>
      </c>
      <c r="M5530" t="e">
        <v>#N/A</v>
      </c>
      <c r="N5530" s="1">
        <v>39083</v>
      </c>
    </row>
    <row r="5531" spans="11:14" x14ac:dyDescent="0.3">
      <c r="K5531" s="1">
        <v>39448</v>
      </c>
      <c r="M5531" t="e">
        <v>#N/A</v>
      </c>
      <c r="N5531" s="1">
        <v>39083</v>
      </c>
    </row>
    <row r="5532" spans="11:14" x14ac:dyDescent="0.3">
      <c r="K5532" s="1">
        <v>39448</v>
      </c>
      <c r="M5532" t="e">
        <v>#N/A</v>
      </c>
      <c r="N5532" s="1">
        <v>39083</v>
      </c>
    </row>
    <row r="5533" spans="11:14" x14ac:dyDescent="0.3">
      <c r="K5533" s="1">
        <v>39448</v>
      </c>
      <c r="M5533" t="e">
        <v>#N/A</v>
      </c>
      <c r="N5533" s="1">
        <v>39083</v>
      </c>
    </row>
    <row r="5534" spans="11:14" x14ac:dyDescent="0.3">
      <c r="K5534" s="1">
        <v>39448</v>
      </c>
      <c r="M5534" t="e">
        <v>#N/A</v>
      </c>
      <c r="N5534" s="1">
        <v>39083</v>
      </c>
    </row>
    <row r="5535" spans="11:14" x14ac:dyDescent="0.3">
      <c r="K5535" s="1">
        <v>39448</v>
      </c>
      <c r="M5535" t="e">
        <v>#N/A</v>
      </c>
      <c r="N5535" s="1">
        <v>39083</v>
      </c>
    </row>
    <row r="5536" spans="11:14" x14ac:dyDescent="0.3">
      <c r="K5536" s="1">
        <v>39448</v>
      </c>
      <c r="M5536" t="e">
        <v>#N/A</v>
      </c>
      <c r="N5536" s="1">
        <v>39083</v>
      </c>
    </row>
    <row r="5537" spans="11:14" x14ac:dyDescent="0.3">
      <c r="K5537" s="1">
        <v>39448</v>
      </c>
      <c r="M5537" t="e">
        <v>#N/A</v>
      </c>
      <c r="N5537" s="1">
        <v>39083</v>
      </c>
    </row>
    <row r="5538" spans="11:14" x14ac:dyDescent="0.3">
      <c r="K5538" s="1">
        <v>39448</v>
      </c>
      <c r="M5538" t="e">
        <v>#N/A</v>
      </c>
      <c r="N5538" s="1">
        <v>39083</v>
      </c>
    </row>
    <row r="5539" spans="11:14" x14ac:dyDescent="0.3">
      <c r="K5539" s="1">
        <v>39448</v>
      </c>
      <c r="M5539" t="e">
        <v>#N/A</v>
      </c>
      <c r="N5539" s="1">
        <v>39083</v>
      </c>
    </row>
    <row r="5540" spans="11:14" x14ac:dyDescent="0.3">
      <c r="K5540" s="1">
        <v>39448</v>
      </c>
      <c r="M5540" t="e">
        <v>#N/A</v>
      </c>
      <c r="N5540" s="1">
        <v>39083</v>
      </c>
    </row>
    <row r="5541" spans="11:14" x14ac:dyDescent="0.3">
      <c r="K5541" s="1">
        <v>39448</v>
      </c>
      <c r="M5541" t="e">
        <v>#N/A</v>
      </c>
      <c r="N5541" s="1">
        <v>39083</v>
      </c>
    </row>
    <row r="5542" spans="11:14" x14ac:dyDescent="0.3">
      <c r="K5542" s="1">
        <v>39448</v>
      </c>
      <c r="M5542" t="e">
        <v>#N/A</v>
      </c>
      <c r="N5542" s="1">
        <v>39083</v>
      </c>
    </row>
    <row r="5543" spans="11:14" x14ac:dyDescent="0.3">
      <c r="K5543" s="1">
        <v>39448</v>
      </c>
      <c r="M5543" t="e">
        <v>#N/A</v>
      </c>
      <c r="N5543" s="1">
        <v>39083</v>
      </c>
    </row>
    <row r="5544" spans="11:14" x14ac:dyDescent="0.3">
      <c r="K5544" s="1">
        <v>39448</v>
      </c>
      <c r="M5544" t="e">
        <v>#N/A</v>
      </c>
      <c r="N5544" s="1">
        <v>39083</v>
      </c>
    </row>
    <row r="5545" spans="11:14" x14ac:dyDescent="0.3">
      <c r="K5545" s="1">
        <v>39448</v>
      </c>
      <c r="M5545" t="e">
        <v>#N/A</v>
      </c>
      <c r="N5545" s="1">
        <v>39083</v>
      </c>
    </row>
    <row r="5546" spans="11:14" x14ac:dyDescent="0.3">
      <c r="K5546" s="1">
        <v>39448</v>
      </c>
      <c r="M5546" t="e">
        <v>#N/A</v>
      </c>
      <c r="N5546" s="1">
        <v>39083</v>
      </c>
    </row>
    <row r="5547" spans="11:14" x14ac:dyDescent="0.3">
      <c r="K5547" s="1">
        <v>39448</v>
      </c>
      <c r="M5547" t="e">
        <v>#N/A</v>
      </c>
      <c r="N5547" s="1">
        <v>39083</v>
      </c>
    </row>
    <row r="5548" spans="11:14" x14ac:dyDescent="0.3">
      <c r="K5548" s="1">
        <v>39448</v>
      </c>
      <c r="M5548" t="e">
        <v>#N/A</v>
      </c>
      <c r="N5548" s="1">
        <v>39083</v>
      </c>
    </row>
    <row r="5549" spans="11:14" x14ac:dyDescent="0.3">
      <c r="K5549" s="1">
        <v>39448</v>
      </c>
      <c r="M5549" t="e">
        <v>#N/A</v>
      </c>
      <c r="N5549" s="1">
        <v>39083</v>
      </c>
    </row>
    <row r="5550" spans="11:14" x14ac:dyDescent="0.3">
      <c r="K5550" s="1">
        <v>39448</v>
      </c>
      <c r="M5550" t="e">
        <v>#N/A</v>
      </c>
      <c r="N5550" s="1">
        <v>39083</v>
      </c>
    </row>
    <row r="5551" spans="11:14" x14ac:dyDescent="0.3">
      <c r="K5551" s="1">
        <v>39448</v>
      </c>
      <c r="M5551" t="e">
        <v>#N/A</v>
      </c>
      <c r="N5551" s="1">
        <v>39083</v>
      </c>
    </row>
    <row r="5552" spans="11:14" x14ac:dyDescent="0.3">
      <c r="K5552" s="1">
        <v>39448</v>
      </c>
      <c r="M5552" t="e">
        <v>#N/A</v>
      </c>
      <c r="N5552" s="1">
        <v>39083</v>
      </c>
    </row>
    <row r="5553" spans="11:14" x14ac:dyDescent="0.3">
      <c r="K5553" s="1">
        <v>39448</v>
      </c>
      <c r="M5553" t="e">
        <v>#N/A</v>
      </c>
      <c r="N5553" s="1">
        <v>39083</v>
      </c>
    </row>
    <row r="5554" spans="11:14" x14ac:dyDescent="0.3">
      <c r="K5554" s="1">
        <v>39448</v>
      </c>
      <c r="M5554" t="e">
        <v>#N/A</v>
      </c>
      <c r="N5554" s="1">
        <v>39083</v>
      </c>
    </row>
    <row r="5555" spans="11:14" x14ac:dyDescent="0.3">
      <c r="K5555" s="1">
        <v>39448</v>
      </c>
      <c r="M5555" t="e">
        <v>#N/A</v>
      </c>
      <c r="N5555" s="1">
        <v>39083</v>
      </c>
    </row>
    <row r="5556" spans="11:14" x14ac:dyDescent="0.3">
      <c r="K5556" s="1">
        <v>39448</v>
      </c>
      <c r="M5556" t="e">
        <v>#N/A</v>
      </c>
      <c r="N5556" s="1">
        <v>39083</v>
      </c>
    </row>
    <row r="5557" spans="11:14" x14ac:dyDescent="0.3">
      <c r="K5557" s="1">
        <v>39448</v>
      </c>
      <c r="M5557" t="e">
        <v>#N/A</v>
      </c>
      <c r="N5557" s="1">
        <v>39083</v>
      </c>
    </row>
    <row r="5558" spans="11:14" x14ac:dyDescent="0.3">
      <c r="K5558" s="1">
        <v>39448</v>
      </c>
      <c r="M5558" t="e">
        <v>#N/A</v>
      </c>
      <c r="N5558" s="1">
        <v>39083</v>
      </c>
    </row>
    <row r="5559" spans="11:14" x14ac:dyDescent="0.3">
      <c r="K5559" s="1">
        <v>39448</v>
      </c>
      <c r="M5559" t="e">
        <v>#N/A</v>
      </c>
      <c r="N5559" s="1">
        <v>39083</v>
      </c>
    </row>
    <row r="5560" spans="11:14" x14ac:dyDescent="0.3">
      <c r="K5560" s="1">
        <v>39448</v>
      </c>
      <c r="M5560" t="e">
        <v>#N/A</v>
      </c>
      <c r="N5560" s="1">
        <v>39083</v>
      </c>
    </row>
    <row r="5561" spans="11:14" x14ac:dyDescent="0.3">
      <c r="K5561" s="1">
        <v>39448</v>
      </c>
      <c r="M5561" t="e">
        <v>#N/A</v>
      </c>
      <c r="N5561" s="1">
        <v>39083</v>
      </c>
    </row>
    <row r="5562" spans="11:14" x14ac:dyDescent="0.3">
      <c r="K5562" s="1">
        <v>39448</v>
      </c>
      <c r="M5562" t="e">
        <v>#N/A</v>
      </c>
      <c r="N5562" s="1">
        <v>39083</v>
      </c>
    </row>
    <row r="5563" spans="11:14" x14ac:dyDescent="0.3">
      <c r="K5563" s="1">
        <v>39448</v>
      </c>
      <c r="M5563" t="e">
        <v>#N/A</v>
      </c>
      <c r="N5563" s="1">
        <v>39083</v>
      </c>
    </row>
    <row r="5564" spans="11:14" x14ac:dyDescent="0.3">
      <c r="K5564" s="1">
        <v>39448</v>
      </c>
      <c r="M5564" t="e">
        <v>#N/A</v>
      </c>
      <c r="N5564" s="1">
        <v>39083</v>
      </c>
    </row>
    <row r="5565" spans="11:14" x14ac:dyDescent="0.3">
      <c r="K5565" s="1">
        <v>39448</v>
      </c>
      <c r="M5565" t="e">
        <v>#N/A</v>
      </c>
      <c r="N5565" s="1">
        <v>39083</v>
      </c>
    </row>
    <row r="5566" spans="11:14" x14ac:dyDescent="0.3">
      <c r="K5566" s="1">
        <v>39448</v>
      </c>
      <c r="M5566" t="e">
        <v>#N/A</v>
      </c>
      <c r="N5566" s="1">
        <v>39083</v>
      </c>
    </row>
    <row r="5567" spans="11:14" x14ac:dyDescent="0.3">
      <c r="K5567" s="1">
        <v>39448</v>
      </c>
      <c r="M5567" t="e">
        <v>#N/A</v>
      </c>
      <c r="N5567" s="1">
        <v>39083</v>
      </c>
    </row>
    <row r="5568" spans="11:14" x14ac:dyDescent="0.3">
      <c r="K5568" s="1">
        <v>39448</v>
      </c>
      <c r="M5568" t="e">
        <v>#N/A</v>
      </c>
      <c r="N5568" s="1">
        <v>39083</v>
      </c>
    </row>
    <row r="5569" spans="11:14" x14ac:dyDescent="0.3">
      <c r="K5569" s="1">
        <v>39448</v>
      </c>
      <c r="M5569" t="e">
        <v>#N/A</v>
      </c>
      <c r="N5569" s="1">
        <v>39083</v>
      </c>
    </row>
    <row r="5570" spans="11:14" x14ac:dyDescent="0.3">
      <c r="K5570" s="1">
        <v>39448</v>
      </c>
      <c r="M5570" t="e">
        <v>#N/A</v>
      </c>
      <c r="N5570" s="1">
        <v>39083</v>
      </c>
    </row>
    <row r="5571" spans="11:14" x14ac:dyDescent="0.3">
      <c r="K5571" s="1">
        <v>39448</v>
      </c>
      <c r="M5571" t="e">
        <v>#N/A</v>
      </c>
      <c r="N5571" s="1">
        <v>39083</v>
      </c>
    </row>
    <row r="5572" spans="11:14" x14ac:dyDescent="0.3">
      <c r="K5572" s="1">
        <v>39448</v>
      </c>
      <c r="M5572" t="e">
        <v>#N/A</v>
      </c>
      <c r="N5572" s="1">
        <v>39083</v>
      </c>
    </row>
    <row r="5573" spans="11:14" x14ac:dyDescent="0.3">
      <c r="K5573" s="1">
        <v>39448</v>
      </c>
      <c r="M5573" t="e">
        <v>#N/A</v>
      </c>
      <c r="N5573" s="1">
        <v>39083</v>
      </c>
    </row>
    <row r="5574" spans="11:14" x14ac:dyDescent="0.3">
      <c r="K5574" s="1">
        <v>39448</v>
      </c>
      <c r="M5574" t="e">
        <v>#N/A</v>
      </c>
      <c r="N5574" s="1">
        <v>39083</v>
      </c>
    </row>
    <row r="5575" spans="11:14" x14ac:dyDescent="0.3">
      <c r="K5575" s="1">
        <v>39448</v>
      </c>
      <c r="M5575" t="e">
        <v>#N/A</v>
      </c>
      <c r="N5575" s="1">
        <v>39083</v>
      </c>
    </row>
    <row r="5576" spans="11:14" x14ac:dyDescent="0.3">
      <c r="K5576" s="1">
        <v>39448</v>
      </c>
      <c r="M5576" t="e">
        <v>#N/A</v>
      </c>
      <c r="N5576" s="1">
        <v>39083</v>
      </c>
    </row>
    <row r="5577" spans="11:14" x14ac:dyDescent="0.3">
      <c r="K5577" s="1">
        <v>39448</v>
      </c>
      <c r="M5577" t="e">
        <v>#N/A</v>
      </c>
      <c r="N5577" s="1">
        <v>39083</v>
      </c>
    </row>
    <row r="5578" spans="11:14" x14ac:dyDescent="0.3">
      <c r="K5578" s="1">
        <v>39448</v>
      </c>
      <c r="M5578" t="e">
        <v>#N/A</v>
      </c>
      <c r="N5578" s="1">
        <v>39083</v>
      </c>
    </row>
    <row r="5579" spans="11:14" x14ac:dyDescent="0.3">
      <c r="K5579" s="1">
        <v>39448</v>
      </c>
      <c r="M5579" t="e">
        <v>#N/A</v>
      </c>
      <c r="N5579" s="1">
        <v>39083</v>
      </c>
    </row>
    <row r="5580" spans="11:14" x14ac:dyDescent="0.3">
      <c r="K5580" s="1">
        <v>39448</v>
      </c>
      <c r="M5580" t="e">
        <v>#N/A</v>
      </c>
      <c r="N5580" s="1">
        <v>39083</v>
      </c>
    </row>
    <row r="5581" spans="11:14" x14ac:dyDescent="0.3">
      <c r="K5581" s="1">
        <v>39448</v>
      </c>
      <c r="M5581" t="e">
        <v>#N/A</v>
      </c>
      <c r="N5581" s="1">
        <v>39083</v>
      </c>
    </row>
    <row r="5582" spans="11:14" x14ac:dyDescent="0.3">
      <c r="K5582" s="1">
        <v>39448</v>
      </c>
      <c r="M5582" t="e">
        <v>#N/A</v>
      </c>
      <c r="N5582" s="1">
        <v>39083</v>
      </c>
    </row>
    <row r="5583" spans="11:14" x14ac:dyDescent="0.3">
      <c r="K5583" s="1">
        <v>39448</v>
      </c>
      <c r="M5583" t="e">
        <v>#N/A</v>
      </c>
      <c r="N5583" s="1">
        <v>39083</v>
      </c>
    </row>
    <row r="5584" spans="11:14" x14ac:dyDescent="0.3">
      <c r="K5584" s="1">
        <v>39448</v>
      </c>
      <c r="M5584" t="e">
        <v>#N/A</v>
      </c>
      <c r="N5584" s="1">
        <v>39083</v>
      </c>
    </row>
    <row r="5585" spans="11:14" x14ac:dyDescent="0.3">
      <c r="K5585" s="1">
        <v>39448</v>
      </c>
      <c r="M5585" t="e">
        <v>#N/A</v>
      </c>
      <c r="N5585" s="1">
        <v>39083</v>
      </c>
    </row>
    <row r="5586" spans="11:14" x14ac:dyDescent="0.3">
      <c r="K5586" s="1">
        <v>39448</v>
      </c>
      <c r="M5586" t="e">
        <v>#N/A</v>
      </c>
      <c r="N5586" s="1">
        <v>39083</v>
      </c>
    </row>
    <row r="5587" spans="11:14" x14ac:dyDescent="0.3">
      <c r="K5587" s="1">
        <v>39448</v>
      </c>
      <c r="M5587" t="e">
        <v>#N/A</v>
      </c>
      <c r="N5587" s="1">
        <v>39083</v>
      </c>
    </row>
    <row r="5588" spans="11:14" x14ac:dyDescent="0.3">
      <c r="K5588" s="1">
        <v>39448</v>
      </c>
      <c r="M5588" t="e">
        <v>#N/A</v>
      </c>
      <c r="N5588" s="1">
        <v>39083</v>
      </c>
    </row>
    <row r="5589" spans="11:14" x14ac:dyDescent="0.3">
      <c r="K5589" s="1">
        <v>39448</v>
      </c>
      <c r="M5589" t="e">
        <v>#N/A</v>
      </c>
      <c r="N5589" s="1">
        <v>39083</v>
      </c>
    </row>
    <row r="5590" spans="11:14" x14ac:dyDescent="0.3">
      <c r="K5590" s="1">
        <v>39448</v>
      </c>
      <c r="M5590" t="e">
        <v>#N/A</v>
      </c>
      <c r="N5590" s="1">
        <v>39083</v>
      </c>
    </row>
    <row r="5591" spans="11:14" x14ac:dyDescent="0.3">
      <c r="K5591" s="1">
        <v>39448</v>
      </c>
      <c r="M5591" t="e">
        <v>#N/A</v>
      </c>
      <c r="N5591" s="1">
        <v>39083</v>
      </c>
    </row>
    <row r="5592" spans="11:14" x14ac:dyDescent="0.3">
      <c r="K5592" s="1">
        <v>39448</v>
      </c>
      <c r="M5592" t="e">
        <v>#N/A</v>
      </c>
      <c r="N5592" s="1">
        <v>39083</v>
      </c>
    </row>
    <row r="5593" spans="11:14" x14ac:dyDescent="0.3">
      <c r="K5593" s="1">
        <v>39448</v>
      </c>
      <c r="M5593" t="e">
        <v>#N/A</v>
      </c>
      <c r="N5593" s="1">
        <v>39083</v>
      </c>
    </row>
    <row r="5594" spans="11:14" x14ac:dyDescent="0.3">
      <c r="K5594" s="1">
        <v>39448</v>
      </c>
      <c r="M5594" t="e">
        <v>#N/A</v>
      </c>
      <c r="N5594" s="1">
        <v>39083</v>
      </c>
    </row>
    <row r="5595" spans="11:14" x14ac:dyDescent="0.3">
      <c r="K5595" s="1">
        <v>39448</v>
      </c>
      <c r="M5595" t="e">
        <v>#N/A</v>
      </c>
      <c r="N5595" s="1">
        <v>39083</v>
      </c>
    </row>
    <row r="5596" spans="11:14" x14ac:dyDescent="0.3">
      <c r="K5596" s="1">
        <v>39448</v>
      </c>
      <c r="M5596" t="e">
        <v>#N/A</v>
      </c>
      <c r="N5596" s="1">
        <v>39083</v>
      </c>
    </row>
    <row r="5597" spans="11:14" x14ac:dyDescent="0.3">
      <c r="K5597" s="1">
        <v>39448</v>
      </c>
      <c r="M5597" t="e">
        <v>#N/A</v>
      </c>
      <c r="N5597" s="1">
        <v>39083</v>
      </c>
    </row>
    <row r="5598" spans="11:14" x14ac:dyDescent="0.3">
      <c r="K5598" s="1">
        <v>39448</v>
      </c>
      <c r="M5598" t="e">
        <v>#N/A</v>
      </c>
      <c r="N5598" s="1">
        <v>39083</v>
      </c>
    </row>
    <row r="5599" spans="11:14" x14ac:dyDescent="0.3">
      <c r="K5599" s="1">
        <v>39448</v>
      </c>
      <c r="M5599" t="e">
        <v>#N/A</v>
      </c>
      <c r="N5599" s="1">
        <v>39083</v>
      </c>
    </row>
    <row r="5600" spans="11:14" x14ac:dyDescent="0.3">
      <c r="K5600" s="1">
        <v>39448</v>
      </c>
      <c r="M5600" t="e">
        <v>#N/A</v>
      </c>
      <c r="N5600" s="1">
        <v>39083</v>
      </c>
    </row>
    <row r="5601" spans="11:14" x14ac:dyDescent="0.3">
      <c r="K5601" s="1">
        <v>39448</v>
      </c>
      <c r="M5601" t="e">
        <v>#N/A</v>
      </c>
      <c r="N5601" s="1">
        <v>39083</v>
      </c>
    </row>
    <row r="5602" spans="11:14" x14ac:dyDescent="0.3">
      <c r="K5602" s="1">
        <v>39448</v>
      </c>
      <c r="M5602" t="e">
        <v>#N/A</v>
      </c>
      <c r="N5602" s="1">
        <v>39083</v>
      </c>
    </row>
    <row r="5603" spans="11:14" x14ac:dyDescent="0.3">
      <c r="K5603" s="1">
        <v>39448</v>
      </c>
      <c r="M5603" t="e">
        <v>#N/A</v>
      </c>
      <c r="N5603" s="1">
        <v>39083</v>
      </c>
    </row>
    <row r="5604" spans="11:14" x14ac:dyDescent="0.3">
      <c r="K5604" s="1">
        <v>39448</v>
      </c>
      <c r="M5604" t="e">
        <v>#N/A</v>
      </c>
      <c r="N5604" s="1">
        <v>39083</v>
      </c>
    </row>
    <row r="5605" spans="11:14" x14ac:dyDescent="0.3">
      <c r="K5605" s="1">
        <v>39448</v>
      </c>
      <c r="M5605" t="e">
        <v>#N/A</v>
      </c>
      <c r="N5605" s="1">
        <v>39083</v>
      </c>
    </row>
    <row r="5606" spans="11:14" x14ac:dyDescent="0.3">
      <c r="K5606" s="1">
        <v>39448</v>
      </c>
      <c r="M5606" t="e">
        <v>#N/A</v>
      </c>
      <c r="N5606" s="1">
        <v>39083</v>
      </c>
    </row>
    <row r="5607" spans="11:14" x14ac:dyDescent="0.3">
      <c r="K5607" s="1">
        <v>39448</v>
      </c>
      <c r="M5607" t="e">
        <v>#N/A</v>
      </c>
      <c r="N5607" s="1">
        <v>39083</v>
      </c>
    </row>
    <row r="5608" spans="11:14" x14ac:dyDescent="0.3">
      <c r="K5608" s="1">
        <v>39448</v>
      </c>
      <c r="M5608" t="e">
        <v>#N/A</v>
      </c>
      <c r="N5608" s="1">
        <v>39083</v>
      </c>
    </row>
    <row r="5609" spans="11:14" x14ac:dyDescent="0.3">
      <c r="K5609" s="1">
        <v>39448</v>
      </c>
      <c r="M5609" t="e">
        <v>#N/A</v>
      </c>
      <c r="N5609" s="1">
        <v>39083</v>
      </c>
    </row>
    <row r="5610" spans="11:14" x14ac:dyDescent="0.3">
      <c r="K5610" s="1">
        <v>39448</v>
      </c>
      <c r="M5610" t="e">
        <v>#N/A</v>
      </c>
      <c r="N5610" s="1">
        <v>39083</v>
      </c>
    </row>
    <row r="5611" spans="11:14" x14ac:dyDescent="0.3">
      <c r="K5611" s="1">
        <v>39448</v>
      </c>
      <c r="M5611" t="e">
        <v>#N/A</v>
      </c>
      <c r="N5611" s="1">
        <v>39083</v>
      </c>
    </row>
    <row r="5612" spans="11:14" x14ac:dyDescent="0.3">
      <c r="K5612" s="1">
        <v>39448</v>
      </c>
      <c r="M5612" t="e">
        <v>#N/A</v>
      </c>
      <c r="N5612" s="1">
        <v>39083</v>
      </c>
    </row>
    <row r="5613" spans="11:14" x14ac:dyDescent="0.3">
      <c r="K5613" s="1">
        <v>39448</v>
      </c>
      <c r="M5613" t="e">
        <v>#N/A</v>
      </c>
      <c r="N5613" s="1">
        <v>39083</v>
      </c>
    </row>
    <row r="5614" spans="11:14" x14ac:dyDescent="0.3">
      <c r="K5614" s="1">
        <v>39448</v>
      </c>
      <c r="M5614" t="e">
        <v>#N/A</v>
      </c>
      <c r="N5614" s="1">
        <v>39083</v>
      </c>
    </row>
    <row r="5615" spans="11:14" x14ac:dyDescent="0.3">
      <c r="K5615" s="1">
        <v>39448</v>
      </c>
      <c r="M5615" t="e">
        <v>#N/A</v>
      </c>
      <c r="N5615" s="1">
        <v>39083</v>
      </c>
    </row>
    <row r="5616" spans="11:14" x14ac:dyDescent="0.3">
      <c r="K5616" s="1">
        <v>39448</v>
      </c>
      <c r="M5616" t="e">
        <v>#N/A</v>
      </c>
      <c r="N5616" s="1">
        <v>39083</v>
      </c>
    </row>
    <row r="5617" spans="11:14" x14ac:dyDescent="0.3">
      <c r="K5617" s="1">
        <v>39448</v>
      </c>
      <c r="M5617" t="e">
        <v>#N/A</v>
      </c>
      <c r="N5617" s="1">
        <v>39083</v>
      </c>
    </row>
    <row r="5618" spans="11:14" x14ac:dyDescent="0.3">
      <c r="K5618" s="1">
        <v>39448</v>
      </c>
      <c r="M5618" t="e">
        <v>#N/A</v>
      </c>
      <c r="N5618" s="1">
        <v>39083</v>
      </c>
    </row>
    <row r="5619" spans="11:14" x14ac:dyDescent="0.3">
      <c r="K5619" s="1">
        <v>39448</v>
      </c>
      <c r="M5619" t="e">
        <v>#N/A</v>
      </c>
      <c r="N5619" s="1">
        <v>39083</v>
      </c>
    </row>
    <row r="5620" spans="11:14" x14ac:dyDescent="0.3">
      <c r="K5620" s="1">
        <v>39448</v>
      </c>
      <c r="M5620" t="e">
        <v>#N/A</v>
      </c>
      <c r="N5620" s="1">
        <v>39083</v>
      </c>
    </row>
    <row r="5621" spans="11:14" x14ac:dyDescent="0.3">
      <c r="K5621" s="1">
        <v>39448</v>
      </c>
      <c r="M5621" t="e">
        <v>#N/A</v>
      </c>
      <c r="N5621" s="1">
        <v>39083</v>
      </c>
    </row>
    <row r="5622" spans="11:14" x14ac:dyDescent="0.3">
      <c r="K5622" s="1">
        <v>39448</v>
      </c>
      <c r="M5622" t="e">
        <v>#N/A</v>
      </c>
      <c r="N5622" s="1">
        <v>39083</v>
      </c>
    </row>
    <row r="5623" spans="11:14" x14ac:dyDescent="0.3">
      <c r="K5623" s="1">
        <v>39448</v>
      </c>
      <c r="M5623" t="e">
        <v>#N/A</v>
      </c>
      <c r="N5623" s="1">
        <v>39083</v>
      </c>
    </row>
    <row r="5624" spans="11:14" x14ac:dyDescent="0.3">
      <c r="K5624" s="1">
        <v>39448</v>
      </c>
      <c r="M5624" t="e">
        <v>#N/A</v>
      </c>
      <c r="N5624" s="1">
        <v>39083</v>
      </c>
    </row>
    <row r="5625" spans="11:14" x14ac:dyDescent="0.3">
      <c r="K5625" s="1">
        <v>39448</v>
      </c>
      <c r="M5625" t="e">
        <v>#N/A</v>
      </c>
      <c r="N5625" s="1">
        <v>39083</v>
      </c>
    </row>
    <row r="5626" spans="11:14" x14ac:dyDescent="0.3">
      <c r="K5626" s="1">
        <v>39448</v>
      </c>
      <c r="M5626" t="e">
        <v>#N/A</v>
      </c>
      <c r="N5626" s="1">
        <v>39083</v>
      </c>
    </row>
    <row r="5627" spans="11:14" x14ac:dyDescent="0.3">
      <c r="K5627" s="1">
        <v>39448</v>
      </c>
      <c r="M5627" t="e">
        <v>#N/A</v>
      </c>
      <c r="N5627" s="1">
        <v>39083</v>
      </c>
    </row>
    <row r="5628" spans="11:14" x14ac:dyDescent="0.3">
      <c r="K5628" s="1">
        <v>39448</v>
      </c>
      <c r="M5628" t="e">
        <v>#N/A</v>
      </c>
      <c r="N5628" s="1">
        <v>39083</v>
      </c>
    </row>
    <row r="5629" spans="11:14" x14ac:dyDescent="0.3">
      <c r="K5629" s="1">
        <v>39448</v>
      </c>
      <c r="M5629" t="e">
        <v>#N/A</v>
      </c>
      <c r="N5629" s="1">
        <v>39083</v>
      </c>
    </row>
    <row r="5630" spans="11:14" x14ac:dyDescent="0.3">
      <c r="K5630" s="1">
        <v>39448</v>
      </c>
      <c r="M5630" t="e">
        <v>#N/A</v>
      </c>
      <c r="N5630" s="1">
        <v>39083</v>
      </c>
    </row>
    <row r="5631" spans="11:14" x14ac:dyDescent="0.3">
      <c r="K5631" s="1">
        <v>39448</v>
      </c>
      <c r="M5631" t="e">
        <v>#N/A</v>
      </c>
      <c r="N5631" s="1">
        <v>39083</v>
      </c>
    </row>
    <row r="5632" spans="11:14" x14ac:dyDescent="0.3">
      <c r="K5632" s="1">
        <v>39448</v>
      </c>
      <c r="M5632" t="e">
        <v>#N/A</v>
      </c>
      <c r="N5632" s="1">
        <v>39083</v>
      </c>
    </row>
    <row r="5633" spans="11:14" x14ac:dyDescent="0.3">
      <c r="K5633" s="1">
        <v>39448</v>
      </c>
      <c r="M5633" t="e">
        <v>#N/A</v>
      </c>
      <c r="N5633" s="1">
        <v>39083</v>
      </c>
    </row>
    <row r="5634" spans="11:14" x14ac:dyDescent="0.3">
      <c r="K5634" s="1">
        <v>39448</v>
      </c>
      <c r="M5634" t="e">
        <v>#N/A</v>
      </c>
      <c r="N5634" s="1">
        <v>39083</v>
      </c>
    </row>
    <row r="5635" spans="11:14" x14ac:dyDescent="0.3">
      <c r="K5635" s="1">
        <v>39448</v>
      </c>
      <c r="M5635" t="e">
        <v>#N/A</v>
      </c>
      <c r="N5635" s="1">
        <v>39083</v>
      </c>
    </row>
    <row r="5636" spans="11:14" x14ac:dyDescent="0.3">
      <c r="K5636" s="1">
        <v>39448</v>
      </c>
      <c r="M5636" t="e">
        <v>#N/A</v>
      </c>
      <c r="N5636" s="1">
        <v>39083</v>
      </c>
    </row>
    <row r="5637" spans="11:14" x14ac:dyDescent="0.3">
      <c r="K5637" s="1">
        <v>39448</v>
      </c>
      <c r="M5637" t="e">
        <v>#N/A</v>
      </c>
      <c r="N5637" s="1">
        <v>39083</v>
      </c>
    </row>
    <row r="5638" spans="11:14" x14ac:dyDescent="0.3">
      <c r="K5638" s="1">
        <v>39448</v>
      </c>
      <c r="M5638" t="e">
        <v>#N/A</v>
      </c>
      <c r="N5638" s="1">
        <v>39083</v>
      </c>
    </row>
    <row r="5639" spans="11:14" x14ac:dyDescent="0.3">
      <c r="K5639" s="1">
        <v>39448</v>
      </c>
      <c r="M5639" t="e">
        <v>#N/A</v>
      </c>
      <c r="N5639" s="1">
        <v>39083</v>
      </c>
    </row>
    <row r="5640" spans="11:14" x14ac:dyDescent="0.3">
      <c r="K5640" s="1">
        <v>39448</v>
      </c>
      <c r="M5640" t="e">
        <v>#N/A</v>
      </c>
      <c r="N5640" s="1">
        <v>39083</v>
      </c>
    </row>
    <row r="5641" spans="11:14" x14ac:dyDescent="0.3">
      <c r="K5641" s="1">
        <v>39448</v>
      </c>
      <c r="M5641" t="e">
        <v>#N/A</v>
      </c>
      <c r="N5641" s="1">
        <v>39083</v>
      </c>
    </row>
    <row r="5642" spans="11:14" x14ac:dyDescent="0.3">
      <c r="K5642" s="1">
        <v>39539</v>
      </c>
      <c r="M5642" t="e">
        <v>#N/A</v>
      </c>
      <c r="N5642" s="1">
        <v>39083</v>
      </c>
    </row>
    <row r="5643" spans="11:14" x14ac:dyDescent="0.3">
      <c r="K5643" s="1">
        <v>39539</v>
      </c>
      <c r="M5643" t="e">
        <v>#N/A</v>
      </c>
      <c r="N5643" s="1">
        <v>39083</v>
      </c>
    </row>
    <row r="5644" spans="11:14" x14ac:dyDescent="0.3">
      <c r="K5644" s="1">
        <v>39539</v>
      </c>
      <c r="M5644" t="e">
        <v>#N/A</v>
      </c>
      <c r="N5644" s="1">
        <v>39083</v>
      </c>
    </row>
    <row r="5645" spans="11:14" x14ac:dyDescent="0.3">
      <c r="K5645" s="1">
        <v>39539</v>
      </c>
      <c r="M5645" t="e">
        <v>#N/A</v>
      </c>
      <c r="N5645" s="1">
        <v>39083</v>
      </c>
    </row>
    <row r="5646" spans="11:14" x14ac:dyDescent="0.3">
      <c r="K5646" s="1">
        <v>39539</v>
      </c>
      <c r="M5646" t="e">
        <v>#N/A</v>
      </c>
      <c r="N5646" s="1">
        <v>39083</v>
      </c>
    </row>
    <row r="5647" spans="11:14" x14ac:dyDescent="0.3">
      <c r="K5647" s="1">
        <v>39539</v>
      </c>
      <c r="M5647" t="e">
        <v>#N/A</v>
      </c>
      <c r="N5647" s="1">
        <v>39083</v>
      </c>
    </row>
    <row r="5648" spans="11:14" x14ac:dyDescent="0.3">
      <c r="K5648" s="1">
        <v>39539</v>
      </c>
      <c r="M5648" t="e">
        <v>#N/A</v>
      </c>
      <c r="N5648" s="1">
        <v>39083</v>
      </c>
    </row>
    <row r="5649" spans="11:14" x14ac:dyDescent="0.3">
      <c r="K5649" s="1">
        <v>39539</v>
      </c>
      <c r="M5649" t="e">
        <v>#N/A</v>
      </c>
      <c r="N5649" s="1">
        <v>39083</v>
      </c>
    </row>
    <row r="5650" spans="11:14" x14ac:dyDescent="0.3">
      <c r="K5650" s="1">
        <v>39539</v>
      </c>
      <c r="M5650" t="e">
        <v>#N/A</v>
      </c>
      <c r="N5650" s="1">
        <v>39083</v>
      </c>
    </row>
    <row r="5651" spans="11:14" x14ac:dyDescent="0.3">
      <c r="K5651" s="1">
        <v>39539</v>
      </c>
      <c r="M5651" t="e">
        <v>#N/A</v>
      </c>
      <c r="N5651" s="1">
        <v>39083</v>
      </c>
    </row>
    <row r="5652" spans="11:14" x14ac:dyDescent="0.3">
      <c r="K5652" s="1">
        <v>39539</v>
      </c>
      <c r="M5652" t="e">
        <v>#N/A</v>
      </c>
      <c r="N5652" s="1">
        <v>39083</v>
      </c>
    </row>
    <row r="5653" spans="11:14" x14ac:dyDescent="0.3">
      <c r="K5653" s="1">
        <v>39539</v>
      </c>
      <c r="M5653" t="e">
        <v>#N/A</v>
      </c>
      <c r="N5653" s="1">
        <v>39083</v>
      </c>
    </row>
    <row r="5654" spans="11:14" x14ac:dyDescent="0.3">
      <c r="K5654" s="1">
        <v>39539</v>
      </c>
      <c r="M5654" t="e">
        <v>#N/A</v>
      </c>
      <c r="N5654" s="1">
        <v>39083</v>
      </c>
    </row>
    <row r="5655" spans="11:14" x14ac:dyDescent="0.3">
      <c r="K5655" s="1">
        <v>39539</v>
      </c>
      <c r="M5655" t="e">
        <v>#N/A</v>
      </c>
      <c r="N5655" s="1">
        <v>39083</v>
      </c>
    </row>
    <row r="5656" spans="11:14" x14ac:dyDescent="0.3">
      <c r="K5656" s="1">
        <v>39539</v>
      </c>
      <c r="M5656" t="e">
        <v>#N/A</v>
      </c>
      <c r="N5656" s="1">
        <v>39083</v>
      </c>
    </row>
    <row r="5657" spans="11:14" x14ac:dyDescent="0.3">
      <c r="K5657" s="1">
        <v>39539</v>
      </c>
      <c r="M5657" t="e">
        <v>#N/A</v>
      </c>
      <c r="N5657" s="1">
        <v>39083</v>
      </c>
    </row>
    <row r="5658" spans="11:14" x14ac:dyDescent="0.3">
      <c r="K5658" s="1">
        <v>39539</v>
      </c>
      <c r="M5658" t="e">
        <v>#N/A</v>
      </c>
      <c r="N5658" s="1">
        <v>39083</v>
      </c>
    </row>
    <row r="5659" spans="11:14" x14ac:dyDescent="0.3">
      <c r="K5659" s="1">
        <v>39539</v>
      </c>
      <c r="M5659" t="e">
        <v>#N/A</v>
      </c>
      <c r="N5659" s="1">
        <v>39083</v>
      </c>
    </row>
    <row r="5660" spans="11:14" x14ac:dyDescent="0.3">
      <c r="K5660" s="1">
        <v>39539</v>
      </c>
      <c r="M5660" t="e">
        <v>#N/A</v>
      </c>
      <c r="N5660" s="1">
        <v>39083</v>
      </c>
    </row>
    <row r="5661" spans="11:14" x14ac:dyDescent="0.3">
      <c r="K5661" s="1">
        <v>39539</v>
      </c>
      <c r="M5661" t="e">
        <v>#N/A</v>
      </c>
      <c r="N5661" s="1">
        <v>39083</v>
      </c>
    </row>
    <row r="5662" spans="11:14" x14ac:dyDescent="0.3">
      <c r="K5662" s="1">
        <v>39539</v>
      </c>
      <c r="M5662" t="e">
        <v>#N/A</v>
      </c>
      <c r="N5662" s="1">
        <v>39083</v>
      </c>
    </row>
    <row r="5663" spans="11:14" x14ac:dyDescent="0.3">
      <c r="K5663" s="1">
        <v>39539</v>
      </c>
      <c r="M5663" t="e">
        <v>#N/A</v>
      </c>
      <c r="N5663" s="1">
        <v>39083</v>
      </c>
    </row>
    <row r="5664" spans="11:14" x14ac:dyDescent="0.3">
      <c r="K5664" s="1">
        <v>39539</v>
      </c>
      <c r="M5664" t="e">
        <v>#N/A</v>
      </c>
      <c r="N5664" s="1">
        <v>39083</v>
      </c>
    </row>
    <row r="5665" spans="11:14" x14ac:dyDescent="0.3">
      <c r="K5665" s="1">
        <v>39539</v>
      </c>
      <c r="M5665" t="e">
        <v>#N/A</v>
      </c>
      <c r="N5665" s="1">
        <v>39083</v>
      </c>
    </row>
    <row r="5666" spans="11:14" x14ac:dyDescent="0.3">
      <c r="K5666" s="1">
        <v>39539</v>
      </c>
      <c r="M5666" t="e">
        <v>#N/A</v>
      </c>
      <c r="N5666" s="1">
        <v>39083</v>
      </c>
    </row>
    <row r="5667" spans="11:14" x14ac:dyDescent="0.3">
      <c r="K5667" s="1">
        <v>39539</v>
      </c>
      <c r="M5667" t="e">
        <v>#N/A</v>
      </c>
      <c r="N5667" s="1">
        <v>39083</v>
      </c>
    </row>
    <row r="5668" spans="11:14" x14ac:dyDescent="0.3">
      <c r="K5668" s="1">
        <v>39539</v>
      </c>
      <c r="M5668" t="e">
        <v>#N/A</v>
      </c>
      <c r="N5668" s="1">
        <v>39083</v>
      </c>
    </row>
    <row r="5669" spans="11:14" x14ac:dyDescent="0.3">
      <c r="K5669" s="1">
        <v>39539</v>
      </c>
      <c r="M5669" t="e">
        <v>#N/A</v>
      </c>
      <c r="N5669" s="1">
        <v>39083</v>
      </c>
    </row>
    <row r="5670" spans="11:14" x14ac:dyDescent="0.3">
      <c r="K5670" s="1">
        <v>39539</v>
      </c>
      <c r="M5670" t="e">
        <v>#N/A</v>
      </c>
      <c r="N5670" s="1">
        <v>39083</v>
      </c>
    </row>
    <row r="5671" spans="11:14" x14ac:dyDescent="0.3">
      <c r="K5671" s="1">
        <v>39539</v>
      </c>
      <c r="M5671" t="e">
        <v>#N/A</v>
      </c>
      <c r="N5671" s="1">
        <v>39083</v>
      </c>
    </row>
    <row r="5672" spans="11:14" x14ac:dyDescent="0.3">
      <c r="K5672" s="1">
        <v>39539</v>
      </c>
      <c r="M5672" t="e">
        <v>#N/A</v>
      </c>
      <c r="N5672" s="1">
        <v>39083</v>
      </c>
    </row>
    <row r="5673" spans="11:14" x14ac:dyDescent="0.3">
      <c r="K5673" s="1">
        <v>39539</v>
      </c>
      <c r="M5673" t="e">
        <v>#N/A</v>
      </c>
      <c r="N5673" s="1">
        <v>39083</v>
      </c>
    </row>
    <row r="5674" spans="11:14" x14ac:dyDescent="0.3">
      <c r="K5674" s="1">
        <v>39539</v>
      </c>
      <c r="M5674" t="e">
        <v>#N/A</v>
      </c>
      <c r="N5674" s="1">
        <v>39083</v>
      </c>
    </row>
    <row r="5675" spans="11:14" x14ac:dyDescent="0.3">
      <c r="K5675" s="1">
        <v>39539</v>
      </c>
      <c r="M5675" t="e">
        <v>#N/A</v>
      </c>
      <c r="N5675" s="1">
        <v>39083</v>
      </c>
    </row>
    <row r="5676" spans="11:14" x14ac:dyDescent="0.3">
      <c r="K5676" s="1">
        <v>39539</v>
      </c>
      <c r="M5676" t="e">
        <v>#N/A</v>
      </c>
      <c r="N5676" s="1">
        <v>39083</v>
      </c>
    </row>
    <row r="5677" spans="11:14" x14ac:dyDescent="0.3">
      <c r="K5677" s="1">
        <v>39539</v>
      </c>
      <c r="M5677" t="e">
        <v>#N/A</v>
      </c>
      <c r="N5677" s="1">
        <v>39083</v>
      </c>
    </row>
    <row r="5678" spans="11:14" x14ac:dyDescent="0.3">
      <c r="K5678" s="1">
        <v>39539</v>
      </c>
      <c r="M5678" t="e">
        <v>#N/A</v>
      </c>
      <c r="N5678" s="1">
        <v>39083</v>
      </c>
    </row>
    <row r="5679" spans="11:14" x14ac:dyDescent="0.3">
      <c r="K5679" s="1">
        <v>39539</v>
      </c>
      <c r="M5679" t="e">
        <v>#N/A</v>
      </c>
      <c r="N5679" s="1">
        <v>39083</v>
      </c>
    </row>
    <row r="5680" spans="11:14" x14ac:dyDescent="0.3">
      <c r="K5680" s="1">
        <v>39539</v>
      </c>
      <c r="M5680" t="e">
        <v>#N/A</v>
      </c>
      <c r="N5680" s="1">
        <v>39083</v>
      </c>
    </row>
    <row r="5681" spans="11:14" x14ac:dyDescent="0.3">
      <c r="K5681" s="1">
        <v>39539</v>
      </c>
      <c r="M5681" t="e">
        <v>#N/A</v>
      </c>
      <c r="N5681" s="1">
        <v>39083</v>
      </c>
    </row>
    <row r="5682" spans="11:14" x14ac:dyDescent="0.3">
      <c r="K5682" s="1">
        <v>39539</v>
      </c>
      <c r="M5682" t="e">
        <v>#N/A</v>
      </c>
      <c r="N5682" s="1">
        <v>39083</v>
      </c>
    </row>
    <row r="5683" spans="11:14" x14ac:dyDescent="0.3">
      <c r="K5683" s="1">
        <v>39539</v>
      </c>
      <c r="M5683" t="e">
        <v>#N/A</v>
      </c>
      <c r="N5683" s="1">
        <v>39083</v>
      </c>
    </row>
    <row r="5684" spans="11:14" x14ac:dyDescent="0.3">
      <c r="K5684" s="1">
        <v>39539</v>
      </c>
      <c r="M5684" t="e">
        <v>#N/A</v>
      </c>
      <c r="N5684" s="1">
        <v>39083</v>
      </c>
    </row>
    <row r="5685" spans="11:14" x14ac:dyDescent="0.3">
      <c r="K5685" s="1">
        <v>39539</v>
      </c>
      <c r="M5685" t="e">
        <v>#N/A</v>
      </c>
      <c r="N5685" s="1">
        <v>39083</v>
      </c>
    </row>
    <row r="5686" spans="11:14" x14ac:dyDescent="0.3">
      <c r="K5686" s="1">
        <v>39539</v>
      </c>
      <c r="M5686" t="e">
        <v>#N/A</v>
      </c>
      <c r="N5686" s="1">
        <v>39083</v>
      </c>
    </row>
    <row r="5687" spans="11:14" x14ac:dyDescent="0.3">
      <c r="K5687" s="1">
        <v>39539</v>
      </c>
      <c r="M5687" t="e">
        <v>#N/A</v>
      </c>
      <c r="N5687" s="1">
        <v>39083</v>
      </c>
    </row>
    <row r="5688" spans="11:14" x14ac:dyDescent="0.3">
      <c r="K5688" s="1">
        <v>39539</v>
      </c>
      <c r="M5688" t="e">
        <v>#N/A</v>
      </c>
      <c r="N5688" s="1">
        <v>39083</v>
      </c>
    </row>
    <row r="5689" spans="11:14" x14ac:dyDescent="0.3">
      <c r="K5689" s="1">
        <v>39539</v>
      </c>
      <c r="M5689" t="e">
        <v>#N/A</v>
      </c>
      <c r="N5689" s="1">
        <v>39083</v>
      </c>
    </row>
    <row r="5690" spans="11:14" x14ac:dyDescent="0.3">
      <c r="K5690" s="1">
        <v>39539</v>
      </c>
      <c r="M5690" t="e">
        <v>#N/A</v>
      </c>
      <c r="N5690" s="1">
        <v>39083</v>
      </c>
    </row>
    <row r="5691" spans="11:14" x14ac:dyDescent="0.3">
      <c r="K5691" s="1">
        <v>39539</v>
      </c>
      <c r="M5691" t="e">
        <v>#N/A</v>
      </c>
      <c r="N5691" s="1">
        <v>39083</v>
      </c>
    </row>
    <row r="5692" spans="11:14" x14ac:dyDescent="0.3">
      <c r="K5692" s="1">
        <v>39539</v>
      </c>
      <c r="M5692" t="e">
        <v>#N/A</v>
      </c>
      <c r="N5692" s="1">
        <v>39083</v>
      </c>
    </row>
    <row r="5693" spans="11:14" x14ac:dyDescent="0.3">
      <c r="K5693" s="1">
        <v>39539</v>
      </c>
      <c r="M5693" t="e">
        <v>#N/A</v>
      </c>
      <c r="N5693" s="1">
        <v>39083</v>
      </c>
    </row>
    <row r="5694" spans="11:14" x14ac:dyDescent="0.3">
      <c r="K5694" s="1">
        <v>39539</v>
      </c>
      <c r="M5694" t="e">
        <v>#N/A</v>
      </c>
      <c r="N5694" s="1">
        <v>39083</v>
      </c>
    </row>
    <row r="5695" spans="11:14" x14ac:dyDescent="0.3">
      <c r="K5695" s="1">
        <v>39539</v>
      </c>
      <c r="M5695" t="e">
        <v>#N/A</v>
      </c>
      <c r="N5695" s="1">
        <v>39083</v>
      </c>
    </row>
    <row r="5696" spans="11:14" x14ac:dyDescent="0.3">
      <c r="K5696" s="1">
        <v>39539</v>
      </c>
      <c r="M5696" t="e">
        <v>#N/A</v>
      </c>
      <c r="N5696" s="1">
        <v>39083</v>
      </c>
    </row>
    <row r="5697" spans="11:14" x14ac:dyDescent="0.3">
      <c r="K5697" s="1">
        <v>39539</v>
      </c>
      <c r="M5697" t="e">
        <v>#N/A</v>
      </c>
      <c r="N5697" s="1">
        <v>39083</v>
      </c>
    </row>
    <row r="5698" spans="11:14" x14ac:dyDescent="0.3">
      <c r="K5698" s="1">
        <v>39539</v>
      </c>
      <c r="M5698" t="e">
        <v>#N/A</v>
      </c>
      <c r="N5698" s="1">
        <v>39083</v>
      </c>
    </row>
    <row r="5699" spans="11:14" x14ac:dyDescent="0.3">
      <c r="K5699" s="1">
        <v>39539</v>
      </c>
      <c r="M5699" t="e">
        <v>#N/A</v>
      </c>
      <c r="N5699" s="1">
        <v>39083</v>
      </c>
    </row>
    <row r="5700" spans="11:14" x14ac:dyDescent="0.3">
      <c r="K5700" s="1">
        <v>39539</v>
      </c>
      <c r="M5700" t="e">
        <v>#N/A</v>
      </c>
      <c r="N5700" s="1">
        <v>39083</v>
      </c>
    </row>
    <row r="5701" spans="11:14" x14ac:dyDescent="0.3">
      <c r="K5701" s="1">
        <v>39539</v>
      </c>
      <c r="M5701" t="e">
        <v>#N/A</v>
      </c>
      <c r="N5701" s="1">
        <v>39083</v>
      </c>
    </row>
    <row r="5702" spans="11:14" x14ac:dyDescent="0.3">
      <c r="K5702" s="1">
        <v>39539</v>
      </c>
      <c r="M5702" t="e">
        <v>#N/A</v>
      </c>
      <c r="N5702" s="1">
        <v>39083</v>
      </c>
    </row>
    <row r="5703" spans="11:14" x14ac:dyDescent="0.3">
      <c r="K5703" s="1">
        <v>39539</v>
      </c>
      <c r="M5703" t="e">
        <v>#N/A</v>
      </c>
      <c r="N5703" s="1">
        <v>39083</v>
      </c>
    </row>
    <row r="5704" spans="11:14" x14ac:dyDescent="0.3">
      <c r="K5704" s="1">
        <v>39539</v>
      </c>
      <c r="M5704" t="e">
        <v>#N/A</v>
      </c>
      <c r="N5704" s="1">
        <v>39083</v>
      </c>
    </row>
    <row r="5705" spans="11:14" x14ac:dyDescent="0.3">
      <c r="K5705" s="1">
        <v>39539</v>
      </c>
      <c r="M5705" t="e">
        <v>#N/A</v>
      </c>
      <c r="N5705" s="1">
        <v>39083</v>
      </c>
    </row>
    <row r="5706" spans="11:14" x14ac:dyDescent="0.3">
      <c r="K5706" s="1">
        <v>39539</v>
      </c>
      <c r="M5706" t="e">
        <v>#N/A</v>
      </c>
      <c r="N5706" s="1">
        <v>39083</v>
      </c>
    </row>
    <row r="5707" spans="11:14" x14ac:dyDescent="0.3">
      <c r="K5707" s="1">
        <v>39539</v>
      </c>
      <c r="M5707" t="e">
        <v>#N/A</v>
      </c>
      <c r="N5707" s="1">
        <v>39083</v>
      </c>
    </row>
    <row r="5708" spans="11:14" x14ac:dyDescent="0.3">
      <c r="K5708" s="1">
        <v>39539</v>
      </c>
      <c r="M5708" t="e">
        <v>#N/A</v>
      </c>
      <c r="N5708" s="1">
        <v>39083</v>
      </c>
    </row>
    <row r="5709" spans="11:14" x14ac:dyDescent="0.3">
      <c r="K5709" s="1">
        <v>39539</v>
      </c>
      <c r="M5709" t="e">
        <v>#N/A</v>
      </c>
      <c r="N5709" s="1">
        <v>39083</v>
      </c>
    </row>
    <row r="5710" spans="11:14" x14ac:dyDescent="0.3">
      <c r="K5710" s="1">
        <v>39539</v>
      </c>
      <c r="M5710" t="e">
        <v>#N/A</v>
      </c>
      <c r="N5710" s="1">
        <v>39083</v>
      </c>
    </row>
    <row r="5711" spans="11:14" x14ac:dyDescent="0.3">
      <c r="K5711" s="1">
        <v>39539</v>
      </c>
      <c r="M5711" t="e">
        <v>#N/A</v>
      </c>
      <c r="N5711" s="1">
        <v>39083</v>
      </c>
    </row>
    <row r="5712" spans="11:14" x14ac:dyDescent="0.3">
      <c r="K5712" s="1">
        <v>39539</v>
      </c>
      <c r="M5712" t="e">
        <v>#N/A</v>
      </c>
      <c r="N5712" s="1">
        <v>39083</v>
      </c>
    </row>
    <row r="5713" spans="11:14" x14ac:dyDescent="0.3">
      <c r="K5713" s="1">
        <v>39539</v>
      </c>
      <c r="M5713" t="e">
        <v>#N/A</v>
      </c>
      <c r="N5713" s="1">
        <v>39083</v>
      </c>
    </row>
    <row r="5714" spans="11:14" x14ac:dyDescent="0.3">
      <c r="K5714" s="1">
        <v>39539</v>
      </c>
      <c r="M5714" t="e">
        <v>#N/A</v>
      </c>
      <c r="N5714" s="1">
        <v>39083</v>
      </c>
    </row>
    <row r="5715" spans="11:14" x14ac:dyDescent="0.3">
      <c r="K5715" s="1">
        <v>39539</v>
      </c>
      <c r="M5715" t="e">
        <v>#N/A</v>
      </c>
      <c r="N5715" s="1">
        <v>39083</v>
      </c>
    </row>
    <row r="5716" spans="11:14" x14ac:dyDescent="0.3">
      <c r="K5716" s="1">
        <v>39539</v>
      </c>
      <c r="M5716" t="e">
        <v>#N/A</v>
      </c>
      <c r="N5716" s="1">
        <v>39083</v>
      </c>
    </row>
    <row r="5717" spans="11:14" x14ac:dyDescent="0.3">
      <c r="K5717" s="1">
        <v>39539</v>
      </c>
      <c r="M5717" t="e">
        <v>#N/A</v>
      </c>
      <c r="N5717" s="1">
        <v>39083</v>
      </c>
    </row>
    <row r="5718" spans="11:14" x14ac:dyDescent="0.3">
      <c r="K5718" s="1">
        <v>39539</v>
      </c>
      <c r="M5718" t="e">
        <v>#N/A</v>
      </c>
      <c r="N5718" s="1">
        <v>39083</v>
      </c>
    </row>
    <row r="5719" spans="11:14" x14ac:dyDescent="0.3">
      <c r="K5719" s="1">
        <v>39539</v>
      </c>
      <c r="M5719" t="e">
        <v>#N/A</v>
      </c>
      <c r="N5719" s="1">
        <v>39083</v>
      </c>
    </row>
    <row r="5720" spans="11:14" x14ac:dyDescent="0.3">
      <c r="K5720" s="1">
        <v>39539</v>
      </c>
      <c r="M5720" t="e">
        <v>#N/A</v>
      </c>
      <c r="N5720" s="1">
        <v>39083</v>
      </c>
    </row>
    <row r="5721" spans="11:14" x14ac:dyDescent="0.3">
      <c r="K5721" s="1">
        <v>39539</v>
      </c>
      <c r="M5721" t="e">
        <v>#N/A</v>
      </c>
      <c r="N5721" s="1">
        <v>39083</v>
      </c>
    </row>
    <row r="5722" spans="11:14" x14ac:dyDescent="0.3">
      <c r="K5722" s="1">
        <v>39539</v>
      </c>
      <c r="M5722" t="e">
        <v>#N/A</v>
      </c>
      <c r="N5722" s="1">
        <v>39083</v>
      </c>
    </row>
    <row r="5723" spans="11:14" x14ac:dyDescent="0.3">
      <c r="K5723" s="1">
        <v>39539</v>
      </c>
      <c r="M5723" t="e">
        <v>#N/A</v>
      </c>
      <c r="N5723" s="1">
        <v>39083</v>
      </c>
    </row>
    <row r="5724" spans="11:14" x14ac:dyDescent="0.3">
      <c r="K5724" s="1">
        <v>39539</v>
      </c>
      <c r="M5724" t="e">
        <v>#N/A</v>
      </c>
      <c r="N5724" s="1">
        <v>39083</v>
      </c>
    </row>
    <row r="5725" spans="11:14" x14ac:dyDescent="0.3">
      <c r="K5725" s="1">
        <v>39539</v>
      </c>
      <c r="M5725" t="e">
        <v>#N/A</v>
      </c>
      <c r="N5725" s="1">
        <v>39083</v>
      </c>
    </row>
    <row r="5726" spans="11:14" x14ac:dyDescent="0.3">
      <c r="K5726" s="1">
        <v>39539</v>
      </c>
      <c r="M5726" t="e">
        <v>#N/A</v>
      </c>
      <c r="N5726" s="1">
        <v>39083</v>
      </c>
    </row>
    <row r="5727" spans="11:14" x14ac:dyDescent="0.3">
      <c r="K5727" s="1">
        <v>39539</v>
      </c>
      <c r="M5727" t="e">
        <v>#N/A</v>
      </c>
      <c r="N5727" s="1">
        <v>39083</v>
      </c>
    </row>
    <row r="5728" spans="11:14" x14ac:dyDescent="0.3">
      <c r="K5728" s="1">
        <v>39539</v>
      </c>
      <c r="M5728" t="e">
        <v>#N/A</v>
      </c>
      <c r="N5728" s="1">
        <v>39083</v>
      </c>
    </row>
    <row r="5729" spans="11:14" x14ac:dyDescent="0.3">
      <c r="K5729" s="1">
        <v>39539</v>
      </c>
      <c r="M5729" t="e">
        <v>#N/A</v>
      </c>
      <c r="N5729" s="1">
        <v>39083</v>
      </c>
    </row>
    <row r="5730" spans="11:14" x14ac:dyDescent="0.3">
      <c r="K5730" s="1">
        <v>39539</v>
      </c>
      <c r="M5730" t="e">
        <v>#N/A</v>
      </c>
      <c r="N5730" s="1">
        <v>39083</v>
      </c>
    </row>
    <row r="5731" spans="11:14" x14ac:dyDescent="0.3">
      <c r="K5731" s="1">
        <v>39539</v>
      </c>
      <c r="M5731" t="e">
        <v>#N/A</v>
      </c>
      <c r="N5731" s="1">
        <v>39083</v>
      </c>
    </row>
    <row r="5732" spans="11:14" x14ac:dyDescent="0.3">
      <c r="K5732" s="1">
        <v>39539</v>
      </c>
      <c r="M5732" t="e">
        <v>#N/A</v>
      </c>
      <c r="N5732" s="1">
        <v>39083</v>
      </c>
    </row>
    <row r="5733" spans="11:14" x14ac:dyDescent="0.3">
      <c r="K5733" s="1">
        <v>39539</v>
      </c>
      <c r="M5733" t="e">
        <v>#N/A</v>
      </c>
      <c r="N5733" s="1">
        <v>39083</v>
      </c>
    </row>
    <row r="5734" spans="11:14" x14ac:dyDescent="0.3">
      <c r="K5734" s="1">
        <v>39539</v>
      </c>
      <c r="M5734" t="e">
        <v>#N/A</v>
      </c>
      <c r="N5734" s="1">
        <v>39083</v>
      </c>
    </row>
    <row r="5735" spans="11:14" x14ac:dyDescent="0.3">
      <c r="K5735" s="1">
        <v>39539</v>
      </c>
      <c r="M5735" t="e">
        <v>#N/A</v>
      </c>
      <c r="N5735" s="1">
        <v>39083</v>
      </c>
    </row>
    <row r="5736" spans="11:14" x14ac:dyDescent="0.3">
      <c r="K5736" s="1">
        <v>39539</v>
      </c>
      <c r="M5736" t="e">
        <v>#N/A</v>
      </c>
      <c r="N5736" s="1">
        <v>39083</v>
      </c>
    </row>
    <row r="5737" spans="11:14" x14ac:dyDescent="0.3">
      <c r="K5737" s="1">
        <v>39539</v>
      </c>
      <c r="M5737" t="e">
        <v>#N/A</v>
      </c>
      <c r="N5737" s="1">
        <v>39083</v>
      </c>
    </row>
    <row r="5738" spans="11:14" x14ac:dyDescent="0.3">
      <c r="K5738" s="1">
        <v>39539</v>
      </c>
      <c r="M5738" t="e">
        <v>#N/A</v>
      </c>
      <c r="N5738" s="1">
        <v>39083</v>
      </c>
    </row>
    <row r="5739" spans="11:14" x14ac:dyDescent="0.3">
      <c r="K5739" s="1">
        <v>39539</v>
      </c>
      <c r="M5739" t="e">
        <v>#N/A</v>
      </c>
      <c r="N5739" s="1">
        <v>39083</v>
      </c>
    </row>
    <row r="5740" spans="11:14" x14ac:dyDescent="0.3">
      <c r="K5740" s="1">
        <v>39539</v>
      </c>
      <c r="M5740" t="e">
        <v>#N/A</v>
      </c>
      <c r="N5740" s="1">
        <v>39083</v>
      </c>
    </row>
    <row r="5741" spans="11:14" x14ac:dyDescent="0.3">
      <c r="K5741" s="1">
        <v>39539</v>
      </c>
      <c r="M5741" t="e">
        <v>#N/A</v>
      </c>
      <c r="N5741" s="1">
        <v>39083</v>
      </c>
    </row>
    <row r="5742" spans="11:14" x14ac:dyDescent="0.3">
      <c r="K5742" s="1">
        <v>39539</v>
      </c>
      <c r="M5742" t="e">
        <v>#N/A</v>
      </c>
      <c r="N5742" s="1">
        <v>39173</v>
      </c>
    </row>
    <row r="5743" spans="11:14" x14ac:dyDescent="0.3">
      <c r="K5743" s="1">
        <v>39539</v>
      </c>
      <c r="M5743" t="e">
        <v>#N/A</v>
      </c>
      <c r="N5743" s="1">
        <v>39173</v>
      </c>
    </row>
    <row r="5744" spans="11:14" x14ac:dyDescent="0.3">
      <c r="K5744" s="1">
        <v>39539</v>
      </c>
      <c r="M5744" t="e">
        <v>#N/A</v>
      </c>
      <c r="N5744" s="1">
        <v>39173</v>
      </c>
    </row>
    <row r="5745" spans="11:14" x14ac:dyDescent="0.3">
      <c r="K5745" s="1">
        <v>39539</v>
      </c>
      <c r="M5745" t="e">
        <v>#N/A</v>
      </c>
      <c r="N5745" s="1">
        <v>39173</v>
      </c>
    </row>
    <row r="5746" spans="11:14" x14ac:dyDescent="0.3">
      <c r="K5746" s="1">
        <v>39539</v>
      </c>
      <c r="M5746" t="e">
        <v>#N/A</v>
      </c>
      <c r="N5746" s="1">
        <v>39173</v>
      </c>
    </row>
    <row r="5747" spans="11:14" x14ac:dyDescent="0.3">
      <c r="K5747" s="1">
        <v>39539</v>
      </c>
      <c r="M5747" t="e">
        <v>#N/A</v>
      </c>
      <c r="N5747" s="1">
        <v>39173</v>
      </c>
    </row>
    <row r="5748" spans="11:14" x14ac:dyDescent="0.3">
      <c r="K5748" s="1">
        <v>39539</v>
      </c>
      <c r="M5748" t="e">
        <v>#N/A</v>
      </c>
      <c r="N5748" s="1">
        <v>39173</v>
      </c>
    </row>
    <row r="5749" spans="11:14" x14ac:dyDescent="0.3">
      <c r="K5749" s="1">
        <v>39539</v>
      </c>
      <c r="M5749" t="e">
        <v>#N/A</v>
      </c>
      <c r="N5749" s="1">
        <v>39173</v>
      </c>
    </row>
    <row r="5750" spans="11:14" x14ac:dyDescent="0.3">
      <c r="K5750" s="1">
        <v>39539</v>
      </c>
      <c r="M5750" t="e">
        <v>#N/A</v>
      </c>
      <c r="N5750" s="1">
        <v>39173</v>
      </c>
    </row>
    <row r="5751" spans="11:14" x14ac:dyDescent="0.3">
      <c r="K5751" s="1">
        <v>39539</v>
      </c>
      <c r="M5751" t="e">
        <v>#N/A</v>
      </c>
      <c r="N5751" s="1">
        <v>39173</v>
      </c>
    </row>
    <row r="5752" spans="11:14" x14ac:dyDescent="0.3">
      <c r="K5752" s="1">
        <v>39539</v>
      </c>
      <c r="M5752" t="e">
        <v>#N/A</v>
      </c>
      <c r="N5752" s="1">
        <v>39173</v>
      </c>
    </row>
    <row r="5753" spans="11:14" x14ac:dyDescent="0.3">
      <c r="K5753" s="1">
        <v>39539</v>
      </c>
      <c r="M5753" t="e">
        <v>#N/A</v>
      </c>
      <c r="N5753" s="1">
        <v>39173</v>
      </c>
    </row>
    <row r="5754" spans="11:14" x14ac:dyDescent="0.3">
      <c r="K5754" s="1">
        <v>39539</v>
      </c>
      <c r="M5754" t="e">
        <v>#N/A</v>
      </c>
      <c r="N5754" s="1">
        <v>39173</v>
      </c>
    </row>
    <row r="5755" spans="11:14" x14ac:dyDescent="0.3">
      <c r="K5755" s="1">
        <v>39539</v>
      </c>
      <c r="M5755" t="e">
        <v>#N/A</v>
      </c>
      <c r="N5755" s="1">
        <v>39173</v>
      </c>
    </row>
    <row r="5756" spans="11:14" x14ac:dyDescent="0.3">
      <c r="K5756" s="1">
        <v>39539</v>
      </c>
      <c r="M5756" t="e">
        <v>#N/A</v>
      </c>
      <c r="N5756" s="1">
        <v>39173</v>
      </c>
    </row>
    <row r="5757" spans="11:14" x14ac:dyDescent="0.3">
      <c r="K5757" s="1">
        <v>39539</v>
      </c>
      <c r="M5757" t="e">
        <v>#N/A</v>
      </c>
      <c r="N5757" s="1">
        <v>39173</v>
      </c>
    </row>
    <row r="5758" spans="11:14" x14ac:dyDescent="0.3">
      <c r="K5758" s="1">
        <v>39539</v>
      </c>
      <c r="M5758" t="e">
        <v>#N/A</v>
      </c>
      <c r="N5758" s="1">
        <v>39173</v>
      </c>
    </row>
    <row r="5759" spans="11:14" x14ac:dyDescent="0.3">
      <c r="K5759" s="1">
        <v>39539</v>
      </c>
      <c r="M5759" t="e">
        <v>#N/A</v>
      </c>
      <c r="N5759" s="1">
        <v>39173</v>
      </c>
    </row>
    <row r="5760" spans="11:14" x14ac:dyDescent="0.3">
      <c r="K5760" s="1">
        <v>39539</v>
      </c>
      <c r="M5760" t="e">
        <v>#N/A</v>
      </c>
      <c r="N5760" s="1">
        <v>39173</v>
      </c>
    </row>
    <row r="5761" spans="11:14" x14ac:dyDescent="0.3">
      <c r="K5761" s="1">
        <v>39539</v>
      </c>
      <c r="M5761" t="e">
        <v>#N/A</v>
      </c>
      <c r="N5761" s="1">
        <v>39173</v>
      </c>
    </row>
    <row r="5762" spans="11:14" x14ac:dyDescent="0.3">
      <c r="K5762" s="1">
        <v>39539</v>
      </c>
      <c r="M5762" t="e">
        <v>#N/A</v>
      </c>
      <c r="N5762" s="1">
        <v>39173</v>
      </c>
    </row>
    <row r="5763" spans="11:14" x14ac:dyDescent="0.3">
      <c r="K5763" s="1">
        <v>39539</v>
      </c>
      <c r="M5763" t="e">
        <v>#N/A</v>
      </c>
      <c r="N5763" s="1">
        <v>39173</v>
      </c>
    </row>
    <row r="5764" spans="11:14" x14ac:dyDescent="0.3">
      <c r="K5764" s="1">
        <v>39539</v>
      </c>
      <c r="M5764" t="e">
        <v>#N/A</v>
      </c>
      <c r="N5764" s="1">
        <v>39173</v>
      </c>
    </row>
    <row r="5765" spans="11:14" x14ac:dyDescent="0.3">
      <c r="K5765" s="1">
        <v>39539</v>
      </c>
      <c r="M5765" t="e">
        <v>#N/A</v>
      </c>
      <c r="N5765" s="1">
        <v>39173</v>
      </c>
    </row>
    <row r="5766" spans="11:14" x14ac:dyDescent="0.3">
      <c r="K5766" s="1">
        <v>39539</v>
      </c>
      <c r="M5766" t="e">
        <v>#N/A</v>
      </c>
      <c r="N5766" s="1">
        <v>39173</v>
      </c>
    </row>
    <row r="5767" spans="11:14" x14ac:dyDescent="0.3">
      <c r="K5767" s="1">
        <v>39539</v>
      </c>
      <c r="M5767" t="e">
        <v>#N/A</v>
      </c>
      <c r="N5767" s="1">
        <v>39173</v>
      </c>
    </row>
    <row r="5768" spans="11:14" x14ac:dyDescent="0.3">
      <c r="K5768" s="1">
        <v>39539</v>
      </c>
      <c r="M5768" t="e">
        <v>#N/A</v>
      </c>
      <c r="N5768" s="1">
        <v>39173</v>
      </c>
    </row>
    <row r="5769" spans="11:14" x14ac:dyDescent="0.3">
      <c r="K5769" s="1">
        <v>39539</v>
      </c>
      <c r="M5769" t="e">
        <v>#N/A</v>
      </c>
      <c r="N5769" s="1">
        <v>39173</v>
      </c>
    </row>
    <row r="5770" spans="11:14" x14ac:dyDescent="0.3">
      <c r="K5770" s="1">
        <v>39539</v>
      </c>
      <c r="M5770" t="e">
        <v>#N/A</v>
      </c>
      <c r="N5770" s="1">
        <v>39173</v>
      </c>
    </row>
    <row r="5771" spans="11:14" x14ac:dyDescent="0.3">
      <c r="K5771" s="1">
        <v>39539</v>
      </c>
      <c r="M5771" t="e">
        <v>#N/A</v>
      </c>
      <c r="N5771" s="1">
        <v>39173</v>
      </c>
    </row>
    <row r="5772" spans="11:14" x14ac:dyDescent="0.3">
      <c r="K5772" s="1">
        <v>39539</v>
      </c>
      <c r="M5772" t="e">
        <v>#N/A</v>
      </c>
      <c r="N5772" s="1">
        <v>39173</v>
      </c>
    </row>
    <row r="5773" spans="11:14" x14ac:dyDescent="0.3">
      <c r="K5773" s="1">
        <v>39539</v>
      </c>
      <c r="M5773" t="e">
        <v>#N/A</v>
      </c>
      <c r="N5773" s="1">
        <v>39173</v>
      </c>
    </row>
    <row r="5774" spans="11:14" x14ac:dyDescent="0.3">
      <c r="K5774" s="1">
        <v>39539</v>
      </c>
      <c r="M5774" t="e">
        <v>#N/A</v>
      </c>
      <c r="N5774" s="1">
        <v>39173</v>
      </c>
    </row>
    <row r="5775" spans="11:14" x14ac:dyDescent="0.3">
      <c r="K5775" s="1">
        <v>39539</v>
      </c>
      <c r="M5775" t="e">
        <v>#N/A</v>
      </c>
      <c r="N5775" s="1">
        <v>39173</v>
      </c>
    </row>
    <row r="5776" spans="11:14" x14ac:dyDescent="0.3">
      <c r="K5776" s="1">
        <v>39539</v>
      </c>
      <c r="M5776" t="e">
        <v>#N/A</v>
      </c>
      <c r="N5776" s="1">
        <v>39173</v>
      </c>
    </row>
    <row r="5777" spans="11:14" x14ac:dyDescent="0.3">
      <c r="K5777" s="1">
        <v>39539</v>
      </c>
      <c r="M5777" t="e">
        <v>#N/A</v>
      </c>
      <c r="N5777" s="1">
        <v>39173</v>
      </c>
    </row>
    <row r="5778" spans="11:14" x14ac:dyDescent="0.3">
      <c r="K5778" s="1">
        <v>39539</v>
      </c>
      <c r="M5778" t="e">
        <v>#N/A</v>
      </c>
      <c r="N5778" s="1">
        <v>39173</v>
      </c>
    </row>
    <row r="5779" spans="11:14" x14ac:dyDescent="0.3">
      <c r="K5779" s="1">
        <v>39539</v>
      </c>
      <c r="M5779" t="e">
        <v>#N/A</v>
      </c>
      <c r="N5779" s="1">
        <v>39173</v>
      </c>
    </row>
    <row r="5780" spans="11:14" x14ac:dyDescent="0.3">
      <c r="K5780" s="1">
        <v>39539</v>
      </c>
      <c r="M5780" t="e">
        <v>#N/A</v>
      </c>
      <c r="N5780" s="1">
        <v>39173</v>
      </c>
    </row>
    <row r="5781" spans="11:14" x14ac:dyDescent="0.3">
      <c r="K5781" s="1">
        <v>39539</v>
      </c>
      <c r="M5781" t="e">
        <v>#N/A</v>
      </c>
      <c r="N5781" s="1">
        <v>39173</v>
      </c>
    </row>
    <row r="5782" spans="11:14" x14ac:dyDescent="0.3">
      <c r="K5782" s="1">
        <v>39539</v>
      </c>
      <c r="M5782" t="e">
        <v>#N/A</v>
      </c>
      <c r="N5782" s="1">
        <v>39173</v>
      </c>
    </row>
    <row r="5783" spans="11:14" x14ac:dyDescent="0.3">
      <c r="K5783" s="1">
        <v>39539</v>
      </c>
      <c r="M5783" t="e">
        <v>#N/A</v>
      </c>
      <c r="N5783" s="1">
        <v>39173</v>
      </c>
    </row>
    <row r="5784" spans="11:14" x14ac:dyDescent="0.3">
      <c r="K5784" s="1">
        <v>39539</v>
      </c>
      <c r="M5784" t="e">
        <v>#N/A</v>
      </c>
      <c r="N5784" s="1">
        <v>39173</v>
      </c>
    </row>
    <row r="5785" spans="11:14" x14ac:dyDescent="0.3">
      <c r="K5785" s="1">
        <v>39539</v>
      </c>
      <c r="M5785" t="e">
        <v>#N/A</v>
      </c>
      <c r="N5785" s="1">
        <v>39173</v>
      </c>
    </row>
    <row r="5786" spans="11:14" x14ac:dyDescent="0.3">
      <c r="K5786" s="1">
        <v>39539</v>
      </c>
      <c r="M5786" t="e">
        <v>#N/A</v>
      </c>
      <c r="N5786" s="1">
        <v>39173</v>
      </c>
    </row>
    <row r="5787" spans="11:14" x14ac:dyDescent="0.3">
      <c r="K5787" s="1">
        <v>39539</v>
      </c>
      <c r="M5787" t="e">
        <v>#N/A</v>
      </c>
      <c r="N5787" s="1">
        <v>39173</v>
      </c>
    </row>
    <row r="5788" spans="11:14" x14ac:dyDescent="0.3">
      <c r="K5788" s="1">
        <v>39539</v>
      </c>
      <c r="M5788" t="e">
        <v>#N/A</v>
      </c>
      <c r="N5788" s="1">
        <v>39173</v>
      </c>
    </row>
    <row r="5789" spans="11:14" x14ac:dyDescent="0.3">
      <c r="K5789" s="1">
        <v>39539</v>
      </c>
      <c r="M5789" t="e">
        <v>#N/A</v>
      </c>
      <c r="N5789" s="1">
        <v>39173</v>
      </c>
    </row>
    <row r="5790" spans="11:14" x14ac:dyDescent="0.3">
      <c r="K5790" s="1">
        <v>39539</v>
      </c>
      <c r="M5790" t="e">
        <v>#N/A</v>
      </c>
      <c r="N5790" s="1">
        <v>39173</v>
      </c>
    </row>
    <row r="5791" spans="11:14" x14ac:dyDescent="0.3">
      <c r="K5791" s="1">
        <v>39539</v>
      </c>
      <c r="M5791" t="e">
        <v>#N/A</v>
      </c>
      <c r="N5791" s="1">
        <v>39173</v>
      </c>
    </row>
    <row r="5792" spans="11:14" x14ac:dyDescent="0.3">
      <c r="K5792" s="1">
        <v>39539</v>
      </c>
      <c r="M5792" t="e">
        <v>#N/A</v>
      </c>
      <c r="N5792" s="1">
        <v>39173</v>
      </c>
    </row>
    <row r="5793" spans="11:14" x14ac:dyDescent="0.3">
      <c r="K5793" s="1">
        <v>39539</v>
      </c>
      <c r="M5793" t="e">
        <v>#N/A</v>
      </c>
      <c r="N5793" s="1">
        <v>39173</v>
      </c>
    </row>
    <row r="5794" spans="11:14" x14ac:dyDescent="0.3">
      <c r="K5794" s="1">
        <v>39539</v>
      </c>
      <c r="M5794" t="e">
        <v>#N/A</v>
      </c>
      <c r="N5794" s="1">
        <v>39173</v>
      </c>
    </row>
    <row r="5795" spans="11:14" x14ac:dyDescent="0.3">
      <c r="K5795" s="1">
        <v>39539</v>
      </c>
      <c r="M5795" t="e">
        <v>#N/A</v>
      </c>
      <c r="N5795" s="1">
        <v>39173</v>
      </c>
    </row>
    <row r="5796" spans="11:14" x14ac:dyDescent="0.3">
      <c r="K5796" s="1">
        <v>39539</v>
      </c>
      <c r="M5796" t="e">
        <v>#N/A</v>
      </c>
      <c r="N5796" s="1">
        <v>39173</v>
      </c>
    </row>
    <row r="5797" spans="11:14" x14ac:dyDescent="0.3">
      <c r="K5797" s="1">
        <v>39539</v>
      </c>
      <c r="M5797" t="e">
        <v>#N/A</v>
      </c>
      <c r="N5797" s="1">
        <v>39173</v>
      </c>
    </row>
    <row r="5798" spans="11:14" x14ac:dyDescent="0.3">
      <c r="K5798" s="1">
        <v>39539</v>
      </c>
      <c r="M5798" t="e">
        <v>#N/A</v>
      </c>
      <c r="N5798" s="1">
        <v>39173</v>
      </c>
    </row>
    <row r="5799" spans="11:14" x14ac:dyDescent="0.3">
      <c r="K5799" s="1">
        <v>39539</v>
      </c>
      <c r="M5799" t="e">
        <v>#N/A</v>
      </c>
      <c r="N5799" s="1">
        <v>39173</v>
      </c>
    </row>
    <row r="5800" spans="11:14" x14ac:dyDescent="0.3">
      <c r="K5800" s="1">
        <v>39539</v>
      </c>
      <c r="M5800" t="e">
        <v>#N/A</v>
      </c>
      <c r="N5800" s="1">
        <v>39173</v>
      </c>
    </row>
    <row r="5801" spans="11:14" x14ac:dyDescent="0.3">
      <c r="K5801" s="1">
        <v>39539</v>
      </c>
      <c r="M5801" t="e">
        <v>#N/A</v>
      </c>
      <c r="N5801" s="1">
        <v>39173</v>
      </c>
    </row>
    <row r="5802" spans="11:14" x14ac:dyDescent="0.3">
      <c r="K5802" s="1">
        <v>39539</v>
      </c>
      <c r="M5802" t="e">
        <v>#N/A</v>
      </c>
      <c r="N5802" s="1">
        <v>39173</v>
      </c>
    </row>
    <row r="5803" spans="11:14" x14ac:dyDescent="0.3">
      <c r="K5803" s="1">
        <v>39539</v>
      </c>
      <c r="M5803" t="e">
        <v>#N/A</v>
      </c>
      <c r="N5803" s="1">
        <v>39173</v>
      </c>
    </row>
    <row r="5804" spans="11:14" x14ac:dyDescent="0.3">
      <c r="K5804" s="1">
        <v>39539</v>
      </c>
      <c r="M5804" t="e">
        <v>#N/A</v>
      </c>
      <c r="N5804" s="1">
        <v>39173</v>
      </c>
    </row>
    <row r="5805" spans="11:14" x14ac:dyDescent="0.3">
      <c r="K5805" s="1">
        <v>39539</v>
      </c>
      <c r="M5805" t="e">
        <v>#N/A</v>
      </c>
      <c r="N5805" s="1">
        <v>39173</v>
      </c>
    </row>
    <row r="5806" spans="11:14" x14ac:dyDescent="0.3">
      <c r="K5806" s="1">
        <v>39539</v>
      </c>
      <c r="M5806" t="e">
        <v>#N/A</v>
      </c>
      <c r="N5806" s="1">
        <v>39173</v>
      </c>
    </row>
    <row r="5807" spans="11:14" x14ac:dyDescent="0.3">
      <c r="K5807" s="1">
        <v>39539</v>
      </c>
      <c r="M5807" t="e">
        <v>#N/A</v>
      </c>
      <c r="N5807" s="1">
        <v>39173</v>
      </c>
    </row>
    <row r="5808" spans="11:14" x14ac:dyDescent="0.3">
      <c r="K5808" s="1">
        <v>39539</v>
      </c>
      <c r="M5808" t="e">
        <v>#N/A</v>
      </c>
      <c r="N5808" s="1">
        <v>39173</v>
      </c>
    </row>
    <row r="5809" spans="11:14" x14ac:dyDescent="0.3">
      <c r="K5809" s="1">
        <v>39539</v>
      </c>
      <c r="M5809" t="e">
        <v>#N/A</v>
      </c>
      <c r="N5809" s="1">
        <v>39173</v>
      </c>
    </row>
    <row r="5810" spans="11:14" x14ac:dyDescent="0.3">
      <c r="K5810" s="1">
        <v>39539</v>
      </c>
      <c r="M5810" t="e">
        <v>#N/A</v>
      </c>
      <c r="N5810" s="1">
        <v>39173</v>
      </c>
    </row>
    <row r="5811" spans="11:14" x14ac:dyDescent="0.3">
      <c r="K5811" s="1">
        <v>39539</v>
      </c>
      <c r="M5811" t="e">
        <v>#N/A</v>
      </c>
      <c r="N5811" s="1">
        <v>39173</v>
      </c>
    </row>
    <row r="5812" spans="11:14" x14ac:dyDescent="0.3">
      <c r="K5812" s="1">
        <v>39539</v>
      </c>
      <c r="M5812" t="e">
        <v>#N/A</v>
      </c>
      <c r="N5812" s="1">
        <v>39173</v>
      </c>
    </row>
    <row r="5813" spans="11:14" x14ac:dyDescent="0.3">
      <c r="K5813" s="1">
        <v>39539</v>
      </c>
      <c r="M5813" t="e">
        <v>#N/A</v>
      </c>
      <c r="N5813" s="1">
        <v>39173</v>
      </c>
    </row>
    <row r="5814" spans="11:14" x14ac:dyDescent="0.3">
      <c r="K5814" s="1">
        <v>39539</v>
      </c>
      <c r="M5814" t="e">
        <v>#N/A</v>
      </c>
      <c r="N5814" s="1">
        <v>39173</v>
      </c>
    </row>
    <row r="5815" spans="11:14" x14ac:dyDescent="0.3">
      <c r="K5815" s="1">
        <v>39539</v>
      </c>
      <c r="M5815" t="e">
        <v>#N/A</v>
      </c>
      <c r="N5815" s="1">
        <v>39173</v>
      </c>
    </row>
    <row r="5816" spans="11:14" x14ac:dyDescent="0.3">
      <c r="K5816" s="1">
        <v>39539</v>
      </c>
      <c r="M5816" t="e">
        <v>#N/A</v>
      </c>
      <c r="N5816" s="1">
        <v>39173</v>
      </c>
    </row>
    <row r="5817" spans="11:14" x14ac:dyDescent="0.3">
      <c r="K5817" s="1">
        <v>39539</v>
      </c>
      <c r="M5817" t="e">
        <v>#N/A</v>
      </c>
      <c r="N5817" s="1">
        <v>39173</v>
      </c>
    </row>
    <row r="5818" spans="11:14" x14ac:dyDescent="0.3">
      <c r="K5818" s="1">
        <v>39539</v>
      </c>
      <c r="M5818" t="e">
        <v>#N/A</v>
      </c>
      <c r="N5818" s="1">
        <v>39173</v>
      </c>
    </row>
    <row r="5819" spans="11:14" x14ac:dyDescent="0.3">
      <c r="K5819" s="1">
        <v>39539</v>
      </c>
      <c r="M5819" t="e">
        <v>#N/A</v>
      </c>
      <c r="N5819" s="1">
        <v>39173</v>
      </c>
    </row>
    <row r="5820" spans="11:14" x14ac:dyDescent="0.3">
      <c r="K5820" s="1">
        <v>39539</v>
      </c>
      <c r="M5820" t="e">
        <v>#N/A</v>
      </c>
      <c r="N5820" s="1">
        <v>39173</v>
      </c>
    </row>
    <row r="5821" spans="11:14" x14ac:dyDescent="0.3">
      <c r="K5821" s="1">
        <v>39539</v>
      </c>
      <c r="M5821" t="e">
        <v>#N/A</v>
      </c>
      <c r="N5821" s="1">
        <v>39173</v>
      </c>
    </row>
    <row r="5822" spans="11:14" x14ac:dyDescent="0.3">
      <c r="K5822" s="1">
        <v>39539</v>
      </c>
      <c r="M5822" t="e">
        <v>#N/A</v>
      </c>
      <c r="N5822" s="1">
        <v>39173</v>
      </c>
    </row>
    <row r="5823" spans="11:14" x14ac:dyDescent="0.3">
      <c r="K5823" s="1">
        <v>39539</v>
      </c>
      <c r="M5823" t="e">
        <v>#N/A</v>
      </c>
      <c r="N5823" s="1">
        <v>39173</v>
      </c>
    </row>
    <row r="5824" spans="11:14" x14ac:dyDescent="0.3">
      <c r="K5824" s="1">
        <v>39539</v>
      </c>
      <c r="M5824" t="e">
        <v>#N/A</v>
      </c>
      <c r="N5824" s="1">
        <v>39173</v>
      </c>
    </row>
    <row r="5825" spans="11:14" x14ac:dyDescent="0.3">
      <c r="K5825" s="1">
        <v>39539</v>
      </c>
      <c r="M5825" t="e">
        <v>#N/A</v>
      </c>
      <c r="N5825" s="1">
        <v>39173</v>
      </c>
    </row>
    <row r="5826" spans="11:14" x14ac:dyDescent="0.3">
      <c r="K5826" s="1">
        <v>39539</v>
      </c>
      <c r="M5826" t="e">
        <v>#N/A</v>
      </c>
      <c r="N5826" s="1">
        <v>39173</v>
      </c>
    </row>
    <row r="5827" spans="11:14" x14ac:dyDescent="0.3">
      <c r="K5827" s="1">
        <v>39539</v>
      </c>
      <c r="M5827" t="e">
        <v>#N/A</v>
      </c>
      <c r="N5827" s="1">
        <v>39173</v>
      </c>
    </row>
    <row r="5828" spans="11:14" x14ac:dyDescent="0.3">
      <c r="K5828" s="1">
        <v>39539</v>
      </c>
      <c r="M5828" t="e">
        <v>#N/A</v>
      </c>
      <c r="N5828" s="1">
        <v>39173</v>
      </c>
    </row>
    <row r="5829" spans="11:14" x14ac:dyDescent="0.3">
      <c r="K5829" s="1">
        <v>39539</v>
      </c>
      <c r="M5829" t="e">
        <v>#N/A</v>
      </c>
      <c r="N5829" s="1">
        <v>39173</v>
      </c>
    </row>
    <row r="5830" spans="11:14" x14ac:dyDescent="0.3">
      <c r="K5830" s="1">
        <v>39539</v>
      </c>
      <c r="M5830" t="e">
        <v>#N/A</v>
      </c>
      <c r="N5830" s="1">
        <v>39173</v>
      </c>
    </row>
    <row r="5831" spans="11:14" x14ac:dyDescent="0.3">
      <c r="K5831" s="1">
        <v>39539</v>
      </c>
      <c r="M5831" t="e">
        <v>#N/A</v>
      </c>
      <c r="N5831" s="1">
        <v>39173</v>
      </c>
    </row>
    <row r="5832" spans="11:14" x14ac:dyDescent="0.3">
      <c r="K5832" s="1">
        <v>39539</v>
      </c>
      <c r="M5832" t="e">
        <v>#N/A</v>
      </c>
      <c r="N5832" s="1">
        <v>39173</v>
      </c>
    </row>
    <row r="5833" spans="11:14" x14ac:dyDescent="0.3">
      <c r="K5833" s="1">
        <v>39539</v>
      </c>
      <c r="M5833" t="e">
        <v>#N/A</v>
      </c>
      <c r="N5833" s="1">
        <v>39173</v>
      </c>
    </row>
    <row r="5834" spans="11:14" x14ac:dyDescent="0.3">
      <c r="K5834" s="1">
        <v>39539</v>
      </c>
      <c r="M5834" t="e">
        <v>#N/A</v>
      </c>
      <c r="N5834" s="1">
        <v>39173</v>
      </c>
    </row>
    <row r="5835" spans="11:14" x14ac:dyDescent="0.3">
      <c r="K5835" s="1">
        <v>39539</v>
      </c>
      <c r="M5835" t="e">
        <v>#N/A</v>
      </c>
      <c r="N5835" s="1">
        <v>39173</v>
      </c>
    </row>
    <row r="5836" spans="11:14" x14ac:dyDescent="0.3">
      <c r="K5836" s="1">
        <v>39539</v>
      </c>
      <c r="M5836" t="e">
        <v>#N/A</v>
      </c>
      <c r="N5836" s="1">
        <v>39173</v>
      </c>
    </row>
    <row r="5837" spans="11:14" x14ac:dyDescent="0.3">
      <c r="K5837" s="1">
        <v>39539</v>
      </c>
      <c r="M5837" t="e">
        <v>#N/A</v>
      </c>
      <c r="N5837" s="1">
        <v>39173</v>
      </c>
    </row>
    <row r="5838" spans="11:14" x14ac:dyDescent="0.3">
      <c r="K5838" s="1">
        <v>39539</v>
      </c>
      <c r="M5838" t="e">
        <v>#N/A</v>
      </c>
      <c r="N5838" s="1">
        <v>39173</v>
      </c>
    </row>
    <row r="5839" spans="11:14" x14ac:dyDescent="0.3">
      <c r="K5839" s="1">
        <v>39539</v>
      </c>
      <c r="M5839" t="e">
        <v>#N/A</v>
      </c>
      <c r="N5839" s="1">
        <v>39173</v>
      </c>
    </row>
    <row r="5840" spans="11:14" x14ac:dyDescent="0.3">
      <c r="K5840" s="1">
        <v>39539</v>
      </c>
      <c r="M5840" t="e">
        <v>#N/A</v>
      </c>
      <c r="N5840" s="1">
        <v>39173</v>
      </c>
    </row>
    <row r="5841" spans="11:14" x14ac:dyDescent="0.3">
      <c r="K5841" s="1">
        <v>39539</v>
      </c>
      <c r="M5841" t="e">
        <v>#N/A</v>
      </c>
      <c r="N5841" s="1">
        <v>39173</v>
      </c>
    </row>
    <row r="5842" spans="11:14" x14ac:dyDescent="0.3">
      <c r="K5842" s="1">
        <v>39539</v>
      </c>
      <c r="M5842" t="e">
        <v>#N/A</v>
      </c>
      <c r="N5842" s="1">
        <v>39173</v>
      </c>
    </row>
    <row r="5843" spans="11:14" x14ac:dyDescent="0.3">
      <c r="K5843" s="1">
        <v>39539</v>
      </c>
      <c r="M5843" t="e">
        <v>#N/A</v>
      </c>
      <c r="N5843" s="1">
        <v>39173</v>
      </c>
    </row>
    <row r="5844" spans="11:14" x14ac:dyDescent="0.3">
      <c r="K5844" s="1">
        <v>39539</v>
      </c>
      <c r="M5844" t="e">
        <v>#N/A</v>
      </c>
      <c r="N5844" s="1">
        <v>39173</v>
      </c>
    </row>
    <row r="5845" spans="11:14" x14ac:dyDescent="0.3">
      <c r="K5845" s="1">
        <v>39539</v>
      </c>
      <c r="M5845" t="e">
        <v>#N/A</v>
      </c>
      <c r="N5845" s="1">
        <v>39173</v>
      </c>
    </row>
    <row r="5846" spans="11:14" x14ac:dyDescent="0.3">
      <c r="K5846" s="1">
        <v>39539</v>
      </c>
      <c r="M5846" t="e">
        <v>#N/A</v>
      </c>
      <c r="N5846" s="1">
        <v>39173</v>
      </c>
    </row>
    <row r="5847" spans="11:14" x14ac:dyDescent="0.3">
      <c r="K5847" s="1">
        <v>39539</v>
      </c>
      <c r="M5847" t="e">
        <v>#N/A</v>
      </c>
      <c r="N5847" s="1">
        <v>39173</v>
      </c>
    </row>
    <row r="5848" spans="11:14" x14ac:dyDescent="0.3">
      <c r="K5848" s="1">
        <v>39539</v>
      </c>
      <c r="M5848" t="e">
        <v>#N/A</v>
      </c>
      <c r="N5848" s="1">
        <v>39173</v>
      </c>
    </row>
    <row r="5849" spans="11:14" x14ac:dyDescent="0.3">
      <c r="K5849" s="1">
        <v>39539</v>
      </c>
      <c r="M5849" t="e">
        <v>#N/A</v>
      </c>
      <c r="N5849" s="1">
        <v>39173</v>
      </c>
    </row>
    <row r="5850" spans="11:14" x14ac:dyDescent="0.3">
      <c r="K5850" s="1">
        <v>39539</v>
      </c>
      <c r="M5850" t="e">
        <v>#N/A</v>
      </c>
      <c r="N5850" s="1">
        <v>39173</v>
      </c>
    </row>
    <row r="5851" spans="11:14" x14ac:dyDescent="0.3">
      <c r="K5851" s="1">
        <v>39539</v>
      </c>
      <c r="M5851" t="e">
        <v>#N/A</v>
      </c>
      <c r="N5851" s="1">
        <v>39173</v>
      </c>
    </row>
    <row r="5852" spans="11:14" x14ac:dyDescent="0.3">
      <c r="K5852" s="1">
        <v>39539</v>
      </c>
      <c r="M5852" t="e">
        <v>#N/A</v>
      </c>
      <c r="N5852" s="1">
        <v>39173</v>
      </c>
    </row>
    <row r="5853" spans="11:14" x14ac:dyDescent="0.3">
      <c r="K5853" s="1">
        <v>39539</v>
      </c>
      <c r="M5853" t="e">
        <v>#N/A</v>
      </c>
      <c r="N5853" s="1">
        <v>39173</v>
      </c>
    </row>
    <row r="5854" spans="11:14" x14ac:dyDescent="0.3">
      <c r="K5854" s="1">
        <v>39539</v>
      </c>
      <c r="M5854" t="e">
        <v>#N/A</v>
      </c>
      <c r="N5854" s="1">
        <v>39173</v>
      </c>
    </row>
    <row r="5855" spans="11:14" x14ac:dyDescent="0.3">
      <c r="K5855" s="1">
        <v>39539</v>
      </c>
      <c r="M5855" t="e">
        <v>#N/A</v>
      </c>
      <c r="N5855" s="1">
        <v>39173</v>
      </c>
    </row>
    <row r="5856" spans="11:14" x14ac:dyDescent="0.3">
      <c r="K5856" s="1">
        <v>39539</v>
      </c>
      <c r="M5856" t="e">
        <v>#N/A</v>
      </c>
      <c r="N5856" s="1">
        <v>39173</v>
      </c>
    </row>
    <row r="5857" spans="11:14" x14ac:dyDescent="0.3">
      <c r="K5857" s="1">
        <v>39539</v>
      </c>
      <c r="M5857" t="e">
        <v>#N/A</v>
      </c>
      <c r="N5857" s="1">
        <v>39173</v>
      </c>
    </row>
    <row r="5858" spans="11:14" x14ac:dyDescent="0.3">
      <c r="K5858" s="1">
        <v>39539</v>
      </c>
      <c r="M5858" t="e">
        <v>#N/A</v>
      </c>
      <c r="N5858" s="1">
        <v>39173</v>
      </c>
    </row>
    <row r="5859" spans="11:14" x14ac:dyDescent="0.3">
      <c r="K5859" s="1">
        <v>39539</v>
      </c>
      <c r="M5859" t="e">
        <v>#N/A</v>
      </c>
      <c r="N5859" s="1">
        <v>39173</v>
      </c>
    </row>
    <row r="5860" spans="11:14" x14ac:dyDescent="0.3">
      <c r="K5860" s="1">
        <v>39539</v>
      </c>
      <c r="M5860" t="e">
        <v>#N/A</v>
      </c>
      <c r="N5860" s="1">
        <v>39173</v>
      </c>
    </row>
    <row r="5861" spans="11:14" x14ac:dyDescent="0.3">
      <c r="K5861" s="1">
        <v>39539</v>
      </c>
      <c r="M5861" t="e">
        <v>#N/A</v>
      </c>
      <c r="N5861" s="1">
        <v>39173</v>
      </c>
    </row>
    <row r="5862" spans="11:14" x14ac:dyDescent="0.3">
      <c r="K5862" s="1">
        <v>39539</v>
      </c>
      <c r="M5862" t="e">
        <v>#N/A</v>
      </c>
      <c r="N5862" s="1">
        <v>39173</v>
      </c>
    </row>
    <row r="5863" spans="11:14" x14ac:dyDescent="0.3">
      <c r="K5863" s="1">
        <v>39539</v>
      </c>
      <c r="M5863" t="e">
        <v>#N/A</v>
      </c>
      <c r="N5863" s="1">
        <v>39173</v>
      </c>
    </row>
    <row r="5864" spans="11:14" x14ac:dyDescent="0.3">
      <c r="K5864" s="1">
        <v>39539</v>
      </c>
      <c r="M5864" t="e">
        <v>#N/A</v>
      </c>
      <c r="N5864" s="1">
        <v>39173</v>
      </c>
    </row>
    <row r="5865" spans="11:14" x14ac:dyDescent="0.3">
      <c r="K5865" s="1">
        <v>39539</v>
      </c>
      <c r="M5865" t="e">
        <v>#N/A</v>
      </c>
      <c r="N5865" s="1">
        <v>39173</v>
      </c>
    </row>
    <row r="5866" spans="11:14" x14ac:dyDescent="0.3">
      <c r="K5866" s="1">
        <v>39539</v>
      </c>
      <c r="M5866" t="e">
        <v>#N/A</v>
      </c>
      <c r="N5866" s="1">
        <v>39173</v>
      </c>
    </row>
    <row r="5867" spans="11:14" x14ac:dyDescent="0.3">
      <c r="K5867" s="1">
        <v>39539</v>
      </c>
      <c r="M5867" t="e">
        <v>#N/A</v>
      </c>
      <c r="N5867" s="1">
        <v>39173</v>
      </c>
    </row>
    <row r="5868" spans="11:14" x14ac:dyDescent="0.3">
      <c r="K5868" s="1">
        <v>39539</v>
      </c>
      <c r="M5868" t="e">
        <v>#N/A</v>
      </c>
      <c r="N5868" s="1">
        <v>39173</v>
      </c>
    </row>
    <row r="5869" spans="11:14" x14ac:dyDescent="0.3">
      <c r="K5869" s="1">
        <v>39539</v>
      </c>
      <c r="M5869" t="e">
        <v>#N/A</v>
      </c>
      <c r="N5869" s="1">
        <v>39173</v>
      </c>
    </row>
    <row r="5870" spans="11:14" x14ac:dyDescent="0.3">
      <c r="K5870" s="1">
        <v>39539</v>
      </c>
      <c r="M5870" t="e">
        <v>#N/A</v>
      </c>
      <c r="N5870" s="1">
        <v>39173</v>
      </c>
    </row>
    <row r="5871" spans="11:14" x14ac:dyDescent="0.3">
      <c r="K5871" s="1">
        <v>39539</v>
      </c>
      <c r="M5871" t="e">
        <v>#N/A</v>
      </c>
      <c r="N5871" s="1">
        <v>39173</v>
      </c>
    </row>
    <row r="5872" spans="11:14" x14ac:dyDescent="0.3">
      <c r="K5872" s="1">
        <v>39539</v>
      </c>
      <c r="M5872" t="e">
        <v>#N/A</v>
      </c>
      <c r="N5872" s="1">
        <v>39173</v>
      </c>
    </row>
    <row r="5873" spans="11:14" x14ac:dyDescent="0.3">
      <c r="K5873" s="1">
        <v>39539</v>
      </c>
      <c r="M5873" t="e">
        <v>#N/A</v>
      </c>
      <c r="N5873" s="1">
        <v>39173</v>
      </c>
    </row>
    <row r="5874" spans="11:14" x14ac:dyDescent="0.3">
      <c r="K5874" s="1">
        <v>39539</v>
      </c>
      <c r="M5874" t="e">
        <v>#N/A</v>
      </c>
      <c r="N5874" s="1">
        <v>39173</v>
      </c>
    </row>
    <row r="5875" spans="11:14" x14ac:dyDescent="0.3">
      <c r="K5875" s="1">
        <v>39539</v>
      </c>
      <c r="M5875" t="e">
        <v>#N/A</v>
      </c>
      <c r="N5875" s="1">
        <v>39173</v>
      </c>
    </row>
    <row r="5876" spans="11:14" x14ac:dyDescent="0.3">
      <c r="K5876" s="1">
        <v>39539</v>
      </c>
      <c r="M5876" t="e">
        <v>#N/A</v>
      </c>
      <c r="N5876" s="1">
        <v>39173</v>
      </c>
    </row>
    <row r="5877" spans="11:14" x14ac:dyDescent="0.3">
      <c r="K5877" s="1">
        <v>39539</v>
      </c>
      <c r="M5877" t="e">
        <v>#N/A</v>
      </c>
      <c r="N5877" s="1">
        <v>39173</v>
      </c>
    </row>
    <row r="5878" spans="11:14" x14ac:dyDescent="0.3">
      <c r="K5878" s="1">
        <v>39539</v>
      </c>
      <c r="M5878" t="e">
        <v>#N/A</v>
      </c>
      <c r="N5878" s="1">
        <v>39173</v>
      </c>
    </row>
    <row r="5879" spans="11:14" x14ac:dyDescent="0.3">
      <c r="K5879" s="1">
        <v>39539</v>
      </c>
      <c r="M5879" t="e">
        <v>#N/A</v>
      </c>
      <c r="N5879" s="1">
        <v>39173</v>
      </c>
    </row>
    <row r="5880" spans="11:14" x14ac:dyDescent="0.3">
      <c r="K5880" s="1">
        <v>39539</v>
      </c>
      <c r="M5880" t="e">
        <v>#N/A</v>
      </c>
      <c r="N5880" s="1">
        <v>39173</v>
      </c>
    </row>
    <row r="5881" spans="11:14" x14ac:dyDescent="0.3">
      <c r="K5881" s="1">
        <v>39539</v>
      </c>
      <c r="M5881" t="e">
        <v>#N/A</v>
      </c>
      <c r="N5881" s="1">
        <v>39173</v>
      </c>
    </row>
    <row r="5882" spans="11:14" x14ac:dyDescent="0.3">
      <c r="K5882" s="1">
        <v>39539</v>
      </c>
      <c r="M5882" t="e">
        <v>#N/A</v>
      </c>
      <c r="N5882" s="1">
        <v>39173</v>
      </c>
    </row>
    <row r="5883" spans="11:14" x14ac:dyDescent="0.3">
      <c r="K5883" s="1">
        <v>39539</v>
      </c>
      <c r="M5883" t="e">
        <v>#N/A</v>
      </c>
      <c r="N5883" s="1">
        <v>39173</v>
      </c>
    </row>
    <row r="5884" spans="11:14" x14ac:dyDescent="0.3">
      <c r="K5884" s="1">
        <v>39539</v>
      </c>
      <c r="M5884" t="e">
        <v>#N/A</v>
      </c>
      <c r="N5884" s="1">
        <v>39173</v>
      </c>
    </row>
    <row r="5885" spans="11:14" x14ac:dyDescent="0.3">
      <c r="K5885" s="1">
        <v>39539</v>
      </c>
      <c r="M5885" t="e">
        <v>#N/A</v>
      </c>
      <c r="N5885" s="1">
        <v>39173</v>
      </c>
    </row>
    <row r="5886" spans="11:14" x14ac:dyDescent="0.3">
      <c r="K5886" s="1">
        <v>39539</v>
      </c>
      <c r="M5886" t="e">
        <v>#N/A</v>
      </c>
      <c r="N5886" s="1">
        <v>39173</v>
      </c>
    </row>
    <row r="5887" spans="11:14" x14ac:dyDescent="0.3">
      <c r="K5887" s="1">
        <v>39539</v>
      </c>
      <c r="M5887" t="e">
        <v>#N/A</v>
      </c>
      <c r="N5887" s="1">
        <v>39173</v>
      </c>
    </row>
    <row r="5888" spans="11:14" x14ac:dyDescent="0.3">
      <c r="K5888" s="1">
        <v>39539</v>
      </c>
      <c r="M5888" t="e">
        <v>#N/A</v>
      </c>
      <c r="N5888" s="1">
        <v>39173</v>
      </c>
    </row>
    <row r="5889" spans="11:14" x14ac:dyDescent="0.3">
      <c r="K5889" s="1">
        <v>39539</v>
      </c>
      <c r="M5889" t="e">
        <v>#N/A</v>
      </c>
      <c r="N5889" s="1">
        <v>39173</v>
      </c>
    </row>
    <row r="5890" spans="11:14" x14ac:dyDescent="0.3">
      <c r="K5890" s="1">
        <v>39539</v>
      </c>
      <c r="M5890" t="e">
        <v>#N/A</v>
      </c>
      <c r="N5890" s="1">
        <v>39173</v>
      </c>
    </row>
    <row r="5891" spans="11:14" x14ac:dyDescent="0.3">
      <c r="K5891" s="1">
        <v>39539</v>
      </c>
      <c r="M5891" t="e">
        <v>#N/A</v>
      </c>
      <c r="N5891" s="1">
        <v>39173</v>
      </c>
    </row>
    <row r="5892" spans="11:14" x14ac:dyDescent="0.3">
      <c r="K5892" s="1">
        <v>39539</v>
      </c>
      <c r="M5892" t="e">
        <v>#N/A</v>
      </c>
      <c r="N5892" s="1">
        <v>39173</v>
      </c>
    </row>
    <row r="5893" spans="11:14" x14ac:dyDescent="0.3">
      <c r="K5893" s="1">
        <v>39539</v>
      </c>
      <c r="M5893" t="e">
        <v>#N/A</v>
      </c>
      <c r="N5893" s="1">
        <v>39173</v>
      </c>
    </row>
    <row r="5894" spans="11:14" x14ac:dyDescent="0.3">
      <c r="K5894" s="1">
        <v>39539</v>
      </c>
      <c r="M5894" t="e">
        <v>#N/A</v>
      </c>
      <c r="N5894" s="1">
        <v>39173</v>
      </c>
    </row>
    <row r="5895" spans="11:14" x14ac:dyDescent="0.3">
      <c r="K5895" s="1">
        <v>39539</v>
      </c>
      <c r="M5895" t="e">
        <v>#N/A</v>
      </c>
      <c r="N5895" s="1">
        <v>39173</v>
      </c>
    </row>
    <row r="5896" spans="11:14" x14ac:dyDescent="0.3">
      <c r="K5896" s="1">
        <v>39539</v>
      </c>
      <c r="M5896" t="e">
        <v>#N/A</v>
      </c>
      <c r="N5896" s="1">
        <v>39173</v>
      </c>
    </row>
    <row r="5897" spans="11:14" x14ac:dyDescent="0.3">
      <c r="K5897" s="1">
        <v>39539</v>
      </c>
      <c r="M5897" t="e">
        <v>#N/A</v>
      </c>
      <c r="N5897" s="1">
        <v>39173</v>
      </c>
    </row>
    <row r="5898" spans="11:14" x14ac:dyDescent="0.3">
      <c r="K5898" s="1">
        <v>39539</v>
      </c>
      <c r="M5898" t="e">
        <v>#N/A</v>
      </c>
      <c r="N5898" s="1">
        <v>39173</v>
      </c>
    </row>
    <row r="5899" spans="11:14" x14ac:dyDescent="0.3">
      <c r="K5899" s="1">
        <v>39539</v>
      </c>
      <c r="M5899" t="e">
        <v>#N/A</v>
      </c>
      <c r="N5899" s="1">
        <v>39173</v>
      </c>
    </row>
    <row r="5900" spans="11:14" x14ac:dyDescent="0.3">
      <c r="K5900" s="1">
        <v>39539</v>
      </c>
      <c r="M5900" t="e">
        <v>#N/A</v>
      </c>
      <c r="N5900" s="1">
        <v>39173</v>
      </c>
    </row>
    <row r="5901" spans="11:14" x14ac:dyDescent="0.3">
      <c r="K5901" s="1">
        <v>39539</v>
      </c>
      <c r="M5901" t="e">
        <v>#N/A</v>
      </c>
      <c r="N5901" s="1">
        <v>39173</v>
      </c>
    </row>
    <row r="5902" spans="11:14" x14ac:dyDescent="0.3">
      <c r="K5902" s="1">
        <v>39539</v>
      </c>
      <c r="M5902" t="e">
        <v>#N/A</v>
      </c>
      <c r="N5902" s="1">
        <v>39173</v>
      </c>
    </row>
    <row r="5903" spans="11:14" x14ac:dyDescent="0.3">
      <c r="K5903" s="1">
        <v>39539</v>
      </c>
      <c r="M5903" t="e">
        <v>#N/A</v>
      </c>
      <c r="N5903" s="1">
        <v>39173</v>
      </c>
    </row>
    <row r="5904" spans="11:14" x14ac:dyDescent="0.3">
      <c r="K5904" s="1">
        <v>39539</v>
      </c>
      <c r="M5904" t="e">
        <v>#N/A</v>
      </c>
      <c r="N5904" s="1">
        <v>39173</v>
      </c>
    </row>
    <row r="5905" spans="11:14" x14ac:dyDescent="0.3">
      <c r="K5905" s="1">
        <v>39539</v>
      </c>
      <c r="M5905" t="e">
        <v>#N/A</v>
      </c>
      <c r="N5905" s="1">
        <v>39173</v>
      </c>
    </row>
    <row r="5906" spans="11:14" x14ac:dyDescent="0.3">
      <c r="K5906" s="1">
        <v>39539</v>
      </c>
      <c r="M5906" t="e">
        <v>#N/A</v>
      </c>
      <c r="N5906" s="1">
        <v>39173</v>
      </c>
    </row>
    <row r="5907" spans="11:14" x14ac:dyDescent="0.3">
      <c r="K5907" s="1">
        <v>39539</v>
      </c>
      <c r="M5907" t="e">
        <v>#N/A</v>
      </c>
      <c r="N5907" s="1">
        <v>39173</v>
      </c>
    </row>
    <row r="5908" spans="11:14" x14ac:dyDescent="0.3">
      <c r="K5908" s="1">
        <v>39539</v>
      </c>
      <c r="M5908" t="e">
        <v>#N/A</v>
      </c>
      <c r="N5908" s="1">
        <v>39173</v>
      </c>
    </row>
    <row r="5909" spans="11:14" x14ac:dyDescent="0.3">
      <c r="K5909" s="1">
        <v>39539</v>
      </c>
      <c r="M5909" t="e">
        <v>#N/A</v>
      </c>
      <c r="N5909" s="1">
        <v>39173</v>
      </c>
    </row>
    <row r="5910" spans="11:14" x14ac:dyDescent="0.3">
      <c r="K5910" s="1">
        <v>39539</v>
      </c>
      <c r="M5910" t="e">
        <v>#N/A</v>
      </c>
      <c r="N5910" s="1">
        <v>39173</v>
      </c>
    </row>
    <row r="5911" spans="11:14" x14ac:dyDescent="0.3">
      <c r="K5911" s="1">
        <v>39539</v>
      </c>
      <c r="M5911" t="e">
        <v>#N/A</v>
      </c>
      <c r="N5911" s="1">
        <v>39173</v>
      </c>
    </row>
    <row r="5912" spans="11:14" x14ac:dyDescent="0.3">
      <c r="K5912" s="1">
        <v>39539</v>
      </c>
      <c r="M5912" t="e">
        <v>#N/A</v>
      </c>
      <c r="N5912" s="1">
        <v>39173</v>
      </c>
    </row>
    <row r="5913" spans="11:14" x14ac:dyDescent="0.3">
      <c r="K5913" s="1">
        <v>39539</v>
      </c>
      <c r="M5913" t="e">
        <v>#N/A</v>
      </c>
      <c r="N5913" s="1">
        <v>39173</v>
      </c>
    </row>
    <row r="5914" spans="11:14" x14ac:dyDescent="0.3">
      <c r="K5914" s="1">
        <v>39539</v>
      </c>
      <c r="M5914" t="e">
        <v>#N/A</v>
      </c>
      <c r="N5914" s="1">
        <v>39173</v>
      </c>
    </row>
    <row r="5915" spans="11:14" x14ac:dyDescent="0.3">
      <c r="K5915" s="1">
        <v>39539</v>
      </c>
      <c r="M5915" t="e">
        <v>#N/A</v>
      </c>
      <c r="N5915" s="1">
        <v>39173</v>
      </c>
    </row>
    <row r="5916" spans="11:14" x14ac:dyDescent="0.3">
      <c r="K5916" s="1">
        <v>39539</v>
      </c>
      <c r="M5916" t="e">
        <v>#N/A</v>
      </c>
      <c r="N5916" s="1">
        <v>39173</v>
      </c>
    </row>
    <row r="5917" spans="11:14" x14ac:dyDescent="0.3">
      <c r="K5917" s="1">
        <v>39539</v>
      </c>
      <c r="M5917" t="e">
        <v>#N/A</v>
      </c>
      <c r="N5917" s="1">
        <v>39173</v>
      </c>
    </row>
    <row r="5918" spans="11:14" x14ac:dyDescent="0.3">
      <c r="K5918" s="1">
        <v>39539</v>
      </c>
      <c r="M5918" t="e">
        <v>#N/A</v>
      </c>
      <c r="N5918" s="1">
        <v>39173</v>
      </c>
    </row>
    <row r="5919" spans="11:14" x14ac:dyDescent="0.3">
      <c r="K5919" s="1">
        <v>39539</v>
      </c>
      <c r="M5919" t="e">
        <v>#N/A</v>
      </c>
      <c r="N5919" s="1">
        <v>39173</v>
      </c>
    </row>
    <row r="5920" spans="11:14" x14ac:dyDescent="0.3">
      <c r="K5920" s="1">
        <v>39539</v>
      </c>
      <c r="M5920" t="e">
        <v>#N/A</v>
      </c>
      <c r="N5920" s="1">
        <v>39173</v>
      </c>
    </row>
    <row r="5921" spans="11:14" x14ac:dyDescent="0.3">
      <c r="K5921" s="1">
        <v>39539</v>
      </c>
      <c r="M5921" t="e">
        <v>#N/A</v>
      </c>
      <c r="N5921" s="1">
        <v>39173</v>
      </c>
    </row>
    <row r="5922" spans="11:14" x14ac:dyDescent="0.3">
      <c r="K5922" s="1">
        <v>39539</v>
      </c>
      <c r="M5922" t="e">
        <v>#N/A</v>
      </c>
      <c r="N5922" s="1">
        <v>39173</v>
      </c>
    </row>
    <row r="5923" spans="11:14" x14ac:dyDescent="0.3">
      <c r="K5923" s="1">
        <v>39539</v>
      </c>
      <c r="M5923" t="e">
        <v>#N/A</v>
      </c>
      <c r="N5923" s="1">
        <v>39173</v>
      </c>
    </row>
    <row r="5924" spans="11:14" x14ac:dyDescent="0.3">
      <c r="K5924" s="1">
        <v>39539</v>
      </c>
      <c r="M5924" t="e">
        <v>#N/A</v>
      </c>
      <c r="N5924" s="1">
        <v>39173</v>
      </c>
    </row>
    <row r="5925" spans="11:14" x14ac:dyDescent="0.3">
      <c r="K5925" s="1">
        <v>39539</v>
      </c>
      <c r="M5925" t="e">
        <v>#N/A</v>
      </c>
      <c r="N5925" s="1">
        <v>39173</v>
      </c>
    </row>
    <row r="5926" spans="11:14" x14ac:dyDescent="0.3">
      <c r="K5926" s="1">
        <v>39539</v>
      </c>
      <c r="M5926" t="e">
        <v>#N/A</v>
      </c>
      <c r="N5926" s="1">
        <v>39173</v>
      </c>
    </row>
    <row r="5927" spans="11:14" x14ac:dyDescent="0.3">
      <c r="K5927" s="1">
        <v>39539</v>
      </c>
      <c r="M5927" t="e">
        <v>#N/A</v>
      </c>
      <c r="N5927" s="1">
        <v>39173</v>
      </c>
    </row>
    <row r="5928" spans="11:14" x14ac:dyDescent="0.3">
      <c r="K5928" s="1">
        <v>39630</v>
      </c>
      <c r="M5928" t="e">
        <v>#N/A</v>
      </c>
      <c r="N5928" s="1">
        <v>39173</v>
      </c>
    </row>
    <row r="5929" spans="11:14" x14ac:dyDescent="0.3">
      <c r="K5929" s="1">
        <v>39630</v>
      </c>
      <c r="M5929" t="e">
        <v>#N/A</v>
      </c>
      <c r="N5929" s="1">
        <v>39173</v>
      </c>
    </row>
    <row r="5930" spans="11:14" x14ac:dyDescent="0.3">
      <c r="K5930" s="1">
        <v>39630</v>
      </c>
      <c r="M5930" t="e">
        <v>#N/A</v>
      </c>
      <c r="N5930" s="1">
        <v>39173</v>
      </c>
    </row>
    <row r="5931" spans="11:14" x14ac:dyDescent="0.3">
      <c r="K5931" s="1">
        <v>39630</v>
      </c>
      <c r="M5931" t="e">
        <v>#N/A</v>
      </c>
      <c r="N5931" s="1">
        <v>39173</v>
      </c>
    </row>
    <row r="5932" spans="11:14" x14ac:dyDescent="0.3">
      <c r="K5932" s="1">
        <v>39630</v>
      </c>
      <c r="M5932" t="e">
        <v>#N/A</v>
      </c>
      <c r="N5932" s="1">
        <v>39173</v>
      </c>
    </row>
    <row r="5933" spans="11:14" x14ac:dyDescent="0.3">
      <c r="K5933" s="1">
        <v>39630</v>
      </c>
      <c r="M5933" t="e">
        <v>#N/A</v>
      </c>
      <c r="N5933" s="1">
        <v>39173</v>
      </c>
    </row>
    <row r="5934" spans="11:14" x14ac:dyDescent="0.3">
      <c r="K5934" s="1">
        <v>39630</v>
      </c>
      <c r="M5934" t="e">
        <v>#N/A</v>
      </c>
      <c r="N5934" s="1">
        <v>39173</v>
      </c>
    </row>
    <row r="5935" spans="11:14" x14ac:dyDescent="0.3">
      <c r="K5935" s="1">
        <v>39630</v>
      </c>
      <c r="M5935" t="e">
        <v>#N/A</v>
      </c>
      <c r="N5935" s="1">
        <v>39173</v>
      </c>
    </row>
    <row r="5936" spans="11:14" x14ac:dyDescent="0.3">
      <c r="K5936" s="1">
        <v>39630</v>
      </c>
      <c r="M5936" t="e">
        <v>#N/A</v>
      </c>
      <c r="N5936" s="1">
        <v>39173</v>
      </c>
    </row>
    <row r="5937" spans="11:14" x14ac:dyDescent="0.3">
      <c r="K5937" s="1">
        <v>39630</v>
      </c>
      <c r="M5937" t="e">
        <v>#N/A</v>
      </c>
      <c r="N5937" s="1">
        <v>39173</v>
      </c>
    </row>
    <row r="5938" spans="11:14" x14ac:dyDescent="0.3">
      <c r="K5938" s="1">
        <v>39630</v>
      </c>
      <c r="M5938" t="e">
        <v>#N/A</v>
      </c>
      <c r="N5938" s="1">
        <v>39173</v>
      </c>
    </row>
    <row r="5939" spans="11:14" x14ac:dyDescent="0.3">
      <c r="K5939" s="1">
        <v>39630</v>
      </c>
      <c r="M5939" t="e">
        <v>#N/A</v>
      </c>
      <c r="N5939" s="1">
        <v>39173</v>
      </c>
    </row>
    <row r="5940" spans="11:14" x14ac:dyDescent="0.3">
      <c r="K5940" s="1">
        <v>39630</v>
      </c>
      <c r="M5940" t="e">
        <v>#N/A</v>
      </c>
      <c r="N5940" s="1">
        <v>39173</v>
      </c>
    </row>
    <row r="5941" spans="11:14" x14ac:dyDescent="0.3">
      <c r="K5941" s="1">
        <v>39630</v>
      </c>
      <c r="M5941" t="e">
        <v>#N/A</v>
      </c>
      <c r="N5941" s="1">
        <v>39173</v>
      </c>
    </row>
    <row r="5942" spans="11:14" x14ac:dyDescent="0.3">
      <c r="K5942" s="1">
        <v>39630</v>
      </c>
      <c r="M5942" t="e">
        <v>#N/A</v>
      </c>
      <c r="N5942" s="1">
        <v>39173</v>
      </c>
    </row>
    <row r="5943" spans="11:14" x14ac:dyDescent="0.3">
      <c r="K5943" s="1">
        <v>39630</v>
      </c>
      <c r="M5943" t="e">
        <v>#N/A</v>
      </c>
      <c r="N5943" s="1">
        <v>39173</v>
      </c>
    </row>
    <row r="5944" spans="11:14" x14ac:dyDescent="0.3">
      <c r="K5944" s="1">
        <v>39630</v>
      </c>
      <c r="M5944" t="e">
        <v>#N/A</v>
      </c>
      <c r="N5944" s="1">
        <v>39173</v>
      </c>
    </row>
    <row r="5945" spans="11:14" x14ac:dyDescent="0.3">
      <c r="K5945" s="1">
        <v>39630</v>
      </c>
      <c r="M5945" t="e">
        <v>#N/A</v>
      </c>
      <c r="N5945" s="1">
        <v>39173</v>
      </c>
    </row>
    <row r="5946" spans="11:14" x14ac:dyDescent="0.3">
      <c r="K5946" s="1">
        <v>39630</v>
      </c>
      <c r="M5946" t="e">
        <v>#N/A</v>
      </c>
      <c r="N5946" s="1">
        <v>39173</v>
      </c>
    </row>
    <row r="5947" spans="11:14" x14ac:dyDescent="0.3">
      <c r="K5947" s="1">
        <v>39630</v>
      </c>
      <c r="M5947" t="e">
        <v>#N/A</v>
      </c>
      <c r="N5947" s="1">
        <v>39173</v>
      </c>
    </row>
    <row r="5948" spans="11:14" x14ac:dyDescent="0.3">
      <c r="K5948" s="1">
        <v>39630</v>
      </c>
      <c r="M5948" t="e">
        <v>#N/A</v>
      </c>
      <c r="N5948" s="1">
        <v>39173</v>
      </c>
    </row>
    <row r="5949" spans="11:14" x14ac:dyDescent="0.3">
      <c r="K5949" s="1">
        <v>39630</v>
      </c>
      <c r="M5949" t="e">
        <v>#N/A</v>
      </c>
      <c r="N5949" s="1">
        <v>39173</v>
      </c>
    </row>
    <row r="5950" spans="11:14" x14ac:dyDescent="0.3">
      <c r="K5950" s="1">
        <v>39630</v>
      </c>
      <c r="M5950" t="e">
        <v>#N/A</v>
      </c>
      <c r="N5950" s="1">
        <v>39173</v>
      </c>
    </row>
    <row r="5951" spans="11:14" x14ac:dyDescent="0.3">
      <c r="K5951" s="1">
        <v>39630</v>
      </c>
      <c r="M5951" t="e">
        <v>#N/A</v>
      </c>
      <c r="N5951" s="1">
        <v>39173</v>
      </c>
    </row>
    <row r="5952" spans="11:14" x14ac:dyDescent="0.3">
      <c r="K5952" s="1">
        <v>39630</v>
      </c>
      <c r="M5952" t="e">
        <v>#N/A</v>
      </c>
      <c r="N5952" s="1">
        <v>39173</v>
      </c>
    </row>
    <row r="5953" spans="11:14" x14ac:dyDescent="0.3">
      <c r="K5953" s="1">
        <v>39630</v>
      </c>
      <c r="M5953" t="e">
        <v>#N/A</v>
      </c>
      <c r="N5953" s="1">
        <v>39173</v>
      </c>
    </row>
    <row r="5954" spans="11:14" x14ac:dyDescent="0.3">
      <c r="K5954" s="1">
        <v>39630</v>
      </c>
      <c r="M5954" t="e">
        <v>#N/A</v>
      </c>
      <c r="N5954" s="1">
        <v>39173</v>
      </c>
    </row>
    <row r="5955" spans="11:14" x14ac:dyDescent="0.3">
      <c r="K5955" s="1">
        <v>39630</v>
      </c>
      <c r="M5955" t="e">
        <v>#N/A</v>
      </c>
      <c r="N5955" s="1">
        <v>39173</v>
      </c>
    </row>
    <row r="5956" spans="11:14" x14ac:dyDescent="0.3">
      <c r="K5956" s="1">
        <v>39630</v>
      </c>
      <c r="M5956" t="e">
        <v>#N/A</v>
      </c>
      <c r="N5956" s="1">
        <v>39173</v>
      </c>
    </row>
    <row r="5957" spans="11:14" x14ac:dyDescent="0.3">
      <c r="K5957" s="1">
        <v>39630</v>
      </c>
      <c r="M5957" t="e">
        <v>#N/A</v>
      </c>
      <c r="N5957" s="1">
        <v>39173</v>
      </c>
    </row>
    <row r="5958" spans="11:14" x14ac:dyDescent="0.3">
      <c r="K5958" s="1">
        <v>39630</v>
      </c>
      <c r="M5958" t="e">
        <v>#N/A</v>
      </c>
      <c r="N5958" s="1">
        <v>39173</v>
      </c>
    </row>
    <row r="5959" spans="11:14" x14ac:dyDescent="0.3">
      <c r="K5959" s="1">
        <v>39630</v>
      </c>
      <c r="M5959" t="e">
        <v>#N/A</v>
      </c>
      <c r="N5959" s="1">
        <v>39173</v>
      </c>
    </row>
    <row r="5960" spans="11:14" x14ac:dyDescent="0.3">
      <c r="K5960" s="1">
        <v>39630</v>
      </c>
      <c r="M5960" t="e">
        <v>#N/A</v>
      </c>
      <c r="N5960" s="1">
        <v>39173</v>
      </c>
    </row>
    <row r="5961" spans="11:14" x14ac:dyDescent="0.3">
      <c r="K5961" s="1">
        <v>39630</v>
      </c>
      <c r="M5961" t="e">
        <v>#N/A</v>
      </c>
      <c r="N5961" s="1">
        <v>39173</v>
      </c>
    </row>
    <row r="5962" spans="11:14" x14ac:dyDescent="0.3">
      <c r="K5962" s="1">
        <v>39630</v>
      </c>
      <c r="M5962" t="e">
        <v>#N/A</v>
      </c>
      <c r="N5962" s="1">
        <v>39173</v>
      </c>
    </row>
    <row r="5963" spans="11:14" x14ac:dyDescent="0.3">
      <c r="K5963" s="1">
        <v>39630</v>
      </c>
      <c r="M5963" t="e">
        <v>#N/A</v>
      </c>
      <c r="N5963" s="1">
        <v>39173</v>
      </c>
    </row>
    <row r="5964" spans="11:14" x14ac:dyDescent="0.3">
      <c r="K5964" s="1">
        <v>39630</v>
      </c>
      <c r="M5964" t="e">
        <v>#N/A</v>
      </c>
      <c r="N5964" s="1">
        <v>39173</v>
      </c>
    </row>
    <row r="5965" spans="11:14" x14ac:dyDescent="0.3">
      <c r="K5965" s="1">
        <v>39630</v>
      </c>
      <c r="M5965" t="e">
        <v>#N/A</v>
      </c>
      <c r="N5965" s="1">
        <v>39173</v>
      </c>
    </row>
    <row r="5966" spans="11:14" x14ac:dyDescent="0.3">
      <c r="K5966" s="1">
        <v>39630</v>
      </c>
      <c r="M5966" t="e">
        <v>#N/A</v>
      </c>
      <c r="N5966" s="1">
        <v>39173</v>
      </c>
    </row>
    <row r="5967" spans="11:14" x14ac:dyDescent="0.3">
      <c r="K5967" s="1">
        <v>39630</v>
      </c>
      <c r="M5967" t="e">
        <v>#N/A</v>
      </c>
      <c r="N5967" s="1">
        <v>39173</v>
      </c>
    </row>
    <row r="5968" spans="11:14" x14ac:dyDescent="0.3">
      <c r="K5968" s="1">
        <v>39630</v>
      </c>
      <c r="M5968" t="e">
        <v>#N/A</v>
      </c>
      <c r="N5968" s="1">
        <v>39173</v>
      </c>
    </row>
    <row r="5969" spans="11:14" x14ac:dyDescent="0.3">
      <c r="K5969" s="1">
        <v>39630</v>
      </c>
      <c r="M5969" t="e">
        <v>#N/A</v>
      </c>
      <c r="N5969" s="1">
        <v>39173</v>
      </c>
    </row>
    <row r="5970" spans="11:14" x14ac:dyDescent="0.3">
      <c r="K5970" s="1">
        <v>39630</v>
      </c>
      <c r="M5970" t="e">
        <v>#N/A</v>
      </c>
      <c r="N5970" s="1">
        <v>39173</v>
      </c>
    </row>
    <row r="5971" spans="11:14" x14ac:dyDescent="0.3">
      <c r="K5971" s="1">
        <v>39630</v>
      </c>
      <c r="M5971" t="e">
        <v>#N/A</v>
      </c>
      <c r="N5971" s="1">
        <v>39173</v>
      </c>
    </row>
    <row r="5972" spans="11:14" x14ac:dyDescent="0.3">
      <c r="K5972" s="1">
        <v>39630</v>
      </c>
      <c r="M5972" t="e">
        <v>#N/A</v>
      </c>
      <c r="N5972" s="1">
        <v>39173</v>
      </c>
    </row>
    <row r="5973" spans="11:14" x14ac:dyDescent="0.3">
      <c r="K5973" s="1">
        <v>39630</v>
      </c>
      <c r="M5973" t="e">
        <v>#N/A</v>
      </c>
      <c r="N5973" s="1">
        <v>39173</v>
      </c>
    </row>
    <row r="5974" spans="11:14" x14ac:dyDescent="0.3">
      <c r="K5974" s="1">
        <v>39630</v>
      </c>
      <c r="M5974" t="e">
        <v>#N/A</v>
      </c>
      <c r="N5974" s="1">
        <v>39173</v>
      </c>
    </row>
    <row r="5975" spans="11:14" x14ac:dyDescent="0.3">
      <c r="K5975" s="1">
        <v>39630</v>
      </c>
      <c r="M5975" t="e">
        <v>#N/A</v>
      </c>
      <c r="N5975" s="1">
        <v>39173</v>
      </c>
    </row>
    <row r="5976" spans="11:14" x14ac:dyDescent="0.3">
      <c r="K5976" s="1">
        <v>39630</v>
      </c>
      <c r="M5976" t="e">
        <v>#N/A</v>
      </c>
      <c r="N5976" s="1">
        <v>39173</v>
      </c>
    </row>
    <row r="5977" spans="11:14" x14ac:dyDescent="0.3">
      <c r="K5977" s="1">
        <v>39630</v>
      </c>
      <c r="M5977" t="e">
        <v>#N/A</v>
      </c>
      <c r="N5977" s="1">
        <v>39173</v>
      </c>
    </row>
    <row r="5978" spans="11:14" x14ac:dyDescent="0.3">
      <c r="K5978" s="1">
        <v>39630</v>
      </c>
      <c r="M5978" t="e">
        <v>#N/A</v>
      </c>
      <c r="N5978" s="1">
        <v>39173</v>
      </c>
    </row>
    <row r="5979" spans="11:14" x14ac:dyDescent="0.3">
      <c r="K5979" s="1">
        <v>39630</v>
      </c>
      <c r="M5979" t="e">
        <v>#N/A</v>
      </c>
      <c r="N5979" s="1">
        <v>39173</v>
      </c>
    </row>
    <row r="5980" spans="11:14" x14ac:dyDescent="0.3">
      <c r="K5980" s="1">
        <v>39630</v>
      </c>
      <c r="M5980" t="e">
        <v>#N/A</v>
      </c>
      <c r="N5980" s="1">
        <v>39173</v>
      </c>
    </row>
    <row r="5981" spans="11:14" x14ac:dyDescent="0.3">
      <c r="K5981" s="1">
        <v>39630</v>
      </c>
      <c r="M5981" t="e">
        <v>#N/A</v>
      </c>
      <c r="N5981" s="1">
        <v>39173</v>
      </c>
    </row>
    <row r="5982" spans="11:14" x14ac:dyDescent="0.3">
      <c r="K5982" s="1">
        <v>39630</v>
      </c>
      <c r="M5982" t="e">
        <v>#N/A</v>
      </c>
      <c r="N5982" s="1">
        <v>39173</v>
      </c>
    </row>
    <row r="5983" spans="11:14" x14ac:dyDescent="0.3">
      <c r="K5983" s="1">
        <v>39630</v>
      </c>
      <c r="M5983" t="e">
        <v>#N/A</v>
      </c>
      <c r="N5983" s="1">
        <v>39173</v>
      </c>
    </row>
    <row r="5984" spans="11:14" x14ac:dyDescent="0.3">
      <c r="K5984" s="1">
        <v>39630</v>
      </c>
      <c r="M5984" t="e">
        <v>#N/A</v>
      </c>
      <c r="N5984" s="1">
        <v>39173</v>
      </c>
    </row>
    <row r="5985" spans="11:14" x14ac:dyDescent="0.3">
      <c r="K5985" s="1">
        <v>39630</v>
      </c>
      <c r="M5985" t="e">
        <v>#N/A</v>
      </c>
      <c r="N5985" s="1">
        <v>39173</v>
      </c>
    </row>
    <row r="5986" spans="11:14" x14ac:dyDescent="0.3">
      <c r="K5986" s="1">
        <v>39630</v>
      </c>
      <c r="M5986" t="e">
        <v>#N/A</v>
      </c>
      <c r="N5986" s="1">
        <v>39173</v>
      </c>
    </row>
    <row r="5987" spans="11:14" x14ac:dyDescent="0.3">
      <c r="K5987" s="1">
        <v>39630</v>
      </c>
      <c r="M5987" t="e">
        <v>#N/A</v>
      </c>
      <c r="N5987" s="1">
        <v>39173</v>
      </c>
    </row>
    <row r="5988" spans="11:14" x14ac:dyDescent="0.3">
      <c r="K5988" s="1">
        <v>39630</v>
      </c>
      <c r="M5988" t="e">
        <v>#N/A</v>
      </c>
      <c r="N5988" s="1">
        <v>39173</v>
      </c>
    </row>
    <row r="5989" spans="11:14" x14ac:dyDescent="0.3">
      <c r="K5989" s="1">
        <v>39630</v>
      </c>
      <c r="M5989" t="e">
        <v>#N/A</v>
      </c>
      <c r="N5989" s="1">
        <v>39173</v>
      </c>
    </row>
    <row r="5990" spans="11:14" x14ac:dyDescent="0.3">
      <c r="K5990" s="1">
        <v>39630</v>
      </c>
      <c r="M5990" t="e">
        <v>#N/A</v>
      </c>
      <c r="N5990" s="1">
        <v>39173</v>
      </c>
    </row>
    <row r="5991" spans="11:14" x14ac:dyDescent="0.3">
      <c r="K5991" s="1">
        <v>39630</v>
      </c>
      <c r="M5991" t="e">
        <v>#N/A</v>
      </c>
      <c r="N5991" s="1">
        <v>39173</v>
      </c>
    </row>
    <row r="5992" spans="11:14" x14ac:dyDescent="0.3">
      <c r="K5992" s="1">
        <v>39630</v>
      </c>
      <c r="M5992" t="e">
        <v>#N/A</v>
      </c>
      <c r="N5992" s="1">
        <v>39173</v>
      </c>
    </row>
    <row r="5993" spans="11:14" x14ac:dyDescent="0.3">
      <c r="K5993" s="1">
        <v>39630</v>
      </c>
      <c r="M5993" t="e">
        <v>#N/A</v>
      </c>
      <c r="N5993" s="1">
        <v>39173</v>
      </c>
    </row>
    <row r="5994" spans="11:14" x14ac:dyDescent="0.3">
      <c r="K5994" s="1">
        <v>39630</v>
      </c>
      <c r="M5994" t="e">
        <v>#N/A</v>
      </c>
      <c r="N5994" s="1">
        <v>39173</v>
      </c>
    </row>
    <row r="5995" spans="11:14" x14ac:dyDescent="0.3">
      <c r="K5995" s="1">
        <v>39630</v>
      </c>
      <c r="M5995" t="e">
        <v>#N/A</v>
      </c>
      <c r="N5995" s="1">
        <v>39173</v>
      </c>
    </row>
    <row r="5996" spans="11:14" x14ac:dyDescent="0.3">
      <c r="K5996" s="1">
        <v>39630</v>
      </c>
      <c r="M5996" t="e">
        <v>#N/A</v>
      </c>
      <c r="N5996" s="1">
        <v>39173</v>
      </c>
    </row>
    <row r="5997" spans="11:14" x14ac:dyDescent="0.3">
      <c r="K5997" s="1">
        <v>39630</v>
      </c>
      <c r="M5997" t="e">
        <v>#N/A</v>
      </c>
      <c r="N5997" s="1">
        <v>39173</v>
      </c>
    </row>
    <row r="5998" spans="11:14" x14ac:dyDescent="0.3">
      <c r="K5998" s="1">
        <v>39630</v>
      </c>
      <c r="M5998" t="e">
        <v>#N/A</v>
      </c>
      <c r="N5998" s="1">
        <v>39173</v>
      </c>
    </row>
    <row r="5999" spans="11:14" x14ac:dyDescent="0.3">
      <c r="K5999" s="1">
        <v>39630</v>
      </c>
      <c r="M5999" t="e">
        <v>#N/A</v>
      </c>
      <c r="N5999" s="1">
        <v>39173</v>
      </c>
    </row>
    <row r="6000" spans="11:14" x14ac:dyDescent="0.3">
      <c r="K6000" s="1">
        <v>39630</v>
      </c>
      <c r="M6000" t="e">
        <v>#N/A</v>
      </c>
      <c r="N6000" s="1">
        <v>39173</v>
      </c>
    </row>
    <row r="6001" spans="11:14" x14ac:dyDescent="0.3">
      <c r="K6001" s="1">
        <v>39630</v>
      </c>
      <c r="M6001" t="e">
        <v>#N/A</v>
      </c>
      <c r="N6001" s="1">
        <v>39173</v>
      </c>
    </row>
    <row r="6002" spans="11:14" x14ac:dyDescent="0.3">
      <c r="K6002" s="1">
        <v>39630</v>
      </c>
      <c r="M6002" t="e">
        <v>#N/A</v>
      </c>
      <c r="N6002" s="1">
        <v>39173</v>
      </c>
    </row>
    <row r="6003" spans="11:14" x14ac:dyDescent="0.3">
      <c r="K6003" s="1">
        <v>39630</v>
      </c>
      <c r="M6003" t="e">
        <v>#N/A</v>
      </c>
      <c r="N6003" s="1">
        <v>39173</v>
      </c>
    </row>
    <row r="6004" spans="11:14" x14ac:dyDescent="0.3">
      <c r="K6004" s="1">
        <v>39630</v>
      </c>
      <c r="M6004" t="e">
        <v>#N/A</v>
      </c>
      <c r="N6004" s="1">
        <v>39173</v>
      </c>
    </row>
    <row r="6005" spans="11:14" x14ac:dyDescent="0.3">
      <c r="K6005" s="1">
        <v>39630</v>
      </c>
      <c r="M6005" t="e">
        <v>#N/A</v>
      </c>
      <c r="N6005" s="1">
        <v>39173</v>
      </c>
    </row>
    <row r="6006" spans="11:14" x14ac:dyDescent="0.3">
      <c r="K6006" s="1">
        <v>39630</v>
      </c>
      <c r="M6006" t="e">
        <v>#N/A</v>
      </c>
      <c r="N6006" s="1">
        <v>39173</v>
      </c>
    </row>
    <row r="6007" spans="11:14" x14ac:dyDescent="0.3">
      <c r="K6007" s="1">
        <v>39630</v>
      </c>
      <c r="M6007" t="e">
        <v>#N/A</v>
      </c>
      <c r="N6007" s="1">
        <v>39173</v>
      </c>
    </row>
    <row r="6008" spans="11:14" x14ac:dyDescent="0.3">
      <c r="K6008" s="1">
        <v>39630</v>
      </c>
      <c r="M6008" t="e">
        <v>#N/A</v>
      </c>
      <c r="N6008" s="1">
        <v>39173</v>
      </c>
    </row>
    <row r="6009" spans="11:14" x14ac:dyDescent="0.3">
      <c r="K6009" s="1">
        <v>39630</v>
      </c>
      <c r="M6009" t="e">
        <v>#N/A</v>
      </c>
      <c r="N6009" s="1">
        <v>39173</v>
      </c>
    </row>
    <row r="6010" spans="11:14" x14ac:dyDescent="0.3">
      <c r="K6010" s="1">
        <v>39630</v>
      </c>
      <c r="M6010" t="e">
        <v>#N/A</v>
      </c>
      <c r="N6010" s="1">
        <v>39173</v>
      </c>
    </row>
    <row r="6011" spans="11:14" x14ac:dyDescent="0.3">
      <c r="K6011" s="1">
        <v>39630</v>
      </c>
      <c r="M6011" t="e">
        <v>#N/A</v>
      </c>
      <c r="N6011" s="1">
        <v>39173</v>
      </c>
    </row>
    <row r="6012" spans="11:14" x14ac:dyDescent="0.3">
      <c r="K6012" s="1">
        <v>39630</v>
      </c>
      <c r="M6012" t="e">
        <v>#N/A</v>
      </c>
      <c r="N6012" s="1">
        <v>39173</v>
      </c>
    </row>
    <row r="6013" spans="11:14" x14ac:dyDescent="0.3">
      <c r="K6013" s="1">
        <v>39630</v>
      </c>
      <c r="M6013" t="e">
        <v>#N/A</v>
      </c>
      <c r="N6013" s="1">
        <v>39173</v>
      </c>
    </row>
    <row r="6014" spans="11:14" x14ac:dyDescent="0.3">
      <c r="K6014" s="1">
        <v>39630</v>
      </c>
      <c r="M6014" t="e">
        <v>#N/A</v>
      </c>
      <c r="N6014" s="1">
        <v>39173</v>
      </c>
    </row>
    <row r="6015" spans="11:14" x14ac:dyDescent="0.3">
      <c r="K6015" s="1">
        <v>39630</v>
      </c>
      <c r="M6015" t="e">
        <v>#N/A</v>
      </c>
      <c r="N6015" s="1">
        <v>39173</v>
      </c>
    </row>
    <row r="6016" spans="11:14" x14ac:dyDescent="0.3">
      <c r="K6016" s="1">
        <v>39630</v>
      </c>
      <c r="M6016" t="e">
        <v>#N/A</v>
      </c>
      <c r="N6016" s="1">
        <v>39173</v>
      </c>
    </row>
    <row r="6017" spans="11:14" x14ac:dyDescent="0.3">
      <c r="K6017" s="1">
        <v>39630</v>
      </c>
      <c r="M6017" t="e">
        <v>#N/A</v>
      </c>
      <c r="N6017" s="1">
        <v>39173</v>
      </c>
    </row>
    <row r="6018" spans="11:14" x14ac:dyDescent="0.3">
      <c r="K6018" s="1">
        <v>39630</v>
      </c>
      <c r="M6018" t="e">
        <v>#N/A</v>
      </c>
      <c r="N6018" s="1">
        <v>39173</v>
      </c>
    </row>
    <row r="6019" spans="11:14" x14ac:dyDescent="0.3">
      <c r="K6019" s="1">
        <v>39630</v>
      </c>
      <c r="M6019" t="e">
        <v>#N/A</v>
      </c>
      <c r="N6019" s="1">
        <v>39173</v>
      </c>
    </row>
    <row r="6020" spans="11:14" x14ac:dyDescent="0.3">
      <c r="K6020" s="1">
        <v>39630</v>
      </c>
      <c r="M6020" t="e">
        <v>#N/A</v>
      </c>
      <c r="N6020" s="1">
        <v>39173</v>
      </c>
    </row>
    <row r="6021" spans="11:14" x14ac:dyDescent="0.3">
      <c r="K6021" s="1">
        <v>39630</v>
      </c>
      <c r="M6021" t="e">
        <v>#N/A</v>
      </c>
      <c r="N6021" s="1">
        <v>39173</v>
      </c>
    </row>
    <row r="6022" spans="11:14" x14ac:dyDescent="0.3">
      <c r="K6022" s="1">
        <v>39630</v>
      </c>
      <c r="M6022" t="e">
        <v>#N/A</v>
      </c>
      <c r="N6022" s="1">
        <v>39173</v>
      </c>
    </row>
    <row r="6023" spans="11:14" x14ac:dyDescent="0.3">
      <c r="K6023" s="1">
        <v>39630</v>
      </c>
      <c r="M6023" t="e">
        <v>#N/A</v>
      </c>
      <c r="N6023" s="1">
        <v>39173</v>
      </c>
    </row>
    <row r="6024" spans="11:14" x14ac:dyDescent="0.3">
      <c r="K6024" s="1">
        <v>39630</v>
      </c>
      <c r="M6024" t="e">
        <v>#N/A</v>
      </c>
      <c r="N6024" s="1">
        <v>39173</v>
      </c>
    </row>
    <row r="6025" spans="11:14" x14ac:dyDescent="0.3">
      <c r="K6025" s="1">
        <v>39630</v>
      </c>
      <c r="M6025" t="e">
        <v>#N/A</v>
      </c>
      <c r="N6025" s="1">
        <v>39173</v>
      </c>
    </row>
    <row r="6026" spans="11:14" x14ac:dyDescent="0.3">
      <c r="K6026" s="1">
        <v>39630</v>
      </c>
      <c r="M6026" t="e">
        <v>#N/A</v>
      </c>
      <c r="N6026" s="1">
        <v>39173</v>
      </c>
    </row>
    <row r="6027" spans="11:14" x14ac:dyDescent="0.3">
      <c r="K6027" s="1">
        <v>39630</v>
      </c>
      <c r="M6027" t="e">
        <v>#N/A</v>
      </c>
      <c r="N6027" s="1">
        <v>39173</v>
      </c>
    </row>
    <row r="6028" spans="11:14" x14ac:dyDescent="0.3">
      <c r="K6028" s="1">
        <v>39630</v>
      </c>
      <c r="M6028" t="e">
        <v>#N/A</v>
      </c>
      <c r="N6028" s="1">
        <v>39173</v>
      </c>
    </row>
    <row r="6029" spans="11:14" x14ac:dyDescent="0.3">
      <c r="K6029" s="1">
        <v>39630</v>
      </c>
      <c r="M6029" t="e">
        <v>#N/A</v>
      </c>
      <c r="N6029" s="1">
        <v>39173</v>
      </c>
    </row>
    <row r="6030" spans="11:14" x14ac:dyDescent="0.3">
      <c r="K6030" s="1">
        <v>39630</v>
      </c>
      <c r="M6030" t="e">
        <v>#N/A</v>
      </c>
      <c r="N6030" s="1">
        <v>39173</v>
      </c>
    </row>
    <row r="6031" spans="11:14" x14ac:dyDescent="0.3">
      <c r="K6031" s="1">
        <v>39630</v>
      </c>
      <c r="M6031" t="e">
        <v>#N/A</v>
      </c>
      <c r="N6031" s="1">
        <v>39173</v>
      </c>
    </row>
    <row r="6032" spans="11:14" x14ac:dyDescent="0.3">
      <c r="K6032" s="1">
        <v>39630</v>
      </c>
      <c r="M6032" t="e">
        <v>#N/A</v>
      </c>
      <c r="N6032" s="1">
        <v>39173</v>
      </c>
    </row>
    <row r="6033" spans="11:14" x14ac:dyDescent="0.3">
      <c r="K6033" s="1">
        <v>39630</v>
      </c>
      <c r="M6033" t="e">
        <v>#N/A</v>
      </c>
      <c r="N6033" s="1">
        <v>39173</v>
      </c>
    </row>
    <row r="6034" spans="11:14" x14ac:dyDescent="0.3">
      <c r="K6034" s="1">
        <v>39630</v>
      </c>
      <c r="M6034" t="e">
        <v>#N/A</v>
      </c>
      <c r="N6034" s="1">
        <v>39173</v>
      </c>
    </row>
    <row r="6035" spans="11:14" x14ac:dyDescent="0.3">
      <c r="K6035" s="1">
        <v>39630</v>
      </c>
      <c r="M6035" t="e">
        <v>#N/A</v>
      </c>
      <c r="N6035" s="1">
        <v>39173</v>
      </c>
    </row>
    <row r="6036" spans="11:14" x14ac:dyDescent="0.3">
      <c r="K6036" s="1">
        <v>39630</v>
      </c>
      <c r="M6036" t="e">
        <v>#N/A</v>
      </c>
      <c r="N6036" s="1">
        <v>39173</v>
      </c>
    </row>
    <row r="6037" spans="11:14" x14ac:dyDescent="0.3">
      <c r="K6037" s="1">
        <v>39630</v>
      </c>
      <c r="M6037" t="e">
        <v>#N/A</v>
      </c>
      <c r="N6037" s="1">
        <v>39173</v>
      </c>
    </row>
    <row r="6038" spans="11:14" x14ac:dyDescent="0.3">
      <c r="K6038" s="1">
        <v>39630</v>
      </c>
      <c r="M6038" t="e">
        <v>#N/A</v>
      </c>
      <c r="N6038" s="1">
        <v>39173</v>
      </c>
    </row>
    <row r="6039" spans="11:14" x14ac:dyDescent="0.3">
      <c r="K6039" s="1">
        <v>39630</v>
      </c>
      <c r="M6039" t="e">
        <v>#N/A</v>
      </c>
      <c r="N6039" s="1">
        <v>39173</v>
      </c>
    </row>
    <row r="6040" spans="11:14" x14ac:dyDescent="0.3">
      <c r="K6040" s="1">
        <v>39630</v>
      </c>
      <c r="M6040" t="e">
        <v>#N/A</v>
      </c>
      <c r="N6040" s="1">
        <v>39173</v>
      </c>
    </row>
    <row r="6041" spans="11:14" x14ac:dyDescent="0.3">
      <c r="K6041" s="1">
        <v>39630</v>
      </c>
      <c r="M6041" t="e">
        <v>#N/A</v>
      </c>
      <c r="N6041" s="1">
        <v>39173</v>
      </c>
    </row>
    <row r="6042" spans="11:14" x14ac:dyDescent="0.3">
      <c r="K6042" s="1">
        <v>39630</v>
      </c>
      <c r="M6042" t="e">
        <v>#N/A</v>
      </c>
      <c r="N6042" s="1">
        <v>39173</v>
      </c>
    </row>
    <row r="6043" spans="11:14" x14ac:dyDescent="0.3">
      <c r="K6043" s="1">
        <v>39630</v>
      </c>
      <c r="M6043" t="e">
        <v>#N/A</v>
      </c>
      <c r="N6043" s="1">
        <v>39173</v>
      </c>
    </row>
    <row r="6044" spans="11:14" x14ac:dyDescent="0.3">
      <c r="K6044" s="1">
        <v>39630</v>
      </c>
      <c r="M6044" t="e">
        <v>#N/A</v>
      </c>
      <c r="N6044" s="1">
        <v>39173</v>
      </c>
    </row>
    <row r="6045" spans="11:14" x14ac:dyDescent="0.3">
      <c r="K6045" s="1">
        <v>39630</v>
      </c>
      <c r="M6045" t="e">
        <v>#N/A</v>
      </c>
      <c r="N6045" s="1">
        <v>39173</v>
      </c>
    </row>
    <row r="6046" spans="11:14" x14ac:dyDescent="0.3">
      <c r="K6046" s="1">
        <v>39630</v>
      </c>
      <c r="M6046" t="e">
        <v>#N/A</v>
      </c>
      <c r="N6046" s="1">
        <v>39173</v>
      </c>
    </row>
    <row r="6047" spans="11:14" x14ac:dyDescent="0.3">
      <c r="K6047" s="1">
        <v>39630</v>
      </c>
      <c r="M6047" t="e">
        <v>#N/A</v>
      </c>
      <c r="N6047" s="1">
        <v>39173</v>
      </c>
    </row>
    <row r="6048" spans="11:14" x14ac:dyDescent="0.3">
      <c r="K6048" s="1">
        <v>39630</v>
      </c>
      <c r="M6048" t="e">
        <v>#N/A</v>
      </c>
      <c r="N6048" s="1">
        <v>39173</v>
      </c>
    </row>
    <row r="6049" spans="11:14" x14ac:dyDescent="0.3">
      <c r="K6049" s="1">
        <v>39630</v>
      </c>
      <c r="M6049" t="e">
        <v>#N/A</v>
      </c>
      <c r="N6049" s="1">
        <v>39173</v>
      </c>
    </row>
    <row r="6050" spans="11:14" x14ac:dyDescent="0.3">
      <c r="K6050" s="1">
        <v>39630</v>
      </c>
      <c r="M6050" t="e">
        <v>#N/A</v>
      </c>
      <c r="N6050" s="1">
        <v>39173</v>
      </c>
    </row>
    <row r="6051" spans="11:14" x14ac:dyDescent="0.3">
      <c r="K6051" s="1">
        <v>39630</v>
      </c>
      <c r="M6051" t="e">
        <v>#N/A</v>
      </c>
      <c r="N6051" s="1">
        <v>39173</v>
      </c>
    </row>
    <row r="6052" spans="11:14" x14ac:dyDescent="0.3">
      <c r="K6052" s="1">
        <v>39630</v>
      </c>
      <c r="M6052" t="e">
        <v>#N/A</v>
      </c>
      <c r="N6052" s="1">
        <v>39173</v>
      </c>
    </row>
    <row r="6053" spans="11:14" x14ac:dyDescent="0.3">
      <c r="K6053" s="1">
        <v>39630</v>
      </c>
      <c r="M6053" t="e">
        <v>#N/A</v>
      </c>
      <c r="N6053" s="1">
        <v>39173</v>
      </c>
    </row>
    <row r="6054" spans="11:14" x14ac:dyDescent="0.3">
      <c r="K6054" s="1">
        <v>39630</v>
      </c>
      <c r="M6054" t="e">
        <v>#N/A</v>
      </c>
      <c r="N6054" s="1">
        <v>39173</v>
      </c>
    </row>
    <row r="6055" spans="11:14" x14ac:dyDescent="0.3">
      <c r="K6055" s="1">
        <v>39630</v>
      </c>
      <c r="M6055" t="e">
        <v>#N/A</v>
      </c>
      <c r="N6055" s="1">
        <v>39173</v>
      </c>
    </row>
    <row r="6056" spans="11:14" x14ac:dyDescent="0.3">
      <c r="K6056" s="1">
        <v>39630</v>
      </c>
      <c r="M6056" t="e">
        <v>#N/A</v>
      </c>
      <c r="N6056" s="1">
        <v>39173</v>
      </c>
    </row>
    <row r="6057" spans="11:14" x14ac:dyDescent="0.3">
      <c r="K6057" s="1">
        <v>39630</v>
      </c>
      <c r="M6057" t="e">
        <v>#N/A</v>
      </c>
      <c r="N6057" s="1">
        <v>39173</v>
      </c>
    </row>
    <row r="6058" spans="11:14" x14ac:dyDescent="0.3">
      <c r="K6058" s="1">
        <v>39630</v>
      </c>
      <c r="M6058" t="e">
        <v>#N/A</v>
      </c>
      <c r="N6058" s="1">
        <v>39173</v>
      </c>
    </row>
    <row r="6059" spans="11:14" x14ac:dyDescent="0.3">
      <c r="K6059" s="1">
        <v>39630</v>
      </c>
      <c r="M6059" t="e">
        <v>#N/A</v>
      </c>
      <c r="N6059" s="1">
        <v>39173</v>
      </c>
    </row>
    <row r="6060" spans="11:14" x14ac:dyDescent="0.3">
      <c r="K6060" s="1">
        <v>39630</v>
      </c>
      <c r="M6060" t="e">
        <v>#N/A</v>
      </c>
      <c r="N6060" s="1">
        <v>39173</v>
      </c>
    </row>
    <row r="6061" spans="11:14" x14ac:dyDescent="0.3">
      <c r="K6061" s="1">
        <v>39630</v>
      </c>
      <c r="M6061" t="e">
        <v>#N/A</v>
      </c>
      <c r="N6061" s="1">
        <v>39173</v>
      </c>
    </row>
    <row r="6062" spans="11:14" x14ac:dyDescent="0.3">
      <c r="K6062" s="1">
        <v>39630</v>
      </c>
      <c r="M6062" t="e">
        <v>#N/A</v>
      </c>
      <c r="N6062" s="1">
        <v>39264</v>
      </c>
    </row>
    <row r="6063" spans="11:14" x14ac:dyDescent="0.3">
      <c r="K6063" s="1">
        <v>39630</v>
      </c>
      <c r="M6063" t="e">
        <v>#N/A</v>
      </c>
      <c r="N6063" s="1">
        <v>39264</v>
      </c>
    </row>
    <row r="6064" spans="11:14" x14ac:dyDescent="0.3">
      <c r="K6064" s="1">
        <v>39630</v>
      </c>
      <c r="M6064" t="e">
        <v>#N/A</v>
      </c>
      <c r="N6064" s="1">
        <v>39264</v>
      </c>
    </row>
    <row r="6065" spans="11:14" x14ac:dyDescent="0.3">
      <c r="K6065" s="1">
        <v>39630</v>
      </c>
      <c r="M6065" t="e">
        <v>#N/A</v>
      </c>
      <c r="N6065" s="1">
        <v>39264</v>
      </c>
    </row>
    <row r="6066" spans="11:14" x14ac:dyDescent="0.3">
      <c r="K6066" s="1">
        <v>39630</v>
      </c>
      <c r="M6066" t="e">
        <v>#N/A</v>
      </c>
      <c r="N6066" s="1">
        <v>39264</v>
      </c>
    </row>
    <row r="6067" spans="11:14" x14ac:dyDescent="0.3">
      <c r="K6067" s="1">
        <v>39630</v>
      </c>
      <c r="M6067" t="e">
        <v>#N/A</v>
      </c>
      <c r="N6067" s="1">
        <v>39264</v>
      </c>
    </row>
    <row r="6068" spans="11:14" x14ac:dyDescent="0.3">
      <c r="K6068" s="1">
        <v>39630</v>
      </c>
      <c r="M6068" t="e">
        <v>#N/A</v>
      </c>
      <c r="N6068" s="1">
        <v>39264</v>
      </c>
    </row>
    <row r="6069" spans="11:14" x14ac:dyDescent="0.3">
      <c r="K6069" s="1">
        <v>39630</v>
      </c>
      <c r="M6069" t="e">
        <v>#N/A</v>
      </c>
      <c r="N6069" s="1">
        <v>39264</v>
      </c>
    </row>
    <row r="6070" spans="11:14" x14ac:dyDescent="0.3">
      <c r="K6070" s="1">
        <v>39630</v>
      </c>
      <c r="M6070" t="e">
        <v>#N/A</v>
      </c>
      <c r="N6070" s="1">
        <v>39264</v>
      </c>
    </row>
    <row r="6071" spans="11:14" x14ac:dyDescent="0.3">
      <c r="K6071" s="1">
        <v>39630</v>
      </c>
      <c r="M6071" t="e">
        <v>#N/A</v>
      </c>
      <c r="N6071" s="1">
        <v>39264</v>
      </c>
    </row>
    <row r="6072" spans="11:14" x14ac:dyDescent="0.3">
      <c r="K6072" s="1">
        <v>39630</v>
      </c>
      <c r="M6072" t="e">
        <v>#N/A</v>
      </c>
      <c r="N6072" s="1">
        <v>39264</v>
      </c>
    </row>
    <row r="6073" spans="11:14" x14ac:dyDescent="0.3">
      <c r="K6073" s="1">
        <v>39630</v>
      </c>
      <c r="M6073" t="e">
        <v>#N/A</v>
      </c>
      <c r="N6073" s="1">
        <v>39264</v>
      </c>
    </row>
    <row r="6074" spans="11:14" x14ac:dyDescent="0.3">
      <c r="K6074" s="1">
        <v>39630</v>
      </c>
      <c r="M6074" t="e">
        <v>#N/A</v>
      </c>
      <c r="N6074" s="1">
        <v>39264</v>
      </c>
    </row>
    <row r="6075" spans="11:14" x14ac:dyDescent="0.3">
      <c r="K6075" s="1">
        <v>39630</v>
      </c>
      <c r="M6075" t="e">
        <v>#N/A</v>
      </c>
      <c r="N6075" s="1">
        <v>39264</v>
      </c>
    </row>
    <row r="6076" spans="11:14" x14ac:dyDescent="0.3">
      <c r="K6076" s="1">
        <v>39630</v>
      </c>
      <c r="M6076" t="e">
        <v>#N/A</v>
      </c>
      <c r="N6076" s="1">
        <v>39264</v>
      </c>
    </row>
    <row r="6077" spans="11:14" x14ac:dyDescent="0.3">
      <c r="K6077" s="1">
        <v>39630</v>
      </c>
      <c r="M6077" t="e">
        <v>#N/A</v>
      </c>
      <c r="N6077" s="1">
        <v>39264</v>
      </c>
    </row>
    <row r="6078" spans="11:14" x14ac:dyDescent="0.3">
      <c r="K6078" s="1">
        <v>39630</v>
      </c>
      <c r="M6078" t="e">
        <v>#N/A</v>
      </c>
      <c r="N6078" s="1">
        <v>39264</v>
      </c>
    </row>
    <row r="6079" spans="11:14" x14ac:dyDescent="0.3">
      <c r="K6079" s="1">
        <v>39630</v>
      </c>
      <c r="M6079" t="e">
        <v>#N/A</v>
      </c>
      <c r="N6079" s="1">
        <v>39264</v>
      </c>
    </row>
    <row r="6080" spans="11:14" x14ac:dyDescent="0.3">
      <c r="K6080" s="1">
        <v>39630</v>
      </c>
      <c r="M6080" t="e">
        <v>#N/A</v>
      </c>
      <c r="N6080" s="1">
        <v>39264</v>
      </c>
    </row>
    <row r="6081" spans="11:14" x14ac:dyDescent="0.3">
      <c r="K6081" s="1">
        <v>39630</v>
      </c>
      <c r="M6081" t="e">
        <v>#N/A</v>
      </c>
      <c r="N6081" s="1">
        <v>39264</v>
      </c>
    </row>
    <row r="6082" spans="11:14" x14ac:dyDescent="0.3">
      <c r="K6082" s="1">
        <v>39630</v>
      </c>
      <c r="M6082" t="e">
        <v>#N/A</v>
      </c>
      <c r="N6082" s="1">
        <v>39264</v>
      </c>
    </row>
    <row r="6083" spans="11:14" x14ac:dyDescent="0.3">
      <c r="K6083" s="1">
        <v>39630</v>
      </c>
      <c r="M6083" t="e">
        <v>#N/A</v>
      </c>
      <c r="N6083" s="1">
        <v>39264</v>
      </c>
    </row>
    <row r="6084" spans="11:14" x14ac:dyDescent="0.3">
      <c r="K6084" s="1">
        <v>39630</v>
      </c>
      <c r="M6084" t="e">
        <v>#N/A</v>
      </c>
      <c r="N6084" s="1">
        <v>39264</v>
      </c>
    </row>
    <row r="6085" spans="11:14" x14ac:dyDescent="0.3">
      <c r="K6085" s="1">
        <v>39630</v>
      </c>
      <c r="M6085" t="e">
        <v>#N/A</v>
      </c>
      <c r="N6085" s="1">
        <v>39264</v>
      </c>
    </row>
    <row r="6086" spans="11:14" x14ac:dyDescent="0.3">
      <c r="K6086" s="1">
        <v>39630</v>
      </c>
      <c r="M6086" t="e">
        <v>#N/A</v>
      </c>
      <c r="N6086" s="1">
        <v>39264</v>
      </c>
    </row>
    <row r="6087" spans="11:14" x14ac:dyDescent="0.3">
      <c r="K6087" s="1">
        <v>39630</v>
      </c>
      <c r="M6087" t="e">
        <v>#N/A</v>
      </c>
      <c r="N6087" s="1">
        <v>39264</v>
      </c>
    </row>
    <row r="6088" spans="11:14" x14ac:dyDescent="0.3">
      <c r="K6088" s="1">
        <v>39630</v>
      </c>
      <c r="M6088" t="e">
        <v>#N/A</v>
      </c>
      <c r="N6088" s="1">
        <v>39264</v>
      </c>
    </row>
    <row r="6089" spans="11:14" x14ac:dyDescent="0.3">
      <c r="K6089" s="1">
        <v>39630</v>
      </c>
      <c r="M6089" t="e">
        <v>#N/A</v>
      </c>
      <c r="N6089" s="1">
        <v>39264</v>
      </c>
    </row>
    <row r="6090" spans="11:14" x14ac:dyDescent="0.3">
      <c r="K6090" s="1">
        <v>39630</v>
      </c>
      <c r="M6090" t="e">
        <v>#N/A</v>
      </c>
      <c r="N6090" s="1">
        <v>39264</v>
      </c>
    </row>
    <row r="6091" spans="11:14" x14ac:dyDescent="0.3">
      <c r="K6091" s="1">
        <v>39630</v>
      </c>
      <c r="M6091" t="e">
        <v>#N/A</v>
      </c>
      <c r="N6091" s="1">
        <v>39264</v>
      </c>
    </row>
    <row r="6092" spans="11:14" x14ac:dyDescent="0.3">
      <c r="K6092" s="1">
        <v>39630</v>
      </c>
      <c r="M6092" t="e">
        <v>#N/A</v>
      </c>
      <c r="N6092" s="1">
        <v>39264</v>
      </c>
    </row>
    <row r="6093" spans="11:14" x14ac:dyDescent="0.3">
      <c r="K6093" s="1">
        <v>39630</v>
      </c>
      <c r="M6093" t="e">
        <v>#N/A</v>
      </c>
      <c r="N6093" s="1">
        <v>39264</v>
      </c>
    </row>
    <row r="6094" spans="11:14" x14ac:dyDescent="0.3">
      <c r="K6094" s="1">
        <v>39630</v>
      </c>
      <c r="M6094" t="e">
        <v>#N/A</v>
      </c>
      <c r="N6094" s="1">
        <v>39264</v>
      </c>
    </row>
    <row r="6095" spans="11:14" x14ac:dyDescent="0.3">
      <c r="K6095" s="1">
        <v>39630</v>
      </c>
      <c r="M6095" t="e">
        <v>#N/A</v>
      </c>
      <c r="N6095" s="1">
        <v>39264</v>
      </c>
    </row>
    <row r="6096" spans="11:14" x14ac:dyDescent="0.3">
      <c r="K6096" s="1">
        <v>39630</v>
      </c>
      <c r="M6096" t="e">
        <v>#N/A</v>
      </c>
      <c r="N6096" s="1">
        <v>39264</v>
      </c>
    </row>
    <row r="6097" spans="11:14" x14ac:dyDescent="0.3">
      <c r="K6097" s="1">
        <v>39630</v>
      </c>
      <c r="M6097" t="e">
        <v>#N/A</v>
      </c>
      <c r="N6097" s="1">
        <v>39264</v>
      </c>
    </row>
    <row r="6098" spans="11:14" x14ac:dyDescent="0.3">
      <c r="K6098" s="1">
        <v>39630</v>
      </c>
      <c r="M6098" t="e">
        <v>#N/A</v>
      </c>
      <c r="N6098" s="1">
        <v>39264</v>
      </c>
    </row>
    <row r="6099" spans="11:14" x14ac:dyDescent="0.3">
      <c r="K6099" s="1">
        <v>39630</v>
      </c>
      <c r="M6099" t="e">
        <v>#N/A</v>
      </c>
      <c r="N6099" s="1">
        <v>39264</v>
      </c>
    </row>
    <row r="6100" spans="11:14" x14ac:dyDescent="0.3">
      <c r="K6100" s="1">
        <v>39630</v>
      </c>
      <c r="M6100" t="e">
        <v>#N/A</v>
      </c>
      <c r="N6100" s="1">
        <v>39264</v>
      </c>
    </row>
    <row r="6101" spans="11:14" x14ac:dyDescent="0.3">
      <c r="K6101" s="1">
        <v>39630</v>
      </c>
      <c r="M6101" t="e">
        <v>#N/A</v>
      </c>
      <c r="N6101" s="1">
        <v>39264</v>
      </c>
    </row>
    <row r="6102" spans="11:14" x14ac:dyDescent="0.3">
      <c r="K6102" s="1">
        <v>39630</v>
      </c>
      <c r="M6102" t="e">
        <v>#N/A</v>
      </c>
      <c r="N6102" s="1">
        <v>39264</v>
      </c>
    </row>
    <row r="6103" spans="11:14" x14ac:dyDescent="0.3">
      <c r="K6103" s="1">
        <v>39630</v>
      </c>
      <c r="M6103" t="e">
        <v>#N/A</v>
      </c>
      <c r="N6103" s="1">
        <v>39264</v>
      </c>
    </row>
    <row r="6104" spans="11:14" x14ac:dyDescent="0.3">
      <c r="K6104" s="1">
        <v>39630</v>
      </c>
      <c r="M6104" t="e">
        <v>#N/A</v>
      </c>
      <c r="N6104" s="1">
        <v>39264</v>
      </c>
    </row>
    <row r="6105" spans="11:14" x14ac:dyDescent="0.3">
      <c r="K6105" s="1">
        <v>39630</v>
      </c>
      <c r="M6105" t="e">
        <v>#N/A</v>
      </c>
      <c r="N6105" s="1">
        <v>39264</v>
      </c>
    </row>
    <row r="6106" spans="11:14" x14ac:dyDescent="0.3">
      <c r="K6106" s="1">
        <v>39630</v>
      </c>
      <c r="M6106" t="e">
        <v>#N/A</v>
      </c>
      <c r="N6106" s="1">
        <v>39264</v>
      </c>
    </row>
    <row r="6107" spans="11:14" x14ac:dyDescent="0.3">
      <c r="K6107" s="1">
        <v>39630</v>
      </c>
      <c r="M6107" t="e">
        <v>#N/A</v>
      </c>
      <c r="N6107" s="1">
        <v>39264</v>
      </c>
    </row>
    <row r="6108" spans="11:14" x14ac:dyDescent="0.3">
      <c r="K6108" s="1">
        <v>39630</v>
      </c>
      <c r="M6108" t="e">
        <v>#N/A</v>
      </c>
      <c r="N6108" s="1">
        <v>39264</v>
      </c>
    </row>
    <row r="6109" spans="11:14" x14ac:dyDescent="0.3">
      <c r="K6109" s="1">
        <v>39630</v>
      </c>
      <c r="M6109" t="e">
        <v>#N/A</v>
      </c>
      <c r="N6109" s="1">
        <v>39264</v>
      </c>
    </row>
    <row r="6110" spans="11:14" x14ac:dyDescent="0.3">
      <c r="K6110" s="1">
        <v>39630</v>
      </c>
      <c r="M6110" t="e">
        <v>#N/A</v>
      </c>
      <c r="N6110" s="1">
        <v>39264</v>
      </c>
    </row>
    <row r="6111" spans="11:14" x14ac:dyDescent="0.3">
      <c r="K6111" s="1">
        <v>39630</v>
      </c>
      <c r="M6111" t="e">
        <v>#N/A</v>
      </c>
      <c r="N6111" s="1">
        <v>39264</v>
      </c>
    </row>
    <row r="6112" spans="11:14" x14ac:dyDescent="0.3">
      <c r="K6112" s="1">
        <v>39630</v>
      </c>
      <c r="M6112" t="e">
        <v>#N/A</v>
      </c>
      <c r="N6112" s="1">
        <v>39264</v>
      </c>
    </row>
    <row r="6113" spans="11:14" x14ac:dyDescent="0.3">
      <c r="K6113" s="1">
        <v>39630</v>
      </c>
      <c r="M6113" t="e">
        <v>#N/A</v>
      </c>
      <c r="N6113" s="1">
        <v>39264</v>
      </c>
    </row>
    <row r="6114" spans="11:14" x14ac:dyDescent="0.3">
      <c r="K6114" s="1">
        <v>39630</v>
      </c>
      <c r="M6114" t="e">
        <v>#N/A</v>
      </c>
      <c r="N6114" s="1">
        <v>39264</v>
      </c>
    </row>
    <row r="6115" spans="11:14" x14ac:dyDescent="0.3">
      <c r="K6115" s="1">
        <v>39630</v>
      </c>
      <c r="M6115" t="e">
        <v>#N/A</v>
      </c>
      <c r="N6115" s="1">
        <v>39264</v>
      </c>
    </row>
    <row r="6116" spans="11:14" x14ac:dyDescent="0.3">
      <c r="K6116" s="1">
        <v>39630</v>
      </c>
      <c r="M6116" t="e">
        <v>#N/A</v>
      </c>
      <c r="N6116" s="1">
        <v>39264</v>
      </c>
    </row>
    <row r="6117" spans="11:14" x14ac:dyDescent="0.3">
      <c r="K6117" s="1">
        <v>39630</v>
      </c>
      <c r="M6117" t="e">
        <v>#N/A</v>
      </c>
      <c r="N6117" s="1">
        <v>39264</v>
      </c>
    </row>
    <row r="6118" spans="11:14" x14ac:dyDescent="0.3">
      <c r="K6118" s="1">
        <v>39630</v>
      </c>
      <c r="M6118" t="e">
        <v>#N/A</v>
      </c>
      <c r="N6118" s="1">
        <v>39264</v>
      </c>
    </row>
    <row r="6119" spans="11:14" x14ac:dyDescent="0.3">
      <c r="K6119" s="1">
        <v>39630</v>
      </c>
      <c r="M6119" t="e">
        <v>#N/A</v>
      </c>
      <c r="N6119" s="1">
        <v>39264</v>
      </c>
    </row>
    <row r="6120" spans="11:14" x14ac:dyDescent="0.3">
      <c r="K6120" s="1">
        <v>39630</v>
      </c>
      <c r="M6120" t="e">
        <v>#N/A</v>
      </c>
      <c r="N6120" s="1">
        <v>39264</v>
      </c>
    </row>
    <row r="6121" spans="11:14" x14ac:dyDescent="0.3">
      <c r="K6121" s="1">
        <v>39630</v>
      </c>
      <c r="M6121" t="e">
        <v>#N/A</v>
      </c>
      <c r="N6121" s="1">
        <v>39264</v>
      </c>
    </row>
    <row r="6122" spans="11:14" x14ac:dyDescent="0.3">
      <c r="K6122" s="1">
        <v>39630</v>
      </c>
      <c r="M6122" t="e">
        <v>#N/A</v>
      </c>
      <c r="N6122" s="1">
        <v>39264</v>
      </c>
    </row>
    <row r="6123" spans="11:14" x14ac:dyDescent="0.3">
      <c r="K6123" s="1">
        <v>39630</v>
      </c>
      <c r="M6123" t="e">
        <v>#N/A</v>
      </c>
      <c r="N6123" s="1">
        <v>39264</v>
      </c>
    </row>
    <row r="6124" spans="11:14" x14ac:dyDescent="0.3">
      <c r="K6124" s="1">
        <v>39630</v>
      </c>
      <c r="M6124" t="e">
        <v>#N/A</v>
      </c>
      <c r="N6124" s="1">
        <v>39264</v>
      </c>
    </row>
    <row r="6125" spans="11:14" x14ac:dyDescent="0.3">
      <c r="K6125" s="1">
        <v>39630</v>
      </c>
      <c r="M6125" t="e">
        <v>#N/A</v>
      </c>
      <c r="N6125" s="1">
        <v>39264</v>
      </c>
    </row>
    <row r="6126" spans="11:14" x14ac:dyDescent="0.3">
      <c r="K6126" s="1">
        <v>39630</v>
      </c>
      <c r="M6126" t="e">
        <v>#N/A</v>
      </c>
      <c r="N6126" s="1">
        <v>39264</v>
      </c>
    </row>
    <row r="6127" spans="11:14" x14ac:dyDescent="0.3">
      <c r="K6127" s="1">
        <v>39630</v>
      </c>
      <c r="M6127" t="e">
        <v>#N/A</v>
      </c>
      <c r="N6127" s="1">
        <v>39264</v>
      </c>
    </row>
    <row r="6128" spans="11:14" x14ac:dyDescent="0.3">
      <c r="K6128" s="1">
        <v>39630</v>
      </c>
      <c r="M6128" t="e">
        <v>#N/A</v>
      </c>
      <c r="N6128" s="1">
        <v>39264</v>
      </c>
    </row>
    <row r="6129" spans="11:14" x14ac:dyDescent="0.3">
      <c r="K6129" s="1">
        <v>39630</v>
      </c>
      <c r="M6129" t="e">
        <v>#N/A</v>
      </c>
      <c r="N6129" s="1">
        <v>39264</v>
      </c>
    </row>
    <row r="6130" spans="11:14" x14ac:dyDescent="0.3">
      <c r="K6130" s="1">
        <v>39630</v>
      </c>
      <c r="M6130" t="e">
        <v>#N/A</v>
      </c>
      <c r="N6130" s="1">
        <v>39264</v>
      </c>
    </row>
    <row r="6131" spans="11:14" x14ac:dyDescent="0.3">
      <c r="K6131" s="1">
        <v>39630</v>
      </c>
      <c r="M6131" t="e">
        <v>#N/A</v>
      </c>
      <c r="N6131" s="1">
        <v>39264</v>
      </c>
    </row>
    <row r="6132" spans="11:14" x14ac:dyDescent="0.3">
      <c r="K6132" s="1">
        <v>39630</v>
      </c>
      <c r="M6132" t="e">
        <v>#N/A</v>
      </c>
      <c r="N6132" s="1">
        <v>39264</v>
      </c>
    </row>
    <row r="6133" spans="11:14" x14ac:dyDescent="0.3">
      <c r="K6133" s="1">
        <v>39630</v>
      </c>
      <c r="M6133" t="e">
        <v>#N/A</v>
      </c>
      <c r="N6133" s="1">
        <v>39264</v>
      </c>
    </row>
    <row r="6134" spans="11:14" x14ac:dyDescent="0.3">
      <c r="K6134" s="1">
        <v>39630</v>
      </c>
      <c r="M6134" t="e">
        <v>#N/A</v>
      </c>
      <c r="N6134" s="1">
        <v>39264</v>
      </c>
    </row>
    <row r="6135" spans="11:14" x14ac:dyDescent="0.3">
      <c r="K6135" s="1">
        <v>39630</v>
      </c>
      <c r="M6135" t="e">
        <v>#N/A</v>
      </c>
      <c r="N6135" s="1">
        <v>39264</v>
      </c>
    </row>
    <row r="6136" spans="11:14" x14ac:dyDescent="0.3">
      <c r="K6136" s="1">
        <v>39630</v>
      </c>
      <c r="M6136" t="e">
        <v>#N/A</v>
      </c>
      <c r="N6136" s="1">
        <v>39264</v>
      </c>
    </row>
    <row r="6137" spans="11:14" x14ac:dyDescent="0.3">
      <c r="K6137" s="1">
        <v>39630</v>
      </c>
      <c r="M6137" t="e">
        <v>#N/A</v>
      </c>
      <c r="N6137" s="1">
        <v>39264</v>
      </c>
    </row>
    <row r="6138" spans="11:14" x14ac:dyDescent="0.3">
      <c r="K6138" s="1">
        <v>39630</v>
      </c>
      <c r="M6138" t="e">
        <v>#N/A</v>
      </c>
      <c r="N6138" s="1">
        <v>39264</v>
      </c>
    </row>
    <row r="6139" spans="11:14" x14ac:dyDescent="0.3">
      <c r="K6139" s="1">
        <v>39630</v>
      </c>
      <c r="M6139" t="e">
        <v>#N/A</v>
      </c>
      <c r="N6139" s="1">
        <v>39264</v>
      </c>
    </row>
    <row r="6140" spans="11:14" x14ac:dyDescent="0.3">
      <c r="K6140" s="1">
        <v>39630</v>
      </c>
      <c r="M6140" t="e">
        <v>#N/A</v>
      </c>
      <c r="N6140" s="1">
        <v>39264</v>
      </c>
    </row>
    <row r="6141" spans="11:14" x14ac:dyDescent="0.3">
      <c r="K6141" s="1">
        <v>39630</v>
      </c>
      <c r="M6141" t="e">
        <v>#N/A</v>
      </c>
      <c r="N6141" s="1">
        <v>39264</v>
      </c>
    </row>
    <row r="6142" spans="11:14" x14ac:dyDescent="0.3">
      <c r="K6142" s="1">
        <v>39630</v>
      </c>
      <c r="M6142" t="e">
        <v>#N/A</v>
      </c>
      <c r="N6142" s="1">
        <v>39264</v>
      </c>
    </row>
    <row r="6143" spans="11:14" x14ac:dyDescent="0.3">
      <c r="K6143" s="1">
        <v>39630</v>
      </c>
      <c r="M6143" t="e">
        <v>#N/A</v>
      </c>
      <c r="N6143" s="1">
        <v>39264</v>
      </c>
    </row>
    <row r="6144" spans="11:14" x14ac:dyDescent="0.3">
      <c r="K6144" s="1">
        <v>39630</v>
      </c>
      <c r="M6144" t="e">
        <v>#N/A</v>
      </c>
      <c r="N6144" s="1">
        <v>39264</v>
      </c>
    </row>
    <row r="6145" spans="11:14" x14ac:dyDescent="0.3">
      <c r="K6145" s="1">
        <v>39630</v>
      </c>
      <c r="M6145" t="e">
        <v>#N/A</v>
      </c>
      <c r="N6145" s="1">
        <v>39264</v>
      </c>
    </row>
    <row r="6146" spans="11:14" x14ac:dyDescent="0.3">
      <c r="K6146" s="1">
        <v>39630</v>
      </c>
      <c r="M6146" t="e">
        <v>#N/A</v>
      </c>
      <c r="N6146" s="1">
        <v>39264</v>
      </c>
    </row>
    <row r="6147" spans="11:14" x14ac:dyDescent="0.3">
      <c r="K6147" s="1">
        <v>39630</v>
      </c>
      <c r="M6147" t="e">
        <v>#N/A</v>
      </c>
      <c r="N6147" s="1">
        <v>39264</v>
      </c>
    </row>
    <row r="6148" spans="11:14" x14ac:dyDescent="0.3">
      <c r="K6148" s="1">
        <v>39630</v>
      </c>
      <c r="M6148" t="e">
        <v>#N/A</v>
      </c>
      <c r="N6148" s="1">
        <v>39264</v>
      </c>
    </row>
    <row r="6149" spans="11:14" x14ac:dyDescent="0.3">
      <c r="K6149" s="1">
        <v>39630</v>
      </c>
      <c r="M6149" t="e">
        <v>#N/A</v>
      </c>
      <c r="N6149" s="1">
        <v>39264</v>
      </c>
    </row>
    <row r="6150" spans="11:14" x14ac:dyDescent="0.3">
      <c r="K6150" s="1">
        <v>39630</v>
      </c>
      <c r="M6150" t="e">
        <v>#N/A</v>
      </c>
      <c r="N6150" s="1">
        <v>39264</v>
      </c>
    </row>
    <row r="6151" spans="11:14" x14ac:dyDescent="0.3">
      <c r="K6151" s="1">
        <v>39630</v>
      </c>
      <c r="M6151" t="e">
        <v>#N/A</v>
      </c>
      <c r="N6151" s="1">
        <v>39264</v>
      </c>
    </row>
    <row r="6152" spans="11:14" x14ac:dyDescent="0.3">
      <c r="K6152" s="1">
        <v>39630</v>
      </c>
      <c r="M6152" t="e">
        <v>#N/A</v>
      </c>
      <c r="N6152" s="1">
        <v>39264</v>
      </c>
    </row>
    <row r="6153" spans="11:14" x14ac:dyDescent="0.3">
      <c r="K6153" s="1">
        <v>39630</v>
      </c>
      <c r="M6153" t="e">
        <v>#N/A</v>
      </c>
      <c r="N6153" s="1">
        <v>39264</v>
      </c>
    </row>
    <row r="6154" spans="11:14" x14ac:dyDescent="0.3">
      <c r="K6154" s="1">
        <v>39630</v>
      </c>
      <c r="M6154" t="e">
        <v>#N/A</v>
      </c>
      <c r="N6154" s="1">
        <v>39264</v>
      </c>
    </row>
    <row r="6155" spans="11:14" x14ac:dyDescent="0.3">
      <c r="K6155" s="1">
        <v>39630</v>
      </c>
      <c r="M6155" t="e">
        <v>#N/A</v>
      </c>
      <c r="N6155" s="1">
        <v>39264</v>
      </c>
    </row>
    <row r="6156" spans="11:14" x14ac:dyDescent="0.3">
      <c r="K6156" s="1">
        <v>39630</v>
      </c>
      <c r="M6156" t="e">
        <v>#N/A</v>
      </c>
      <c r="N6156" s="1">
        <v>39264</v>
      </c>
    </row>
    <row r="6157" spans="11:14" x14ac:dyDescent="0.3">
      <c r="K6157" s="1">
        <v>39630</v>
      </c>
      <c r="M6157" t="e">
        <v>#N/A</v>
      </c>
      <c r="N6157" s="1">
        <v>39264</v>
      </c>
    </row>
    <row r="6158" spans="11:14" x14ac:dyDescent="0.3">
      <c r="K6158" s="1">
        <v>39630</v>
      </c>
      <c r="M6158" t="e">
        <v>#N/A</v>
      </c>
      <c r="N6158" s="1">
        <v>39264</v>
      </c>
    </row>
    <row r="6159" spans="11:14" x14ac:dyDescent="0.3">
      <c r="K6159" s="1">
        <v>39630</v>
      </c>
      <c r="M6159" t="e">
        <v>#N/A</v>
      </c>
      <c r="N6159" s="1">
        <v>39264</v>
      </c>
    </row>
    <row r="6160" spans="11:14" x14ac:dyDescent="0.3">
      <c r="K6160" s="1">
        <v>39630</v>
      </c>
      <c r="M6160" t="e">
        <v>#N/A</v>
      </c>
      <c r="N6160" s="1">
        <v>39264</v>
      </c>
    </row>
    <row r="6161" spans="11:14" x14ac:dyDescent="0.3">
      <c r="K6161" s="1">
        <v>39630</v>
      </c>
      <c r="M6161" t="e">
        <v>#N/A</v>
      </c>
      <c r="N6161" s="1">
        <v>39264</v>
      </c>
    </row>
    <row r="6162" spans="11:14" x14ac:dyDescent="0.3">
      <c r="K6162" s="1">
        <v>39630</v>
      </c>
      <c r="M6162" t="e">
        <v>#N/A</v>
      </c>
      <c r="N6162" s="1">
        <v>39264</v>
      </c>
    </row>
    <row r="6163" spans="11:14" x14ac:dyDescent="0.3">
      <c r="K6163" s="1">
        <v>39630</v>
      </c>
      <c r="M6163" t="e">
        <v>#N/A</v>
      </c>
      <c r="N6163" s="1">
        <v>39264</v>
      </c>
    </row>
    <row r="6164" spans="11:14" x14ac:dyDescent="0.3">
      <c r="K6164" s="1">
        <v>39630</v>
      </c>
      <c r="M6164" t="e">
        <v>#N/A</v>
      </c>
      <c r="N6164" s="1">
        <v>39264</v>
      </c>
    </row>
    <row r="6165" spans="11:14" x14ac:dyDescent="0.3">
      <c r="K6165" s="1">
        <v>39630</v>
      </c>
      <c r="M6165" t="e">
        <v>#N/A</v>
      </c>
      <c r="N6165" s="1">
        <v>39264</v>
      </c>
    </row>
    <row r="6166" spans="11:14" x14ac:dyDescent="0.3">
      <c r="K6166" s="1">
        <v>39630</v>
      </c>
      <c r="M6166" t="e">
        <v>#N/A</v>
      </c>
      <c r="N6166" s="1">
        <v>39264</v>
      </c>
    </row>
    <row r="6167" spans="11:14" x14ac:dyDescent="0.3">
      <c r="K6167" s="1">
        <v>39630</v>
      </c>
      <c r="M6167" t="e">
        <v>#N/A</v>
      </c>
      <c r="N6167" s="1">
        <v>39264</v>
      </c>
    </row>
    <row r="6168" spans="11:14" x14ac:dyDescent="0.3">
      <c r="K6168" s="1">
        <v>39630</v>
      </c>
      <c r="M6168" t="e">
        <v>#N/A</v>
      </c>
      <c r="N6168" s="1">
        <v>39264</v>
      </c>
    </row>
    <row r="6169" spans="11:14" x14ac:dyDescent="0.3">
      <c r="K6169" s="1">
        <v>39630</v>
      </c>
      <c r="M6169" t="e">
        <v>#N/A</v>
      </c>
      <c r="N6169" s="1">
        <v>39264</v>
      </c>
    </row>
    <row r="6170" spans="11:14" x14ac:dyDescent="0.3">
      <c r="K6170" s="1">
        <v>39630</v>
      </c>
      <c r="M6170" t="e">
        <v>#N/A</v>
      </c>
      <c r="N6170" s="1">
        <v>39264</v>
      </c>
    </row>
    <row r="6171" spans="11:14" x14ac:dyDescent="0.3">
      <c r="K6171" s="1">
        <v>39630</v>
      </c>
      <c r="M6171" t="e">
        <v>#N/A</v>
      </c>
      <c r="N6171" s="1">
        <v>39264</v>
      </c>
    </row>
    <row r="6172" spans="11:14" x14ac:dyDescent="0.3">
      <c r="K6172" s="1">
        <v>39630</v>
      </c>
      <c r="M6172" t="e">
        <v>#N/A</v>
      </c>
      <c r="N6172" s="1">
        <v>39264</v>
      </c>
    </row>
    <row r="6173" spans="11:14" x14ac:dyDescent="0.3">
      <c r="K6173" s="1">
        <v>39630</v>
      </c>
      <c r="M6173" t="e">
        <v>#N/A</v>
      </c>
      <c r="N6173" s="1">
        <v>39264</v>
      </c>
    </row>
    <row r="6174" spans="11:14" x14ac:dyDescent="0.3">
      <c r="K6174" s="1">
        <v>39630</v>
      </c>
      <c r="M6174" t="e">
        <v>#N/A</v>
      </c>
      <c r="N6174" s="1">
        <v>39264</v>
      </c>
    </row>
    <row r="6175" spans="11:14" x14ac:dyDescent="0.3">
      <c r="K6175" s="1">
        <v>39630</v>
      </c>
      <c r="M6175" t="e">
        <v>#N/A</v>
      </c>
      <c r="N6175" s="1">
        <v>39264</v>
      </c>
    </row>
    <row r="6176" spans="11:14" x14ac:dyDescent="0.3">
      <c r="K6176" s="1">
        <v>39630</v>
      </c>
      <c r="M6176" t="e">
        <v>#N/A</v>
      </c>
      <c r="N6176" s="1">
        <v>39264</v>
      </c>
    </row>
    <row r="6177" spans="11:14" x14ac:dyDescent="0.3">
      <c r="K6177" s="1">
        <v>39630</v>
      </c>
      <c r="M6177" t="e">
        <v>#N/A</v>
      </c>
      <c r="N6177" s="1">
        <v>39264</v>
      </c>
    </row>
    <row r="6178" spans="11:14" x14ac:dyDescent="0.3">
      <c r="K6178" s="1">
        <v>39630</v>
      </c>
      <c r="M6178" t="e">
        <v>#N/A</v>
      </c>
      <c r="N6178" s="1">
        <v>39264</v>
      </c>
    </row>
    <row r="6179" spans="11:14" x14ac:dyDescent="0.3">
      <c r="K6179" s="1">
        <v>39630</v>
      </c>
      <c r="M6179" t="e">
        <v>#N/A</v>
      </c>
      <c r="N6179" s="1">
        <v>39264</v>
      </c>
    </row>
    <row r="6180" spans="11:14" x14ac:dyDescent="0.3">
      <c r="K6180" s="1">
        <v>39630</v>
      </c>
      <c r="M6180" t="e">
        <v>#N/A</v>
      </c>
      <c r="N6180" s="1">
        <v>39264</v>
      </c>
    </row>
    <row r="6181" spans="11:14" x14ac:dyDescent="0.3">
      <c r="K6181" s="1">
        <v>39630</v>
      </c>
      <c r="M6181" t="e">
        <v>#N/A</v>
      </c>
      <c r="N6181" s="1">
        <v>39264</v>
      </c>
    </row>
    <row r="6182" spans="11:14" x14ac:dyDescent="0.3">
      <c r="K6182" s="1">
        <v>39630</v>
      </c>
      <c r="M6182" t="e">
        <v>#N/A</v>
      </c>
      <c r="N6182" s="1">
        <v>39264</v>
      </c>
    </row>
    <row r="6183" spans="11:14" x14ac:dyDescent="0.3">
      <c r="K6183" s="1">
        <v>39630</v>
      </c>
      <c r="M6183" t="e">
        <v>#N/A</v>
      </c>
      <c r="N6183" s="1">
        <v>39264</v>
      </c>
    </row>
    <row r="6184" spans="11:14" x14ac:dyDescent="0.3">
      <c r="K6184" s="1">
        <v>39630</v>
      </c>
      <c r="M6184" t="e">
        <v>#N/A</v>
      </c>
      <c r="N6184" s="1">
        <v>39264</v>
      </c>
    </row>
    <row r="6185" spans="11:14" x14ac:dyDescent="0.3">
      <c r="K6185" s="1">
        <v>39630</v>
      </c>
      <c r="M6185" t="e">
        <v>#N/A</v>
      </c>
      <c r="N6185" s="1">
        <v>39264</v>
      </c>
    </row>
    <row r="6186" spans="11:14" x14ac:dyDescent="0.3">
      <c r="K6186" s="1">
        <v>39630</v>
      </c>
      <c r="M6186" t="e">
        <v>#N/A</v>
      </c>
      <c r="N6186" s="1">
        <v>39264</v>
      </c>
    </row>
    <row r="6187" spans="11:14" x14ac:dyDescent="0.3">
      <c r="K6187" s="1">
        <v>39630</v>
      </c>
      <c r="M6187" t="e">
        <v>#N/A</v>
      </c>
      <c r="N6187" s="1">
        <v>39264</v>
      </c>
    </row>
    <row r="6188" spans="11:14" x14ac:dyDescent="0.3">
      <c r="K6188" s="1">
        <v>39630</v>
      </c>
      <c r="M6188" t="e">
        <v>#N/A</v>
      </c>
      <c r="N6188" s="1">
        <v>39264</v>
      </c>
    </row>
    <row r="6189" spans="11:14" x14ac:dyDescent="0.3">
      <c r="K6189" s="1">
        <v>39630</v>
      </c>
      <c r="M6189" t="e">
        <v>#N/A</v>
      </c>
      <c r="N6189" s="1">
        <v>39264</v>
      </c>
    </row>
    <row r="6190" spans="11:14" x14ac:dyDescent="0.3">
      <c r="K6190" s="1">
        <v>39630</v>
      </c>
      <c r="M6190" t="e">
        <v>#N/A</v>
      </c>
      <c r="N6190" s="1">
        <v>39264</v>
      </c>
    </row>
    <row r="6191" spans="11:14" x14ac:dyDescent="0.3">
      <c r="K6191" s="1">
        <v>39630</v>
      </c>
      <c r="M6191" t="e">
        <v>#N/A</v>
      </c>
      <c r="N6191" s="1">
        <v>39264</v>
      </c>
    </row>
    <row r="6192" spans="11:14" x14ac:dyDescent="0.3">
      <c r="K6192" s="1">
        <v>39630</v>
      </c>
      <c r="M6192" t="e">
        <v>#N/A</v>
      </c>
      <c r="N6192" s="1">
        <v>39264</v>
      </c>
    </row>
    <row r="6193" spans="11:14" x14ac:dyDescent="0.3">
      <c r="K6193" s="1">
        <v>39630</v>
      </c>
      <c r="M6193" t="e">
        <v>#N/A</v>
      </c>
      <c r="N6193" s="1">
        <v>39264</v>
      </c>
    </row>
    <row r="6194" spans="11:14" x14ac:dyDescent="0.3">
      <c r="K6194" s="1">
        <v>39630</v>
      </c>
      <c r="M6194" t="e">
        <v>#N/A</v>
      </c>
      <c r="N6194" s="1">
        <v>39264</v>
      </c>
    </row>
    <row r="6195" spans="11:14" x14ac:dyDescent="0.3">
      <c r="K6195" s="1">
        <v>39630</v>
      </c>
      <c r="M6195" t="e">
        <v>#N/A</v>
      </c>
      <c r="N6195" s="1">
        <v>39264</v>
      </c>
    </row>
    <row r="6196" spans="11:14" x14ac:dyDescent="0.3">
      <c r="K6196" s="1">
        <v>39630</v>
      </c>
      <c r="M6196" t="e">
        <v>#N/A</v>
      </c>
      <c r="N6196" s="1">
        <v>39264</v>
      </c>
    </row>
    <row r="6197" spans="11:14" x14ac:dyDescent="0.3">
      <c r="K6197" s="1">
        <v>39630</v>
      </c>
      <c r="M6197" t="e">
        <v>#N/A</v>
      </c>
      <c r="N6197" s="1">
        <v>39264</v>
      </c>
    </row>
    <row r="6198" spans="11:14" x14ac:dyDescent="0.3">
      <c r="K6198" s="1">
        <v>39630</v>
      </c>
      <c r="M6198" t="e">
        <v>#N/A</v>
      </c>
      <c r="N6198" s="1">
        <v>39264</v>
      </c>
    </row>
    <row r="6199" spans="11:14" x14ac:dyDescent="0.3">
      <c r="K6199" s="1">
        <v>39630</v>
      </c>
      <c r="M6199" t="e">
        <v>#N/A</v>
      </c>
      <c r="N6199" s="1">
        <v>39264</v>
      </c>
    </row>
    <row r="6200" spans="11:14" x14ac:dyDescent="0.3">
      <c r="K6200" s="1">
        <v>39630</v>
      </c>
      <c r="M6200" t="e">
        <v>#N/A</v>
      </c>
      <c r="N6200" s="1">
        <v>39264</v>
      </c>
    </row>
    <row r="6201" spans="11:14" x14ac:dyDescent="0.3">
      <c r="K6201" s="1">
        <v>39630</v>
      </c>
      <c r="M6201" t="e">
        <v>#N/A</v>
      </c>
      <c r="N6201" s="1">
        <v>39264</v>
      </c>
    </row>
    <row r="6202" spans="11:14" x14ac:dyDescent="0.3">
      <c r="K6202" s="1">
        <v>39630</v>
      </c>
      <c r="M6202" t="e">
        <v>#N/A</v>
      </c>
      <c r="N6202" s="1">
        <v>39264</v>
      </c>
    </row>
    <row r="6203" spans="11:14" x14ac:dyDescent="0.3">
      <c r="K6203" s="1">
        <v>39630</v>
      </c>
      <c r="M6203" t="e">
        <v>#N/A</v>
      </c>
      <c r="N6203" s="1">
        <v>39264</v>
      </c>
    </row>
    <row r="6204" spans="11:14" x14ac:dyDescent="0.3">
      <c r="K6204" s="1">
        <v>39630</v>
      </c>
      <c r="M6204" t="e">
        <v>#N/A</v>
      </c>
      <c r="N6204" s="1">
        <v>39264</v>
      </c>
    </row>
    <row r="6205" spans="11:14" x14ac:dyDescent="0.3">
      <c r="K6205" s="1">
        <v>39630</v>
      </c>
      <c r="M6205" t="e">
        <v>#N/A</v>
      </c>
      <c r="N6205" s="1">
        <v>39264</v>
      </c>
    </row>
    <row r="6206" spans="11:14" x14ac:dyDescent="0.3">
      <c r="K6206" s="1">
        <v>39630</v>
      </c>
      <c r="M6206" t="e">
        <v>#N/A</v>
      </c>
      <c r="N6206" s="1">
        <v>39264</v>
      </c>
    </row>
    <row r="6207" spans="11:14" x14ac:dyDescent="0.3">
      <c r="K6207" s="1">
        <v>39630</v>
      </c>
      <c r="M6207" t="e">
        <v>#N/A</v>
      </c>
      <c r="N6207" s="1">
        <v>39264</v>
      </c>
    </row>
    <row r="6208" spans="11:14" x14ac:dyDescent="0.3">
      <c r="K6208" s="1">
        <v>39630</v>
      </c>
      <c r="M6208" t="e">
        <v>#N/A</v>
      </c>
      <c r="N6208" s="1">
        <v>39264</v>
      </c>
    </row>
    <row r="6209" spans="11:14" x14ac:dyDescent="0.3">
      <c r="K6209" s="1">
        <v>39630</v>
      </c>
      <c r="M6209" t="e">
        <v>#N/A</v>
      </c>
      <c r="N6209" s="1">
        <v>39264</v>
      </c>
    </row>
    <row r="6210" spans="11:14" x14ac:dyDescent="0.3">
      <c r="K6210" s="1">
        <v>39630</v>
      </c>
      <c r="M6210" t="e">
        <v>#N/A</v>
      </c>
      <c r="N6210" s="1">
        <v>39264</v>
      </c>
    </row>
    <row r="6211" spans="11:14" x14ac:dyDescent="0.3">
      <c r="K6211" s="1">
        <v>39630</v>
      </c>
      <c r="M6211" t="e">
        <v>#N/A</v>
      </c>
      <c r="N6211" s="1">
        <v>39264</v>
      </c>
    </row>
    <row r="6212" spans="11:14" x14ac:dyDescent="0.3">
      <c r="K6212" s="1">
        <v>39630</v>
      </c>
      <c r="M6212" t="e">
        <v>#N/A</v>
      </c>
      <c r="N6212" s="1">
        <v>39264</v>
      </c>
    </row>
    <row r="6213" spans="11:14" x14ac:dyDescent="0.3">
      <c r="K6213" s="1">
        <v>39630</v>
      </c>
      <c r="M6213" t="e">
        <v>#N/A</v>
      </c>
      <c r="N6213" s="1">
        <v>39264</v>
      </c>
    </row>
    <row r="6214" spans="11:14" x14ac:dyDescent="0.3">
      <c r="K6214" s="1">
        <v>39630</v>
      </c>
      <c r="M6214" t="e">
        <v>#N/A</v>
      </c>
      <c r="N6214" s="1">
        <v>39264</v>
      </c>
    </row>
    <row r="6215" spans="11:14" x14ac:dyDescent="0.3">
      <c r="K6215" s="1">
        <v>39630</v>
      </c>
      <c r="M6215" t="e">
        <v>#N/A</v>
      </c>
      <c r="N6215" s="1">
        <v>39264</v>
      </c>
    </row>
    <row r="6216" spans="11:14" x14ac:dyDescent="0.3">
      <c r="K6216" s="1">
        <v>39630</v>
      </c>
      <c r="M6216" t="e">
        <v>#N/A</v>
      </c>
      <c r="N6216" s="1">
        <v>39264</v>
      </c>
    </row>
    <row r="6217" spans="11:14" x14ac:dyDescent="0.3">
      <c r="K6217" s="1">
        <v>39630</v>
      </c>
      <c r="M6217" t="e">
        <v>#N/A</v>
      </c>
      <c r="N6217" s="1">
        <v>39264</v>
      </c>
    </row>
    <row r="6218" spans="11:14" x14ac:dyDescent="0.3">
      <c r="K6218" s="1">
        <v>39630</v>
      </c>
      <c r="M6218" t="e">
        <v>#N/A</v>
      </c>
      <c r="N6218" s="1">
        <v>39264</v>
      </c>
    </row>
    <row r="6219" spans="11:14" x14ac:dyDescent="0.3">
      <c r="K6219" s="1">
        <v>39630</v>
      </c>
      <c r="M6219" t="e">
        <v>#N/A</v>
      </c>
      <c r="N6219" s="1">
        <v>39264</v>
      </c>
    </row>
    <row r="6220" spans="11:14" x14ac:dyDescent="0.3">
      <c r="K6220" s="1">
        <v>39630</v>
      </c>
      <c r="M6220" t="e">
        <v>#N/A</v>
      </c>
      <c r="N6220" s="1">
        <v>39264</v>
      </c>
    </row>
    <row r="6221" spans="11:14" x14ac:dyDescent="0.3">
      <c r="K6221" s="1">
        <v>39630</v>
      </c>
      <c r="M6221" t="e">
        <v>#N/A</v>
      </c>
      <c r="N6221" s="1">
        <v>39264</v>
      </c>
    </row>
    <row r="6222" spans="11:14" x14ac:dyDescent="0.3">
      <c r="K6222" s="1">
        <v>39630</v>
      </c>
      <c r="M6222" t="e">
        <v>#N/A</v>
      </c>
      <c r="N6222" s="1">
        <v>39264</v>
      </c>
    </row>
    <row r="6223" spans="11:14" x14ac:dyDescent="0.3">
      <c r="K6223" s="1">
        <v>39630</v>
      </c>
      <c r="M6223" t="e">
        <v>#N/A</v>
      </c>
      <c r="N6223" s="1">
        <v>39264</v>
      </c>
    </row>
    <row r="6224" spans="11:14" x14ac:dyDescent="0.3">
      <c r="K6224" s="1">
        <v>39630</v>
      </c>
      <c r="M6224" t="e">
        <v>#N/A</v>
      </c>
      <c r="N6224" s="1">
        <v>39264</v>
      </c>
    </row>
    <row r="6225" spans="11:14" x14ac:dyDescent="0.3">
      <c r="K6225" s="1">
        <v>39630</v>
      </c>
      <c r="M6225" t="e">
        <v>#N/A</v>
      </c>
      <c r="N6225" s="1">
        <v>39264</v>
      </c>
    </row>
    <row r="6226" spans="11:14" x14ac:dyDescent="0.3">
      <c r="K6226" s="1">
        <v>39630</v>
      </c>
      <c r="M6226" t="e">
        <v>#N/A</v>
      </c>
      <c r="N6226" s="1">
        <v>39264</v>
      </c>
    </row>
    <row r="6227" spans="11:14" x14ac:dyDescent="0.3">
      <c r="K6227" s="1">
        <v>39630</v>
      </c>
      <c r="M6227" t="e">
        <v>#N/A</v>
      </c>
      <c r="N6227" s="1">
        <v>39264</v>
      </c>
    </row>
    <row r="6228" spans="11:14" x14ac:dyDescent="0.3">
      <c r="K6228" s="1">
        <v>39630</v>
      </c>
      <c r="M6228" t="e">
        <v>#N/A</v>
      </c>
      <c r="N6228" s="1">
        <v>39264</v>
      </c>
    </row>
    <row r="6229" spans="11:14" x14ac:dyDescent="0.3">
      <c r="K6229" s="1">
        <v>39630</v>
      </c>
      <c r="M6229" t="e">
        <v>#N/A</v>
      </c>
      <c r="N6229" s="1">
        <v>39264</v>
      </c>
    </row>
    <row r="6230" spans="11:14" x14ac:dyDescent="0.3">
      <c r="K6230" s="1">
        <v>39630</v>
      </c>
      <c r="M6230" t="e">
        <v>#N/A</v>
      </c>
      <c r="N6230" s="1">
        <v>39264</v>
      </c>
    </row>
    <row r="6231" spans="11:14" x14ac:dyDescent="0.3">
      <c r="K6231" s="1">
        <v>39630</v>
      </c>
      <c r="M6231" t="e">
        <v>#N/A</v>
      </c>
      <c r="N6231" s="1">
        <v>39264</v>
      </c>
    </row>
    <row r="6232" spans="11:14" x14ac:dyDescent="0.3">
      <c r="K6232" s="1">
        <v>39630</v>
      </c>
      <c r="M6232" t="e">
        <v>#N/A</v>
      </c>
      <c r="N6232" s="1">
        <v>39264</v>
      </c>
    </row>
    <row r="6233" spans="11:14" x14ac:dyDescent="0.3">
      <c r="K6233" s="1">
        <v>39630</v>
      </c>
      <c r="M6233" t="e">
        <v>#N/A</v>
      </c>
      <c r="N6233" s="1">
        <v>39264</v>
      </c>
    </row>
    <row r="6234" spans="11:14" x14ac:dyDescent="0.3">
      <c r="K6234" s="1">
        <v>39630</v>
      </c>
      <c r="M6234" t="e">
        <v>#N/A</v>
      </c>
      <c r="N6234" s="1">
        <v>39264</v>
      </c>
    </row>
    <row r="6235" spans="11:14" x14ac:dyDescent="0.3">
      <c r="K6235" s="1">
        <v>39630</v>
      </c>
      <c r="M6235" t="e">
        <v>#N/A</v>
      </c>
      <c r="N6235" s="1">
        <v>39264</v>
      </c>
    </row>
    <row r="6236" spans="11:14" x14ac:dyDescent="0.3">
      <c r="K6236" s="1">
        <v>39630</v>
      </c>
      <c r="M6236" t="e">
        <v>#N/A</v>
      </c>
      <c r="N6236" s="1">
        <v>39264</v>
      </c>
    </row>
    <row r="6237" spans="11:14" x14ac:dyDescent="0.3">
      <c r="K6237" s="1">
        <v>39630</v>
      </c>
      <c r="M6237" t="e">
        <v>#N/A</v>
      </c>
      <c r="N6237" s="1">
        <v>39264</v>
      </c>
    </row>
    <row r="6238" spans="11:14" x14ac:dyDescent="0.3">
      <c r="K6238" s="1">
        <v>39630</v>
      </c>
      <c r="M6238" t="e">
        <v>#N/A</v>
      </c>
      <c r="N6238" s="1">
        <v>39264</v>
      </c>
    </row>
    <row r="6239" spans="11:14" x14ac:dyDescent="0.3">
      <c r="K6239" s="1">
        <v>39630</v>
      </c>
      <c r="M6239" t="e">
        <v>#N/A</v>
      </c>
      <c r="N6239" s="1">
        <v>39264</v>
      </c>
    </row>
    <row r="6240" spans="11:14" x14ac:dyDescent="0.3">
      <c r="K6240" s="1">
        <v>39630</v>
      </c>
      <c r="M6240" t="e">
        <v>#N/A</v>
      </c>
      <c r="N6240" s="1">
        <v>39264</v>
      </c>
    </row>
    <row r="6241" spans="11:14" x14ac:dyDescent="0.3">
      <c r="K6241" s="1">
        <v>39630</v>
      </c>
      <c r="M6241" t="e">
        <v>#N/A</v>
      </c>
      <c r="N6241" s="1">
        <v>39264</v>
      </c>
    </row>
    <row r="6242" spans="11:14" x14ac:dyDescent="0.3">
      <c r="K6242" s="1">
        <v>39630</v>
      </c>
      <c r="M6242" t="e">
        <v>#N/A</v>
      </c>
      <c r="N6242" s="1">
        <v>39264</v>
      </c>
    </row>
    <row r="6243" spans="11:14" x14ac:dyDescent="0.3">
      <c r="K6243" s="1">
        <v>39630</v>
      </c>
      <c r="M6243" t="e">
        <v>#N/A</v>
      </c>
      <c r="N6243" s="1">
        <v>39264</v>
      </c>
    </row>
    <row r="6244" spans="11:14" x14ac:dyDescent="0.3">
      <c r="K6244" s="1">
        <v>39630</v>
      </c>
      <c r="M6244" t="e">
        <v>#N/A</v>
      </c>
      <c r="N6244" s="1">
        <v>39264</v>
      </c>
    </row>
    <row r="6245" spans="11:14" x14ac:dyDescent="0.3">
      <c r="K6245" s="1">
        <v>39630</v>
      </c>
      <c r="M6245" t="e">
        <v>#N/A</v>
      </c>
      <c r="N6245" s="1">
        <v>39264</v>
      </c>
    </row>
    <row r="6246" spans="11:14" x14ac:dyDescent="0.3">
      <c r="K6246" s="1">
        <v>39630</v>
      </c>
      <c r="M6246" t="e">
        <v>#N/A</v>
      </c>
      <c r="N6246" s="1">
        <v>39264</v>
      </c>
    </row>
    <row r="6247" spans="11:14" x14ac:dyDescent="0.3">
      <c r="K6247" s="1">
        <v>39630</v>
      </c>
      <c r="M6247" t="e">
        <v>#N/A</v>
      </c>
      <c r="N6247" s="1">
        <v>39264</v>
      </c>
    </row>
    <row r="6248" spans="11:14" x14ac:dyDescent="0.3">
      <c r="K6248" s="1">
        <v>39630</v>
      </c>
      <c r="M6248" t="e">
        <v>#N/A</v>
      </c>
      <c r="N6248" s="1">
        <v>39264</v>
      </c>
    </row>
    <row r="6249" spans="11:14" x14ac:dyDescent="0.3">
      <c r="K6249" s="1">
        <v>39630</v>
      </c>
      <c r="M6249" t="e">
        <v>#N/A</v>
      </c>
      <c r="N6249" s="1">
        <v>39264</v>
      </c>
    </row>
    <row r="6250" spans="11:14" x14ac:dyDescent="0.3">
      <c r="K6250" s="1">
        <v>39630</v>
      </c>
      <c r="M6250" t="e">
        <v>#N/A</v>
      </c>
      <c r="N6250" s="1">
        <v>39264</v>
      </c>
    </row>
    <row r="6251" spans="11:14" x14ac:dyDescent="0.3">
      <c r="K6251" s="1">
        <v>39630</v>
      </c>
      <c r="M6251" t="e">
        <v>#N/A</v>
      </c>
      <c r="N6251" s="1">
        <v>39264</v>
      </c>
    </row>
    <row r="6252" spans="11:14" x14ac:dyDescent="0.3">
      <c r="K6252" s="1">
        <v>39722</v>
      </c>
      <c r="M6252" t="e">
        <v>#N/A</v>
      </c>
      <c r="N6252" s="1">
        <v>39264</v>
      </c>
    </row>
    <row r="6253" spans="11:14" x14ac:dyDescent="0.3">
      <c r="K6253" s="1">
        <v>39722</v>
      </c>
      <c r="M6253" t="e">
        <v>#N/A</v>
      </c>
      <c r="N6253" s="1">
        <v>39264</v>
      </c>
    </row>
    <row r="6254" spans="11:14" x14ac:dyDescent="0.3">
      <c r="K6254" s="1">
        <v>39722</v>
      </c>
      <c r="M6254" t="e">
        <v>#N/A</v>
      </c>
      <c r="N6254" s="1">
        <v>39264</v>
      </c>
    </row>
    <row r="6255" spans="11:14" x14ac:dyDescent="0.3">
      <c r="K6255" s="1">
        <v>39722</v>
      </c>
      <c r="M6255" t="e">
        <v>#N/A</v>
      </c>
      <c r="N6255" s="1">
        <v>39264</v>
      </c>
    </row>
    <row r="6256" spans="11:14" x14ac:dyDescent="0.3">
      <c r="K6256" s="1">
        <v>39722</v>
      </c>
      <c r="M6256" t="e">
        <v>#N/A</v>
      </c>
      <c r="N6256" s="1">
        <v>39264</v>
      </c>
    </row>
    <row r="6257" spans="11:14" x14ac:dyDescent="0.3">
      <c r="K6257" s="1">
        <v>39722</v>
      </c>
      <c r="M6257" t="e">
        <v>#N/A</v>
      </c>
      <c r="N6257" s="1">
        <v>39264</v>
      </c>
    </row>
    <row r="6258" spans="11:14" x14ac:dyDescent="0.3">
      <c r="K6258" s="1">
        <v>39722</v>
      </c>
      <c r="M6258" t="e">
        <v>#N/A</v>
      </c>
      <c r="N6258" s="1">
        <v>39264</v>
      </c>
    </row>
    <row r="6259" spans="11:14" x14ac:dyDescent="0.3">
      <c r="K6259" s="1">
        <v>39722</v>
      </c>
      <c r="M6259" t="e">
        <v>#N/A</v>
      </c>
      <c r="N6259" s="1">
        <v>39264</v>
      </c>
    </row>
    <row r="6260" spans="11:14" x14ac:dyDescent="0.3">
      <c r="K6260" s="1">
        <v>39722</v>
      </c>
      <c r="M6260" t="e">
        <v>#N/A</v>
      </c>
      <c r="N6260" s="1">
        <v>39264</v>
      </c>
    </row>
    <row r="6261" spans="11:14" x14ac:dyDescent="0.3">
      <c r="K6261" s="1">
        <v>39722</v>
      </c>
      <c r="M6261" t="e">
        <v>#N/A</v>
      </c>
      <c r="N6261" s="1">
        <v>39264</v>
      </c>
    </row>
    <row r="6262" spans="11:14" x14ac:dyDescent="0.3">
      <c r="K6262" s="1">
        <v>39722</v>
      </c>
      <c r="M6262" t="e">
        <v>#N/A</v>
      </c>
      <c r="N6262" s="1">
        <v>39264</v>
      </c>
    </row>
    <row r="6263" spans="11:14" x14ac:dyDescent="0.3">
      <c r="K6263" s="1">
        <v>39722</v>
      </c>
      <c r="M6263" t="e">
        <v>#N/A</v>
      </c>
      <c r="N6263" s="1">
        <v>39264</v>
      </c>
    </row>
    <row r="6264" spans="11:14" x14ac:dyDescent="0.3">
      <c r="K6264" s="1">
        <v>39722</v>
      </c>
      <c r="M6264" t="e">
        <v>#N/A</v>
      </c>
      <c r="N6264" s="1">
        <v>39264</v>
      </c>
    </row>
    <row r="6265" spans="11:14" x14ac:dyDescent="0.3">
      <c r="K6265" s="1">
        <v>39722</v>
      </c>
      <c r="M6265" t="e">
        <v>#N/A</v>
      </c>
      <c r="N6265" s="1">
        <v>39264</v>
      </c>
    </row>
    <row r="6266" spans="11:14" x14ac:dyDescent="0.3">
      <c r="K6266" s="1">
        <v>39722</v>
      </c>
      <c r="M6266" t="e">
        <v>#N/A</v>
      </c>
      <c r="N6266" s="1">
        <v>39264</v>
      </c>
    </row>
    <row r="6267" spans="11:14" x14ac:dyDescent="0.3">
      <c r="K6267" s="1">
        <v>39722</v>
      </c>
      <c r="M6267" t="e">
        <v>#N/A</v>
      </c>
      <c r="N6267" s="1">
        <v>39264</v>
      </c>
    </row>
    <row r="6268" spans="11:14" x14ac:dyDescent="0.3">
      <c r="K6268" s="1">
        <v>39722</v>
      </c>
      <c r="M6268" t="e">
        <v>#N/A</v>
      </c>
      <c r="N6268" s="1">
        <v>39264</v>
      </c>
    </row>
    <row r="6269" spans="11:14" x14ac:dyDescent="0.3">
      <c r="K6269" s="1">
        <v>39722</v>
      </c>
      <c r="M6269" t="e">
        <v>#N/A</v>
      </c>
      <c r="N6269" s="1">
        <v>39264</v>
      </c>
    </row>
    <row r="6270" spans="11:14" x14ac:dyDescent="0.3">
      <c r="K6270" s="1">
        <v>39722</v>
      </c>
      <c r="M6270" t="e">
        <v>#N/A</v>
      </c>
      <c r="N6270" s="1">
        <v>39264</v>
      </c>
    </row>
    <row r="6271" spans="11:14" x14ac:dyDescent="0.3">
      <c r="K6271" s="1">
        <v>39722</v>
      </c>
      <c r="M6271" t="e">
        <v>#N/A</v>
      </c>
      <c r="N6271" s="1">
        <v>39264</v>
      </c>
    </row>
    <row r="6272" spans="11:14" x14ac:dyDescent="0.3">
      <c r="K6272" s="1">
        <v>39722</v>
      </c>
      <c r="M6272" t="e">
        <v>#N/A</v>
      </c>
      <c r="N6272" s="1">
        <v>39264</v>
      </c>
    </row>
    <row r="6273" spans="11:14" x14ac:dyDescent="0.3">
      <c r="K6273" s="1">
        <v>39722</v>
      </c>
      <c r="M6273" t="e">
        <v>#N/A</v>
      </c>
      <c r="N6273" s="1">
        <v>39264</v>
      </c>
    </row>
    <row r="6274" spans="11:14" x14ac:dyDescent="0.3">
      <c r="K6274" s="1">
        <v>39722</v>
      </c>
      <c r="M6274" t="e">
        <v>#N/A</v>
      </c>
      <c r="N6274" s="1">
        <v>39264</v>
      </c>
    </row>
    <row r="6275" spans="11:14" x14ac:dyDescent="0.3">
      <c r="K6275" s="1">
        <v>39722</v>
      </c>
      <c r="M6275" t="e">
        <v>#N/A</v>
      </c>
      <c r="N6275" s="1">
        <v>39264</v>
      </c>
    </row>
    <row r="6276" spans="11:14" x14ac:dyDescent="0.3">
      <c r="K6276" s="1">
        <v>39722</v>
      </c>
      <c r="M6276" t="e">
        <v>#N/A</v>
      </c>
      <c r="N6276" s="1">
        <v>39264</v>
      </c>
    </row>
    <row r="6277" spans="11:14" x14ac:dyDescent="0.3">
      <c r="K6277" s="1">
        <v>39722</v>
      </c>
      <c r="M6277" t="e">
        <v>#N/A</v>
      </c>
      <c r="N6277" s="1">
        <v>39264</v>
      </c>
    </row>
    <row r="6278" spans="11:14" x14ac:dyDescent="0.3">
      <c r="K6278" s="1">
        <v>39722</v>
      </c>
      <c r="M6278" t="e">
        <v>#N/A</v>
      </c>
      <c r="N6278" s="1">
        <v>39264</v>
      </c>
    </row>
    <row r="6279" spans="11:14" x14ac:dyDescent="0.3">
      <c r="K6279" s="1">
        <v>39722</v>
      </c>
      <c r="M6279" t="e">
        <v>#N/A</v>
      </c>
      <c r="N6279" s="1">
        <v>39264</v>
      </c>
    </row>
    <row r="6280" spans="11:14" x14ac:dyDescent="0.3">
      <c r="K6280" s="1">
        <v>39722</v>
      </c>
      <c r="M6280" t="e">
        <v>#N/A</v>
      </c>
      <c r="N6280" s="1">
        <v>39264</v>
      </c>
    </row>
    <row r="6281" spans="11:14" x14ac:dyDescent="0.3">
      <c r="K6281" s="1">
        <v>39722</v>
      </c>
      <c r="M6281" t="e">
        <v>#N/A</v>
      </c>
      <c r="N6281" s="1">
        <v>39264</v>
      </c>
    </row>
    <row r="6282" spans="11:14" x14ac:dyDescent="0.3">
      <c r="K6282" s="1">
        <v>39722</v>
      </c>
      <c r="M6282" t="e">
        <v>#N/A</v>
      </c>
      <c r="N6282" s="1">
        <v>39264</v>
      </c>
    </row>
    <row r="6283" spans="11:14" x14ac:dyDescent="0.3">
      <c r="K6283" s="1">
        <v>39722</v>
      </c>
      <c r="M6283" t="e">
        <v>#N/A</v>
      </c>
      <c r="N6283" s="1">
        <v>39264</v>
      </c>
    </row>
    <row r="6284" spans="11:14" x14ac:dyDescent="0.3">
      <c r="K6284" s="1">
        <v>39722</v>
      </c>
      <c r="M6284" t="e">
        <v>#N/A</v>
      </c>
      <c r="N6284" s="1">
        <v>39264</v>
      </c>
    </row>
    <row r="6285" spans="11:14" x14ac:dyDescent="0.3">
      <c r="K6285" s="1">
        <v>39722</v>
      </c>
      <c r="M6285" t="e">
        <v>#N/A</v>
      </c>
      <c r="N6285" s="1">
        <v>39264</v>
      </c>
    </row>
    <row r="6286" spans="11:14" x14ac:dyDescent="0.3">
      <c r="K6286" s="1">
        <v>39722</v>
      </c>
      <c r="M6286" t="e">
        <v>#N/A</v>
      </c>
      <c r="N6286" s="1">
        <v>39264</v>
      </c>
    </row>
    <row r="6287" spans="11:14" x14ac:dyDescent="0.3">
      <c r="K6287" s="1">
        <v>39722</v>
      </c>
      <c r="M6287" t="e">
        <v>#N/A</v>
      </c>
      <c r="N6287" s="1">
        <v>39264</v>
      </c>
    </row>
    <row r="6288" spans="11:14" x14ac:dyDescent="0.3">
      <c r="K6288" s="1">
        <v>39722</v>
      </c>
      <c r="M6288" t="e">
        <v>#N/A</v>
      </c>
      <c r="N6288" s="1">
        <v>39264</v>
      </c>
    </row>
    <row r="6289" spans="11:14" x14ac:dyDescent="0.3">
      <c r="K6289" s="1">
        <v>39722</v>
      </c>
      <c r="M6289" t="e">
        <v>#N/A</v>
      </c>
      <c r="N6289" s="1">
        <v>39264</v>
      </c>
    </row>
    <row r="6290" spans="11:14" x14ac:dyDescent="0.3">
      <c r="K6290" s="1">
        <v>39722</v>
      </c>
      <c r="M6290" t="e">
        <v>#N/A</v>
      </c>
      <c r="N6290" s="1">
        <v>39264</v>
      </c>
    </row>
    <row r="6291" spans="11:14" x14ac:dyDescent="0.3">
      <c r="K6291" s="1">
        <v>39722</v>
      </c>
      <c r="M6291" t="e">
        <v>#N/A</v>
      </c>
      <c r="N6291" s="1">
        <v>39264</v>
      </c>
    </row>
    <row r="6292" spans="11:14" x14ac:dyDescent="0.3">
      <c r="K6292" s="1">
        <v>39722</v>
      </c>
      <c r="M6292" t="e">
        <v>#N/A</v>
      </c>
      <c r="N6292" s="1">
        <v>39264</v>
      </c>
    </row>
    <row r="6293" spans="11:14" x14ac:dyDescent="0.3">
      <c r="K6293" s="1">
        <v>39722</v>
      </c>
      <c r="M6293" t="e">
        <v>#N/A</v>
      </c>
      <c r="N6293" s="1">
        <v>39264</v>
      </c>
    </row>
    <row r="6294" spans="11:14" x14ac:dyDescent="0.3">
      <c r="K6294" s="1">
        <v>39722</v>
      </c>
      <c r="M6294" t="e">
        <v>#N/A</v>
      </c>
      <c r="N6294" s="1">
        <v>39264</v>
      </c>
    </row>
    <row r="6295" spans="11:14" x14ac:dyDescent="0.3">
      <c r="K6295" s="1">
        <v>39722</v>
      </c>
      <c r="M6295" t="e">
        <v>#N/A</v>
      </c>
      <c r="N6295" s="1">
        <v>39264</v>
      </c>
    </row>
    <row r="6296" spans="11:14" x14ac:dyDescent="0.3">
      <c r="K6296" s="1">
        <v>39722</v>
      </c>
      <c r="M6296" t="e">
        <v>#N/A</v>
      </c>
      <c r="N6296" s="1">
        <v>39264</v>
      </c>
    </row>
    <row r="6297" spans="11:14" x14ac:dyDescent="0.3">
      <c r="K6297" s="1">
        <v>39722</v>
      </c>
      <c r="M6297" t="e">
        <v>#N/A</v>
      </c>
      <c r="N6297" s="1">
        <v>39264</v>
      </c>
    </row>
    <row r="6298" spans="11:14" x14ac:dyDescent="0.3">
      <c r="K6298" s="1">
        <v>39722</v>
      </c>
      <c r="M6298" t="e">
        <v>#N/A</v>
      </c>
      <c r="N6298" s="1">
        <v>39264</v>
      </c>
    </row>
    <row r="6299" spans="11:14" x14ac:dyDescent="0.3">
      <c r="K6299" s="1">
        <v>39722</v>
      </c>
      <c r="M6299" t="e">
        <v>#N/A</v>
      </c>
      <c r="N6299" s="1">
        <v>39264</v>
      </c>
    </row>
    <row r="6300" spans="11:14" x14ac:dyDescent="0.3">
      <c r="K6300" s="1">
        <v>39722</v>
      </c>
      <c r="M6300" t="e">
        <v>#N/A</v>
      </c>
      <c r="N6300" s="1">
        <v>39264</v>
      </c>
    </row>
    <row r="6301" spans="11:14" x14ac:dyDescent="0.3">
      <c r="K6301" s="1">
        <v>39722</v>
      </c>
      <c r="M6301" t="e">
        <v>#N/A</v>
      </c>
      <c r="N6301" s="1">
        <v>39264</v>
      </c>
    </row>
    <row r="6302" spans="11:14" x14ac:dyDescent="0.3">
      <c r="K6302" s="1">
        <v>39722</v>
      </c>
      <c r="M6302" t="e">
        <v>#N/A</v>
      </c>
      <c r="N6302" s="1">
        <v>39264</v>
      </c>
    </row>
    <row r="6303" spans="11:14" x14ac:dyDescent="0.3">
      <c r="K6303" s="1">
        <v>39722</v>
      </c>
      <c r="M6303" t="e">
        <v>#N/A</v>
      </c>
      <c r="N6303" s="1">
        <v>39264</v>
      </c>
    </row>
    <row r="6304" spans="11:14" x14ac:dyDescent="0.3">
      <c r="K6304" s="1">
        <v>39722</v>
      </c>
      <c r="M6304" t="e">
        <v>#N/A</v>
      </c>
      <c r="N6304" s="1">
        <v>39264</v>
      </c>
    </row>
    <row r="6305" spans="11:14" x14ac:dyDescent="0.3">
      <c r="K6305" s="1">
        <v>39722</v>
      </c>
      <c r="M6305" t="e">
        <v>#N/A</v>
      </c>
      <c r="N6305" s="1">
        <v>39264</v>
      </c>
    </row>
    <row r="6306" spans="11:14" x14ac:dyDescent="0.3">
      <c r="K6306" s="1">
        <v>39722</v>
      </c>
      <c r="M6306" t="e">
        <v>#N/A</v>
      </c>
      <c r="N6306" s="1">
        <v>39264</v>
      </c>
    </row>
    <row r="6307" spans="11:14" x14ac:dyDescent="0.3">
      <c r="K6307" s="1">
        <v>39722</v>
      </c>
      <c r="M6307" t="e">
        <v>#N/A</v>
      </c>
      <c r="N6307" s="1">
        <v>39264</v>
      </c>
    </row>
    <row r="6308" spans="11:14" x14ac:dyDescent="0.3">
      <c r="K6308" s="1">
        <v>39722</v>
      </c>
      <c r="M6308" t="e">
        <v>#N/A</v>
      </c>
      <c r="N6308" s="1">
        <v>39264</v>
      </c>
    </row>
    <row r="6309" spans="11:14" x14ac:dyDescent="0.3">
      <c r="K6309" s="1">
        <v>39722</v>
      </c>
      <c r="M6309" t="e">
        <v>#N/A</v>
      </c>
      <c r="N6309" s="1">
        <v>39264</v>
      </c>
    </row>
    <row r="6310" spans="11:14" x14ac:dyDescent="0.3">
      <c r="K6310" s="1">
        <v>39722</v>
      </c>
      <c r="M6310" t="e">
        <v>#N/A</v>
      </c>
      <c r="N6310" s="1">
        <v>39264</v>
      </c>
    </row>
    <row r="6311" spans="11:14" x14ac:dyDescent="0.3">
      <c r="K6311" s="1">
        <v>39722</v>
      </c>
      <c r="M6311" t="e">
        <v>#N/A</v>
      </c>
      <c r="N6311" s="1">
        <v>39264</v>
      </c>
    </row>
    <row r="6312" spans="11:14" x14ac:dyDescent="0.3">
      <c r="K6312" s="1">
        <v>39722</v>
      </c>
      <c r="M6312" t="e">
        <v>#N/A</v>
      </c>
      <c r="N6312" s="1">
        <v>39264</v>
      </c>
    </row>
    <row r="6313" spans="11:14" x14ac:dyDescent="0.3">
      <c r="K6313" s="1">
        <v>39722</v>
      </c>
      <c r="M6313" t="e">
        <v>#N/A</v>
      </c>
      <c r="N6313" s="1">
        <v>39264</v>
      </c>
    </row>
    <row r="6314" spans="11:14" x14ac:dyDescent="0.3">
      <c r="K6314" s="1">
        <v>39722</v>
      </c>
      <c r="M6314" t="e">
        <v>#N/A</v>
      </c>
      <c r="N6314" s="1">
        <v>39264</v>
      </c>
    </row>
    <row r="6315" spans="11:14" x14ac:dyDescent="0.3">
      <c r="K6315" s="1">
        <v>39722</v>
      </c>
      <c r="M6315" t="e">
        <v>#N/A</v>
      </c>
      <c r="N6315" s="1">
        <v>39264</v>
      </c>
    </row>
    <row r="6316" spans="11:14" x14ac:dyDescent="0.3">
      <c r="K6316" s="1">
        <v>39722</v>
      </c>
      <c r="M6316" t="e">
        <v>#N/A</v>
      </c>
      <c r="N6316" s="1">
        <v>39264</v>
      </c>
    </row>
    <row r="6317" spans="11:14" x14ac:dyDescent="0.3">
      <c r="K6317" s="1">
        <v>39722</v>
      </c>
      <c r="M6317" t="e">
        <v>#N/A</v>
      </c>
      <c r="N6317" s="1">
        <v>39264</v>
      </c>
    </row>
    <row r="6318" spans="11:14" x14ac:dyDescent="0.3">
      <c r="K6318" s="1">
        <v>39722</v>
      </c>
      <c r="M6318" t="e">
        <v>#N/A</v>
      </c>
      <c r="N6318" s="1">
        <v>39264</v>
      </c>
    </row>
    <row r="6319" spans="11:14" x14ac:dyDescent="0.3">
      <c r="K6319" s="1">
        <v>39722</v>
      </c>
      <c r="M6319" t="e">
        <v>#N/A</v>
      </c>
      <c r="N6319" s="1">
        <v>39264</v>
      </c>
    </row>
    <row r="6320" spans="11:14" x14ac:dyDescent="0.3">
      <c r="K6320" s="1">
        <v>39722</v>
      </c>
      <c r="M6320" t="e">
        <v>#N/A</v>
      </c>
      <c r="N6320" s="1">
        <v>39264</v>
      </c>
    </row>
    <row r="6321" spans="11:14" x14ac:dyDescent="0.3">
      <c r="K6321" s="1">
        <v>39722</v>
      </c>
      <c r="M6321" t="e">
        <v>#N/A</v>
      </c>
      <c r="N6321" s="1">
        <v>39264</v>
      </c>
    </row>
    <row r="6322" spans="11:14" x14ac:dyDescent="0.3">
      <c r="K6322" s="1">
        <v>39722</v>
      </c>
      <c r="M6322" t="e">
        <v>#N/A</v>
      </c>
      <c r="N6322" s="1">
        <v>39264</v>
      </c>
    </row>
    <row r="6323" spans="11:14" x14ac:dyDescent="0.3">
      <c r="K6323" s="1">
        <v>39722</v>
      </c>
      <c r="M6323" t="e">
        <v>#N/A</v>
      </c>
      <c r="N6323" s="1">
        <v>39264</v>
      </c>
    </row>
    <row r="6324" spans="11:14" x14ac:dyDescent="0.3">
      <c r="K6324" s="1">
        <v>39722</v>
      </c>
      <c r="M6324" t="e">
        <v>#N/A</v>
      </c>
      <c r="N6324" s="1">
        <v>39264</v>
      </c>
    </row>
    <row r="6325" spans="11:14" x14ac:dyDescent="0.3">
      <c r="K6325" s="1">
        <v>39722</v>
      </c>
      <c r="M6325" t="e">
        <v>#N/A</v>
      </c>
      <c r="N6325" s="1">
        <v>39264</v>
      </c>
    </row>
    <row r="6326" spans="11:14" x14ac:dyDescent="0.3">
      <c r="K6326" s="1">
        <v>39722</v>
      </c>
      <c r="M6326" t="e">
        <v>#N/A</v>
      </c>
      <c r="N6326" s="1">
        <v>39264</v>
      </c>
    </row>
    <row r="6327" spans="11:14" x14ac:dyDescent="0.3">
      <c r="K6327" s="1">
        <v>39722</v>
      </c>
      <c r="M6327" t="e">
        <v>#N/A</v>
      </c>
      <c r="N6327" s="1">
        <v>39264</v>
      </c>
    </row>
    <row r="6328" spans="11:14" x14ac:dyDescent="0.3">
      <c r="K6328" s="1">
        <v>39722</v>
      </c>
      <c r="M6328" t="e">
        <v>#N/A</v>
      </c>
      <c r="N6328" s="1">
        <v>39264</v>
      </c>
    </row>
    <row r="6329" spans="11:14" x14ac:dyDescent="0.3">
      <c r="K6329" s="1">
        <v>39722</v>
      </c>
      <c r="M6329" t="e">
        <v>#N/A</v>
      </c>
      <c r="N6329" s="1">
        <v>39264</v>
      </c>
    </row>
    <row r="6330" spans="11:14" x14ac:dyDescent="0.3">
      <c r="K6330" s="1">
        <v>39722</v>
      </c>
      <c r="M6330" t="e">
        <v>#N/A</v>
      </c>
      <c r="N6330" s="1">
        <v>39264</v>
      </c>
    </row>
    <row r="6331" spans="11:14" x14ac:dyDescent="0.3">
      <c r="K6331" s="1">
        <v>39722</v>
      </c>
      <c r="M6331" t="e">
        <v>#N/A</v>
      </c>
      <c r="N6331" s="1">
        <v>39264</v>
      </c>
    </row>
    <row r="6332" spans="11:14" x14ac:dyDescent="0.3">
      <c r="K6332" s="1">
        <v>39722</v>
      </c>
      <c r="M6332" t="e">
        <v>#N/A</v>
      </c>
      <c r="N6332" s="1">
        <v>39264</v>
      </c>
    </row>
    <row r="6333" spans="11:14" x14ac:dyDescent="0.3">
      <c r="K6333" s="1">
        <v>39722</v>
      </c>
      <c r="M6333" t="e">
        <v>#N/A</v>
      </c>
      <c r="N6333" s="1">
        <v>39264</v>
      </c>
    </row>
    <row r="6334" spans="11:14" x14ac:dyDescent="0.3">
      <c r="K6334" s="1">
        <v>39722</v>
      </c>
      <c r="M6334" t="e">
        <v>#N/A</v>
      </c>
      <c r="N6334" s="1">
        <v>39264</v>
      </c>
    </row>
    <row r="6335" spans="11:14" x14ac:dyDescent="0.3">
      <c r="K6335" s="1">
        <v>39722</v>
      </c>
      <c r="M6335" t="e">
        <v>#N/A</v>
      </c>
      <c r="N6335" s="1">
        <v>39264</v>
      </c>
    </row>
    <row r="6336" spans="11:14" x14ac:dyDescent="0.3">
      <c r="K6336" s="1">
        <v>39722</v>
      </c>
      <c r="M6336" t="e">
        <v>#N/A</v>
      </c>
      <c r="N6336" s="1">
        <v>39264</v>
      </c>
    </row>
    <row r="6337" spans="11:14" x14ac:dyDescent="0.3">
      <c r="K6337" s="1">
        <v>39722</v>
      </c>
      <c r="M6337" t="e">
        <v>#N/A</v>
      </c>
      <c r="N6337" s="1">
        <v>39264</v>
      </c>
    </row>
    <row r="6338" spans="11:14" x14ac:dyDescent="0.3">
      <c r="K6338" s="1">
        <v>39722</v>
      </c>
      <c r="M6338" t="e">
        <v>#N/A</v>
      </c>
      <c r="N6338" s="1">
        <v>39264</v>
      </c>
    </row>
    <row r="6339" spans="11:14" x14ac:dyDescent="0.3">
      <c r="K6339" s="1">
        <v>39722</v>
      </c>
      <c r="M6339" t="e">
        <v>#N/A</v>
      </c>
      <c r="N6339" s="1">
        <v>39264</v>
      </c>
    </row>
    <row r="6340" spans="11:14" x14ac:dyDescent="0.3">
      <c r="K6340" s="1">
        <v>39722</v>
      </c>
      <c r="M6340" t="e">
        <v>#N/A</v>
      </c>
      <c r="N6340" s="1">
        <v>39264</v>
      </c>
    </row>
    <row r="6341" spans="11:14" x14ac:dyDescent="0.3">
      <c r="K6341" s="1">
        <v>39722</v>
      </c>
      <c r="M6341" t="e">
        <v>#N/A</v>
      </c>
      <c r="N6341" s="1">
        <v>39264</v>
      </c>
    </row>
    <row r="6342" spans="11:14" x14ac:dyDescent="0.3">
      <c r="K6342" s="1">
        <v>39722</v>
      </c>
      <c r="M6342" t="e">
        <v>#N/A</v>
      </c>
      <c r="N6342" s="1">
        <v>39264</v>
      </c>
    </row>
    <row r="6343" spans="11:14" x14ac:dyDescent="0.3">
      <c r="K6343" s="1">
        <v>39722</v>
      </c>
      <c r="M6343" t="e">
        <v>#N/A</v>
      </c>
      <c r="N6343" s="1">
        <v>39264</v>
      </c>
    </row>
    <row r="6344" spans="11:14" x14ac:dyDescent="0.3">
      <c r="K6344" s="1">
        <v>39722</v>
      </c>
      <c r="M6344" t="e">
        <v>#N/A</v>
      </c>
      <c r="N6344" s="1">
        <v>39264</v>
      </c>
    </row>
    <row r="6345" spans="11:14" x14ac:dyDescent="0.3">
      <c r="K6345" s="1">
        <v>39722</v>
      </c>
      <c r="M6345" t="e">
        <v>#N/A</v>
      </c>
      <c r="N6345" s="1">
        <v>39264</v>
      </c>
    </row>
    <row r="6346" spans="11:14" x14ac:dyDescent="0.3">
      <c r="K6346" s="1">
        <v>39722</v>
      </c>
      <c r="M6346" t="e">
        <v>#N/A</v>
      </c>
      <c r="N6346" s="1">
        <v>39264</v>
      </c>
    </row>
    <row r="6347" spans="11:14" x14ac:dyDescent="0.3">
      <c r="K6347" s="1">
        <v>39722</v>
      </c>
      <c r="M6347" t="e">
        <v>#N/A</v>
      </c>
      <c r="N6347" s="1">
        <v>39264</v>
      </c>
    </row>
    <row r="6348" spans="11:14" x14ac:dyDescent="0.3">
      <c r="K6348" s="1">
        <v>39722</v>
      </c>
      <c r="M6348" t="e">
        <v>#N/A</v>
      </c>
      <c r="N6348" s="1">
        <v>39264</v>
      </c>
    </row>
    <row r="6349" spans="11:14" x14ac:dyDescent="0.3">
      <c r="K6349" s="1">
        <v>39722</v>
      </c>
      <c r="M6349" t="e">
        <v>#N/A</v>
      </c>
      <c r="N6349" s="1">
        <v>39264</v>
      </c>
    </row>
    <row r="6350" spans="11:14" x14ac:dyDescent="0.3">
      <c r="K6350" s="1">
        <v>39722</v>
      </c>
      <c r="M6350" t="e">
        <v>#N/A</v>
      </c>
      <c r="N6350" s="1">
        <v>39264</v>
      </c>
    </row>
    <row r="6351" spans="11:14" x14ac:dyDescent="0.3">
      <c r="K6351" s="1">
        <v>39722</v>
      </c>
      <c r="M6351" t="e">
        <v>#N/A</v>
      </c>
      <c r="N6351" s="1">
        <v>39264</v>
      </c>
    </row>
    <row r="6352" spans="11:14" x14ac:dyDescent="0.3">
      <c r="K6352" s="1">
        <v>39722</v>
      </c>
      <c r="M6352" t="e">
        <v>#N/A</v>
      </c>
      <c r="N6352" s="1">
        <v>39264</v>
      </c>
    </row>
    <row r="6353" spans="11:14" x14ac:dyDescent="0.3">
      <c r="K6353" s="1">
        <v>39722</v>
      </c>
      <c r="M6353" t="e">
        <v>#N/A</v>
      </c>
      <c r="N6353" s="1">
        <v>39264</v>
      </c>
    </row>
    <row r="6354" spans="11:14" x14ac:dyDescent="0.3">
      <c r="K6354" s="1">
        <v>39722</v>
      </c>
      <c r="M6354" t="e">
        <v>#N/A</v>
      </c>
      <c r="N6354" s="1">
        <v>39264</v>
      </c>
    </row>
    <row r="6355" spans="11:14" x14ac:dyDescent="0.3">
      <c r="K6355" s="1">
        <v>39722</v>
      </c>
      <c r="M6355" t="e">
        <v>#N/A</v>
      </c>
      <c r="N6355" s="1">
        <v>39264</v>
      </c>
    </row>
    <row r="6356" spans="11:14" x14ac:dyDescent="0.3">
      <c r="K6356" s="1">
        <v>39722</v>
      </c>
      <c r="M6356" t="e">
        <v>#N/A</v>
      </c>
      <c r="N6356" s="1">
        <v>39356</v>
      </c>
    </row>
    <row r="6357" spans="11:14" x14ac:dyDescent="0.3">
      <c r="K6357" s="1">
        <v>39722</v>
      </c>
      <c r="M6357" t="e">
        <v>#N/A</v>
      </c>
      <c r="N6357" s="1">
        <v>39356</v>
      </c>
    </row>
    <row r="6358" spans="11:14" x14ac:dyDescent="0.3">
      <c r="K6358" s="1">
        <v>39722</v>
      </c>
      <c r="M6358" t="e">
        <v>#N/A</v>
      </c>
      <c r="N6358" s="1">
        <v>39356</v>
      </c>
    </row>
    <row r="6359" spans="11:14" x14ac:dyDescent="0.3">
      <c r="K6359" s="1">
        <v>39722</v>
      </c>
      <c r="M6359" t="e">
        <v>#N/A</v>
      </c>
      <c r="N6359" s="1">
        <v>39356</v>
      </c>
    </row>
    <row r="6360" spans="11:14" x14ac:dyDescent="0.3">
      <c r="K6360" s="1">
        <v>39722</v>
      </c>
      <c r="M6360" t="e">
        <v>#N/A</v>
      </c>
      <c r="N6360" s="1">
        <v>39356</v>
      </c>
    </row>
    <row r="6361" spans="11:14" x14ac:dyDescent="0.3">
      <c r="K6361" s="1">
        <v>39722</v>
      </c>
      <c r="M6361" t="e">
        <v>#N/A</v>
      </c>
      <c r="N6361" s="1">
        <v>39356</v>
      </c>
    </row>
    <row r="6362" spans="11:14" x14ac:dyDescent="0.3">
      <c r="K6362" s="1">
        <v>39722</v>
      </c>
      <c r="M6362" t="e">
        <v>#N/A</v>
      </c>
      <c r="N6362" s="1">
        <v>39356</v>
      </c>
    </row>
    <row r="6363" spans="11:14" x14ac:dyDescent="0.3">
      <c r="K6363" s="1">
        <v>39722</v>
      </c>
      <c r="M6363" t="e">
        <v>#N/A</v>
      </c>
      <c r="N6363" s="1">
        <v>39356</v>
      </c>
    </row>
    <row r="6364" spans="11:14" x14ac:dyDescent="0.3">
      <c r="K6364" s="1">
        <v>39722</v>
      </c>
      <c r="M6364" t="e">
        <v>#N/A</v>
      </c>
      <c r="N6364" s="1">
        <v>39356</v>
      </c>
    </row>
    <row r="6365" spans="11:14" x14ac:dyDescent="0.3">
      <c r="K6365" s="1">
        <v>39722</v>
      </c>
      <c r="M6365" t="e">
        <v>#N/A</v>
      </c>
      <c r="N6365" s="1">
        <v>39356</v>
      </c>
    </row>
    <row r="6366" spans="11:14" x14ac:dyDescent="0.3">
      <c r="K6366" s="1">
        <v>39722</v>
      </c>
      <c r="M6366" t="e">
        <v>#N/A</v>
      </c>
      <c r="N6366" s="1">
        <v>39356</v>
      </c>
    </row>
    <row r="6367" spans="11:14" x14ac:dyDescent="0.3">
      <c r="K6367" s="1">
        <v>39722</v>
      </c>
      <c r="M6367" t="e">
        <v>#N/A</v>
      </c>
      <c r="N6367" s="1">
        <v>39356</v>
      </c>
    </row>
    <row r="6368" spans="11:14" x14ac:dyDescent="0.3">
      <c r="K6368" s="1">
        <v>39722</v>
      </c>
      <c r="M6368" t="e">
        <v>#N/A</v>
      </c>
      <c r="N6368" s="1">
        <v>39356</v>
      </c>
    </row>
    <row r="6369" spans="11:14" x14ac:dyDescent="0.3">
      <c r="K6369" s="1">
        <v>39722</v>
      </c>
      <c r="M6369" t="e">
        <v>#N/A</v>
      </c>
      <c r="N6369" s="1">
        <v>39356</v>
      </c>
    </row>
    <row r="6370" spans="11:14" x14ac:dyDescent="0.3">
      <c r="K6370" s="1">
        <v>39722</v>
      </c>
      <c r="M6370" t="e">
        <v>#N/A</v>
      </c>
      <c r="N6370" s="1">
        <v>39356</v>
      </c>
    </row>
    <row r="6371" spans="11:14" x14ac:dyDescent="0.3">
      <c r="K6371" s="1">
        <v>39722</v>
      </c>
      <c r="M6371" t="e">
        <v>#N/A</v>
      </c>
      <c r="N6371" s="1">
        <v>39356</v>
      </c>
    </row>
    <row r="6372" spans="11:14" x14ac:dyDescent="0.3">
      <c r="K6372" s="1">
        <v>39722</v>
      </c>
      <c r="M6372" t="e">
        <v>#N/A</v>
      </c>
      <c r="N6372" s="1">
        <v>39356</v>
      </c>
    </row>
    <row r="6373" spans="11:14" x14ac:dyDescent="0.3">
      <c r="K6373" s="1">
        <v>39722</v>
      </c>
      <c r="M6373" t="e">
        <v>#N/A</v>
      </c>
      <c r="N6373" s="1">
        <v>39356</v>
      </c>
    </row>
    <row r="6374" spans="11:14" x14ac:dyDescent="0.3">
      <c r="K6374" s="1">
        <v>39722</v>
      </c>
      <c r="M6374" t="e">
        <v>#N/A</v>
      </c>
      <c r="N6374" s="1">
        <v>39356</v>
      </c>
    </row>
    <row r="6375" spans="11:14" x14ac:dyDescent="0.3">
      <c r="K6375" s="1">
        <v>39722</v>
      </c>
      <c r="M6375" t="e">
        <v>#N/A</v>
      </c>
      <c r="N6375" s="1">
        <v>39356</v>
      </c>
    </row>
    <row r="6376" spans="11:14" x14ac:dyDescent="0.3">
      <c r="K6376" s="1">
        <v>39722</v>
      </c>
      <c r="M6376" t="e">
        <v>#N/A</v>
      </c>
      <c r="N6376" s="1">
        <v>39356</v>
      </c>
    </row>
    <row r="6377" spans="11:14" x14ac:dyDescent="0.3">
      <c r="K6377" s="1">
        <v>39722</v>
      </c>
      <c r="M6377" t="e">
        <v>#N/A</v>
      </c>
      <c r="N6377" s="1">
        <v>39356</v>
      </c>
    </row>
    <row r="6378" spans="11:14" x14ac:dyDescent="0.3">
      <c r="K6378" s="1">
        <v>39722</v>
      </c>
      <c r="M6378" t="e">
        <v>#N/A</v>
      </c>
      <c r="N6378" s="1">
        <v>39356</v>
      </c>
    </row>
    <row r="6379" spans="11:14" x14ac:dyDescent="0.3">
      <c r="K6379" s="1">
        <v>39722</v>
      </c>
      <c r="M6379" t="e">
        <v>#N/A</v>
      </c>
      <c r="N6379" s="1">
        <v>39356</v>
      </c>
    </row>
    <row r="6380" spans="11:14" x14ac:dyDescent="0.3">
      <c r="K6380" s="1">
        <v>39722</v>
      </c>
      <c r="M6380" t="e">
        <v>#N/A</v>
      </c>
      <c r="N6380" s="1">
        <v>39356</v>
      </c>
    </row>
    <row r="6381" spans="11:14" x14ac:dyDescent="0.3">
      <c r="K6381" s="1">
        <v>39722</v>
      </c>
      <c r="M6381" t="e">
        <v>#N/A</v>
      </c>
      <c r="N6381" s="1">
        <v>39356</v>
      </c>
    </row>
    <row r="6382" spans="11:14" x14ac:dyDescent="0.3">
      <c r="K6382" s="1">
        <v>39722</v>
      </c>
      <c r="M6382" t="e">
        <v>#N/A</v>
      </c>
      <c r="N6382" s="1">
        <v>39356</v>
      </c>
    </row>
    <row r="6383" spans="11:14" x14ac:dyDescent="0.3">
      <c r="K6383" s="1">
        <v>39722</v>
      </c>
      <c r="M6383" t="e">
        <v>#N/A</v>
      </c>
      <c r="N6383" s="1">
        <v>39356</v>
      </c>
    </row>
    <row r="6384" spans="11:14" x14ac:dyDescent="0.3">
      <c r="K6384" s="1">
        <v>39722</v>
      </c>
      <c r="M6384" t="e">
        <v>#N/A</v>
      </c>
      <c r="N6384" s="1">
        <v>39356</v>
      </c>
    </row>
    <row r="6385" spans="11:14" x14ac:dyDescent="0.3">
      <c r="K6385" s="1">
        <v>39722</v>
      </c>
      <c r="M6385" t="e">
        <v>#N/A</v>
      </c>
      <c r="N6385" s="1">
        <v>39356</v>
      </c>
    </row>
    <row r="6386" spans="11:14" x14ac:dyDescent="0.3">
      <c r="K6386" s="1">
        <v>39722</v>
      </c>
      <c r="M6386" t="e">
        <v>#N/A</v>
      </c>
      <c r="N6386" s="1">
        <v>39356</v>
      </c>
    </row>
    <row r="6387" spans="11:14" x14ac:dyDescent="0.3">
      <c r="K6387" s="1">
        <v>39722</v>
      </c>
      <c r="M6387" t="e">
        <v>#N/A</v>
      </c>
      <c r="N6387" s="1">
        <v>39356</v>
      </c>
    </row>
    <row r="6388" spans="11:14" x14ac:dyDescent="0.3">
      <c r="K6388" s="1">
        <v>39722</v>
      </c>
      <c r="M6388" t="e">
        <v>#N/A</v>
      </c>
      <c r="N6388" s="1">
        <v>39356</v>
      </c>
    </row>
    <row r="6389" spans="11:14" x14ac:dyDescent="0.3">
      <c r="K6389" s="1">
        <v>39722</v>
      </c>
      <c r="M6389" t="e">
        <v>#N/A</v>
      </c>
      <c r="N6389" s="1">
        <v>39356</v>
      </c>
    </row>
    <row r="6390" spans="11:14" x14ac:dyDescent="0.3">
      <c r="K6390" s="1">
        <v>39722</v>
      </c>
      <c r="M6390" t="e">
        <v>#N/A</v>
      </c>
      <c r="N6390" s="1">
        <v>39356</v>
      </c>
    </row>
    <row r="6391" spans="11:14" x14ac:dyDescent="0.3">
      <c r="K6391" s="1">
        <v>39722</v>
      </c>
      <c r="M6391" t="e">
        <v>#N/A</v>
      </c>
      <c r="N6391" s="1">
        <v>39356</v>
      </c>
    </row>
    <row r="6392" spans="11:14" x14ac:dyDescent="0.3">
      <c r="K6392" s="1">
        <v>39722</v>
      </c>
      <c r="M6392" t="e">
        <v>#N/A</v>
      </c>
      <c r="N6392" s="1">
        <v>39356</v>
      </c>
    </row>
    <row r="6393" spans="11:14" x14ac:dyDescent="0.3">
      <c r="K6393" s="1">
        <v>39722</v>
      </c>
      <c r="M6393" t="e">
        <v>#N/A</v>
      </c>
      <c r="N6393" s="1">
        <v>39356</v>
      </c>
    </row>
    <row r="6394" spans="11:14" x14ac:dyDescent="0.3">
      <c r="K6394" s="1">
        <v>39722</v>
      </c>
      <c r="M6394" t="e">
        <v>#N/A</v>
      </c>
      <c r="N6394" s="1">
        <v>39356</v>
      </c>
    </row>
    <row r="6395" spans="11:14" x14ac:dyDescent="0.3">
      <c r="K6395" s="1">
        <v>39722</v>
      </c>
      <c r="M6395" t="e">
        <v>#N/A</v>
      </c>
      <c r="N6395" s="1">
        <v>39356</v>
      </c>
    </row>
    <row r="6396" spans="11:14" x14ac:dyDescent="0.3">
      <c r="K6396" s="1">
        <v>39722</v>
      </c>
      <c r="M6396" t="e">
        <v>#N/A</v>
      </c>
      <c r="N6396" s="1">
        <v>39356</v>
      </c>
    </row>
    <row r="6397" spans="11:14" x14ac:dyDescent="0.3">
      <c r="K6397" s="1">
        <v>39722</v>
      </c>
      <c r="M6397" t="e">
        <v>#N/A</v>
      </c>
      <c r="N6397" s="1">
        <v>39356</v>
      </c>
    </row>
    <row r="6398" spans="11:14" x14ac:dyDescent="0.3">
      <c r="K6398" s="1">
        <v>39722</v>
      </c>
      <c r="M6398" t="e">
        <v>#N/A</v>
      </c>
      <c r="N6398" s="1">
        <v>39356</v>
      </c>
    </row>
    <row r="6399" spans="11:14" x14ac:dyDescent="0.3">
      <c r="K6399" s="1">
        <v>39722</v>
      </c>
      <c r="M6399" t="e">
        <v>#N/A</v>
      </c>
      <c r="N6399" s="1">
        <v>39356</v>
      </c>
    </row>
    <row r="6400" spans="11:14" x14ac:dyDescent="0.3">
      <c r="K6400" s="1">
        <v>39722</v>
      </c>
      <c r="M6400" t="e">
        <v>#N/A</v>
      </c>
      <c r="N6400" s="1">
        <v>39356</v>
      </c>
    </row>
    <row r="6401" spans="11:14" x14ac:dyDescent="0.3">
      <c r="K6401" s="1">
        <v>39722</v>
      </c>
      <c r="M6401" t="e">
        <v>#N/A</v>
      </c>
      <c r="N6401" s="1">
        <v>39356</v>
      </c>
    </row>
    <row r="6402" spans="11:14" x14ac:dyDescent="0.3">
      <c r="K6402" s="1">
        <v>39722</v>
      </c>
      <c r="M6402" t="e">
        <v>#N/A</v>
      </c>
      <c r="N6402" s="1">
        <v>39356</v>
      </c>
    </row>
    <row r="6403" spans="11:14" x14ac:dyDescent="0.3">
      <c r="K6403" s="1">
        <v>39722</v>
      </c>
      <c r="M6403" t="e">
        <v>#N/A</v>
      </c>
      <c r="N6403" s="1">
        <v>39356</v>
      </c>
    </row>
    <row r="6404" spans="11:14" x14ac:dyDescent="0.3">
      <c r="K6404" s="1">
        <v>39722</v>
      </c>
      <c r="M6404" t="e">
        <v>#N/A</v>
      </c>
      <c r="N6404" s="1">
        <v>39356</v>
      </c>
    </row>
    <row r="6405" spans="11:14" x14ac:dyDescent="0.3">
      <c r="K6405" s="1">
        <v>39722</v>
      </c>
      <c r="M6405" t="e">
        <v>#N/A</v>
      </c>
      <c r="N6405" s="1">
        <v>39356</v>
      </c>
    </row>
    <row r="6406" spans="11:14" x14ac:dyDescent="0.3">
      <c r="K6406" s="1">
        <v>39722</v>
      </c>
      <c r="M6406" t="e">
        <v>#N/A</v>
      </c>
      <c r="N6406" s="1">
        <v>39356</v>
      </c>
    </row>
    <row r="6407" spans="11:14" x14ac:dyDescent="0.3">
      <c r="K6407" s="1">
        <v>39722</v>
      </c>
      <c r="M6407" t="e">
        <v>#N/A</v>
      </c>
      <c r="N6407" s="1">
        <v>39356</v>
      </c>
    </row>
    <row r="6408" spans="11:14" x14ac:dyDescent="0.3">
      <c r="K6408" s="1">
        <v>39722</v>
      </c>
      <c r="M6408" t="e">
        <v>#N/A</v>
      </c>
      <c r="N6408" s="1">
        <v>39356</v>
      </c>
    </row>
    <row r="6409" spans="11:14" x14ac:dyDescent="0.3">
      <c r="K6409" s="1">
        <v>39722</v>
      </c>
      <c r="M6409" t="e">
        <v>#N/A</v>
      </c>
      <c r="N6409" s="1">
        <v>39356</v>
      </c>
    </row>
    <row r="6410" spans="11:14" x14ac:dyDescent="0.3">
      <c r="K6410" s="1">
        <v>39722</v>
      </c>
      <c r="M6410" t="e">
        <v>#N/A</v>
      </c>
      <c r="N6410" s="1">
        <v>39356</v>
      </c>
    </row>
    <row r="6411" spans="11:14" x14ac:dyDescent="0.3">
      <c r="K6411" s="1">
        <v>39722</v>
      </c>
      <c r="M6411" t="e">
        <v>#N/A</v>
      </c>
      <c r="N6411" s="1">
        <v>39356</v>
      </c>
    </row>
    <row r="6412" spans="11:14" x14ac:dyDescent="0.3">
      <c r="K6412" s="1">
        <v>39722</v>
      </c>
      <c r="M6412" t="e">
        <v>#N/A</v>
      </c>
      <c r="N6412" s="1">
        <v>39356</v>
      </c>
    </row>
    <row r="6413" spans="11:14" x14ac:dyDescent="0.3">
      <c r="K6413" s="1">
        <v>39722</v>
      </c>
      <c r="M6413" t="e">
        <v>#N/A</v>
      </c>
      <c r="N6413" s="1">
        <v>39356</v>
      </c>
    </row>
    <row r="6414" spans="11:14" x14ac:dyDescent="0.3">
      <c r="K6414" s="1">
        <v>39722</v>
      </c>
      <c r="M6414" t="e">
        <v>#N/A</v>
      </c>
      <c r="N6414" s="1">
        <v>39356</v>
      </c>
    </row>
    <row r="6415" spans="11:14" x14ac:dyDescent="0.3">
      <c r="K6415" s="1">
        <v>39722</v>
      </c>
      <c r="M6415" t="e">
        <v>#N/A</v>
      </c>
      <c r="N6415" s="1">
        <v>39356</v>
      </c>
    </row>
    <row r="6416" spans="11:14" x14ac:dyDescent="0.3">
      <c r="K6416" s="1">
        <v>39722</v>
      </c>
      <c r="M6416" t="e">
        <v>#N/A</v>
      </c>
      <c r="N6416" s="1">
        <v>39356</v>
      </c>
    </row>
    <row r="6417" spans="11:14" x14ac:dyDescent="0.3">
      <c r="K6417" s="1">
        <v>39722</v>
      </c>
      <c r="M6417" t="e">
        <v>#N/A</v>
      </c>
      <c r="N6417" s="1">
        <v>39356</v>
      </c>
    </row>
    <row r="6418" spans="11:14" x14ac:dyDescent="0.3">
      <c r="K6418" s="1">
        <v>39722</v>
      </c>
      <c r="M6418" t="e">
        <v>#N/A</v>
      </c>
      <c r="N6418" s="1">
        <v>39356</v>
      </c>
    </row>
    <row r="6419" spans="11:14" x14ac:dyDescent="0.3">
      <c r="K6419" s="1">
        <v>39722</v>
      </c>
      <c r="M6419" t="e">
        <v>#N/A</v>
      </c>
      <c r="N6419" s="1">
        <v>39356</v>
      </c>
    </row>
    <row r="6420" spans="11:14" x14ac:dyDescent="0.3">
      <c r="K6420" s="1">
        <v>39722</v>
      </c>
      <c r="M6420" t="e">
        <v>#N/A</v>
      </c>
      <c r="N6420" s="1">
        <v>39356</v>
      </c>
    </row>
    <row r="6421" spans="11:14" x14ac:dyDescent="0.3">
      <c r="K6421" s="1">
        <v>39722</v>
      </c>
      <c r="M6421" t="e">
        <v>#N/A</v>
      </c>
      <c r="N6421" s="1">
        <v>39356</v>
      </c>
    </row>
    <row r="6422" spans="11:14" x14ac:dyDescent="0.3">
      <c r="K6422" s="1">
        <v>39722</v>
      </c>
      <c r="M6422" t="e">
        <v>#N/A</v>
      </c>
      <c r="N6422" s="1">
        <v>39356</v>
      </c>
    </row>
    <row r="6423" spans="11:14" x14ac:dyDescent="0.3">
      <c r="K6423" s="1">
        <v>39722</v>
      </c>
      <c r="M6423" t="e">
        <v>#N/A</v>
      </c>
      <c r="N6423" s="1">
        <v>39356</v>
      </c>
    </row>
    <row r="6424" spans="11:14" x14ac:dyDescent="0.3">
      <c r="K6424" s="1">
        <v>39722</v>
      </c>
      <c r="M6424" t="e">
        <v>#N/A</v>
      </c>
      <c r="N6424" s="1">
        <v>39356</v>
      </c>
    </row>
    <row r="6425" spans="11:14" x14ac:dyDescent="0.3">
      <c r="K6425" s="1">
        <v>39722</v>
      </c>
      <c r="M6425" t="e">
        <v>#N/A</v>
      </c>
      <c r="N6425" s="1">
        <v>39356</v>
      </c>
    </row>
    <row r="6426" spans="11:14" x14ac:dyDescent="0.3">
      <c r="K6426" s="1">
        <v>39722</v>
      </c>
      <c r="M6426" t="e">
        <v>#N/A</v>
      </c>
      <c r="N6426" s="1">
        <v>39356</v>
      </c>
    </row>
    <row r="6427" spans="11:14" x14ac:dyDescent="0.3">
      <c r="K6427" s="1">
        <v>39722</v>
      </c>
      <c r="M6427" t="e">
        <v>#N/A</v>
      </c>
      <c r="N6427" s="1">
        <v>39356</v>
      </c>
    </row>
    <row r="6428" spans="11:14" x14ac:dyDescent="0.3">
      <c r="K6428" s="1">
        <v>39722</v>
      </c>
      <c r="M6428" t="e">
        <v>#N/A</v>
      </c>
      <c r="N6428" s="1">
        <v>39356</v>
      </c>
    </row>
    <row r="6429" spans="11:14" x14ac:dyDescent="0.3">
      <c r="K6429" s="1">
        <v>39722</v>
      </c>
      <c r="M6429" t="e">
        <v>#N/A</v>
      </c>
      <c r="N6429" s="1">
        <v>39356</v>
      </c>
    </row>
    <row r="6430" spans="11:14" x14ac:dyDescent="0.3">
      <c r="K6430" s="1">
        <v>39722</v>
      </c>
      <c r="M6430" t="e">
        <v>#N/A</v>
      </c>
      <c r="N6430" s="1">
        <v>39356</v>
      </c>
    </row>
    <row r="6431" spans="11:14" x14ac:dyDescent="0.3">
      <c r="K6431" s="1">
        <v>39722</v>
      </c>
      <c r="M6431" t="e">
        <v>#N/A</v>
      </c>
      <c r="N6431" s="1">
        <v>39356</v>
      </c>
    </row>
    <row r="6432" spans="11:14" x14ac:dyDescent="0.3">
      <c r="K6432" s="1">
        <v>39722</v>
      </c>
      <c r="M6432" t="e">
        <v>#N/A</v>
      </c>
      <c r="N6432" s="1">
        <v>39356</v>
      </c>
    </row>
    <row r="6433" spans="11:14" x14ac:dyDescent="0.3">
      <c r="K6433" s="1">
        <v>39722</v>
      </c>
      <c r="M6433" t="e">
        <v>#N/A</v>
      </c>
      <c r="N6433" s="1">
        <v>39356</v>
      </c>
    </row>
    <row r="6434" spans="11:14" x14ac:dyDescent="0.3">
      <c r="K6434" s="1">
        <v>39722</v>
      </c>
      <c r="M6434" t="e">
        <v>#N/A</v>
      </c>
      <c r="N6434" s="1">
        <v>39356</v>
      </c>
    </row>
    <row r="6435" spans="11:14" x14ac:dyDescent="0.3">
      <c r="K6435" s="1">
        <v>39722</v>
      </c>
      <c r="M6435" t="e">
        <v>#N/A</v>
      </c>
      <c r="N6435" s="1">
        <v>39356</v>
      </c>
    </row>
    <row r="6436" spans="11:14" x14ac:dyDescent="0.3">
      <c r="K6436" s="1">
        <v>39722</v>
      </c>
      <c r="M6436" t="e">
        <v>#N/A</v>
      </c>
      <c r="N6436" s="1">
        <v>39356</v>
      </c>
    </row>
    <row r="6437" spans="11:14" x14ac:dyDescent="0.3">
      <c r="K6437" s="1">
        <v>39722</v>
      </c>
      <c r="M6437" t="e">
        <v>#N/A</v>
      </c>
      <c r="N6437" s="1">
        <v>39356</v>
      </c>
    </row>
    <row r="6438" spans="11:14" x14ac:dyDescent="0.3">
      <c r="K6438" s="1">
        <v>39722</v>
      </c>
      <c r="M6438" t="e">
        <v>#N/A</v>
      </c>
      <c r="N6438" s="1">
        <v>39356</v>
      </c>
    </row>
    <row r="6439" spans="11:14" x14ac:dyDescent="0.3">
      <c r="K6439" s="1">
        <v>39722</v>
      </c>
      <c r="M6439" t="e">
        <v>#N/A</v>
      </c>
      <c r="N6439" s="1">
        <v>39356</v>
      </c>
    </row>
    <row r="6440" spans="11:14" x14ac:dyDescent="0.3">
      <c r="K6440" s="1">
        <v>39722</v>
      </c>
      <c r="M6440" t="e">
        <v>#N/A</v>
      </c>
      <c r="N6440" s="1">
        <v>39356</v>
      </c>
    </row>
    <row r="6441" spans="11:14" x14ac:dyDescent="0.3">
      <c r="K6441" s="1">
        <v>39722</v>
      </c>
      <c r="M6441" t="e">
        <v>#N/A</v>
      </c>
      <c r="N6441" s="1">
        <v>39356</v>
      </c>
    </row>
    <row r="6442" spans="11:14" x14ac:dyDescent="0.3">
      <c r="K6442" s="1">
        <v>39722</v>
      </c>
      <c r="M6442" t="e">
        <v>#N/A</v>
      </c>
      <c r="N6442" s="1">
        <v>39356</v>
      </c>
    </row>
    <row r="6443" spans="11:14" x14ac:dyDescent="0.3">
      <c r="K6443" s="1">
        <v>39722</v>
      </c>
      <c r="M6443" t="e">
        <v>#N/A</v>
      </c>
      <c r="N6443" s="1">
        <v>39356</v>
      </c>
    </row>
    <row r="6444" spans="11:14" x14ac:dyDescent="0.3">
      <c r="K6444" s="1">
        <v>39722</v>
      </c>
      <c r="M6444" t="e">
        <v>#N/A</v>
      </c>
      <c r="N6444" s="1">
        <v>39356</v>
      </c>
    </row>
    <row r="6445" spans="11:14" x14ac:dyDescent="0.3">
      <c r="K6445" s="1">
        <v>39722</v>
      </c>
      <c r="M6445" t="e">
        <v>#N/A</v>
      </c>
      <c r="N6445" s="1">
        <v>39356</v>
      </c>
    </row>
    <row r="6446" spans="11:14" x14ac:dyDescent="0.3">
      <c r="K6446" s="1">
        <v>39722</v>
      </c>
      <c r="M6446" t="e">
        <v>#N/A</v>
      </c>
      <c r="N6446" s="1">
        <v>39356</v>
      </c>
    </row>
    <row r="6447" spans="11:14" x14ac:dyDescent="0.3">
      <c r="K6447" s="1">
        <v>39722</v>
      </c>
      <c r="M6447" t="e">
        <v>#N/A</v>
      </c>
      <c r="N6447" s="1">
        <v>39356</v>
      </c>
    </row>
    <row r="6448" spans="11:14" x14ac:dyDescent="0.3">
      <c r="K6448" s="1">
        <v>39722</v>
      </c>
      <c r="M6448" t="e">
        <v>#N/A</v>
      </c>
      <c r="N6448" s="1">
        <v>39356</v>
      </c>
    </row>
    <row r="6449" spans="11:14" x14ac:dyDescent="0.3">
      <c r="K6449" s="1">
        <v>39722</v>
      </c>
      <c r="M6449" t="e">
        <v>#N/A</v>
      </c>
      <c r="N6449" s="1">
        <v>39356</v>
      </c>
    </row>
    <row r="6450" spans="11:14" x14ac:dyDescent="0.3">
      <c r="K6450" s="1">
        <v>39722</v>
      </c>
      <c r="M6450" t="e">
        <v>#N/A</v>
      </c>
      <c r="N6450" s="1">
        <v>39356</v>
      </c>
    </row>
    <row r="6451" spans="11:14" x14ac:dyDescent="0.3">
      <c r="K6451" s="1">
        <v>39722</v>
      </c>
      <c r="M6451" t="e">
        <v>#N/A</v>
      </c>
      <c r="N6451" s="1">
        <v>39356</v>
      </c>
    </row>
    <row r="6452" spans="11:14" x14ac:dyDescent="0.3">
      <c r="K6452" s="1">
        <v>39722</v>
      </c>
      <c r="M6452" t="e">
        <v>#N/A</v>
      </c>
      <c r="N6452" s="1">
        <v>39356</v>
      </c>
    </row>
    <row r="6453" spans="11:14" x14ac:dyDescent="0.3">
      <c r="K6453" s="1">
        <v>39722</v>
      </c>
      <c r="M6453" t="e">
        <v>#N/A</v>
      </c>
      <c r="N6453" s="1">
        <v>39356</v>
      </c>
    </row>
    <row r="6454" spans="11:14" x14ac:dyDescent="0.3">
      <c r="K6454" s="1">
        <v>39722</v>
      </c>
      <c r="M6454" t="e">
        <v>#N/A</v>
      </c>
      <c r="N6454" s="1">
        <v>39356</v>
      </c>
    </row>
    <row r="6455" spans="11:14" x14ac:dyDescent="0.3">
      <c r="K6455" s="1">
        <v>39722</v>
      </c>
      <c r="M6455" t="e">
        <v>#N/A</v>
      </c>
      <c r="N6455" s="1">
        <v>39356</v>
      </c>
    </row>
    <row r="6456" spans="11:14" x14ac:dyDescent="0.3">
      <c r="K6456" s="1">
        <v>39722</v>
      </c>
      <c r="M6456" t="e">
        <v>#N/A</v>
      </c>
      <c r="N6456" s="1">
        <v>39356</v>
      </c>
    </row>
    <row r="6457" spans="11:14" x14ac:dyDescent="0.3">
      <c r="K6457" s="1">
        <v>39722</v>
      </c>
      <c r="M6457" t="e">
        <v>#N/A</v>
      </c>
      <c r="N6457" s="1">
        <v>39356</v>
      </c>
    </row>
    <row r="6458" spans="11:14" x14ac:dyDescent="0.3">
      <c r="K6458" s="1">
        <v>39722</v>
      </c>
      <c r="M6458" t="e">
        <v>#N/A</v>
      </c>
      <c r="N6458" s="1">
        <v>39356</v>
      </c>
    </row>
    <row r="6459" spans="11:14" x14ac:dyDescent="0.3">
      <c r="K6459" s="1">
        <v>39722</v>
      </c>
      <c r="M6459" t="e">
        <v>#N/A</v>
      </c>
      <c r="N6459" s="1">
        <v>39356</v>
      </c>
    </row>
    <row r="6460" spans="11:14" x14ac:dyDescent="0.3">
      <c r="K6460" s="1">
        <v>39722</v>
      </c>
      <c r="M6460" t="e">
        <v>#N/A</v>
      </c>
      <c r="N6460" s="1">
        <v>39356</v>
      </c>
    </row>
    <row r="6461" spans="11:14" x14ac:dyDescent="0.3">
      <c r="K6461" s="1">
        <v>39722</v>
      </c>
      <c r="M6461" t="e">
        <v>#N/A</v>
      </c>
      <c r="N6461" s="1">
        <v>39356</v>
      </c>
    </row>
    <row r="6462" spans="11:14" x14ac:dyDescent="0.3">
      <c r="K6462" s="1">
        <v>39722</v>
      </c>
      <c r="M6462" t="e">
        <v>#N/A</v>
      </c>
      <c r="N6462" s="1">
        <v>39356</v>
      </c>
    </row>
    <row r="6463" spans="11:14" x14ac:dyDescent="0.3">
      <c r="K6463" s="1">
        <v>39722</v>
      </c>
      <c r="M6463" t="e">
        <v>#N/A</v>
      </c>
      <c r="N6463" s="1">
        <v>39356</v>
      </c>
    </row>
    <row r="6464" spans="11:14" x14ac:dyDescent="0.3">
      <c r="K6464" s="1">
        <v>39722</v>
      </c>
      <c r="M6464" t="e">
        <v>#N/A</v>
      </c>
      <c r="N6464" s="1">
        <v>39356</v>
      </c>
    </row>
    <row r="6465" spans="11:14" x14ac:dyDescent="0.3">
      <c r="K6465" s="1">
        <v>39722</v>
      </c>
      <c r="M6465" t="e">
        <v>#N/A</v>
      </c>
      <c r="N6465" s="1">
        <v>39356</v>
      </c>
    </row>
    <row r="6466" spans="11:14" x14ac:dyDescent="0.3">
      <c r="K6466" s="1">
        <v>39722</v>
      </c>
      <c r="M6466" t="e">
        <v>#N/A</v>
      </c>
      <c r="N6466" s="1">
        <v>39356</v>
      </c>
    </row>
    <row r="6467" spans="11:14" x14ac:dyDescent="0.3">
      <c r="K6467" s="1">
        <v>39722</v>
      </c>
      <c r="M6467" t="e">
        <v>#N/A</v>
      </c>
      <c r="N6467" s="1">
        <v>39356</v>
      </c>
    </row>
    <row r="6468" spans="11:14" x14ac:dyDescent="0.3">
      <c r="K6468" s="1">
        <v>39722</v>
      </c>
      <c r="M6468" t="e">
        <v>#N/A</v>
      </c>
      <c r="N6468" s="1">
        <v>39356</v>
      </c>
    </row>
    <row r="6469" spans="11:14" x14ac:dyDescent="0.3">
      <c r="K6469" s="1">
        <v>39722</v>
      </c>
      <c r="M6469" t="e">
        <v>#N/A</v>
      </c>
      <c r="N6469" s="1">
        <v>39356</v>
      </c>
    </row>
    <row r="6470" spans="11:14" x14ac:dyDescent="0.3">
      <c r="K6470" s="1">
        <v>39722</v>
      </c>
      <c r="M6470" t="e">
        <v>#N/A</v>
      </c>
      <c r="N6470" s="1">
        <v>39356</v>
      </c>
    </row>
    <row r="6471" spans="11:14" x14ac:dyDescent="0.3">
      <c r="K6471" s="1">
        <v>39722</v>
      </c>
      <c r="M6471" t="e">
        <v>#N/A</v>
      </c>
      <c r="N6471" s="1">
        <v>39356</v>
      </c>
    </row>
    <row r="6472" spans="11:14" x14ac:dyDescent="0.3">
      <c r="K6472" s="1">
        <v>39722</v>
      </c>
      <c r="M6472" t="e">
        <v>#N/A</v>
      </c>
      <c r="N6472" s="1">
        <v>39356</v>
      </c>
    </row>
    <row r="6473" spans="11:14" x14ac:dyDescent="0.3">
      <c r="K6473" s="1">
        <v>39722</v>
      </c>
      <c r="M6473" t="e">
        <v>#N/A</v>
      </c>
      <c r="N6473" s="1">
        <v>39356</v>
      </c>
    </row>
    <row r="6474" spans="11:14" x14ac:dyDescent="0.3">
      <c r="K6474" s="1">
        <v>39722</v>
      </c>
      <c r="M6474" t="e">
        <v>#N/A</v>
      </c>
      <c r="N6474" s="1">
        <v>39356</v>
      </c>
    </row>
    <row r="6475" spans="11:14" x14ac:dyDescent="0.3">
      <c r="K6475" s="1">
        <v>39722</v>
      </c>
      <c r="M6475" t="e">
        <v>#N/A</v>
      </c>
      <c r="N6475" s="1">
        <v>39356</v>
      </c>
    </row>
    <row r="6476" spans="11:14" x14ac:dyDescent="0.3">
      <c r="K6476" s="1">
        <v>39722</v>
      </c>
      <c r="M6476" t="e">
        <v>#N/A</v>
      </c>
      <c r="N6476" s="1">
        <v>39356</v>
      </c>
    </row>
    <row r="6477" spans="11:14" x14ac:dyDescent="0.3">
      <c r="K6477" s="1">
        <v>39722</v>
      </c>
      <c r="M6477" t="e">
        <v>#N/A</v>
      </c>
      <c r="N6477" s="1">
        <v>39356</v>
      </c>
    </row>
    <row r="6478" spans="11:14" x14ac:dyDescent="0.3">
      <c r="K6478" s="1">
        <v>39722</v>
      </c>
      <c r="M6478" t="e">
        <v>#N/A</v>
      </c>
      <c r="N6478" s="1">
        <v>39356</v>
      </c>
    </row>
    <row r="6479" spans="11:14" x14ac:dyDescent="0.3">
      <c r="K6479" s="1">
        <v>39722</v>
      </c>
      <c r="M6479" t="e">
        <v>#N/A</v>
      </c>
      <c r="N6479" s="1">
        <v>39356</v>
      </c>
    </row>
    <row r="6480" spans="11:14" x14ac:dyDescent="0.3">
      <c r="K6480" s="1">
        <v>39722</v>
      </c>
      <c r="M6480" t="e">
        <v>#N/A</v>
      </c>
      <c r="N6480" s="1">
        <v>39356</v>
      </c>
    </row>
    <row r="6481" spans="11:14" x14ac:dyDescent="0.3">
      <c r="K6481" s="1">
        <v>39722</v>
      </c>
      <c r="M6481" t="e">
        <v>#N/A</v>
      </c>
      <c r="N6481" s="1">
        <v>39356</v>
      </c>
    </row>
    <row r="6482" spans="11:14" x14ac:dyDescent="0.3">
      <c r="K6482" s="1">
        <v>39722</v>
      </c>
      <c r="M6482" t="e">
        <v>#N/A</v>
      </c>
      <c r="N6482" s="1">
        <v>39356</v>
      </c>
    </row>
    <row r="6483" spans="11:14" x14ac:dyDescent="0.3">
      <c r="K6483" s="1">
        <v>39722</v>
      </c>
      <c r="M6483" t="e">
        <v>#N/A</v>
      </c>
      <c r="N6483" s="1">
        <v>39356</v>
      </c>
    </row>
    <row r="6484" spans="11:14" x14ac:dyDescent="0.3">
      <c r="K6484" s="1">
        <v>39722</v>
      </c>
      <c r="M6484" t="e">
        <v>#N/A</v>
      </c>
      <c r="N6484" s="1">
        <v>39356</v>
      </c>
    </row>
    <row r="6485" spans="11:14" x14ac:dyDescent="0.3">
      <c r="K6485" s="1">
        <v>39722</v>
      </c>
      <c r="M6485" t="e">
        <v>#N/A</v>
      </c>
      <c r="N6485" s="1">
        <v>39356</v>
      </c>
    </row>
    <row r="6486" spans="11:14" x14ac:dyDescent="0.3">
      <c r="K6486" s="1">
        <v>39722</v>
      </c>
      <c r="M6486" t="e">
        <v>#N/A</v>
      </c>
      <c r="N6486" s="1">
        <v>39356</v>
      </c>
    </row>
    <row r="6487" spans="11:14" x14ac:dyDescent="0.3">
      <c r="K6487" s="1">
        <v>39722</v>
      </c>
      <c r="M6487" t="e">
        <v>#N/A</v>
      </c>
      <c r="N6487" s="1">
        <v>39356</v>
      </c>
    </row>
    <row r="6488" spans="11:14" x14ac:dyDescent="0.3">
      <c r="K6488" s="1">
        <v>39722</v>
      </c>
      <c r="M6488" t="e">
        <v>#N/A</v>
      </c>
      <c r="N6488" s="1">
        <v>39356</v>
      </c>
    </row>
    <row r="6489" spans="11:14" x14ac:dyDescent="0.3">
      <c r="K6489" s="1">
        <v>39722</v>
      </c>
      <c r="M6489" t="e">
        <v>#N/A</v>
      </c>
      <c r="N6489" s="1">
        <v>39356</v>
      </c>
    </row>
    <row r="6490" spans="11:14" x14ac:dyDescent="0.3">
      <c r="K6490" s="1">
        <v>39722</v>
      </c>
      <c r="M6490" t="e">
        <v>#N/A</v>
      </c>
      <c r="N6490" s="1">
        <v>39356</v>
      </c>
    </row>
    <row r="6491" spans="11:14" x14ac:dyDescent="0.3">
      <c r="K6491" s="1">
        <v>39722</v>
      </c>
      <c r="M6491" t="e">
        <v>#N/A</v>
      </c>
      <c r="N6491" s="1">
        <v>39356</v>
      </c>
    </row>
    <row r="6492" spans="11:14" x14ac:dyDescent="0.3">
      <c r="K6492" s="1">
        <v>39722</v>
      </c>
      <c r="M6492" t="e">
        <v>#N/A</v>
      </c>
      <c r="N6492" s="1">
        <v>39356</v>
      </c>
    </row>
    <row r="6493" spans="11:14" x14ac:dyDescent="0.3">
      <c r="K6493" s="1">
        <v>39722</v>
      </c>
      <c r="M6493" t="e">
        <v>#N/A</v>
      </c>
      <c r="N6493" s="1">
        <v>39356</v>
      </c>
    </row>
    <row r="6494" spans="11:14" x14ac:dyDescent="0.3">
      <c r="K6494" s="1">
        <v>39722</v>
      </c>
      <c r="M6494" t="e">
        <v>#N/A</v>
      </c>
      <c r="N6494" s="1">
        <v>39356</v>
      </c>
    </row>
    <row r="6495" spans="11:14" x14ac:dyDescent="0.3">
      <c r="K6495" s="1">
        <v>39722</v>
      </c>
      <c r="M6495" t="e">
        <v>#N/A</v>
      </c>
      <c r="N6495" s="1">
        <v>39356</v>
      </c>
    </row>
    <row r="6496" spans="11:14" x14ac:dyDescent="0.3">
      <c r="K6496" s="1">
        <v>39722</v>
      </c>
      <c r="M6496" t="e">
        <v>#N/A</v>
      </c>
      <c r="N6496" s="1">
        <v>39356</v>
      </c>
    </row>
    <row r="6497" spans="11:14" x14ac:dyDescent="0.3">
      <c r="K6497" s="1">
        <v>39722</v>
      </c>
      <c r="M6497" t="e">
        <v>#N/A</v>
      </c>
      <c r="N6497" s="1">
        <v>39356</v>
      </c>
    </row>
    <row r="6498" spans="11:14" x14ac:dyDescent="0.3">
      <c r="K6498" s="1">
        <v>39722</v>
      </c>
      <c r="M6498" t="e">
        <v>#N/A</v>
      </c>
      <c r="N6498" s="1">
        <v>39356</v>
      </c>
    </row>
    <row r="6499" spans="11:14" x14ac:dyDescent="0.3">
      <c r="K6499" s="1">
        <v>39722</v>
      </c>
      <c r="M6499" t="e">
        <v>#N/A</v>
      </c>
      <c r="N6499" s="1">
        <v>39356</v>
      </c>
    </row>
    <row r="6500" spans="11:14" x14ac:dyDescent="0.3">
      <c r="K6500" s="1">
        <v>39722</v>
      </c>
      <c r="M6500" t="e">
        <v>#N/A</v>
      </c>
      <c r="N6500" s="1">
        <v>39356</v>
      </c>
    </row>
    <row r="6501" spans="11:14" x14ac:dyDescent="0.3">
      <c r="K6501" s="1">
        <v>39722</v>
      </c>
      <c r="M6501" t="e">
        <v>#N/A</v>
      </c>
      <c r="N6501" s="1">
        <v>39356</v>
      </c>
    </row>
    <row r="6502" spans="11:14" x14ac:dyDescent="0.3">
      <c r="K6502" s="1">
        <v>39722</v>
      </c>
      <c r="M6502" t="e">
        <v>#N/A</v>
      </c>
      <c r="N6502" s="1">
        <v>39356</v>
      </c>
    </row>
    <row r="6503" spans="11:14" x14ac:dyDescent="0.3">
      <c r="K6503" s="1">
        <v>39722</v>
      </c>
      <c r="M6503" t="e">
        <v>#N/A</v>
      </c>
      <c r="N6503" s="1">
        <v>39356</v>
      </c>
    </row>
    <row r="6504" spans="11:14" x14ac:dyDescent="0.3">
      <c r="K6504" s="1">
        <v>39722</v>
      </c>
      <c r="M6504" t="e">
        <v>#N/A</v>
      </c>
      <c r="N6504" s="1">
        <v>39356</v>
      </c>
    </row>
    <row r="6505" spans="11:14" x14ac:dyDescent="0.3">
      <c r="K6505" s="1">
        <v>39722</v>
      </c>
      <c r="M6505" t="e">
        <v>#N/A</v>
      </c>
      <c r="N6505" s="1">
        <v>39356</v>
      </c>
    </row>
    <row r="6506" spans="11:14" x14ac:dyDescent="0.3">
      <c r="K6506" s="1">
        <v>39722</v>
      </c>
      <c r="M6506" t="e">
        <v>#N/A</v>
      </c>
      <c r="N6506" s="1">
        <v>39356</v>
      </c>
    </row>
    <row r="6507" spans="11:14" x14ac:dyDescent="0.3">
      <c r="K6507" s="1">
        <v>39722</v>
      </c>
      <c r="M6507" t="e">
        <v>#N/A</v>
      </c>
      <c r="N6507" s="1">
        <v>39356</v>
      </c>
    </row>
    <row r="6508" spans="11:14" x14ac:dyDescent="0.3">
      <c r="K6508" s="1">
        <v>39722</v>
      </c>
      <c r="M6508" t="e">
        <v>#N/A</v>
      </c>
      <c r="N6508" s="1">
        <v>39356</v>
      </c>
    </row>
    <row r="6509" spans="11:14" x14ac:dyDescent="0.3">
      <c r="K6509" s="1">
        <v>39722</v>
      </c>
      <c r="M6509" t="e">
        <v>#N/A</v>
      </c>
      <c r="N6509" s="1">
        <v>39356</v>
      </c>
    </row>
    <row r="6510" spans="11:14" x14ac:dyDescent="0.3">
      <c r="K6510" s="1">
        <v>39722</v>
      </c>
      <c r="M6510" t="e">
        <v>#N/A</v>
      </c>
      <c r="N6510" s="1">
        <v>39356</v>
      </c>
    </row>
    <row r="6511" spans="11:14" x14ac:dyDescent="0.3">
      <c r="K6511" s="1">
        <v>39722</v>
      </c>
      <c r="M6511" t="e">
        <v>#N/A</v>
      </c>
      <c r="N6511" s="1">
        <v>39356</v>
      </c>
    </row>
    <row r="6512" spans="11:14" x14ac:dyDescent="0.3">
      <c r="K6512" s="1">
        <v>39722</v>
      </c>
      <c r="M6512" t="e">
        <v>#N/A</v>
      </c>
      <c r="N6512" s="1">
        <v>39356</v>
      </c>
    </row>
    <row r="6513" spans="11:14" x14ac:dyDescent="0.3">
      <c r="K6513" s="1">
        <v>39722</v>
      </c>
      <c r="M6513" t="e">
        <v>#N/A</v>
      </c>
      <c r="N6513" s="1">
        <v>39356</v>
      </c>
    </row>
    <row r="6514" spans="11:14" x14ac:dyDescent="0.3">
      <c r="K6514" s="1">
        <v>39722</v>
      </c>
      <c r="M6514" t="e">
        <v>#N/A</v>
      </c>
      <c r="N6514" s="1">
        <v>39356</v>
      </c>
    </row>
    <row r="6515" spans="11:14" x14ac:dyDescent="0.3">
      <c r="K6515" s="1">
        <v>39722</v>
      </c>
      <c r="M6515" t="e">
        <v>#N/A</v>
      </c>
      <c r="N6515" s="1">
        <v>39356</v>
      </c>
    </row>
    <row r="6516" spans="11:14" x14ac:dyDescent="0.3">
      <c r="K6516" s="1">
        <v>39722</v>
      </c>
      <c r="M6516" t="e">
        <v>#N/A</v>
      </c>
      <c r="N6516" s="1">
        <v>39356</v>
      </c>
    </row>
    <row r="6517" spans="11:14" x14ac:dyDescent="0.3">
      <c r="K6517" s="1">
        <v>39722</v>
      </c>
      <c r="M6517" t="e">
        <v>#N/A</v>
      </c>
      <c r="N6517" s="1">
        <v>39356</v>
      </c>
    </row>
    <row r="6518" spans="11:14" x14ac:dyDescent="0.3">
      <c r="K6518" s="1">
        <v>39722</v>
      </c>
      <c r="M6518" t="e">
        <v>#N/A</v>
      </c>
      <c r="N6518" s="1">
        <v>39356</v>
      </c>
    </row>
    <row r="6519" spans="11:14" x14ac:dyDescent="0.3">
      <c r="K6519" s="1">
        <v>39722</v>
      </c>
      <c r="M6519" t="e">
        <v>#N/A</v>
      </c>
      <c r="N6519" s="1">
        <v>39356</v>
      </c>
    </row>
    <row r="6520" spans="11:14" x14ac:dyDescent="0.3">
      <c r="K6520" s="1">
        <v>39722</v>
      </c>
      <c r="M6520" t="e">
        <v>#N/A</v>
      </c>
      <c r="N6520" s="1">
        <v>39356</v>
      </c>
    </row>
    <row r="6521" spans="11:14" x14ac:dyDescent="0.3">
      <c r="K6521" s="1">
        <v>39722</v>
      </c>
      <c r="M6521" t="e">
        <v>#N/A</v>
      </c>
      <c r="N6521" s="1">
        <v>39356</v>
      </c>
    </row>
    <row r="6522" spans="11:14" x14ac:dyDescent="0.3">
      <c r="K6522" s="1">
        <v>39722</v>
      </c>
      <c r="M6522" t="e">
        <v>#N/A</v>
      </c>
      <c r="N6522" s="1">
        <v>39356</v>
      </c>
    </row>
    <row r="6523" spans="11:14" x14ac:dyDescent="0.3">
      <c r="K6523" s="1">
        <v>39722</v>
      </c>
      <c r="M6523" t="e">
        <v>#N/A</v>
      </c>
      <c r="N6523" s="1">
        <v>39356</v>
      </c>
    </row>
    <row r="6524" spans="11:14" x14ac:dyDescent="0.3">
      <c r="K6524" s="1">
        <v>39722</v>
      </c>
      <c r="M6524" t="e">
        <v>#N/A</v>
      </c>
      <c r="N6524" s="1">
        <v>39356</v>
      </c>
    </row>
    <row r="6525" spans="11:14" x14ac:dyDescent="0.3">
      <c r="K6525" s="1">
        <v>39722</v>
      </c>
      <c r="M6525" t="e">
        <v>#N/A</v>
      </c>
      <c r="N6525" s="1">
        <v>39356</v>
      </c>
    </row>
    <row r="6526" spans="11:14" x14ac:dyDescent="0.3">
      <c r="K6526" s="1">
        <v>39722</v>
      </c>
      <c r="M6526" t="e">
        <v>#N/A</v>
      </c>
      <c r="N6526" s="1">
        <v>39356</v>
      </c>
    </row>
    <row r="6527" spans="11:14" x14ac:dyDescent="0.3">
      <c r="K6527" s="1">
        <v>39722</v>
      </c>
      <c r="M6527" t="e">
        <v>#N/A</v>
      </c>
      <c r="N6527" s="1">
        <v>39356</v>
      </c>
    </row>
    <row r="6528" spans="11:14" x14ac:dyDescent="0.3">
      <c r="K6528" s="1">
        <v>39722</v>
      </c>
      <c r="M6528" t="e">
        <v>#N/A</v>
      </c>
      <c r="N6528" s="1">
        <v>39356</v>
      </c>
    </row>
    <row r="6529" spans="11:14" x14ac:dyDescent="0.3">
      <c r="K6529" s="1">
        <v>39722</v>
      </c>
      <c r="M6529" t="e">
        <v>#N/A</v>
      </c>
      <c r="N6529" s="1">
        <v>39356</v>
      </c>
    </row>
    <row r="6530" spans="11:14" x14ac:dyDescent="0.3">
      <c r="K6530" s="1">
        <v>39722</v>
      </c>
      <c r="M6530" t="e">
        <v>#N/A</v>
      </c>
      <c r="N6530" s="1">
        <v>39356</v>
      </c>
    </row>
    <row r="6531" spans="11:14" x14ac:dyDescent="0.3">
      <c r="K6531" s="1">
        <v>39722</v>
      </c>
      <c r="M6531" t="e">
        <v>#N/A</v>
      </c>
      <c r="N6531" s="1">
        <v>39356</v>
      </c>
    </row>
    <row r="6532" spans="11:14" x14ac:dyDescent="0.3">
      <c r="K6532" s="1">
        <v>39722</v>
      </c>
      <c r="M6532" t="e">
        <v>#N/A</v>
      </c>
      <c r="N6532" s="1">
        <v>39356</v>
      </c>
    </row>
    <row r="6533" spans="11:14" x14ac:dyDescent="0.3">
      <c r="K6533" s="1">
        <v>39722</v>
      </c>
      <c r="M6533" t="e">
        <v>#N/A</v>
      </c>
      <c r="N6533" s="1">
        <v>39356</v>
      </c>
    </row>
    <row r="6534" spans="11:14" x14ac:dyDescent="0.3">
      <c r="K6534" s="1">
        <v>39722</v>
      </c>
      <c r="M6534" t="e">
        <v>#N/A</v>
      </c>
      <c r="N6534" s="1">
        <v>39356</v>
      </c>
    </row>
    <row r="6535" spans="11:14" x14ac:dyDescent="0.3">
      <c r="K6535" s="1">
        <v>39722</v>
      </c>
      <c r="M6535" t="e">
        <v>#N/A</v>
      </c>
      <c r="N6535" s="1">
        <v>39356</v>
      </c>
    </row>
    <row r="6536" spans="11:14" x14ac:dyDescent="0.3">
      <c r="K6536" s="1">
        <v>39722</v>
      </c>
      <c r="M6536" t="e">
        <v>#N/A</v>
      </c>
      <c r="N6536" s="1">
        <v>39356</v>
      </c>
    </row>
    <row r="6537" spans="11:14" x14ac:dyDescent="0.3">
      <c r="K6537" s="1">
        <v>39722</v>
      </c>
      <c r="M6537" t="e">
        <v>#N/A</v>
      </c>
      <c r="N6537" s="1">
        <v>39356</v>
      </c>
    </row>
    <row r="6538" spans="11:14" x14ac:dyDescent="0.3">
      <c r="K6538" s="1">
        <v>39722</v>
      </c>
      <c r="M6538" t="e">
        <v>#N/A</v>
      </c>
      <c r="N6538" s="1">
        <v>39356</v>
      </c>
    </row>
    <row r="6539" spans="11:14" x14ac:dyDescent="0.3">
      <c r="K6539" s="1">
        <v>39722</v>
      </c>
      <c r="M6539" t="e">
        <v>#N/A</v>
      </c>
      <c r="N6539" s="1">
        <v>39356</v>
      </c>
    </row>
    <row r="6540" spans="11:14" x14ac:dyDescent="0.3">
      <c r="K6540" s="1">
        <v>39722</v>
      </c>
      <c r="M6540" t="e">
        <v>#N/A</v>
      </c>
      <c r="N6540" s="1">
        <v>39356</v>
      </c>
    </row>
    <row r="6541" spans="11:14" x14ac:dyDescent="0.3">
      <c r="K6541" s="1">
        <v>39722</v>
      </c>
      <c r="M6541" t="e">
        <v>#N/A</v>
      </c>
      <c r="N6541" s="1">
        <v>39356</v>
      </c>
    </row>
    <row r="6542" spans="11:14" x14ac:dyDescent="0.3">
      <c r="K6542" s="1">
        <v>39722</v>
      </c>
      <c r="M6542" t="e">
        <v>#N/A</v>
      </c>
      <c r="N6542" s="1">
        <v>39356</v>
      </c>
    </row>
    <row r="6543" spans="11:14" x14ac:dyDescent="0.3">
      <c r="K6543" s="1">
        <v>39722</v>
      </c>
      <c r="M6543" t="e">
        <v>#N/A</v>
      </c>
      <c r="N6543" s="1">
        <v>39356</v>
      </c>
    </row>
    <row r="6544" spans="11:14" x14ac:dyDescent="0.3">
      <c r="K6544" s="1">
        <v>39722</v>
      </c>
      <c r="M6544" t="e">
        <v>#N/A</v>
      </c>
      <c r="N6544" s="1">
        <v>39356</v>
      </c>
    </row>
    <row r="6545" spans="11:14" x14ac:dyDescent="0.3">
      <c r="K6545" s="1">
        <v>39722</v>
      </c>
      <c r="M6545" t="e">
        <v>#N/A</v>
      </c>
      <c r="N6545" s="1">
        <v>39356</v>
      </c>
    </row>
    <row r="6546" spans="11:14" x14ac:dyDescent="0.3">
      <c r="K6546" s="1">
        <v>39722</v>
      </c>
      <c r="M6546" t="e">
        <v>#N/A</v>
      </c>
      <c r="N6546" s="1">
        <v>39356</v>
      </c>
    </row>
    <row r="6547" spans="11:14" x14ac:dyDescent="0.3">
      <c r="K6547" s="1">
        <v>39722</v>
      </c>
      <c r="M6547" t="e">
        <v>#N/A</v>
      </c>
      <c r="N6547" s="1">
        <v>39356</v>
      </c>
    </row>
    <row r="6548" spans="11:14" x14ac:dyDescent="0.3">
      <c r="K6548" s="1">
        <v>39722</v>
      </c>
      <c r="M6548" t="e">
        <v>#N/A</v>
      </c>
      <c r="N6548" s="1">
        <v>39356</v>
      </c>
    </row>
    <row r="6549" spans="11:14" x14ac:dyDescent="0.3">
      <c r="K6549" s="1">
        <v>39722</v>
      </c>
      <c r="M6549" t="e">
        <v>#N/A</v>
      </c>
      <c r="N6549" s="1">
        <v>39356</v>
      </c>
    </row>
    <row r="6550" spans="11:14" x14ac:dyDescent="0.3">
      <c r="K6550" s="1">
        <v>39722</v>
      </c>
      <c r="M6550" t="e">
        <v>#N/A</v>
      </c>
      <c r="N6550" s="1">
        <v>39356</v>
      </c>
    </row>
    <row r="6551" spans="11:14" x14ac:dyDescent="0.3">
      <c r="K6551" s="1">
        <v>39722</v>
      </c>
      <c r="M6551" t="e">
        <v>#N/A</v>
      </c>
      <c r="N6551" s="1">
        <v>39356</v>
      </c>
    </row>
    <row r="6552" spans="11:14" x14ac:dyDescent="0.3">
      <c r="K6552" s="1">
        <v>39722</v>
      </c>
      <c r="M6552" t="e">
        <v>#N/A</v>
      </c>
      <c r="N6552" s="1">
        <v>39356</v>
      </c>
    </row>
    <row r="6553" spans="11:14" x14ac:dyDescent="0.3">
      <c r="K6553" s="1">
        <v>39722</v>
      </c>
      <c r="M6553" t="e">
        <v>#N/A</v>
      </c>
      <c r="N6553" s="1">
        <v>39356</v>
      </c>
    </row>
    <row r="6554" spans="11:14" x14ac:dyDescent="0.3">
      <c r="K6554" s="1">
        <v>39722</v>
      </c>
      <c r="M6554" t="e">
        <v>#N/A</v>
      </c>
      <c r="N6554" s="1">
        <v>39356</v>
      </c>
    </row>
    <row r="6555" spans="11:14" x14ac:dyDescent="0.3">
      <c r="K6555" s="1">
        <v>39722</v>
      </c>
      <c r="M6555" t="e">
        <v>#N/A</v>
      </c>
      <c r="N6555" s="1">
        <v>39356</v>
      </c>
    </row>
    <row r="6556" spans="11:14" x14ac:dyDescent="0.3">
      <c r="K6556" s="1">
        <v>39722</v>
      </c>
      <c r="M6556" t="e">
        <v>#N/A</v>
      </c>
      <c r="N6556" s="1">
        <v>39356</v>
      </c>
    </row>
    <row r="6557" spans="11:14" x14ac:dyDescent="0.3">
      <c r="K6557" s="1">
        <v>39722</v>
      </c>
      <c r="M6557" t="e">
        <v>#N/A</v>
      </c>
      <c r="N6557" s="1">
        <v>39356</v>
      </c>
    </row>
    <row r="6558" spans="11:14" x14ac:dyDescent="0.3">
      <c r="K6558" s="1">
        <v>39722</v>
      </c>
      <c r="M6558" t="e">
        <v>#N/A</v>
      </c>
      <c r="N6558" s="1">
        <v>39356</v>
      </c>
    </row>
    <row r="6559" spans="11:14" x14ac:dyDescent="0.3">
      <c r="K6559" s="1">
        <v>39722</v>
      </c>
      <c r="M6559" t="e">
        <v>#N/A</v>
      </c>
      <c r="N6559" s="1">
        <v>39356</v>
      </c>
    </row>
    <row r="6560" spans="11:14" x14ac:dyDescent="0.3">
      <c r="K6560" s="1">
        <v>39722</v>
      </c>
      <c r="M6560" t="e">
        <v>#N/A</v>
      </c>
      <c r="N6560" s="1">
        <v>39356</v>
      </c>
    </row>
    <row r="6561" spans="11:14" x14ac:dyDescent="0.3">
      <c r="K6561" s="1">
        <v>39722</v>
      </c>
      <c r="M6561" t="e">
        <v>#N/A</v>
      </c>
      <c r="N6561" s="1">
        <v>39356</v>
      </c>
    </row>
    <row r="6562" spans="11:14" x14ac:dyDescent="0.3">
      <c r="K6562" s="1">
        <v>39722</v>
      </c>
      <c r="M6562" t="e">
        <v>#N/A</v>
      </c>
      <c r="N6562" s="1">
        <v>39356</v>
      </c>
    </row>
    <row r="6563" spans="11:14" x14ac:dyDescent="0.3">
      <c r="K6563" s="1">
        <v>39722</v>
      </c>
      <c r="M6563" t="e">
        <v>#N/A</v>
      </c>
      <c r="N6563" s="1">
        <v>39356</v>
      </c>
    </row>
    <row r="6564" spans="11:14" x14ac:dyDescent="0.3">
      <c r="K6564" s="1">
        <v>39814</v>
      </c>
      <c r="M6564" t="e">
        <v>#N/A</v>
      </c>
      <c r="N6564" s="1">
        <v>39356</v>
      </c>
    </row>
    <row r="6565" spans="11:14" x14ac:dyDescent="0.3">
      <c r="K6565" s="1">
        <v>39814</v>
      </c>
      <c r="M6565" t="e">
        <v>#N/A</v>
      </c>
      <c r="N6565" s="1">
        <v>39356</v>
      </c>
    </row>
    <row r="6566" spans="11:14" x14ac:dyDescent="0.3">
      <c r="K6566" s="1">
        <v>39814</v>
      </c>
      <c r="M6566" t="e">
        <v>#N/A</v>
      </c>
      <c r="N6566" s="1">
        <v>39356</v>
      </c>
    </row>
    <row r="6567" spans="11:14" x14ac:dyDescent="0.3">
      <c r="K6567" s="1">
        <v>39814</v>
      </c>
      <c r="M6567" t="e">
        <v>#N/A</v>
      </c>
      <c r="N6567" s="1">
        <v>39356</v>
      </c>
    </row>
    <row r="6568" spans="11:14" x14ac:dyDescent="0.3">
      <c r="K6568" s="1">
        <v>39814</v>
      </c>
      <c r="M6568" t="e">
        <v>#N/A</v>
      </c>
      <c r="N6568" s="1">
        <v>39356</v>
      </c>
    </row>
    <row r="6569" spans="11:14" x14ac:dyDescent="0.3">
      <c r="K6569" s="1">
        <v>39814</v>
      </c>
      <c r="M6569" t="e">
        <v>#N/A</v>
      </c>
      <c r="N6569" s="1">
        <v>39356</v>
      </c>
    </row>
    <row r="6570" spans="11:14" x14ac:dyDescent="0.3">
      <c r="K6570" s="1">
        <v>39814</v>
      </c>
      <c r="M6570" t="e">
        <v>#N/A</v>
      </c>
      <c r="N6570" s="1">
        <v>39356</v>
      </c>
    </row>
    <row r="6571" spans="11:14" x14ac:dyDescent="0.3">
      <c r="K6571" s="1">
        <v>39814</v>
      </c>
      <c r="M6571" t="e">
        <v>#N/A</v>
      </c>
      <c r="N6571" s="1">
        <v>39356</v>
      </c>
    </row>
    <row r="6572" spans="11:14" x14ac:dyDescent="0.3">
      <c r="K6572" s="1">
        <v>39814</v>
      </c>
      <c r="M6572" t="e">
        <v>#N/A</v>
      </c>
      <c r="N6572" s="1">
        <v>39356</v>
      </c>
    </row>
    <row r="6573" spans="11:14" x14ac:dyDescent="0.3">
      <c r="K6573" s="1">
        <v>39814</v>
      </c>
      <c r="M6573" t="e">
        <v>#N/A</v>
      </c>
      <c r="N6573" s="1">
        <v>39356</v>
      </c>
    </row>
    <row r="6574" spans="11:14" x14ac:dyDescent="0.3">
      <c r="K6574" s="1">
        <v>39814</v>
      </c>
      <c r="M6574" t="e">
        <v>#N/A</v>
      </c>
      <c r="N6574" s="1">
        <v>39356</v>
      </c>
    </row>
    <row r="6575" spans="11:14" x14ac:dyDescent="0.3">
      <c r="K6575" s="1">
        <v>39814</v>
      </c>
      <c r="M6575" t="e">
        <v>#N/A</v>
      </c>
      <c r="N6575" s="1">
        <v>39356</v>
      </c>
    </row>
    <row r="6576" spans="11:14" x14ac:dyDescent="0.3">
      <c r="K6576" s="1">
        <v>39814</v>
      </c>
      <c r="M6576" t="e">
        <v>#N/A</v>
      </c>
      <c r="N6576" s="1">
        <v>39356</v>
      </c>
    </row>
    <row r="6577" spans="11:14" x14ac:dyDescent="0.3">
      <c r="K6577" s="1">
        <v>39814</v>
      </c>
      <c r="M6577" t="e">
        <v>#N/A</v>
      </c>
      <c r="N6577" s="1">
        <v>39356</v>
      </c>
    </row>
    <row r="6578" spans="11:14" x14ac:dyDescent="0.3">
      <c r="K6578" s="1">
        <v>39814</v>
      </c>
      <c r="M6578" t="e">
        <v>#N/A</v>
      </c>
      <c r="N6578" s="1">
        <v>39356</v>
      </c>
    </row>
    <row r="6579" spans="11:14" x14ac:dyDescent="0.3">
      <c r="K6579" s="1">
        <v>39814</v>
      </c>
      <c r="M6579" t="e">
        <v>#N/A</v>
      </c>
      <c r="N6579" s="1">
        <v>39356</v>
      </c>
    </row>
    <row r="6580" spans="11:14" x14ac:dyDescent="0.3">
      <c r="K6580" s="1">
        <v>39814</v>
      </c>
      <c r="M6580" t="e">
        <v>#N/A</v>
      </c>
      <c r="N6580" s="1">
        <v>39356</v>
      </c>
    </row>
    <row r="6581" spans="11:14" x14ac:dyDescent="0.3">
      <c r="K6581" s="1">
        <v>39814</v>
      </c>
      <c r="M6581" t="e">
        <v>#N/A</v>
      </c>
      <c r="N6581" s="1">
        <v>39356</v>
      </c>
    </row>
    <row r="6582" spans="11:14" x14ac:dyDescent="0.3">
      <c r="K6582" s="1">
        <v>39814</v>
      </c>
      <c r="M6582" t="e">
        <v>#N/A</v>
      </c>
      <c r="N6582" s="1">
        <v>39356</v>
      </c>
    </row>
    <row r="6583" spans="11:14" x14ac:dyDescent="0.3">
      <c r="K6583" s="1">
        <v>39814</v>
      </c>
      <c r="M6583" t="e">
        <v>#N/A</v>
      </c>
      <c r="N6583" s="1">
        <v>39356</v>
      </c>
    </row>
    <row r="6584" spans="11:14" x14ac:dyDescent="0.3">
      <c r="K6584" s="1">
        <v>39814</v>
      </c>
      <c r="M6584" t="e">
        <v>#N/A</v>
      </c>
      <c r="N6584" s="1">
        <v>39356</v>
      </c>
    </row>
    <row r="6585" spans="11:14" x14ac:dyDescent="0.3">
      <c r="K6585" s="1">
        <v>39814</v>
      </c>
      <c r="M6585" t="e">
        <v>#N/A</v>
      </c>
      <c r="N6585" s="1">
        <v>39356</v>
      </c>
    </row>
    <row r="6586" spans="11:14" x14ac:dyDescent="0.3">
      <c r="K6586" s="1">
        <v>39814</v>
      </c>
      <c r="M6586" t="e">
        <v>#N/A</v>
      </c>
      <c r="N6586" s="1">
        <v>39356</v>
      </c>
    </row>
    <row r="6587" spans="11:14" x14ac:dyDescent="0.3">
      <c r="K6587" s="1">
        <v>39814</v>
      </c>
      <c r="M6587" t="e">
        <v>#N/A</v>
      </c>
      <c r="N6587" s="1">
        <v>39356</v>
      </c>
    </row>
    <row r="6588" spans="11:14" x14ac:dyDescent="0.3">
      <c r="K6588" s="1">
        <v>39814</v>
      </c>
      <c r="M6588" t="e">
        <v>#N/A</v>
      </c>
      <c r="N6588" s="1">
        <v>39356</v>
      </c>
    </row>
    <row r="6589" spans="11:14" x14ac:dyDescent="0.3">
      <c r="K6589" s="1">
        <v>39814</v>
      </c>
      <c r="M6589" t="e">
        <v>#N/A</v>
      </c>
      <c r="N6589" s="1">
        <v>39356</v>
      </c>
    </row>
    <row r="6590" spans="11:14" x14ac:dyDescent="0.3">
      <c r="K6590" s="1">
        <v>39814</v>
      </c>
      <c r="M6590" t="e">
        <v>#N/A</v>
      </c>
      <c r="N6590" s="1">
        <v>39356</v>
      </c>
    </row>
    <row r="6591" spans="11:14" x14ac:dyDescent="0.3">
      <c r="K6591" s="1">
        <v>39814</v>
      </c>
      <c r="M6591" t="e">
        <v>#N/A</v>
      </c>
      <c r="N6591" s="1">
        <v>39356</v>
      </c>
    </row>
    <row r="6592" spans="11:14" x14ac:dyDescent="0.3">
      <c r="K6592" s="1">
        <v>39814</v>
      </c>
      <c r="M6592" t="e">
        <v>#N/A</v>
      </c>
      <c r="N6592" s="1">
        <v>39356</v>
      </c>
    </row>
    <row r="6593" spans="11:14" x14ac:dyDescent="0.3">
      <c r="K6593" s="1">
        <v>39814</v>
      </c>
      <c r="M6593" t="e">
        <v>#N/A</v>
      </c>
      <c r="N6593" s="1">
        <v>39356</v>
      </c>
    </row>
    <row r="6594" spans="11:14" x14ac:dyDescent="0.3">
      <c r="K6594" s="1">
        <v>39814</v>
      </c>
      <c r="M6594" t="e">
        <v>#N/A</v>
      </c>
      <c r="N6594" s="1">
        <v>39356</v>
      </c>
    </row>
    <row r="6595" spans="11:14" x14ac:dyDescent="0.3">
      <c r="K6595" s="1">
        <v>39814</v>
      </c>
      <c r="M6595" t="e">
        <v>#N/A</v>
      </c>
      <c r="N6595" s="1">
        <v>39356</v>
      </c>
    </row>
    <row r="6596" spans="11:14" x14ac:dyDescent="0.3">
      <c r="K6596" s="1">
        <v>39814</v>
      </c>
      <c r="M6596" t="e">
        <v>#N/A</v>
      </c>
      <c r="N6596" s="1">
        <v>39356</v>
      </c>
    </row>
    <row r="6597" spans="11:14" x14ac:dyDescent="0.3">
      <c r="K6597" s="1">
        <v>39814</v>
      </c>
      <c r="M6597" t="e">
        <v>#N/A</v>
      </c>
      <c r="N6597" s="1">
        <v>39356</v>
      </c>
    </row>
    <row r="6598" spans="11:14" x14ac:dyDescent="0.3">
      <c r="K6598" s="1">
        <v>39814</v>
      </c>
      <c r="M6598" t="e">
        <v>#N/A</v>
      </c>
      <c r="N6598" s="1">
        <v>39356</v>
      </c>
    </row>
    <row r="6599" spans="11:14" x14ac:dyDescent="0.3">
      <c r="K6599" s="1">
        <v>39814</v>
      </c>
      <c r="M6599" t="e">
        <v>#N/A</v>
      </c>
      <c r="N6599" s="1">
        <v>39356</v>
      </c>
    </row>
    <row r="6600" spans="11:14" x14ac:dyDescent="0.3">
      <c r="K6600" s="1">
        <v>39814</v>
      </c>
      <c r="M6600" t="e">
        <v>#N/A</v>
      </c>
      <c r="N6600" s="1">
        <v>39356</v>
      </c>
    </row>
    <row r="6601" spans="11:14" x14ac:dyDescent="0.3">
      <c r="K6601" s="1">
        <v>39814</v>
      </c>
      <c r="M6601" t="e">
        <v>#N/A</v>
      </c>
      <c r="N6601" s="1">
        <v>39356</v>
      </c>
    </row>
    <row r="6602" spans="11:14" x14ac:dyDescent="0.3">
      <c r="K6602" s="1">
        <v>39814</v>
      </c>
      <c r="M6602" t="e">
        <v>#N/A</v>
      </c>
      <c r="N6602" s="1">
        <v>39356</v>
      </c>
    </row>
    <row r="6603" spans="11:14" x14ac:dyDescent="0.3">
      <c r="K6603" s="1">
        <v>39814</v>
      </c>
      <c r="M6603" t="e">
        <v>#N/A</v>
      </c>
      <c r="N6603" s="1">
        <v>39356</v>
      </c>
    </row>
    <row r="6604" spans="11:14" x14ac:dyDescent="0.3">
      <c r="K6604" s="1">
        <v>39814</v>
      </c>
      <c r="M6604" t="e">
        <v>#N/A</v>
      </c>
      <c r="N6604" s="1">
        <v>39356</v>
      </c>
    </row>
    <row r="6605" spans="11:14" x14ac:dyDescent="0.3">
      <c r="K6605" s="1">
        <v>39814</v>
      </c>
      <c r="M6605" t="e">
        <v>#N/A</v>
      </c>
      <c r="N6605" s="1">
        <v>39356</v>
      </c>
    </row>
    <row r="6606" spans="11:14" x14ac:dyDescent="0.3">
      <c r="K6606" s="1">
        <v>39814</v>
      </c>
      <c r="M6606" t="e">
        <v>#N/A</v>
      </c>
      <c r="N6606" s="1">
        <v>39356</v>
      </c>
    </row>
    <row r="6607" spans="11:14" x14ac:dyDescent="0.3">
      <c r="K6607" s="1">
        <v>39814</v>
      </c>
      <c r="M6607" t="e">
        <v>#N/A</v>
      </c>
      <c r="N6607" s="1">
        <v>39356</v>
      </c>
    </row>
    <row r="6608" spans="11:14" x14ac:dyDescent="0.3">
      <c r="K6608" s="1">
        <v>39814</v>
      </c>
      <c r="M6608" t="e">
        <v>#N/A</v>
      </c>
      <c r="N6608" s="1">
        <v>39356</v>
      </c>
    </row>
    <row r="6609" spans="11:14" x14ac:dyDescent="0.3">
      <c r="K6609" s="1">
        <v>39814</v>
      </c>
      <c r="M6609" t="e">
        <v>#N/A</v>
      </c>
      <c r="N6609" s="1">
        <v>39356</v>
      </c>
    </row>
    <row r="6610" spans="11:14" x14ac:dyDescent="0.3">
      <c r="K6610" s="1">
        <v>39814</v>
      </c>
      <c r="M6610" t="e">
        <v>#N/A</v>
      </c>
      <c r="N6610" s="1">
        <v>39356</v>
      </c>
    </row>
    <row r="6611" spans="11:14" x14ac:dyDescent="0.3">
      <c r="K6611" s="1">
        <v>39814</v>
      </c>
      <c r="M6611" t="e">
        <v>#N/A</v>
      </c>
      <c r="N6611" s="1">
        <v>39356</v>
      </c>
    </row>
    <row r="6612" spans="11:14" x14ac:dyDescent="0.3">
      <c r="K6612" s="1">
        <v>39814</v>
      </c>
      <c r="M6612" t="e">
        <v>#N/A</v>
      </c>
      <c r="N6612" s="1">
        <v>39356</v>
      </c>
    </row>
    <row r="6613" spans="11:14" x14ac:dyDescent="0.3">
      <c r="K6613" s="1">
        <v>39814</v>
      </c>
      <c r="M6613" t="e">
        <v>#N/A</v>
      </c>
      <c r="N6613" s="1">
        <v>39356</v>
      </c>
    </row>
    <row r="6614" spans="11:14" x14ac:dyDescent="0.3">
      <c r="K6614" s="1">
        <v>39814</v>
      </c>
      <c r="M6614" t="e">
        <v>#N/A</v>
      </c>
      <c r="N6614" s="1">
        <v>39356</v>
      </c>
    </row>
    <row r="6615" spans="11:14" x14ac:dyDescent="0.3">
      <c r="K6615" s="1">
        <v>39814</v>
      </c>
      <c r="M6615" t="e">
        <v>#N/A</v>
      </c>
      <c r="N6615" s="1">
        <v>39356</v>
      </c>
    </row>
    <row r="6616" spans="11:14" x14ac:dyDescent="0.3">
      <c r="K6616" s="1">
        <v>39814</v>
      </c>
      <c r="M6616" t="e">
        <v>#N/A</v>
      </c>
      <c r="N6616" s="1">
        <v>39356</v>
      </c>
    </row>
    <row r="6617" spans="11:14" x14ac:dyDescent="0.3">
      <c r="K6617" s="1">
        <v>39814</v>
      </c>
      <c r="M6617" t="e">
        <v>#N/A</v>
      </c>
      <c r="N6617" s="1">
        <v>39356</v>
      </c>
    </row>
    <row r="6618" spans="11:14" x14ac:dyDescent="0.3">
      <c r="K6618" s="1">
        <v>39814</v>
      </c>
      <c r="M6618" t="e">
        <v>#N/A</v>
      </c>
      <c r="N6618" s="1">
        <v>39356</v>
      </c>
    </row>
    <row r="6619" spans="11:14" x14ac:dyDescent="0.3">
      <c r="K6619" s="1">
        <v>39814</v>
      </c>
      <c r="M6619" t="e">
        <v>#N/A</v>
      </c>
      <c r="N6619" s="1">
        <v>39356</v>
      </c>
    </row>
    <row r="6620" spans="11:14" x14ac:dyDescent="0.3">
      <c r="K6620" s="1">
        <v>39814</v>
      </c>
      <c r="M6620" t="e">
        <v>#N/A</v>
      </c>
      <c r="N6620" s="1">
        <v>39356</v>
      </c>
    </row>
    <row r="6621" spans="11:14" x14ac:dyDescent="0.3">
      <c r="K6621" s="1">
        <v>39814</v>
      </c>
      <c r="M6621" t="e">
        <v>#N/A</v>
      </c>
      <c r="N6621" s="1">
        <v>39356</v>
      </c>
    </row>
    <row r="6622" spans="11:14" x14ac:dyDescent="0.3">
      <c r="K6622" s="1">
        <v>39814</v>
      </c>
      <c r="M6622" t="e">
        <v>#N/A</v>
      </c>
      <c r="N6622" s="1">
        <v>39356</v>
      </c>
    </row>
    <row r="6623" spans="11:14" x14ac:dyDescent="0.3">
      <c r="K6623" s="1">
        <v>39814</v>
      </c>
      <c r="M6623" t="e">
        <v>#N/A</v>
      </c>
      <c r="N6623" s="1">
        <v>39356</v>
      </c>
    </row>
    <row r="6624" spans="11:14" x14ac:dyDescent="0.3">
      <c r="K6624" s="1">
        <v>39814</v>
      </c>
      <c r="M6624" t="e">
        <v>#N/A</v>
      </c>
      <c r="N6624" s="1">
        <v>39356</v>
      </c>
    </row>
    <row r="6625" spans="11:14" x14ac:dyDescent="0.3">
      <c r="K6625" s="1">
        <v>39814</v>
      </c>
      <c r="M6625" t="e">
        <v>#N/A</v>
      </c>
      <c r="N6625" s="1">
        <v>39356</v>
      </c>
    </row>
    <row r="6626" spans="11:14" x14ac:dyDescent="0.3">
      <c r="K6626" s="1">
        <v>39814</v>
      </c>
      <c r="M6626" t="e">
        <v>#N/A</v>
      </c>
      <c r="N6626" s="1">
        <v>39356</v>
      </c>
    </row>
    <row r="6627" spans="11:14" x14ac:dyDescent="0.3">
      <c r="K6627" s="1">
        <v>39814</v>
      </c>
      <c r="M6627" t="e">
        <v>#N/A</v>
      </c>
      <c r="N6627" s="1">
        <v>39356</v>
      </c>
    </row>
    <row r="6628" spans="11:14" x14ac:dyDescent="0.3">
      <c r="K6628" s="1">
        <v>39814</v>
      </c>
      <c r="M6628" t="e">
        <v>#N/A</v>
      </c>
      <c r="N6628" s="1">
        <v>39356</v>
      </c>
    </row>
    <row r="6629" spans="11:14" x14ac:dyDescent="0.3">
      <c r="K6629" s="1">
        <v>39814</v>
      </c>
      <c r="M6629" t="e">
        <v>#N/A</v>
      </c>
      <c r="N6629" s="1">
        <v>39356</v>
      </c>
    </row>
    <row r="6630" spans="11:14" x14ac:dyDescent="0.3">
      <c r="K6630" s="1">
        <v>39814</v>
      </c>
      <c r="M6630" t="e">
        <v>#N/A</v>
      </c>
      <c r="N6630" s="1">
        <v>39356</v>
      </c>
    </row>
    <row r="6631" spans="11:14" x14ac:dyDescent="0.3">
      <c r="K6631" s="1">
        <v>39814</v>
      </c>
      <c r="M6631" t="e">
        <v>#N/A</v>
      </c>
      <c r="N6631" s="1">
        <v>39356</v>
      </c>
    </row>
    <row r="6632" spans="11:14" x14ac:dyDescent="0.3">
      <c r="K6632" s="1">
        <v>39814</v>
      </c>
      <c r="M6632" t="e">
        <v>#N/A</v>
      </c>
      <c r="N6632" s="1">
        <v>39356</v>
      </c>
    </row>
    <row r="6633" spans="11:14" x14ac:dyDescent="0.3">
      <c r="K6633" s="1">
        <v>39814</v>
      </c>
      <c r="M6633" t="e">
        <v>#N/A</v>
      </c>
      <c r="N6633" s="1">
        <v>39356</v>
      </c>
    </row>
    <row r="6634" spans="11:14" x14ac:dyDescent="0.3">
      <c r="K6634" s="1">
        <v>39814</v>
      </c>
      <c r="M6634" t="e">
        <v>#N/A</v>
      </c>
      <c r="N6634" s="1">
        <v>39356</v>
      </c>
    </row>
    <row r="6635" spans="11:14" x14ac:dyDescent="0.3">
      <c r="K6635" s="1">
        <v>39814</v>
      </c>
      <c r="M6635" t="e">
        <v>#N/A</v>
      </c>
      <c r="N6635" s="1">
        <v>39356</v>
      </c>
    </row>
    <row r="6636" spans="11:14" x14ac:dyDescent="0.3">
      <c r="K6636" s="1">
        <v>39814</v>
      </c>
      <c r="M6636" t="e">
        <v>#N/A</v>
      </c>
      <c r="N6636" s="1">
        <v>39356</v>
      </c>
    </row>
    <row r="6637" spans="11:14" x14ac:dyDescent="0.3">
      <c r="K6637" s="1">
        <v>39814</v>
      </c>
      <c r="M6637" t="e">
        <v>#N/A</v>
      </c>
      <c r="N6637" s="1">
        <v>39356</v>
      </c>
    </row>
    <row r="6638" spans="11:14" x14ac:dyDescent="0.3">
      <c r="K6638" s="1">
        <v>39814</v>
      </c>
      <c r="M6638" t="e">
        <v>#N/A</v>
      </c>
      <c r="N6638" s="1">
        <v>39356</v>
      </c>
    </row>
    <row r="6639" spans="11:14" x14ac:dyDescent="0.3">
      <c r="K6639" s="1">
        <v>39814</v>
      </c>
      <c r="M6639" t="e">
        <v>#N/A</v>
      </c>
      <c r="N6639" s="1">
        <v>39356</v>
      </c>
    </row>
    <row r="6640" spans="11:14" x14ac:dyDescent="0.3">
      <c r="K6640" s="1">
        <v>39814</v>
      </c>
      <c r="M6640" t="e">
        <v>#N/A</v>
      </c>
      <c r="N6640" s="1">
        <v>39356</v>
      </c>
    </row>
    <row r="6641" spans="11:14" x14ac:dyDescent="0.3">
      <c r="K6641" s="1">
        <v>39814</v>
      </c>
      <c r="M6641" t="e">
        <v>#N/A</v>
      </c>
      <c r="N6641" s="1">
        <v>39356</v>
      </c>
    </row>
    <row r="6642" spans="11:14" x14ac:dyDescent="0.3">
      <c r="K6642" s="1">
        <v>39814</v>
      </c>
      <c r="M6642" t="e">
        <v>#N/A</v>
      </c>
      <c r="N6642" s="1">
        <v>39356</v>
      </c>
    </row>
    <row r="6643" spans="11:14" x14ac:dyDescent="0.3">
      <c r="K6643" s="1">
        <v>39814</v>
      </c>
      <c r="M6643" t="e">
        <v>#N/A</v>
      </c>
      <c r="N6643" s="1">
        <v>39356</v>
      </c>
    </row>
    <row r="6644" spans="11:14" x14ac:dyDescent="0.3">
      <c r="K6644" s="1">
        <v>39814</v>
      </c>
      <c r="M6644" t="e">
        <v>#N/A</v>
      </c>
      <c r="N6644" s="1">
        <v>39356</v>
      </c>
    </row>
    <row r="6645" spans="11:14" x14ac:dyDescent="0.3">
      <c r="K6645" s="1">
        <v>39814</v>
      </c>
      <c r="M6645" t="e">
        <v>#N/A</v>
      </c>
      <c r="N6645" s="1">
        <v>39356</v>
      </c>
    </row>
    <row r="6646" spans="11:14" x14ac:dyDescent="0.3">
      <c r="K6646" s="1">
        <v>39814</v>
      </c>
      <c r="M6646" t="e">
        <v>#N/A</v>
      </c>
      <c r="N6646" s="1">
        <v>39356</v>
      </c>
    </row>
    <row r="6647" spans="11:14" x14ac:dyDescent="0.3">
      <c r="K6647" s="1">
        <v>39814</v>
      </c>
      <c r="M6647" t="e">
        <v>#N/A</v>
      </c>
      <c r="N6647" s="1">
        <v>39356</v>
      </c>
    </row>
    <row r="6648" spans="11:14" x14ac:dyDescent="0.3">
      <c r="K6648" s="1">
        <v>39814</v>
      </c>
      <c r="M6648" t="e">
        <v>#N/A</v>
      </c>
      <c r="N6648" s="1">
        <v>39356</v>
      </c>
    </row>
    <row r="6649" spans="11:14" x14ac:dyDescent="0.3">
      <c r="K6649" s="1">
        <v>39814</v>
      </c>
      <c r="M6649" t="e">
        <v>#N/A</v>
      </c>
      <c r="N6649" s="1">
        <v>39356</v>
      </c>
    </row>
    <row r="6650" spans="11:14" x14ac:dyDescent="0.3">
      <c r="K6650" s="1">
        <v>39814</v>
      </c>
      <c r="M6650" t="e">
        <v>#N/A</v>
      </c>
      <c r="N6650" s="1">
        <v>39356</v>
      </c>
    </row>
    <row r="6651" spans="11:14" x14ac:dyDescent="0.3">
      <c r="K6651" s="1">
        <v>39814</v>
      </c>
      <c r="M6651" t="e">
        <v>#N/A</v>
      </c>
      <c r="N6651" s="1">
        <v>39356</v>
      </c>
    </row>
    <row r="6652" spans="11:14" x14ac:dyDescent="0.3">
      <c r="K6652" s="1">
        <v>39814</v>
      </c>
      <c r="M6652" t="e">
        <v>#N/A</v>
      </c>
      <c r="N6652" s="1">
        <v>39356</v>
      </c>
    </row>
    <row r="6653" spans="11:14" x14ac:dyDescent="0.3">
      <c r="K6653" s="1">
        <v>39814</v>
      </c>
      <c r="M6653" t="e">
        <v>#N/A</v>
      </c>
      <c r="N6653" s="1">
        <v>39356</v>
      </c>
    </row>
    <row r="6654" spans="11:14" x14ac:dyDescent="0.3">
      <c r="K6654" s="1">
        <v>39814</v>
      </c>
      <c r="M6654" t="e">
        <v>#N/A</v>
      </c>
      <c r="N6654" s="1">
        <v>39448</v>
      </c>
    </row>
    <row r="6655" spans="11:14" x14ac:dyDescent="0.3">
      <c r="K6655" s="1">
        <v>39814</v>
      </c>
      <c r="M6655" t="e">
        <v>#N/A</v>
      </c>
      <c r="N6655" s="1">
        <v>39448</v>
      </c>
    </row>
    <row r="6656" spans="11:14" x14ac:dyDescent="0.3">
      <c r="K6656" s="1">
        <v>39814</v>
      </c>
      <c r="M6656" t="e">
        <v>#N/A</v>
      </c>
      <c r="N6656" s="1">
        <v>39448</v>
      </c>
    </row>
    <row r="6657" spans="11:14" x14ac:dyDescent="0.3">
      <c r="K6657" s="1">
        <v>39814</v>
      </c>
      <c r="M6657" t="e">
        <v>#N/A</v>
      </c>
      <c r="N6657" s="1">
        <v>39448</v>
      </c>
    </row>
    <row r="6658" spans="11:14" x14ac:dyDescent="0.3">
      <c r="K6658" s="1">
        <v>39814</v>
      </c>
      <c r="M6658" t="e">
        <v>#N/A</v>
      </c>
      <c r="N6658" s="1">
        <v>39448</v>
      </c>
    </row>
    <row r="6659" spans="11:14" x14ac:dyDescent="0.3">
      <c r="K6659" s="1">
        <v>39814</v>
      </c>
      <c r="M6659" t="e">
        <v>#N/A</v>
      </c>
      <c r="N6659" s="1">
        <v>39448</v>
      </c>
    </row>
    <row r="6660" spans="11:14" x14ac:dyDescent="0.3">
      <c r="K6660" s="1">
        <v>39814</v>
      </c>
      <c r="M6660" t="e">
        <v>#N/A</v>
      </c>
      <c r="N6660" s="1">
        <v>39448</v>
      </c>
    </row>
    <row r="6661" spans="11:14" x14ac:dyDescent="0.3">
      <c r="K6661" s="1">
        <v>39814</v>
      </c>
      <c r="M6661" t="e">
        <v>#N/A</v>
      </c>
      <c r="N6661" s="1">
        <v>39448</v>
      </c>
    </row>
    <row r="6662" spans="11:14" x14ac:dyDescent="0.3">
      <c r="K6662" s="1">
        <v>39814</v>
      </c>
      <c r="M6662" t="e">
        <v>#N/A</v>
      </c>
      <c r="N6662" s="1">
        <v>39448</v>
      </c>
    </row>
    <row r="6663" spans="11:14" x14ac:dyDescent="0.3">
      <c r="K6663" s="1">
        <v>39814</v>
      </c>
      <c r="M6663" t="e">
        <v>#N/A</v>
      </c>
      <c r="N6663" s="1">
        <v>39448</v>
      </c>
    </row>
    <row r="6664" spans="11:14" x14ac:dyDescent="0.3">
      <c r="K6664" s="1">
        <v>39814</v>
      </c>
      <c r="M6664" t="e">
        <v>#N/A</v>
      </c>
      <c r="N6664" s="1">
        <v>39448</v>
      </c>
    </row>
    <row r="6665" spans="11:14" x14ac:dyDescent="0.3">
      <c r="K6665" s="1">
        <v>39814</v>
      </c>
      <c r="M6665" t="e">
        <v>#N/A</v>
      </c>
      <c r="N6665" s="1">
        <v>39448</v>
      </c>
    </row>
    <row r="6666" spans="11:14" x14ac:dyDescent="0.3">
      <c r="K6666" s="1">
        <v>39814</v>
      </c>
      <c r="M6666" t="e">
        <v>#N/A</v>
      </c>
      <c r="N6666" s="1">
        <v>39448</v>
      </c>
    </row>
    <row r="6667" spans="11:14" x14ac:dyDescent="0.3">
      <c r="K6667" s="1">
        <v>39814</v>
      </c>
      <c r="M6667" t="e">
        <v>#N/A</v>
      </c>
      <c r="N6667" s="1">
        <v>39448</v>
      </c>
    </row>
    <row r="6668" spans="11:14" x14ac:dyDescent="0.3">
      <c r="K6668" s="1">
        <v>39814</v>
      </c>
      <c r="M6668" t="e">
        <v>#N/A</v>
      </c>
      <c r="N6668" s="1">
        <v>39448</v>
      </c>
    </row>
    <row r="6669" spans="11:14" x14ac:dyDescent="0.3">
      <c r="K6669" s="1">
        <v>39814</v>
      </c>
      <c r="M6669" t="e">
        <v>#N/A</v>
      </c>
      <c r="N6669" s="1">
        <v>39448</v>
      </c>
    </row>
    <row r="6670" spans="11:14" x14ac:dyDescent="0.3">
      <c r="K6670" s="1">
        <v>39814</v>
      </c>
      <c r="M6670" t="e">
        <v>#N/A</v>
      </c>
      <c r="N6670" s="1">
        <v>39448</v>
      </c>
    </row>
    <row r="6671" spans="11:14" x14ac:dyDescent="0.3">
      <c r="K6671" s="1">
        <v>39814</v>
      </c>
      <c r="M6671" t="e">
        <v>#N/A</v>
      </c>
      <c r="N6671" s="1">
        <v>39448</v>
      </c>
    </row>
    <row r="6672" spans="11:14" x14ac:dyDescent="0.3">
      <c r="K6672" s="1">
        <v>39814</v>
      </c>
      <c r="M6672" t="e">
        <v>#N/A</v>
      </c>
      <c r="N6672" s="1">
        <v>39448</v>
      </c>
    </row>
    <row r="6673" spans="11:14" x14ac:dyDescent="0.3">
      <c r="K6673" s="1">
        <v>39814</v>
      </c>
      <c r="M6673" t="e">
        <v>#N/A</v>
      </c>
      <c r="N6673" s="1">
        <v>39448</v>
      </c>
    </row>
    <row r="6674" spans="11:14" x14ac:dyDescent="0.3">
      <c r="K6674" s="1">
        <v>39814</v>
      </c>
      <c r="M6674" t="e">
        <v>#N/A</v>
      </c>
      <c r="N6674" s="1">
        <v>39448</v>
      </c>
    </row>
    <row r="6675" spans="11:14" x14ac:dyDescent="0.3">
      <c r="K6675" s="1">
        <v>39814</v>
      </c>
      <c r="M6675" t="e">
        <v>#N/A</v>
      </c>
      <c r="N6675" s="1">
        <v>39448</v>
      </c>
    </row>
    <row r="6676" spans="11:14" x14ac:dyDescent="0.3">
      <c r="K6676" s="1">
        <v>39814</v>
      </c>
      <c r="M6676" t="e">
        <v>#N/A</v>
      </c>
      <c r="N6676" s="1">
        <v>39448</v>
      </c>
    </row>
    <row r="6677" spans="11:14" x14ac:dyDescent="0.3">
      <c r="K6677" s="1">
        <v>39814</v>
      </c>
      <c r="M6677" t="e">
        <v>#N/A</v>
      </c>
      <c r="N6677" s="1">
        <v>39448</v>
      </c>
    </row>
    <row r="6678" spans="11:14" x14ac:dyDescent="0.3">
      <c r="K6678" s="1">
        <v>39814</v>
      </c>
      <c r="M6678" t="e">
        <v>#N/A</v>
      </c>
      <c r="N6678" s="1">
        <v>39448</v>
      </c>
    </row>
    <row r="6679" spans="11:14" x14ac:dyDescent="0.3">
      <c r="K6679" s="1">
        <v>39814</v>
      </c>
      <c r="M6679" t="e">
        <v>#N/A</v>
      </c>
      <c r="N6679" s="1">
        <v>39448</v>
      </c>
    </row>
    <row r="6680" spans="11:14" x14ac:dyDescent="0.3">
      <c r="K6680" s="1">
        <v>39814</v>
      </c>
      <c r="M6680" t="e">
        <v>#N/A</v>
      </c>
      <c r="N6680" s="1">
        <v>39448</v>
      </c>
    </row>
    <row r="6681" spans="11:14" x14ac:dyDescent="0.3">
      <c r="K6681" s="1">
        <v>39814</v>
      </c>
      <c r="M6681" t="e">
        <v>#N/A</v>
      </c>
      <c r="N6681" s="1">
        <v>39448</v>
      </c>
    </row>
    <row r="6682" spans="11:14" x14ac:dyDescent="0.3">
      <c r="K6682" s="1">
        <v>39814</v>
      </c>
      <c r="M6682" t="e">
        <v>#N/A</v>
      </c>
      <c r="N6682" s="1">
        <v>39448</v>
      </c>
    </row>
    <row r="6683" spans="11:14" x14ac:dyDescent="0.3">
      <c r="K6683" s="1">
        <v>39814</v>
      </c>
      <c r="M6683" t="e">
        <v>#N/A</v>
      </c>
      <c r="N6683" s="1">
        <v>39448</v>
      </c>
    </row>
    <row r="6684" spans="11:14" x14ac:dyDescent="0.3">
      <c r="K6684" s="1">
        <v>39814</v>
      </c>
      <c r="M6684" t="e">
        <v>#N/A</v>
      </c>
      <c r="N6684" s="1">
        <v>39448</v>
      </c>
    </row>
    <row r="6685" spans="11:14" x14ac:dyDescent="0.3">
      <c r="K6685" s="1">
        <v>39814</v>
      </c>
      <c r="M6685" t="e">
        <v>#N/A</v>
      </c>
      <c r="N6685" s="1">
        <v>39448</v>
      </c>
    </row>
    <row r="6686" spans="11:14" x14ac:dyDescent="0.3">
      <c r="K6686" s="1">
        <v>39814</v>
      </c>
      <c r="M6686" t="e">
        <v>#N/A</v>
      </c>
      <c r="N6686" s="1">
        <v>39448</v>
      </c>
    </row>
    <row r="6687" spans="11:14" x14ac:dyDescent="0.3">
      <c r="K6687" s="1">
        <v>39814</v>
      </c>
      <c r="M6687" t="e">
        <v>#N/A</v>
      </c>
      <c r="N6687" s="1">
        <v>39448</v>
      </c>
    </row>
    <row r="6688" spans="11:14" x14ac:dyDescent="0.3">
      <c r="K6688" s="1">
        <v>39814</v>
      </c>
      <c r="M6688" t="e">
        <v>#N/A</v>
      </c>
      <c r="N6688" s="1">
        <v>39448</v>
      </c>
    </row>
    <row r="6689" spans="11:14" x14ac:dyDescent="0.3">
      <c r="K6689" s="1">
        <v>39814</v>
      </c>
      <c r="M6689" t="e">
        <v>#N/A</v>
      </c>
      <c r="N6689" s="1">
        <v>39448</v>
      </c>
    </row>
    <row r="6690" spans="11:14" x14ac:dyDescent="0.3">
      <c r="K6690" s="1">
        <v>39814</v>
      </c>
      <c r="M6690" t="e">
        <v>#N/A</v>
      </c>
      <c r="N6690" s="1">
        <v>39448</v>
      </c>
    </row>
    <row r="6691" spans="11:14" x14ac:dyDescent="0.3">
      <c r="K6691" s="1">
        <v>39814</v>
      </c>
      <c r="M6691" t="e">
        <v>#N/A</v>
      </c>
      <c r="N6691" s="1">
        <v>39448</v>
      </c>
    </row>
    <row r="6692" spans="11:14" x14ac:dyDescent="0.3">
      <c r="K6692" s="1">
        <v>39814</v>
      </c>
      <c r="M6692" t="e">
        <v>#N/A</v>
      </c>
      <c r="N6692" s="1">
        <v>39448</v>
      </c>
    </row>
    <row r="6693" spans="11:14" x14ac:dyDescent="0.3">
      <c r="K6693" s="1">
        <v>39814</v>
      </c>
      <c r="M6693" t="e">
        <v>#N/A</v>
      </c>
      <c r="N6693" s="1">
        <v>39448</v>
      </c>
    </row>
    <row r="6694" spans="11:14" x14ac:dyDescent="0.3">
      <c r="K6694" s="1">
        <v>39814</v>
      </c>
      <c r="M6694" t="e">
        <v>#N/A</v>
      </c>
      <c r="N6694" s="1">
        <v>39448</v>
      </c>
    </row>
    <row r="6695" spans="11:14" x14ac:dyDescent="0.3">
      <c r="K6695" s="1">
        <v>39814</v>
      </c>
      <c r="M6695" t="e">
        <v>#N/A</v>
      </c>
      <c r="N6695" s="1">
        <v>39448</v>
      </c>
    </row>
    <row r="6696" spans="11:14" x14ac:dyDescent="0.3">
      <c r="K6696" s="1">
        <v>39814</v>
      </c>
      <c r="M6696" t="e">
        <v>#N/A</v>
      </c>
      <c r="N6696" s="1">
        <v>39448</v>
      </c>
    </row>
    <row r="6697" spans="11:14" x14ac:dyDescent="0.3">
      <c r="K6697" s="1">
        <v>39814</v>
      </c>
      <c r="M6697" t="e">
        <v>#N/A</v>
      </c>
      <c r="N6697" s="1">
        <v>39448</v>
      </c>
    </row>
    <row r="6698" spans="11:14" x14ac:dyDescent="0.3">
      <c r="K6698" s="1">
        <v>39814</v>
      </c>
      <c r="M6698" t="e">
        <v>#N/A</v>
      </c>
      <c r="N6698" s="1">
        <v>39448</v>
      </c>
    </row>
    <row r="6699" spans="11:14" x14ac:dyDescent="0.3">
      <c r="K6699" s="1">
        <v>39814</v>
      </c>
      <c r="M6699" t="e">
        <v>#N/A</v>
      </c>
      <c r="N6699" s="1">
        <v>39448</v>
      </c>
    </row>
    <row r="6700" spans="11:14" x14ac:dyDescent="0.3">
      <c r="K6700" s="1">
        <v>39814</v>
      </c>
      <c r="M6700" t="e">
        <v>#N/A</v>
      </c>
      <c r="N6700" s="1">
        <v>39448</v>
      </c>
    </row>
    <row r="6701" spans="11:14" x14ac:dyDescent="0.3">
      <c r="K6701" s="1">
        <v>39814</v>
      </c>
      <c r="M6701" t="e">
        <v>#N/A</v>
      </c>
      <c r="N6701" s="1">
        <v>39448</v>
      </c>
    </row>
    <row r="6702" spans="11:14" x14ac:dyDescent="0.3">
      <c r="K6702" s="1">
        <v>39814</v>
      </c>
      <c r="M6702" t="e">
        <v>#N/A</v>
      </c>
      <c r="N6702" s="1">
        <v>39448</v>
      </c>
    </row>
    <row r="6703" spans="11:14" x14ac:dyDescent="0.3">
      <c r="K6703" s="1">
        <v>39814</v>
      </c>
      <c r="M6703" t="e">
        <v>#N/A</v>
      </c>
      <c r="N6703" s="1">
        <v>39448</v>
      </c>
    </row>
    <row r="6704" spans="11:14" x14ac:dyDescent="0.3">
      <c r="K6704" s="1">
        <v>39814</v>
      </c>
      <c r="M6704" t="e">
        <v>#N/A</v>
      </c>
      <c r="N6704" s="1">
        <v>39448</v>
      </c>
    </row>
    <row r="6705" spans="11:14" x14ac:dyDescent="0.3">
      <c r="K6705" s="1">
        <v>39814</v>
      </c>
      <c r="M6705" t="e">
        <v>#N/A</v>
      </c>
      <c r="N6705" s="1">
        <v>39448</v>
      </c>
    </row>
    <row r="6706" spans="11:14" x14ac:dyDescent="0.3">
      <c r="K6706" s="1">
        <v>39814</v>
      </c>
      <c r="M6706" t="e">
        <v>#N/A</v>
      </c>
      <c r="N6706" s="1">
        <v>39448</v>
      </c>
    </row>
    <row r="6707" spans="11:14" x14ac:dyDescent="0.3">
      <c r="K6707" s="1">
        <v>39814</v>
      </c>
      <c r="M6707" t="e">
        <v>#N/A</v>
      </c>
      <c r="N6707" s="1">
        <v>39448</v>
      </c>
    </row>
    <row r="6708" spans="11:14" x14ac:dyDescent="0.3">
      <c r="K6708" s="1">
        <v>39814</v>
      </c>
      <c r="M6708" t="e">
        <v>#N/A</v>
      </c>
      <c r="N6708" s="1">
        <v>39448</v>
      </c>
    </row>
    <row r="6709" spans="11:14" x14ac:dyDescent="0.3">
      <c r="K6709" s="1">
        <v>39814</v>
      </c>
      <c r="M6709" t="e">
        <v>#N/A</v>
      </c>
      <c r="N6709" s="1">
        <v>39448</v>
      </c>
    </row>
    <row r="6710" spans="11:14" x14ac:dyDescent="0.3">
      <c r="K6710" s="1">
        <v>39814</v>
      </c>
      <c r="M6710" t="e">
        <v>#N/A</v>
      </c>
      <c r="N6710" s="1">
        <v>39448</v>
      </c>
    </row>
    <row r="6711" spans="11:14" x14ac:dyDescent="0.3">
      <c r="K6711" s="1">
        <v>39814</v>
      </c>
      <c r="M6711" t="e">
        <v>#N/A</v>
      </c>
      <c r="N6711" s="1">
        <v>39448</v>
      </c>
    </row>
    <row r="6712" spans="11:14" x14ac:dyDescent="0.3">
      <c r="K6712" s="1">
        <v>39814</v>
      </c>
      <c r="M6712" t="e">
        <v>#N/A</v>
      </c>
      <c r="N6712" s="1">
        <v>39448</v>
      </c>
    </row>
    <row r="6713" spans="11:14" x14ac:dyDescent="0.3">
      <c r="K6713" s="1">
        <v>39814</v>
      </c>
      <c r="M6713" t="e">
        <v>#N/A</v>
      </c>
      <c r="N6713" s="1">
        <v>39448</v>
      </c>
    </row>
    <row r="6714" spans="11:14" x14ac:dyDescent="0.3">
      <c r="K6714" s="1">
        <v>39814</v>
      </c>
      <c r="M6714" t="e">
        <v>#N/A</v>
      </c>
      <c r="N6714" s="1">
        <v>39448</v>
      </c>
    </row>
    <row r="6715" spans="11:14" x14ac:dyDescent="0.3">
      <c r="K6715" s="1">
        <v>39814</v>
      </c>
      <c r="M6715" t="e">
        <v>#N/A</v>
      </c>
      <c r="N6715" s="1">
        <v>39448</v>
      </c>
    </row>
    <row r="6716" spans="11:14" x14ac:dyDescent="0.3">
      <c r="K6716" s="1">
        <v>39814</v>
      </c>
      <c r="M6716" t="e">
        <v>#N/A</v>
      </c>
      <c r="N6716" s="1">
        <v>39448</v>
      </c>
    </row>
    <row r="6717" spans="11:14" x14ac:dyDescent="0.3">
      <c r="K6717" s="1">
        <v>39814</v>
      </c>
      <c r="M6717" t="e">
        <v>#N/A</v>
      </c>
      <c r="N6717" s="1">
        <v>39448</v>
      </c>
    </row>
    <row r="6718" spans="11:14" x14ac:dyDescent="0.3">
      <c r="K6718" s="1">
        <v>39814</v>
      </c>
      <c r="M6718" t="e">
        <v>#N/A</v>
      </c>
      <c r="N6718" s="1">
        <v>39448</v>
      </c>
    </row>
    <row r="6719" spans="11:14" x14ac:dyDescent="0.3">
      <c r="K6719" s="1">
        <v>39814</v>
      </c>
      <c r="M6719" t="e">
        <v>#N/A</v>
      </c>
      <c r="N6719" s="1">
        <v>39448</v>
      </c>
    </row>
    <row r="6720" spans="11:14" x14ac:dyDescent="0.3">
      <c r="K6720" s="1">
        <v>39814</v>
      </c>
      <c r="M6720" t="e">
        <v>#N/A</v>
      </c>
      <c r="N6720" s="1">
        <v>39448</v>
      </c>
    </row>
    <row r="6721" spans="11:14" x14ac:dyDescent="0.3">
      <c r="K6721" s="1">
        <v>39814</v>
      </c>
      <c r="M6721" t="e">
        <v>#N/A</v>
      </c>
      <c r="N6721" s="1">
        <v>39448</v>
      </c>
    </row>
    <row r="6722" spans="11:14" x14ac:dyDescent="0.3">
      <c r="K6722" s="1">
        <v>39814</v>
      </c>
      <c r="M6722" t="e">
        <v>#N/A</v>
      </c>
      <c r="N6722" s="1">
        <v>39448</v>
      </c>
    </row>
    <row r="6723" spans="11:14" x14ac:dyDescent="0.3">
      <c r="K6723" s="1">
        <v>39814</v>
      </c>
      <c r="M6723" t="e">
        <v>#N/A</v>
      </c>
      <c r="N6723" s="1">
        <v>39448</v>
      </c>
    </row>
    <row r="6724" spans="11:14" x14ac:dyDescent="0.3">
      <c r="K6724" s="1">
        <v>39814</v>
      </c>
      <c r="M6724" t="e">
        <v>#N/A</v>
      </c>
      <c r="N6724" s="1">
        <v>39448</v>
      </c>
    </row>
    <row r="6725" spans="11:14" x14ac:dyDescent="0.3">
      <c r="K6725" s="1">
        <v>39814</v>
      </c>
      <c r="M6725" t="e">
        <v>#N/A</v>
      </c>
      <c r="N6725" s="1">
        <v>39448</v>
      </c>
    </row>
    <row r="6726" spans="11:14" x14ac:dyDescent="0.3">
      <c r="K6726" s="1">
        <v>39814</v>
      </c>
      <c r="M6726" t="e">
        <v>#N/A</v>
      </c>
      <c r="N6726" s="1">
        <v>39448</v>
      </c>
    </row>
    <row r="6727" spans="11:14" x14ac:dyDescent="0.3">
      <c r="K6727" s="1">
        <v>39814</v>
      </c>
      <c r="M6727" t="e">
        <v>#N/A</v>
      </c>
      <c r="N6727" s="1">
        <v>39448</v>
      </c>
    </row>
    <row r="6728" spans="11:14" x14ac:dyDescent="0.3">
      <c r="K6728" s="1">
        <v>39814</v>
      </c>
      <c r="M6728" t="e">
        <v>#N/A</v>
      </c>
      <c r="N6728" s="1">
        <v>39448</v>
      </c>
    </row>
    <row r="6729" spans="11:14" x14ac:dyDescent="0.3">
      <c r="K6729" s="1">
        <v>39814</v>
      </c>
      <c r="M6729" t="e">
        <v>#N/A</v>
      </c>
      <c r="N6729" s="1">
        <v>39448</v>
      </c>
    </row>
    <row r="6730" spans="11:14" x14ac:dyDescent="0.3">
      <c r="K6730" s="1">
        <v>39814</v>
      </c>
      <c r="M6730" t="e">
        <v>#N/A</v>
      </c>
      <c r="N6730" s="1">
        <v>39448</v>
      </c>
    </row>
    <row r="6731" spans="11:14" x14ac:dyDescent="0.3">
      <c r="K6731" s="1">
        <v>39814</v>
      </c>
      <c r="M6731" t="e">
        <v>#N/A</v>
      </c>
      <c r="N6731" s="1">
        <v>39448</v>
      </c>
    </row>
    <row r="6732" spans="11:14" x14ac:dyDescent="0.3">
      <c r="K6732" s="1">
        <v>39814</v>
      </c>
      <c r="M6732" t="e">
        <v>#N/A</v>
      </c>
      <c r="N6732" s="1">
        <v>39448</v>
      </c>
    </row>
    <row r="6733" spans="11:14" x14ac:dyDescent="0.3">
      <c r="K6733" s="1">
        <v>39814</v>
      </c>
      <c r="M6733" t="e">
        <v>#N/A</v>
      </c>
      <c r="N6733" s="1">
        <v>39448</v>
      </c>
    </row>
    <row r="6734" spans="11:14" x14ac:dyDescent="0.3">
      <c r="K6734" s="1">
        <v>39814</v>
      </c>
      <c r="M6734" t="e">
        <v>#N/A</v>
      </c>
      <c r="N6734" s="1">
        <v>39448</v>
      </c>
    </row>
    <row r="6735" spans="11:14" x14ac:dyDescent="0.3">
      <c r="K6735" s="1">
        <v>39814</v>
      </c>
      <c r="M6735" t="e">
        <v>#N/A</v>
      </c>
      <c r="N6735" s="1">
        <v>39448</v>
      </c>
    </row>
    <row r="6736" spans="11:14" x14ac:dyDescent="0.3">
      <c r="K6736" s="1">
        <v>39814</v>
      </c>
      <c r="M6736" t="e">
        <v>#N/A</v>
      </c>
      <c r="N6736" s="1">
        <v>39448</v>
      </c>
    </row>
    <row r="6737" spans="11:14" x14ac:dyDescent="0.3">
      <c r="K6737" s="1">
        <v>39814</v>
      </c>
      <c r="M6737" t="e">
        <v>#N/A</v>
      </c>
      <c r="N6737" s="1">
        <v>39448</v>
      </c>
    </row>
    <row r="6738" spans="11:14" x14ac:dyDescent="0.3">
      <c r="K6738" s="1">
        <v>39814</v>
      </c>
      <c r="M6738" t="e">
        <v>#N/A</v>
      </c>
      <c r="N6738" s="1">
        <v>39448</v>
      </c>
    </row>
    <row r="6739" spans="11:14" x14ac:dyDescent="0.3">
      <c r="K6739" s="1">
        <v>39814</v>
      </c>
      <c r="M6739" t="e">
        <v>#N/A</v>
      </c>
      <c r="N6739" s="1">
        <v>39448</v>
      </c>
    </row>
    <row r="6740" spans="11:14" x14ac:dyDescent="0.3">
      <c r="K6740" s="1">
        <v>39814</v>
      </c>
      <c r="M6740" t="e">
        <v>#N/A</v>
      </c>
      <c r="N6740" s="1">
        <v>39448</v>
      </c>
    </row>
    <row r="6741" spans="11:14" x14ac:dyDescent="0.3">
      <c r="K6741" s="1">
        <v>39814</v>
      </c>
      <c r="M6741" t="e">
        <v>#N/A</v>
      </c>
      <c r="N6741" s="1">
        <v>39448</v>
      </c>
    </row>
    <row r="6742" spans="11:14" x14ac:dyDescent="0.3">
      <c r="K6742" s="1">
        <v>39814</v>
      </c>
      <c r="M6742" t="e">
        <v>#N/A</v>
      </c>
      <c r="N6742" s="1">
        <v>39448</v>
      </c>
    </row>
    <row r="6743" spans="11:14" x14ac:dyDescent="0.3">
      <c r="K6743" s="1">
        <v>39814</v>
      </c>
      <c r="M6743" t="e">
        <v>#N/A</v>
      </c>
      <c r="N6743" s="1">
        <v>39448</v>
      </c>
    </row>
    <row r="6744" spans="11:14" x14ac:dyDescent="0.3">
      <c r="K6744" s="1">
        <v>39814</v>
      </c>
      <c r="M6744" t="e">
        <v>#N/A</v>
      </c>
      <c r="N6744" s="1">
        <v>39448</v>
      </c>
    </row>
    <row r="6745" spans="11:14" x14ac:dyDescent="0.3">
      <c r="K6745" s="1">
        <v>39814</v>
      </c>
      <c r="M6745" t="e">
        <v>#N/A</v>
      </c>
      <c r="N6745" s="1">
        <v>39448</v>
      </c>
    </row>
    <row r="6746" spans="11:14" x14ac:dyDescent="0.3">
      <c r="K6746" s="1">
        <v>39814</v>
      </c>
      <c r="M6746" t="e">
        <v>#N/A</v>
      </c>
      <c r="N6746" s="1">
        <v>39448</v>
      </c>
    </row>
    <row r="6747" spans="11:14" x14ac:dyDescent="0.3">
      <c r="K6747" s="1">
        <v>39814</v>
      </c>
      <c r="M6747" t="e">
        <v>#N/A</v>
      </c>
      <c r="N6747" s="1">
        <v>39448</v>
      </c>
    </row>
    <row r="6748" spans="11:14" x14ac:dyDescent="0.3">
      <c r="K6748" s="1">
        <v>39814</v>
      </c>
      <c r="M6748" t="e">
        <v>#N/A</v>
      </c>
      <c r="N6748" s="1">
        <v>39448</v>
      </c>
    </row>
    <row r="6749" spans="11:14" x14ac:dyDescent="0.3">
      <c r="K6749" s="1">
        <v>39814</v>
      </c>
      <c r="M6749" t="e">
        <v>#N/A</v>
      </c>
      <c r="N6749" s="1">
        <v>39448</v>
      </c>
    </row>
    <row r="6750" spans="11:14" x14ac:dyDescent="0.3">
      <c r="K6750" s="1">
        <v>39814</v>
      </c>
      <c r="M6750" t="e">
        <v>#N/A</v>
      </c>
      <c r="N6750" s="1">
        <v>39448</v>
      </c>
    </row>
    <row r="6751" spans="11:14" x14ac:dyDescent="0.3">
      <c r="K6751" s="1">
        <v>39814</v>
      </c>
      <c r="M6751" t="e">
        <v>#N/A</v>
      </c>
      <c r="N6751" s="1">
        <v>39448</v>
      </c>
    </row>
    <row r="6752" spans="11:14" x14ac:dyDescent="0.3">
      <c r="K6752" s="1">
        <v>39814</v>
      </c>
      <c r="M6752" t="e">
        <v>#N/A</v>
      </c>
      <c r="N6752" s="1">
        <v>39448</v>
      </c>
    </row>
    <row r="6753" spans="11:14" x14ac:dyDescent="0.3">
      <c r="K6753" s="1">
        <v>39814</v>
      </c>
      <c r="M6753" t="e">
        <v>#N/A</v>
      </c>
      <c r="N6753" s="1">
        <v>39448</v>
      </c>
    </row>
    <row r="6754" spans="11:14" x14ac:dyDescent="0.3">
      <c r="K6754" s="1">
        <v>39814</v>
      </c>
      <c r="M6754" t="e">
        <v>#N/A</v>
      </c>
      <c r="N6754" s="1">
        <v>39448</v>
      </c>
    </row>
    <row r="6755" spans="11:14" x14ac:dyDescent="0.3">
      <c r="K6755" s="1">
        <v>39814</v>
      </c>
      <c r="M6755" t="e">
        <v>#N/A</v>
      </c>
      <c r="N6755" s="1">
        <v>39448</v>
      </c>
    </row>
    <row r="6756" spans="11:14" x14ac:dyDescent="0.3">
      <c r="K6756" s="1">
        <v>39814</v>
      </c>
      <c r="M6756" t="e">
        <v>#N/A</v>
      </c>
      <c r="N6756" s="1">
        <v>39448</v>
      </c>
    </row>
    <row r="6757" spans="11:14" x14ac:dyDescent="0.3">
      <c r="K6757" s="1">
        <v>39814</v>
      </c>
      <c r="M6757" t="e">
        <v>#N/A</v>
      </c>
      <c r="N6757" s="1">
        <v>39448</v>
      </c>
    </row>
    <row r="6758" spans="11:14" x14ac:dyDescent="0.3">
      <c r="K6758" s="1">
        <v>39814</v>
      </c>
      <c r="M6758" t="e">
        <v>#N/A</v>
      </c>
      <c r="N6758" s="1">
        <v>39448</v>
      </c>
    </row>
    <row r="6759" spans="11:14" x14ac:dyDescent="0.3">
      <c r="K6759" s="1">
        <v>39814</v>
      </c>
      <c r="M6759" t="e">
        <v>#N/A</v>
      </c>
      <c r="N6759" s="1">
        <v>39448</v>
      </c>
    </row>
    <row r="6760" spans="11:14" x14ac:dyDescent="0.3">
      <c r="K6760" s="1">
        <v>39814</v>
      </c>
      <c r="M6760" t="e">
        <v>#N/A</v>
      </c>
      <c r="N6760" s="1">
        <v>39448</v>
      </c>
    </row>
    <row r="6761" spans="11:14" x14ac:dyDescent="0.3">
      <c r="K6761" s="1">
        <v>39814</v>
      </c>
      <c r="M6761" t="e">
        <v>#N/A</v>
      </c>
      <c r="N6761" s="1">
        <v>39448</v>
      </c>
    </row>
    <row r="6762" spans="11:14" x14ac:dyDescent="0.3">
      <c r="K6762" s="1">
        <v>39814</v>
      </c>
      <c r="M6762" t="e">
        <v>#N/A</v>
      </c>
      <c r="N6762" s="1">
        <v>39448</v>
      </c>
    </row>
    <row r="6763" spans="11:14" x14ac:dyDescent="0.3">
      <c r="K6763" s="1">
        <v>39814</v>
      </c>
      <c r="M6763" t="e">
        <v>#N/A</v>
      </c>
      <c r="N6763" s="1">
        <v>39448</v>
      </c>
    </row>
    <row r="6764" spans="11:14" x14ac:dyDescent="0.3">
      <c r="K6764" s="1">
        <v>39814</v>
      </c>
      <c r="M6764" t="e">
        <v>#N/A</v>
      </c>
      <c r="N6764" s="1">
        <v>39448</v>
      </c>
    </row>
    <row r="6765" spans="11:14" x14ac:dyDescent="0.3">
      <c r="K6765" s="1">
        <v>39814</v>
      </c>
      <c r="M6765" t="e">
        <v>#N/A</v>
      </c>
      <c r="N6765" s="1">
        <v>39448</v>
      </c>
    </row>
    <row r="6766" spans="11:14" x14ac:dyDescent="0.3">
      <c r="K6766" s="1">
        <v>39814</v>
      </c>
      <c r="M6766" t="e">
        <v>#N/A</v>
      </c>
      <c r="N6766" s="1">
        <v>39448</v>
      </c>
    </row>
    <row r="6767" spans="11:14" x14ac:dyDescent="0.3">
      <c r="K6767" s="1">
        <v>39814</v>
      </c>
      <c r="M6767" t="e">
        <v>#N/A</v>
      </c>
      <c r="N6767" s="1">
        <v>39448</v>
      </c>
    </row>
    <row r="6768" spans="11:14" x14ac:dyDescent="0.3">
      <c r="K6768" s="1">
        <v>39814</v>
      </c>
      <c r="M6768" t="e">
        <v>#N/A</v>
      </c>
      <c r="N6768" s="1">
        <v>39448</v>
      </c>
    </row>
    <row r="6769" spans="11:14" x14ac:dyDescent="0.3">
      <c r="K6769" s="1">
        <v>39814</v>
      </c>
      <c r="M6769" t="e">
        <v>#N/A</v>
      </c>
      <c r="N6769" s="1">
        <v>39448</v>
      </c>
    </row>
    <row r="6770" spans="11:14" x14ac:dyDescent="0.3">
      <c r="K6770" s="1">
        <v>39814</v>
      </c>
      <c r="M6770" t="e">
        <v>#N/A</v>
      </c>
      <c r="N6770" s="1">
        <v>39448</v>
      </c>
    </row>
    <row r="6771" spans="11:14" x14ac:dyDescent="0.3">
      <c r="K6771" s="1">
        <v>39814</v>
      </c>
      <c r="M6771" t="e">
        <v>#N/A</v>
      </c>
      <c r="N6771" s="1">
        <v>39448</v>
      </c>
    </row>
    <row r="6772" spans="11:14" x14ac:dyDescent="0.3">
      <c r="K6772" s="1">
        <v>39814</v>
      </c>
      <c r="M6772" t="e">
        <v>#N/A</v>
      </c>
      <c r="N6772" s="1">
        <v>39448</v>
      </c>
    </row>
    <row r="6773" spans="11:14" x14ac:dyDescent="0.3">
      <c r="K6773" s="1">
        <v>39814</v>
      </c>
      <c r="M6773" t="e">
        <v>#N/A</v>
      </c>
      <c r="N6773" s="1">
        <v>39448</v>
      </c>
    </row>
    <row r="6774" spans="11:14" x14ac:dyDescent="0.3">
      <c r="K6774" s="1">
        <v>39814</v>
      </c>
      <c r="M6774" t="e">
        <v>#N/A</v>
      </c>
      <c r="N6774" s="1">
        <v>39448</v>
      </c>
    </row>
    <row r="6775" spans="11:14" x14ac:dyDescent="0.3">
      <c r="K6775" s="1">
        <v>39814</v>
      </c>
      <c r="M6775" t="e">
        <v>#N/A</v>
      </c>
      <c r="N6775" s="1">
        <v>39448</v>
      </c>
    </row>
    <row r="6776" spans="11:14" x14ac:dyDescent="0.3">
      <c r="K6776" s="1">
        <v>39814</v>
      </c>
      <c r="M6776" t="e">
        <v>#N/A</v>
      </c>
      <c r="N6776" s="1">
        <v>39448</v>
      </c>
    </row>
    <row r="6777" spans="11:14" x14ac:dyDescent="0.3">
      <c r="K6777" s="1">
        <v>39814</v>
      </c>
      <c r="M6777" t="e">
        <v>#N/A</v>
      </c>
      <c r="N6777" s="1">
        <v>39448</v>
      </c>
    </row>
    <row r="6778" spans="11:14" x14ac:dyDescent="0.3">
      <c r="K6778" s="1">
        <v>39814</v>
      </c>
      <c r="M6778" t="e">
        <v>#N/A</v>
      </c>
      <c r="N6778" s="1">
        <v>39448</v>
      </c>
    </row>
    <row r="6779" spans="11:14" x14ac:dyDescent="0.3">
      <c r="K6779" s="1">
        <v>39814</v>
      </c>
      <c r="M6779" t="e">
        <v>#N/A</v>
      </c>
      <c r="N6779" s="1">
        <v>39448</v>
      </c>
    </row>
    <row r="6780" spans="11:14" x14ac:dyDescent="0.3">
      <c r="K6780" s="1">
        <v>39814</v>
      </c>
      <c r="M6780" t="e">
        <v>#N/A</v>
      </c>
      <c r="N6780" s="1">
        <v>39448</v>
      </c>
    </row>
    <row r="6781" spans="11:14" x14ac:dyDescent="0.3">
      <c r="K6781" s="1">
        <v>39814</v>
      </c>
      <c r="M6781" t="e">
        <v>#N/A</v>
      </c>
      <c r="N6781" s="1">
        <v>39448</v>
      </c>
    </row>
    <row r="6782" spans="11:14" x14ac:dyDescent="0.3">
      <c r="K6782" s="1">
        <v>39814</v>
      </c>
      <c r="M6782" t="e">
        <v>#N/A</v>
      </c>
      <c r="N6782" s="1">
        <v>39448</v>
      </c>
    </row>
    <row r="6783" spans="11:14" x14ac:dyDescent="0.3">
      <c r="K6783" s="1">
        <v>39814</v>
      </c>
      <c r="M6783" t="e">
        <v>#N/A</v>
      </c>
      <c r="N6783" s="1">
        <v>39448</v>
      </c>
    </row>
    <row r="6784" spans="11:14" x14ac:dyDescent="0.3">
      <c r="K6784" s="1">
        <v>39814</v>
      </c>
      <c r="M6784" t="e">
        <v>#N/A</v>
      </c>
      <c r="N6784" s="1">
        <v>39448</v>
      </c>
    </row>
    <row r="6785" spans="11:14" x14ac:dyDescent="0.3">
      <c r="K6785" s="1">
        <v>39814</v>
      </c>
      <c r="M6785" t="e">
        <v>#N/A</v>
      </c>
      <c r="N6785" s="1">
        <v>39448</v>
      </c>
    </row>
    <row r="6786" spans="11:14" x14ac:dyDescent="0.3">
      <c r="K6786" s="1">
        <v>39814</v>
      </c>
      <c r="M6786" t="e">
        <v>#N/A</v>
      </c>
      <c r="N6786" s="1">
        <v>39448</v>
      </c>
    </row>
    <row r="6787" spans="11:14" x14ac:dyDescent="0.3">
      <c r="K6787" s="1">
        <v>39814</v>
      </c>
      <c r="M6787" t="e">
        <v>#N/A</v>
      </c>
      <c r="N6787" s="1">
        <v>39448</v>
      </c>
    </row>
    <row r="6788" spans="11:14" x14ac:dyDescent="0.3">
      <c r="K6788" s="1">
        <v>39814</v>
      </c>
      <c r="M6788" t="e">
        <v>#N/A</v>
      </c>
      <c r="N6788" s="1">
        <v>39448</v>
      </c>
    </row>
    <row r="6789" spans="11:14" x14ac:dyDescent="0.3">
      <c r="K6789" s="1">
        <v>39814</v>
      </c>
      <c r="M6789" t="e">
        <v>#N/A</v>
      </c>
      <c r="N6789" s="1">
        <v>39448</v>
      </c>
    </row>
    <row r="6790" spans="11:14" x14ac:dyDescent="0.3">
      <c r="K6790" s="1">
        <v>39814</v>
      </c>
      <c r="M6790" t="e">
        <v>#N/A</v>
      </c>
      <c r="N6790" s="1">
        <v>39448</v>
      </c>
    </row>
    <row r="6791" spans="11:14" x14ac:dyDescent="0.3">
      <c r="K6791" s="1">
        <v>39814</v>
      </c>
      <c r="M6791" t="e">
        <v>#N/A</v>
      </c>
      <c r="N6791" s="1">
        <v>39448</v>
      </c>
    </row>
    <row r="6792" spans="11:14" x14ac:dyDescent="0.3">
      <c r="K6792" s="1">
        <v>39814</v>
      </c>
      <c r="M6792" t="e">
        <v>#N/A</v>
      </c>
      <c r="N6792" s="1">
        <v>39448</v>
      </c>
    </row>
    <row r="6793" spans="11:14" x14ac:dyDescent="0.3">
      <c r="K6793" s="1">
        <v>39814</v>
      </c>
      <c r="M6793" t="e">
        <v>#N/A</v>
      </c>
      <c r="N6793" s="1">
        <v>39448</v>
      </c>
    </row>
    <row r="6794" spans="11:14" x14ac:dyDescent="0.3">
      <c r="K6794" s="1">
        <v>39814</v>
      </c>
      <c r="M6794" t="e">
        <v>#N/A</v>
      </c>
      <c r="N6794" s="1">
        <v>39448</v>
      </c>
    </row>
    <row r="6795" spans="11:14" x14ac:dyDescent="0.3">
      <c r="K6795" s="1">
        <v>39814</v>
      </c>
      <c r="M6795" t="e">
        <v>#N/A</v>
      </c>
      <c r="N6795" s="1">
        <v>39448</v>
      </c>
    </row>
    <row r="6796" spans="11:14" x14ac:dyDescent="0.3">
      <c r="K6796" s="1">
        <v>39814</v>
      </c>
      <c r="M6796" t="e">
        <v>#N/A</v>
      </c>
      <c r="N6796" s="1">
        <v>39448</v>
      </c>
    </row>
    <row r="6797" spans="11:14" x14ac:dyDescent="0.3">
      <c r="K6797" s="1">
        <v>39814</v>
      </c>
      <c r="M6797" t="e">
        <v>#N/A</v>
      </c>
      <c r="N6797" s="1">
        <v>39448</v>
      </c>
    </row>
    <row r="6798" spans="11:14" x14ac:dyDescent="0.3">
      <c r="K6798" s="1">
        <v>39814</v>
      </c>
      <c r="M6798" t="e">
        <v>#N/A</v>
      </c>
      <c r="N6798" s="1">
        <v>39448</v>
      </c>
    </row>
    <row r="6799" spans="11:14" x14ac:dyDescent="0.3">
      <c r="K6799" s="1">
        <v>39814</v>
      </c>
      <c r="M6799" t="e">
        <v>#N/A</v>
      </c>
      <c r="N6799" s="1">
        <v>39448</v>
      </c>
    </row>
    <row r="6800" spans="11:14" x14ac:dyDescent="0.3">
      <c r="K6800" s="1">
        <v>39814</v>
      </c>
      <c r="M6800" t="e">
        <v>#N/A</v>
      </c>
      <c r="N6800" s="1">
        <v>39448</v>
      </c>
    </row>
    <row r="6801" spans="11:14" x14ac:dyDescent="0.3">
      <c r="K6801" s="1">
        <v>39814</v>
      </c>
      <c r="M6801" t="e">
        <v>#N/A</v>
      </c>
      <c r="N6801" s="1">
        <v>39448</v>
      </c>
    </row>
    <row r="6802" spans="11:14" x14ac:dyDescent="0.3">
      <c r="K6802" s="1">
        <v>39814</v>
      </c>
      <c r="M6802" t="e">
        <v>#N/A</v>
      </c>
      <c r="N6802" s="1">
        <v>39448</v>
      </c>
    </row>
    <row r="6803" spans="11:14" x14ac:dyDescent="0.3">
      <c r="K6803" s="1">
        <v>39814</v>
      </c>
      <c r="M6803" t="e">
        <v>#N/A</v>
      </c>
      <c r="N6803" s="1">
        <v>39448</v>
      </c>
    </row>
    <row r="6804" spans="11:14" x14ac:dyDescent="0.3">
      <c r="K6804" s="1">
        <v>39814</v>
      </c>
      <c r="M6804" t="e">
        <v>#N/A</v>
      </c>
      <c r="N6804" s="1">
        <v>39448</v>
      </c>
    </row>
    <row r="6805" spans="11:14" x14ac:dyDescent="0.3">
      <c r="K6805" s="1">
        <v>39814</v>
      </c>
      <c r="M6805" t="e">
        <v>#N/A</v>
      </c>
      <c r="N6805" s="1">
        <v>39448</v>
      </c>
    </row>
    <row r="6806" spans="11:14" x14ac:dyDescent="0.3">
      <c r="K6806" s="1">
        <v>39814</v>
      </c>
      <c r="M6806" t="e">
        <v>#N/A</v>
      </c>
      <c r="N6806" s="1">
        <v>39448</v>
      </c>
    </row>
    <row r="6807" spans="11:14" x14ac:dyDescent="0.3">
      <c r="K6807" s="1">
        <v>39814</v>
      </c>
      <c r="M6807" t="e">
        <v>#N/A</v>
      </c>
      <c r="N6807" s="1">
        <v>39448</v>
      </c>
    </row>
    <row r="6808" spans="11:14" x14ac:dyDescent="0.3">
      <c r="K6808" s="1">
        <v>39814</v>
      </c>
      <c r="M6808" t="e">
        <v>#N/A</v>
      </c>
      <c r="N6808" s="1">
        <v>39448</v>
      </c>
    </row>
    <row r="6809" spans="11:14" x14ac:dyDescent="0.3">
      <c r="K6809" s="1">
        <v>39814</v>
      </c>
      <c r="M6809" t="e">
        <v>#N/A</v>
      </c>
      <c r="N6809" s="1">
        <v>39448</v>
      </c>
    </row>
    <row r="6810" spans="11:14" x14ac:dyDescent="0.3">
      <c r="K6810" s="1">
        <v>39814</v>
      </c>
      <c r="M6810" t="e">
        <v>#N/A</v>
      </c>
      <c r="N6810" s="1">
        <v>39448</v>
      </c>
    </row>
    <row r="6811" spans="11:14" x14ac:dyDescent="0.3">
      <c r="K6811" s="1">
        <v>39814</v>
      </c>
      <c r="M6811" t="e">
        <v>#N/A</v>
      </c>
      <c r="N6811" s="1">
        <v>39448</v>
      </c>
    </row>
    <row r="6812" spans="11:14" x14ac:dyDescent="0.3">
      <c r="K6812" s="1">
        <v>39814</v>
      </c>
      <c r="M6812" t="e">
        <v>#N/A</v>
      </c>
      <c r="N6812" s="1">
        <v>39448</v>
      </c>
    </row>
    <row r="6813" spans="11:14" x14ac:dyDescent="0.3">
      <c r="K6813" s="1">
        <v>39814</v>
      </c>
      <c r="M6813" t="e">
        <v>#N/A</v>
      </c>
      <c r="N6813" s="1">
        <v>39448</v>
      </c>
    </row>
    <row r="6814" spans="11:14" x14ac:dyDescent="0.3">
      <c r="K6814" s="1">
        <v>39814</v>
      </c>
      <c r="M6814" t="e">
        <v>#N/A</v>
      </c>
      <c r="N6814" s="1">
        <v>39448</v>
      </c>
    </row>
    <row r="6815" spans="11:14" x14ac:dyDescent="0.3">
      <c r="K6815" s="1">
        <v>39814</v>
      </c>
      <c r="M6815" t="e">
        <v>#N/A</v>
      </c>
      <c r="N6815" s="1">
        <v>39448</v>
      </c>
    </row>
    <row r="6816" spans="11:14" x14ac:dyDescent="0.3">
      <c r="K6816" s="1">
        <v>39814</v>
      </c>
      <c r="M6816" t="e">
        <v>#N/A</v>
      </c>
      <c r="N6816" s="1">
        <v>39448</v>
      </c>
    </row>
    <row r="6817" spans="11:14" x14ac:dyDescent="0.3">
      <c r="K6817" s="1">
        <v>39814</v>
      </c>
      <c r="M6817" t="e">
        <v>#N/A</v>
      </c>
      <c r="N6817" s="1">
        <v>39448</v>
      </c>
    </row>
    <row r="6818" spans="11:14" x14ac:dyDescent="0.3">
      <c r="K6818" s="1">
        <v>39814</v>
      </c>
      <c r="M6818" t="e">
        <v>#N/A</v>
      </c>
      <c r="N6818" s="1">
        <v>39448</v>
      </c>
    </row>
    <row r="6819" spans="11:14" x14ac:dyDescent="0.3">
      <c r="K6819" s="1">
        <v>39814</v>
      </c>
      <c r="M6819" t="e">
        <v>#N/A</v>
      </c>
      <c r="N6819" s="1">
        <v>39448</v>
      </c>
    </row>
    <row r="6820" spans="11:14" x14ac:dyDescent="0.3">
      <c r="K6820" s="1">
        <v>39814</v>
      </c>
      <c r="M6820" t="e">
        <v>#N/A</v>
      </c>
      <c r="N6820" s="1">
        <v>39448</v>
      </c>
    </row>
    <row r="6821" spans="11:14" x14ac:dyDescent="0.3">
      <c r="K6821" s="1">
        <v>39814</v>
      </c>
      <c r="M6821" t="e">
        <v>#N/A</v>
      </c>
      <c r="N6821" s="1">
        <v>39448</v>
      </c>
    </row>
    <row r="6822" spans="11:14" x14ac:dyDescent="0.3">
      <c r="K6822" s="1">
        <v>39814</v>
      </c>
      <c r="M6822" t="e">
        <v>#N/A</v>
      </c>
      <c r="N6822" s="1">
        <v>39448</v>
      </c>
    </row>
    <row r="6823" spans="11:14" x14ac:dyDescent="0.3">
      <c r="K6823" s="1">
        <v>39814</v>
      </c>
      <c r="M6823" t="e">
        <v>#N/A</v>
      </c>
      <c r="N6823" s="1">
        <v>39448</v>
      </c>
    </row>
    <row r="6824" spans="11:14" x14ac:dyDescent="0.3">
      <c r="K6824" s="1">
        <v>39814</v>
      </c>
      <c r="M6824" t="e">
        <v>#N/A</v>
      </c>
      <c r="N6824" s="1">
        <v>39448</v>
      </c>
    </row>
    <row r="6825" spans="11:14" x14ac:dyDescent="0.3">
      <c r="K6825" s="1">
        <v>39814</v>
      </c>
      <c r="M6825" t="e">
        <v>#N/A</v>
      </c>
      <c r="N6825" s="1">
        <v>39448</v>
      </c>
    </row>
    <row r="6826" spans="11:14" x14ac:dyDescent="0.3">
      <c r="K6826" s="1">
        <v>39814</v>
      </c>
      <c r="M6826" t="e">
        <v>#N/A</v>
      </c>
      <c r="N6826" s="1">
        <v>39448</v>
      </c>
    </row>
    <row r="6827" spans="11:14" x14ac:dyDescent="0.3">
      <c r="K6827" s="1">
        <v>39814</v>
      </c>
      <c r="M6827" t="e">
        <v>#N/A</v>
      </c>
      <c r="N6827" s="1">
        <v>39448</v>
      </c>
    </row>
    <row r="6828" spans="11:14" x14ac:dyDescent="0.3">
      <c r="K6828" s="1">
        <v>39814</v>
      </c>
      <c r="M6828" t="e">
        <v>#N/A</v>
      </c>
      <c r="N6828" s="1">
        <v>39448</v>
      </c>
    </row>
    <row r="6829" spans="11:14" x14ac:dyDescent="0.3">
      <c r="K6829" s="1">
        <v>39814</v>
      </c>
      <c r="M6829" t="e">
        <v>#N/A</v>
      </c>
      <c r="N6829" s="1">
        <v>39448</v>
      </c>
    </row>
    <row r="6830" spans="11:14" x14ac:dyDescent="0.3">
      <c r="K6830" s="1">
        <v>39814</v>
      </c>
      <c r="M6830" t="e">
        <v>#N/A</v>
      </c>
      <c r="N6830" s="1">
        <v>39448</v>
      </c>
    </row>
    <row r="6831" spans="11:14" x14ac:dyDescent="0.3">
      <c r="K6831" s="1">
        <v>39814</v>
      </c>
      <c r="M6831" t="e">
        <v>#N/A</v>
      </c>
      <c r="N6831" s="1">
        <v>39448</v>
      </c>
    </row>
    <row r="6832" spans="11:14" x14ac:dyDescent="0.3">
      <c r="K6832" s="1">
        <v>39814</v>
      </c>
      <c r="M6832" t="e">
        <v>#N/A</v>
      </c>
      <c r="N6832" s="1">
        <v>39448</v>
      </c>
    </row>
    <row r="6833" spans="11:14" x14ac:dyDescent="0.3">
      <c r="K6833" s="1">
        <v>39814</v>
      </c>
      <c r="M6833" t="e">
        <v>#N/A</v>
      </c>
      <c r="N6833" s="1">
        <v>39448</v>
      </c>
    </row>
    <row r="6834" spans="11:14" x14ac:dyDescent="0.3">
      <c r="K6834" s="1">
        <v>39814</v>
      </c>
      <c r="M6834" t="e">
        <v>#N/A</v>
      </c>
      <c r="N6834" s="1">
        <v>39448</v>
      </c>
    </row>
    <row r="6835" spans="11:14" x14ac:dyDescent="0.3">
      <c r="K6835" s="1">
        <v>39814</v>
      </c>
      <c r="M6835" t="e">
        <v>#N/A</v>
      </c>
      <c r="N6835" s="1">
        <v>39448</v>
      </c>
    </row>
    <row r="6836" spans="11:14" x14ac:dyDescent="0.3">
      <c r="K6836" s="1">
        <v>39814</v>
      </c>
      <c r="M6836" t="e">
        <v>#N/A</v>
      </c>
      <c r="N6836" s="1">
        <v>39448</v>
      </c>
    </row>
    <row r="6837" spans="11:14" x14ac:dyDescent="0.3">
      <c r="K6837" s="1">
        <v>39814</v>
      </c>
      <c r="M6837" t="e">
        <v>#N/A</v>
      </c>
      <c r="N6837" s="1">
        <v>39448</v>
      </c>
    </row>
    <row r="6838" spans="11:14" x14ac:dyDescent="0.3">
      <c r="K6838" s="1">
        <v>39814</v>
      </c>
      <c r="M6838" t="e">
        <v>#N/A</v>
      </c>
      <c r="N6838" s="1">
        <v>39448</v>
      </c>
    </row>
    <row r="6839" spans="11:14" x14ac:dyDescent="0.3">
      <c r="K6839" s="1">
        <v>39814</v>
      </c>
      <c r="M6839" t="e">
        <v>#N/A</v>
      </c>
      <c r="N6839" s="1">
        <v>39448</v>
      </c>
    </row>
    <row r="6840" spans="11:14" x14ac:dyDescent="0.3">
      <c r="K6840" s="1">
        <v>39814</v>
      </c>
      <c r="M6840" t="e">
        <v>#N/A</v>
      </c>
      <c r="N6840" s="1">
        <v>39448</v>
      </c>
    </row>
    <row r="6841" spans="11:14" x14ac:dyDescent="0.3">
      <c r="K6841" s="1">
        <v>39814</v>
      </c>
      <c r="M6841" t="e">
        <v>#N/A</v>
      </c>
      <c r="N6841" s="1">
        <v>39448</v>
      </c>
    </row>
    <row r="6842" spans="11:14" x14ac:dyDescent="0.3">
      <c r="K6842" s="1">
        <v>39814</v>
      </c>
      <c r="M6842" t="e">
        <v>#N/A</v>
      </c>
      <c r="N6842" s="1">
        <v>39448</v>
      </c>
    </row>
    <row r="6843" spans="11:14" x14ac:dyDescent="0.3">
      <c r="K6843" s="1">
        <v>39814</v>
      </c>
      <c r="M6843" t="e">
        <v>#N/A</v>
      </c>
      <c r="N6843" s="1">
        <v>39448</v>
      </c>
    </row>
    <row r="6844" spans="11:14" x14ac:dyDescent="0.3">
      <c r="K6844" s="1">
        <v>39814</v>
      </c>
      <c r="M6844" t="e">
        <v>#N/A</v>
      </c>
      <c r="N6844" s="1">
        <v>39448</v>
      </c>
    </row>
    <row r="6845" spans="11:14" x14ac:dyDescent="0.3">
      <c r="K6845" s="1">
        <v>39814</v>
      </c>
      <c r="M6845" t="e">
        <v>#N/A</v>
      </c>
      <c r="N6845" s="1">
        <v>39448</v>
      </c>
    </row>
    <row r="6846" spans="11:14" x14ac:dyDescent="0.3">
      <c r="K6846" s="1">
        <v>39814</v>
      </c>
      <c r="M6846" t="e">
        <v>#N/A</v>
      </c>
      <c r="N6846" s="1">
        <v>39448</v>
      </c>
    </row>
    <row r="6847" spans="11:14" x14ac:dyDescent="0.3">
      <c r="K6847" s="1">
        <v>39814</v>
      </c>
      <c r="M6847" t="e">
        <v>#N/A</v>
      </c>
      <c r="N6847" s="1">
        <v>39448</v>
      </c>
    </row>
    <row r="6848" spans="11:14" x14ac:dyDescent="0.3">
      <c r="K6848" s="1">
        <v>39814</v>
      </c>
      <c r="M6848" t="e">
        <v>#N/A</v>
      </c>
      <c r="N6848" s="1">
        <v>39448</v>
      </c>
    </row>
    <row r="6849" spans="11:14" x14ac:dyDescent="0.3">
      <c r="K6849" s="1">
        <v>39814</v>
      </c>
      <c r="M6849" t="e">
        <v>#N/A</v>
      </c>
      <c r="N6849" s="1">
        <v>39448</v>
      </c>
    </row>
    <row r="6850" spans="11:14" x14ac:dyDescent="0.3">
      <c r="K6850" s="1">
        <v>39814</v>
      </c>
      <c r="M6850" t="e">
        <v>#N/A</v>
      </c>
      <c r="N6850" s="1">
        <v>39448</v>
      </c>
    </row>
    <row r="6851" spans="11:14" x14ac:dyDescent="0.3">
      <c r="K6851" s="1">
        <v>39814</v>
      </c>
      <c r="M6851" t="e">
        <v>#N/A</v>
      </c>
      <c r="N6851" s="1">
        <v>39448</v>
      </c>
    </row>
    <row r="6852" spans="11:14" x14ac:dyDescent="0.3">
      <c r="K6852" s="1">
        <v>39814</v>
      </c>
      <c r="M6852" t="e">
        <v>#N/A</v>
      </c>
      <c r="N6852" s="1">
        <v>39448</v>
      </c>
    </row>
    <row r="6853" spans="11:14" x14ac:dyDescent="0.3">
      <c r="K6853" s="1">
        <v>39814</v>
      </c>
      <c r="M6853" t="e">
        <v>#N/A</v>
      </c>
      <c r="N6853" s="1">
        <v>39448</v>
      </c>
    </row>
    <row r="6854" spans="11:14" x14ac:dyDescent="0.3">
      <c r="K6854" s="1">
        <v>39814</v>
      </c>
      <c r="M6854" t="e">
        <v>#N/A</v>
      </c>
      <c r="N6854" s="1">
        <v>39448</v>
      </c>
    </row>
    <row r="6855" spans="11:14" x14ac:dyDescent="0.3">
      <c r="K6855" s="1">
        <v>39814</v>
      </c>
      <c r="M6855" t="e">
        <v>#N/A</v>
      </c>
      <c r="N6855" s="1">
        <v>39448</v>
      </c>
    </row>
    <row r="6856" spans="11:14" x14ac:dyDescent="0.3">
      <c r="K6856" s="1">
        <v>39814</v>
      </c>
      <c r="M6856" t="e">
        <v>#N/A</v>
      </c>
      <c r="N6856" s="1">
        <v>39448</v>
      </c>
    </row>
    <row r="6857" spans="11:14" x14ac:dyDescent="0.3">
      <c r="K6857" s="1">
        <v>39814</v>
      </c>
      <c r="M6857" t="e">
        <v>#N/A</v>
      </c>
      <c r="N6857" s="1">
        <v>39448</v>
      </c>
    </row>
    <row r="6858" spans="11:14" x14ac:dyDescent="0.3">
      <c r="K6858" s="1">
        <v>39814</v>
      </c>
      <c r="M6858" t="e">
        <v>#N/A</v>
      </c>
      <c r="N6858" s="1">
        <v>39448</v>
      </c>
    </row>
    <row r="6859" spans="11:14" x14ac:dyDescent="0.3">
      <c r="K6859" s="1">
        <v>39814</v>
      </c>
      <c r="M6859" t="e">
        <v>#N/A</v>
      </c>
      <c r="N6859" s="1">
        <v>39448</v>
      </c>
    </row>
    <row r="6860" spans="11:14" x14ac:dyDescent="0.3">
      <c r="K6860" s="1">
        <v>39814</v>
      </c>
      <c r="M6860" t="e">
        <v>#N/A</v>
      </c>
      <c r="N6860" s="1">
        <v>39448</v>
      </c>
    </row>
    <row r="6861" spans="11:14" x14ac:dyDescent="0.3">
      <c r="K6861" s="1">
        <v>39814</v>
      </c>
      <c r="M6861" t="e">
        <v>#N/A</v>
      </c>
      <c r="N6861" s="1">
        <v>39448</v>
      </c>
    </row>
    <row r="6862" spans="11:14" x14ac:dyDescent="0.3">
      <c r="K6862" s="1">
        <v>39814</v>
      </c>
      <c r="M6862" t="e">
        <v>#N/A</v>
      </c>
      <c r="N6862" s="1">
        <v>39448</v>
      </c>
    </row>
    <row r="6863" spans="11:14" x14ac:dyDescent="0.3">
      <c r="K6863" s="1">
        <v>39814</v>
      </c>
      <c r="M6863" t="e">
        <v>#N/A</v>
      </c>
      <c r="N6863" s="1">
        <v>39448</v>
      </c>
    </row>
    <row r="6864" spans="11:14" x14ac:dyDescent="0.3">
      <c r="K6864" s="1">
        <v>39814</v>
      </c>
      <c r="M6864" t="e">
        <v>#N/A</v>
      </c>
      <c r="N6864" s="1">
        <v>39448</v>
      </c>
    </row>
    <row r="6865" spans="11:14" x14ac:dyDescent="0.3">
      <c r="K6865" s="1">
        <v>39814</v>
      </c>
      <c r="M6865" t="e">
        <v>#N/A</v>
      </c>
      <c r="N6865" s="1">
        <v>39448</v>
      </c>
    </row>
    <row r="6866" spans="11:14" x14ac:dyDescent="0.3">
      <c r="K6866" s="1">
        <v>39814</v>
      </c>
      <c r="M6866" t="e">
        <v>#N/A</v>
      </c>
      <c r="N6866" s="1">
        <v>39448</v>
      </c>
    </row>
    <row r="6867" spans="11:14" x14ac:dyDescent="0.3">
      <c r="K6867" s="1">
        <v>39814</v>
      </c>
      <c r="M6867" t="e">
        <v>#N/A</v>
      </c>
      <c r="N6867" s="1">
        <v>39448</v>
      </c>
    </row>
    <row r="6868" spans="11:14" x14ac:dyDescent="0.3">
      <c r="K6868" s="1">
        <v>39814</v>
      </c>
      <c r="M6868" t="e">
        <v>#N/A</v>
      </c>
      <c r="N6868" s="1">
        <v>39448</v>
      </c>
    </row>
    <row r="6869" spans="11:14" x14ac:dyDescent="0.3">
      <c r="K6869" s="1">
        <v>39814</v>
      </c>
      <c r="M6869" t="e">
        <v>#N/A</v>
      </c>
      <c r="N6869" s="1">
        <v>39448</v>
      </c>
    </row>
    <row r="6870" spans="11:14" x14ac:dyDescent="0.3">
      <c r="K6870" s="1">
        <v>39814</v>
      </c>
      <c r="M6870" t="e">
        <v>#N/A</v>
      </c>
      <c r="N6870" s="1">
        <v>39448</v>
      </c>
    </row>
    <row r="6871" spans="11:14" x14ac:dyDescent="0.3">
      <c r="K6871" s="1">
        <v>39814</v>
      </c>
      <c r="M6871" t="e">
        <v>#N/A</v>
      </c>
      <c r="N6871" s="1">
        <v>39448</v>
      </c>
    </row>
    <row r="6872" spans="11:14" x14ac:dyDescent="0.3">
      <c r="K6872" s="1">
        <v>39814</v>
      </c>
      <c r="M6872" t="e">
        <v>#N/A</v>
      </c>
      <c r="N6872" s="1">
        <v>39448</v>
      </c>
    </row>
    <row r="6873" spans="11:14" x14ac:dyDescent="0.3">
      <c r="K6873" s="1">
        <v>39814</v>
      </c>
      <c r="M6873" t="e">
        <v>#N/A</v>
      </c>
      <c r="N6873" s="1">
        <v>39448</v>
      </c>
    </row>
    <row r="6874" spans="11:14" x14ac:dyDescent="0.3">
      <c r="K6874" s="1">
        <v>39814</v>
      </c>
      <c r="M6874" t="e">
        <v>#N/A</v>
      </c>
      <c r="N6874" s="1">
        <v>39448</v>
      </c>
    </row>
    <row r="6875" spans="11:14" x14ac:dyDescent="0.3">
      <c r="K6875" s="1">
        <v>39814</v>
      </c>
      <c r="M6875" t="e">
        <v>#N/A</v>
      </c>
      <c r="N6875" s="1">
        <v>39448</v>
      </c>
    </row>
    <row r="6876" spans="11:14" x14ac:dyDescent="0.3">
      <c r="K6876" s="1">
        <v>39814</v>
      </c>
      <c r="M6876" t="e">
        <v>#N/A</v>
      </c>
      <c r="N6876" s="1">
        <v>39448</v>
      </c>
    </row>
    <row r="6877" spans="11:14" x14ac:dyDescent="0.3">
      <c r="K6877" s="1">
        <v>39814</v>
      </c>
      <c r="M6877" t="e">
        <v>#N/A</v>
      </c>
      <c r="N6877" s="1">
        <v>39448</v>
      </c>
    </row>
    <row r="6878" spans="11:14" x14ac:dyDescent="0.3">
      <c r="K6878" s="1">
        <v>39814</v>
      </c>
      <c r="M6878" t="e">
        <v>#N/A</v>
      </c>
      <c r="N6878" s="1">
        <v>39448</v>
      </c>
    </row>
    <row r="6879" spans="11:14" x14ac:dyDescent="0.3">
      <c r="K6879" s="1">
        <v>39814</v>
      </c>
      <c r="M6879" t="e">
        <v>#N/A</v>
      </c>
      <c r="N6879" s="1">
        <v>39448</v>
      </c>
    </row>
    <row r="6880" spans="11:14" x14ac:dyDescent="0.3">
      <c r="K6880" s="1">
        <v>39904</v>
      </c>
      <c r="M6880" t="e">
        <v>#N/A</v>
      </c>
      <c r="N6880" s="1">
        <v>39448</v>
      </c>
    </row>
    <row r="6881" spans="11:14" x14ac:dyDescent="0.3">
      <c r="K6881" s="1">
        <v>39904</v>
      </c>
      <c r="M6881" t="e">
        <v>#N/A</v>
      </c>
      <c r="N6881" s="1">
        <v>39448</v>
      </c>
    </row>
    <row r="6882" spans="11:14" x14ac:dyDescent="0.3">
      <c r="K6882" s="1">
        <v>39904</v>
      </c>
      <c r="M6882" t="e">
        <v>#N/A</v>
      </c>
      <c r="N6882" s="1">
        <v>39448</v>
      </c>
    </row>
    <row r="6883" spans="11:14" x14ac:dyDescent="0.3">
      <c r="K6883" s="1">
        <v>39904</v>
      </c>
      <c r="M6883" t="e">
        <v>#N/A</v>
      </c>
      <c r="N6883" s="1">
        <v>39448</v>
      </c>
    </row>
    <row r="6884" spans="11:14" x14ac:dyDescent="0.3">
      <c r="K6884" s="1">
        <v>39904</v>
      </c>
      <c r="M6884" t="e">
        <v>#N/A</v>
      </c>
      <c r="N6884" s="1">
        <v>39448</v>
      </c>
    </row>
    <row r="6885" spans="11:14" x14ac:dyDescent="0.3">
      <c r="K6885" s="1">
        <v>39904</v>
      </c>
      <c r="M6885" t="e">
        <v>#N/A</v>
      </c>
      <c r="N6885" s="1">
        <v>39448</v>
      </c>
    </row>
    <row r="6886" spans="11:14" x14ac:dyDescent="0.3">
      <c r="K6886" s="1">
        <v>39904</v>
      </c>
      <c r="M6886" t="e">
        <v>#N/A</v>
      </c>
      <c r="N6886" s="1">
        <v>39448</v>
      </c>
    </row>
    <row r="6887" spans="11:14" x14ac:dyDescent="0.3">
      <c r="K6887" s="1">
        <v>39904</v>
      </c>
      <c r="M6887" t="e">
        <v>#N/A</v>
      </c>
      <c r="N6887" s="1">
        <v>39448</v>
      </c>
    </row>
    <row r="6888" spans="11:14" x14ac:dyDescent="0.3">
      <c r="K6888" s="1">
        <v>39904</v>
      </c>
      <c r="M6888" t="e">
        <v>#N/A</v>
      </c>
      <c r="N6888" s="1">
        <v>39448</v>
      </c>
    </row>
    <row r="6889" spans="11:14" x14ac:dyDescent="0.3">
      <c r="K6889" s="1">
        <v>39904</v>
      </c>
      <c r="M6889" t="e">
        <v>#N/A</v>
      </c>
      <c r="N6889" s="1">
        <v>39448</v>
      </c>
    </row>
    <row r="6890" spans="11:14" x14ac:dyDescent="0.3">
      <c r="K6890" s="1">
        <v>39904</v>
      </c>
      <c r="M6890" t="e">
        <v>#N/A</v>
      </c>
      <c r="N6890" s="1">
        <v>39448</v>
      </c>
    </row>
    <row r="6891" spans="11:14" x14ac:dyDescent="0.3">
      <c r="K6891" s="1">
        <v>39904</v>
      </c>
      <c r="M6891" t="e">
        <v>#N/A</v>
      </c>
      <c r="N6891" s="1">
        <v>39448</v>
      </c>
    </row>
    <row r="6892" spans="11:14" x14ac:dyDescent="0.3">
      <c r="K6892" s="1">
        <v>39904</v>
      </c>
      <c r="M6892" t="e">
        <v>#N/A</v>
      </c>
      <c r="N6892" s="1">
        <v>39448</v>
      </c>
    </row>
    <row r="6893" spans="11:14" x14ac:dyDescent="0.3">
      <c r="K6893" s="1">
        <v>39904</v>
      </c>
      <c r="M6893" t="e">
        <v>#N/A</v>
      </c>
      <c r="N6893" s="1">
        <v>39448</v>
      </c>
    </row>
    <row r="6894" spans="11:14" x14ac:dyDescent="0.3">
      <c r="K6894" s="1">
        <v>39904</v>
      </c>
      <c r="M6894" t="e">
        <v>#N/A</v>
      </c>
      <c r="N6894" s="1">
        <v>39448</v>
      </c>
    </row>
    <row r="6895" spans="11:14" x14ac:dyDescent="0.3">
      <c r="K6895" s="1">
        <v>39904</v>
      </c>
      <c r="M6895" t="e">
        <v>#N/A</v>
      </c>
      <c r="N6895" s="1">
        <v>39448</v>
      </c>
    </row>
    <row r="6896" spans="11:14" x14ac:dyDescent="0.3">
      <c r="K6896" s="1">
        <v>39904</v>
      </c>
      <c r="M6896" t="e">
        <v>#N/A</v>
      </c>
      <c r="N6896" s="1">
        <v>39448</v>
      </c>
    </row>
    <row r="6897" spans="11:14" x14ac:dyDescent="0.3">
      <c r="K6897" s="1">
        <v>39904</v>
      </c>
      <c r="M6897" t="e">
        <v>#N/A</v>
      </c>
      <c r="N6897" s="1">
        <v>39448</v>
      </c>
    </row>
    <row r="6898" spans="11:14" x14ac:dyDescent="0.3">
      <c r="K6898" s="1">
        <v>39904</v>
      </c>
      <c r="M6898" t="e">
        <v>#N/A</v>
      </c>
      <c r="N6898" s="1">
        <v>39448</v>
      </c>
    </row>
    <row r="6899" spans="11:14" x14ac:dyDescent="0.3">
      <c r="K6899" s="1">
        <v>39904</v>
      </c>
      <c r="M6899" t="e">
        <v>#N/A</v>
      </c>
      <c r="N6899" s="1">
        <v>39448</v>
      </c>
    </row>
    <row r="6900" spans="11:14" x14ac:dyDescent="0.3">
      <c r="K6900" s="1">
        <v>39904</v>
      </c>
      <c r="M6900" t="e">
        <v>#N/A</v>
      </c>
      <c r="N6900" s="1">
        <v>39448</v>
      </c>
    </row>
    <row r="6901" spans="11:14" x14ac:dyDescent="0.3">
      <c r="K6901" s="1">
        <v>39904</v>
      </c>
      <c r="M6901" t="e">
        <v>#N/A</v>
      </c>
      <c r="N6901" s="1">
        <v>39448</v>
      </c>
    </row>
    <row r="6902" spans="11:14" x14ac:dyDescent="0.3">
      <c r="K6902" s="1">
        <v>39904</v>
      </c>
      <c r="M6902" t="e">
        <v>#N/A</v>
      </c>
      <c r="N6902" s="1">
        <v>39448</v>
      </c>
    </row>
    <row r="6903" spans="11:14" x14ac:dyDescent="0.3">
      <c r="K6903" s="1">
        <v>39904</v>
      </c>
      <c r="M6903" t="e">
        <v>#N/A</v>
      </c>
      <c r="N6903" s="1">
        <v>39448</v>
      </c>
    </row>
    <row r="6904" spans="11:14" x14ac:dyDescent="0.3">
      <c r="K6904" s="1">
        <v>39904</v>
      </c>
      <c r="M6904" t="e">
        <v>#N/A</v>
      </c>
      <c r="N6904" s="1">
        <v>39448</v>
      </c>
    </row>
    <row r="6905" spans="11:14" x14ac:dyDescent="0.3">
      <c r="K6905" s="1">
        <v>39904</v>
      </c>
      <c r="M6905" t="e">
        <v>#N/A</v>
      </c>
      <c r="N6905" s="1">
        <v>39448</v>
      </c>
    </row>
    <row r="6906" spans="11:14" x14ac:dyDescent="0.3">
      <c r="K6906" s="1">
        <v>39904</v>
      </c>
      <c r="M6906" t="e">
        <v>#N/A</v>
      </c>
      <c r="N6906" s="1">
        <v>39448</v>
      </c>
    </row>
    <row r="6907" spans="11:14" x14ac:dyDescent="0.3">
      <c r="K6907" s="1">
        <v>39904</v>
      </c>
      <c r="M6907" t="e">
        <v>#N/A</v>
      </c>
      <c r="N6907" s="1">
        <v>39448</v>
      </c>
    </row>
    <row r="6908" spans="11:14" x14ac:dyDescent="0.3">
      <c r="K6908" s="1">
        <v>39904</v>
      </c>
      <c r="M6908" t="e">
        <v>#N/A</v>
      </c>
      <c r="N6908" s="1">
        <v>39448</v>
      </c>
    </row>
    <row r="6909" spans="11:14" x14ac:dyDescent="0.3">
      <c r="K6909" s="1">
        <v>39904</v>
      </c>
      <c r="M6909" t="e">
        <v>#N/A</v>
      </c>
      <c r="N6909" s="1">
        <v>39448</v>
      </c>
    </row>
    <row r="6910" spans="11:14" x14ac:dyDescent="0.3">
      <c r="K6910" s="1">
        <v>39904</v>
      </c>
      <c r="M6910" t="e">
        <v>#N/A</v>
      </c>
      <c r="N6910" s="1">
        <v>39448</v>
      </c>
    </row>
    <row r="6911" spans="11:14" x14ac:dyDescent="0.3">
      <c r="K6911" s="1">
        <v>39904</v>
      </c>
      <c r="M6911" t="e">
        <v>#N/A</v>
      </c>
      <c r="N6911" s="1">
        <v>39448</v>
      </c>
    </row>
    <row r="6912" spans="11:14" x14ac:dyDescent="0.3">
      <c r="K6912" s="1">
        <v>39904</v>
      </c>
      <c r="M6912" t="e">
        <v>#N/A</v>
      </c>
      <c r="N6912" s="1">
        <v>39448</v>
      </c>
    </row>
    <row r="6913" spans="11:14" x14ac:dyDescent="0.3">
      <c r="K6913" s="1">
        <v>39904</v>
      </c>
      <c r="M6913" t="e">
        <v>#N/A</v>
      </c>
      <c r="N6913" s="1">
        <v>39448</v>
      </c>
    </row>
    <row r="6914" spans="11:14" x14ac:dyDescent="0.3">
      <c r="K6914" s="1">
        <v>39904</v>
      </c>
      <c r="M6914" t="e">
        <v>#N/A</v>
      </c>
      <c r="N6914" s="1">
        <v>39448</v>
      </c>
    </row>
    <row r="6915" spans="11:14" x14ac:dyDescent="0.3">
      <c r="K6915" s="1">
        <v>39904</v>
      </c>
      <c r="M6915" t="e">
        <v>#N/A</v>
      </c>
      <c r="N6915" s="1">
        <v>39448</v>
      </c>
    </row>
    <row r="6916" spans="11:14" x14ac:dyDescent="0.3">
      <c r="K6916" s="1">
        <v>39904</v>
      </c>
      <c r="M6916" t="e">
        <v>#N/A</v>
      </c>
      <c r="N6916" s="1">
        <v>39448</v>
      </c>
    </row>
    <row r="6917" spans="11:14" x14ac:dyDescent="0.3">
      <c r="K6917" s="1">
        <v>39904</v>
      </c>
      <c r="M6917" t="e">
        <v>#N/A</v>
      </c>
      <c r="N6917" s="1">
        <v>39448</v>
      </c>
    </row>
    <row r="6918" spans="11:14" x14ac:dyDescent="0.3">
      <c r="K6918" s="1">
        <v>39904</v>
      </c>
      <c r="M6918" t="e">
        <v>#N/A</v>
      </c>
      <c r="N6918" s="1">
        <v>39448</v>
      </c>
    </row>
    <row r="6919" spans="11:14" x14ac:dyDescent="0.3">
      <c r="K6919" s="1">
        <v>39904</v>
      </c>
      <c r="M6919" t="e">
        <v>#N/A</v>
      </c>
      <c r="N6919" s="1">
        <v>39448</v>
      </c>
    </row>
    <row r="6920" spans="11:14" x14ac:dyDescent="0.3">
      <c r="K6920" s="1">
        <v>39904</v>
      </c>
      <c r="M6920" t="e">
        <v>#N/A</v>
      </c>
      <c r="N6920" s="1">
        <v>39448</v>
      </c>
    </row>
    <row r="6921" spans="11:14" x14ac:dyDescent="0.3">
      <c r="K6921" s="1">
        <v>39904</v>
      </c>
      <c r="M6921" t="e">
        <v>#N/A</v>
      </c>
      <c r="N6921" s="1">
        <v>39448</v>
      </c>
    </row>
    <row r="6922" spans="11:14" x14ac:dyDescent="0.3">
      <c r="K6922" s="1">
        <v>39904</v>
      </c>
      <c r="M6922" t="e">
        <v>#N/A</v>
      </c>
      <c r="N6922" s="1">
        <v>39448</v>
      </c>
    </row>
    <row r="6923" spans="11:14" x14ac:dyDescent="0.3">
      <c r="K6923" s="1">
        <v>39904</v>
      </c>
      <c r="M6923" t="e">
        <v>#N/A</v>
      </c>
      <c r="N6923" s="1">
        <v>39448</v>
      </c>
    </row>
    <row r="6924" spans="11:14" x14ac:dyDescent="0.3">
      <c r="K6924" s="1">
        <v>39904</v>
      </c>
      <c r="M6924" t="e">
        <v>#N/A</v>
      </c>
      <c r="N6924" s="1">
        <v>39448</v>
      </c>
    </row>
    <row r="6925" spans="11:14" x14ac:dyDescent="0.3">
      <c r="K6925" s="1">
        <v>39904</v>
      </c>
      <c r="M6925" t="e">
        <v>#N/A</v>
      </c>
      <c r="N6925" s="1">
        <v>39448</v>
      </c>
    </row>
    <row r="6926" spans="11:14" x14ac:dyDescent="0.3">
      <c r="K6926" s="1">
        <v>39904</v>
      </c>
      <c r="M6926" t="e">
        <v>#N/A</v>
      </c>
      <c r="N6926" s="1">
        <v>39448</v>
      </c>
    </row>
    <row r="6927" spans="11:14" x14ac:dyDescent="0.3">
      <c r="K6927" s="1">
        <v>39904</v>
      </c>
      <c r="M6927" t="e">
        <v>#N/A</v>
      </c>
      <c r="N6927" s="1">
        <v>39448</v>
      </c>
    </row>
    <row r="6928" spans="11:14" x14ac:dyDescent="0.3">
      <c r="K6928" s="1">
        <v>39904</v>
      </c>
      <c r="M6928" t="e">
        <v>#N/A</v>
      </c>
      <c r="N6928" s="1">
        <v>39448</v>
      </c>
    </row>
    <row r="6929" spans="11:14" x14ac:dyDescent="0.3">
      <c r="K6929" s="1">
        <v>39904</v>
      </c>
      <c r="M6929" t="e">
        <v>#N/A</v>
      </c>
      <c r="N6929" s="1">
        <v>39448</v>
      </c>
    </row>
    <row r="6930" spans="11:14" x14ac:dyDescent="0.3">
      <c r="K6930" s="1">
        <v>39904</v>
      </c>
      <c r="M6930" t="e">
        <v>#N/A</v>
      </c>
      <c r="N6930" s="1">
        <v>39448</v>
      </c>
    </row>
    <row r="6931" spans="11:14" x14ac:dyDescent="0.3">
      <c r="K6931" s="1">
        <v>39904</v>
      </c>
      <c r="M6931" t="e">
        <v>#N/A</v>
      </c>
      <c r="N6931" s="1">
        <v>39448</v>
      </c>
    </row>
    <row r="6932" spans="11:14" x14ac:dyDescent="0.3">
      <c r="K6932" s="1">
        <v>39904</v>
      </c>
      <c r="M6932" t="e">
        <v>#N/A</v>
      </c>
      <c r="N6932" s="1">
        <v>39448</v>
      </c>
    </row>
    <row r="6933" spans="11:14" x14ac:dyDescent="0.3">
      <c r="K6933" s="1">
        <v>39904</v>
      </c>
      <c r="M6933" t="e">
        <v>#N/A</v>
      </c>
      <c r="N6933" s="1">
        <v>39448</v>
      </c>
    </row>
    <row r="6934" spans="11:14" x14ac:dyDescent="0.3">
      <c r="K6934" s="1">
        <v>39904</v>
      </c>
      <c r="M6934" t="e">
        <v>#N/A</v>
      </c>
      <c r="N6934" s="1">
        <v>39448</v>
      </c>
    </row>
    <row r="6935" spans="11:14" x14ac:dyDescent="0.3">
      <c r="K6935" s="1">
        <v>39904</v>
      </c>
      <c r="M6935" t="e">
        <v>#N/A</v>
      </c>
      <c r="N6935" s="1">
        <v>39448</v>
      </c>
    </row>
    <row r="6936" spans="11:14" x14ac:dyDescent="0.3">
      <c r="K6936" s="1">
        <v>39904</v>
      </c>
      <c r="M6936" t="e">
        <v>#N/A</v>
      </c>
      <c r="N6936" s="1">
        <v>39448</v>
      </c>
    </row>
    <row r="6937" spans="11:14" x14ac:dyDescent="0.3">
      <c r="K6937" s="1">
        <v>39904</v>
      </c>
      <c r="M6937" t="e">
        <v>#N/A</v>
      </c>
      <c r="N6937" s="1">
        <v>39448</v>
      </c>
    </row>
    <row r="6938" spans="11:14" x14ac:dyDescent="0.3">
      <c r="K6938" s="1">
        <v>39904</v>
      </c>
      <c r="M6938" t="e">
        <v>#N/A</v>
      </c>
      <c r="N6938" s="1">
        <v>39448</v>
      </c>
    </row>
    <row r="6939" spans="11:14" x14ac:dyDescent="0.3">
      <c r="K6939" s="1">
        <v>39904</v>
      </c>
      <c r="M6939" t="e">
        <v>#N/A</v>
      </c>
      <c r="N6939" s="1">
        <v>39448</v>
      </c>
    </row>
    <row r="6940" spans="11:14" x14ac:dyDescent="0.3">
      <c r="K6940" s="1">
        <v>39904</v>
      </c>
      <c r="M6940" t="e">
        <v>#N/A</v>
      </c>
      <c r="N6940" s="1">
        <v>39448</v>
      </c>
    </row>
    <row r="6941" spans="11:14" x14ac:dyDescent="0.3">
      <c r="K6941" s="1">
        <v>39904</v>
      </c>
      <c r="M6941" t="e">
        <v>#N/A</v>
      </c>
      <c r="N6941" s="1">
        <v>39448</v>
      </c>
    </row>
    <row r="6942" spans="11:14" x14ac:dyDescent="0.3">
      <c r="K6942" s="1">
        <v>39904</v>
      </c>
      <c r="M6942" t="e">
        <v>#N/A</v>
      </c>
      <c r="N6942" s="1">
        <v>39448</v>
      </c>
    </row>
    <row r="6943" spans="11:14" x14ac:dyDescent="0.3">
      <c r="K6943" s="1">
        <v>39904</v>
      </c>
      <c r="M6943" t="e">
        <v>#N/A</v>
      </c>
      <c r="N6943" s="1">
        <v>39448</v>
      </c>
    </row>
    <row r="6944" spans="11:14" x14ac:dyDescent="0.3">
      <c r="K6944" s="1">
        <v>39904</v>
      </c>
      <c r="M6944" t="e">
        <v>#N/A</v>
      </c>
      <c r="N6944" s="1">
        <v>39448</v>
      </c>
    </row>
    <row r="6945" spans="11:14" x14ac:dyDescent="0.3">
      <c r="K6945" s="1">
        <v>39904</v>
      </c>
      <c r="M6945" t="e">
        <v>#N/A</v>
      </c>
      <c r="N6945" s="1">
        <v>39448</v>
      </c>
    </row>
    <row r="6946" spans="11:14" x14ac:dyDescent="0.3">
      <c r="K6946" s="1">
        <v>39904</v>
      </c>
      <c r="M6946" t="e">
        <v>#N/A</v>
      </c>
      <c r="N6946" s="1">
        <v>39448</v>
      </c>
    </row>
    <row r="6947" spans="11:14" x14ac:dyDescent="0.3">
      <c r="K6947" s="1">
        <v>39904</v>
      </c>
      <c r="M6947" t="e">
        <v>#N/A</v>
      </c>
      <c r="N6947" s="1">
        <v>39448</v>
      </c>
    </row>
    <row r="6948" spans="11:14" x14ac:dyDescent="0.3">
      <c r="K6948" s="1">
        <v>39904</v>
      </c>
      <c r="M6948" t="e">
        <v>#N/A</v>
      </c>
      <c r="N6948" s="1">
        <v>39448</v>
      </c>
    </row>
    <row r="6949" spans="11:14" x14ac:dyDescent="0.3">
      <c r="K6949" s="1">
        <v>39904</v>
      </c>
      <c r="M6949" t="e">
        <v>#N/A</v>
      </c>
      <c r="N6949" s="1">
        <v>39448</v>
      </c>
    </row>
    <row r="6950" spans="11:14" x14ac:dyDescent="0.3">
      <c r="K6950" s="1">
        <v>39904</v>
      </c>
      <c r="M6950" t="e">
        <v>#N/A</v>
      </c>
      <c r="N6950" s="1">
        <v>39448</v>
      </c>
    </row>
    <row r="6951" spans="11:14" x14ac:dyDescent="0.3">
      <c r="K6951" s="1">
        <v>39904</v>
      </c>
      <c r="M6951" t="e">
        <v>#N/A</v>
      </c>
      <c r="N6951" s="1">
        <v>39448</v>
      </c>
    </row>
    <row r="6952" spans="11:14" x14ac:dyDescent="0.3">
      <c r="K6952" s="1">
        <v>39904</v>
      </c>
      <c r="M6952" t="e">
        <v>#N/A</v>
      </c>
      <c r="N6952" s="1">
        <v>39448</v>
      </c>
    </row>
    <row r="6953" spans="11:14" x14ac:dyDescent="0.3">
      <c r="K6953" s="1">
        <v>39904</v>
      </c>
      <c r="M6953" t="e">
        <v>#N/A</v>
      </c>
      <c r="N6953" s="1">
        <v>39448</v>
      </c>
    </row>
    <row r="6954" spans="11:14" x14ac:dyDescent="0.3">
      <c r="K6954" s="1">
        <v>39904</v>
      </c>
      <c r="M6954" t="e">
        <v>#N/A</v>
      </c>
      <c r="N6954" s="1">
        <v>39448</v>
      </c>
    </row>
    <row r="6955" spans="11:14" x14ac:dyDescent="0.3">
      <c r="K6955" s="1">
        <v>39904</v>
      </c>
      <c r="M6955" t="e">
        <v>#N/A</v>
      </c>
      <c r="N6955" s="1">
        <v>39448</v>
      </c>
    </row>
    <row r="6956" spans="11:14" x14ac:dyDescent="0.3">
      <c r="K6956" s="1">
        <v>39904</v>
      </c>
      <c r="M6956" t="e">
        <v>#N/A</v>
      </c>
      <c r="N6956" s="1">
        <v>39448</v>
      </c>
    </row>
    <row r="6957" spans="11:14" x14ac:dyDescent="0.3">
      <c r="K6957" s="1">
        <v>39904</v>
      </c>
      <c r="M6957" t="e">
        <v>#N/A</v>
      </c>
      <c r="N6957" s="1">
        <v>39448</v>
      </c>
    </row>
    <row r="6958" spans="11:14" x14ac:dyDescent="0.3">
      <c r="K6958" s="1">
        <v>39904</v>
      </c>
      <c r="M6958" t="e">
        <v>#N/A</v>
      </c>
      <c r="N6958" s="1">
        <v>39448</v>
      </c>
    </row>
    <row r="6959" spans="11:14" x14ac:dyDescent="0.3">
      <c r="K6959" s="1">
        <v>39904</v>
      </c>
      <c r="M6959" t="e">
        <v>#N/A</v>
      </c>
      <c r="N6959" s="1">
        <v>39448</v>
      </c>
    </row>
    <row r="6960" spans="11:14" x14ac:dyDescent="0.3">
      <c r="K6960" s="1">
        <v>39904</v>
      </c>
      <c r="M6960" t="e">
        <v>#N/A</v>
      </c>
      <c r="N6960" s="1">
        <v>39448</v>
      </c>
    </row>
    <row r="6961" spans="11:14" x14ac:dyDescent="0.3">
      <c r="K6961" s="1">
        <v>39904</v>
      </c>
      <c r="M6961" t="e">
        <v>#N/A</v>
      </c>
      <c r="N6961" s="1">
        <v>39448</v>
      </c>
    </row>
    <row r="6962" spans="11:14" x14ac:dyDescent="0.3">
      <c r="K6962" s="1">
        <v>39904</v>
      </c>
      <c r="M6962" t="e">
        <v>#N/A</v>
      </c>
      <c r="N6962" s="1">
        <v>39448</v>
      </c>
    </row>
    <row r="6963" spans="11:14" x14ac:dyDescent="0.3">
      <c r="K6963" s="1">
        <v>39904</v>
      </c>
      <c r="M6963" t="e">
        <v>#N/A</v>
      </c>
      <c r="N6963" s="1">
        <v>39448</v>
      </c>
    </row>
    <row r="6964" spans="11:14" x14ac:dyDescent="0.3">
      <c r="K6964" s="1">
        <v>39904</v>
      </c>
      <c r="M6964" t="e">
        <v>#N/A</v>
      </c>
      <c r="N6964" s="1">
        <v>39448</v>
      </c>
    </row>
    <row r="6965" spans="11:14" x14ac:dyDescent="0.3">
      <c r="K6965" s="1">
        <v>39904</v>
      </c>
      <c r="M6965" t="e">
        <v>#N/A</v>
      </c>
      <c r="N6965" s="1">
        <v>39448</v>
      </c>
    </row>
    <row r="6966" spans="11:14" x14ac:dyDescent="0.3">
      <c r="K6966" s="1">
        <v>39904</v>
      </c>
      <c r="M6966" t="e">
        <v>#N/A</v>
      </c>
      <c r="N6966" s="1">
        <v>39448</v>
      </c>
    </row>
    <row r="6967" spans="11:14" x14ac:dyDescent="0.3">
      <c r="K6967" s="1">
        <v>39904</v>
      </c>
      <c r="M6967" t="e">
        <v>#N/A</v>
      </c>
      <c r="N6967" s="1">
        <v>39448</v>
      </c>
    </row>
    <row r="6968" spans="11:14" x14ac:dyDescent="0.3">
      <c r="K6968" s="1">
        <v>39904</v>
      </c>
      <c r="M6968" t="e">
        <v>#N/A</v>
      </c>
      <c r="N6968" s="1">
        <v>39448</v>
      </c>
    </row>
    <row r="6969" spans="11:14" x14ac:dyDescent="0.3">
      <c r="K6969" s="1">
        <v>39904</v>
      </c>
      <c r="M6969" t="e">
        <v>#N/A</v>
      </c>
      <c r="N6969" s="1">
        <v>39448</v>
      </c>
    </row>
    <row r="6970" spans="11:14" x14ac:dyDescent="0.3">
      <c r="K6970" s="1">
        <v>39904</v>
      </c>
      <c r="M6970" t="e">
        <v>#N/A</v>
      </c>
      <c r="N6970" s="1">
        <v>39448</v>
      </c>
    </row>
    <row r="6971" spans="11:14" x14ac:dyDescent="0.3">
      <c r="K6971" s="1">
        <v>39904</v>
      </c>
      <c r="M6971" t="e">
        <v>#N/A</v>
      </c>
      <c r="N6971" s="1">
        <v>39448</v>
      </c>
    </row>
    <row r="6972" spans="11:14" x14ac:dyDescent="0.3">
      <c r="K6972" s="1">
        <v>39904</v>
      </c>
      <c r="M6972" t="e">
        <v>#N/A</v>
      </c>
      <c r="N6972" s="1">
        <v>39448</v>
      </c>
    </row>
    <row r="6973" spans="11:14" x14ac:dyDescent="0.3">
      <c r="K6973" s="1">
        <v>39904</v>
      </c>
      <c r="M6973" t="e">
        <v>#N/A</v>
      </c>
      <c r="N6973" s="1">
        <v>39448</v>
      </c>
    </row>
    <row r="6974" spans="11:14" x14ac:dyDescent="0.3">
      <c r="K6974" s="1">
        <v>39904</v>
      </c>
      <c r="M6974" t="e">
        <v>#N/A</v>
      </c>
      <c r="N6974" s="1">
        <v>39539</v>
      </c>
    </row>
    <row r="6975" spans="11:14" x14ac:dyDescent="0.3">
      <c r="K6975" s="1">
        <v>39904</v>
      </c>
      <c r="M6975" t="e">
        <v>#N/A</v>
      </c>
      <c r="N6975" s="1">
        <v>39539</v>
      </c>
    </row>
    <row r="6976" spans="11:14" x14ac:dyDescent="0.3">
      <c r="K6976" s="1">
        <v>39904</v>
      </c>
      <c r="M6976" t="e">
        <v>#N/A</v>
      </c>
      <c r="N6976" s="1">
        <v>39539</v>
      </c>
    </row>
    <row r="6977" spans="11:14" x14ac:dyDescent="0.3">
      <c r="K6977" s="1">
        <v>39904</v>
      </c>
      <c r="M6977" t="e">
        <v>#N/A</v>
      </c>
      <c r="N6977" s="1">
        <v>39539</v>
      </c>
    </row>
    <row r="6978" spans="11:14" x14ac:dyDescent="0.3">
      <c r="K6978" s="1">
        <v>39904</v>
      </c>
      <c r="M6978" t="e">
        <v>#N/A</v>
      </c>
      <c r="N6978" s="1">
        <v>39539</v>
      </c>
    </row>
    <row r="6979" spans="11:14" x14ac:dyDescent="0.3">
      <c r="K6979" s="1">
        <v>39904</v>
      </c>
      <c r="M6979" t="e">
        <v>#N/A</v>
      </c>
      <c r="N6979" s="1">
        <v>39539</v>
      </c>
    </row>
    <row r="6980" spans="11:14" x14ac:dyDescent="0.3">
      <c r="K6980" s="1">
        <v>39904</v>
      </c>
      <c r="M6980" t="e">
        <v>#N/A</v>
      </c>
      <c r="N6980" s="1">
        <v>39539</v>
      </c>
    </row>
    <row r="6981" spans="11:14" x14ac:dyDescent="0.3">
      <c r="K6981" s="1">
        <v>39904</v>
      </c>
      <c r="M6981" t="e">
        <v>#N/A</v>
      </c>
      <c r="N6981" s="1">
        <v>39539</v>
      </c>
    </row>
    <row r="6982" spans="11:14" x14ac:dyDescent="0.3">
      <c r="K6982" s="1">
        <v>39904</v>
      </c>
      <c r="M6982" t="e">
        <v>#N/A</v>
      </c>
      <c r="N6982" s="1">
        <v>39539</v>
      </c>
    </row>
    <row r="6983" spans="11:14" x14ac:dyDescent="0.3">
      <c r="K6983" s="1">
        <v>39904</v>
      </c>
      <c r="M6983" t="e">
        <v>#N/A</v>
      </c>
      <c r="N6983" s="1">
        <v>39539</v>
      </c>
    </row>
    <row r="6984" spans="11:14" x14ac:dyDescent="0.3">
      <c r="K6984" s="1">
        <v>39904</v>
      </c>
      <c r="M6984" t="e">
        <v>#N/A</v>
      </c>
      <c r="N6984" s="1">
        <v>39539</v>
      </c>
    </row>
    <row r="6985" spans="11:14" x14ac:dyDescent="0.3">
      <c r="K6985" s="1">
        <v>39904</v>
      </c>
      <c r="M6985" t="e">
        <v>#N/A</v>
      </c>
      <c r="N6985" s="1">
        <v>39539</v>
      </c>
    </row>
    <row r="6986" spans="11:14" x14ac:dyDescent="0.3">
      <c r="K6986" s="1">
        <v>39904</v>
      </c>
      <c r="M6986" t="e">
        <v>#N/A</v>
      </c>
      <c r="N6986" s="1">
        <v>39539</v>
      </c>
    </row>
    <row r="6987" spans="11:14" x14ac:dyDescent="0.3">
      <c r="K6987" s="1">
        <v>39904</v>
      </c>
      <c r="M6987" t="e">
        <v>#N/A</v>
      </c>
      <c r="N6987" s="1">
        <v>39539</v>
      </c>
    </row>
    <row r="6988" spans="11:14" x14ac:dyDescent="0.3">
      <c r="K6988" s="1">
        <v>39904</v>
      </c>
      <c r="M6988" t="e">
        <v>#N/A</v>
      </c>
      <c r="N6988" s="1">
        <v>39539</v>
      </c>
    </row>
    <row r="6989" spans="11:14" x14ac:dyDescent="0.3">
      <c r="K6989" s="1">
        <v>39904</v>
      </c>
      <c r="M6989" t="e">
        <v>#N/A</v>
      </c>
      <c r="N6989" s="1">
        <v>39539</v>
      </c>
    </row>
    <row r="6990" spans="11:14" x14ac:dyDescent="0.3">
      <c r="K6990" s="1">
        <v>39904</v>
      </c>
      <c r="M6990" t="e">
        <v>#N/A</v>
      </c>
      <c r="N6990" s="1">
        <v>39539</v>
      </c>
    </row>
    <row r="6991" spans="11:14" x14ac:dyDescent="0.3">
      <c r="K6991" s="1">
        <v>39904</v>
      </c>
      <c r="M6991" t="e">
        <v>#N/A</v>
      </c>
      <c r="N6991" s="1">
        <v>39539</v>
      </c>
    </row>
    <row r="6992" spans="11:14" x14ac:dyDescent="0.3">
      <c r="K6992" s="1">
        <v>39904</v>
      </c>
      <c r="M6992" t="e">
        <v>#N/A</v>
      </c>
      <c r="N6992" s="1">
        <v>39539</v>
      </c>
    </row>
    <row r="6993" spans="11:14" x14ac:dyDescent="0.3">
      <c r="K6993" s="1">
        <v>39904</v>
      </c>
      <c r="M6993" t="e">
        <v>#N/A</v>
      </c>
      <c r="N6993" s="1">
        <v>39539</v>
      </c>
    </row>
    <row r="6994" spans="11:14" x14ac:dyDescent="0.3">
      <c r="K6994" s="1">
        <v>39904</v>
      </c>
      <c r="M6994" t="e">
        <v>#N/A</v>
      </c>
      <c r="N6994" s="1">
        <v>39539</v>
      </c>
    </row>
    <row r="6995" spans="11:14" x14ac:dyDescent="0.3">
      <c r="K6995" s="1">
        <v>39904</v>
      </c>
      <c r="M6995" t="e">
        <v>#N/A</v>
      </c>
      <c r="N6995" s="1">
        <v>39539</v>
      </c>
    </row>
    <row r="6996" spans="11:14" x14ac:dyDescent="0.3">
      <c r="K6996" s="1">
        <v>39904</v>
      </c>
      <c r="M6996" t="e">
        <v>#N/A</v>
      </c>
      <c r="N6996" s="1">
        <v>39539</v>
      </c>
    </row>
    <row r="6997" spans="11:14" x14ac:dyDescent="0.3">
      <c r="K6997" s="1">
        <v>39904</v>
      </c>
      <c r="M6997" t="e">
        <v>#N/A</v>
      </c>
      <c r="N6997" s="1">
        <v>39539</v>
      </c>
    </row>
    <row r="6998" spans="11:14" x14ac:dyDescent="0.3">
      <c r="K6998" s="1">
        <v>39904</v>
      </c>
      <c r="M6998" t="e">
        <v>#N/A</v>
      </c>
      <c r="N6998" s="1">
        <v>39539</v>
      </c>
    </row>
    <row r="6999" spans="11:14" x14ac:dyDescent="0.3">
      <c r="K6999" s="1">
        <v>39904</v>
      </c>
      <c r="M6999" t="e">
        <v>#N/A</v>
      </c>
      <c r="N6999" s="1">
        <v>39539</v>
      </c>
    </row>
    <row r="7000" spans="11:14" x14ac:dyDescent="0.3">
      <c r="K7000" s="1">
        <v>39904</v>
      </c>
      <c r="M7000" t="e">
        <v>#N/A</v>
      </c>
      <c r="N7000" s="1">
        <v>39539</v>
      </c>
    </row>
    <row r="7001" spans="11:14" x14ac:dyDescent="0.3">
      <c r="K7001" s="1">
        <v>39904</v>
      </c>
      <c r="M7001" t="e">
        <v>#N/A</v>
      </c>
      <c r="N7001" s="1">
        <v>39539</v>
      </c>
    </row>
    <row r="7002" spans="11:14" x14ac:dyDescent="0.3">
      <c r="K7002" s="1">
        <v>39904</v>
      </c>
      <c r="M7002" t="e">
        <v>#N/A</v>
      </c>
      <c r="N7002" s="1">
        <v>39539</v>
      </c>
    </row>
    <row r="7003" spans="11:14" x14ac:dyDescent="0.3">
      <c r="K7003" s="1">
        <v>39904</v>
      </c>
      <c r="M7003" t="e">
        <v>#N/A</v>
      </c>
      <c r="N7003" s="1">
        <v>39539</v>
      </c>
    </row>
    <row r="7004" spans="11:14" x14ac:dyDescent="0.3">
      <c r="K7004" s="1">
        <v>39904</v>
      </c>
      <c r="M7004" t="e">
        <v>#N/A</v>
      </c>
      <c r="N7004" s="1">
        <v>39539</v>
      </c>
    </row>
    <row r="7005" spans="11:14" x14ac:dyDescent="0.3">
      <c r="K7005" s="1">
        <v>39904</v>
      </c>
      <c r="M7005" t="e">
        <v>#N/A</v>
      </c>
      <c r="N7005" s="1">
        <v>39539</v>
      </c>
    </row>
    <row r="7006" spans="11:14" x14ac:dyDescent="0.3">
      <c r="K7006" s="1">
        <v>39904</v>
      </c>
      <c r="M7006" t="e">
        <v>#N/A</v>
      </c>
      <c r="N7006" s="1">
        <v>39539</v>
      </c>
    </row>
    <row r="7007" spans="11:14" x14ac:dyDescent="0.3">
      <c r="K7007" s="1">
        <v>39904</v>
      </c>
      <c r="M7007" t="e">
        <v>#N/A</v>
      </c>
      <c r="N7007" s="1">
        <v>39539</v>
      </c>
    </row>
    <row r="7008" spans="11:14" x14ac:dyDescent="0.3">
      <c r="K7008" s="1">
        <v>39904</v>
      </c>
      <c r="M7008" t="e">
        <v>#N/A</v>
      </c>
      <c r="N7008" s="1">
        <v>39539</v>
      </c>
    </row>
    <row r="7009" spans="11:14" x14ac:dyDescent="0.3">
      <c r="K7009" s="1">
        <v>39904</v>
      </c>
      <c r="M7009" t="e">
        <v>#N/A</v>
      </c>
      <c r="N7009" s="1">
        <v>39539</v>
      </c>
    </row>
    <row r="7010" spans="11:14" x14ac:dyDescent="0.3">
      <c r="K7010" s="1">
        <v>39904</v>
      </c>
      <c r="M7010" t="e">
        <v>#N/A</v>
      </c>
      <c r="N7010" s="1">
        <v>39539</v>
      </c>
    </row>
    <row r="7011" spans="11:14" x14ac:dyDescent="0.3">
      <c r="K7011" s="1">
        <v>39904</v>
      </c>
      <c r="M7011" t="e">
        <v>#N/A</v>
      </c>
      <c r="N7011" s="1">
        <v>39539</v>
      </c>
    </row>
    <row r="7012" spans="11:14" x14ac:dyDescent="0.3">
      <c r="K7012" s="1">
        <v>39904</v>
      </c>
      <c r="M7012" t="e">
        <v>#N/A</v>
      </c>
      <c r="N7012" s="1">
        <v>39539</v>
      </c>
    </row>
    <row r="7013" spans="11:14" x14ac:dyDescent="0.3">
      <c r="K7013" s="1">
        <v>39904</v>
      </c>
      <c r="M7013" t="e">
        <v>#N/A</v>
      </c>
      <c r="N7013" s="1">
        <v>39539</v>
      </c>
    </row>
    <row r="7014" spans="11:14" x14ac:dyDescent="0.3">
      <c r="K7014" s="1">
        <v>39904</v>
      </c>
      <c r="M7014" t="e">
        <v>#N/A</v>
      </c>
      <c r="N7014" s="1">
        <v>39539</v>
      </c>
    </row>
    <row r="7015" spans="11:14" x14ac:dyDescent="0.3">
      <c r="K7015" s="1">
        <v>39904</v>
      </c>
      <c r="M7015" t="e">
        <v>#N/A</v>
      </c>
      <c r="N7015" s="1">
        <v>39539</v>
      </c>
    </row>
    <row r="7016" spans="11:14" x14ac:dyDescent="0.3">
      <c r="K7016" s="1">
        <v>39904</v>
      </c>
      <c r="M7016" t="e">
        <v>#N/A</v>
      </c>
      <c r="N7016" s="1">
        <v>39539</v>
      </c>
    </row>
    <row r="7017" spans="11:14" x14ac:dyDescent="0.3">
      <c r="K7017" s="1">
        <v>39904</v>
      </c>
      <c r="M7017" t="e">
        <v>#N/A</v>
      </c>
      <c r="N7017" s="1">
        <v>39539</v>
      </c>
    </row>
    <row r="7018" spans="11:14" x14ac:dyDescent="0.3">
      <c r="K7018" s="1">
        <v>39904</v>
      </c>
      <c r="M7018" t="e">
        <v>#N/A</v>
      </c>
      <c r="N7018" s="1">
        <v>39539</v>
      </c>
    </row>
    <row r="7019" spans="11:14" x14ac:dyDescent="0.3">
      <c r="K7019" s="1">
        <v>39904</v>
      </c>
      <c r="M7019" t="e">
        <v>#N/A</v>
      </c>
      <c r="N7019" s="1">
        <v>39539</v>
      </c>
    </row>
    <row r="7020" spans="11:14" x14ac:dyDescent="0.3">
      <c r="K7020" s="1">
        <v>39904</v>
      </c>
      <c r="M7020" t="e">
        <v>#N/A</v>
      </c>
      <c r="N7020" s="1">
        <v>39539</v>
      </c>
    </row>
    <row r="7021" spans="11:14" x14ac:dyDescent="0.3">
      <c r="K7021" s="1">
        <v>39904</v>
      </c>
      <c r="M7021" t="e">
        <v>#N/A</v>
      </c>
      <c r="N7021" s="1">
        <v>39539</v>
      </c>
    </row>
    <row r="7022" spans="11:14" x14ac:dyDescent="0.3">
      <c r="K7022" s="1">
        <v>39904</v>
      </c>
      <c r="M7022" t="e">
        <v>#N/A</v>
      </c>
      <c r="N7022" s="1">
        <v>39539</v>
      </c>
    </row>
    <row r="7023" spans="11:14" x14ac:dyDescent="0.3">
      <c r="K7023" s="1">
        <v>39904</v>
      </c>
      <c r="M7023" t="e">
        <v>#N/A</v>
      </c>
      <c r="N7023" s="1">
        <v>39539</v>
      </c>
    </row>
    <row r="7024" spans="11:14" x14ac:dyDescent="0.3">
      <c r="K7024" s="1">
        <v>39904</v>
      </c>
      <c r="M7024" t="e">
        <v>#N/A</v>
      </c>
      <c r="N7024" s="1">
        <v>39539</v>
      </c>
    </row>
    <row r="7025" spans="11:14" x14ac:dyDescent="0.3">
      <c r="K7025" s="1">
        <v>39904</v>
      </c>
      <c r="M7025" t="e">
        <v>#N/A</v>
      </c>
      <c r="N7025" s="1">
        <v>39539</v>
      </c>
    </row>
    <row r="7026" spans="11:14" x14ac:dyDescent="0.3">
      <c r="K7026" s="1">
        <v>39904</v>
      </c>
      <c r="M7026" t="e">
        <v>#N/A</v>
      </c>
      <c r="N7026" s="1">
        <v>39539</v>
      </c>
    </row>
    <row r="7027" spans="11:14" x14ac:dyDescent="0.3">
      <c r="K7027" s="1">
        <v>39904</v>
      </c>
      <c r="M7027" t="e">
        <v>#N/A</v>
      </c>
      <c r="N7027" s="1">
        <v>39539</v>
      </c>
    </row>
    <row r="7028" spans="11:14" x14ac:dyDescent="0.3">
      <c r="K7028" s="1">
        <v>39904</v>
      </c>
      <c r="M7028" t="e">
        <v>#N/A</v>
      </c>
      <c r="N7028" s="1">
        <v>39539</v>
      </c>
    </row>
    <row r="7029" spans="11:14" x14ac:dyDescent="0.3">
      <c r="K7029" s="1">
        <v>39904</v>
      </c>
      <c r="M7029" t="e">
        <v>#N/A</v>
      </c>
      <c r="N7029" s="1">
        <v>39539</v>
      </c>
    </row>
    <row r="7030" spans="11:14" x14ac:dyDescent="0.3">
      <c r="K7030" s="1">
        <v>39904</v>
      </c>
      <c r="M7030" t="e">
        <v>#N/A</v>
      </c>
      <c r="N7030" s="1">
        <v>39539</v>
      </c>
    </row>
    <row r="7031" spans="11:14" x14ac:dyDescent="0.3">
      <c r="K7031" s="1">
        <v>39904</v>
      </c>
      <c r="M7031" t="e">
        <v>#N/A</v>
      </c>
      <c r="N7031" s="1">
        <v>39539</v>
      </c>
    </row>
    <row r="7032" spans="11:14" x14ac:dyDescent="0.3">
      <c r="K7032" s="1">
        <v>39904</v>
      </c>
      <c r="M7032" t="e">
        <v>#N/A</v>
      </c>
      <c r="N7032" s="1">
        <v>39539</v>
      </c>
    </row>
    <row r="7033" spans="11:14" x14ac:dyDescent="0.3">
      <c r="K7033" s="1">
        <v>39904</v>
      </c>
      <c r="M7033" t="e">
        <v>#N/A</v>
      </c>
      <c r="N7033" s="1">
        <v>39539</v>
      </c>
    </row>
    <row r="7034" spans="11:14" x14ac:dyDescent="0.3">
      <c r="K7034" s="1">
        <v>39904</v>
      </c>
      <c r="M7034" t="e">
        <v>#N/A</v>
      </c>
      <c r="N7034" s="1">
        <v>39539</v>
      </c>
    </row>
    <row r="7035" spans="11:14" x14ac:dyDescent="0.3">
      <c r="K7035" s="1">
        <v>39904</v>
      </c>
      <c r="M7035" t="e">
        <v>#N/A</v>
      </c>
      <c r="N7035" s="1">
        <v>39539</v>
      </c>
    </row>
    <row r="7036" spans="11:14" x14ac:dyDescent="0.3">
      <c r="K7036" s="1">
        <v>39904</v>
      </c>
      <c r="M7036" t="e">
        <v>#N/A</v>
      </c>
      <c r="N7036" s="1">
        <v>39539</v>
      </c>
    </row>
    <row r="7037" spans="11:14" x14ac:dyDescent="0.3">
      <c r="K7037" s="1">
        <v>39904</v>
      </c>
      <c r="M7037" t="e">
        <v>#N/A</v>
      </c>
      <c r="N7037" s="1">
        <v>39539</v>
      </c>
    </row>
    <row r="7038" spans="11:14" x14ac:dyDescent="0.3">
      <c r="K7038" s="1">
        <v>39904</v>
      </c>
      <c r="M7038" t="e">
        <v>#N/A</v>
      </c>
      <c r="N7038" s="1">
        <v>39539</v>
      </c>
    </row>
    <row r="7039" spans="11:14" x14ac:dyDescent="0.3">
      <c r="K7039" s="1">
        <v>39904</v>
      </c>
      <c r="M7039" t="e">
        <v>#N/A</v>
      </c>
      <c r="N7039" s="1">
        <v>39539</v>
      </c>
    </row>
    <row r="7040" spans="11:14" x14ac:dyDescent="0.3">
      <c r="K7040" s="1">
        <v>39904</v>
      </c>
      <c r="M7040" t="e">
        <v>#N/A</v>
      </c>
      <c r="N7040" s="1">
        <v>39539</v>
      </c>
    </row>
    <row r="7041" spans="11:14" x14ac:dyDescent="0.3">
      <c r="K7041" s="1">
        <v>39904</v>
      </c>
      <c r="M7041" t="e">
        <v>#N/A</v>
      </c>
      <c r="N7041" s="1">
        <v>39539</v>
      </c>
    </row>
    <row r="7042" spans="11:14" x14ac:dyDescent="0.3">
      <c r="K7042" s="1">
        <v>39904</v>
      </c>
      <c r="M7042" t="e">
        <v>#N/A</v>
      </c>
      <c r="N7042" s="1">
        <v>39539</v>
      </c>
    </row>
    <row r="7043" spans="11:14" x14ac:dyDescent="0.3">
      <c r="K7043" s="1">
        <v>39904</v>
      </c>
      <c r="M7043" t="e">
        <v>#N/A</v>
      </c>
      <c r="N7043" s="1">
        <v>39539</v>
      </c>
    </row>
    <row r="7044" spans="11:14" x14ac:dyDescent="0.3">
      <c r="K7044" s="1">
        <v>39904</v>
      </c>
      <c r="M7044" t="e">
        <v>#N/A</v>
      </c>
      <c r="N7044" s="1">
        <v>39539</v>
      </c>
    </row>
    <row r="7045" spans="11:14" x14ac:dyDescent="0.3">
      <c r="K7045" s="1">
        <v>39904</v>
      </c>
      <c r="M7045" t="e">
        <v>#N/A</v>
      </c>
      <c r="N7045" s="1">
        <v>39539</v>
      </c>
    </row>
    <row r="7046" spans="11:14" x14ac:dyDescent="0.3">
      <c r="K7046" s="1">
        <v>39904</v>
      </c>
      <c r="M7046" t="e">
        <v>#N/A</v>
      </c>
      <c r="N7046" s="1">
        <v>39539</v>
      </c>
    </row>
    <row r="7047" spans="11:14" x14ac:dyDescent="0.3">
      <c r="K7047" s="1">
        <v>39904</v>
      </c>
      <c r="M7047" t="e">
        <v>#N/A</v>
      </c>
      <c r="N7047" s="1">
        <v>39539</v>
      </c>
    </row>
    <row r="7048" spans="11:14" x14ac:dyDescent="0.3">
      <c r="K7048" s="1">
        <v>39904</v>
      </c>
      <c r="M7048" t="e">
        <v>#N/A</v>
      </c>
      <c r="N7048" s="1">
        <v>39539</v>
      </c>
    </row>
    <row r="7049" spans="11:14" x14ac:dyDescent="0.3">
      <c r="K7049" s="1">
        <v>39904</v>
      </c>
      <c r="M7049" t="e">
        <v>#N/A</v>
      </c>
      <c r="N7049" s="1">
        <v>39539</v>
      </c>
    </row>
    <row r="7050" spans="11:14" x14ac:dyDescent="0.3">
      <c r="K7050" s="1">
        <v>39904</v>
      </c>
      <c r="M7050" t="e">
        <v>#N/A</v>
      </c>
      <c r="N7050" s="1">
        <v>39539</v>
      </c>
    </row>
    <row r="7051" spans="11:14" x14ac:dyDescent="0.3">
      <c r="K7051" s="1">
        <v>39904</v>
      </c>
      <c r="M7051" t="e">
        <v>#N/A</v>
      </c>
      <c r="N7051" s="1">
        <v>39539</v>
      </c>
    </row>
    <row r="7052" spans="11:14" x14ac:dyDescent="0.3">
      <c r="K7052" s="1">
        <v>39904</v>
      </c>
      <c r="M7052" t="e">
        <v>#N/A</v>
      </c>
      <c r="N7052" s="1">
        <v>39539</v>
      </c>
    </row>
    <row r="7053" spans="11:14" x14ac:dyDescent="0.3">
      <c r="K7053" s="1">
        <v>39904</v>
      </c>
      <c r="M7053" t="e">
        <v>#N/A</v>
      </c>
      <c r="N7053" s="1">
        <v>39539</v>
      </c>
    </row>
    <row r="7054" spans="11:14" x14ac:dyDescent="0.3">
      <c r="K7054" s="1">
        <v>39904</v>
      </c>
      <c r="M7054" t="e">
        <v>#N/A</v>
      </c>
      <c r="N7054" s="1">
        <v>39539</v>
      </c>
    </row>
    <row r="7055" spans="11:14" x14ac:dyDescent="0.3">
      <c r="K7055" s="1">
        <v>39904</v>
      </c>
      <c r="M7055" t="e">
        <v>#N/A</v>
      </c>
      <c r="N7055" s="1">
        <v>39539</v>
      </c>
    </row>
    <row r="7056" spans="11:14" x14ac:dyDescent="0.3">
      <c r="K7056" s="1">
        <v>39904</v>
      </c>
      <c r="M7056" t="e">
        <v>#N/A</v>
      </c>
      <c r="N7056" s="1">
        <v>39539</v>
      </c>
    </row>
    <row r="7057" spans="11:14" x14ac:dyDescent="0.3">
      <c r="K7057" s="1">
        <v>39904</v>
      </c>
      <c r="M7057" t="e">
        <v>#N/A</v>
      </c>
      <c r="N7057" s="1">
        <v>39539</v>
      </c>
    </row>
    <row r="7058" spans="11:14" x14ac:dyDescent="0.3">
      <c r="K7058" s="1">
        <v>39904</v>
      </c>
      <c r="M7058" t="e">
        <v>#N/A</v>
      </c>
      <c r="N7058" s="1">
        <v>39539</v>
      </c>
    </row>
    <row r="7059" spans="11:14" x14ac:dyDescent="0.3">
      <c r="K7059" s="1">
        <v>39904</v>
      </c>
      <c r="M7059" t="e">
        <v>#N/A</v>
      </c>
      <c r="N7059" s="1">
        <v>39539</v>
      </c>
    </row>
    <row r="7060" spans="11:14" x14ac:dyDescent="0.3">
      <c r="K7060" s="1">
        <v>39904</v>
      </c>
      <c r="M7060" t="e">
        <v>#N/A</v>
      </c>
      <c r="N7060" s="1">
        <v>39539</v>
      </c>
    </row>
    <row r="7061" spans="11:14" x14ac:dyDescent="0.3">
      <c r="K7061" s="1">
        <v>39904</v>
      </c>
      <c r="M7061" t="e">
        <v>#N/A</v>
      </c>
      <c r="N7061" s="1">
        <v>39539</v>
      </c>
    </row>
    <row r="7062" spans="11:14" x14ac:dyDescent="0.3">
      <c r="K7062" s="1">
        <v>39904</v>
      </c>
      <c r="M7062" t="e">
        <v>#N/A</v>
      </c>
      <c r="N7062" s="1">
        <v>39539</v>
      </c>
    </row>
    <row r="7063" spans="11:14" x14ac:dyDescent="0.3">
      <c r="K7063" s="1">
        <v>39904</v>
      </c>
      <c r="M7063" t="e">
        <v>#N/A</v>
      </c>
      <c r="N7063" s="1">
        <v>39539</v>
      </c>
    </row>
    <row r="7064" spans="11:14" x14ac:dyDescent="0.3">
      <c r="K7064" s="1">
        <v>39904</v>
      </c>
      <c r="M7064" t="e">
        <v>#N/A</v>
      </c>
      <c r="N7064" s="1">
        <v>39539</v>
      </c>
    </row>
    <row r="7065" spans="11:14" x14ac:dyDescent="0.3">
      <c r="K7065" s="1">
        <v>39904</v>
      </c>
      <c r="M7065" t="e">
        <v>#N/A</v>
      </c>
      <c r="N7065" s="1">
        <v>39539</v>
      </c>
    </row>
    <row r="7066" spans="11:14" x14ac:dyDescent="0.3">
      <c r="K7066" s="1">
        <v>39904</v>
      </c>
      <c r="M7066" t="e">
        <v>#N/A</v>
      </c>
      <c r="N7066" s="1">
        <v>39539</v>
      </c>
    </row>
    <row r="7067" spans="11:14" x14ac:dyDescent="0.3">
      <c r="K7067" s="1">
        <v>39904</v>
      </c>
      <c r="M7067" t="e">
        <v>#N/A</v>
      </c>
      <c r="N7067" s="1">
        <v>39539</v>
      </c>
    </row>
    <row r="7068" spans="11:14" x14ac:dyDescent="0.3">
      <c r="K7068" s="1">
        <v>39904</v>
      </c>
      <c r="M7068" t="e">
        <v>#N/A</v>
      </c>
      <c r="N7068" s="1">
        <v>39539</v>
      </c>
    </row>
    <row r="7069" spans="11:14" x14ac:dyDescent="0.3">
      <c r="K7069" s="1">
        <v>39904</v>
      </c>
      <c r="M7069" t="e">
        <v>#N/A</v>
      </c>
      <c r="N7069" s="1">
        <v>39539</v>
      </c>
    </row>
    <row r="7070" spans="11:14" x14ac:dyDescent="0.3">
      <c r="K7070" s="1">
        <v>39904</v>
      </c>
      <c r="M7070" t="e">
        <v>#N/A</v>
      </c>
      <c r="N7070" s="1">
        <v>39539</v>
      </c>
    </row>
    <row r="7071" spans="11:14" x14ac:dyDescent="0.3">
      <c r="K7071" s="1">
        <v>39904</v>
      </c>
      <c r="M7071" t="e">
        <v>#N/A</v>
      </c>
      <c r="N7071" s="1">
        <v>39539</v>
      </c>
    </row>
    <row r="7072" spans="11:14" x14ac:dyDescent="0.3">
      <c r="K7072" s="1">
        <v>39904</v>
      </c>
      <c r="M7072" t="e">
        <v>#N/A</v>
      </c>
      <c r="N7072" s="1">
        <v>39539</v>
      </c>
    </row>
    <row r="7073" spans="11:14" x14ac:dyDescent="0.3">
      <c r="K7073" s="1">
        <v>39904</v>
      </c>
      <c r="M7073" t="e">
        <v>#N/A</v>
      </c>
      <c r="N7073" s="1">
        <v>39539</v>
      </c>
    </row>
    <row r="7074" spans="11:14" x14ac:dyDescent="0.3">
      <c r="K7074" s="1">
        <v>39904</v>
      </c>
      <c r="M7074" t="e">
        <v>#N/A</v>
      </c>
      <c r="N7074" s="1">
        <v>39539</v>
      </c>
    </row>
    <row r="7075" spans="11:14" x14ac:dyDescent="0.3">
      <c r="K7075" s="1">
        <v>39904</v>
      </c>
      <c r="M7075" t="e">
        <v>#N/A</v>
      </c>
      <c r="N7075" s="1">
        <v>39539</v>
      </c>
    </row>
    <row r="7076" spans="11:14" x14ac:dyDescent="0.3">
      <c r="K7076" s="1">
        <v>39904</v>
      </c>
      <c r="M7076" t="e">
        <v>#N/A</v>
      </c>
      <c r="N7076" s="1">
        <v>39539</v>
      </c>
    </row>
    <row r="7077" spans="11:14" x14ac:dyDescent="0.3">
      <c r="K7077" s="1">
        <v>39904</v>
      </c>
      <c r="M7077" t="e">
        <v>#N/A</v>
      </c>
      <c r="N7077" s="1">
        <v>39539</v>
      </c>
    </row>
    <row r="7078" spans="11:14" x14ac:dyDescent="0.3">
      <c r="K7078" s="1">
        <v>39904</v>
      </c>
      <c r="M7078" t="e">
        <v>#N/A</v>
      </c>
      <c r="N7078" s="1">
        <v>39539</v>
      </c>
    </row>
    <row r="7079" spans="11:14" x14ac:dyDescent="0.3">
      <c r="K7079" s="1">
        <v>39904</v>
      </c>
      <c r="M7079" t="e">
        <v>#N/A</v>
      </c>
      <c r="N7079" s="1">
        <v>39539</v>
      </c>
    </row>
    <row r="7080" spans="11:14" x14ac:dyDescent="0.3">
      <c r="K7080" s="1">
        <v>39904</v>
      </c>
      <c r="M7080" t="e">
        <v>#N/A</v>
      </c>
      <c r="N7080" s="1">
        <v>39539</v>
      </c>
    </row>
    <row r="7081" spans="11:14" x14ac:dyDescent="0.3">
      <c r="K7081" s="1">
        <v>39904</v>
      </c>
      <c r="M7081" t="e">
        <v>#N/A</v>
      </c>
      <c r="N7081" s="1">
        <v>39539</v>
      </c>
    </row>
    <row r="7082" spans="11:14" x14ac:dyDescent="0.3">
      <c r="K7082" s="1">
        <v>39904</v>
      </c>
      <c r="M7082" t="e">
        <v>#N/A</v>
      </c>
      <c r="N7082" s="1">
        <v>39539</v>
      </c>
    </row>
    <row r="7083" spans="11:14" x14ac:dyDescent="0.3">
      <c r="K7083" s="1">
        <v>39904</v>
      </c>
      <c r="M7083" t="e">
        <v>#N/A</v>
      </c>
      <c r="N7083" s="1">
        <v>39539</v>
      </c>
    </row>
    <row r="7084" spans="11:14" x14ac:dyDescent="0.3">
      <c r="K7084" s="1">
        <v>39904</v>
      </c>
      <c r="M7084" t="e">
        <v>#N/A</v>
      </c>
      <c r="N7084" s="1">
        <v>39539</v>
      </c>
    </row>
    <row r="7085" spans="11:14" x14ac:dyDescent="0.3">
      <c r="K7085" s="1">
        <v>39904</v>
      </c>
      <c r="M7085" t="e">
        <v>#N/A</v>
      </c>
      <c r="N7085" s="1">
        <v>39539</v>
      </c>
    </row>
    <row r="7086" spans="11:14" x14ac:dyDescent="0.3">
      <c r="K7086" s="1">
        <v>39904</v>
      </c>
      <c r="M7086" t="e">
        <v>#N/A</v>
      </c>
      <c r="N7086" s="1">
        <v>39539</v>
      </c>
    </row>
    <row r="7087" spans="11:14" x14ac:dyDescent="0.3">
      <c r="K7087" s="1">
        <v>39904</v>
      </c>
      <c r="M7087" t="e">
        <v>#N/A</v>
      </c>
      <c r="N7087" s="1">
        <v>39539</v>
      </c>
    </row>
    <row r="7088" spans="11:14" x14ac:dyDescent="0.3">
      <c r="K7088" s="1">
        <v>39904</v>
      </c>
      <c r="M7088" t="e">
        <v>#N/A</v>
      </c>
      <c r="N7088" s="1">
        <v>39539</v>
      </c>
    </row>
    <row r="7089" spans="11:14" x14ac:dyDescent="0.3">
      <c r="K7089" s="1">
        <v>39904</v>
      </c>
      <c r="M7089" t="e">
        <v>#N/A</v>
      </c>
      <c r="N7089" s="1">
        <v>39539</v>
      </c>
    </row>
    <row r="7090" spans="11:14" x14ac:dyDescent="0.3">
      <c r="K7090" s="1">
        <v>39904</v>
      </c>
      <c r="M7090" t="e">
        <v>#N/A</v>
      </c>
      <c r="N7090" s="1">
        <v>39539</v>
      </c>
    </row>
    <row r="7091" spans="11:14" x14ac:dyDescent="0.3">
      <c r="K7091" s="1">
        <v>39904</v>
      </c>
      <c r="M7091" t="e">
        <v>#N/A</v>
      </c>
      <c r="N7091" s="1">
        <v>39539</v>
      </c>
    </row>
    <row r="7092" spans="11:14" x14ac:dyDescent="0.3">
      <c r="K7092" s="1">
        <v>39904</v>
      </c>
      <c r="M7092" t="e">
        <v>#N/A</v>
      </c>
      <c r="N7092" s="1">
        <v>39539</v>
      </c>
    </row>
    <row r="7093" spans="11:14" x14ac:dyDescent="0.3">
      <c r="K7093" s="1">
        <v>39904</v>
      </c>
      <c r="M7093" t="e">
        <v>#N/A</v>
      </c>
      <c r="N7093" s="1">
        <v>39539</v>
      </c>
    </row>
    <row r="7094" spans="11:14" x14ac:dyDescent="0.3">
      <c r="K7094" s="1">
        <v>39904</v>
      </c>
      <c r="M7094" t="e">
        <v>#N/A</v>
      </c>
      <c r="N7094" s="1">
        <v>39539</v>
      </c>
    </row>
    <row r="7095" spans="11:14" x14ac:dyDescent="0.3">
      <c r="K7095" s="1">
        <v>39904</v>
      </c>
      <c r="M7095" t="e">
        <v>#N/A</v>
      </c>
      <c r="N7095" s="1">
        <v>39539</v>
      </c>
    </row>
    <row r="7096" spans="11:14" x14ac:dyDescent="0.3">
      <c r="K7096" s="1">
        <v>39904</v>
      </c>
      <c r="M7096" t="e">
        <v>#N/A</v>
      </c>
      <c r="N7096" s="1">
        <v>39539</v>
      </c>
    </row>
    <row r="7097" spans="11:14" x14ac:dyDescent="0.3">
      <c r="K7097" s="1">
        <v>39904</v>
      </c>
      <c r="M7097" t="e">
        <v>#N/A</v>
      </c>
      <c r="N7097" s="1">
        <v>39539</v>
      </c>
    </row>
    <row r="7098" spans="11:14" x14ac:dyDescent="0.3">
      <c r="K7098" s="1">
        <v>39904</v>
      </c>
      <c r="M7098" t="e">
        <v>#N/A</v>
      </c>
      <c r="N7098" s="1">
        <v>39539</v>
      </c>
    </row>
    <row r="7099" spans="11:14" x14ac:dyDescent="0.3">
      <c r="K7099" s="1">
        <v>39904</v>
      </c>
      <c r="M7099" t="e">
        <v>#N/A</v>
      </c>
      <c r="N7099" s="1">
        <v>39539</v>
      </c>
    </row>
    <row r="7100" spans="11:14" x14ac:dyDescent="0.3">
      <c r="K7100" s="1">
        <v>39904</v>
      </c>
      <c r="M7100" t="e">
        <v>#N/A</v>
      </c>
      <c r="N7100" s="1">
        <v>39539</v>
      </c>
    </row>
    <row r="7101" spans="11:14" x14ac:dyDescent="0.3">
      <c r="K7101" s="1">
        <v>39904</v>
      </c>
      <c r="M7101" t="e">
        <v>#N/A</v>
      </c>
      <c r="N7101" s="1">
        <v>39539</v>
      </c>
    </row>
    <row r="7102" spans="11:14" x14ac:dyDescent="0.3">
      <c r="K7102" s="1">
        <v>39904</v>
      </c>
      <c r="M7102" t="e">
        <v>#N/A</v>
      </c>
      <c r="N7102" s="1">
        <v>39539</v>
      </c>
    </row>
    <row r="7103" spans="11:14" x14ac:dyDescent="0.3">
      <c r="K7103" s="1">
        <v>39904</v>
      </c>
      <c r="M7103" t="e">
        <v>#N/A</v>
      </c>
      <c r="N7103" s="1">
        <v>39539</v>
      </c>
    </row>
    <row r="7104" spans="11:14" x14ac:dyDescent="0.3">
      <c r="K7104" s="1">
        <v>39904</v>
      </c>
      <c r="M7104" t="e">
        <v>#N/A</v>
      </c>
      <c r="N7104" s="1">
        <v>39539</v>
      </c>
    </row>
    <row r="7105" spans="11:14" x14ac:dyDescent="0.3">
      <c r="K7105" s="1">
        <v>39904</v>
      </c>
      <c r="M7105" t="e">
        <v>#N/A</v>
      </c>
      <c r="N7105" s="1">
        <v>39539</v>
      </c>
    </row>
    <row r="7106" spans="11:14" x14ac:dyDescent="0.3">
      <c r="K7106" s="1">
        <v>39904</v>
      </c>
      <c r="M7106" t="e">
        <v>#N/A</v>
      </c>
      <c r="N7106" s="1">
        <v>39539</v>
      </c>
    </row>
    <row r="7107" spans="11:14" x14ac:dyDescent="0.3">
      <c r="K7107" s="1">
        <v>39904</v>
      </c>
      <c r="M7107" t="e">
        <v>#N/A</v>
      </c>
      <c r="N7107" s="1">
        <v>39539</v>
      </c>
    </row>
    <row r="7108" spans="11:14" x14ac:dyDescent="0.3">
      <c r="K7108" s="1">
        <v>39904</v>
      </c>
      <c r="M7108" t="e">
        <v>#N/A</v>
      </c>
      <c r="N7108" s="1">
        <v>39539</v>
      </c>
    </row>
    <row r="7109" spans="11:14" x14ac:dyDescent="0.3">
      <c r="K7109" s="1">
        <v>39904</v>
      </c>
      <c r="M7109" t="e">
        <v>#N/A</v>
      </c>
      <c r="N7109" s="1">
        <v>39539</v>
      </c>
    </row>
    <row r="7110" spans="11:14" x14ac:dyDescent="0.3">
      <c r="K7110" s="1">
        <v>39904</v>
      </c>
      <c r="M7110" t="e">
        <v>#N/A</v>
      </c>
      <c r="N7110" s="1">
        <v>39539</v>
      </c>
    </row>
    <row r="7111" spans="11:14" x14ac:dyDescent="0.3">
      <c r="K7111" s="1">
        <v>39904</v>
      </c>
      <c r="M7111" t="e">
        <v>#N/A</v>
      </c>
      <c r="N7111" s="1">
        <v>39539</v>
      </c>
    </row>
    <row r="7112" spans="11:14" x14ac:dyDescent="0.3">
      <c r="K7112" s="1">
        <v>39904</v>
      </c>
      <c r="M7112" t="e">
        <v>#N/A</v>
      </c>
      <c r="N7112" s="1">
        <v>39539</v>
      </c>
    </row>
    <row r="7113" spans="11:14" x14ac:dyDescent="0.3">
      <c r="K7113" s="1">
        <v>39904</v>
      </c>
      <c r="M7113" t="e">
        <v>#N/A</v>
      </c>
      <c r="N7113" s="1">
        <v>39539</v>
      </c>
    </row>
    <row r="7114" spans="11:14" x14ac:dyDescent="0.3">
      <c r="K7114" s="1">
        <v>39904</v>
      </c>
      <c r="M7114" t="e">
        <v>#N/A</v>
      </c>
      <c r="N7114" s="1">
        <v>39539</v>
      </c>
    </row>
    <row r="7115" spans="11:14" x14ac:dyDescent="0.3">
      <c r="K7115" s="1">
        <v>39904</v>
      </c>
      <c r="M7115" t="e">
        <v>#N/A</v>
      </c>
      <c r="N7115" s="1">
        <v>39539</v>
      </c>
    </row>
    <row r="7116" spans="11:14" x14ac:dyDescent="0.3">
      <c r="K7116" s="1">
        <v>39904</v>
      </c>
      <c r="M7116" t="e">
        <v>#N/A</v>
      </c>
      <c r="N7116" s="1">
        <v>39539</v>
      </c>
    </row>
    <row r="7117" spans="11:14" x14ac:dyDescent="0.3">
      <c r="K7117" s="1">
        <v>39904</v>
      </c>
      <c r="M7117" t="e">
        <v>#N/A</v>
      </c>
      <c r="N7117" s="1">
        <v>39539</v>
      </c>
    </row>
    <row r="7118" spans="11:14" x14ac:dyDescent="0.3">
      <c r="K7118" s="1">
        <v>39904</v>
      </c>
      <c r="M7118" t="e">
        <v>#N/A</v>
      </c>
      <c r="N7118" s="1">
        <v>39539</v>
      </c>
    </row>
    <row r="7119" spans="11:14" x14ac:dyDescent="0.3">
      <c r="K7119" s="1">
        <v>39904</v>
      </c>
      <c r="M7119" t="e">
        <v>#N/A</v>
      </c>
      <c r="N7119" s="1">
        <v>39539</v>
      </c>
    </row>
    <row r="7120" spans="11:14" x14ac:dyDescent="0.3">
      <c r="K7120" s="1">
        <v>39904</v>
      </c>
      <c r="M7120" t="e">
        <v>#N/A</v>
      </c>
      <c r="N7120" s="1">
        <v>39539</v>
      </c>
    </row>
    <row r="7121" spans="11:14" x14ac:dyDescent="0.3">
      <c r="K7121" s="1">
        <v>39904</v>
      </c>
      <c r="M7121" t="e">
        <v>#N/A</v>
      </c>
      <c r="N7121" s="1">
        <v>39539</v>
      </c>
    </row>
    <row r="7122" spans="11:14" x14ac:dyDescent="0.3">
      <c r="K7122" s="1">
        <v>39904</v>
      </c>
      <c r="M7122" t="e">
        <v>#N/A</v>
      </c>
      <c r="N7122" s="1">
        <v>39539</v>
      </c>
    </row>
    <row r="7123" spans="11:14" x14ac:dyDescent="0.3">
      <c r="K7123" s="1">
        <v>39904</v>
      </c>
      <c r="M7123" t="e">
        <v>#N/A</v>
      </c>
      <c r="N7123" s="1">
        <v>39539</v>
      </c>
    </row>
    <row r="7124" spans="11:14" x14ac:dyDescent="0.3">
      <c r="K7124" s="1">
        <v>39904</v>
      </c>
      <c r="M7124" t="e">
        <v>#N/A</v>
      </c>
      <c r="N7124" s="1">
        <v>39539</v>
      </c>
    </row>
    <row r="7125" spans="11:14" x14ac:dyDescent="0.3">
      <c r="K7125" s="1">
        <v>39904</v>
      </c>
      <c r="M7125" t="e">
        <v>#N/A</v>
      </c>
      <c r="N7125" s="1">
        <v>39539</v>
      </c>
    </row>
    <row r="7126" spans="11:14" x14ac:dyDescent="0.3">
      <c r="K7126" s="1">
        <v>39904</v>
      </c>
      <c r="M7126" t="e">
        <v>#N/A</v>
      </c>
      <c r="N7126" s="1">
        <v>39539</v>
      </c>
    </row>
    <row r="7127" spans="11:14" x14ac:dyDescent="0.3">
      <c r="K7127" s="1">
        <v>39904</v>
      </c>
      <c r="M7127" t="e">
        <v>#N/A</v>
      </c>
      <c r="N7127" s="1">
        <v>39539</v>
      </c>
    </row>
    <row r="7128" spans="11:14" x14ac:dyDescent="0.3">
      <c r="K7128" s="1">
        <v>39904</v>
      </c>
      <c r="M7128" t="e">
        <v>#N/A</v>
      </c>
      <c r="N7128" s="1">
        <v>39539</v>
      </c>
    </row>
    <row r="7129" spans="11:14" x14ac:dyDescent="0.3">
      <c r="K7129" s="1">
        <v>39904</v>
      </c>
      <c r="M7129" t="e">
        <v>#N/A</v>
      </c>
      <c r="N7129" s="1">
        <v>39539</v>
      </c>
    </row>
    <row r="7130" spans="11:14" x14ac:dyDescent="0.3">
      <c r="K7130" s="1">
        <v>39904</v>
      </c>
      <c r="M7130" t="e">
        <v>#N/A</v>
      </c>
      <c r="N7130" s="1">
        <v>39539</v>
      </c>
    </row>
    <row r="7131" spans="11:14" x14ac:dyDescent="0.3">
      <c r="K7131" s="1">
        <v>39904</v>
      </c>
      <c r="M7131" t="e">
        <v>#N/A</v>
      </c>
      <c r="N7131" s="1">
        <v>39539</v>
      </c>
    </row>
    <row r="7132" spans="11:14" x14ac:dyDescent="0.3">
      <c r="K7132" s="1">
        <v>39904</v>
      </c>
      <c r="M7132" t="e">
        <v>#N/A</v>
      </c>
      <c r="N7132" s="1">
        <v>39539</v>
      </c>
    </row>
    <row r="7133" spans="11:14" x14ac:dyDescent="0.3">
      <c r="K7133" s="1">
        <v>39904</v>
      </c>
      <c r="M7133" t="e">
        <v>#N/A</v>
      </c>
      <c r="N7133" s="1">
        <v>39539</v>
      </c>
    </row>
    <row r="7134" spans="11:14" x14ac:dyDescent="0.3">
      <c r="K7134" s="1">
        <v>39904</v>
      </c>
      <c r="M7134" t="e">
        <v>#N/A</v>
      </c>
      <c r="N7134" s="1">
        <v>39539</v>
      </c>
    </row>
    <row r="7135" spans="11:14" x14ac:dyDescent="0.3">
      <c r="K7135" s="1">
        <v>39904</v>
      </c>
      <c r="M7135" t="e">
        <v>#N/A</v>
      </c>
      <c r="N7135" s="1">
        <v>39539</v>
      </c>
    </row>
    <row r="7136" spans="11:14" x14ac:dyDescent="0.3">
      <c r="K7136" s="1">
        <v>39904</v>
      </c>
      <c r="M7136" t="e">
        <v>#N/A</v>
      </c>
      <c r="N7136" s="1">
        <v>39539</v>
      </c>
    </row>
    <row r="7137" spans="11:14" x14ac:dyDescent="0.3">
      <c r="K7137" s="1">
        <v>39904</v>
      </c>
      <c r="M7137" t="e">
        <v>#N/A</v>
      </c>
      <c r="N7137" s="1">
        <v>39539</v>
      </c>
    </row>
    <row r="7138" spans="11:14" x14ac:dyDescent="0.3">
      <c r="K7138" s="1">
        <v>39904</v>
      </c>
      <c r="M7138" t="e">
        <v>#N/A</v>
      </c>
      <c r="N7138" s="1">
        <v>39539</v>
      </c>
    </row>
    <row r="7139" spans="11:14" x14ac:dyDescent="0.3">
      <c r="K7139" s="1">
        <v>39904</v>
      </c>
      <c r="M7139" t="e">
        <v>#N/A</v>
      </c>
      <c r="N7139" s="1">
        <v>39539</v>
      </c>
    </row>
    <row r="7140" spans="11:14" x14ac:dyDescent="0.3">
      <c r="K7140" s="1">
        <v>39904</v>
      </c>
      <c r="M7140" t="e">
        <v>#N/A</v>
      </c>
      <c r="N7140" s="1">
        <v>39539</v>
      </c>
    </row>
    <row r="7141" spans="11:14" x14ac:dyDescent="0.3">
      <c r="K7141" s="1">
        <v>39904</v>
      </c>
      <c r="M7141" t="e">
        <v>#N/A</v>
      </c>
      <c r="N7141" s="1">
        <v>39539</v>
      </c>
    </row>
    <row r="7142" spans="11:14" x14ac:dyDescent="0.3">
      <c r="K7142" s="1">
        <v>39904</v>
      </c>
      <c r="M7142" t="e">
        <v>#N/A</v>
      </c>
      <c r="N7142" s="1">
        <v>39539</v>
      </c>
    </row>
    <row r="7143" spans="11:14" x14ac:dyDescent="0.3">
      <c r="K7143" s="1">
        <v>39904</v>
      </c>
      <c r="M7143" t="e">
        <v>#N/A</v>
      </c>
      <c r="N7143" s="1">
        <v>39539</v>
      </c>
    </row>
    <row r="7144" spans="11:14" x14ac:dyDescent="0.3">
      <c r="K7144" s="1">
        <v>39904</v>
      </c>
      <c r="M7144" t="e">
        <v>#N/A</v>
      </c>
      <c r="N7144" s="1">
        <v>39539</v>
      </c>
    </row>
    <row r="7145" spans="11:14" x14ac:dyDescent="0.3">
      <c r="K7145" s="1">
        <v>39904</v>
      </c>
      <c r="M7145" t="e">
        <v>#N/A</v>
      </c>
      <c r="N7145" s="1">
        <v>39539</v>
      </c>
    </row>
    <row r="7146" spans="11:14" x14ac:dyDescent="0.3">
      <c r="K7146" s="1">
        <v>39904</v>
      </c>
      <c r="M7146" t="e">
        <v>#N/A</v>
      </c>
      <c r="N7146" s="1">
        <v>39539</v>
      </c>
    </row>
    <row r="7147" spans="11:14" x14ac:dyDescent="0.3">
      <c r="K7147" s="1">
        <v>39904</v>
      </c>
      <c r="M7147" t="e">
        <v>#N/A</v>
      </c>
      <c r="N7147" s="1">
        <v>39539</v>
      </c>
    </row>
    <row r="7148" spans="11:14" x14ac:dyDescent="0.3">
      <c r="K7148" s="1">
        <v>39904</v>
      </c>
      <c r="M7148" t="e">
        <v>#N/A</v>
      </c>
      <c r="N7148" s="1">
        <v>39539</v>
      </c>
    </row>
    <row r="7149" spans="11:14" x14ac:dyDescent="0.3">
      <c r="K7149" s="1">
        <v>39904</v>
      </c>
      <c r="M7149" t="e">
        <v>#N/A</v>
      </c>
      <c r="N7149" s="1">
        <v>39539</v>
      </c>
    </row>
    <row r="7150" spans="11:14" x14ac:dyDescent="0.3">
      <c r="K7150" s="1">
        <v>39904</v>
      </c>
      <c r="M7150" t="e">
        <v>#N/A</v>
      </c>
      <c r="N7150" s="1">
        <v>39539</v>
      </c>
    </row>
    <row r="7151" spans="11:14" x14ac:dyDescent="0.3">
      <c r="K7151" s="1">
        <v>39904</v>
      </c>
      <c r="M7151" t="e">
        <v>#N/A</v>
      </c>
      <c r="N7151" s="1">
        <v>39539</v>
      </c>
    </row>
    <row r="7152" spans="11:14" x14ac:dyDescent="0.3">
      <c r="K7152" s="1">
        <v>39904</v>
      </c>
      <c r="M7152" t="e">
        <v>#N/A</v>
      </c>
      <c r="N7152" s="1">
        <v>39539</v>
      </c>
    </row>
    <row r="7153" spans="11:14" x14ac:dyDescent="0.3">
      <c r="K7153" s="1">
        <v>39904</v>
      </c>
      <c r="M7153" t="e">
        <v>#N/A</v>
      </c>
      <c r="N7153" s="1">
        <v>39539</v>
      </c>
    </row>
    <row r="7154" spans="11:14" x14ac:dyDescent="0.3">
      <c r="K7154" s="1">
        <v>39904</v>
      </c>
      <c r="M7154" t="e">
        <v>#N/A</v>
      </c>
      <c r="N7154" s="1">
        <v>39539</v>
      </c>
    </row>
    <row r="7155" spans="11:14" x14ac:dyDescent="0.3">
      <c r="K7155" s="1">
        <v>39904</v>
      </c>
      <c r="M7155" t="e">
        <v>#N/A</v>
      </c>
      <c r="N7155" s="1">
        <v>39539</v>
      </c>
    </row>
    <row r="7156" spans="11:14" x14ac:dyDescent="0.3">
      <c r="K7156" s="1">
        <v>39904</v>
      </c>
      <c r="M7156" t="e">
        <v>#N/A</v>
      </c>
      <c r="N7156" s="1">
        <v>39539</v>
      </c>
    </row>
    <row r="7157" spans="11:14" x14ac:dyDescent="0.3">
      <c r="K7157" s="1">
        <v>39904</v>
      </c>
      <c r="M7157" t="e">
        <v>#N/A</v>
      </c>
      <c r="N7157" s="1">
        <v>39539</v>
      </c>
    </row>
    <row r="7158" spans="11:14" x14ac:dyDescent="0.3">
      <c r="K7158" s="1">
        <v>39904</v>
      </c>
      <c r="M7158" t="e">
        <v>#N/A</v>
      </c>
      <c r="N7158" s="1">
        <v>39539</v>
      </c>
    </row>
    <row r="7159" spans="11:14" x14ac:dyDescent="0.3">
      <c r="K7159" s="1">
        <v>39904</v>
      </c>
      <c r="M7159" t="e">
        <v>#N/A</v>
      </c>
      <c r="N7159" s="1">
        <v>39539</v>
      </c>
    </row>
    <row r="7160" spans="11:14" x14ac:dyDescent="0.3">
      <c r="K7160" s="1">
        <v>39904</v>
      </c>
      <c r="M7160" t="e">
        <v>#N/A</v>
      </c>
      <c r="N7160" s="1">
        <v>39539</v>
      </c>
    </row>
    <row r="7161" spans="11:14" x14ac:dyDescent="0.3">
      <c r="K7161" s="1">
        <v>39904</v>
      </c>
      <c r="M7161" t="e">
        <v>#N/A</v>
      </c>
      <c r="N7161" s="1">
        <v>39539</v>
      </c>
    </row>
    <row r="7162" spans="11:14" x14ac:dyDescent="0.3">
      <c r="K7162" s="1">
        <v>39904</v>
      </c>
      <c r="M7162" t="e">
        <v>#N/A</v>
      </c>
      <c r="N7162" s="1">
        <v>39539</v>
      </c>
    </row>
    <row r="7163" spans="11:14" x14ac:dyDescent="0.3">
      <c r="K7163" s="1">
        <v>39904</v>
      </c>
      <c r="M7163" t="e">
        <v>#N/A</v>
      </c>
      <c r="N7163" s="1">
        <v>39539</v>
      </c>
    </row>
    <row r="7164" spans="11:14" x14ac:dyDescent="0.3">
      <c r="K7164" s="1">
        <v>39904</v>
      </c>
      <c r="M7164" t="e">
        <v>#N/A</v>
      </c>
      <c r="N7164" s="1">
        <v>39539</v>
      </c>
    </row>
    <row r="7165" spans="11:14" x14ac:dyDescent="0.3">
      <c r="K7165" s="1">
        <v>39904</v>
      </c>
      <c r="M7165" t="e">
        <v>#N/A</v>
      </c>
      <c r="N7165" s="1">
        <v>39539</v>
      </c>
    </row>
    <row r="7166" spans="11:14" x14ac:dyDescent="0.3">
      <c r="K7166" s="1">
        <v>39995</v>
      </c>
      <c r="M7166" t="e">
        <v>#N/A</v>
      </c>
      <c r="N7166" s="1">
        <v>39539</v>
      </c>
    </row>
    <row r="7167" spans="11:14" x14ac:dyDescent="0.3">
      <c r="K7167" s="1">
        <v>39995</v>
      </c>
      <c r="M7167" t="e">
        <v>#N/A</v>
      </c>
      <c r="N7167" s="1">
        <v>39539</v>
      </c>
    </row>
    <row r="7168" spans="11:14" x14ac:dyDescent="0.3">
      <c r="K7168" s="1">
        <v>39995</v>
      </c>
      <c r="M7168" t="e">
        <v>#N/A</v>
      </c>
      <c r="N7168" s="1">
        <v>39539</v>
      </c>
    </row>
    <row r="7169" spans="11:14" x14ac:dyDescent="0.3">
      <c r="K7169" s="1">
        <v>39995</v>
      </c>
      <c r="M7169" t="e">
        <v>#N/A</v>
      </c>
      <c r="N7169" s="1">
        <v>39539</v>
      </c>
    </row>
    <row r="7170" spans="11:14" x14ac:dyDescent="0.3">
      <c r="K7170" s="1">
        <v>39995</v>
      </c>
      <c r="M7170" t="e">
        <v>#N/A</v>
      </c>
      <c r="N7170" s="1">
        <v>39539</v>
      </c>
    </row>
    <row r="7171" spans="11:14" x14ac:dyDescent="0.3">
      <c r="K7171" s="1">
        <v>39995</v>
      </c>
      <c r="M7171" t="e">
        <v>#N/A</v>
      </c>
      <c r="N7171" s="1">
        <v>39539</v>
      </c>
    </row>
    <row r="7172" spans="11:14" x14ac:dyDescent="0.3">
      <c r="K7172" s="1">
        <v>39995</v>
      </c>
      <c r="M7172" t="e">
        <v>#N/A</v>
      </c>
      <c r="N7172" s="1">
        <v>39539</v>
      </c>
    </row>
    <row r="7173" spans="11:14" x14ac:dyDescent="0.3">
      <c r="K7173" s="1">
        <v>39995</v>
      </c>
      <c r="M7173" t="e">
        <v>#N/A</v>
      </c>
      <c r="N7173" s="1">
        <v>39539</v>
      </c>
    </row>
    <row r="7174" spans="11:14" x14ac:dyDescent="0.3">
      <c r="K7174" s="1">
        <v>39995</v>
      </c>
      <c r="M7174" t="e">
        <v>#N/A</v>
      </c>
      <c r="N7174" s="1">
        <v>39539</v>
      </c>
    </row>
    <row r="7175" spans="11:14" x14ac:dyDescent="0.3">
      <c r="K7175" s="1">
        <v>39995</v>
      </c>
      <c r="M7175" t="e">
        <v>#N/A</v>
      </c>
      <c r="N7175" s="1">
        <v>39539</v>
      </c>
    </row>
    <row r="7176" spans="11:14" x14ac:dyDescent="0.3">
      <c r="K7176" s="1">
        <v>39995</v>
      </c>
      <c r="M7176" t="e">
        <v>#N/A</v>
      </c>
      <c r="N7176" s="1">
        <v>39539</v>
      </c>
    </row>
    <row r="7177" spans="11:14" x14ac:dyDescent="0.3">
      <c r="K7177" s="1">
        <v>39995</v>
      </c>
      <c r="M7177" t="e">
        <v>#N/A</v>
      </c>
      <c r="N7177" s="1">
        <v>39539</v>
      </c>
    </row>
    <row r="7178" spans="11:14" x14ac:dyDescent="0.3">
      <c r="K7178" s="1">
        <v>39995</v>
      </c>
      <c r="M7178" t="e">
        <v>#N/A</v>
      </c>
      <c r="N7178" s="1">
        <v>39539</v>
      </c>
    </row>
    <row r="7179" spans="11:14" x14ac:dyDescent="0.3">
      <c r="K7179" s="1">
        <v>39995</v>
      </c>
      <c r="M7179" t="e">
        <v>#N/A</v>
      </c>
      <c r="N7179" s="1">
        <v>39539</v>
      </c>
    </row>
    <row r="7180" spans="11:14" x14ac:dyDescent="0.3">
      <c r="K7180" s="1">
        <v>39995</v>
      </c>
      <c r="M7180" t="e">
        <v>#N/A</v>
      </c>
      <c r="N7180" s="1">
        <v>39539</v>
      </c>
    </row>
    <row r="7181" spans="11:14" x14ac:dyDescent="0.3">
      <c r="K7181" s="1">
        <v>39995</v>
      </c>
      <c r="M7181" t="e">
        <v>#N/A</v>
      </c>
      <c r="N7181" s="1">
        <v>39539</v>
      </c>
    </row>
    <row r="7182" spans="11:14" x14ac:dyDescent="0.3">
      <c r="K7182" s="1">
        <v>39995</v>
      </c>
      <c r="M7182" t="e">
        <v>#N/A</v>
      </c>
      <c r="N7182" s="1">
        <v>39539</v>
      </c>
    </row>
    <row r="7183" spans="11:14" x14ac:dyDescent="0.3">
      <c r="K7183" s="1">
        <v>39995</v>
      </c>
      <c r="M7183" t="e">
        <v>#N/A</v>
      </c>
      <c r="N7183" s="1">
        <v>39539</v>
      </c>
    </row>
    <row r="7184" spans="11:14" x14ac:dyDescent="0.3">
      <c r="K7184" s="1">
        <v>39995</v>
      </c>
      <c r="M7184" t="e">
        <v>#N/A</v>
      </c>
      <c r="N7184" s="1">
        <v>39539</v>
      </c>
    </row>
    <row r="7185" spans="11:14" x14ac:dyDescent="0.3">
      <c r="K7185" s="1">
        <v>39995</v>
      </c>
      <c r="M7185" t="e">
        <v>#N/A</v>
      </c>
      <c r="N7185" s="1">
        <v>39539</v>
      </c>
    </row>
    <row r="7186" spans="11:14" x14ac:dyDescent="0.3">
      <c r="K7186" s="1">
        <v>39995</v>
      </c>
      <c r="M7186" t="e">
        <v>#N/A</v>
      </c>
      <c r="N7186" s="1">
        <v>39539</v>
      </c>
    </row>
    <row r="7187" spans="11:14" x14ac:dyDescent="0.3">
      <c r="K7187" s="1">
        <v>39995</v>
      </c>
      <c r="M7187" t="e">
        <v>#N/A</v>
      </c>
      <c r="N7187" s="1">
        <v>39539</v>
      </c>
    </row>
    <row r="7188" spans="11:14" x14ac:dyDescent="0.3">
      <c r="K7188" s="1">
        <v>39995</v>
      </c>
      <c r="M7188" t="e">
        <v>#N/A</v>
      </c>
      <c r="N7188" s="1">
        <v>39539</v>
      </c>
    </row>
    <row r="7189" spans="11:14" x14ac:dyDescent="0.3">
      <c r="K7189" s="1">
        <v>39995</v>
      </c>
      <c r="M7189" t="e">
        <v>#N/A</v>
      </c>
      <c r="N7189" s="1">
        <v>39539</v>
      </c>
    </row>
    <row r="7190" spans="11:14" x14ac:dyDescent="0.3">
      <c r="K7190" s="1">
        <v>39995</v>
      </c>
      <c r="M7190" t="e">
        <v>#N/A</v>
      </c>
      <c r="N7190" s="1">
        <v>39539</v>
      </c>
    </row>
    <row r="7191" spans="11:14" x14ac:dyDescent="0.3">
      <c r="K7191" s="1">
        <v>39995</v>
      </c>
      <c r="M7191" t="e">
        <v>#N/A</v>
      </c>
      <c r="N7191" s="1">
        <v>39539</v>
      </c>
    </row>
    <row r="7192" spans="11:14" x14ac:dyDescent="0.3">
      <c r="K7192" s="1">
        <v>39995</v>
      </c>
      <c r="M7192" t="e">
        <v>#N/A</v>
      </c>
      <c r="N7192" s="1">
        <v>39539</v>
      </c>
    </row>
    <row r="7193" spans="11:14" x14ac:dyDescent="0.3">
      <c r="K7193" s="1">
        <v>39995</v>
      </c>
      <c r="M7193" t="e">
        <v>#N/A</v>
      </c>
      <c r="N7193" s="1">
        <v>39539</v>
      </c>
    </row>
    <row r="7194" spans="11:14" x14ac:dyDescent="0.3">
      <c r="K7194" s="1">
        <v>39995</v>
      </c>
      <c r="M7194" t="e">
        <v>#N/A</v>
      </c>
      <c r="N7194" s="1">
        <v>39539</v>
      </c>
    </row>
    <row r="7195" spans="11:14" x14ac:dyDescent="0.3">
      <c r="K7195" s="1">
        <v>39995</v>
      </c>
      <c r="M7195" t="e">
        <v>#N/A</v>
      </c>
      <c r="N7195" s="1">
        <v>39539</v>
      </c>
    </row>
    <row r="7196" spans="11:14" x14ac:dyDescent="0.3">
      <c r="K7196" s="1">
        <v>39995</v>
      </c>
      <c r="M7196" t="e">
        <v>#N/A</v>
      </c>
      <c r="N7196" s="1">
        <v>39539</v>
      </c>
    </row>
    <row r="7197" spans="11:14" x14ac:dyDescent="0.3">
      <c r="K7197" s="1">
        <v>39995</v>
      </c>
      <c r="M7197" t="e">
        <v>#N/A</v>
      </c>
      <c r="N7197" s="1">
        <v>39539</v>
      </c>
    </row>
    <row r="7198" spans="11:14" x14ac:dyDescent="0.3">
      <c r="K7198" s="1">
        <v>39995</v>
      </c>
      <c r="M7198" t="e">
        <v>#N/A</v>
      </c>
      <c r="N7198" s="1">
        <v>39539</v>
      </c>
    </row>
    <row r="7199" spans="11:14" x14ac:dyDescent="0.3">
      <c r="K7199" s="1">
        <v>39995</v>
      </c>
      <c r="M7199" t="e">
        <v>#N/A</v>
      </c>
      <c r="N7199" s="1">
        <v>39539</v>
      </c>
    </row>
    <row r="7200" spans="11:14" x14ac:dyDescent="0.3">
      <c r="K7200" s="1">
        <v>39995</v>
      </c>
      <c r="M7200" t="e">
        <v>#N/A</v>
      </c>
      <c r="N7200" s="1">
        <v>39539</v>
      </c>
    </row>
    <row r="7201" spans="11:14" x14ac:dyDescent="0.3">
      <c r="K7201" s="1">
        <v>39995</v>
      </c>
      <c r="M7201" t="e">
        <v>#N/A</v>
      </c>
      <c r="N7201" s="1">
        <v>39539</v>
      </c>
    </row>
    <row r="7202" spans="11:14" x14ac:dyDescent="0.3">
      <c r="K7202" s="1">
        <v>39995</v>
      </c>
      <c r="M7202" t="e">
        <v>#N/A</v>
      </c>
      <c r="N7202" s="1">
        <v>39539</v>
      </c>
    </row>
    <row r="7203" spans="11:14" x14ac:dyDescent="0.3">
      <c r="K7203" s="1">
        <v>39995</v>
      </c>
      <c r="M7203" t="e">
        <v>#N/A</v>
      </c>
      <c r="N7203" s="1">
        <v>39539</v>
      </c>
    </row>
    <row r="7204" spans="11:14" x14ac:dyDescent="0.3">
      <c r="K7204" s="1">
        <v>39995</v>
      </c>
      <c r="M7204" t="e">
        <v>#N/A</v>
      </c>
      <c r="N7204" s="1">
        <v>39539</v>
      </c>
    </row>
    <row r="7205" spans="11:14" x14ac:dyDescent="0.3">
      <c r="K7205" s="1">
        <v>39995</v>
      </c>
      <c r="M7205" t="e">
        <v>#N/A</v>
      </c>
      <c r="N7205" s="1">
        <v>39539</v>
      </c>
    </row>
    <row r="7206" spans="11:14" x14ac:dyDescent="0.3">
      <c r="K7206" s="1">
        <v>39995</v>
      </c>
      <c r="M7206" t="e">
        <v>#N/A</v>
      </c>
      <c r="N7206" s="1">
        <v>39539</v>
      </c>
    </row>
    <row r="7207" spans="11:14" x14ac:dyDescent="0.3">
      <c r="K7207" s="1">
        <v>39995</v>
      </c>
      <c r="M7207" t="e">
        <v>#N/A</v>
      </c>
      <c r="N7207" s="1">
        <v>39539</v>
      </c>
    </row>
    <row r="7208" spans="11:14" x14ac:dyDescent="0.3">
      <c r="K7208" s="1">
        <v>39995</v>
      </c>
      <c r="M7208" t="e">
        <v>#N/A</v>
      </c>
      <c r="N7208" s="1">
        <v>39539</v>
      </c>
    </row>
    <row r="7209" spans="11:14" x14ac:dyDescent="0.3">
      <c r="K7209" s="1">
        <v>39995</v>
      </c>
      <c r="M7209" t="e">
        <v>#N/A</v>
      </c>
      <c r="N7209" s="1">
        <v>39539</v>
      </c>
    </row>
    <row r="7210" spans="11:14" x14ac:dyDescent="0.3">
      <c r="K7210" s="1">
        <v>39995</v>
      </c>
      <c r="M7210" t="e">
        <v>#N/A</v>
      </c>
      <c r="N7210" s="1">
        <v>39539</v>
      </c>
    </row>
    <row r="7211" spans="11:14" x14ac:dyDescent="0.3">
      <c r="K7211" s="1">
        <v>39995</v>
      </c>
      <c r="M7211" t="e">
        <v>#N/A</v>
      </c>
      <c r="N7211" s="1">
        <v>39539</v>
      </c>
    </row>
    <row r="7212" spans="11:14" x14ac:dyDescent="0.3">
      <c r="K7212" s="1">
        <v>39995</v>
      </c>
      <c r="M7212" t="e">
        <v>#N/A</v>
      </c>
      <c r="N7212" s="1">
        <v>39539</v>
      </c>
    </row>
    <row r="7213" spans="11:14" x14ac:dyDescent="0.3">
      <c r="K7213" s="1">
        <v>39995</v>
      </c>
      <c r="M7213" t="e">
        <v>#N/A</v>
      </c>
      <c r="N7213" s="1">
        <v>39539</v>
      </c>
    </row>
    <row r="7214" spans="11:14" x14ac:dyDescent="0.3">
      <c r="K7214" s="1">
        <v>39995</v>
      </c>
      <c r="M7214" t="e">
        <v>#N/A</v>
      </c>
      <c r="N7214" s="1">
        <v>39539</v>
      </c>
    </row>
    <row r="7215" spans="11:14" x14ac:dyDescent="0.3">
      <c r="K7215" s="1">
        <v>39995</v>
      </c>
      <c r="M7215" t="e">
        <v>#N/A</v>
      </c>
      <c r="N7215" s="1">
        <v>39539</v>
      </c>
    </row>
    <row r="7216" spans="11:14" x14ac:dyDescent="0.3">
      <c r="K7216" s="1">
        <v>39995</v>
      </c>
      <c r="M7216" t="e">
        <v>#N/A</v>
      </c>
      <c r="N7216" s="1">
        <v>39539</v>
      </c>
    </row>
    <row r="7217" spans="11:14" x14ac:dyDescent="0.3">
      <c r="K7217" s="1">
        <v>39995</v>
      </c>
      <c r="M7217" t="e">
        <v>#N/A</v>
      </c>
      <c r="N7217" s="1">
        <v>39539</v>
      </c>
    </row>
    <row r="7218" spans="11:14" x14ac:dyDescent="0.3">
      <c r="K7218" s="1">
        <v>39995</v>
      </c>
      <c r="M7218" t="e">
        <v>#N/A</v>
      </c>
      <c r="N7218" s="1">
        <v>39539</v>
      </c>
    </row>
    <row r="7219" spans="11:14" x14ac:dyDescent="0.3">
      <c r="K7219" s="1">
        <v>39995</v>
      </c>
      <c r="M7219" t="e">
        <v>#N/A</v>
      </c>
      <c r="N7219" s="1">
        <v>39539</v>
      </c>
    </row>
    <row r="7220" spans="11:14" x14ac:dyDescent="0.3">
      <c r="K7220" s="1">
        <v>39995</v>
      </c>
      <c r="M7220" t="e">
        <v>#N/A</v>
      </c>
      <c r="N7220" s="1">
        <v>39539</v>
      </c>
    </row>
    <row r="7221" spans="11:14" x14ac:dyDescent="0.3">
      <c r="K7221" s="1">
        <v>39995</v>
      </c>
      <c r="M7221" t="e">
        <v>#N/A</v>
      </c>
      <c r="N7221" s="1">
        <v>39539</v>
      </c>
    </row>
    <row r="7222" spans="11:14" x14ac:dyDescent="0.3">
      <c r="K7222" s="1">
        <v>39995</v>
      </c>
      <c r="M7222" t="e">
        <v>#N/A</v>
      </c>
      <c r="N7222" s="1">
        <v>39539</v>
      </c>
    </row>
    <row r="7223" spans="11:14" x14ac:dyDescent="0.3">
      <c r="K7223" s="1">
        <v>39995</v>
      </c>
      <c r="M7223" t="e">
        <v>#N/A</v>
      </c>
      <c r="N7223" s="1">
        <v>39539</v>
      </c>
    </row>
    <row r="7224" spans="11:14" x14ac:dyDescent="0.3">
      <c r="K7224" s="1">
        <v>39995</v>
      </c>
      <c r="M7224" t="e">
        <v>#N/A</v>
      </c>
      <c r="N7224" s="1">
        <v>39539</v>
      </c>
    </row>
    <row r="7225" spans="11:14" x14ac:dyDescent="0.3">
      <c r="K7225" s="1">
        <v>39995</v>
      </c>
      <c r="M7225" t="e">
        <v>#N/A</v>
      </c>
      <c r="N7225" s="1">
        <v>39539</v>
      </c>
    </row>
    <row r="7226" spans="11:14" x14ac:dyDescent="0.3">
      <c r="K7226" s="1">
        <v>39995</v>
      </c>
      <c r="M7226" t="e">
        <v>#N/A</v>
      </c>
      <c r="N7226" s="1">
        <v>39539</v>
      </c>
    </row>
    <row r="7227" spans="11:14" x14ac:dyDescent="0.3">
      <c r="K7227" s="1">
        <v>39995</v>
      </c>
      <c r="M7227" t="e">
        <v>#N/A</v>
      </c>
      <c r="N7227" s="1">
        <v>39539</v>
      </c>
    </row>
    <row r="7228" spans="11:14" x14ac:dyDescent="0.3">
      <c r="K7228" s="1">
        <v>39995</v>
      </c>
      <c r="M7228" t="e">
        <v>#N/A</v>
      </c>
      <c r="N7228" s="1">
        <v>39539</v>
      </c>
    </row>
    <row r="7229" spans="11:14" x14ac:dyDescent="0.3">
      <c r="K7229" s="1">
        <v>39995</v>
      </c>
      <c r="M7229" t="e">
        <v>#N/A</v>
      </c>
      <c r="N7229" s="1">
        <v>39539</v>
      </c>
    </row>
    <row r="7230" spans="11:14" x14ac:dyDescent="0.3">
      <c r="K7230" s="1">
        <v>39995</v>
      </c>
      <c r="M7230" t="e">
        <v>#N/A</v>
      </c>
      <c r="N7230" s="1">
        <v>39539</v>
      </c>
    </row>
    <row r="7231" spans="11:14" x14ac:dyDescent="0.3">
      <c r="K7231" s="1">
        <v>39995</v>
      </c>
      <c r="M7231" t="e">
        <v>#N/A</v>
      </c>
      <c r="N7231" s="1">
        <v>39539</v>
      </c>
    </row>
    <row r="7232" spans="11:14" x14ac:dyDescent="0.3">
      <c r="K7232" s="1">
        <v>39995</v>
      </c>
      <c r="M7232" t="e">
        <v>#N/A</v>
      </c>
      <c r="N7232" s="1">
        <v>39539</v>
      </c>
    </row>
    <row r="7233" spans="11:14" x14ac:dyDescent="0.3">
      <c r="K7233" s="1">
        <v>39995</v>
      </c>
      <c r="M7233" t="e">
        <v>#N/A</v>
      </c>
      <c r="N7233" s="1">
        <v>39539</v>
      </c>
    </row>
    <row r="7234" spans="11:14" x14ac:dyDescent="0.3">
      <c r="K7234" s="1">
        <v>39995</v>
      </c>
      <c r="M7234" t="e">
        <v>#N/A</v>
      </c>
      <c r="N7234" s="1">
        <v>39539</v>
      </c>
    </row>
    <row r="7235" spans="11:14" x14ac:dyDescent="0.3">
      <c r="K7235" s="1">
        <v>39995</v>
      </c>
      <c r="M7235" t="e">
        <v>#N/A</v>
      </c>
      <c r="N7235" s="1">
        <v>39539</v>
      </c>
    </row>
    <row r="7236" spans="11:14" x14ac:dyDescent="0.3">
      <c r="K7236" s="1">
        <v>39995</v>
      </c>
      <c r="M7236" t="e">
        <v>#N/A</v>
      </c>
      <c r="N7236" s="1">
        <v>39539</v>
      </c>
    </row>
    <row r="7237" spans="11:14" x14ac:dyDescent="0.3">
      <c r="K7237" s="1">
        <v>39995</v>
      </c>
      <c r="M7237" t="e">
        <v>#N/A</v>
      </c>
      <c r="N7237" s="1">
        <v>39539</v>
      </c>
    </row>
    <row r="7238" spans="11:14" x14ac:dyDescent="0.3">
      <c r="K7238" s="1">
        <v>39995</v>
      </c>
      <c r="M7238" t="e">
        <v>#N/A</v>
      </c>
      <c r="N7238" s="1">
        <v>39539</v>
      </c>
    </row>
    <row r="7239" spans="11:14" x14ac:dyDescent="0.3">
      <c r="K7239" s="1">
        <v>39995</v>
      </c>
      <c r="M7239" t="e">
        <v>#N/A</v>
      </c>
      <c r="N7239" s="1">
        <v>39539</v>
      </c>
    </row>
    <row r="7240" spans="11:14" x14ac:dyDescent="0.3">
      <c r="K7240" s="1">
        <v>39995</v>
      </c>
      <c r="M7240" t="e">
        <v>#N/A</v>
      </c>
      <c r="N7240" s="1">
        <v>39539</v>
      </c>
    </row>
    <row r="7241" spans="11:14" x14ac:dyDescent="0.3">
      <c r="K7241" s="1">
        <v>39995</v>
      </c>
      <c r="M7241" t="e">
        <v>#N/A</v>
      </c>
      <c r="N7241" s="1">
        <v>39539</v>
      </c>
    </row>
    <row r="7242" spans="11:14" x14ac:dyDescent="0.3">
      <c r="K7242" s="1">
        <v>39995</v>
      </c>
      <c r="M7242" t="e">
        <v>#N/A</v>
      </c>
      <c r="N7242" s="1">
        <v>39539</v>
      </c>
    </row>
    <row r="7243" spans="11:14" x14ac:dyDescent="0.3">
      <c r="K7243" s="1">
        <v>39995</v>
      </c>
      <c r="M7243" t="e">
        <v>#N/A</v>
      </c>
      <c r="N7243" s="1">
        <v>39539</v>
      </c>
    </row>
    <row r="7244" spans="11:14" x14ac:dyDescent="0.3">
      <c r="K7244" s="1">
        <v>39995</v>
      </c>
      <c r="M7244" t="e">
        <v>#N/A</v>
      </c>
      <c r="N7244" s="1">
        <v>39539</v>
      </c>
    </row>
    <row r="7245" spans="11:14" x14ac:dyDescent="0.3">
      <c r="K7245" s="1">
        <v>39995</v>
      </c>
      <c r="M7245" t="e">
        <v>#N/A</v>
      </c>
      <c r="N7245" s="1">
        <v>39539</v>
      </c>
    </row>
    <row r="7246" spans="11:14" x14ac:dyDescent="0.3">
      <c r="K7246" s="1">
        <v>39995</v>
      </c>
      <c r="M7246" t="e">
        <v>#N/A</v>
      </c>
      <c r="N7246" s="1">
        <v>39539</v>
      </c>
    </row>
    <row r="7247" spans="11:14" x14ac:dyDescent="0.3">
      <c r="K7247" s="1">
        <v>39995</v>
      </c>
      <c r="M7247" t="e">
        <v>#N/A</v>
      </c>
      <c r="N7247" s="1">
        <v>39539</v>
      </c>
    </row>
    <row r="7248" spans="11:14" x14ac:dyDescent="0.3">
      <c r="K7248" s="1">
        <v>39995</v>
      </c>
      <c r="M7248" t="e">
        <v>#N/A</v>
      </c>
      <c r="N7248" s="1">
        <v>39539</v>
      </c>
    </row>
    <row r="7249" spans="11:14" x14ac:dyDescent="0.3">
      <c r="K7249" s="1">
        <v>39995</v>
      </c>
      <c r="M7249" t="e">
        <v>#N/A</v>
      </c>
      <c r="N7249" s="1">
        <v>39539</v>
      </c>
    </row>
    <row r="7250" spans="11:14" x14ac:dyDescent="0.3">
      <c r="K7250" s="1">
        <v>39995</v>
      </c>
      <c r="M7250" t="e">
        <v>#N/A</v>
      </c>
      <c r="N7250" s="1">
        <v>39539</v>
      </c>
    </row>
    <row r="7251" spans="11:14" x14ac:dyDescent="0.3">
      <c r="K7251" s="1">
        <v>39995</v>
      </c>
      <c r="M7251" t="e">
        <v>#N/A</v>
      </c>
      <c r="N7251" s="1">
        <v>39539</v>
      </c>
    </row>
    <row r="7252" spans="11:14" x14ac:dyDescent="0.3">
      <c r="K7252" s="1">
        <v>39995</v>
      </c>
      <c r="M7252" t="e">
        <v>#N/A</v>
      </c>
      <c r="N7252" s="1">
        <v>39539</v>
      </c>
    </row>
    <row r="7253" spans="11:14" x14ac:dyDescent="0.3">
      <c r="K7253" s="1">
        <v>39995</v>
      </c>
      <c r="M7253" t="e">
        <v>#N/A</v>
      </c>
      <c r="N7253" s="1">
        <v>39539</v>
      </c>
    </row>
    <row r="7254" spans="11:14" x14ac:dyDescent="0.3">
      <c r="K7254" s="1">
        <v>39995</v>
      </c>
      <c r="M7254" t="e">
        <v>#N/A</v>
      </c>
      <c r="N7254" s="1">
        <v>39539</v>
      </c>
    </row>
    <row r="7255" spans="11:14" x14ac:dyDescent="0.3">
      <c r="K7255" s="1">
        <v>39995</v>
      </c>
      <c r="M7255" t="e">
        <v>#N/A</v>
      </c>
      <c r="N7255" s="1">
        <v>39539</v>
      </c>
    </row>
    <row r="7256" spans="11:14" x14ac:dyDescent="0.3">
      <c r="K7256" s="1">
        <v>39995</v>
      </c>
      <c r="M7256" t="e">
        <v>#N/A</v>
      </c>
      <c r="N7256" s="1">
        <v>39539</v>
      </c>
    </row>
    <row r="7257" spans="11:14" x14ac:dyDescent="0.3">
      <c r="K7257" s="1">
        <v>39995</v>
      </c>
      <c r="M7257" t="e">
        <v>#N/A</v>
      </c>
      <c r="N7257" s="1">
        <v>39539</v>
      </c>
    </row>
    <row r="7258" spans="11:14" x14ac:dyDescent="0.3">
      <c r="K7258" s="1">
        <v>39995</v>
      </c>
      <c r="M7258" t="e">
        <v>#N/A</v>
      </c>
      <c r="N7258" s="1">
        <v>39539</v>
      </c>
    </row>
    <row r="7259" spans="11:14" x14ac:dyDescent="0.3">
      <c r="K7259" s="1">
        <v>39995</v>
      </c>
      <c r="M7259" t="e">
        <v>#N/A</v>
      </c>
      <c r="N7259" s="1">
        <v>39539</v>
      </c>
    </row>
    <row r="7260" spans="11:14" x14ac:dyDescent="0.3">
      <c r="K7260" s="1">
        <v>39995</v>
      </c>
      <c r="M7260" t="e">
        <v>#N/A</v>
      </c>
      <c r="N7260" s="1">
        <v>39630</v>
      </c>
    </row>
    <row r="7261" spans="11:14" x14ac:dyDescent="0.3">
      <c r="K7261" s="1">
        <v>39995</v>
      </c>
      <c r="M7261" t="e">
        <v>#N/A</v>
      </c>
      <c r="N7261" s="1">
        <v>39630</v>
      </c>
    </row>
    <row r="7262" spans="11:14" x14ac:dyDescent="0.3">
      <c r="K7262" s="1">
        <v>39995</v>
      </c>
      <c r="M7262" t="e">
        <v>#N/A</v>
      </c>
      <c r="N7262" s="1">
        <v>39630</v>
      </c>
    </row>
    <row r="7263" spans="11:14" x14ac:dyDescent="0.3">
      <c r="K7263" s="1">
        <v>39995</v>
      </c>
      <c r="M7263" t="e">
        <v>#N/A</v>
      </c>
      <c r="N7263" s="1">
        <v>39630</v>
      </c>
    </row>
    <row r="7264" spans="11:14" x14ac:dyDescent="0.3">
      <c r="K7264" s="1">
        <v>39995</v>
      </c>
      <c r="M7264" t="e">
        <v>#N/A</v>
      </c>
      <c r="N7264" s="1">
        <v>39630</v>
      </c>
    </row>
    <row r="7265" spans="11:14" x14ac:dyDescent="0.3">
      <c r="K7265" s="1">
        <v>39995</v>
      </c>
      <c r="M7265" t="e">
        <v>#N/A</v>
      </c>
      <c r="N7265" s="1">
        <v>39630</v>
      </c>
    </row>
    <row r="7266" spans="11:14" x14ac:dyDescent="0.3">
      <c r="K7266" s="1">
        <v>39995</v>
      </c>
      <c r="M7266" t="e">
        <v>#N/A</v>
      </c>
      <c r="N7266" s="1">
        <v>39630</v>
      </c>
    </row>
    <row r="7267" spans="11:14" x14ac:dyDescent="0.3">
      <c r="K7267" s="1">
        <v>39995</v>
      </c>
      <c r="M7267" t="e">
        <v>#N/A</v>
      </c>
      <c r="N7267" s="1">
        <v>39630</v>
      </c>
    </row>
    <row r="7268" spans="11:14" x14ac:dyDescent="0.3">
      <c r="K7268" s="1">
        <v>39995</v>
      </c>
      <c r="M7268" t="e">
        <v>#N/A</v>
      </c>
      <c r="N7268" s="1">
        <v>39630</v>
      </c>
    </row>
    <row r="7269" spans="11:14" x14ac:dyDescent="0.3">
      <c r="K7269" s="1">
        <v>39995</v>
      </c>
      <c r="M7269" t="e">
        <v>#N/A</v>
      </c>
      <c r="N7269" s="1">
        <v>39630</v>
      </c>
    </row>
    <row r="7270" spans="11:14" x14ac:dyDescent="0.3">
      <c r="K7270" s="1">
        <v>39995</v>
      </c>
      <c r="M7270" t="e">
        <v>#N/A</v>
      </c>
      <c r="N7270" s="1">
        <v>39630</v>
      </c>
    </row>
    <row r="7271" spans="11:14" x14ac:dyDescent="0.3">
      <c r="K7271" s="1">
        <v>39995</v>
      </c>
      <c r="M7271" t="e">
        <v>#N/A</v>
      </c>
      <c r="N7271" s="1">
        <v>39630</v>
      </c>
    </row>
    <row r="7272" spans="11:14" x14ac:dyDescent="0.3">
      <c r="K7272" s="1">
        <v>39995</v>
      </c>
      <c r="M7272" t="e">
        <v>#N/A</v>
      </c>
      <c r="N7272" s="1">
        <v>39630</v>
      </c>
    </row>
    <row r="7273" spans="11:14" x14ac:dyDescent="0.3">
      <c r="K7273" s="1">
        <v>39995</v>
      </c>
      <c r="M7273" t="e">
        <v>#N/A</v>
      </c>
      <c r="N7273" s="1">
        <v>39630</v>
      </c>
    </row>
    <row r="7274" spans="11:14" x14ac:dyDescent="0.3">
      <c r="K7274" s="1">
        <v>39995</v>
      </c>
      <c r="M7274" t="e">
        <v>#N/A</v>
      </c>
      <c r="N7274" s="1">
        <v>39630</v>
      </c>
    </row>
    <row r="7275" spans="11:14" x14ac:dyDescent="0.3">
      <c r="K7275" s="1">
        <v>39995</v>
      </c>
      <c r="M7275" t="e">
        <v>#N/A</v>
      </c>
      <c r="N7275" s="1">
        <v>39630</v>
      </c>
    </row>
    <row r="7276" spans="11:14" x14ac:dyDescent="0.3">
      <c r="K7276" s="1">
        <v>39995</v>
      </c>
      <c r="M7276" t="e">
        <v>#N/A</v>
      </c>
      <c r="N7276" s="1">
        <v>39630</v>
      </c>
    </row>
    <row r="7277" spans="11:14" x14ac:dyDescent="0.3">
      <c r="K7277" s="1">
        <v>39995</v>
      </c>
      <c r="M7277" t="e">
        <v>#N/A</v>
      </c>
      <c r="N7277" s="1">
        <v>39630</v>
      </c>
    </row>
    <row r="7278" spans="11:14" x14ac:dyDescent="0.3">
      <c r="K7278" s="1">
        <v>39995</v>
      </c>
      <c r="M7278" t="e">
        <v>#N/A</v>
      </c>
      <c r="N7278" s="1">
        <v>39630</v>
      </c>
    </row>
    <row r="7279" spans="11:14" x14ac:dyDescent="0.3">
      <c r="K7279" s="1">
        <v>39995</v>
      </c>
      <c r="M7279" t="e">
        <v>#N/A</v>
      </c>
      <c r="N7279" s="1">
        <v>39630</v>
      </c>
    </row>
    <row r="7280" spans="11:14" x14ac:dyDescent="0.3">
      <c r="K7280" s="1">
        <v>39995</v>
      </c>
      <c r="M7280" t="e">
        <v>#N/A</v>
      </c>
      <c r="N7280" s="1">
        <v>39630</v>
      </c>
    </row>
    <row r="7281" spans="11:14" x14ac:dyDescent="0.3">
      <c r="K7281" s="1">
        <v>39995</v>
      </c>
      <c r="M7281" t="e">
        <v>#N/A</v>
      </c>
      <c r="N7281" s="1">
        <v>39630</v>
      </c>
    </row>
    <row r="7282" spans="11:14" x14ac:dyDescent="0.3">
      <c r="K7282" s="1">
        <v>39995</v>
      </c>
      <c r="M7282" t="e">
        <v>#N/A</v>
      </c>
      <c r="N7282" s="1">
        <v>39630</v>
      </c>
    </row>
    <row r="7283" spans="11:14" x14ac:dyDescent="0.3">
      <c r="K7283" s="1">
        <v>39995</v>
      </c>
      <c r="M7283" t="e">
        <v>#N/A</v>
      </c>
      <c r="N7283" s="1">
        <v>39630</v>
      </c>
    </row>
    <row r="7284" spans="11:14" x14ac:dyDescent="0.3">
      <c r="K7284" s="1">
        <v>39995</v>
      </c>
      <c r="M7284" t="e">
        <v>#N/A</v>
      </c>
      <c r="N7284" s="1">
        <v>39630</v>
      </c>
    </row>
    <row r="7285" spans="11:14" x14ac:dyDescent="0.3">
      <c r="K7285" s="1">
        <v>39995</v>
      </c>
      <c r="M7285" t="e">
        <v>#N/A</v>
      </c>
      <c r="N7285" s="1">
        <v>39630</v>
      </c>
    </row>
    <row r="7286" spans="11:14" x14ac:dyDescent="0.3">
      <c r="K7286" s="1">
        <v>39995</v>
      </c>
      <c r="M7286" t="e">
        <v>#N/A</v>
      </c>
      <c r="N7286" s="1">
        <v>39630</v>
      </c>
    </row>
    <row r="7287" spans="11:14" x14ac:dyDescent="0.3">
      <c r="K7287" s="1">
        <v>39995</v>
      </c>
      <c r="M7287" t="e">
        <v>#N/A</v>
      </c>
      <c r="N7287" s="1">
        <v>39630</v>
      </c>
    </row>
    <row r="7288" spans="11:14" x14ac:dyDescent="0.3">
      <c r="K7288" s="1">
        <v>39995</v>
      </c>
      <c r="M7288" t="e">
        <v>#N/A</v>
      </c>
      <c r="N7288" s="1">
        <v>39630</v>
      </c>
    </row>
    <row r="7289" spans="11:14" x14ac:dyDescent="0.3">
      <c r="K7289" s="1">
        <v>39995</v>
      </c>
      <c r="M7289" t="e">
        <v>#N/A</v>
      </c>
      <c r="N7289" s="1">
        <v>39630</v>
      </c>
    </row>
    <row r="7290" spans="11:14" x14ac:dyDescent="0.3">
      <c r="K7290" s="1">
        <v>39995</v>
      </c>
      <c r="M7290" t="e">
        <v>#N/A</v>
      </c>
      <c r="N7290" s="1">
        <v>39630</v>
      </c>
    </row>
    <row r="7291" spans="11:14" x14ac:dyDescent="0.3">
      <c r="K7291" s="1">
        <v>39995</v>
      </c>
      <c r="M7291" t="e">
        <v>#N/A</v>
      </c>
      <c r="N7291" s="1">
        <v>39630</v>
      </c>
    </row>
    <row r="7292" spans="11:14" x14ac:dyDescent="0.3">
      <c r="K7292" s="1">
        <v>39995</v>
      </c>
      <c r="M7292" t="e">
        <v>#N/A</v>
      </c>
      <c r="N7292" s="1">
        <v>39630</v>
      </c>
    </row>
    <row r="7293" spans="11:14" x14ac:dyDescent="0.3">
      <c r="K7293" s="1">
        <v>39995</v>
      </c>
      <c r="M7293" t="e">
        <v>#N/A</v>
      </c>
      <c r="N7293" s="1">
        <v>39630</v>
      </c>
    </row>
    <row r="7294" spans="11:14" x14ac:dyDescent="0.3">
      <c r="K7294" s="1">
        <v>39995</v>
      </c>
      <c r="M7294" t="e">
        <v>#N/A</v>
      </c>
      <c r="N7294" s="1">
        <v>39630</v>
      </c>
    </row>
    <row r="7295" spans="11:14" x14ac:dyDescent="0.3">
      <c r="K7295" s="1">
        <v>39995</v>
      </c>
      <c r="M7295" t="e">
        <v>#N/A</v>
      </c>
      <c r="N7295" s="1">
        <v>39630</v>
      </c>
    </row>
    <row r="7296" spans="11:14" x14ac:dyDescent="0.3">
      <c r="K7296" s="1">
        <v>39995</v>
      </c>
      <c r="M7296" t="e">
        <v>#N/A</v>
      </c>
      <c r="N7296" s="1">
        <v>39630</v>
      </c>
    </row>
    <row r="7297" spans="11:14" x14ac:dyDescent="0.3">
      <c r="K7297" s="1">
        <v>39995</v>
      </c>
      <c r="M7297" t="e">
        <v>#N/A</v>
      </c>
      <c r="N7297" s="1">
        <v>39630</v>
      </c>
    </row>
    <row r="7298" spans="11:14" x14ac:dyDescent="0.3">
      <c r="K7298" s="1">
        <v>39995</v>
      </c>
      <c r="M7298" t="e">
        <v>#N/A</v>
      </c>
      <c r="N7298" s="1">
        <v>39630</v>
      </c>
    </row>
    <row r="7299" spans="11:14" x14ac:dyDescent="0.3">
      <c r="K7299" s="1">
        <v>39995</v>
      </c>
      <c r="M7299" t="e">
        <v>#N/A</v>
      </c>
      <c r="N7299" s="1">
        <v>39630</v>
      </c>
    </row>
    <row r="7300" spans="11:14" x14ac:dyDescent="0.3">
      <c r="K7300" s="1">
        <v>39995</v>
      </c>
      <c r="M7300" t="e">
        <v>#N/A</v>
      </c>
      <c r="N7300" s="1">
        <v>39630</v>
      </c>
    </row>
    <row r="7301" spans="11:14" x14ac:dyDescent="0.3">
      <c r="K7301" s="1">
        <v>39995</v>
      </c>
      <c r="M7301" t="e">
        <v>#N/A</v>
      </c>
      <c r="N7301" s="1">
        <v>39630</v>
      </c>
    </row>
    <row r="7302" spans="11:14" x14ac:dyDescent="0.3">
      <c r="K7302" s="1">
        <v>39995</v>
      </c>
      <c r="M7302" t="e">
        <v>#N/A</v>
      </c>
      <c r="N7302" s="1">
        <v>39630</v>
      </c>
    </row>
    <row r="7303" spans="11:14" x14ac:dyDescent="0.3">
      <c r="K7303" s="1">
        <v>39995</v>
      </c>
      <c r="M7303" t="e">
        <v>#N/A</v>
      </c>
      <c r="N7303" s="1">
        <v>39630</v>
      </c>
    </row>
    <row r="7304" spans="11:14" x14ac:dyDescent="0.3">
      <c r="K7304" s="1">
        <v>39995</v>
      </c>
      <c r="M7304" t="e">
        <v>#N/A</v>
      </c>
      <c r="N7304" s="1">
        <v>39630</v>
      </c>
    </row>
    <row r="7305" spans="11:14" x14ac:dyDescent="0.3">
      <c r="K7305" s="1">
        <v>39995</v>
      </c>
      <c r="M7305" t="e">
        <v>#N/A</v>
      </c>
      <c r="N7305" s="1">
        <v>39630</v>
      </c>
    </row>
    <row r="7306" spans="11:14" x14ac:dyDescent="0.3">
      <c r="K7306" s="1">
        <v>39995</v>
      </c>
      <c r="M7306" t="e">
        <v>#N/A</v>
      </c>
      <c r="N7306" s="1">
        <v>39630</v>
      </c>
    </row>
    <row r="7307" spans="11:14" x14ac:dyDescent="0.3">
      <c r="K7307" s="1">
        <v>39995</v>
      </c>
      <c r="M7307" t="e">
        <v>#N/A</v>
      </c>
      <c r="N7307" s="1">
        <v>39630</v>
      </c>
    </row>
    <row r="7308" spans="11:14" x14ac:dyDescent="0.3">
      <c r="K7308" s="1">
        <v>39995</v>
      </c>
      <c r="M7308" t="e">
        <v>#N/A</v>
      </c>
      <c r="N7308" s="1">
        <v>39630</v>
      </c>
    </row>
    <row r="7309" spans="11:14" x14ac:dyDescent="0.3">
      <c r="K7309" s="1">
        <v>39995</v>
      </c>
      <c r="M7309" t="e">
        <v>#N/A</v>
      </c>
      <c r="N7309" s="1">
        <v>39630</v>
      </c>
    </row>
    <row r="7310" spans="11:14" x14ac:dyDescent="0.3">
      <c r="K7310" s="1">
        <v>39995</v>
      </c>
      <c r="M7310" t="e">
        <v>#N/A</v>
      </c>
      <c r="N7310" s="1">
        <v>39630</v>
      </c>
    </row>
    <row r="7311" spans="11:14" x14ac:dyDescent="0.3">
      <c r="K7311" s="1">
        <v>39995</v>
      </c>
      <c r="M7311" t="e">
        <v>#N/A</v>
      </c>
      <c r="N7311" s="1">
        <v>39630</v>
      </c>
    </row>
    <row r="7312" spans="11:14" x14ac:dyDescent="0.3">
      <c r="K7312" s="1">
        <v>39995</v>
      </c>
      <c r="M7312" t="e">
        <v>#N/A</v>
      </c>
      <c r="N7312" s="1">
        <v>39630</v>
      </c>
    </row>
    <row r="7313" spans="11:14" x14ac:dyDescent="0.3">
      <c r="K7313" s="1">
        <v>39995</v>
      </c>
      <c r="M7313" t="e">
        <v>#N/A</v>
      </c>
      <c r="N7313" s="1">
        <v>39630</v>
      </c>
    </row>
    <row r="7314" spans="11:14" x14ac:dyDescent="0.3">
      <c r="K7314" s="1">
        <v>39995</v>
      </c>
      <c r="M7314" t="e">
        <v>#N/A</v>
      </c>
      <c r="N7314" s="1">
        <v>39630</v>
      </c>
    </row>
    <row r="7315" spans="11:14" x14ac:dyDescent="0.3">
      <c r="K7315" s="1">
        <v>39995</v>
      </c>
      <c r="M7315" t="e">
        <v>#N/A</v>
      </c>
      <c r="N7315" s="1">
        <v>39630</v>
      </c>
    </row>
    <row r="7316" spans="11:14" x14ac:dyDescent="0.3">
      <c r="K7316" s="1">
        <v>39995</v>
      </c>
      <c r="M7316" t="e">
        <v>#N/A</v>
      </c>
      <c r="N7316" s="1">
        <v>39630</v>
      </c>
    </row>
    <row r="7317" spans="11:14" x14ac:dyDescent="0.3">
      <c r="K7317" s="1">
        <v>39995</v>
      </c>
      <c r="M7317" t="e">
        <v>#N/A</v>
      </c>
      <c r="N7317" s="1">
        <v>39630</v>
      </c>
    </row>
    <row r="7318" spans="11:14" x14ac:dyDescent="0.3">
      <c r="K7318" s="1">
        <v>39995</v>
      </c>
      <c r="M7318" t="e">
        <v>#N/A</v>
      </c>
      <c r="N7318" s="1">
        <v>39630</v>
      </c>
    </row>
    <row r="7319" spans="11:14" x14ac:dyDescent="0.3">
      <c r="K7319" s="1">
        <v>39995</v>
      </c>
      <c r="M7319" t="e">
        <v>#N/A</v>
      </c>
      <c r="N7319" s="1">
        <v>39630</v>
      </c>
    </row>
    <row r="7320" spans="11:14" x14ac:dyDescent="0.3">
      <c r="K7320" s="1">
        <v>39995</v>
      </c>
      <c r="M7320" t="e">
        <v>#N/A</v>
      </c>
      <c r="N7320" s="1">
        <v>39630</v>
      </c>
    </row>
    <row r="7321" spans="11:14" x14ac:dyDescent="0.3">
      <c r="K7321" s="1">
        <v>39995</v>
      </c>
      <c r="M7321" t="e">
        <v>#N/A</v>
      </c>
      <c r="N7321" s="1">
        <v>39630</v>
      </c>
    </row>
    <row r="7322" spans="11:14" x14ac:dyDescent="0.3">
      <c r="K7322" s="1">
        <v>39995</v>
      </c>
      <c r="M7322" t="e">
        <v>#N/A</v>
      </c>
      <c r="N7322" s="1">
        <v>39630</v>
      </c>
    </row>
    <row r="7323" spans="11:14" x14ac:dyDescent="0.3">
      <c r="K7323" s="1">
        <v>39995</v>
      </c>
      <c r="M7323" t="e">
        <v>#N/A</v>
      </c>
      <c r="N7323" s="1">
        <v>39630</v>
      </c>
    </row>
    <row r="7324" spans="11:14" x14ac:dyDescent="0.3">
      <c r="K7324" s="1">
        <v>39995</v>
      </c>
      <c r="M7324" t="e">
        <v>#N/A</v>
      </c>
      <c r="N7324" s="1">
        <v>39630</v>
      </c>
    </row>
    <row r="7325" spans="11:14" x14ac:dyDescent="0.3">
      <c r="K7325" s="1">
        <v>39995</v>
      </c>
      <c r="M7325" t="e">
        <v>#N/A</v>
      </c>
      <c r="N7325" s="1">
        <v>39630</v>
      </c>
    </row>
    <row r="7326" spans="11:14" x14ac:dyDescent="0.3">
      <c r="K7326" s="1">
        <v>39995</v>
      </c>
      <c r="M7326" t="e">
        <v>#N/A</v>
      </c>
      <c r="N7326" s="1">
        <v>39630</v>
      </c>
    </row>
    <row r="7327" spans="11:14" x14ac:dyDescent="0.3">
      <c r="K7327" s="1">
        <v>39995</v>
      </c>
      <c r="M7327" t="e">
        <v>#N/A</v>
      </c>
      <c r="N7327" s="1">
        <v>39630</v>
      </c>
    </row>
    <row r="7328" spans="11:14" x14ac:dyDescent="0.3">
      <c r="K7328" s="1">
        <v>39995</v>
      </c>
      <c r="M7328" t="e">
        <v>#N/A</v>
      </c>
      <c r="N7328" s="1">
        <v>39630</v>
      </c>
    </row>
    <row r="7329" spans="11:14" x14ac:dyDescent="0.3">
      <c r="K7329" s="1">
        <v>39995</v>
      </c>
      <c r="M7329" t="e">
        <v>#N/A</v>
      </c>
      <c r="N7329" s="1">
        <v>39630</v>
      </c>
    </row>
    <row r="7330" spans="11:14" x14ac:dyDescent="0.3">
      <c r="K7330" s="1">
        <v>39995</v>
      </c>
      <c r="M7330" t="e">
        <v>#N/A</v>
      </c>
      <c r="N7330" s="1">
        <v>39630</v>
      </c>
    </row>
    <row r="7331" spans="11:14" x14ac:dyDescent="0.3">
      <c r="K7331" s="1">
        <v>39995</v>
      </c>
      <c r="M7331" t="e">
        <v>#N/A</v>
      </c>
      <c r="N7331" s="1">
        <v>39630</v>
      </c>
    </row>
    <row r="7332" spans="11:14" x14ac:dyDescent="0.3">
      <c r="K7332" s="1">
        <v>39995</v>
      </c>
      <c r="M7332" t="e">
        <v>#N/A</v>
      </c>
      <c r="N7332" s="1">
        <v>39630</v>
      </c>
    </row>
    <row r="7333" spans="11:14" x14ac:dyDescent="0.3">
      <c r="K7333" s="1">
        <v>39995</v>
      </c>
      <c r="M7333" t="e">
        <v>#N/A</v>
      </c>
      <c r="N7333" s="1">
        <v>39630</v>
      </c>
    </row>
    <row r="7334" spans="11:14" x14ac:dyDescent="0.3">
      <c r="K7334" s="1">
        <v>39995</v>
      </c>
      <c r="M7334" t="e">
        <v>#N/A</v>
      </c>
      <c r="N7334" s="1">
        <v>39630</v>
      </c>
    </row>
    <row r="7335" spans="11:14" x14ac:dyDescent="0.3">
      <c r="K7335" s="1">
        <v>39995</v>
      </c>
      <c r="M7335" t="e">
        <v>#N/A</v>
      </c>
      <c r="N7335" s="1">
        <v>39630</v>
      </c>
    </row>
    <row r="7336" spans="11:14" x14ac:dyDescent="0.3">
      <c r="K7336" s="1">
        <v>39995</v>
      </c>
      <c r="M7336" t="e">
        <v>#N/A</v>
      </c>
      <c r="N7336" s="1">
        <v>39630</v>
      </c>
    </row>
    <row r="7337" spans="11:14" x14ac:dyDescent="0.3">
      <c r="K7337" s="1">
        <v>39995</v>
      </c>
      <c r="M7337" t="e">
        <v>#N/A</v>
      </c>
      <c r="N7337" s="1">
        <v>39630</v>
      </c>
    </row>
    <row r="7338" spans="11:14" x14ac:dyDescent="0.3">
      <c r="K7338" s="1">
        <v>39995</v>
      </c>
      <c r="M7338" t="e">
        <v>#N/A</v>
      </c>
      <c r="N7338" s="1">
        <v>39630</v>
      </c>
    </row>
    <row r="7339" spans="11:14" x14ac:dyDescent="0.3">
      <c r="K7339" s="1">
        <v>39995</v>
      </c>
      <c r="M7339" t="e">
        <v>#N/A</v>
      </c>
      <c r="N7339" s="1">
        <v>39630</v>
      </c>
    </row>
    <row r="7340" spans="11:14" x14ac:dyDescent="0.3">
      <c r="K7340" s="1">
        <v>39995</v>
      </c>
      <c r="M7340" t="e">
        <v>#N/A</v>
      </c>
      <c r="N7340" s="1">
        <v>39630</v>
      </c>
    </row>
    <row r="7341" spans="11:14" x14ac:dyDescent="0.3">
      <c r="K7341" s="1">
        <v>39995</v>
      </c>
      <c r="M7341" t="e">
        <v>#N/A</v>
      </c>
      <c r="N7341" s="1">
        <v>39630</v>
      </c>
    </row>
    <row r="7342" spans="11:14" x14ac:dyDescent="0.3">
      <c r="K7342" s="1">
        <v>39995</v>
      </c>
      <c r="M7342" t="e">
        <v>#N/A</v>
      </c>
      <c r="N7342" s="1">
        <v>39630</v>
      </c>
    </row>
    <row r="7343" spans="11:14" x14ac:dyDescent="0.3">
      <c r="K7343" s="1">
        <v>39995</v>
      </c>
      <c r="M7343" t="e">
        <v>#N/A</v>
      </c>
      <c r="N7343" s="1">
        <v>39630</v>
      </c>
    </row>
    <row r="7344" spans="11:14" x14ac:dyDescent="0.3">
      <c r="K7344" s="1">
        <v>39995</v>
      </c>
      <c r="M7344" t="e">
        <v>#N/A</v>
      </c>
      <c r="N7344" s="1">
        <v>39630</v>
      </c>
    </row>
    <row r="7345" spans="11:14" x14ac:dyDescent="0.3">
      <c r="K7345" s="1">
        <v>39995</v>
      </c>
      <c r="M7345" t="e">
        <v>#N/A</v>
      </c>
      <c r="N7345" s="1">
        <v>39630</v>
      </c>
    </row>
    <row r="7346" spans="11:14" x14ac:dyDescent="0.3">
      <c r="K7346" s="1">
        <v>39995</v>
      </c>
      <c r="M7346" t="e">
        <v>#N/A</v>
      </c>
      <c r="N7346" s="1">
        <v>39630</v>
      </c>
    </row>
    <row r="7347" spans="11:14" x14ac:dyDescent="0.3">
      <c r="K7347" s="1">
        <v>39995</v>
      </c>
      <c r="M7347" t="e">
        <v>#N/A</v>
      </c>
      <c r="N7347" s="1">
        <v>39630</v>
      </c>
    </row>
    <row r="7348" spans="11:14" x14ac:dyDescent="0.3">
      <c r="K7348" s="1">
        <v>39995</v>
      </c>
      <c r="M7348" t="e">
        <v>#N/A</v>
      </c>
      <c r="N7348" s="1">
        <v>39630</v>
      </c>
    </row>
    <row r="7349" spans="11:14" x14ac:dyDescent="0.3">
      <c r="K7349" s="1">
        <v>39995</v>
      </c>
      <c r="M7349" t="e">
        <v>#N/A</v>
      </c>
      <c r="N7349" s="1">
        <v>39630</v>
      </c>
    </row>
    <row r="7350" spans="11:14" x14ac:dyDescent="0.3">
      <c r="K7350" s="1">
        <v>39995</v>
      </c>
      <c r="M7350" t="e">
        <v>#N/A</v>
      </c>
      <c r="N7350" s="1">
        <v>39630</v>
      </c>
    </row>
    <row r="7351" spans="11:14" x14ac:dyDescent="0.3">
      <c r="K7351" s="1">
        <v>39995</v>
      </c>
      <c r="M7351" t="e">
        <v>#N/A</v>
      </c>
      <c r="N7351" s="1">
        <v>39630</v>
      </c>
    </row>
    <row r="7352" spans="11:14" x14ac:dyDescent="0.3">
      <c r="K7352" s="1">
        <v>39995</v>
      </c>
      <c r="M7352" t="e">
        <v>#N/A</v>
      </c>
      <c r="N7352" s="1">
        <v>39630</v>
      </c>
    </row>
    <row r="7353" spans="11:14" x14ac:dyDescent="0.3">
      <c r="K7353" s="1">
        <v>39995</v>
      </c>
      <c r="M7353" t="e">
        <v>#N/A</v>
      </c>
      <c r="N7353" s="1">
        <v>39630</v>
      </c>
    </row>
    <row r="7354" spans="11:14" x14ac:dyDescent="0.3">
      <c r="K7354" s="1">
        <v>39995</v>
      </c>
      <c r="M7354" t="e">
        <v>#N/A</v>
      </c>
      <c r="N7354" s="1">
        <v>39630</v>
      </c>
    </row>
    <row r="7355" spans="11:14" x14ac:dyDescent="0.3">
      <c r="K7355" s="1">
        <v>39995</v>
      </c>
      <c r="M7355" t="e">
        <v>#N/A</v>
      </c>
      <c r="N7355" s="1">
        <v>39630</v>
      </c>
    </row>
    <row r="7356" spans="11:14" x14ac:dyDescent="0.3">
      <c r="K7356" s="1">
        <v>39995</v>
      </c>
      <c r="M7356" t="e">
        <v>#N/A</v>
      </c>
      <c r="N7356" s="1">
        <v>39630</v>
      </c>
    </row>
    <row r="7357" spans="11:14" x14ac:dyDescent="0.3">
      <c r="K7357" s="1">
        <v>39995</v>
      </c>
      <c r="M7357" t="e">
        <v>#N/A</v>
      </c>
      <c r="N7357" s="1">
        <v>39630</v>
      </c>
    </row>
    <row r="7358" spans="11:14" x14ac:dyDescent="0.3">
      <c r="K7358" s="1">
        <v>39995</v>
      </c>
      <c r="M7358" t="e">
        <v>#N/A</v>
      </c>
      <c r="N7358" s="1">
        <v>39630</v>
      </c>
    </row>
    <row r="7359" spans="11:14" x14ac:dyDescent="0.3">
      <c r="K7359" s="1">
        <v>39995</v>
      </c>
      <c r="M7359" t="e">
        <v>#N/A</v>
      </c>
      <c r="N7359" s="1">
        <v>39630</v>
      </c>
    </row>
    <row r="7360" spans="11:14" x14ac:dyDescent="0.3">
      <c r="K7360" s="1">
        <v>39995</v>
      </c>
      <c r="M7360" t="e">
        <v>#N/A</v>
      </c>
      <c r="N7360" s="1">
        <v>39630</v>
      </c>
    </row>
    <row r="7361" spans="11:14" x14ac:dyDescent="0.3">
      <c r="K7361" s="1">
        <v>39995</v>
      </c>
      <c r="M7361" t="e">
        <v>#N/A</v>
      </c>
      <c r="N7361" s="1">
        <v>39630</v>
      </c>
    </row>
    <row r="7362" spans="11:14" x14ac:dyDescent="0.3">
      <c r="K7362" s="1">
        <v>39995</v>
      </c>
      <c r="M7362" t="e">
        <v>#N/A</v>
      </c>
      <c r="N7362" s="1">
        <v>39630</v>
      </c>
    </row>
    <row r="7363" spans="11:14" x14ac:dyDescent="0.3">
      <c r="K7363" s="1">
        <v>39995</v>
      </c>
      <c r="M7363" t="e">
        <v>#N/A</v>
      </c>
      <c r="N7363" s="1">
        <v>39630</v>
      </c>
    </row>
    <row r="7364" spans="11:14" x14ac:dyDescent="0.3">
      <c r="K7364" s="1">
        <v>39995</v>
      </c>
      <c r="M7364" t="e">
        <v>#N/A</v>
      </c>
      <c r="N7364" s="1">
        <v>39630</v>
      </c>
    </row>
    <row r="7365" spans="11:14" x14ac:dyDescent="0.3">
      <c r="K7365" s="1">
        <v>39995</v>
      </c>
      <c r="M7365" t="e">
        <v>#N/A</v>
      </c>
      <c r="N7365" s="1">
        <v>39630</v>
      </c>
    </row>
    <row r="7366" spans="11:14" x14ac:dyDescent="0.3">
      <c r="K7366" s="1">
        <v>39995</v>
      </c>
      <c r="M7366" t="e">
        <v>#N/A</v>
      </c>
      <c r="N7366" s="1">
        <v>39630</v>
      </c>
    </row>
    <row r="7367" spans="11:14" x14ac:dyDescent="0.3">
      <c r="K7367" s="1">
        <v>39995</v>
      </c>
      <c r="M7367" t="e">
        <v>#N/A</v>
      </c>
      <c r="N7367" s="1">
        <v>39630</v>
      </c>
    </row>
    <row r="7368" spans="11:14" x14ac:dyDescent="0.3">
      <c r="K7368" s="1">
        <v>39995</v>
      </c>
      <c r="M7368" t="e">
        <v>#N/A</v>
      </c>
      <c r="N7368" s="1">
        <v>39630</v>
      </c>
    </row>
    <row r="7369" spans="11:14" x14ac:dyDescent="0.3">
      <c r="K7369" s="1">
        <v>39995</v>
      </c>
      <c r="M7369" t="e">
        <v>#N/A</v>
      </c>
      <c r="N7369" s="1">
        <v>39630</v>
      </c>
    </row>
    <row r="7370" spans="11:14" x14ac:dyDescent="0.3">
      <c r="K7370" s="1">
        <v>39995</v>
      </c>
      <c r="M7370" t="e">
        <v>#N/A</v>
      </c>
      <c r="N7370" s="1">
        <v>39630</v>
      </c>
    </row>
    <row r="7371" spans="11:14" x14ac:dyDescent="0.3">
      <c r="K7371" s="1">
        <v>39995</v>
      </c>
      <c r="M7371" t="e">
        <v>#N/A</v>
      </c>
      <c r="N7371" s="1">
        <v>39630</v>
      </c>
    </row>
    <row r="7372" spans="11:14" x14ac:dyDescent="0.3">
      <c r="K7372" s="1">
        <v>39995</v>
      </c>
      <c r="M7372" t="e">
        <v>#N/A</v>
      </c>
      <c r="N7372" s="1">
        <v>39630</v>
      </c>
    </row>
    <row r="7373" spans="11:14" x14ac:dyDescent="0.3">
      <c r="K7373" s="1">
        <v>39995</v>
      </c>
      <c r="M7373" t="e">
        <v>#N/A</v>
      </c>
      <c r="N7373" s="1">
        <v>39630</v>
      </c>
    </row>
    <row r="7374" spans="11:14" x14ac:dyDescent="0.3">
      <c r="K7374" s="1">
        <v>39995</v>
      </c>
      <c r="M7374" t="e">
        <v>#N/A</v>
      </c>
      <c r="N7374" s="1">
        <v>39630</v>
      </c>
    </row>
    <row r="7375" spans="11:14" x14ac:dyDescent="0.3">
      <c r="K7375" s="1">
        <v>39995</v>
      </c>
      <c r="M7375" t="e">
        <v>#N/A</v>
      </c>
      <c r="N7375" s="1">
        <v>39630</v>
      </c>
    </row>
    <row r="7376" spans="11:14" x14ac:dyDescent="0.3">
      <c r="K7376" s="1">
        <v>39995</v>
      </c>
      <c r="M7376" t="e">
        <v>#N/A</v>
      </c>
      <c r="N7376" s="1">
        <v>39630</v>
      </c>
    </row>
    <row r="7377" spans="11:14" x14ac:dyDescent="0.3">
      <c r="K7377" s="1">
        <v>39995</v>
      </c>
      <c r="M7377" t="e">
        <v>#N/A</v>
      </c>
      <c r="N7377" s="1">
        <v>39630</v>
      </c>
    </row>
    <row r="7378" spans="11:14" x14ac:dyDescent="0.3">
      <c r="K7378" s="1">
        <v>39995</v>
      </c>
      <c r="M7378" t="e">
        <v>#N/A</v>
      </c>
      <c r="N7378" s="1">
        <v>39630</v>
      </c>
    </row>
    <row r="7379" spans="11:14" x14ac:dyDescent="0.3">
      <c r="K7379" s="1">
        <v>39995</v>
      </c>
      <c r="M7379" t="e">
        <v>#N/A</v>
      </c>
      <c r="N7379" s="1">
        <v>39630</v>
      </c>
    </row>
    <row r="7380" spans="11:14" x14ac:dyDescent="0.3">
      <c r="K7380" s="1">
        <v>39995</v>
      </c>
      <c r="M7380" t="e">
        <v>#N/A</v>
      </c>
      <c r="N7380" s="1">
        <v>39630</v>
      </c>
    </row>
    <row r="7381" spans="11:14" x14ac:dyDescent="0.3">
      <c r="K7381" s="1">
        <v>39995</v>
      </c>
      <c r="M7381" t="e">
        <v>#N/A</v>
      </c>
      <c r="N7381" s="1">
        <v>39630</v>
      </c>
    </row>
    <row r="7382" spans="11:14" x14ac:dyDescent="0.3">
      <c r="K7382" s="1">
        <v>39995</v>
      </c>
      <c r="M7382" t="e">
        <v>#N/A</v>
      </c>
      <c r="N7382" s="1">
        <v>39630</v>
      </c>
    </row>
    <row r="7383" spans="11:14" x14ac:dyDescent="0.3">
      <c r="K7383" s="1">
        <v>39995</v>
      </c>
      <c r="M7383" t="e">
        <v>#N/A</v>
      </c>
      <c r="N7383" s="1">
        <v>39630</v>
      </c>
    </row>
    <row r="7384" spans="11:14" x14ac:dyDescent="0.3">
      <c r="K7384" s="1">
        <v>39995</v>
      </c>
      <c r="M7384" t="e">
        <v>#N/A</v>
      </c>
      <c r="N7384" s="1">
        <v>39630</v>
      </c>
    </row>
    <row r="7385" spans="11:14" x14ac:dyDescent="0.3">
      <c r="K7385" s="1">
        <v>39995</v>
      </c>
      <c r="M7385" t="e">
        <v>#N/A</v>
      </c>
      <c r="N7385" s="1">
        <v>39630</v>
      </c>
    </row>
    <row r="7386" spans="11:14" x14ac:dyDescent="0.3">
      <c r="K7386" s="1">
        <v>39995</v>
      </c>
      <c r="M7386" t="e">
        <v>#N/A</v>
      </c>
      <c r="N7386" s="1">
        <v>39630</v>
      </c>
    </row>
    <row r="7387" spans="11:14" x14ac:dyDescent="0.3">
      <c r="K7387" s="1">
        <v>39995</v>
      </c>
      <c r="M7387" t="e">
        <v>#N/A</v>
      </c>
      <c r="N7387" s="1">
        <v>39630</v>
      </c>
    </row>
    <row r="7388" spans="11:14" x14ac:dyDescent="0.3">
      <c r="K7388" s="1">
        <v>39995</v>
      </c>
      <c r="M7388" t="e">
        <v>#N/A</v>
      </c>
      <c r="N7388" s="1">
        <v>39630</v>
      </c>
    </row>
    <row r="7389" spans="11:14" x14ac:dyDescent="0.3">
      <c r="K7389" s="1">
        <v>39995</v>
      </c>
      <c r="M7389" t="e">
        <v>#N/A</v>
      </c>
      <c r="N7389" s="1">
        <v>39630</v>
      </c>
    </row>
    <row r="7390" spans="11:14" x14ac:dyDescent="0.3">
      <c r="K7390" s="1">
        <v>39995</v>
      </c>
      <c r="M7390" t="e">
        <v>#N/A</v>
      </c>
      <c r="N7390" s="1">
        <v>39630</v>
      </c>
    </row>
    <row r="7391" spans="11:14" x14ac:dyDescent="0.3">
      <c r="K7391" s="1">
        <v>39995</v>
      </c>
      <c r="M7391" t="e">
        <v>#N/A</v>
      </c>
      <c r="N7391" s="1">
        <v>39630</v>
      </c>
    </row>
    <row r="7392" spans="11:14" x14ac:dyDescent="0.3">
      <c r="K7392" s="1">
        <v>39995</v>
      </c>
      <c r="M7392" t="e">
        <v>#N/A</v>
      </c>
      <c r="N7392" s="1">
        <v>39630</v>
      </c>
    </row>
    <row r="7393" spans="11:14" x14ac:dyDescent="0.3">
      <c r="K7393" s="1">
        <v>39995</v>
      </c>
      <c r="M7393" t="e">
        <v>#N/A</v>
      </c>
      <c r="N7393" s="1">
        <v>39630</v>
      </c>
    </row>
    <row r="7394" spans="11:14" x14ac:dyDescent="0.3">
      <c r="K7394" s="1">
        <v>39995</v>
      </c>
      <c r="M7394" t="e">
        <v>#N/A</v>
      </c>
      <c r="N7394" s="1">
        <v>39630</v>
      </c>
    </row>
    <row r="7395" spans="11:14" x14ac:dyDescent="0.3">
      <c r="K7395" s="1">
        <v>39995</v>
      </c>
      <c r="M7395" t="e">
        <v>#N/A</v>
      </c>
      <c r="N7395" s="1">
        <v>39630</v>
      </c>
    </row>
    <row r="7396" spans="11:14" x14ac:dyDescent="0.3">
      <c r="K7396" s="1">
        <v>39995</v>
      </c>
      <c r="M7396" t="e">
        <v>#N/A</v>
      </c>
      <c r="N7396" s="1">
        <v>39630</v>
      </c>
    </row>
    <row r="7397" spans="11:14" x14ac:dyDescent="0.3">
      <c r="K7397" s="1">
        <v>39995</v>
      </c>
      <c r="M7397" t="e">
        <v>#N/A</v>
      </c>
      <c r="N7397" s="1">
        <v>39630</v>
      </c>
    </row>
    <row r="7398" spans="11:14" x14ac:dyDescent="0.3">
      <c r="K7398" s="1">
        <v>39995</v>
      </c>
      <c r="M7398" t="e">
        <v>#N/A</v>
      </c>
      <c r="N7398" s="1">
        <v>39630</v>
      </c>
    </row>
    <row r="7399" spans="11:14" x14ac:dyDescent="0.3">
      <c r="K7399" s="1">
        <v>39995</v>
      </c>
      <c r="M7399" t="e">
        <v>#N/A</v>
      </c>
      <c r="N7399" s="1">
        <v>39630</v>
      </c>
    </row>
    <row r="7400" spans="11:14" x14ac:dyDescent="0.3">
      <c r="K7400" s="1">
        <v>39995</v>
      </c>
      <c r="M7400" t="e">
        <v>#N/A</v>
      </c>
      <c r="N7400" s="1">
        <v>39630</v>
      </c>
    </row>
    <row r="7401" spans="11:14" x14ac:dyDescent="0.3">
      <c r="K7401" s="1">
        <v>39995</v>
      </c>
      <c r="M7401" t="e">
        <v>#N/A</v>
      </c>
      <c r="N7401" s="1">
        <v>39630</v>
      </c>
    </row>
    <row r="7402" spans="11:14" x14ac:dyDescent="0.3">
      <c r="K7402" s="1">
        <v>39995</v>
      </c>
      <c r="M7402" t="e">
        <v>#N/A</v>
      </c>
      <c r="N7402" s="1">
        <v>39630</v>
      </c>
    </row>
    <row r="7403" spans="11:14" x14ac:dyDescent="0.3">
      <c r="K7403" s="1">
        <v>39995</v>
      </c>
      <c r="M7403" t="e">
        <v>#N/A</v>
      </c>
      <c r="N7403" s="1">
        <v>39630</v>
      </c>
    </row>
    <row r="7404" spans="11:14" x14ac:dyDescent="0.3">
      <c r="K7404" s="1">
        <v>39995</v>
      </c>
      <c r="M7404" t="e">
        <v>#N/A</v>
      </c>
      <c r="N7404" s="1">
        <v>39630</v>
      </c>
    </row>
    <row r="7405" spans="11:14" x14ac:dyDescent="0.3">
      <c r="K7405" s="1">
        <v>39995</v>
      </c>
      <c r="M7405" t="e">
        <v>#N/A</v>
      </c>
      <c r="N7405" s="1">
        <v>39630</v>
      </c>
    </row>
    <row r="7406" spans="11:14" x14ac:dyDescent="0.3">
      <c r="K7406" s="1">
        <v>39995</v>
      </c>
      <c r="M7406" t="e">
        <v>#N/A</v>
      </c>
      <c r="N7406" s="1">
        <v>39630</v>
      </c>
    </row>
    <row r="7407" spans="11:14" x14ac:dyDescent="0.3">
      <c r="K7407" s="1">
        <v>39995</v>
      </c>
      <c r="M7407" t="e">
        <v>#N/A</v>
      </c>
      <c r="N7407" s="1">
        <v>39630</v>
      </c>
    </row>
    <row r="7408" spans="11:14" x14ac:dyDescent="0.3">
      <c r="K7408" s="1">
        <v>39995</v>
      </c>
      <c r="M7408" t="e">
        <v>#N/A</v>
      </c>
      <c r="N7408" s="1">
        <v>39630</v>
      </c>
    </row>
    <row r="7409" spans="11:14" x14ac:dyDescent="0.3">
      <c r="K7409" s="1">
        <v>39995</v>
      </c>
      <c r="M7409" t="e">
        <v>#N/A</v>
      </c>
      <c r="N7409" s="1">
        <v>39630</v>
      </c>
    </row>
    <row r="7410" spans="11:14" x14ac:dyDescent="0.3">
      <c r="K7410" s="1">
        <v>39995</v>
      </c>
      <c r="M7410" t="e">
        <v>#N/A</v>
      </c>
      <c r="N7410" s="1">
        <v>39630</v>
      </c>
    </row>
    <row r="7411" spans="11:14" x14ac:dyDescent="0.3">
      <c r="K7411" s="1">
        <v>39995</v>
      </c>
      <c r="M7411" t="e">
        <v>#N/A</v>
      </c>
      <c r="N7411" s="1">
        <v>39630</v>
      </c>
    </row>
    <row r="7412" spans="11:14" x14ac:dyDescent="0.3">
      <c r="K7412" s="1">
        <v>39995</v>
      </c>
      <c r="M7412" t="e">
        <v>#N/A</v>
      </c>
      <c r="N7412" s="1">
        <v>39630</v>
      </c>
    </row>
    <row r="7413" spans="11:14" x14ac:dyDescent="0.3">
      <c r="K7413" s="1">
        <v>39995</v>
      </c>
      <c r="M7413" t="e">
        <v>#N/A</v>
      </c>
      <c r="N7413" s="1">
        <v>39630</v>
      </c>
    </row>
    <row r="7414" spans="11:14" x14ac:dyDescent="0.3">
      <c r="K7414" s="1">
        <v>39995</v>
      </c>
      <c r="M7414" t="e">
        <v>#N/A</v>
      </c>
      <c r="N7414" s="1">
        <v>39630</v>
      </c>
    </row>
    <row r="7415" spans="11:14" x14ac:dyDescent="0.3">
      <c r="K7415" s="1">
        <v>39995</v>
      </c>
      <c r="M7415" t="e">
        <v>#N/A</v>
      </c>
      <c r="N7415" s="1">
        <v>39630</v>
      </c>
    </row>
    <row r="7416" spans="11:14" x14ac:dyDescent="0.3">
      <c r="K7416" s="1">
        <v>39995</v>
      </c>
      <c r="M7416" t="e">
        <v>#N/A</v>
      </c>
      <c r="N7416" s="1">
        <v>39630</v>
      </c>
    </row>
    <row r="7417" spans="11:14" x14ac:dyDescent="0.3">
      <c r="K7417" s="1">
        <v>39995</v>
      </c>
      <c r="M7417" t="e">
        <v>#N/A</v>
      </c>
      <c r="N7417" s="1">
        <v>39630</v>
      </c>
    </row>
    <row r="7418" spans="11:14" x14ac:dyDescent="0.3">
      <c r="K7418" s="1">
        <v>39995</v>
      </c>
      <c r="M7418" t="e">
        <v>#N/A</v>
      </c>
      <c r="N7418" s="1">
        <v>39630</v>
      </c>
    </row>
    <row r="7419" spans="11:14" x14ac:dyDescent="0.3">
      <c r="K7419" s="1">
        <v>39995</v>
      </c>
      <c r="M7419" t="e">
        <v>#N/A</v>
      </c>
      <c r="N7419" s="1">
        <v>39630</v>
      </c>
    </row>
    <row r="7420" spans="11:14" x14ac:dyDescent="0.3">
      <c r="K7420" s="1">
        <v>39995</v>
      </c>
      <c r="M7420" t="e">
        <v>#N/A</v>
      </c>
      <c r="N7420" s="1">
        <v>39630</v>
      </c>
    </row>
    <row r="7421" spans="11:14" x14ac:dyDescent="0.3">
      <c r="K7421" s="1">
        <v>39995</v>
      </c>
      <c r="M7421" t="e">
        <v>#N/A</v>
      </c>
      <c r="N7421" s="1">
        <v>39630</v>
      </c>
    </row>
    <row r="7422" spans="11:14" x14ac:dyDescent="0.3">
      <c r="K7422" s="1">
        <v>39995</v>
      </c>
      <c r="M7422" t="e">
        <v>#N/A</v>
      </c>
      <c r="N7422" s="1">
        <v>39630</v>
      </c>
    </row>
    <row r="7423" spans="11:14" x14ac:dyDescent="0.3">
      <c r="K7423" s="1">
        <v>39995</v>
      </c>
      <c r="M7423" t="e">
        <v>#N/A</v>
      </c>
      <c r="N7423" s="1">
        <v>39630</v>
      </c>
    </row>
    <row r="7424" spans="11:14" x14ac:dyDescent="0.3">
      <c r="K7424" s="1">
        <v>39995</v>
      </c>
      <c r="M7424" t="e">
        <v>#N/A</v>
      </c>
      <c r="N7424" s="1">
        <v>39630</v>
      </c>
    </row>
    <row r="7425" spans="11:14" x14ac:dyDescent="0.3">
      <c r="K7425" s="1">
        <v>39995</v>
      </c>
      <c r="M7425" t="e">
        <v>#N/A</v>
      </c>
      <c r="N7425" s="1">
        <v>39630</v>
      </c>
    </row>
    <row r="7426" spans="11:14" x14ac:dyDescent="0.3">
      <c r="K7426" s="1">
        <v>39995</v>
      </c>
      <c r="M7426" t="e">
        <v>#N/A</v>
      </c>
      <c r="N7426" s="1">
        <v>39630</v>
      </c>
    </row>
    <row r="7427" spans="11:14" x14ac:dyDescent="0.3">
      <c r="K7427" s="1">
        <v>39995</v>
      </c>
      <c r="M7427" t="e">
        <v>#N/A</v>
      </c>
      <c r="N7427" s="1">
        <v>39630</v>
      </c>
    </row>
    <row r="7428" spans="11:14" x14ac:dyDescent="0.3">
      <c r="K7428" s="1">
        <v>39995</v>
      </c>
      <c r="M7428" t="e">
        <v>#N/A</v>
      </c>
      <c r="N7428" s="1">
        <v>39630</v>
      </c>
    </row>
    <row r="7429" spans="11:14" x14ac:dyDescent="0.3">
      <c r="K7429" s="1">
        <v>39995</v>
      </c>
      <c r="M7429" t="e">
        <v>#N/A</v>
      </c>
      <c r="N7429" s="1">
        <v>39630</v>
      </c>
    </row>
    <row r="7430" spans="11:14" x14ac:dyDescent="0.3">
      <c r="K7430" s="1">
        <v>39995</v>
      </c>
      <c r="M7430" t="e">
        <v>#N/A</v>
      </c>
      <c r="N7430" s="1">
        <v>39630</v>
      </c>
    </row>
    <row r="7431" spans="11:14" x14ac:dyDescent="0.3">
      <c r="K7431" s="1">
        <v>39995</v>
      </c>
      <c r="M7431" t="e">
        <v>#N/A</v>
      </c>
      <c r="N7431" s="1">
        <v>39630</v>
      </c>
    </row>
    <row r="7432" spans="11:14" x14ac:dyDescent="0.3">
      <c r="K7432" s="1">
        <v>39995</v>
      </c>
      <c r="M7432" t="e">
        <v>#N/A</v>
      </c>
      <c r="N7432" s="1">
        <v>39630</v>
      </c>
    </row>
    <row r="7433" spans="11:14" x14ac:dyDescent="0.3">
      <c r="K7433" s="1">
        <v>39995</v>
      </c>
      <c r="M7433" t="e">
        <v>#N/A</v>
      </c>
      <c r="N7433" s="1">
        <v>39630</v>
      </c>
    </row>
    <row r="7434" spans="11:14" x14ac:dyDescent="0.3">
      <c r="K7434" s="1">
        <v>39995</v>
      </c>
      <c r="M7434" t="e">
        <v>#N/A</v>
      </c>
      <c r="N7434" s="1">
        <v>39630</v>
      </c>
    </row>
    <row r="7435" spans="11:14" x14ac:dyDescent="0.3">
      <c r="K7435" s="1">
        <v>39995</v>
      </c>
      <c r="M7435" t="e">
        <v>#N/A</v>
      </c>
      <c r="N7435" s="1">
        <v>39630</v>
      </c>
    </row>
    <row r="7436" spans="11:14" x14ac:dyDescent="0.3">
      <c r="K7436" s="1">
        <v>39995</v>
      </c>
      <c r="M7436" t="e">
        <v>#N/A</v>
      </c>
      <c r="N7436" s="1">
        <v>39630</v>
      </c>
    </row>
    <row r="7437" spans="11:14" x14ac:dyDescent="0.3">
      <c r="K7437" s="1">
        <v>39995</v>
      </c>
      <c r="M7437" t="e">
        <v>#N/A</v>
      </c>
      <c r="N7437" s="1">
        <v>39630</v>
      </c>
    </row>
    <row r="7438" spans="11:14" x14ac:dyDescent="0.3">
      <c r="K7438" s="1">
        <v>39995</v>
      </c>
      <c r="M7438" t="e">
        <v>#N/A</v>
      </c>
      <c r="N7438" s="1">
        <v>39630</v>
      </c>
    </row>
    <row r="7439" spans="11:14" x14ac:dyDescent="0.3">
      <c r="K7439" s="1">
        <v>39995</v>
      </c>
      <c r="M7439" t="e">
        <v>#N/A</v>
      </c>
      <c r="N7439" s="1">
        <v>39630</v>
      </c>
    </row>
    <row r="7440" spans="11:14" x14ac:dyDescent="0.3">
      <c r="K7440" s="1">
        <v>39995</v>
      </c>
      <c r="M7440" t="e">
        <v>#N/A</v>
      </c>
      <c r="N7440" s="1">
        <v>39630</v>
      </c>
    </row>
    <row r="7441" spans="11:14" x14ac:dyDescent="0.3">
      <c r="K7441" s="1">
        <v>39995</v>
      </c>
      <c r="M7441" t="e">
        <v>#N/A</v>
      </c>
      <c r="N7441" s="1">
        <v>39630</v>
      </c>
    </row>
    <row r="7442" spans="11:14" x14ac:dyDescent="0.3">
      <c r="K7442" s="1">
        <v>39995</v>
      </c>
      <c r="M7442" t="e">
        <v>#N/A</v>
      </c>
      <c r="N7442" s="1">
        <v>39630</v>
      </c>
    </row>
    <row r="7443" spans="11:14" x14ac:dyDescent="0.3">
      <c r="K7443" s="1">
        <v>39995</v>
      </c>
      <c r="M7443" t="e">
        <v>#N/A</v>
      </c>
      <c r="N7443" s="1">
        <v>39630</v>
      </c>
    </row>
    <row r="7444" spans="11:14" x14ac:dyDescent="0.3">
      <c r="K7444" s="1">
        <v>39995</v>
      </c>
      <c r="M7444" t="e">
        <v>#N/A</v>
      </c>
      <c r="N7444" s="1">
        <v>39630</v>
      </c>
    </row>
    <row r="7445" spans="11:14" x14ac:dyDescent="0.3">
      <c r="K7445" s="1">
        <v>39995</v>
      </c>
      <c r="M7445" t="e">
        <v>#N/A</v>
      </c>
      <c r="N7445" s="1">
        <v>39630</v>
      </c>
    </row>
    <row r="7446" spans="11:14" x14ac:dyDescent="0.3">
      <c r="K7446" s="1">
        <v>39995</v>
      </c>
      <c r="M7446" t="e">
        <v>#N/A</v>
      </c>
      <c r="N7446" s="1">
        <v>39630</v>
      </c>
    </row>
    <row r="7447" spans="11:14" x14ac:dyDescent="0.3">
      <c r="K7447" s="1">
        <v>39995</v>
      </c>
      <c r="M7447" t="e">
        <v>#N/A</v>
      </c>
      <c r="N7447" s="1">
        <v>39630</v>
      </c>
    </row>
    <row r="7448" spans="11:14" x14ac:dyDescent="0.3">
      <c r="K7448" s="1">
        <v>39995</v>
      </c>
      <c r="M7448" t="e">
        <v>#N/A</v>
      </c>
      <c r="N7448" s="1">
        <v>39630</v>
      </c>
    </row>
    <row r="7449" spans="11:14" x14ac:dyDescent="0.3">
      <c r="K7449" s="1">
        <v>39995</v>
      </c>
      <c r="M7449" t="e">
        <v>#N/A</v>
      </c>
      <c r="N7449" s="1">
        <v>39630</v>
      </c>
    </row>
    <row r="7450" spans="11:14" x14ac:dyDescent="0.3">
      <c r="K7450" s="1">
        <v>39995</v>
      </c>
      <c r="M7450" t="e">
        <v>#N/A</v>
      </c>
      <c r="N7450" s="1">
        <v>39630</v>
      </c>
    </row>
    <row r="7451" spans="11:14" x14ac:dyDescent="0.3">
      <c r="K7451" s="1">
        <v>39995</v>
      </c>
      <c r="M7451" t="e">
        <v>#N/A</v>
      </c>
      <c r="N7451" s="1">
        <v>39630</v>
      </c>
    </row>
    <row r="7452" spans="11:14" x14ac:dyDescent="0.3">
      <c r="K7452" s="1">
        <v>39995</v>
      </c>
      <c r="M7452" t="e">
        <v>#N/A</v>
      </c>
      <c r="N7452" s="1">
        <v>39630</v>
      </c>
    </row>
    <row r="7453" spans="11:14" x14ac:dyDescent="0.3">
      <c r="K7453" s="1">
        <v>39995</v>
      </c>
      <c r="M7453" t="e">
        <v>#N/A</v>
      </c>
      <c r="N7453" s="1">
        <v>39630</v>
      </c>
    </row>
    <row r="7454" spans="11:14" x14ac:dyDescent="0.3">
      <c r="K7454" s="1">
        <v>39995</v>
      </c>
      <c r="M7454" t="e">
        <v>#N/A</v>
      </c>
      <c r="N7454" s="1">
        <v>39630</v>
      </c>
    </row>
    <row r="7455" spans="11:14" x14ac:dyDescent="0.3">
      <c r="K7455" s="1">
        <v>39995</v>
      </c>
      <c r="M7455" t="e">
        <v>#N/A</v>
      </c>
      <c r="N7455" s="1">
        <v>39630</v>
      </c>
    </row>
    <row r="7456" spans="11:14" x14ac:dyDescent="0.3">
      <c r="K7456" s="1">
        <v>39995</v>
      </c>
      <c r="M7456" t="e">
        <v>#N/A</v>
      </c>
      <c r="N7456" s="1">
        <v>39630</v>
      </c>
    </row>
    <row r="7457" spans="11:14" x14ac:dyDescent="0.3">
      <c r="K7457" s="1">
        <v>39995</v>
      </c>
      <c r="M7457" t="e">
        <v>#N/A</v>
      </c>
      <c r="N7457" s="1">
        <v>39630</v>
      </c>
    </row>
    <row r="7458" spans="11:14" x14ac:dyDescent="0.3">
      <c r="K7458" s="1">
        <v>39995</v>
      </c>
      <c r="M7458" t="e">
        <v>#N/A</v>
      </c>
      <c r="N7458" s="1">
        <v>39630</v>
      </c>
    </row>
    <row r="7459" spans="11:14" x14ac:dyDescent="0.3">
      <c r="K7459" s="1">
        <v>39995</v>
      </c>
      <c r="M7459" t="e">
        <v>#N/A</v>
      </c>
      <c r="N7459" s="1">
        <v>39630</v>
      </c>
    </row>
    <row r="7460" spans="11:14" x14ac:dyDescent="0.3">
      <c r="K7460" s="1">
        <v>39995</v>
      </c>
      <c r="M7460" t="e">
        <v>#N/A</v>
      </c>
      <c r="N7460" s="1">
        <v>39630</v>
      </c>
    </row>
    <row r="7461" spans="11:14" x14ac:dyDescent="0.3">
      <c r="K7461" s="1">
        <v>39995</v>
      </c>
      <c r="M7461" t="e">
        <v>#N/A</v>
      </c>
      <c r="N7461" s="1">
        <v>39630</v>
      </c>
    </row>
    <row r="7462" spans="11:14" x14ac:dyDescent="0.3">
      <c r="K7462" s="1">
        <v>39995</v>
      </c>
      <c r="M7462" t="e">
        <v>#N/A</v>
      </c>
      <c r="N7462" s="1">
        <v>39630</v>
      </c>
    </row>
    <row r="7463" spans="11:14" x14ac:dyDescent="0.3">
      <c r="K7463" s="1">
        <v>39995</v>
      </c>
      <c r="M7463" t="e">
        <v>#N/A</v>
      </c>
      <c r="N7463" s="1">
        <v>39630</v>
      </c>
    </row>
    <row r="7464" spans="11:14" x14ac:dyDescent="0.3">
      <c r="K7464" s="1">
        <v>40087</v>
      </c>
      <c r="M7464" t="e">
        <v>#N/A</v>
      </c>
      <c r="N7464" s="1">
        <v>39630</v>
      </c>
    </row>
    <row r="7465" spans="11:14" x14ac:dyDescent="0.3">
      <c r="K7465" s="1">
        <v>40087</v>
      </c>
      <c r="M7465" t="e">
        <v>#N/A</v>
      </c>
      <c r="N7465" s="1">
        <v>39630</v>
      </c>
    </row>
    <row r="7466" spans="11:14" x14ac:dyDescent="0.3">
      <c r="K7466" s="1">
        <v>40087</v>
      </c>
      <c r="M7466" t="e">
        <v>#N/A</v>
      </c>
      <c r="N7466" s="1">
        <v>39630</v>
      </c>
    </row>
    <row r="7467" spans="11:14" x14ac:dyDescent="0.3">
      <c r="K7467" s="1">
        <v>40087</v>
      </c>
      <c r="M7467" t="e">
        <v>#N/A</v>
      </c>
      <c r="N7467" s="1">
        <v>39630</v>
      </c>
    </row>
    <row r="7468" spans="11:14" x14ac:dyDescent="0.3">
      <c r="K7468" s="1">
        <v>40087</v>
      </c>
      <c r="M7468" t="e">
        <v>#N/A</v>
      </c>
      <c r="N7468" s="1">
        <v>39630</v>
      </c>
    </row>
    <row r="7469" spans="11:14" x14ac:dyDescent="0.3">
      <c r="K7469" s="1">
        <v>40087</v>
      </c>
      <c r="M7469" t="e">
        <v>#N/A</v>
      </c>
      <c r="N7469" s="1">
        <v>39630</v>
      </c>
    </row>
    <row r="7470" spans="11:14" x14ac:dyDescent="0.3">
      <c r="K7470" s="1">
        <v>40087</v>
      </c>
      <c r="M7470" t="e">
        <v>#N/A</v>
      </c>
      <c r="N7470" s="1">
        <v>39630</v>
      </c>
    </row>
    <row r="7471" spans="11:14" x14ac:dyDescent="0.3">
      <c r="K7471" s="1">
        <v>40087</v>
      </c>
      <c r="M7471" t="e">
        <v>#N/A</v>
      </c>
      <c r="N7471" s="1">
        <v>39630</v>
      </c>
    </row>
    <row r="7472" spans="11:14" x14ac:dyDescent="0.3">
      <c r="K7472" s="1">
        <v>40087</v>
      </c>
      <c r="M7472" t="e">
        <v>#N/A</v>
      </c>
      <c r="N7472" s="1">
        <v>39630</v>
      </c>
    </row>
    <row r="7473" spans="11:14" x14ac:dyDescent="0.3">
      <c r="K7473" s="1">
        <v>40087</v>
      </c>
      <c r="M7473" t="e">
        <v>#N/A</v>
      </c>
      <c r="N7473" s="1">
        <v>39630</v>
      </c>
    </row>
    <row r="7474" spans="11:14" x14ac:dyDescent="0.3">
      <c r="K7474" s="1">
        <v>40087</v>
      </c>
      <c r="M7474" t="e">
        <v>#N/A</v>
      </c>
      <c r="N7474" s="1">
        <v>39630</v>
      </c>
    </row>
    <row r="7475" spans="11:14" x14ac:dyDescent="0.3">
      <c r="K7475" s="1">
        <v>40087</v>
      </c>
      <c r="M7475" t="e">
        <v>#N/A</v>
      </c>
      <c r="N7475" s="1">
        <v>39630</v>
      </c>
    </row>
    <row r="7476" spans="11:14" x14ac:dyDescent="0.3">
      <c r="K7476" s="1">
        <v>40087</v>
      </c>
      <c r="M7476" t="e">
        <v>#N/A</v>
      </c>
      <c r="N7476" s="1">
        <v>39630</v>
      </c>
    </row>
    <row r="7477" spans="11:14" x14ac:dyDescent="0.3">
      <c r="K7477" s="1">
        <v>40087</v>
      </c>
      <c r="M7477" t="e">
        <v>#N/A</v>
      </c>
      <c r="N7477" s="1">
        <v>39630</v>
      </c>
    </row>
    <row r="7478" spans="11:14" x14ac:dyDescent="0.3">
      <c r="K7478" s="1">
        <v>40087</v>
      </c>
      <c r="M7478" t="e">
        <v>#N/A</v>
      </c>
      <c r="N7478" s="1">
        <v>39630</v>
      </c>
    </row>
    <row r="7479" spans="11:14" x14ac:dyDescent="0.3">
      <c r="K7479" s="1">
        <v>40087</v>
      </c>
      <c r="M7479" t="e">
        <v>#N/A</v>
      </c>
      <c r="N7479" s="1">
        <v>39630</v>
      </c>
    </row>
    <row r="7480" spans="11:14" x14ac:dyDescent="0.3">
      <c r="K7480" s="1">
        <v>40087</v>
      </c>
      <c r="M7480" t="e">
        <v>#N/A</v>
      </c>
      <c r="N7480" s="1">
        <v>39630</v>
      </c>
    </row>
    <row r="7481" spans="11:14" x14ac:dyDescent="0.3">
      <c r="K7481" s="1">
        <v>40087</v>
      </c>
      <c r="M7481" t="e">
        <v>#N/A</v>
      </c>
      <c r="N7481" s="1">
        <v>39630</v>
      </c>
    </row>
    <row r="7482" spans="11:14" x14ac:dyDescent="0.3">
      <c r="K7482" s="1">
        <v>40087</v>
      </c>
      <c r="M7482" t="e">
        <v>#N/A</v>
      </c>
      <c r="N7482" s="1">
        <v>39630</v>
      </c>
    </row>
    <row r="7483" spans="11:14" x14ac:dyDescent="0.3">
      <c r="K7483" s="1">
        <v>40087</v>
      </c>
      <c r="M7483" t="e">
        <v>#N/A</v>
      </c>
      <c r="N7483" s="1">
        <v>39630</v>
      </c>
    </row>
    <row r="7484" spans="11:14" x14ac:dyDescent="0.3">
      <c r="K7484" s="1">
        <v>40087</v>
      </c>
      <c r="M7484" t="e">
        <v>#N/A</v>
      </c>
      <c r="N7484" s="1">
        <v>39630</v>
      </c>
    </row>
    <row r="7485" spans="11:14" x14ac:dyDescent="0.3">
      <c r="K7485" s="1">
        <v>40087</v>
      </c>
      <c r="M7485" t="e">
        <v>#N/A</v>
      </c>
      <c r="N7485" s="1">
        <v>39630</v>
      </c>
    </row>
    <row r="7486" spans="11:14" x14ac:dyDescent="0.3">
      <c r="K7486" s="1">
        <v>40087</v>
      </c>
      <c r="M7486" t="e">
        <v>#N/A</v>
      </c>
      <c r="N7486" s="1">
        <v>39630</v>
      </c>
    </row>
    <row r="7487" spans="11:14" x14ac:dyDescent="0.3">
      <c r="K7487" s="1">
        <v>40087</v>
      </c>
      <c r="M7487" t="e">
        <v>#N/A</v>
      </c>
      <c r="N7487" s="1">
        <v>39630</v>
      </c>
    </row>
    <row r="7488" spans="11:14" x14ac:dyDescent="0.3">
      <c r="K7488" s="1">
        <v>40087</v>
      </c>
      <c r="M7488" t="e">
        <v>#N/A</v>
      </c>
      <c r="N7488" s="1">
        <v>39630</v>
      </c>
    </row>
    <row r="7489" spans="11:14" x14ac:dyDescent="0.3">
      <c r="K7489" s="1">
        <v>40087</v>
      </c>
      <c r="M7489" t="e">
        <v>#N/A</v>
      </c>
      <c r="N7489" s="1">
        <v>39630</v>
      </c>
    </row>
    <row r="7490" spans="11:14" x14ac:dyDescent="0.3">
      <c r="K7490" s="1">
        <v>40087</v>
      </c>
      <c r="M7490" t="e">
        <v>#N/A</v>
      </c>
      <c r="N7490" s="1">
        <v>39630</v>
      </c>
    </row>
    <row r="7491" spans="11:14" x14ac:dyDescent="0.3">
      <c r="K7491" s="1">
        <v>40087</v>
      </c>
      <c r="M7491" t="e">
        <v>#N/A</v>
      </c>
      <c r="N7491" s="1">
        <v>39630</v>
      </c>
    </row>
    <row r="7492" spans="11:14" x14ac:dyDescent="0.3">
      <c r="K7492" s="1">
        <v>40087</v>
      </c>
      <c r="M7492" t="e">
        <v>#N/A</v>
      </c>
      <c r="N7492" s="1">
        <v>39630</v>
      </c>
    </row>
    <row r="7493" spans="11:14" x14ac:dyDescent="0.3">
      <c r="K7493" s="1">
        <v>40087</v>
      </c>
      <c r="M7493" t="e">
        <v>#N/A</v>
      </c>
      <c r="N7493" s="1">
        <v>39630</v>
      </c>
    </row>
    <row r="7494" spans="11:14" x14ac:dyDescent="0.3">
      <c r="K7494" s="1">
        <v>40087</v>
      </c>
      <c r="M7494" t="e">
        <v>#N/A</v>
      </c>
      <c r="N7494" s="1">
        <v>39630</v>
      </c>
    </row>
    <row r="7495" spans="11:14" x14ac:dyDescent="0.3">
      <c r="K7495" s="1">
        <v>40087</v>
      </c>
      <c r="M7495" t="e">
        <v>#N/A</v>
      </c>
      <c r="N7495" s="1">
        <v>39630</v>
      </c>
    </row>
    <row r="7496" spans="11:14" x14ac:dyDescent="0.3">
      <c r="K7496" s="1">
        <v>40087</v>
      </c>
      <c r="M7496" t="e">
        <v>#N/A</v>
      </c>
      <c r="N7496" s="1">
        <v>39630</v>
      </c>
    </row>
    <row r="7497" spans="11:14" x14ac:dyDescent="0.3">
      <c r="K7497" s="1">
        <v>40087</v>
      </c>
      <c r="M7497" t="e">
        <v>#N/A</v>
      </c>
      <c r="N7497" s="1">
        <v>39630</v>
      </c>
    </row>
    <row r="7498" spans="11:14" x14ac:dyDescent="0.3">
      <c r="K7498" s="1">
        <v>40087</v>
      </c>
      <c r="M7498" t="e">
        <v>#N/A</v>
      </c>
      <c r="N7498" s="1">
        <v>39630</v>
      </c>
    </row>
    <row r="7499" spans="11:14" x14ac:dyDescent="0.3">
      <c r="K7499" s="1">
        <v>40087</v>
      </c>
      <c r="M7499" t="e">
        <v>#N/A</v>
      </c>
      <c r="N7499" s="1">
        <v>39630</v>
      </c>
    </row>
    <row r="7500" spans="11:14" x14ac:dyDescent="0.3">
      <c r="K7500" s="1">
        <v>40087</v>
      </c>
      <c r="M7500" t="e">
        <v>#N/A</v>
      </c>
      <c r="N7500" s="1">
        <v>39630</v>
      </c>
    </row>
    <row r="7501" spans="11:14" x14ac:dyDescent="0.3">
      <c r="K7501" s="1">
        <v>40087</v>
      </c>
      <c r="M7501" t="e">
        <v>#N/A</v>
      </c>
      <c r="N7501" s="1">
        <v>39630</v>
      </c>
    </row>
    <row r="7502" spans="11:14" x14ac:dyDescent="0.3">
      <c r="K7502" s="1">
        <v>40087</v>
      </c>
      <c r="M7502" t="e">
        <v>#N/A</v>
      </c>
      <c r="N7502" s="1">
        <v>39630</v>
      </c>
    </row>
    <row r="7503" spans="11:14" x14ac:dyDescent="0.3">
      <c r="K7503" s="1">
        <v>40087</v>
      </c>
      <c r="M7503" t="e">
        <v>#N/A</v>
      </c>
      <c r="N7503" s="1">
        <v>39630</v>
      </c>
    </row>
    <row r="7504" spans="11:14" x14ac:dyDescent="0.3">
      <c r="K7504" s="1">
        <v>40087</v>
      </c>
      <c r="M7504" t="e">
        <v>#N/A</v>
      </c>
      <c r="N7504" s="1">
        <v>39630</v>
      </c>
    </row>
    <row r="7505" spans="11:14" x14ac:dyDescent="0.3">
      <c r="K7505" s="1">
        <v>40087</v>
      </c>
      <c r="M7505" t="e">
        <v>#N/A</v>
      </c>
      <c r="N7505" s="1">
        <v>39630</v>
      </c>
    </row>
    <row r="7506" spans="11:14" x14ac:dyDescent="0.3">
      <c r="K7506" s="1">
        <v>40087</v>
      </c>
      <c r="M7506" t="e">
        <v>#N/A</v>
      </c>
      <c r="N7506" s="1">
        <v>39630</v>
      </c>
    </row>
    <row r="7507" spans="11:14" x14ac:dyDescent="0.3">
      <c r="K7507" s="1">
        <v>40087</v>
      </c>
      <c r="M7507" t="e">
        <v>#N/A</v>
      </c>
      <c r="N7507" s="1">
        <v>39630</v>
      </c>
    </row>
    <row r="7508" spans="11:14" x14ac:dyDescent="0.3">
      <c r="K7508" s="1">
        <v>40087</v>
      </c>
      <c r="M7508" t="e">
        <v>#N/A</v>
      </c>
      <c r="N7508" s="1">
        <v>39630</v>
      </c>
    </row>
    <row r="7509" spans="11:14" x14ac:dyDescent="0.3">
      <c r="K7509" s="1">
        <v>40087</v>
      </c>
      <c r="M7509" t="e">
        <v>#N/A</v>
      </c>
      <c r="N7509" s="1">
        <v>39630</v>
      </c>
    </row>
    <row r="7510" spans="11:14" x14ac:dyDescent="0.3">
      <c r="K7510" s="1">
        <v>40087</v>
      </c>
      <c r="M7510" t="e">
        <v>#N/A</v>
      </c>
      <c r="N7510" s="1">
        <v>39630</v>
      </c>
    </row>
    <row r="7511" spans="11:14" x14ac:dyDescent="0.3">
      <c r="K7511" s="1">
        <v>40087</v>
      </c>
      <c r="M7511" t="e">
        <v>#N/A</v>
      </c>
      <c r="N7511" s="1">
        <v>39630</v>
      </c>
    </row>
    <row r="7512" spans="11:14" x14ac:dyDescent="0.3">
      <c r="K7512" s="1">
        <v>40087</v>
      </c>
      <c r="M7512" t="e">
        <v>#N/A</v>
      </c>
      <c r="N7512" s="1">
        <v>39630</v>
      </c>
    </row>
    <row r="7513" spans="11:14" x14ac:dyDescent="0.3">
      <c r="K7513" s="1">
        <v>40087</v>
      </c>
      <c r="M7513" t="e">
        <v>#N/A</v>
      </c>
      <c r="N7513" s="1">
        <v>39630</v>
      </c>
    </row>
    <row r="7514" spans="11:14" x14ac:dyDescent="0.3">
      <c r="K7514" s="1">
        <v>40087</v>
      </c>
      <c r="M7514" t="e">
        <v>#N/A</v>
      </c>
      <c r="N7514" s="1">
        <v>39630</v>
      </c>
    </row>
    <row r="7515" spans="11:14" x14ac:dyDescent="0.3">
      <c r="K7515" s="1">
        <v>40087</v>
      </c>
      <c r="M7515" t="e">
        <v>#N/A</v>
      </c>
      <c r="N7515" s="1">
        <v>39630</v>
      </c>
    </row>
    <row r="7516" spans="11:14" x14ac:dyDescent="0.3">
      <c r="K7516" s="1">
        <v>40087</v>
      </c>
      <c r="M7516" t="e">
        <v>#N/A</v>
      </c>
      <c r="N7516" s="1">
        <v>39630</v>
      </c>
    </row>
    <row r="7517" spans="11:14" x14ac:dyDescent="0.3">
      <c r="K7517" s="1">
        <v>40087</v>
      </c>
      <c r="M7517" t="e">
        <v>#N/A</v>
      </c>
      <c r="N7517" s="1">
        <v>39630</v>
      </c>
    </row>
    <row r="7518" spans="11:14" x14ac:dyDescent="0.3">
      <c r="K7518" s="1">
        <v>40087</v>
      </c>
      <c r="M7518" t="e">
        <v>#N/A</v>
      </c>
      <c r="N7518" s="1">
        <v>39630</v>
      </c>
    </row>
    <row r="7519" spans="11:14" x14ac:dyDescent="0.3">
      <c r="K7519" s="1">
        <v>40087</v>
      </c>
      <c r="M7519" t="e">
        <v>#N/A</v>
      </c>
      <c r="N7519" s="1">
        <v>39630</v>
      </c>
    </row>
    <row r="7520" spans="11:14" x14ac:dyDescent="0.3">
      <c r="K7520" s="1">
        <v>40087</v>
      </c>
      <c r="M7520" t="e">
        <v>#N/A</v>
      </c>
      <c r="N7520" s="1">
        <v>39630</v>
      </c>
    </row>
    <row r="7521" spans="11:14" x14ac:dyDescent="0.3">
      <c r="K7521" s="1">
        <v>40087</v>
      </c>
      <c r="M7521" t="e">
        <v>#N/A</v>
      </c>
      <c r="N7521" s="1">
        <v>39630</v>
      </c>
    </row>
    <row r="7522" spans="11:14" x14ac:dyDescent="0.3">
      <c r="K7522" s="1">
        <v>40087</v>
      </c>
      <c r="M7522" t="e">
        <v>#N/A</v>
      </c>
      <c r="N7522" s="1">
        <v>39630</v>
      </c>
    </row>
    <row r="7523" spans="11:14" x14ac:dyDescent="0.3">
      <c r="K7523" s="1">
        <v>40087</v>
      </c>
      <c r="M7523" t="e">
        <v>#N/A</v>
      </c>
      <c r="N7523" s="1">
        <v>39630</v>
      </c>
    </row>
    <row r="7524" spans="11:14" x14ac:dyDescent="0.3">
      <c r="K7524" s="1">
        <v>40087</v>
      </c>
      <c r="M7524" t="e">
        <v>#N/A</v>
      </c>
      <c r="N7524" s="1">
        <v>39630</v>
      </c>
    </row>
    <row r="7525" spans="11:14" x14ac:dyDescent="0.3">
      <c r="K7525" s="1">
        <v>40087</v>
      </c>
      <c r="M7525" t="e">
        <v>#N/A</v>
      </c>
      <c r="N7525" s="1">
        <v>39630</v>
      </c>
    </row>
    <row r="7526" spans="11:14" x14ac:dyDescent="0.3">
      <c r="K7526" s="1">
        <v>40087</v>
      </c>
      <c r="M7526" t="e">
        <v>#N/A</v>
      </c>
      <c r="N7526" s="1">
        <v>39630</v>
      </c>
    </row>
    <row r="7527" spans="11:14" x14ac:dyDescent="0.3">
      <c r="K7527" s="1">
        <v>40087</v>
      </c>
      <c r="M7527" t="e">
        <v>#N/A</v>
      </c>
      <c r="N7527" s="1">
        <v>39630</v>
      </c>
    </row>
    <row r="7528" spans="11:14" x14ac:dyDescent="0.3">
      <c r="K7528" s="1">
        <v>40087</v>
      </c>
      <c r="M7528" t="e">
        <v>#N/A</v>
      </c>
      <c r="N7528" s="1">
        <v>39630</v>
      </c>
    </row>
    <row r="7529" spans="11:14" x14ac:dyDescent="0.3">
      <c r="K7529" s="1">
        <v>40087</v>
      </c>
      <c r="M7529" t="e">
        <v>#N/A</v>
      </c>
      <c r="N7529" s="1">
        <v>39630</v>
      </c>
    </row>
    <row r="7530" spans="11:14" x14ac:dyDescent="0.3">
      <c r="K7530" s="1">
        <v>40087</v>
      </c>
      <c r="M7530" t="e">
        <v>#N/A</v>
      </c>
      <c r="N7530" s="1">
        <v>39630</v>
      </c>
    </row>
    <row r="7531" spans="11:14" x14ac:dyDescent="0.3">
      <c r="K7531" s="1">
        <v>40087</v>
      </c>
      <c r="M7531" t="e">
        <v>#N/A</v>
      </c>
      <c r="N7531" s="1">
        <v>39630</v>
      </c>
    </row>
    <row r="7532" spans="11:14" x14ac:dyDescent="0.3">
      <c r="K7532" s="1">
        <v>40087</v>
      </c>
      <c r="M7532" t="e">
        <v>#N/A</v>
      </c>
      <c r="N7532" s="1">
        <v>39630</v>
      </c>
    </row>
    <row r="7533" spans="11:14" x14ac:dyDescent="0.3">
      <c r="K7533" s="1">
        <v>40087</v>
      </c>
      <c r="M7533" t="e">
        <v>#N/A</v>
      </c>
      <c r="N7533" s="1">
        <v>39630</v>
      </c>
    </row>
    <row r="7534" spans="11:14" x14ac:dyDescent="0.3">
      <c r="K7534" s="1">
        <v>40087</v>
      </c>
      <c r="M7534" t="e">
        <v>#N/A</v>
      </c>
      <c r="N7534" s="1">
        <v>39630</v>
      </c>
    </row>
    <row r="7535" spans="11:14" x14ac:dyDescent="0.3">
      <c r="K7535" s="1">
        <v>40087</v>
      </c>
      <c r="M7535" t="e">
        <v>#N/A</v>
      </c>
      <c r="N7535" s="1">
        <v>39630</v>
      </c>
    </row>
    <row r="7536" spans="11:14" x14ac:dyDescent="0.3">
      <c r="K7536" s="1">
        <v>40087</v>
      </c>
      <c r="M7536" t="e">
        <v>#N/A</v>
      </c>
      <c r="N7536" s="1">
        <v>39630</v>
      </c>
    </row>
    <row r="7537" spans="11:14" x14ac:dyDescent="0.3">
      <c r="K7537" s="1">
        <v>40087</v>
      </c>
      <c r="M7537" t="e">
        <v>#N/A</v>
      </c>
      <c r="N7537" s="1">
        <v>39630</v>
      </c>
    </row>
    <row r="7538" spans="11:14" x14ac:dyDescent="0.3">
      <c r="K7538" s="1">
        <v>40087</v>
      </c>
      <c r="M7538" t="e">
        <v>#N/A</v>
      </c>
      <c r="N7538" s="1">
        <v>39630</v>
      </c>
    </row>
    <row r="7539" spans="11:14" x14ac:dyDescent="0.3">
      <c r="K7539" s="1">
        <v>40087</v>
      </c>
      <c r="M7539" t="e">
        <v>#N/A</v>
      </c>
      <c r="N7539" s="1">
        <v>39630</v>
      </c>
    </row>
    <row r="7540" spans="11:14" x14ac:dyDescent="0.3">
      <c r="K7540" s="1">
        <v>40087</v>
      </c>
      <c r="M7540" t="e">
        <v>#N/A</v>
      </c>
      <c r="N7540" s="1">
        <v>39630</v>
      </c>
    </row>
    <row r="7541" spans="11:14" x14ac:dyDescent="0.3">
      <c r="K7541" s="1">
        <v>40087</v>
      </c>
      <c r="M7541" t="e">
        <v>#N/A</v>
      </c>
      <c r="N7541" s="1">
        <v>39630</v>
      </c>
    </row>
    <row r="7542" spans="11:14" x14ac:dyDescent="0.3">
      <c r="K7542" s="1">
        <v>40087</v>
      </c>
      <c r="M7542" t="e">
        <v>#N/A</v>
      </c>
      <c r="N7542" s="1">
        <v>39630</v>
      </c>
    </row>
    <row r="7543" spans="11:14" x14ac:dyDescent="0.3">
      <c r="K7543" s="1">
        <v>40087</v>
      </c>
      <c r="M7543" t="e">
        <v>#N/A</v>
      </c>
      <c r="N7543" s="1">
        <v>39630</v>
      </c>
    </row>
    <row r="7544" spans="11:14" x14ac:dyDescent="0.3">
      <c r="K7544" s="1">
        <v>40087</v>
      </c>
      <c r="M7544" t="e">
        <v>#N/A</v>
      </c>
      <c r="N7544" s="1">
        <v>39630</v>
      </c>
    </row>
    <row r="7545" spans="11:14" x14ac:dyDescent="0.3">
      <c r="K7545" s="1">
        <v>40087</v>
      </c>
      <c r="M7545" t="e">
        <v>#N/A</v>
      </c>
      <c r="N7545" s="1">
        <v>39630</v>
      </c>
    </row>
    <row r="7546" spans="11:14" x14ac:dyDescent="0.3">
      <c r="K7546" s="1">
        <v>40087</v>
      </c>
      <c r="M7546" t="e">
        <v>#N/A</v>
      </c>
      <c r="N7546" s="1">
        <v>39630</v>
      </c>
    </row>
    <row r="7547" spans="11:14" x14ac:dyDescent="0.3">
      <c r="K7547" s="1">
        <v>40087</v>
      </c>
      <c r="M7547" t="e">
        <v>#N/A</v>
      </c>
      <c r="N7547" s="1">
        <v>39630</v>
      </c>
    </row>
    <row r="7548" spans="11:14" x14ac:dyDescent="0.3">
      <c r="K7548" s="1">
        <v>40087</v>
      </c>
      <c r="M7548" t="e">
        <v>#N/A</v>
      </c>
      <c r="N7548" s="1">
        <v>39630</v>
      </c>
    </row>
    <row r="7549" spans="11:14" x14ac:dyDescent="0.3">
      <c r="K7549" s="1">
        <v>40087</v>
      </c>
      <c r="M7549" t="e">
        <v>#N/A</v>
      </c>
      <c r="N7549" s="1">
        <v>39630</v>
      </c>
    </row>
    <row r="7550" spans="11:14" x14ac:dyDescent="0.3">
      <c r="K7550" s="1">
        <v>40087</v>
      </c>
      <c r="M7550" t="e">
        <v>#N/A</v>
      </c>
      <c r="N7550" s="1">
        <v>39630</v>
      </c>
    </row>
    <row r="7551" spans="11:14" x14ac:dyDescent="0.3">
      <c r="K7551" s="1">
        <v>40087</v>
      </c>
      <c r="M7551" t="e">
        <v>#N/A</v>
      </c>
      <c r="N7551" s="1">
        <v>39630</v>
      </c>
    </row>
    <row r="7552" spans="11:14" x14ac:dyDescent="0.3">
      <c r="K7552" s="1">
        <v>40087</v>
      </c>
      <c r="M7552" t="e">
        <v>#N/A</v>
      </c>
      <c r="N7552" s="1">
        <v>39630</v>
      </c>
    </row>
    <row r="7553" spans="11:14" x14ac:dyDescent="0.3">
      <c r="K7553" s="1">
        <v>40087</v>
      </c>
      <c r="M7553" t="e">
        <v>#N/A</v>
      </c>
      <c r="N7553" s="1">
        <v>39630</v>
      </c>
    </row>
    <row r="7554" spans="11:14" x14ac:dyDescent="0.3">
      <c r="K7554" s="1">
        <v>40087</v>
      </c>
      <c r="M7554" t="e">
        <v>#N/A</v>
      </c>
      <c r="N7554" s="1">
        <v>39630</v>
      </c>
    </row>
    <row r="7555" spans="11:14" x14ac:dyDescent="0.3">
      <c r="K7555" s="1">
        <v>40087</v>
      </c>
      <c r="M7555" t="e">
        <v>#N/A</v>
      </c>
      <c r="N7555" s="1">
        <v>39630</v>
      </c>
    </row>
    <row r="7556" spans="11:14" x14ac:dyDescent="0.3">
      <c r="K7556" s="1">
        <v>40087</v>
      </c>
      <c r="M7556" t="e">
        <v>#N/A</v>
      </c>
      <c r="N7556" s="1">
        <v>39630</v>
      </c>
    </row>
    <row r="7557" spans="11:14" x14ac:dyDescent="0.3">
      <c r="K7557" s="1">
        <v>40087</v>
      </c>
      <c r="M7557" t="e">
        <v>#N/A</v>
      </c>
      <c r="N7557" s="1">
        <v>39630</v>
      </c>
    </row>
    <row r="7558" spans="11:14" x14ac:dyDescent="0.3">
      <c r="K7558" s="1">
        <v>40087</v>
      </c>
      <c r="M7558" t="e">
        <v>#N/A</v>
      </c>
      <c r="N7558" s="1">
        <v>39630</v>
      </c>
    </row>
    <row r="7559" spans="11:14" x14ac:dyDescent="0.3">
      <c r="K7559" s="1">
        <v>40087</v>
      </c>
      <c r="M7559" t="e">
        <v>#N/A</v>
      </c>
      <c r="N7559" s="1">
        <v>39630</v>
      </c>
    </row>
    <row r="7560" spans="11:14" x14ac:dyDescent="0.3">
      <c r="K7560" s="1">
        <v>40087</v>
      </c>
      <c r="M7560" t="e">
        <v>#N/A</v>
      </c>
      <c r="N7560" s="1">
        <v>39630</v>
      </c>
    </row>
    <row r="7561" spans="11:14" x14ac:dyDescent="0.3">
      <c r="K7561" s="1">
        <v>40087</v>
      </c>
      <c r="M7561" t="e">
        <v>#N/A</v>
      </c>
      <c r="N7561" s="1">
        <v>39630</v>
      </c>
    </row>
    <row r="7562" spans="11:14" x14ac:dyDescent="0.3">
      <c r="K7562" s="1">
        <v>40087</v>
      </c>
      <c r="M7562" t="e">
        <v>#N/A</v>
      </c>
      <c r="N7562" s="1">
        <v>39630</v>
      </c>
    </row>
    <row r="7563" spans="11:14" x14ac:dyDescent="0.3">
      <c r="K7563" s="1">
        <v>40087</v>
      </c>
      <c r="M7563" t="e">
        <v>#N/A</v>
      </c>
      <c r="N7563" s="1">
        <v>39630</v>
      </c>
    </row>
    <row r="7564" spans="11:14" x14ac:dyDescent="0.3">
      <c r="K7564" s="1">
        <v>40087</v>
      </c>
      <c r="M7564" t="e">
        <v>#N/A</v>
      </c>
      <c r="N7564" s="1">
        <v>39630</v>
      </c>
    </row>
    <row r="7565" spans="11:14" x14ac:dyDescent="0.3">
      <c r="K7565" s="1">
        <v>40087</v>
      </c>
      <c r="M7565" t="e">
        <v>#N/A</v>
      </c>
      <c r="N7565" s="1">
        <v>39630</v>
      </c>
    </row>
    <row r="7566" spans="11:14" x14ac:dyDescent="0.3">
      <c r="K7566" s="1">
        <v>40087</v>
      </c>
      <c r="M7566" t="e">
        <v>#N/A</v>
      </c>
      <c r="N7566" s="1">
        <v>39630</v>
      </c>
    </row>
    <row r="7567" spans="11:14" x14ac:dyDescent="0.3">
      <c r="K7567" s="1">
        <v>40087</v>
      </c>
      <c r="M7567" t="e">
        <v>#N/A</v>
      </c>
      <c r="N7567" s="1">
        <v>39630</v>
      </c>
    </row>
    <row r="7568" spans="11:14" x14ac:dyDescent="0.3">
      <c r="K7568" s="1">
        <v>40087</v>
      </c>
      <c r="M7568" t="e">
        <v>#N/A</v>
      </c>
      <c r="N7568" s="1">
        <v>39630</v>
      </c>
    </row>
    <row r="7569" spans="11:14" x14ac:dyDescent="0.3">
      <c r="K7569" s="1">
        <v>40087</v>
      </c>
      <c r="M7569" t="e">
        <v>#N/A</v>
      </c>
      <c r="N7569" s="1">
        <v>39630</v>
      </c>
    </row>
    <row r="7570" spans="11:14" x14ac:dyDescent="0.3">
      <c r="K7570" s="1">
        <v>40087</v>
      </c>
      <c r="M7570" t="e">
        <v>#N/A</v>
      </c>
      <c r="N7570" s="1">
        <v>39630</v>
      </c>
    </row>
    <row r="7571" spans="11:14" x14ac:dyDescent="0.3">
      <c r="K7571" s="1">
        <v>40087</v>
      </c>
      <c r="M7571" t="e">
        <v>#N/A</v>
      </c>
      <c r="N7571" s="1">
        <v>39630</v>
      </c>
    </row>
    <row r="7572" spans="11:14" x14ac:dyDescent="0.3">
      <c r="K7572" s="1">
        <v>40087</v>
      </c>
      <c r="M7572" t="e">
        <v>#N/A</v>
      </c>
      <c r="N7572" s="1">
        <v>39630</v>
      </c>
    </row>
    <row r="7573" spans="11:14" x14ac:dyDescent="0.3">
      <c r="K7573" s="1">
        <v>40087</v>
      </c>
      <c r="M7573" t="e">
        <v>#N/A</v>
      </c>
      <c r="N7573" s="1">
        <v>39630</v>
      </c>
    </row>
    <row r="7574" spans="11:14" x14ac:dyDescent="0.3">
      <c r="K7574" s="1">
        <v>40087</v>
      </c>
      <c r="M7574" t="e">
        <v>#N/A</v>
      </c>
      <c r="N7574" s="1">
        <v>39630</v>
      </c>
    </row>
    <row r="7575" spans="11:14" x14ac:dyDescent="0.3">
      <c r="K7575" s="1">
        <v>40087</v>
      </c>
      <c r="M7575" t="e">
        <v>#N/A</v>
      </c>
      <c r="N7575" s="1">
        <v>39630</v>
      </c>
    </row>
    <row r="7576" spans="11:14" x14ac:dyDescent="0.3">
      <c r="K7576" s="1">
        <v>40087</v>
      </c>
      <c r="M7576" t="e">
        <v>#N/A</v>
      </c>
      <c r="N7576" s="1">
        <v>39630</v>
      </c>
    </row>
    <row r="7577" spans="11:14" x14ac:dyDescent="0.3">
      <c r="K7577" s="1">
        <v>40087</v>
      </c>
      <c r="M7577" t="e">
        <v>#N/A</v>
      </c>
      <c r="N7577" s="1">
        <v>39630</v>
      </c>
    </row>
    <row r="7578" spans="11:14" x14ac:dyDescent="0.3">
      <c r="K7578" s="1">
        <v>40087</v>
      </c>
      <c r="M7578" t="e">
        <v>#N/A</v>
      </c>
      <c r="N7578" s="1">
        <v>39630</v>
      </c>
    </row>
    <row r="7579" spans="11:14" x14ac:dyDescent="0.3">
      <c r="K7579" s="1">
        <v>40087</v>
      </c>
      <c r="M7579" t="e">
        <v>#N/A</v>
      </c>
      <c r="N7579" s="1">
        <v>39630</v>
      </c>
    </row>
    <row r="7580" spans="11:14" x14ac:dyDescent="0.3">
      <c r="K7580" s="1">
        <v>40087</v>
      </c>
      <c r="M7580" t="e">
        <v>#N/A</v>
      </c>
      <c r="N7580" s="1">
        <v>39630</v>
      </c>
    </row>
    <row r="7581" spans="11:14" x14ac:dyDescent="0.3">
      <c r="K7581" s="1">
        <v>40087</v>
      </c>
      <c r="M7581" t="e">
        <v>#N/A</v>
      </c>
      <c r="N7581" s="1">
        <v>39630</v>
      </c>
    </row>
    <row r="7582" spans="11:14" x14ac:dyDescent="0.3">
      <c r="K7582" s="1">
        <v>40087</v>
      </c>
      <c r="M7582" t="e">
        <v>#N/A</v>
      </c>
      <c r="N7582" s="1">
        <v>39630</v>
      </c>
    </row>
    <row r="7583" spans="11:14" x14ac:dyDescent="0.3">
      <c r="K7583" s="1">
        <v>40087</v>
      </c>
      <c r="M7583" t="e">
        <v>#N/A</v>
      </c>
      <c r="N7583" s="1">
        <v>39630</v>
      </c>
    </row>
    <row r="7584" spans="11:14" x14ac:dyDescent="0.3">
      <c r="K7584" s="1">
        <v>40087</v>
      </c>
      <c r="M7584" t="e">
        <v>#N/A</v>
      </c>
      <c r="N7584" s="1">
        <v>39722</v>
      </c>
    </row>
    <row r="7585" spans="11:14" x14ac:dyDescent="0.3">
      <c r="K7585" s="1">
        <v>40087</v>
      </c>
      <c r="M7585" t="e">
        <v>#N/A</v>
      </c>
      <c r="N7585" s="1">
        <v>39722</v>
      </c>
    </row>
    <row r="7586" spans="11:14" x14ac:dyDescent="0.3">
      <c r="K7586" s="1">
        <v>40087</v>
      </c>
      <c r="M7586" t="e">
        <v>#N/A</v>
      </c>
      <c r="N7586" s="1">
        <v>39722</v>
      </c>
    </row>
    <row r="7587" spans="11:14" x14ac:dyDescent="0.3">
      <c r="K7587" s="1">
        <v>40087</v>
      </c>
      <c r="M7587" t="e">
        <v>#N/A</v>
      </c>
      <c r="N7587" s="1">
        <v>39722</v>
      </c>
    </row>
    <row r="7588" spans="11:14" x14ac:dyDescent="0.3">
      <c r="K7588" s="1">
        <v>40087</v>
      </c>
      <c r="M7588" t="e">
        <v>#N/A</v>
      </c>
      <c r="N7588" s="1">
        <v>39722</v>
      </c>
    </row>
    <row r="7589" spans="11:14" x14ac:dyDescent="0.3">
      <c r="K7589" s="1">
        <v>40087</v>
      </c>
      <c r="M7589" t="e">
        <v>#N/A</v>
      </c>
      <c r="N7589" s="1">
        <v>39722</v>
      </c>
    </row>
    <row r="7590" spans="11:14" x14ac:dyDescent="0.3">
      <c r="K7590" s="1">
        <v>40087</v>
      </c>
      <c r="M7590" t="e">
        <v>#N/A</v>
      </c>
      <c r="N7590" s="1">
        <v>39722</v>
      </c>
    </row>
    <row r="7591" spans="11:14" x14ac:dyDescent="0.3">
      <c r="K7591" s="1">
        <v>40087</v>
      </c>
      <c r="M7591" t="e">
        <v>#N/A</v>
      </c>
      <c r="N7591" s="1">
        <v>39722</v>
      </c>
    </row>
    <row r="7592" spans="11:14" x14ac:dyDescent="0.3">
      <c r="K7592" s="1">
        <v>40087</v>
      </c>
      <c r="M7592" t="e">
        <v>#N/A</v>
      </c>
      <c r="N7592" s="1">
        <v>39722</v>
      </c>
    </row>
    <row r="7593" spans="11:14" x14ac:dyDescent="0.3">
      <c r="K7593" s="1">
        <v>40087</v>
      </c>
      <c r="M7593" t="e">
        <v>#N/A</v>
      </c>
      <c r="N7593" s="1">
        <v>39722</v>
      </c>
    </row>
    <row r="7594" spans="11:14" x14ac:dyDescent="0.3">
      <c r="K7594" s="1">
        <v>40087</v>
      </c>
      <c r="M7594" t="e">
        <v>#N/A</v>
      </c>
      <c r="N7594" s="1">
        <v>39722</v>
      </c>
    </row>
    <row r="7595" spans="11:14" x14ac:dyDescent="0.3">
      <c r="K7595" s="1">
        <v>40087</v>
      </c>
      <c r="M7595" t="e">
        <v>#N/A</v>
      </c>
      <c r="N7595" s="1">
        <v>39722</v>
      </c>
    </row>
    <row r="7596" spans="11:14" x14ac:dyDescent="0.3">
      <c r="K7596" s="1">
        <v>40087</v>
      </c>
      <c r="M7596" t="e">
        <v>#N/A</v>
      </c>
      <c r="N7596" s="1">
        <v>39722</v>
      </c>
    </row>
    <row r="7597" spans="11:14" x14ac:dyDescent="0.3">
      <c r="K7597" s="1">
        <v>40087</v>
      </c>
      <c r="M7597" t="e">
        <v>#N/A</v>
      </c>
      <c r="N7597" s="1">
        <v>39722</v>
      </c>
    </row>
    <row r="7598" spans="11:14" x14ac:dyDescent="0.3">
      <c r="K7598" s="1">
        <v>40087</v>
      </c>
      <c r="M7598" t="e">
        <v>#N/A</v>
      </c>
      <c r="N7598" s="1">
        <v>39722</v>
      </c>
    </row>
    <row r="7599" spans="11:14" x14ac:dyDescent="0.3">
      <c r="K7599" s="1">
        <v>40087</v>
      </c>
      <c r="M7599" t="e">
        <v>#N/A</v>
      </c>
      <c r="N7599" s="1">
        <v>39722</v>
      </c>
    </row>
    <row r="7600" spans="11:14" x14ac:dyDescent="0.3">
      <c r="K7600" s="1">
        <v>40087</v>
      </c>
      <c r="M7600" t="e">
        <v>#N/A</v>
      </c>
      <c r="N7600" s="1">
        <v>39722</v>
      </c>
    </row>
    <row r="7601" spans="11:14" x14ac:dyDescent="0.3">
      <c r="K7601" s="1">
        <v>40087</v>
      </c>
      <c r="M7601" t="e">
        <v>#N/A</v>
      </c>
      <c r="N7601" s="1">
        <v>39722</v>
      </c>
    </row>
    <row r="7602" spans="11:14" x14ac:dyDescent="0.3">
      <c r="K7602" s="1">
        <v>40087</v>
      </c>
      <c r="M7602" t="e">
        <v>#N/A</v>
      </c>
      <c r="N7602" s="1">
        <v>39722</v>
      </c>
    </row>
    <row r="7603" spans="11:14" x14ac:dyDescent="0.3">
      <c r="K7603" s="1">
        <v>40087</v>
      </c>
      <c r="M7603" t="e">
        <v>#N/A</v>
      </c>
      <c r="N7603" s="1">
        <v>39722</v>
      </c>
    </row>
    <row r="7604" spans="11:14" x14ac:dyDescent="0.3">
      <c r="K7604" s="1">
        <v>40087</v>
      </c>
      <c r="M7604" t="e">
        <v>#N/A</v>
      </c>
      <c r="N7604" s="1">
        <v>39722</v>
      </c>
    </row>
    <row r="7605" spans="11:14" x14ac:dyDescent="0.3">
      <c r="K7605" s="1">
        <v>40087</v>
      </c>
      <c r="M7605" t="e">
        <v>#N/A</v>
      </c>
      <c r="N7605" s="1">
        <v>39722</v>
      </c>
    </row>
    <row r="7606" spans="11:14" x14ac:dyDescent="0.3">
      <c r="K7606" s="1">
        <v>40087</v>
      </c>
      <c r="M7606" t="e">
        <v>#N/A</v>
      </c>
      <c r="N7606" s="1">
        <v>39722</v>
      </c>
    </row>
    <row r="7607" spans="11:14" x14ac:dyDescent="0.3">
      <c r="K7607" s="1">
        <v>40087</v>
      </c>
      <c r="M7607" t="e">
        <v>#N/A</v>
      </c>
      <c r="N7607" s="1">
        <v>39722</v>
      </c>
    </row>
    <row r="7608" spans="11:14" x14ac:dyDescent="0.3">
      <c r="K7608" s="1">
        <v>40087</v>
      </c>
      <c r="M7608" t="e">
        <v>#N/A</v>
      </c>
      <c r="N7608" s="1">
        <v>39722</v>
      </c>
    </row>
    <row r="7609" spans="11:14" x14ac:dyDescent="0.3">
      <c r="K7609" s="1">
        <v>40087</v>
      </c>
      <c r="M7609" t="e">
        <v>#N/A</v>
      </c>
      <c r="N7609" s="1">
        <v>39722</v>
      </c>
    </row>
    <row r="7610" spans="11:14" x14ac:dyDescent="0.3">
      <c r="K7610" s="1">
        <v>40087</v>
      </c>
      <c r="M7610" t="e">
        <v>#N/A</v>
      </c>
      <c r="N7610" s="1">
        <v>39722</v>
      </c>
    </row>
    <row r="7611" spans="11:14" x14ac:dyDescent="0.3">
      <c r="K7611" s="1">
        <v>40087</v>
      </c>
      <c r="M7611" t="e">
        <v>#N/A</v>
      </c>
      <c r="N7611" s="1">
        <v>39722</v>
      </c>
    </row>
    <row r="7612" spans="11:14" x14ac:dyDescent="0.3">
      <c r="K7612" s="1">
        <v>40087</v>
      </c>
      <c r="M7612" t="e">
        <v>#N/A</v>
      </c>
      <c r="N7612" s="1">
        <v>39722</v>
      </c>
    </row>
    <row r="7613" spans="11:14" x14ac:dyDescent="0.3">
      <c r="K7613" s="1">
        <v>40087</v>
      </c>
      <c r="M7613" t="e">
        <v>#N/A</v>
      </c>
      <c r="N7613" s="1">
        <v>39722</v>
      </c>
    </row>
    <row r="7614" spans="11:14" x14ac:dyDescent="0.3">
      <c r="K7614" s="1">
        <v>40087</v>
      </c>
      <c r="M7614" t="e">
        <v>#N/A</v>
      </c>
      <c r="N7614" s="1">
        <v>39722</v>
      </c>
    </row>
    <row r="7615" spans="11:14" x14ac:dyDescent="0.3">
      <c r="K7615" s="1">
        <v>40087</v>
      </c>
      <c r="M7615" t="e">
        <v>#N/A</v>
      </c>
      <c r="N7615" s="1">
        <v>39722</v>
      </c>
    </row>
    <row r="7616" spans="11:14" x14ac:dyDescent="0.3">
      <c r="K7616" s="1">
        <v>40087</v>
      </c>
      <c r="M7616" t="e">
        <v>#N/A</v>
      </c>
      <c r="N7616" s="1">
        <v>39722</v>
      </c>
    </row>
    <row r="7617" spans="11:14" x14ac:dyDescent="0.3">
      <c r="K7617" s="1">
        <v>40087</v>
      </c>
      <c r="M7617" t="e">
        <v>#N/A</v>
      </c>
      <c r="N7617" s="1">
        <v>39722</v>
      </c>
    </row>
    <row r="7618" spans="11:14" x14ac:dyDescent="0.3">
      <c r="K7618" s="1">
        <v>40087</v>
      </c>
      <c r="M7618" t="e">
        <v>#N/A</v>
      </c>
      <c r="N7618" s="1">
        <v>39722</v>
      </c>
    </row>
    <row r="7619" spans="11:14" x14ac:dyDescent="0.3">
      <c r="K7619" s="1">
        <v>40087</v>
      </c>
      <c r="M7619" t="e">
        <v>#N/A</v>
      </c>
      <c r="N7619" s="1">
        <v>39722</v>
      </c>
    </row>
    <row r="7620" spans="11:14" x14ac:dyDescent="0.3">
      <c r="K7620" s="1">
        <v>40087</v>
      </c>
      <c r="M7620" t="e">
        <v>#N/A</v>
      </c>
      <c r="N7620" s="1">
        <v>39722</v>
      </c>
    </row>
    <row r="7621" spans="11:14" x14ac:dyDescent="0.3">
      <c r="K7621" s="1">
        <v>40087</v>
      </c>
      <c r="M7621" t="e">
        <v>#N/A</v>
      </c>
      <c r="N7621" s="1">
        <v>39722</v>
      </c>
    </row>
    <row r="7622" spans="11:14" x14ac:dyDescent="0.3">
      <c r="K7622" s="1">
        <v>40087</v>
      </c>
      <c r="M7622" t="e">
        <v>#N/A</v>
      </c>
      <c r="N7622" s="1">
        <v>39722</v>
      </c>
    </row>
    <row r="7623" spans="11:14" x14ac:dyDescent="0.3">
      <c r="K7623" s="1">
        <v>40087</v>
      </c>
      <c r="M7623" t="e">
        <v>#N/A</v>
      </c>
      <c r="N7623" s="1">
        <v>39722</v>
      </c>
    </row>
    <row r="7624" spans="11:14" x14ac:dyDescent="0.3">
      <c r="K7624" s="1">
        <v>40087</v>
      </c>
      <c r="M7624" t="e">
        <v>#N/A</v>
      </c>
      <c r="N7624" s="1">
        <v>39722</v>
      </c>
    </row>
    <row r="7625" spans="11:14" x14ac:dyDescent="0.3">
      <c r="K7625" s="1">
        <v>40087</v>
      </c>
      <c r="M7625" t="e">
        <v>#N/A</v>
      </c>
      <c r="N7625" s="1">
        <v>39722</v>
      </c>
    </row>
    <row r="7626" spans="11:14" x14ac:dyDescent="0.3">
      <c r="K7626" s="1">
        <v>40087</v>
      </c>
      <c r="M7626" t="e">
        <v>#N/A</v>
      </c>
      <c r="N7626" s="1">
        <v>39722</v>
      </c>
    </row>
    <row r="7627" spans="11:14" x14ac:dyDescent="0.3">
      <c r="K7627" s="1">
        <v>40087</v>
      </c>
      <c r="M7627" t="e">
        <v>#N/A</v>
      </c>
      <c r="N7627" s="1">
        <v>39722</v>
      </c>
    </row>
    <row r="7628" spans="11:14" x14ac:dyDescent="0.3">
      <c r="K7628" s="1">
        <v>40087</v>
      </c>
      <c r="M7628" t="e">
        <v>#N/A</v>
      </c>
      <c r="N7628" s="1">
        <v>39722</v>
      </c>
    </row>
    <row r="7629" spans="11:14" x14ac:dyDescent="0.3">
      <c r="K7629" s="1">
        <v>40087</v>
      </c>
      <c r="M7629" t="e">
        <v>#N/A</v>
      </c>
      <c r="N7629" s="1">
        <v>39722</v>
      </c>
    </row>
    <row r="7630" spans="11:14" x14ac:dyDescent="0.3">
      <c r="K7630" s="1">
        <v>40087</v>
      </c>
      <c r="M7630" t="e">
        <v>#N/A</v>
      </c>
      <c r="N7630" s="1">
        <v>39722</v>
      </c>
    </row>
    <row r="7631" spans="11:14" x14ac:dyDescent="0.3">
      <c r="K7631" s="1">
        <v>40087</v>
      </c>
      <c r="M7631" t="e">
        <v>#N/A</v>
      </c>
      <c r="N7631" s="1">
        <v>39722</v>
      </c>
    </row>
    <row r="7632" spans="11:14" x14ac:dyDescent="0.3">
      <c r="K7632" s="1">
        <v>40087</v>
      </c>
      <c r="M7632" t="e">
        <v>#N/A</v>
      </c>
      <c r="N7632" s="1">
        <v>39722</v>
      </c>
    </row>
    <row r="7633" spans="11:14" x14ac:dyDescent="0.3">
      <c r="K7633" s="1">
        <v>40087</v>
      </c>
      <c r="M7633" t="e">
        <v>#N/A</v>
      </c>
      <c r="N7633" s="1">
        <v>39722</v>
      </c>
    </row>
    <row r="7634" spans="11:14" x14ac:dyDescent="0.3">
      <c r="K7634" s="1">
        <v>40087</v>
      </c>
      <c r="M7634" t="e">
        <v>#N/A</v>
      </c>
      <c r="N7634" s="1">
        <v>39722</v>
      </c>
    </row>
    <row r="7635" spans="11:14" x14ac:dyDescent="0.3">
      <c r="K7635" s="1">
        <v>40087</v>
      </c>
      <c r="M7635" t="e">
        <v>#N/A</v>
      </c>
      <c r="N7635" s="1">
        <v>39722</v>
      </c>
    </row>
    <row r="7636" spans="11:14" x14ac:dyDescent="0.3">
      <c r="K7636" s="1">
        <v>40087</v>
      </c>
      <c r="M7636" t="e">
        <v>#N/A</v>
      </c>
      <c r="N7636" s="1">
        <v>39722</v>
      </c>
    </row>
    <row r="7637" spans="11:14" x14ac:dyDescent="0.3">
      <c r="K7637" s="1">
        <v>40087</v>
      </c>
      <c r="M7637" t="e">
        <v>#N/A</v>
      </c>
      <c r="N7637" s="1">
        <v>39722</v>
      </c>
    </row>
    <row r="7638" spans="11:14" x14ac:dyDescent="0.3">
      <c r="K7638" s="1">
        <v>40087</v>
      </c>
      <c r="M7638" t="e">
        <v>#N/A</v>
      </c>
      <c r="N7638" s="1">
        <v>39722</v>
      </c>
    </row>
    <row r="7639" spans="11:14" x14ac:dyDescent="0.3">
      <c r="K7639" s="1">
        <v>40087</v>
      </c>
      <c r="M7639" t="e">
        <v>#N/A</v>
      </c>
      <c r="N7639" s="1">
        <v>39722</v>
      </c>
    </row>
    <row r="7640" spans="11:14" x14ac:dyDescent="0.3">
      <c r="K7640" s="1">
        <v>40087</v>
      </c>
      <c r="M7640" t="e">
        <v>#N/A</v>
      </c>
      <c r="N7640" s="1">
        <v>39722</v>
      </c>
    </row>
    <row r="7641" spans="11:14" x14ac:dyDescent="0.3">
      <c r="K7641" s="1">
        <v>40087</v>
      </c>
      <c r="M7641" t="e">
        <v>#N/A</v>
      </c>
      <c r="N7641" s="1">
        <v>39722</v>
      </c>
    </row>
    <row r="7642" spans="11:14" x14ac:dyDescent="0.3">
      <c r="K7642" s="1">
        <v>40087</v>
      </c>
      <c r="M7642" t="e">
        <v>#N/A</v>
      </c>
      <c r="N7642" s="1">
        <v>39722</v>
      </c>
    </row>
    <row r="7643" spans="11:14" x14ac:dyDescent="0.3">
      <c r="K7643" s="1">
        <v>40087</v>
      </c>
      <c r="M7643" t="e">
        <v>#N/A</v>
      </c>
      <c r="N7643" s="1">
        <v>39722</v>
      </c>
    </row>
    <row r="7644" spans="11:14" x14ac:dyDescent="0.3">
      <c r="K7644" s="1">
        <v>40087</v>
      </c>
      <c r="M7644" t="e">
        <v>#N/A</v>
      </c>
      <c r="N7644" s="1">
        <v>39722</v>
      </c>
    </row>
    <row r="7645" spans="11:14" x14ac:dyDescent="0.3">
      <c r="K7645" s="1">
        <v>40087</v>
      </c>
      <c r="M7645" t="e">
        <v>#N/A</v>
      </c>
      <c r="N7645" s="1">
        <v>39722</v>
      </c>
    </row>
    <row r="7646" spans="11:14" x14ac:dyDescent="0.3">
      <c r="K7646" s="1">
        <v>40087</v>
      </c>
      <c r="M7646" t="e">
        <v>#N/A</v>
      </c>
      <c r="N7646" s="1">
        <v>39722</v>
      </c>
    </row>
    <row r="7647" spans="11:14" x14ac:dyDescent="0.3">
      <c r="K7647" s="1">
        <v>40087</v>
      </c>
      <c r="M7647" t="e">
        <v>#N/A</v>
      </c>
      <c r="N7647" s="1">
        <v>39722</v>
      </c>
    </row>
    <row r="7648" spans="11:14" x14ac:dyDescent="0.3">
      <c r="K7648" s="1">
        <v>40087</v>
      </c>
      <c r="M7648" t="e">
        <v>#N/A</v>
      </c>
      <c r="N7648" s="1">
        <v>39722</v>
      </c>
    </row>
    <row r="7649" spans="11:14" x14ac:dyDescent="0.3">
      <c r="K7649" s="1">
        <v>40087</v>
      </c>
      <c r="M7649" t="e">
        <v>#N/A</v>
      </c>
      <c r="N7649" s="1">
        <v>39722</v>
      </c>
    </row>
    <row r="7650" spans="11:14" x14ac:dyDescent="0.3">
      <c r="K7650" s="1">
        <v>40087</v>
      </c>
      <c r="M7650" t="e">
        <v>#N/A</v>
      </c>
      <c r="N7650" s="1">
        <v>39722</v>
      </c>
    </row>
    <row r="7651" spans="11:14" x14ac:dyDescent="0.3">
      <c r="K7651" s="1">
        <v>40087</v>
      </c>
      <c r="M7651" t="e">
        <v>#N/A</v>
      </c>
      <c r="N7651" s="1">
        <v>39722</v>
      </c>
    </row>
    <row r="7652" spans="11:14" x14ac:dyDescent="0.3">
      <c r="K7652" s="1">
        <v>40087</v>
      </c>
      <c r="M7652" t="e">
        <v>#N/A</v>
      </c>
      <c r="N7652" s="1">
        <v>39722</v>
      </c>
    </row>
    <row r="7653" spans="11:14" x14ac:dyDescent="0.3">
      <c r="K7653" s="1">
        <v>40087</v>
      </c>
      <c r="M7653" t="e">
        <v>#N/A</v>
      </c>
      <c r="N7653" s="1">
        <v>39722</v>
      </c>
    </row>
    <row r="7654" spans="11:14" x14ac:dyDescent="0.3">
      <c r="K7654" s="1">
        <v>40087</v>
      </c>
      <c r="M7654" t="e">
        <v>#N/A</v>
      </c>
      <c r="N7654" s="1">
        <v>39722</v>
      </c>
    </row>
    <row r="7655" spans="11:14" x14ac:dyDescent="0.3">
      <c r="K7655" s="1">
        <v>40087</v>
      </c>
      <c r="M7655" t="e">
        <v>#N/A</v>
      </c>
      <c r="N7655" s="1">
        <v>39722</v>
      </c>
    </row>
    <row r="7656" spans="11:14" x14ac:dyDescent="0.3">
      <c r="K7656" s="1">
        <v>40087</v>
      </c>
      <c r="M7656" t="e">
        <v>#N/A</v>
      </c>
      <c r="N7656" s="1">
        <v>39722</v>
      </c>
    </row>
    <row r="7657" spans="11:14" x14ac:dyDescent="0.3">
      <c r="K7657" s="1">
        <v>40087</v>
      </c>
      <c r="M7657" t="e">
        <v>#N/A</v>
      </c>
      <c r="N7657" s="1">
        <v>39722</v>
      </c>
    </row>
    <row r="7658" spans="11:14" x14ac:dyDescent="0.3">
      <c r="K7658" s="1">
        <v>40087</v>
      </c>
      <c r="M7658" t="e">
        <v>#N/A</v>
      </c>
      <c r="N7658" s="1">
        <v>39722</v>
      </c>
    </row>
    <row r="7659" spans="11:14" x14ac:dyDescent="0.3">
      <c r="K7659" s="1">
        <v>40087</v>
      </c>
      <c r="M7659" t="e">
        <v>#N/A</v>
      </c>
      <c r="N7659" s="1">
        <v>39722</v>
      </c>
    </row>
    <row r="7660" spans="11:14" x14ac:dyDescent="0.3">
      <c r="K7660" s="1">
        <v>40087</v>
      </c>
      <c r="M7660" t="e">
        <v>#N/A</v>
      </c>
      <c r="N7660" s="1">
        <v>39722</v>
      </c>
    </row>
    <row r="7661" spans="11:14" x14ac:dyDescent="0.3">
      <c r="K7661" s="1">
        <v>40087</v>
      </c>
      <c r="M7661" t="e">
        <v>#N/A</v>
      </c>
      <c r="N7661" s="1">
        <v>39722</v>
      </c>
    </row>
    <row r="7662" spans="11:14" x14ac:dyDescent="0.3">
      <c r="K7662" s="1">
        <v>40087</v>
      </c>
      <c r="M7662" t="e">
        <v>#N/A</v>
      </c>
      <c r="N7662" s="1">
        <v>39722</v>
      </c>
    </row>
    <row r="7663" spans="11:14" x14ac:dyDescent="0.3">
      <c r="K7663" s="1">
        <v>40087</v>
      </c>
      <c r="M7663" t="e">
        <v>#N/A</v>
      </c>
      <c r="N7663" s="1">
        <v>39722</v>
      </c>
    </row>
    <row r="7664" spans="11:14" x14ac:dyDescent="0.3">
      <c r="K7664" s="1">
        <v>40087</v>
      </c>
      <c r="M7664" t="e">
        <v>#N/A</v>
      </c>
      <c r="N7664" s="1">
        <v>39722</v>
      </c>
    </row>
    <row r="7665" spans="11:14" x14ac:dyDescent="0.3">
      <c r="K7665" s="1">
        <v>40087</v>
      </c>
      <c r="M7665" t="e">
        <v>#N/A</v>
      </c>
      <c r="N7665" s="1">
        <v>39722</v>
      </c>
    </row>
    <row r="7666" spans="11:14" x14ac:dyDescent="0.3">
      <c r="K7666" s="1">
        <v>40087</v>
      </c>
      <c r="M7666" t="e">
        <v>#N/A</v>
      </c>
      <c r="N7666" s="1">
        <v>39722</v>
      </c>
    </row>
    <row r="7667" spans="11:14" x14ac:dyDescent="0.3">
      <c r="K7667" s="1">
        <v>40087</v>
      </c>
      <c r="M7667" t="e">
        <v>#N/A</v>
      </c>
      <c r="N7667" s="1">
        <v>39722</v>
      </c>
    </row>
    <row r="7668" spans="11:14" x14ac:dyDescent="0.3">
      <c r="K7668" s="1">
        <v>40087</v>
      </c>
      <c r="M7668" t="e">
        <v>#N/A</v>
      </c>
      <c r="N7668" s="1">
        <v>39722</v>
      </c>
    </row>
    <row r="7669" spans="11:14" x14ac:dyDescent="0.3">
      <c r="K7669" s="1">
        <v>40087</v>
      </c>
      <c r="M7669" t="e">
        <v>#N/A</v>
      </c>
      <c r="N7669" s="1">
        <v>39722</v>
      </c>
    </row>
    <row r="7670" spans="11:14" x14ac:dyDescent="0.3">
      <c r="K7670" s="1">
        <v>40087</v>
      </c>
      <c r="M7670" t="e">
        <v>#N/A</v>
      </c>
      <c r="N7670" s="1">
        <v>39722</v>
      </c>
    </row>
    <row r="7671" spans="11:14" x14ac:dyDescent="0.3">
      <c r="K7671" s="1">
        <v>40087</v>
      </c>
      <c r="M7671" t="e">
        <v>#N/A</v>
      </c>
      <c r="N7671" s="1">
        <v>39722</v>
      </c>
    </row>
    <row r="7672" spans="11:14" x14ac:dyDescent="0.3">
      <c r="K7672" s="1">
        <v>40087</v>
      </c>
      <c r="M7672" t="e">
        <v>#N/A</v>
      </c>
      <c r="N7672" s="1">
        <v>39722</v>
      </c>
    </row>
    <row r="7673" spans="11:14" x14ac:dyDescent="0.3">
      <c r="K7673" s="1">
        <v>40087</v>
      </c>
      <c r="M7673" t="e">
        <v>#N/A</v>
      </c>
      <c r="N7673" s="1">
        <v>39722</v>
      </c>
    </row>
    <row r="7674" spans="11:14" x14ac:dyDescent="0.3">
      <c r="K7674" s="1">
        <v>40087</v>
      </c>
      <c r="M7674" t="e">
        <v>#N/A</v>
      </c>
      <c r="N7674" s="1">
        <v>39722</v>
      </c>
    </row>
    <row r="7675" spans="11:14" x14ac:dyDescent="0.3">
      <c r="K7675" s="1">
        <v>40087</v>
      </c>
      <c r="M7675" t="e">
        <v>#N/A</v>
      </c>
      <c r="N7675" s="1">
        <v>39722</v>
      </c>
    </row>
    <row r="7676" spans="11:14" x14ac:dyDescent="0.3">
      <c r="K7676" s="1">
        <v>40087</v>
      </c>
      <c r="M7676" t="e">
        <v>#N/A</v>
      </c>
      <c r="N7676" s="1">
        <v>39722</v>
      </c>
    </row>
    <row r="7677" spans="11:14" x14ac:dyDescent="0.3">
      <c r="K7677" s="1">
        <v>40087</v>
      </c>
      <c r="M7677" t="e">
        <v>#N/A</v>
      </c>
      <c r="N7677" s="1">
        <v>39722</v>
      </c>
    </row>
    <row r="7678" spans="11:14" x14ac:dyDescent="0.3">
      <c r="K7678" s="1">
        <v>40087</v>
      </c>
      <c r="M7678" t="e">
        <v>#N/A</v>
      </c>
      <c r="N7678" s="1">
        <v>39722</v>
      </c>
    </row>
    <row r="7679" spans="11:14" x14ac:dyDescent="0.3">
      <c r="K7679" s="1">
        <v>40087</v>
      </c>
      <c r="M7679" t="e">
        <v>#N/A</v>
      </c>
      <c r="N7679" s="1">
        <v>39722</v>
      </c>
    </row>
    <row r="7680" spans="11:14" x14ac:dyDescent="0.3">
      <c r="K7680" s="1">
        <v>40087</v>
      </c>
      <c r="M7680" t="e">
        <v>#N/A</v>
      </c>
      <c r="N7680" s="1">
        <v>39722</v>
      </c>
    </row>
    <row r="7681" spans="11:14" x14ac:dyDescent="0.3">
      <c r="K7681" s="1">
        <v>40087</v>
      </c>
      <c r="M7681" t="e">
        <v>#N/A</v>
      </c>
      <c r="N7681" s="1">
        <v>39722</v>
      </c>
    </row>
    <row r="7682" spans="11:14" x14ac:dyDescent="0.3">
      <c r="K7682" s="1">
        <v>40087</v>
      </c>
      <c r="M7682" t="e">
        <v>#N/A</v>
      </c>
      <c r="N7682" s="1">
        <v>39722</v>
      </c>
    </row>
    <row r="7683" spans="11:14" x14ac:dyDescent="0.3">
      <c r="K7683" s="1">
        <v>40087</v>
      </c>
      <c r="M7683" t="e">
        <v>#N/A</v>
      </c>
      <c r="N7683" s="1">
        <v>39722</v>
      </c>
    </row>
    <row r="7684" spans="11:14" x14ac:dyDescent="0.3">
      <c r="K7684" s="1">
        <v>40087</v>
      </c>
      <c r="M7684" t="e">
        <v>#N/A</v>
      </c>
      <c r="N7684" s="1">
        <v>39722</v>
      </c>
    </row>
    <row r="7685" spans="11:14" x14ac:dyDescent="0.3">
      <c r="K7685" s="1">
        <v>40087</v>
      </c>
      <c r="M7685" t="e">
        <v>#N/A</v>
      </c>
      <c r="N7685" s="1">
        <v>39722</v>
      </c>
    </row>
    <row r="7686" spans="11:14" x14ac:dyDescent="0.3">
      <c r="K7686" s="1">
        <v>40087</v>
      </c>
      <c r="M7686" t="e">
        <v>#N/A</v>
      </c>
      <c r="N7686" s="1">
        <v>39722</v>
      </c>
    </row>
    <row r="7687" spans="11:14" x14ac:dyDescent="0.3">
      <c r="K7687" s="1">
        <v>40087</v>
      </c>
      <c r="M7687" t="e">
        <v>#N/A</v>
      </c>
      <c r="N7687" s="1">
        <v>39722</v>
      </c>
    </row>
    <row r="7688" spans="11:14" x14ac:dyDescent="0.3">
      <c r="K7688" s="1">
        <v>40087</v>
      </c>
      <c r="M7688" t="e">
        <v>#N/A</v>
      </c>
      <c r="N7688" s="1">
        <v>39722</v>
      </c>
    </row>
    <row r="7689" spans="11:14" x14ac:dyDescent="0.3">
      <c r="K7689" s="1">
        <v>40087</v>
      </c>
      <c r="M7689" t="e">
        <v>#N/A</v>
      </c>
      <c r="N7689" s="1">
        <v>39722</v>
      </c>
    </row>
    <row r="7690" spans="11:14" x14ac:dyDescent="0.3">
      <c r="K7690" s="1">
        <v>40087</v>
      </c>
      <c r="M7690" t="e">
        <v>#N/A</v>
      </c>
      <c r="N7690" s="1">
        <v>39722</v>
      </c>
    </row>
    <row r="7691" spans="11:14" x14ac:dyDescent="0.3">
      <c r="K7691" s="1">
        <v>40087</v>
      </c>
      <c r="M7691" t="e">
        <v>#N/A</v>
      </c>
      <c r="N7691" s="1">
        <v>39722</v>
      </c>
    </row>
    <row r="7692" spans="11:14" x14ac:dyDescent="0.3">
      <c r="K7692" s="1">
        <v>40087</v>
      </c>
      <c r="M7692" t="e">
        <v>#N/A</v>
      </c>
      <c r="N7692" s="1">
        <v>39722</v>
      </c>
    </row>
    <row r="7693" spans="11:14" x14ac:dyDescent="0.3">
      <c r="K7693" s="1">
        <v>40087</v>
      </c>
      <c r="M7693" t="e">
        <v>#N/A</v>
      </c>
      <c r="N7693" s="1">
        <v>39722</v>
      </c>
    </row>
    <row r="7694" spans="11:14" x14ac:dyDescent="0.3">
      <c r="K7694" s="1">
        <v>40087</v>
      </c>
      <c r="M7694" t="e">
        <v>#N/A</v>
      </c>
      <c r="N7694" s="1">
        <v>39722</v>
      </c>
    </row>
    <row r="7695" spans="11:14" x14ac:dyDescent="0.3">
      <c r="K7695" s="1">
        <v>40087</v>
      </c>
      <c r="M7695" t="e">
        <v>#N/A</v>
      </c>
      <c r="N7695" s="1">
        <v>39722</v>
      </c>
    </row>
    <row r="7696" spans="11:14" x14ac:dyDescent="0.3">
      <c r="K7696" s="1">
        <v>40087</v>
      </c>
      <c r="M7696" t="e">
        <v>#N/A</v>
      </c>
      <c r="N7696" s="1">
        <v>39722</v>
      </c>
    </row>
    <row r="7697" spans="11:14" x14ac:dyDescent="0.3">
      <c r="K7697" s="1">
        <v>40087</v>
      </c>
      <c r="M7697" t="e">
        <v>#N/A</v>
      </c>
      <c r="N7697" s="1">
        <v>39722</v>
      </c>
    </row>
    <row r="7698" spans="11:14" x14ac:dyDescent="0.3">
      <c r="K7698" s="1">
        <v>40087</v>
      </c>
      <c r="M7698" t="e">
        <v>#N/A</v>
      </c>
      <c r="N7698" s="1">
        <v>39722</v>
      </c>
    </row>
    <row r="7699" spans="11:14" x14ac:dyDescent="0.3">
      <c r="K7699" s="1">
        <v>40087</v>
      </c>
      <c r="M7699" t="e">
        <v>#N/A</v>
      </c>
      <c r="N7699" s="1">
        <v>39722</v>
      </c>
    </row>
    <row r="7700" spans="11:14" x14ac:dyDescent="0.3">
      <c r="K7700" s="1">
        <v>40087</v>
      </c>
      <c r="M7700" t="e">
        <v>#N/A</v>
      </c>
      <c r="N7700" s="1">
        <v>39722</v>
      </c>
    </row>
    <row r="7701" spans="11:14" x14ac:dyDescent="0.3">
      <c r="K7701" s="1">
        <v>40087</v>
      </c>
      <c r="M7701" t="e">
        <v>#N/A</v>
      </c>
      <c r="N7701" s="1">
        <v>39722</v>
      </c>
    </row>
    <row r="7702" spans="11:14" x14ac:dyDescent="0.3">
      <c r="K7702" s="1">
        <v>40087</v>
      </c>
      <c r="M7702" t="e">
        <v>#N/A</v>
      </c>
      <c r="N7702" s="1">
        <v>39722</v>
      </c>
    </row>
    <row r="7703" spans="11:14" x14ac:dyDescent="0.3">
      <c r="K7703" s="1">
        <v>40087</v>
      </c>
      <c r="M7703" t="e">
        <v>#N/A</v>
      </c>
      <c r="N7703" s="1">
        <v>39722</v>
      </c>
    </row>
    <row r="7704" spans="11:14" x14ac:dyDescent="0.3">
      <c r="K7704" s="1">
        <v>40087</v>
      </c>
      <c r="M7704" t="e">
        <v>#N/A</v>
      </c>
      <c r="N7704" s="1">
        <v>39722</v>
      </c>
    </row>
    <row r="7705" spans="11:14" x14ac:dyDescent="0.3">
      <c r="K7705" s="1">
        <v>40087</v>
      </c>
      <c r="M7705" t="e">
        <v>#N/A</v>
      </c>
      <c r="N7705" s="1">
        <v>39722</v>
      </c>
    </row>
    <row r="7706" spans="11:14" x14ac:dyDescent="0.3">
      <c r="K7706" s="1">
        <v>40087</v>
      </c>
      <c r="M7706" t="e">
        <v>#N/A</v>
      </c>
      <c r="N7706" s="1">
        <v>39722</v>
      </c>
    </row>
    <row r="7707" spans="11:14" x14ac:dyDescent="0.3">
      <c r="K7707" s="1">
        <v>40087</v>
      </c>
      <c r="M7707" t="e">
        <v>#N/A</v>
      </c>
      <c r="N7707" s="1">
        <v>39722</v>
      </c>
    </row>
    <row r="7708" spans="11:14" x14ac:dyDescent="0.3">
      <c r="K7708" s="1">
        <v>40087</v>
      </c>
      <c r="M7708" t="e">
        <v>#N/A</v>
      </c>
      <c r="N7708" s="1">
        <v>39722</v>
      </c>
    </row>
    <row r="7709" spans="11:14" x14ac:dyDescent="0.3">
      <c r="K7709" s="1">
        <v>40087</v>
      </c>
      <c r="M7709" t="e">
        <v>#N/A</v>
      </c>
      <c r="N7709" s="1">
        <v>39722</v>
      </c>
    </row>
    <row r="7710" spans="11:14" x14ac:dyDescent="0.3">
      <c r="K7710" s="1">
        <v>40087</v>
      </c>
      <c r="M7710" t="e">
        <v>#N/A</v>
      </c>
      <c r="N7710" s="1">
        <v>39722</v>
      </c>
    </row>
    <row r="7711" spans="11:14" x14ac:dyDescent="0.3">
      <c r="K7711" s="1">
        <v>40087</v>
      </c>
      <c r="M7711" t="e">
        <v>#N/A</v>
      </c>
      <c r="N7711" s="1">
        <v>39722</v>
      </c>
    </row>
    <row r="7712" spans="11:14" x14ac:dyDescent="0.3">
      <c r="K7712" s="1">
        <v>40087</v>
      </c>
      <c r="M7712" t="e">
        <v>#N/A</v>
      </c>
      <c r="N7712" s="1">
        <v>39722</v>
      </c>
    </row>
    <row r="7713" spans="11:14" x14ac:dyDescent="0.3">
      <c r="K7713" s="1">
        <v>40087</v>
      </c>
      <c r="M7713" t="e">
        <v>#N/A</v>
      </c>
      <c r="N7713" s="1">
        <v>39722</v>
      </c>
    </row>
    <row r="7714" spans="11:14" x14ac:dyDescent="0.3">
      <c r="K7714" s="1">
        <v>40087</v>
      </c>
      <c r="M7714" t="e">
        <v>#N/A</v>
      </c>
      <c r="N7714" s="1">
        <v>39722</v>
      </c>
    </row>
    <row r="7715" spans="11:14" x14ac:dyDescent="0.3">
      <c r="K7715" s="1">
        <v>40087</v>
      </c>
      <c r="M7715" t="e">
        <v>#N/A</v>
      </c>
      <c r="N7715" s="1">
        <v>39722</v>
      </c>
    </row>
    <row r="7716" spans="11:14" x14ac:dyDescent="0.3">
      <c r="K7716" s="1">
        <v>40087</v>
      </c>
      <c r="M7716" t="e">
        <v>#N/A</v>
      </c>
      <c r="N7716" s="1">
        <v>39722</v>
      </c>
    </row>
    <row r="7717" spans="11:14" x14ac:dyDescent="0.3">
      <c r="K7717" s="1">
        <v>40087</v>
      </c>
      <c r="M7717" t="e">
        <v>#N/A</v>
      </c>
      <c r="N7717" s="1">
        <v>39722</v>
      </c>
    </row>
    <row r="7718" spans="11:14" x14ac:dyDescent="0.3">
      <c r="K7718" s="1">
        <v>40087</v>
      </c>
      <c r="M7718" t="e">
        <v>#N/A</v>
      </c>
      <c r="N7718" s="1">
        <v>39722</v>
      </c>
    </row>
    <row r="7719" spans="11:14" x14ac:dyDescent="0.3">
      <c r="K7719" s="1">
        <v>40087</v>
      </c>
      <c r="M7719" t="e">
        <v>#N/A</v>
      </c>
      <c r="N7719" s="1">
        <v>39722</v>
      </c>
    </row>
    <row r="7720" spans="11:14" x14ac:dyDescent="0.3">
      <c r="K7720" s="1">
        <v>40087</v>
      </c>
      <c r="M7720" t="e">
        <v>#N/A</v>
      </c>
      <c r="N7720" s="1">
        <v>39722</v>
      </c>
    </row>
    <row r="7721" spans="11:14" x14ac:dyDescent="0.3">
      <c r="K7721" s="1">
        <v>40087</v>
      </c>
      <c r="M7721" t="e">
        <v>#N/A</v>
      </c>
      <c r="N7721" s="1">
        <v>39722</v>
      </c>
    </row>
    <row r="7722" spans="11:14" x14ac:dyDescent="0.3">
      <c r="K7722" s="1">
        <v>40087</v>
      </c>
      <c r="M7722" t="e">
        <v>#N/A</v>
      </c>
      <c r="N7722" s="1">
        <v>39722</v>
      </c>
    </row>
    <row r="7723" spans="11:14" x14ac:dyDescent="0.3">
      <c r="K7723" s="1">
        <v>40087</v>
      </c>
      <c r="M7723" t="e">
        <v>#N/A</v>
      </c>
      <c r="N7723" s="1">
        <v>39722</v>
      </c>
    </row>
    <row r="7724" spans="11:14" x14ac:dyDescent="0.3">
      <c r="K7724" s="1">
        <v>40087</v>
      </c>
      <c r="M7724" t="e">
        <v>#N/A</v>
      </c>
      <c r="N7724" s="1">
        <v>39722</v>
      </c>
    </row>
    <row r="7725" spans="11:14" x14ac:dyDescent="0.3">
      <c r="K7725" s="1">
        <v>40087</v>
      </c>
      <c r="M7725" t="e">
        <v>#N/A</v>
      </c>
      <c r="N7725" s="1">
        <v>39722</v>
      </c>
    </row>
    <row r="7726" spans="11:14" x14ac:dyDescent="0.3">
      <c r="K7726" s="1">
        <v>40087</v>
      </c>
      <c r="M7726" t="e">
        <v>#N/A</v>
      </c>
      <c r="N7726" s="1">
        <v>39722</v>
      </c>
    </row>
    <row r="7727" spans="11:14" x14ac:dyDescent="0.3">
      <c r="K7727" s="1">
        <v>40087</v>
      </c>
      <c r="M7727" t="e">
        <v>#N/A</v>
      </c>
      <c r="N7727" s="1">
        <v>39722</v>
      </c>
    </row>
    <row r="7728" spans="11:14" x14ac:dyDescent="0.3">
      <c r="K7728" s="1">
        <v>40087</v>
      </c>
      <c r="M7728" t="e">
        <v>#N/A</v>
      </c>
      <c r="N7728" s="1">
        <v>39722</v>
      </c>
    </row>
    <row r="7729" spans="11:14" x14ac:dyDescent="0.3">
      <c r="K7729" s="1">
        <v>40087</v>
      </c>
      <c r="M7729" t="e">
        <v>#N/A</v>
      </c>
      <c r="N7729" s="1">
        <v>39722</v>
      </c>
    </row>
    <row r="7730" spans="11:14" x14ac:dyDescent="0.3">
      <c r="K7730" s="1">
        <v>40087</v>
      </c>
      <c r="M7730" t="e">
        <v>#N/A</v>
      </c>
      <c r="N7730" s="1">
        <v>39722</v>
      </c>
    </row>
    <row r="7731" spans="11:14" x14ac:dyDescent="0.3">
      <c r="K7731" s="1">
        <v>40087</v>
      </c>
      <c r="M7731" t="e">
        <v>#N/A</v>
      </c>
      <c r="N7731" s="1">
        <v>39722</v>
      </c>
    </row>
    <row r="7732" spans="11:14" x14ac:dyDescent="0.3">
      <c r="K7732" s="1">
        <v>40087</v>
      </c>
      <c r="M7732" t="e">
        <v>#N/A</v>
      </c>
      <c r="N7732" s="1">
        <v>39722</v>
      </c>
    </row>
    <row r="7733" spans="11:14" x14ac:dyDescent="0.3">
      <c r="K7733" s="1">
        <v>40087</v>
      </c>
      <c r="M7733" t="e">
        <v>#N/A</v>
      </c>
      <c r="N7733" s="1">
        <v>39722</v>
      </c>
    </row>
    <row r="7734" spans="11:14" x14ac:dyDescent="0.3">
      <c r="K7734" s="1">
        <v>40087</v>
      </c>
      <c r="M7734" t="e">
        <v>#N/A</v>
      </c>
      <c r="N7734" s="1">
        <v>39722</v>
      </c>
    </row>
    <row r="7735" spans="11:14" x14ac:dyDescent="0.3">
      <c r="K7735" s="1">
        <v>40087</v>
      </c>
      <c r="M7735" t="e">
        <v>#N/A</v>
      </c>
      <c r="N7735" s="1">
        <v>39722</v>
      </c>
    </row>
    <row r="7736" spans="11:14" x14ac:dyDescent="0.3">
      <c r="K7736" s="1">
        <v>40087</v>
      </c>
      <c r="M7736" t="e">
        <v>#N/A</v>
      </c>
      <c r="N7736" s="1">
        <v>39722</v>
      </c>
    </row>
    <row r="7737" spans="11:14" x14ac:dyDescent="0.3">
      <c r="K7737" s="1">
        <v>40087</v>
      </c>
      <c r="M7737" t="e">
        <v>#N/A</v>
      </c>
      <c r="N7737" s="1">
        <v>39722</v>
      </c>
    </row>
    <row r="7738" spans="11:14" x14ac:dyDescent="0.3">
      <c r="K7738" s="1">
        <v>40087</v>
      </c>
      <c r="M7738" t="e">
        <v>#N/A</v>
      </c>
      <c r="N7738" s="1">
        <v>39722</v>
      </c>
    </row>
    <row r="7739" spans="11:14" x14ac:dyDescent="0.3">
      <c r="K7739" s="1">
        <v>40087</v>
      </c>
      <c r="M7739" t="e">
        <v>#N/A</v>
      </c>
      <c r="N7739" s="1">
        <v>39722</v>
      </c>
    </row>
    <row r="7740" spans="11:14" x14ac:dyDescent="0.3">
      <c r="K7740" s="1">
        <v>40087</v>
      </c>
      <c r="M7740" t="e">
        <v>#N/A</v>
      </c>
      <c r="N7740" s="1">
        <v>39722</v>
      </c>
    </row>
    <row r="7741" spans="11:14" x14ac:dyDescent="0.3">
      <c r="K7741" s="1">
        <v>40087</v>
      </c>
      <c r="M7741" t="e">
        <v>#N/A</v>
      </c>
      <c r="N7741" s="1">
        <v>39722</v>
      </c>
    </row>
    <row r="7742" spans="11:14" x14ac:dyDescent="0.3">
      <c r="K7742" s="1">
        <v>40087</v>
      </c>
      <c r="M7742" t="e">
        <v>#N/A</v>
      </c>
      <c r="N7742" s="1">
        <v>39722</v>
      </c>
    </row>
    <row r="7743" spans="11:14" x14ac:dyDescent="0.3">
      <c r="K7743" s="1">
        <v>40087</v>
      </c>
      <c r="M7743" t="e">
        <v>#N/A</v>
      </c>
      <c r="N7743" s="1">
        <v>39722</v>
      </c>
    </row>
    <row r="7744" spans="11:14" x14ac:dyDescent="0.3">
      <c r="K7744" s="1">
        <v>40087</v>
      </c>
      <c r="M7744" t="e">
        <v>#N/A</v>
      </c>
      <c r="N7744" s="1">
        <v>39722</v>
      </c>
    </row>
    <row r="7745" spans="11:14" x14ac:dyDescent="0.3">
      <c r="K7745" s="1">
        <v>40087</v>
      </c>
      <c r="M7745" t="e">
        <v>#N/A</v>
      </c>
      <c r="N7745" s="1">
        <v>39722</v>
      </c>
    </row>
    <row r="7746" spans="11:14" x14ac:dyDescent="0.3">
      <c r="K7746" s="1">
        <v>40087</v>
      </c>
      <c r="M7746" t="e">
        <v>#N/A</v>
      </c>
      <c r="N7746" s="1">
        <v>39722</v>
      </c>
    </row>
    <row r="7747" spans="11:14" x14ac:dyDescent="0.3">
      <c r="K7747" s="1">
        <v>40087</v>
      </c>
      <c r="M7747" t="e">
        <v>#N/A</v>
      </c>
      <c r="N7747" s="1">
        <v>39722</v>
      </c>
    </row>
    <row r="7748" spans="11:14" x14ac:dyDescent="0.3">
      <c r="K7748" s="1">
        <v>40087</v>
      </c>
      <c r="M7748" t="e">
        <v>#N/A</v>
      </c>
      <c r="N7748" s="1">
        <v>39722</v>
      </c>
    </row>
    <row r="7749" spans="11:14" x14ac:dyDescent="0.3">
      <c r="K7749" s="1">
        <v>40087</v>
      </c>
      <c r="M7749" t="e">
        <v>#N/A</v>
      </c>
      <c r="N7749" s="1">
        <v>39722</v>
      </c>
    </row>
    <row r="7750" spans="11:14" x14ac:dyDescent="0.3">
      <c r="K7750" s="1">
        <v>40087</v>
      </c>
      <c r="M7750" t="e">
        <v>#N/A</v>
      </c>
      <c r="N7750" s="1">
        <v>39722</v>
      </c>
    </row>
    <row r="7751" spans="11:14" x14ac:dyDescent="0.3">
      <c r="K7751" s="1">
        <v>40087</v>
      </c>
      <c r="M7751" t="e">
        <v>#N/A</v>
      </c>
      <c r="N7751" s="1">
        <v>39722</v>
      </c>
    </row>
    <row r="7752" spans="11:14" x14ac:dyDescent="0.3">
      <c r="K7752" s="1">
        <v>40087</v>
      </c>
      <c r="M7752" t="e">
        <v>#N/A</v>
      </c>
      <c r="N7752" s="1">
        <v>39722</v>
      </c>
    </row>
    <row r="7753" spans="11:14" x14ac:dyDescent="0.3">
      <c r="K7753" s="1">
        <v>40087</v>
      </c>
      <c r="M7753" t="e">
        <v>#N/A</v>
      </c>
      <c r="N7753" s="1">
        <v>39722</v>
      </c>
    </row>
    <row r="7754" spans="11:14" x14ac:dyDescent="0.3">
      <c r="K7754" s="1">
        <v>40087</v>
      </c>
      <c r="M7754" t="e">
        <v>#N/A</v>
      </c>
      <c r="N7754" s="1">
        <v>39722</v>
      </c>
    </row>
    <row r="7755" spans="11:14" x14ac:dyDescent="0.3">
      <c r="K7755" s="1">
        <v>40087</v>
      </c>
      <c r="M7755" t="e">
        <v>#N/A</v>
      </c>
      <c r="N7755" s="1">
        <v>39722</v>
      </c>
    </row>
    <row r="7756" spans="11:14" x14ac:dyDescent="0.3">
      <c r="K7756" s="1">
        <v>40087</v>
      </c>
      <c r="M7756" t="e">
        <v>#N/A</v>
      </c>
      <c r="N7756" s="1">
        <v>39722</v>
      </c>
    </row>
    <row r="7757" spans="11:14" x14ac:dyDescent="0.3">
      <c r="K7757" s="1">
        <v>40087</v>
      </c>
      <c r="M7757" t="e">
        <v>#N/A</v>
      </c>
      <c r="N7757" s="1">
        <v>39722</v>
      </c>
    </row>
    <row r="7758" spans="11:14" x14ac:dyDescent="0.3">
      <c r="K7758" s="1">
        <v>40087</v>
      </c>
      <c r="M7758" t="e">
        <v>#N/A</v>
      </c>
      <c r="N7758" s="1">
        <v>39722</v>
      </c>
    </row>
    <row r="7759" spans="11:14" x14ac:dyDescent="0.3">
      <c r="K7759" s="1">
        <v>40087</v>
      </c>
      <c r="M7759" t="e">
        <v>#N/A</v>
      </c>
      <c r="N7759" s="1">
        <v>39722</v>
      </c>
    </row>
    <row r="7760" spans="11:14" x14ac:dyDescent="0.3">
      <c r="K7760" s="1">
        <v>40087</v>
      </c>
      <c r="M7760" t="e">
        <v>#N/A</v>
      </c>
      <c r="N7760" s="1">
        <v>39722</v>
      </c>
    </row>
    <row r="7761" spans="11:14" x14ac:dyDescent="0.3">
      <c r="K7761" s="1">
        <v>40087</v>
      </c>
      <c r="M7761" t="e">
        <v>#N/A</v>
      </c>
      <c r="N7761" s="1">
        <v>39722</v>
      </c>
    </row>
    <row r="7762" spans="11:14" x14ac:dyDescent="0.3">
      <c r="K7762" s="1">
        <v>40087</v>
      </c>
      <c r="M7762" t="e">
        <v>#N/A</v>
      </c>
      <c r="N7762" s="1">
        <v>39722</v>
      </c>
    </row>
    <row r="7763" spans="11:14" x14ac:dyDescent="0.3">
      <c r="K7763" s="1">
        <v>40087</v>
      </c>
      <c r="M7763" t="e">
        <v>#N/A</v>
      </c>
      <c r="N7763" s="1">
        <v>39722</v>
      </c>
    </row>
    <row r="7764" spans="11:14" x14ac:dyDescent="0.3">
      <c r="K7764" s="1">
        <v>40087</v>
      </c>
      <c r="M7764" t="e">
        <v>#N/A</v>
      </c>
      <c r="N7764" s="1">
        <v>39722</v>
      </c>
    </row>
    <row r="7765" spans="11:14" x14ac:dyDescent="0.3">
      <c r="K7765" s="1">
        <v>40179</v>
      </c>
      <c r="M7765" t="e">
        <v>#N/A</v>
      </c>
      <c r="N7765" s="1">
        <v>39722</v>
      </c>
    </row>
    <row r="7766" spans="11:14" x14ac:dyDescent="0.3">
      <c r="K7766" s="1">
        <v>40179</v>
      </c>
      <c r="M7766" t="e">
        <v>#N/A</v>
      </c>
      <c r="N7766" s="1">
        <v>39722</v>
      </c>
    </row>
    <row r="7767" spans="11:14" x14ac:dyDescent="0.3">
      <c r="K7767" s="1">
        <v>40179</v>
      </c>
      <c r="M7767" t="e">
        <v>#N/A</v>
      </c>
      <c r="N7767" s="1">
        <v>39722</v>
      </c>
    </row>
    <row r="7768" spans="11:14" x14ac:dyDescent="0.3">
      <c r="K7768" s="1">
        <v>40179</v>
      </c>
      <c r="M7768" t="e">
        <v>#N/A</v>
      </c>
      <c r="N7768" s="1">
        <v>39722</v>
      </c>
    </row>
    <row r="7769" spans="11:14" x14ac:dyDescent="0.3">
      <c r="K7769" s="1">
        <v>40179</v>
      </c>
      <c r="M7769" t="e">
        <v>#N/A</v>
      </c>
      <c r="N7769" s="1">
        <v>39722</v>
      </c>
    </row>
    <row r="7770" spans="11:14" x14ac:dyDescent="0.3">
      <c r="K7770" s="1">
        <v>40179</v>
      </c>
      <c r="M7770" t="e">
        <v>#N/A</v>
      </c>
      <c r="N7770" s="1">
        <v>39722</v>
      </c>
    </row>
    <row r="7771" spans="11:14" x14ac:dyDescent="0.3">
      <c r="K7771" s="1">
        <v>40179</v>
      </c>
      <c r="M7771" t="e">
        <v>#N/A</v>
      </c>
      <c r="N7771" s="1">
        <v>39722</v>
      </c>
    </row>
    <row r="7772" spans="11:14" x14ac:dyDescent="0.3">
      <c r="K7772" s="1">
        <v>40179</v>
      </c>
      <c r="M7772" t="e">
        <v>#N/A</v>
      </c>
      <c r="N7772" s="1">
        <v>39722</v>
      </c>
    </row>
    <row r="7773" spans="11:14" x14ac:dyDescent="0.3">
      <c r="K7773" s="1">
        <v>40179</v>
      </c>
      <c r="M7773" t="e">
        <v>#N/A</v>
      </c>
      <c r="N7773" s="1">
        <v>39722</v>
      </c>
    </row>
    <row r="7774" spans="11:14" x14ac:dyDescent="0.3">
      <c r="K7774" s="1">
        <v>40179</v>
      </c>
      <c r="M7774" t="e">
        <v>#N/A</v>
      </c>
      <c r="N7774" s="1">
        <v>39722</v>
      </c>
    </row>
    <row r="7775" spans="11:14" x14ac:dyDescent="0.3">
      <c r="K7775" s="1">
        <v>40179</v>
      </c>
      <c r="M7775" t="e">
        <v>#N/A</v>
      </c>
      <c r="N7775" s="1">
        <v>39722</v>
      </c>
    </row>
    <row r="7776" spans="11:14" x14ac:dyDescent="0.3">
      <c r="K7776" s="1">
        <v>40179</v>
      </c>
      <c r="M7776" t="e">
        <v>#N/A</v>
      </c>
      <c r="N7776" s="1">
        <v>39722</v>
      </c>
    </row>
    <row r="7777" spans="11:14" x14ac:dyDescent="0.3">
      <c r="K7777" s="1">
        <v>40179</v>
      </c>
      <c r="M7777" t="e">
        <v>#N/A</v>
      </c>
      <c r="N7777" s="1">
        <v>39722</v>
      </c>
    </row>
    <row r="7778" spans="11:14" x14ac:dyDescent="0.3">
      <c r="K7778" s="1">
        <v>40179</v>
      </c>
      <c r="M7778" t="e">
        <v>#N/A</v>
      </c>
      <c r="N7778" s="1">
        <v>39722</v>
      </c>
    </row>
    <row r="7779" spans="11:14" x14ac:dyDescent="0.3">
      <c r="K7779" s="1">
        <v>40179</v>
      </c>
      <c r="M7779" t="e">
        <v>#N/A</v>
      </c>
      <c r="N7779" s="1">
        <v>39722</v>
      </c>
    </row>
    <row r="7780" spans="11:14" x14ac:dyDescent="0.3">
      <c r="K7780" s="1">
        <v>40179</v>
      </c>
      <c r="M7780" t="e">
        <v>#N/A</v>
      </c>
      <c r="N7780" s="1">
        <v>39722</v>
      </c>
    </row>
    <row r="7781" spans="11:14" x14ac:dyDescent="0.3">
      <c r="K7781" s="1">
        <v>40179</v>
      </c>
      <c r="M7781" t="e">
        <v>#N/A</v>
      </c>
      <c r="N7781" s="1">
        <v>39722</v>
      </c>
    </row>
    <row r="7782" spans="11:14" x14ac:dyDescent="0.3">
      <c r="K7782" s="1">
        <v>40179</v>
      </c>
      <c r="M7782" t="e">
        <v>#N/A</v>
      </c>
      <c r="N7782" s="1">
        <v>39722</v>
      </c>
    </row>
    <row r="7783" spans="11:14" x14ac:dyDescent="0.3">
      <c r="K7783" s="1">
        <v>40179</v>
      </c>
      <c r="M7783" t="e">
        <v>#N/A</v>
      </c>
      <c r="N7783" s="1">
        <v>39722</v>
      </c>
    </row>
    <row r="7784" spans="11:14" x14ac:dyDescent="0.3">
      <c r="K7784" s="1">
        <v>40179</v>
      </c>
      <c r="M7784" t="e">
        <v>#N/A</v>
      </c>
      <c r="N7784" s="1">
        <v>39722</v>
      </c>
    </row>
    <row r="7785" spans="11:14" x14ac:dyDescent="0.3">
      <c r="K7785" s="1">
        <v>40179</v>
      </c>
      <c r="M7785" t="e">
        <v>#N/A</v>
      </c>
      <c r="N7785" s="1">
        <v>39722</v>
      </c>
    </row>
    <row r="7786" spans="11:14" x14ac:dyDescent="0.3">
      <c r="K7786" s="1">
        <v>40179</v>
      </c>
      <c r="M7786" t="e">
        <v>#N/A</v>
      </c>
      <c r="N7786" s="1">
        <v>39722</v>
      </c>
    </row>
    <row r="7787" spans="11:14" x14ac:dyDescent="0.3">
      <c r="K7787" s="1">
        <v>40179</v>
      </c>
      <c r="M7787" t="e">
        <v>#N/A</v>
      </c>
      <c r="N7787" s="1">
        <v>39722</v>
      </c>
    </row>
    <row r="7788" spans="11:14" x14ac:dyDescent="0.3">
      <c r="K7788" s="1">
        <v>40179</v>
      </c>
      <c r="M7788" t="e">
        <v>#N/A</v>
      </c>
      <c r="N7788" s="1">
        <v>39722</v>
      </c>
    </row>
    <row r="7789" spans="11:14" x14ac:dyDescent="0.3">
      <c r="K7789" s="1">
        <v>40179</v>
      </c>
      <c r="M7789" t="e">
        <v>#N/A</v>
      </c>
      <c r="N7789" s="1">
        <v>39722</v>
      </c>
    </row>
    <row r="7790" spans="11:14" x14ac:dyDescent="0.3">
      <c r="K7790" s="1">
        <v>40179</v>
      </c>
      <c r="M7790" t="e">
        <v>#N/A</v>
      </c>
      <c r="N7790" s="1">
        <v>39722</v>
      </c>
    </row>
    <row r="7791" spans="11:14" x14ac:dyDescent="0.3">
      <c r="K7791" s="1">
        <v>40179</v>
      </c>
      <c r="M7791" t="e">
        <v>#N/A</v>
      </c>
      <c r="N7791" s="1">
        <v>39722</v>
      </c>
    </row>
    <row r="7792" spans="11:14" x14ac:dyDescent="0.3">
      <c r="K7792" s="1">
        <v>40179</v>
      </c>
      <c r="M7792" t="e">
        <v>#N/A</v>
      </c>
      <c r="N7792" s="1">
        <v>39722</v>
      </c>
    </row>
    <row r="7793" spans="11:14" x14ac:dyDescent="0.3">
      <c r="K7793" s="1">
        <v>40179</v>
      </c>
      <c r="M7793" t="e">
        <v>#N/A</v>
      </c>
      <c r="N7793" s="1">
        <v>39722</v>
      </c>
    </row>
    <row r="7794" spans="11:14" x14ac:dyDescent="0.3">
      <c r="K7794" s="1">
        <v>40179</v>
      </c>
      <c r="M7794" t="e">
        <v>#N/A</v>
      </c>
      <c r="N7794" s="1">
        <v>39722</v>
      </c>
    </row>
    <row r="7795" spans="11:14" x14ac:dyDescent="0.3">
      <c r="K7795" s="1">
        <v>40179</v>
      </c>
      <c r="M7795" t="e">
        <v>#N/A</v>
      </c>
      <c r="N7795" s="1">
        <v>39722</v>
      </c>
    </row>
    <row r="7796" spans="11:14" x14ac:dyDescent="0.3">
      <c r="K7796" s="1">
        <v>40179</v>
      </c>
      <c r="M7796" t="e">
        <v>#N/A</v>
      </c>
      <c r="N7796" s="1">
        <v>39722</v>
      </c>
    </row>
    <row r="7797" spans="11:14" x14ac:dyDescent="0.3">
      <c r="K7797" s="1">
        <v>40179</v>
      </c>
      <c r="M7797" t="e">
        <v>#N/A</v>
      </c>
      <c r="N7797" s="1">
        <v>39722</v>
      </c>
    </row>
    <row r="7798" spans="11:14" x14ac:dyDescent="0.3">
      <c r="K7798" s="1">
        <v>40179</v>
      </c>
      <c r="M7798" t="e">
        <v>#N/A</v>
      </c>
      <c r="N7798" s="1">
        <v>39722</v>
      </c>
    </row>
    <row r="7799" spans="11:14" x14ac:dyDescent="0.3">
      <c r="K7799" s="1">
        <v>40179</v>
      </c>
      <c r="M7799" t="e">
        <v>#N/A</v>
      </c>
      <c r="N7799" s="1">
        <v>39722</v>
      </c>
    </row>
    <row r="7800" spans="11:14" x14ac:dyDescent="0.3">
      <c r="K7800" s="1">
        <v>40179</v>
      </c>
      <c r="M7800" t="e">
        <v>#N/A</v>
      </c>
      <c r="N7800" s="1">
        <v>39722</v>
      </c>
    </row>
    <row r="7801" spans="11:14" x14ac:dyDescent="0.3">
      <c r="K7801" s="1">
        <v>40179</v>
      </c>
      <c r="M7801" t="e">
        <v>#N/A</v>
      </c>
      <c r="N7801" s="1">
        <v>39722</v>
      </c>
    </row>
    <row r="7802" spans="11:14" x14ac:dyDescent="0.3">
      <c r="K7802" s="1">
        <v>40179</v>
      </c>
      <c r="M7802" t="e">
        <v>#N/A</v>
      </c>
      <c r="N7802" s="1">
        <v>39722</v>
      </c>
    </row>
    <row r="7803" spans="11:14" x14ac:dyDescent="0.3">
      <c r="K7803" s="1">
        <v>40179</v>
      </c>
      <c r="M7803" t="e">
        <v>#N/A</v>
      </c>
      <c r="N7803" s="1">
        <v>39722</v>
      </c>
    </row>
    <row r="7804" spans="11:14" x14ac:dyDescent="0.3">
      <c r="K7804" s="1">
        <v>40179</v>
      </c>
      <c r="M7804" t="e">
        <v>#N/A</v>
      </c>
      <c r="N7804" s="1">
        <v>39722</v>
      </c>
    </row>
    <row r="7805" spans="11:14" x14ac:dyDescent="0.3">
      <c r="K7805" s="1">
        <v>40179</v>
      </c>
      <c r="M7805" t="e">
        <v>#N/A</v>
      </c>
      <c r="N7805" s="1">
        <v>39722</v>
      </c>
    </row>
    <row r="7806" spans="11:14" x14ac:dyDescent="0.3">
      <c r="K7806" s="1">
        <v>40179</v>
      </c>
      <c r="M7806" t="e">
        <v>#N/A</v>
      </c>
      <c r="N7806" s="1">
        <v>39722</v>
      </c>
    </row>
    <row r="7807" spans="11:14" x14ac:dyDescent="0.3">
      <c r="K7807" s="1">
        <v>40179</v>
      </c>
      <c r="M7807" t="e">
        <v>#N/A</v>
      </c>
      <c r="N7807" s="1">
        <v>39722</v>
      </c>
    </row>
    <row r="7808" spans="11:14" x14ac:dyDescent="0.3">
      <c r="K7808" s="1">
        <v>40179</v>
      </c>
      <c r="M7808" t="e">
        <v>#N/A</v>
      </c>
      <c r="N7808" s="1">
        <v>39722</v>
      </c>
    </row>
    <row r="7809" spans="11:14" x14ac:dyDescent="0.3">
      <c r="K7809" s="1">
        <v>40179</v>
      </c>
      <c r="M7809" t="e">
        <v>#N/A</v>
      </c>
      <c r="N7809" s="1">
        <v>39722</v>
      </c>
    </row>
    <row r="7810" spans="11:14" x14ac:dyDescent="0.3">
      <c r="K7810" s="1">
        <v>40179</v>
      </c>
      <c r="M7810" t="e">
        <v>#N/A</v>
      </c>
      <c r="N7810" s="1">
        <v>39722</v>
      </c>
    </row>
    <row r="7811" spans="11:14" x14ac:dyDescent="0.3">
      <c r="K7811" s="1">
        <v>40179</v>
      </c>
      <c r="M7811" t="e">
        <v>#N/A</v>
      </c>
      <c r="N7811" s="1">
        <v>39722</v>
      </c>
    </row>
    <row r="7812" spans="11:14" x14ac:dyDescent="0.3">
      <c r="K7812" s="1">
        <v>40179</v>
      </c>
      <c r="M7812" t="e">
        <v>#N/A</v>
      </c>
      <c r="N7812" s="1">
        <v>39722</v>
      </c>
    </row>
    <row r="7813" spans="11:14" x14ac:dyDescent="0.3">
      <c r="K7813" s="1">
        <v>40179</v>
      </c>
      <c r="M7813" t="e">
        <v>#N/A</v>
      </c>
      <c r="N7813" s="1">
        <v>39722</v>
      </c>
    </row>
    <row r="7814" spans="11:14" x14ac:dyDescent="0.3">
      <c r="K7814" s="1">
        <v>40179</v>
      </c>
      <c r="M7814" t="e">
        <v>#N/A</v>
      </c>
      <c r="N7814" s="1">
        <v>39722</v>
      </c>
    </row>
    <row r="7815" spans="11:14" x14ac:dyDescent="0.3">
      <c r="K7815" s="1">
        <v>40179</v>
      </c>
      <c r="M7815" t="e">
        <v>#N/A</v>
      </c>
      <c r="N7815" s="1">
        <v>39722</v>
      </c>
    </row>
    <row r="7816" spans="11:14" x14ac:dyDescent="0.3">
      <c r="K7816" s="1">
        <v>40179</v>
      </c>
      <c r="M7816" t="e">
        <v>#N/A</v>
      </c>
      <c r="N7816" s="1">
        <v>39722</v>
      </c>
    </row>
    <row r="7817" spans="11:14" x14ac:dyDescent="0.3">
      <c r="K7817" s="1">
        <v>40179</v>
      </c>
      <c r="M7817" t="e">
        <v>#N/A</v>
      </c>
      <c r="N7817" s="1">
        <v>39722</v>
      </c>
    </row>
    <row r="7818" spans="11:14" x14ac:dyDescent="0.3">
      <c r="K7818" s="1">
        <v>40179</v>
      </c>
      <c r="M7818" t="e">
        <v>#N/A</v>
      </c>
      <c r="N7818" s="1">
        <v>39722</v>
      </c>
    </row>
    <row r="7819" spans="11:14" x14ac:dyDescent="0.3">
      <c r="K7819" s="1">
        <v>40179</v>
      </c>
      <c r="M7819" t="e">
        <v>#N/A</v>
      </c>
      <c r="N7819" s="1">
        <v>39722</v>
      </c>
    </row>
    <row r="7820" spans="11:14" x14ac:dyDescent="0.3">
      <c r="K7820" s="1">
        <v>40179</v>
      </c>
      <c r="M7820" t="e">
        <v>#N/A</v>
      </c>
      <c r="N7820" s="1">
        <v>39722</v>
      </c>
    </row>
    <row r="7821" spans="11:14" x14ac:dyDescent="0.3">
      <c r="K7821" s="1">
        <v>40179</v>
      </c>
      <c r="M7821" t="e">
        <v>#N/A</v>
      </c>
      <c r="N7821" s="1">
        <v>39722</v>
      </c>
    </row>
    <row r="7822" spans="11:14" x14ac:dyDescent="0.3">
      <c r="K7822" s="1">
        <v>40179</v>
      </c>
      <c r="M7822" t="e">
        <v>#N/A</v>
      </c>
      <c r="N7822" s="1">
        <v>39722</v>
      </c>
    </row>
    <row r="7823" spans="11:14" x14ac:dyDescent="0.3">
      <c r="K7823" s="1">
        <v>40179</v>
      </c>
      <c r="M7823" t="e">
        <v>#N/A</v>
      </c>
      <c r="N7823" s="1">
        <v>39722</v>
      </c>
    </row>
    <row r="7824" spans="11:14" x14ac:dyDescent="0.3">
      <c r="K7824" s="1">
        <v>40179</v>
      </c>
      <c r="M7824" t="e">
        <v>#N/A</v>
      </c>
      <c r="N7824" s="1">
        <v>39722</v>
      </c>
    </row>
    <row r="7825" spans="11:14" x14ac:dyDescent="0.3">
      <c r="K7825" s="1">
        <v>40179</v>
      </c>
      <c r="M7825" t="e">
        <v>#N/A</v>
      </c>
      <c r="N7825" s="1">
        <v>39722</v>
      </c>
    </row>
    <row r="7826" spans="11:14" x14ac:dyDescent="0.3">
      <c r="K7826" s="1">
        <v>40179</v>
      </c>
      <c r="M7826" t="e">
        <v>#N/A</v>
      </c>
      <c r="N7826" s="1">
        <v>39722</v>
      </c>
    </row>
    <row r="7827" spans="11:14" x14ac:dyDescent="0.3">
      <c r="K7827" s="1">
        <v>40179</v>
      </c>
      <c r="M7827" t="e">
        <v>#N/A</v>
      </c>
      <c r="N7827" s="1">
        <v>39722</v>
      </c>
    </row>
    <row r="7828" spans="11:14" x14ac:dyDescent="0.3">
      <c r="K7828" s="1">
        <v>40179</v>
      </c>
      <c r="M7828" t="e">
        <v>#N/A</v>
      </c>
      <c r="N7828" s="1">
        <v>39722</v>
      </c>
    </row>
    <row r="7829" spans="11:14" x14ac:dyDescent="0.3">
      <c r="K7829" s="1">
        <v>40179</v>
      </c>
      <c r="M7829" t="e">
        <v>#N/A</v>
      </c>
      <c r="N7829" s="1">
        <v>39722</v>
      </c>
    </row>
    <row r="7830" spans="11:14" x14ac:dyDescent="0.3">
      <c r="K7830" s="1">
        <v>40179</v>
      </c>
      <c r="M7830" t="e">
        <v>#N/A</v>
      </c>
      <c r="N7830" s="1">
        <v>39722</v>
      </c>
    </row>
    <row r="7831" spans="11:14" x14ac:dyDescent="0.3">
      <c r="K7831" s="1">
        <v>40179</v>
      </c>
      <c r="M7831" t="e">
        <v>#N/A</v>
      </c>
      <c r="N7831" s="1">
        <v>39722</v>
      </c>
    </row>
    <row r="7832" spans="11:14" x14ac:dyDescent="0.3">
      <c r="K7832" s="1">
        <v>40179</v>
      </c>
      <c r="M7832" t="e">
        <v>#N/A</v>
      </c>
      <c r="N7832" s="1">
        <v>39722</v>
      </c>
    </row>
    <row r="7833" spans="11:14" x14ac:dyDescent="0.3">
      <c r="K7833" s="1">
        <v>40179</v>
      </c>
      <c r="M7833" t="e">
        <v>#N/A</v>
      </c>
      <c r="N7833" s="1">
        <v>39722</v>
      </c>
    </row>
    <row r="7834" spans="11:14" x14ac:dyDescent="0.3">
      <c r="K7834" s="1">
        <v>40179</v>
      </c>
      <c r="M7834" t="e">
        <v>#N/A</v>
      </c>
      <c r="N7834" s="1">
        <v>39722</v>
      </c>
    </row>
    <row r="7835" spans="11:14" x14ac:dyDescent="0.3">
      <c r="K7835" s="1">
        <v>40179</v>
      </c>
      <c r="M7835" t="e">
        <v>#N/A</v>
      </c>
      <c r="N7835" s="1">
        <v>39722</v>
      </c>
    </row>
    <row r="7836" spans="11:14" x14ac:dyDescent="0.3">
      <c r="K7836" s="1">
        <v>40179</v>
      </c>
      <c r="M7836" t="e">
        <v>#N/A</v>
      </c>
      <c r="N7836" s="1">
        <v>39722</v>
      </c>
    </row>
    <row r="7837" spans="11:14" x14ac:dyDescent="0.3">
      <c r="K7837" s="1">
        <v>40179</v>
      </c>
      <c r="M7837" t="e">
        <v>#N/A</v>
      </c>
      <c r="N7837" s="1">
        <v>39722</v>
      </c>
    </row>
    <row r="7838" spans="11:14" x14ac:dyDescent="0.3">
      <c r="K7838" s="1">
        <v>40179</v>
      </c>
      <c r="M7838" t="e">
        <v>#N/A</v>
      </c>
      <c r="N7838" s="1">
        <v>39722</v>
      </c>
    </row>
    <row r="7839" spans="11:14" x14ac:dyDescent="0.3">
      <c r="K7839" s="1">
        <v>40179</v>
      </c>
      <c r="M7839" t="e">
        <v>#N/A</v>
      </c>
      <c r="N7839" s="1">
        <v>39722</v>
      </c>
    </row>
    <row r="7840" spans="11:14" x14ac:dyDescent="0.3">
      <c r="K7840" s="1">
        <v>40179</v>
      </c>
      <c r="M7840" t="e">
        <v>#N/A</v>
      </c>
      <c r="N7840" s="1">
        <v>39722</v>
      </c>
    </row>
    <row r="7841" spans="11:14" x14ac:dyDescent="0.3">
      <c r="K7841" s="1">
        <v>40179</v>
      </c>
      <c r="M7841" t="e">
        <v>#N/A</v>
      </c>
      <c r="N7841" s="1">
        <v>39722</v>
      </c>
    </row>
    <row r="7842" spans="11:14" x14ac:dyDescent="0.3">
      <c r="K7842" s="1">
        <v>40179</v>
      </c>
      <c r="M7842" t="e">
        <v>#N/A</v>
      </c>
      <c r="N7842" s="1">
        <v>39722</v>
      </c>
    </row>
    <row r="7843" spans="11:14" x14ac:dyDescent="0.3">
      <c r="K7843" s="1">
        <v>40179</v>
      </c>
      <c r="M7843" t="e">
        <v>#N/A</v>
      </c>
      <c r="N7843" s="1">
        <v>39722</v>
      </c>
    </row>
    <row r="7844" spans="11:14" x14ac:dyDescent="0.3">
      <c r="K7844" s="1">
        <v>40179</v>
      </c>
      <c r="M7844" t="e">
        <v>#N/A</v>
      </c>
      <c r="N7844" s="1">
        <v>39722</v>
      </c>
    </row>
    <row r="7845" spans="11:14" x14ac:dyDescent="0.3">
      <c r="K7845" s="1">
        <v>40179</v>
      </c>
      <c r="M7845" t="e">
        <v>#N/A</v>
      </c>
      <c r="N7845" s="1">
        <v>39722</v>
      </c>
    </row>
    <row r="7846" spans="11:14" x14ac:dyDescent="0.3">
      <c r="K7846" s="1">
        <v>40179</v>
      </c>
      <c r="M7846" t="e">
        <v>#N/A</v>
      </c>
      <c r="N7846" s="1">
        <v>39722</v>
      </c>
    </row>
    <row r="7847" spans="11:14" x14ac:dyDescent="0.3">
      <c r="K7847" s="1">
        <v>40179</v>
      </c>
      <c r="M7847" t="e">
        <v>#N/A</v>
      </c>
      <c r="N7847" s="1">
        <v>39722</v>
      </c>
    </row>
    <row r="7848" spans="11:14" x14ac:dyDescent="0.3">
      <c r="K7848" s="1">
        <v>40179</v>
      </c>
      <c r="M7848" t="e">
        <v>#N/A</v>
      </c>
      <c r="N7848" s="1">
        <v>39722</v>
      </c>
    </row>
    <row r="7849" spans="11:14" x14ac:dyDescent="0.3">
      <c r="K7849" s="1">
        <v>40179</v>
      </c>
      <c r="M7849" t="e">
        <v>#N/A</v>
      </c>
      <c r="N7849" s="1">
        <v>39722</v>
      </c>
    </row>
    <row r="7850" spans="11:14" x14ac:dyDescent="0.3">
      <c r="K7850" s="1">
        <v>40179</v>
      </c>
      <c r="M7850" t="e">
        <v>#N/A</v>
      </c>
      <c r="N7850" s="1">
        <v>39722</v>
      </c>
    </row>
    <row r="7851" spans="11:14" x14ac:dyDescent="0.3">
      <c r="K7851" s="1">
        <v>40179</v>
      </c>
      <c r="M7851" t="e">
        <v>#N/A</v>
      </c>
      <c r="N7851" s="1">
        <v>39722</v>
      </c>
    </row>
    <row r="7852" spans="11:14" x14ac:dyDescent="0.3">
      <c r="K7852" s="1">
        <v>40179</v>
      </c>
      <c r="M7852" t="e">
        <v>#N/A</v>
      </c>
      <c r="N7852" s="1">
        <v>39722</v>
      </c>
    </row>
    <row r="7853" spans="11:14" x14ac:dyDescent="0.3">
      <c r="K7853" s="1">
        <v>40179</v>
      </c>
      <c r="M7853" t="e">
        <v>#N/A</v>
      </c>
      <c r="N7853" s="1">
        <v>39722</v>
      </c>
    </row>
    <row r="7854" spans="11:14" x14ac:dyDescent="0.3">
      <c r="K7854" s="1">
        <v>40179</v>
      </c>
      <c r="M7854" t="e">
        <v>#N/A</v>
      </c>
      <c r="N7854" s="1">
        <v>39722</v>
      </c>
    </row>
    <row r="7855" spans="11:14" x14ac:dyDescent="0.3">
      <c r="K7855" s="1">
        <v>40179</v>
      </c>
      <c r="M7855" t="e">
        <v>#N/A</v>
      </c>
      <c r="N7855" s="1">
        <v>39722</v>
      </c>
    </row>
    <row r="7856" spans="11:14" x14ac:dyDescent="0.3">
      <c r="K7856" s="1">
        <v>40179</v>
      </c>
      <c r="M7856" t="e">
        <v>#N/A</v>
      </c>
      <c r="N7856" s="1">
        <v>39722</v>
      </c>
    </row>
    <row r="7857" spans="11:14" x14ac:dyDescent="0.3">
      <c r="K7857" s="1">
        <v>40179</v>
      </c>
      <c r="M7857" t="e">
        <v>#N/A</v>
      </c>
      <c r="N7857" s="1">
        <v>39722</v>
      </c>
    </row>
    <row r="7858" spans="11:14" x14ac:dyDescent="0.3">
      <c r="K7858" s="1">
        <v>40179</v>
      </c>
      <c r="M7858" t="e">
        <v>#N/A</v>
      </c>
      <c r="N7858" s="1">
        <v>39722</v>
      </c>
    </row>
    <row r="7859" spans="11:14" x14ac:dyDescent="0.3">
      <c r="K7859" s="1">
        <v>40179</v>
      </c>
      <c r="M7859" t="e">
        <v>#N/A</v>
      </c>
      <c r="N7859" s="1">
        <v>39722</v>
      </c>
    </row>
    <row r="7860" spans="11:14" x14ac:dyDescent="0.3">
      <c r="K7860" s="1">
        <v>40179</v>
      </c>
      <c r="M7860" t="e">
        <v>#N/A</v>
      </c>
      <c r="N7860" s="1">
        <v>39722</v>
      </c>
    </row>
    <row r="7861" spans="11:14" x14ac:dyDescent="0.3">
      <c r="K7861" s="1">
        <v>40179</v>
      </c>
      <c r="M7861" t="e">
        <v>#N/A</v>
      </c>
      <c r="N7861" s="1">
        <v>39722</v>
      </c>
    </row>
    <row r="7862" spans="11:14" x14ac:dyDescent="0.3">
      <c r="K7862" s="1">
        <v>40179</v>
      </c>
      <c r="M7862" t="e">
        <v>#N/A</v>
      </c>
      <c r="N7862" s="1">
        <v>39722</v>
      </c>
    </row>
    <row r="7863" spans="11:14" x14ac:dyDescent="0.3">
      <c r="K7863" s="1">
        <v>40179</v>
      </c>
      <c r="M7863" t="e">
        <v>#N/A</v>
      </c>
      <c r="N7863" s="1">
        <v>39722</v>
      </c>
    </row>
    <row r="7864" spans="11:14" x14ac:dyDescent="0.3">
      <c r="K7864" s="1">
        <v>40179</v>
      </c>
      <c r="M7864" t="e">
        <v>#N/A</v>
      </c>
      <c r="N7864" s="1">
        <v>39722</v>
      </c>
    </row>
    <row r="7865" spans="11:14" x14ac:dyDescent="0.3">
      <c r="K7865" s="1">
        <v>40179</v>
      </c>
      <c r="M7865" t="e">
        <v>#N/A</v>
      </c>
      <c r="N7865" s="1">
        <v>39722</v>
      </c>
    </row>
    <row r="7866" spans="11:14" x14ac:dyDescent="0.3">
      <c r="K7866" s="1">
        <v>40179</v>
      </c>
      <c r="M7866" t="e">
        <v>#N/A</v>
      </c>
      <c r="N7866" s="1">
        <v>39722</v>
      </c>
    </row>
    <row r="7867" spans="11:14" x14ac:dyDescent="0.3">
      <c r="K7867" s="1">
        <v>40179</v>
      </c>
      <c r="M7867" t="e">
        <v>#N/A</v>
      </c>
      <c r="N7867" s="1">
        <v>39722</v>
      </c>
    </row>
    <row r="7868" spans="11:14" x14ac:dyDescent="0.3">
      <c r="K7868" s="1">
        <v>40179</v>
      </c>
      <c r="M7868" t="e">
        <v>#N/A</v>
      </c>
      <c r="N7868" s="1">
        <v>39722</v>
      </c>
    </row>
    <row r="7869" spans="11:14" x14ac:dyDescent="0.3">
      <c r="K7869" s="1">
        <v>40179</v>
      </c>
      <c r="M7869" t="e">
        <v>#N/A</v>
      </c>
      <c r="N7869" s="1">
        <v>39722</v>
      </c>
    </row>
    <row r="7870" spans="11:14" x14ac:dyDescent="0.3">
      <c r="K7870" s="1">
        <v>40179</v>
      </c>
      <c r="M7870" t="e">
        <v>#N/A</v>
      </c>
      <c r="N7870" s="1">
        <v>39722</v>
      </c>
    </row>
    <row r="7871" spans="11:14" x14ac:dyDescent="0.3">
      <c r="K7871" s="1">
        <v>40179</v>
      </c>
      <c r="M7871" t="e">
        <v>#N/A</v>
      </c>
      <c r="N7871" s="1">
        <v>39722</v>
      </c>
    </row>
    <row r="7872" spans="11:14" x14ac:dyDescent="0.3">
      <c r="K7872" s="1">
        <v>40179</v>
      </c>
      <c r="M7872" t="e">
        <v>#N/A</v>
      </c>
      <c r="N7872" s="1">
        <v>39722</v>
      </c>
    </row>
    <row r="7873" spans="11:14" x14ac:dyDescent="0.3">
      <c r="K7873" s="1">
        <v>40179</v>
      </c>
      <c r="M7873" t="e">
        <v>#N/A</v>
      </c>
      <c r="N7873" s="1">
        <v>39722</v>
      </c>
    </row>
    <row r="7874" spans="11:14" x14ac:dyDescent="0.3">
      <c r="K7874" s="1">
        <v>40179</v>
      </c>
      <c r="M7874" t="e">
        <v>#N/A</v>
      </c>
      <c r="N7874" s="1">
        <v>39722</v>
      </c>
    </row>
    <row r="7875" spans="11:14" x14ac:dyDescent="0.3">
      <c r="K7875" s="1">
        <v>40179</v>
      </c>
      <c r="M7875" t="e">
        <v>#N/A</v>
      </c>
      <c r="N7875" s="1">
        <v>39722</v>
      </c>
    </row>
    <row r="7876" spans="11:14" x14ac:dyDescent="0.3">
      <c r="K7876" s="1">
        <v>40179</v>
      </c>
      <c r="M7876" t="e">
        <v>#N/A</v>
      </c>
      <c r="N7876" s="1">
        <v>39722</v>
      </c>
    </row>
    <row r="7877" spans="11:14" x14ac:dyDescent="0.3">
      <c r="K7877" s="1">
        <v>40179</v>
      </c>
      <c r="M7877" t="e">
        <v>#N/A</v>
      </c>
      <c r="N7877" s="1">
        <v>39722</v>
      </c>
    </row>
    <row r="7878" spans="11:14" x14ac:dyDescent="0.3">
      <c r="K7878" s="1">
        <v>40179</v>
      </c>
      <c r="M7878" t="e">
        <v>#N/A</v>
      </c>
      <c r="N7878" s="1">
        <v>39722</v>
      </c>
    </row>
    <row r="7879" spans="11:14" x14ac:dyDescent="0.3">
      <c r="K7879" s="1">
        <v>40179</v>
      </c>
      <c r="M7879" t="e">
        <v>#N/A</v>
      </c>
      <c r="N7879" s="1">
        <v>39722</v>
      </c>
    </row>
    <row r="7880" spans="11:14" x14ac:dyDescent="0.3">
      <c r="K7880" s="1">
        <v>40179</v>
      </c>
      <c r="M7880" t="e">
        <v>#N/A</v>
      </c>
      <c r="N7880" s="1">
        <v>39722</v>
      </c>
    </row>
    <row r="7881" spans="11:14" x14ac:dyDescent="0.3">
      <c r="K7881" s="1">
        <v>40179</v>
      </c>
      <c r="M7881" t="e">
        <v>#N/A</v>
      </c>
      <c r="N7881" s="1">
        <v>39722</v>
      </c>
    </row>
    <row r="7882" spans="11:14" x14ac:dyDescent="0.3">
      <c r="K7882" s="1">
        <v>40179</v>
      </c>
      <c r="M7882" t="e">
        <v>#N/A</v>
      </c>
      <c r="N7882" s="1">
        <v>39722</v>
      </c>
    </row>
    <row r="7883" spans="11:14" x14ac:dyDescent="0.3">
      <c r="K7883" s="1">
        <v>40179</v>
      </c>
      <c r="M7883" t="e">
        <v>#N/A</v>
      </c>
      <c r="N7883" s="1">
        <v>39722</v>
      </c>
    </row>
    <row r="7884" spans="11:14" x14ac:dyDescent="0.3">
      <c r="K7884" s="1">
        <v>40179</v>
      </c>
      <c r="M7884" t="e">
        <v>#N/A</v>
      </c>
      <c r="N7884" s="1">
        <v>39722</v>
      </c>
    </row>
    <row r="7885" spans="11:14" x14ac:dyDescent="0.3">
      <c r="K7885" s="1">
        <v>40179</v>
      </c>
      <c r="M7885" t="e">
        <v>#N/A</v>
      </c>
      <c r="N7885" s="1">
        <v>39722</v>
      </c>
    </row>
    <row r="7886" spans="11:14" x14ac:dyDescent="0.3">
      <c r="K7886" s="1">
        <v>40179</v>
      </c>
      <c r="M7886" t="e">
        <v>#N/A</v>
      </c>
      <c r="N7886" s="1">
        <v>39722</v>
      </c>
    </row>
    <row r="7887" spans="11:14" x14ac:dyDescent="0.3">
      <c r="K7887" s="1">
        <v>40179</v>
      </c>
      <c r="M7887" t="e">
        <v>#N/A</v>
      </c>
      <c r="N7887" s="1">
        <v>39722</v>
      </c>
    </row>
    <row r="7888" spans="11:14" x14ac:dyDescent="0.3">
      <c r="K7888" s="1">
        <v>40179</v>
      </c>
      <c r="M7888" t="e">
        <v>#N/A</v>
      </c>
      <c r="N7888" s="1">
        <v>39722</v>
      </c>
    </row>
    <row r="7889" spans="11:14" x14ac:dyDescent="0.3">
      <c r="K7889" s="1">
        <v>40179</v>
      </c>
      <c r="M7889" t="e">
        <v>#N/A</v>
      </c>
      <c r="N7889" s="1">
        <v>39722</v>
      </c>
    </row>
    <row r="7890" spans="11:14" x14ac:dyDescent="0.3">
      <c r="K7890" s="1">
        <v>40179</v>
      </c>
      <c r="M7890" t="e">
        <v>#N/A</v>
      </c>
      <c r="N7890" s="1">
        <v>39722</v>
      </c>
    </row>
    <row r="7891" spans="11:14" x14ac:dyDescent="0.3">
      <c r="K7891" s="1">
        <v>40179</v>
      </c>
      <c r="M7891" t="e">
        <v>#N/A</v>
      </c>
      <c r="N7891" s="1">
        <v>39722</v>
      </c>
    </row>
    <row r="7892" spans="11:14" x14ac:dyDescent="0.3">
      <c r="K7892" s="1">
        <v>40179</v>
      </c>
      <c r="M7892" t="e">
        <v>#N/A</v>
      </c>
      <c r="N7892" s="1">
        <v>39722</v>
      </c>
    </row>
    <row r="7893" spans="11:14" x14ac:dyDescent="0.3">
      <c r="K7893" s="1">
        <v>40179</v>
      </c>
      <c r="M7893" t="e">
        <v>#N/A</v>
      </c>
      <c r="N7893" s="1">
        <v>39722</v>
      </c>
    </row>
    <row r="7894" spans="11:14" x14ac:dyDescent="0.3">
      <c r="K7894" s="1">
        <v>40179</v>
      </c>
      <c r="M7894" t="e">
        <v>#N/A</v>
      </c>
      <c r="N7894" s="1">
        <v>39722</v>
      </c>
    </row>
    <row r="7895" spans="11:14" x14ac:dyDescent="0.3">
      <c r="K7895" s="1">
        <v>40179</v>
      </c>
      <c r="M7895" t="e">
        <v>#N/A</v>
      </c>
      <c r="N7895" s="1">
        <v>39722</v>
      </c>
    </row>
    <row r="7896" spans="11:14" x14ac:dyDescent="0.3">
      <c r="K7896" s="1">
        <v>40179</v>
      </c>
      <c r="M7896" t="e">
        <v>#N/A</v>
      </c>
      <c r="N7896" s="1">
        <v>39814</v>
      </c>
    </row>
    <row r="7897" spans="11:14" x14ac:dyDescent="0.3">
      <c r="K7897" s="1">
        <v>40179</v>
      </c>
      <c r="M7897" t="e">
        <v>#N/A</v>
      </c>
      <c r="N7897" s="1">
        <v>39814</v>
      </c>
    </row>
    <row r="7898" spans="11:14" x14ac:dyDescent="0.3">
      <c r="K7898" s="1">
        <v>40179</v>
      </c>
      <c r="M7898" t="e">
        <v>#N/A</v>
      </c>
      <c r="N7898" s="1">
        <v>39814</v>
      </c>
    </row>
    <row r="7899" spans="11:14" x14ac:dyDescent="0.3">
      <c r="K7899" s="1">
        <v>40179</v>
      </c>
      <c r="M7899" t="e">
        <v>#N/A</v>
      </c>
      <c r="N7899" s="1">
        <v>39814</v>
      </c>
    </row>
    <row r="7900" spans="11:14" x14ac:dyDescent="0.3">
      <c r="K7900" s="1">
        <v>40179</v>
      </c>
      <c r="M7900" t="e">
        <v>#N/A</v>
      </c>
      <c r="N7900" s="1">
        <v>39814</v>
      </c>
    </row>
    <row r="7901" spans="11:14" x14ac:dyDescent="0.3">
      <c r="K7901" s="1">
        <v>40179</v>
      </c>
      <c r="M7901" t="e">
        <v>#N/A</v>
      </c>
      <c r="N7901" s="1">
        <v>39814</v>
      </c>
    </row>
    <row r="7902" spans="11:14" x14ac:dyDescent="0.3">
      <c r="K7902" s="1">
        <v>40179</v>
      </c>
      <c r="M7902" t="e">
        <v>#N/A</v>
      </c>
      <c r="N7902" s="1">
        <v>39814</v>
      </c>
    </row>
    <row r="7903" spans="11:14" x14ac:dyDescent="0.3">
      <c r="K7903" s="1">
        <v>40179</v>
      </c>
      <c r="M7903" t="e">
        <v>#N/A</v>
      </c>
      <c r="N7903" s="1">
        <v>39814</v>
      </c>
    </row>
    <row r="7904" spans="11:14" x14ac:dyDescent="0.3">
      <c r="K7904" s="1">
        <v>40179</v>
      </c>
      <c r="M7904" t="e">
        <v>#N/A</v>
      </c>
      <c r="N7904" s="1">
        <v>39814</v>
      </c>
    </row>
    <row r="7905" spans="11:14" x14ac:dyDescent="0.3">
      <c r="K7905" s="1">
        <v>40179</v>
      </c>
      <c r="M7905" t="e">
        <v>#N/A</v>
      </c>
      <c r="N7905" s="1">
        <v>39814</v>
      </c>
    </row>
    <row r="7906" spans="11:14" x14ac:dyDescent="0.3">
      <c r="K7906" s="1">
        <v>40179</v>
      </c>
      <c r="M7906" t="e">
        <v>#N/A</v>
      </c>
      <c r="N7906" s="1">
        <v>39814</v>
      </c>
    </row>
    <row r="7907" spans="11:14" x14ac:dyDescent="0.3">
      <c r="K7907" s="1">
        <v>40179</v>
      </c>
      <c r="M7907" t="e">
        <v>#N/A</v>
      </c>
      <c r="N7907" s="1">
        <v>39814</v>
      </c>
    </row>
    <row r="7908" spans="11:14" x14ac:dyDescent="0.3">
      <c r="K7908" s="1">
        <v>40179</v>
      </c>
      <c r="M7908" t="e">
        <v>#N/A</v>
      </c>
      <c r="N7908" s="1">
        <v>39814</v>
      </c>
    </row>
    <row r="7909" spans="11:14" x14ac:dyDescent="0.3">
      <c r="K7909" s="1">
        <v>40179</v>
      </c>
      <c r="M7909" t="e">
        <v>#N/A</v>
      </c>
      <c r="N7909" s="1">
        <v>39814</v>
      </c>
    </row>
    <row r="7910" spans="11:14" x14ac:dyDescent="0.3">
      <c r="K7910" s="1">
        <v>40179</v>
      </c>
      <c r="M7910" t="e">
        <v>#N/A</v>
      </c>
      <c r="N7910" s="1">
        <v>39814</v>
      </c>
    </row>
    <row r="7911" spans="11:14" x14ac:dyDescent="0.3">
      <c r="K7911" s="1">
        <v>40179</v>
      </c>
      <c r="M7911" t="e">
        <v>#N/A</v>
      </c>
      <c r="N7911" s="1">
        <v>39814</v>
      </c>
    </row>
    <row r="7912" spans="11:14" x14ac:dyDescent="0.3">
      <c r="K7912" s="1">
        <v>40179</v>
      </c>
      <c r="M7912" t="e">
        <v>#N/A</v>
      </c>
      <c r="N7912" s="1">
        <v>39814</v>
      </c>
    </row>
    <row r="7913" spans="11:14" x14ac:dyDescent="0.3">
      <c r="K7913" s="1">
        <v>40179</v>
      </c>
      <c r="M7913" t="e">
        <v>#N/A</v>
      </c>
      <c r="N7913" s="1">
        <v>39814</v>
      </c>
    </row>
    <row r="7914" spans="11:14" x14ac:dyDescent="0.3">
      <c r="K7914" s="1">
        <v>40179</v>
      </c>
      <c r="M7914" t="e">
        <v>#N/A</v>
      </c>
      <c r="N7914" s="1">
        <v>39814</v>
      </c>
    </row>
    <row r="7915" spans="11:14" x14ac:dyDescent="0.3">
      <c r="K7915" s="1">
        <v>40179</v>
      </c>
      <c r="M7915" t="e">
        <v>#N/A</v>
      </c>
      <c r="N7915" s="1">
        <v>39814</v>
      </c>
    </row>
    <row r="7916" spans="11:14" x14ac:dyDescent="0.3">
      <c r="K7916" s="1">
        <v>40179</v>
      </c>
      <c r="M7916" t="e">
        <v>#N/A</v>
      </c>
      <c r="N7916" s="1">
        <v>39814</v>
      </c>
    </row>
    <row r="7917" spans="11:14" x14ac:dyDescent="0.3">
      <c r="K7917" s="1">
        <v>40179</v>
      </c>
      <c r="M7917" t="e">
        <v>#N/A</v>
      </c>
      <c r="N7917" s="1">
        <v>39814</v>
      </c>
    </row>
    <row r="7918" spans="11:14" x14ac:dyDescent="0.3">
      <c r="K7918" s="1">
        <v>40179</v>
      </c>
      <c r="M7918" t="e">
        <v>#N/A</v>
      </c>
      <c r="N7918" s="1">
        <v>39814</v>
      </c>
    </row>
    <row r="7919" spans="11:14" x14ac:dyDescent="0.3">
      <c r="K7919" s="1">
        <v>40179</v>
      </c>
      <c r="M7919" t="e">
        <v>#N/A</v>
      </c>
      <c r="N7919" s="1">
        <v>39814</v>
      </c>
    </row>
    <row r="7920" spans="11:14" x14ac:dyDescent="0.3">
      <c r="K7920" s="1">
        <v>40179</v>
      </c>
      <c r="M7920" t="e">
        <v>#N/A</v>
      </c>
      <c r="N7920" s="1">
        <v>39814</v>
      </c>
    </row>
    <row r="7921" spans="11:14" x14ac:dyDescent="0.3">
      <c r="K7921" s="1">
        <v>40179</v>
      </c>
      <c r="M7921" t="e">
        <v>#N/A</v>
      </c>
      <c r="N7921" s="1">
        <v>39814</v>
      </c>
    </row>
    <row r="7922" spans="11:14" x14ac:dyDescent="0.3">
      <c r="K7922" s="1">
        <v>40179</v>
      </c>
      <c r="M7922" t="e">
        <v>#N/A</v>
      </c>
      <c r="N7922" s="1">
        <v>39814</v>
      </c>
    </row>
    <row r="7923" spans="11:14" x14ac:dyDescent="0.3">
      <c r="K7923" s="1">
        <v>40179</v>
      </c>
      <c r="M7923" t="e">
        <v>#N/A</v>
      </c>
      <c r="N7923" s="1">
        <v>39814</v>
      </c>
    </row>
    <row r="7924" spans="11:14" x14ac:dyDescent="0.3">
      <c r="K7924" s="1">
        <v>40179</v>
      </c>
      <c r="M7924" t="e">
        <v>#N/A</v>
      </c>
      <c r="N7924" s="1">
        <v>39814</v>
      </c>
    </row>
    <row r="7925" spans="11:14" x14ac:dyDescent="0.3">
      <c r="K7925" s="1">
        <v>40179</v>
      </c>
      <c r="M7925" t="e">
        <v>#N/A</v>
      </c>
      <c r="N7925" s="1">
        <v>39814</v>
      </c>
    </row>
    <row r="7926" spans="11:14" x14ac:dyDescent="0.3">
      <c r="K7926" s="1">
        <v>40179</v>
      </c>
      <c r="M7926" t="e">
        <v>#N/A</v>
      </c>
      <c r="N7926" s="1">
        <v>39814</v>
      </c>
    </row>
    <row r="7927" spans="11:14" x14ac:dyDescent="0.3">
      <c r="K7927" s="1">
        <v>40179</v>
      </c>
      <c r="M7927" t="e">
        <v>#N/A</v>
      </c>
      <c r="N7927" s="1">
        <v>39814</v>
      </c>
    </row>
    <row r="7928" spans="11:14" x14ac:dyDescent="0.3">
      <c r="K7928" s="1">
        <v>40179</v>
      </c>
      <c r="M7928" t="e">
        <v>#N/A</v>
      </c>
      <c r="N7928" s="1">
        <v>39814</v>
      </c>
    </row>
    <row r="7929" spans="11:14" x14ac:dyDescent="0.3">
      <c r="K7929" s="1">
        <v>40179</v>
      </c>
      <c r="M7929" t="e">
        <v>#N/A</v>
      </c>
      <c r="N7929" s="1">
        <v>39814</v>
      </c>
    </row>
    <row r="7930" spans="11:14" x14ac:dyDescent="0.3">
      <c r="K7930" s="1">
        <v>40179</v>
      </c>
      <c r="M7930" t="e">
        <v>#N/A</v>
      </c>
      <c r="N7930" s="1">
        <v>39814</v>
      </c>
    </row>
    <row r="7931" spans="11:14" x14ac:dyDescent="0.3">
      <c r="K7931" s="1">
        <v>40179</v>
      </c>
      <c r="M7931" t="e">
        <v>#N/A</v>
      </c>
      <c r="N7931" s="1">
        <v>39814</v>
      </c>
    </row>
    <row r="7932" spans="11:14" x14ac:dyDescent="0.3">
      <c r="K7932" s="1">
        <v>40179</v>
      </c>
      <c r="M7932" t="e">
        <v>#N/A</v>
      </c>
      <c r="N7932" s="1">
        <v>39814</v>
      </c>
    </row>
    <row r="7933" spans="11:14" x14ac:dyDescent="0.3">
      <c r="K7933" s="1">
        <v>40179</v>
      </c>
      <c r="M7933" t="e">
        <v>#N/A</v>
      </c>
      <c r="N7933" s="1">
        <v>39814</v>
      </c>
    </row>
    <row r="7934" spans="11:14" x14ac:dyDescent="0.3">
      <c r="K7934" s="1">
        <v>40179</v>
      </c>
      <c r="M7934" t="e">
        <v>#N/A</v>
      </c>
      <c r="N7934" s="1">
        <v>39814</v>
      </c>
    </row>
    <row r="7935" spans="11:14" x14ac:dyDescent="0.3">
      <c r="K7935" s="1">
        <v>40179</v>
      </c>
      <c r="M7935" t="e">
        <v>#N/A</v>
      </c>
      <c r="N7935" s="1">
        <v>39814</v>
      </c>
    </row>
    <row r="7936" spans="11:14" x14ac:dyDescent="0.3">
      <c r="K7936" s="1">
        <v>40179</v>
      </c>
      <c r="M7936" t="e">
        <v>#N/A</v>
      </c>
      <c r="N7936" s="1">
        <v>39814</v>
      </c>
    </row>
    <row r="7937" spans="11:14" x14ac:dyDescent="0.3">
      <c r="K7937" s="1">
        <v>40179</v>
      </c>
      <c r="M7937" t="e">
        <v>#N/A</v>
      </c>
      <c r="N7937" s="1">
        <v>39814</v>
      </c>
    </row>
    <row r="7938" spans="11:14" x14ac:dyDescent="0.3">
      <c r="K7938" s="1">
        <v>40179</v>
      </c>
      <c r="M7938" t="e">
        <v>#N/A</v>
      </c>
      <c r="N7938" s="1">
        <v>39814</v>
      </c>
    </row>
    <row r="7939" spans="11:14" x14ac:dyDescent="0.3">
      <c r="K7939" s="1">
        <v>40179</v>
      </c>
      <c r="M7939" t="e">
        <v>#N/A</v>
      </c>
      <c r="N7939" s="1">
        <v>39814</v>
      </c>
    </row>
    <row r="7940" spans="11:14" x14ac:dyDescent="0.3">
      <c r="K7940" s="1">
        <v>40179</v>
      </c>
      <c r="M7940" t="e">
        <v>#N/A</v>
      </c>
      <c r="N7940" s="1">
        <v>39814</v>
      </c>
    </row>
    <row r="7941" spans="11:14" x14ac:dyDescent="0.3">
      <c r="K7941" s="1">
        <v>40179</v>
      </c>
      <c r="M7941" t="e">
        <v>#N/A</v>
      </c>
      <c r="N7941" s="1">
        <v>39814</v>
      </c>
    </row>
    <row r="7942" spans="11:14" x14ac:dyDescent="0.3">
      <c r="K7942" s="1">
        <v>40179</v>
      </c>
      <c r="M7942" t="e">
        <v>#N/A</v>
      </c>
      <c r="N7942" s="1">
        <v>39814</v>
      </c>
    </row>
    <row r="7943" spans="11:14" x14ac:dyDescent="0.3">
      <c r="K7943" s="1">
        <v>40179</v>
      </c>
      <c r="M7943" t="e">
        <v>#N/A</v>
      </c>
      <c r="N7943" s="1">
        <v>39814</v>
      </c>
    </row>
    <row r="7944" spans="11:14" x14ac:dyDescent="0.3">
      <c r="K7944" s="1">
        <v>40179</v>
      </c>
      <c r="M7944" t="e">
        <v>#N/A</v>
      </c>
      <c r="N7944" s="1">
        <v>39814</v>
      </c>
    </row>
    <row r="7945" spans="11:14" x14ac:dyDescent="0.3">
      <c r="K7945" s="1">
        <v>40179</v>
      </c>
      <c r="M7945" t="e">
        <v>#N/A</v>
      </c>
      <c r="N7945" s="1">
        <v>39814</v>
      </c>
    </row>
    <row r="7946" spans="11:14" x14ac:dyDescent="0.3">
      <c r="K7946" s="1">
        <v>40179</v>
      </c>
      <c r="M7946" t="e">
        <v>#N/A</v>
      </c>
      <c r="N7946" s="1">
        <v>39814</v>
      </c>
    </row>
    <row r="7947" spans="11:14" x14ac:dyDescent="0.3">
      <c r="K7947" s="1">
        <v>40179</v>
      </c>
      <c r="M7947" t="e">
        <v>#N/A</v>
      </c>
      <c r="N7947" s="1">
        <v>39814</v>
      </c>
    </row>
    <row r="7948" spans="11:14" x14ac:dyDescent="0.3">
      <c r="K7948" s="1">
        <v>40179</v>
      </c>
      <c r="M7948" t="e">
        <v>#N/A</v>
      </c>
      <c r="N7948" s="1">
        <v>39814</v>
      </c>
    </row>
    <row r="7949" spans="11:14" x14ac:dyDescent="0.3">
      <c r="K7949" s="1">
        <v>40179</v>
      </c>
      <c r="M7949" t="e">
        <v>#N/A</v>
      </c>
      <c r="N7949" s="1">
        <v>39814</v>
      </c>
    </row>
    <row r="7950" spans="11:14" x14ac:dyDescent="0.3">
      <c r="K7950" s="1">
        <v>40179</v>
      </c>
      <c r="M7950" t="e">
        <v>#N/A</v>
      </c>
      <c r="N7950" s="1">
        <v>39814</v>
      </c>
    </row>
    <row r="7951" spans="11:14" x14ac:dyDescent="0.3">
      <c r="K7951" s="1">
        <v>40179</v>
      </c>
      <c r="M7951" t="e">
        <v>#N/A</v>
      </c>
      <c r="N7951" s="1">
        <v>39814</v>
      </c>
    </row>
    <row r="7952" spans="11:14" x14ac:dyDescent="0.3">
      <c r="K7952" s="1">
        <v>40179</v>
      </c>
      <c r="M7952" t="e">
        <v>#N/A</v>
      </c>
      <c r="N7952" s="1">
        <v>39814</v>
      </c>
    </row>
    <row r="7953" spans="11:14" x14ac:dyDescent="0.3">
      <c r="K7953" s="1">
        <v>40179</v>
      </c>
      <c r="M7953" t="e">
        <v>#N/A</v>
      </c>
      <c r="N7953" s="1">
        <v>39814</v>
      </c>
    </row>
    <row r="7954" spans="11:14" x14ac:dyDescent="0.3">
      <c r="K7954" s="1">
        <v>40179</v>
      </c>
      <c r="M7954" t="e">
        <v>#N/A</v>
      </c>
      <c r="N7954" s="1">
        <v>39814</v>
      </c>
    </row>
    <row r="7955" spans="11:14" x14ac:dyDescent="0.3">
      <c r="K7955" s="1">
        <v>40179</v>
      </c>
      <c r="M7955" t="e">
        <v>#N/A</v>
      </c>
      <c r="N7955" s="1">
        <v>39814</v>
      </c>
    </row>
    <row r="7956" spans="11:14" x14ac:dyDescent="0.3">
      <c r="K7956" s="1">
        <v>40179</v>
      </c>
      <c r="M7956" t="e">
        <v>#N/A</v>
      </c>
      <c r="N7956" s="1">
        <v>39814</v>
      </c>
    </row>
    <row r="7957" spans="11:14" x14ac:dyDescent="0.3">
      <c r="K7957" s="1">
        <v>40179</v>
      </c>
      <c r="M7957" t="e">
        <v>#N/A</v>
      </c>
      <c r="N7957" s="1">
        <v>39814</v>
      </c>
    </row>
    <row r="7958" spans="11:14" x14ac:dyDescent="0.3">
      <c r="K7958" s="1">
        <v>40179</v>
      </c>
      <c r="M7958" t="e">
        <v>#N/A</v>
      </c>
      <c r="N7958" s="1">
        <v>39814</v>
      </c>
    </row>
    <row r="7959" spans="11:14" x14ac:dyDescent="0.3">
      <c r="K7959" s="1">
        <v>40179</v>
      </c>
      <c r="M7959" t="e">
        <v>#N/A</v>
      </c>
      <c r="N7959" s="1">
        <v>39814</v>
      </c>
    </row>
    <row r="7960" spans="11:14" x14ac:dyDescent="0.3">
      <c r="K7960" s="1">
        <v>40179</v>
      </c>
      <c r="M7960" t="e">
        <v>#N/A</v>
      </c>
      <c r="N7960" s="1">
        <v>39814</v>
      </c>
    </row>
    <row r="7961" spans="11:14" x14ac:dyDescent="0.3">
      <c r="K7961" s="1">
        <v>40179</v>
      </c>
      <c r="M7961" t="e">
        <v>#N/A</v>
      </c>
      <c r="N7961" s="1">
        <v>39814</v>
      </c>
    </row>
    <row r="7962" spans="11:14" x14ac:dyDescent="0.3">
      <c r="K7962" s="1">
        <v>40179</v>
      </c>
      <c r="M7962" t="e">
        <v>#N/A</v>
      </c>
      <c r="N7962" s="1">
        <v>39814</v>
      </c>
    </row>
    <row r="7963" spans="11:14" x14ac:dyDescent="0.3">
      <c r="K7963" s="1">
        <v>40179</v>
      </c>
      <c r="M7963" t="e">
        <v>#N/A</v>
      </c>
      <c r="N7963" s="1">
        <v>39814</v>
      </c>
    </row>
    <row r="7964" spans="11:14" x14ac:dyDescent="0.3">
      <c r="K7964" s="1">
        <v>40179</v>
      </c>
      <c r="M7964" t="e">
        <v>#N/A</v>
      </c>
      <c r="N7964" s="1">
        <v>39814</v>
      </c>
    </row>
    <row r="7965" spans="11:14" x14ac:dyDescent="0.3">
      <c r="K7965" s="1">
        <v>40179</v>
      </c>
      <c r="M7965" t="e">
        <v>#N/A</v>
      </c>
      <c r="N7965" s="1">
        <v>39814</v>
      </c>
    </row>
    <row r="7966" spans="11:14" x14ac:dyDescent="0.3">
      <c r="K7966" s="1">
        <v>40179</v>
      </c>
      <c r="M7966" t="e">
        <v>#N/A</v>
      </c>
      <c r="N7966" s="1">
        <v>39814</v>
      </c>
    </row>
    <row r="7967" spans="11:14" x14ac:dyDescent="0.3">
      <c r="K7967" s="1">
        <v>40179</v>
      </c>
      <c r="M7967" t="e">
        <v>#N/A</v>
      </c>
      <c r="N7967" s="1">
        <v>39814</v>
      </c>
    </row>
    <row r="7968" spans="11:14" x14ac:dyDescent="0.3">
      <c r="K7968" s="1">
        <v>40179</v>
      </c>
      <c r="M7968" t="e">
        <v>#N/A</v>
      </c>
      <c r="N7968" s="1">
        <v>39814</v>
      </c>
    </row>
    <row r="7969" spans="11:14" x14ac:dyDescent="0.3">
      <c r="K7969" s="1">
        <v>40179</v>
      </c>
      <c r="M7969" t="e">
        <v>#N/A</v>
      </c>
      <c r="N7969" s="1">
        <v>39814</v>
      </c>
    </row>
    <row r="7970" spans="11:14" x14ac:dyDescent="0.3">
      <c r="K7970" s="1">
        <v>40179</v>
      </c>
      <c r="M7970" t="e">
        <v>#N/A</v>
      </c>
      <c r="N7970" s="1">
        <v>39814</v>
      </c>
    </row>
    <row r="7971" spans="11:14" x14ac:dyDescent="0.3">
      <c r="K7971" s="1">
        <v>40179</v>
      </c>
      <c r="M7971" t="e">
        <v>#N/A</v>
      </c>
      <c r="N7971" s="1">
        <v>39814</v>
      </c>
    </row>
    <row r="7972" spans="11:14" x14ac:dyDescent="0.3">
      <c r="K7972" s="1">
        <v>40179</v>
      </c>
      <c r="M7972" t="e">
        <v>#N/A</v>
      </c>
      <c r="N7972" s="1">
        <v>39814</v>
      </c>
    </row>
    <row r="7973" spans="11:14" x14ac:dyDescent="0.3">
      <c r="K7973" s="1">
        <v>40179</v>
      </c>
      <c r="M7973" t="e">
        <v>#N/A</v>
      </c>
      <c r="N7973" s="1">
        <v>39814</v>
      </c>
    </row>
    <row r="7974" spans="11:14" x14ac:dyDescent="0.3">
      <c r="K7974" s="1">
        <v>40179</v>
      </c>
      <c r="M7974" t="e">
        <v>#N/A</v>
      </c>
      <c r="N7974" s="1">
        <v>39814</v>
      </c>
    </row>
    <row r="7975" spans="11:14" x14ac:dyDescent="0.3">
      <c r="K7975" s="1">
        <v>40179</v>
      </c>
      <c r="M7975" t="e">
        <v>#N/A</v>
      </c>
      <c r="N7975" s="1">
        <v>39814</v>
      </c>
    </row>
    <row r="7976" spans="11:14" x14ac:dyDescent="0.3">
      <c r="K7976" s="1">
        <v>40179</v>
      </c>
      <c r="M7976" t="e">
        <v>#N/A</v>
      </c>
      <c r="N7976" s="1">
        <v>39814</v>
      </c>
    </row>
    <row r="7977" spans="11:14" x14ac:dyDescent="0.3">
      <c r="K7977" s="1">
        <v>40179</v>
      </c>
      <c r="M7977" t="e">
        <v>#N/A</v>
      </c>
      <c r="N7977" s="1">
        <v>39814</v>
      </c>
    </row>
    <row r="7978" spans="11:14" x14ac:dyDescent="0.3">
      <c r="K7978" s="1">
        <v>40179</v>
      </c>
      <c r="M7978" t="e">
        <v>#N/A</v>
      </c>
      <c r="N7978" s="1">
        <v>39814</v>
      </c>
    </row>
    <row r="7979" spans="11:14" x14ac:dyDescent="0.3">
      <c r="K7979" s="1">
        <v>40179</v>
      </c>
      <c r="M7979" t="e">
        <v>#N/A</v>
      </c>
      <c r="N7979" s="1">
        <v>39814</v>
      </c>
    </row>
    <row r="7980" spans="11:14" x14ac:dyDescent="0.3">
      <c r="K7980" s="1">
        <v>40179</v>
      </c>
      <c r="M7980" t="e">
        <v>#N/A</v>
      </c>
      <c r="N7980" s="1">
        <v>39814</v>
      </c>
    </row>
    <row r="7981" spans="11:14" x14ac:dyDescent="0.3">
      <c r="K7981" s="1">
        <v>40179</v>
      </c>
      <c r="M7981" t="e">
        <v>#N/A</v>
      </c>
      <c r="N7981" s="1">
        <v>39814</v>
      </c>
    </row>
    <row r="7982" spans="11:14" x14ac:dyDescent="0.3">
      <c r="K7982" s="1">
        <v>40179</v>
      </c>
      <c r="M7982" t="e">
        <v>#N/A</v>
      </c>
      <c r="N7982" s="1">
        <v>39814</v>
      </c>
    </row>
    <row r="7983" spans="11:14" x14ac:dyDescent="0.3">
      <c r="K7983" s="1">
        <v>40179</v>
      </c>
      <c r="M7983" t="e">
        <v>#N/A</v>
      </c>
      <c r="N7983" s="1">
        <v>39814</v>
      </c>
    </row>
    <row r="7984" spans="11:14" x14ac:dyDescent="0.3">
      <c r="K7984" s="1">
        <v>40179</v>
      </c>
      <c r="M7984" t="e">
        <v>#N/A</v>
      </c>
      <c r="N7984" s="1">
        <v>39814</v>
      </c>
    </row>
    <row r="7985" spans="11:14" x14ac:dyDescent="0.3">
      <c r="K7985" s="1">
        <v>40179</v>
      </c>
      <c r="M7985" t="e">
        <v>#N/A</v>
      </c>
      <c r="N7985" s="1">
        <v>39814</v>
      </c>
    </row>
    <row r="7986" spans="11:14" x14ac:dyDescent="0.3">
      <c r="K7986" s="1">
        <v>40179</v>
      </c>
      <c r="M7986" t="e">
        <v>#N/A</v>
      </c>
      <c r="N7986" s="1">
        <v>39814</v>
      </c>
    </row>
    <row r="7987" spans="11:14" x14ac:dyDescent="0.3">
      <c r="K7987" s="1">
        <v>40179</v>
      </c>
      <c r="M7987" t="e">
        <v>#N/A</v>
      </c>
      <c r="N7987" s="1">
        <v>39814</v>
      </c>
    </row>
    <row r="7988" spans="11:14" x14ac:dyDescent="0.3">
      <c r="K7988" s="1">
        <v>40179</v>
      </c>
      <c r="M7988" t="e">
        <v>#N/A</v>
      </c>
      <c r="N7988" s="1">
        <v>39814</v>
      </c>
    </row>
    <row r="7989" spans="11:14" x14ac:dyDescent="0.3">
      <c r="K7989" s="1">
        <v>40179</v>
      </c>
      <c r="M7989" t="e">
        <v>#N/A</v>
      </c>
      <c r="N7989" s="1">
        <v>39814</v>
      </c>
    </row>
    <row r="7990" spans="11:14" x14ac:dyDescent="0.3">
      <c r="K7990" s="1">
        <v>40179</v>
      </c>
      <c r="M7990" t="e">
        <v>#N/A</v>
      </c>
      <c r="N7990" s="1">
        <v>39814</v>
      </c>
    </row>
    <row r="7991" spans="11:14" x14ac:dyDescent="0.3">
      <c r="K7991" s="1">
        <v>40179</v>
      </c>
      <c r="M7991" t="e">
        <v>#N/A</v>
      </c>
      <c r="N7991" s="1">
        <v>39814</v>
      </c>
    </row>
    <row r="7992" spans="11:14" x14ac:dyDescent="0.3">
      <c r="K7992" s="1">
        <v>40179</v>
      </c>
      <c r="M7992" t="e">
        <v>#N/A</v>
      </c>
      <c r="N7992" s="1">
        <v>39814</v>
      </c>
    </row>
    <row r="7993" spans="11:14" x14ac:dyDescent="0.3">
      <c r="K7993" s="1">
        <v>40179</v>
      </c>
      <c r="M7993" t="e">
        <v>#N/A</v>
      </c>
      <c r="N7993" s="1">
        <v>39814</v>
      </c>
    </row>
    <row r="7994" spans="11:14" x14ac:dyDescent="0.3">
      <c r="K7994" s="1">
        <v>40179</v>
      </c>
      <c r="M7994" t="e">
        <v>#N/A</v>
      </c>
      <c r="N7994" s="1">
        <v>39814</v>
      </c>
    </row>
    <row r="7995" spans="11:14" x14ac:dyDescent="0.3">
      <c r="K7995" s="1">
        <v>40179</v>
      </c>
      <c r="M7995" t="e">
        <v>#N/A</v>
      </c>
      <c r="N7995" s="1">
        <v>39814</v>
      </c>
    </row>
    <row r="7996" spans="11:14" x14ac:dyDescent="0.3">
      <c r="K7996" s="1">
        <v>40179</v>
      </c>
      <c r="M7996" t="e">
        <v>#N/A</v>
      </c>
      <c r="N7996" s="1">
        <v>39814</v>
      </c>
    </row>
    <row r="7997" spans="11:14" x14ac:dyDescent="0.3">
      <c r="K7997" s="1">
        <v>40179</v>
      </c>
      <c r="M7997" t="e">
        <v>#N/A</v>
      </c>
      <c r="N7997" s="1">
        <v>39814</v>
      </c>
    </row>
    <row r="7998" spans="11:14" x14ac:dyDescent="0.3">
      <c r="K7998" s="1">
        <v>40179</v>
      </c>
      <c r="M7998" t="e">
        <v>#N/A</v>
      </c>
      <c r="N7998" s="1">
        <v>39814</v>
      </c>
    </row>
    <row r="7999" spans="11:14" x14ac:dyDescent="0.3">
      <c r="K7999" s="1">
        <v>40179</v>
      </c>
      <c r="M7999" t="e">
        <v>#N/A</v>
      </c>
      <c r="N7999" s="1">
        <v>39814</v>
      </c>
    </row>
    <row r="8000" spans="11:14" x14ac:dyDescent="0.3">
      <c r="K8000" s="1">
        <v>40179</v>
      </c>
      <c r="M8000" t="e">
        <v>#N/A</v>
      </c>
      <c r="N8000" s="1">
        <v>39814</v>
      </c>
    </row>
    <row r="8001" spans="11:14" x14ac:dyDescent="0.3">
      <c r="K8001" s="1">
        <v>40179</v>
      </c>
      <c r="M8001" t="e">
        <v>#N/A</v>
      </c>
      <c r="N8001" s="1">
        <v>39814</v>
      </c>
    </row>
    <row r="8002" spans="11:14" x14ac:dyDescent="0.3">
      <c r="K8002" s="1">
        <v>40179</v>
      </c>
      <c r="M8002" t="e">
        <v>#N/A</v>
      </c>
      <c r="N8002" s="1">
        <v>39814</v>
      </c>
    </row>
    <row r="8003" spans="11:14" x14ac:dyDescent="0.3">
      <c r="K8003" s="1">
        <v>40179</v>
      </c>
      <c r="M8003" t="e">
        <v>#N/A</v>
      </c>
      <c r="N8003" s="1">
        <v>39814</v>
      </c>
    </row>
    <row r="8004" spans="11:14" x14ac:dyDescent="0.3">
      <c r="K8004" s="1">
        <v>40179</v>
      </c>
      <c r="M8004" t="e">
        <v>#N/A</v>
      </c>
      <c r="N8004" s="1">
        <v>39814</v>
      </c>
    </row>
    <row r="8005" spans="11:14" x14ac:dyDescent="0.3">
      <c r="K8005" s="1">
        <v>40179</v>
      </c>
      <c r="M8005" t="e">
        <v>#N/A</v>
      </c>
      <c r="N8005" s="1">
        <v>39814</v>
      </c>
    </row>
    <row r="8006" spans="11:14" x14ac:dyDescent="0.3">
      <c r="K8006" s="1">
        <v>40179</v>
      </c>
      <c r="M8006" t="e">
        <v>#N/A</v>
      </c>
      <c r="N8006" s="1">
        <v>39814</v>
      </c>
    </row>
    <row r="8007" spans="11:14" x14ac:dyDescent="0.3">
      <c r="K8007" s="1">
        <v>40179</v>
      </c>
      <c r="M8007" t="e">
        <v>#N/A</v>
      </c>
      <c r="N8007" s="1">
        <v>39814</v>
      </c>
    </row>
    <row r="8008" spans="11:14" x14ac:dyDescent="0.3">
      <c r="K8008" s="1">
        <v>40179</v>
      </c>
      <c r="M8008" t="e">
        <v>#N/A</v>
      </c>
      <c r="N8008" s="1">
        <v>39814</v>
      </c>
    </row>
    <row r="8009" spans="11:14" x14ac:dyDescent="0.3">
      <c r="K8009" s="1">
        <v>40179</v>
      </c>
      <c r="M8009" t="e">
        <v>#N/A</v>
      </c>
      <c r="N8009" s="1">
        <v>39814</v>
      </c>
    </row>
    <row r="8010" spans="11:14" x14ac:dyDescent="0.3">
      <c r="K8010" s="1">
        <v>40179</v>
      </c>
      <c r="M8010" t="e">
        <v>#N/A</v>
      </c>
      <c r="N8010" s="1">
        <v>39814</v>
      </c>
    </row>
    <row r="8011" spans="11:14" x14ac:dyDescent="0.3">
      <c r="K8011" s="1">
        <v>40179</v>
      </c>
      <c r="M8011" t="e">
        <v>#N/A</v>
      </c>
      <c r="N8011" s="1">
        <v>39814</v>
      </c>
    </row>
    <row r="8012" spans="11:14" x14ac:dyDescent="0.3">
      <c r="K8012" s="1">
        <v>40179</v>
      </c>
      <c r="M8012" t="e">
        <v>#N/A</v>
      </c>
      <c r="N8012" s="1">
        <v>39814</v>
      </c>
    </row>
    <row r="8013" spans="11:14" x14ac:dyDescent="0.3">
      <c r="K8013" s="1">
        <v>40179</v>
      </c>
      <c r="M8013" t="e">
        <v>#N/A</v>
      </c>
      <c r="N8013" s="1">
        <v>39814</v>
      </c>
    </row>
    <row r="8014" spans="11:14" x14ac:dyDescent="0.3">
      <c r="K8014" s="1">
        <v>40179</v>
      </c>
      <c r="M8014" t="e">
        <v>#N/A</v>
      </c>
      <c r="N8014" s="1">
        <v>39814</v>
      </c>
    </row>
    <row r="8015" spans="11:14" x14ac:dyDescent="0.3">
      <c r="K8015" s="1">
        <v>40179</v>
      </c>
      <c r="M8015" t="e">
        <v>#N/A</v>
      </c>
      <c r="N8015" s="1">
        <v>39814</v>
      </c>
    </row>
    <row r="8016" spans="11:14" x14ac:dyDescent="0.3">
      <c r="K8016" s="1">
        <v>40179</v>
      </c>
      <c r="M8016" t="e">
        <v>#N/A</v>
      </c>
      <c r="N8016" s="1">
        <v>39814</v>
      </c>
    </row>
    <row r="8017" spans="11:14" x14ac:dyDescent="0.3">
      <c r="K8017" s="1">
        <v>40179</v>
      </c>
      <c r="M8017" t="e">
        <v>#N/A</v>
      </c>
      <c r="N8017" s="1">
        <v>39814</v>
      </c>
    </row>
    <row r="8018" spans="11:14" x14ac:dyDescent="0.3">
      <c r="K8018" s="1">
        <v>40179</v>
      </c>
      <c r="M8018" t="e">
        <v>#N/A</v>
      </c>
      <c r="N8018" s="1">
        <v>39814</v>
      </c>
    </row>
    <row r="8019" spans="11:14" x14ac:dyDescent="0.3">
      <c r="K8019" s="1">
        <v>40179</v>
      </c>
      <c r="M8019" t="e">
        <v>#N/A</v>
      </c>
      <c r="N8019" s="1">
        <v>39814</v>
      </c>
    </row>
    <row r="8020" spans="11:14" x14ac:dyDescent="0.3">
      <c r="K8020" s="1">
        <v>40179</v>
      </c>
      <c r="M8020" t="e">
        <v>#N/A</v>
      </c>
      <c r="N8020" s="1">
        <v>39814</v>
      </c>
    </row>
    <row r="8021" spans="11:14" x14ac:dyDescent="0.3">
      <c r="K8021" s="1">
        <v>40179</v>
      </c>
      <c r="M8021" t="e">
        <v>#N/A</v>
      </c>
      <c r="N8021" s="1">
        <v>39814</v>
      </c>
    </row>
    <row r="8022" spans="11:14" x14ac:dyDescent="0.3">
      <c r="K8022" s="1">
        <v>40179</v>
      </c>
      <c r="M8022" t="e">
        <v>#N/A</v>
      </c>
      <c r="N8022" s="1">
        <v>39814</v>
      </c>
    </row>
    <row r="8023" spans="11:14" x14ac:dyDescent="0.3">
      <c r="K8023" s="1">
        <v>40179</v>
      </c>
      <c r="M8023" t="e">
        <v>#N/A</v>
      </c>
      <c r="N8023" s="1">
        <v>39814</v>
      </c>
    </row>
    <row r="8024" spans="11:14" x14ac:dyDescent="0.3">
      <c r="K8024" s="1">
        <v>40179</v>
      </c>
      <c r="M8024" t="e">
        <v>#N/A</v>
      </c>
      <c r="N8024" s="1">
        <v>39814</v>
      </c>
    </row>
    <row r="8025" spans="11:14" x14ac:dyDescent="0.3">
      <c r="K8025" s="1">
        <v>40179</v>
      </c>
      <c r="M8025" t="e">
        <v>#N/A</v>
      </c>
      <c r="N8025" s="1">
        <v>39814</v>
      </c>
    </row>
    <row r="8026" spans="11:14" x14ac:dyDescent="0.3">
      <c r="K8026" s="1">
        <v>40179</v>
      </c>
      <c r="M8026" t="e">
        <v>#N/A</v>
      </c>
      <c r="N8026" s="1">
        <v>39814</v>
      </c>
    </row>
    <row r="8027" spans="11:14" x14ac:dyDescent="0.3">
      <c r="K8027" s="1">
        <v>40179</v>
      </c>
      <c r="M8027" t="e">
        <v>#N/A</v>
      </c>
      <c r="N8027" s="1">
        <v>39814</v>
      </c>
    </row>
    <row r="8028" spans="11:14" x14ac:dyDescent="0.3">
      <c r="K8028" s="1">
        <v>40179</v>
      </c>
      <c r="M8028" t="e">
        <v>#N/A</v>
      </c>
      <c r="N8028" s="1">
        <v>39814</v>
      </c>
    </row>
    <row r="8029" spans="11:14" x14ac:dyDescent="0.3">
      <c r="K8029" s="1">
        <v>40179</v>
      </c>
      <c r="M8029" t="e">
        <v>#N/A</v>
      </c>
      <c r="N8029" s="1">
        <v>39814</v>
      </c>
    </row>
    <row r="8030" spans="11:14" x14ac:dyDescent="0.3">
      <c r="K8030" s="1">
        <v>40269</v>
      </c>
      <c r="M8030" t="e">
        <v>#N/A</v>
      </c>
      <c r="N8030" s="1">
        <v>39814</v>
      </c>
    </row>
    <row r="8031" spans="11:14" x14ac:dyDescent="0.3">
      <c r="K8031" s="1">
        <v>40269</v>
      </c>
      <c r="M8031" t="e">
        <v>#N/A</v>
      </c>
      <c r="N8031" s="1">
        <v>39814</v>
      </c>
    </row>
    <row r="8032" spans="11:14" x14ac:dyDescent="0.3">
      <c r="K8032" s="1">
        <v>40269</v>
      </c>
      <c r="M8032" t="e">
        <v>#N/A</v>
      </c>
      <c r="N8032" s="1">
        <v>39814</v>
      </c>
    </row>
    <row r="8033" spans="11:14" x14ac:dyDescent="0.3">
      <c r="K8033" s="1">
        <v>40269</v>
      </c>
      <c r="M8033" t="e">
        <v>#N/A</v>
      </c>
      <c r="N8033" s="1">
        <v>39814</v>
      </c>
    </row>
    <row r="8034" spans="11:14" x14ac:dyDescent="0.3">
      <c r="K8034" s="1">
        <v>40269</v>
      </c>
      <c r="M8034" t="e">
        <v>#N/A</v>
      </c>
      <c r="N8034" s="1">
        <v>39814</v>
      </c>
    </row>
    <row r="8035" spans="11:14" x14ac:dyDescent="0.3">
      <c r="K8035" s="1">
        <v>40269</v>
      </c>
      <c r="M8035" t="e">
        <v>#N/A</v>
      </c>
      <c r="N8035" s="1">
        <v>39814</v>
      </c>
    </row>
    <row r="8036" spans="11:14" x14ac:dyDescent="0.3">
      <c r="K8036" s="1">
        <v>40269</v>
      </c>
      <c r="M8036" t="e">
        <v>#N/A</v>
      </c>
      <c r="N8036" s="1">
        <v>39814</v>
      </c>
    </row>
    <row r="8037" spans="11:14" x14ac:dyDescent="0.3">
      <c r="K8037" s="1">
        <v>40269</v>
      </c>
      <c r="M8037" t="e">
        <v>#N/A</v>
      </c>
      <c r="N8037" s="1">
        <v>39814</v>
      </c>
    </row>
    <row r="8038" spans="11:14" x14ac:dyDescent="0.3">
      <c r="K8038" s="1">
        <v>40269</v>
      </c>
      <c r="M8038" t="e">
        <v>#N/A</v>
      </c>
      <c r="N8038" s="1">
        <v>39814</v>
      </c>
    </row>
    <row r="8039" spans="11:14" x14ac:dyDescent="0.3">
      <c r="K8039" s="1">
        <v>40269</v>
      </c>
      <c r="M8039" t="e">
        <v>#N/A</v>
      </c>
      <c r="N8039" s="1">
        <v>39814</v>
      </c>
    </row>
    <row r="8040" spans="11:14" x14ac:dyDescent="0.3">
      <c r="K8040" s="1">
        <v>40269</v>
      </c>
      <c r="M8040" t="e">
        <v>#N/A</v>
      </c>
      <c r="N8040" s="1">
        <v>39814</v>
      </c>
    </row>
    <row r="8041" spans="11:14" x14ac:dyDescent="0.3">
      <c r="K8041" s="1">
        <v>40269</v>
      </c>
      <c r="M8041" t="e">
        <v>#N/A</v>
      </c>
      <c r="N8041" s="1">
        <v>39814</v>
      </c>
    </row>
    <row r="8042" spans="11:14" x14ac:dyDescent="0.3">
      <c r="K8042" s="1">
        <v>40269</v>
      </c>
      <c r="M8042" t="e">
        <v>#N/A</v>
      </c>
      <c r="N8042" s="1">
        <v>39814</v>
      </c>
    </row>
    <row r="8043" spans="11:14" x14ac:dyDescent="0.3">
      <c r="K8043" s="1">
        <v>40269</v>
      </c>
      <c r="M8043" t="e">
        <v>#N/A</v>
      </c>
      <c r="N8043" s="1">
        <v>39814</v>
      </c>
    </row>
    <row r="8044" spans="11:14" x14ac:dyDescent="0.3">
      <c r="K8044" s="1">
        <v>40269</v>
      </c>
      <c r="M8044" t="e">
        <v>#N/A</v>
      </c>
      <c r="N8044" s="1">
        <v>39814</v>
      </c>
    </row>
    <row r="8045" spans="11:14" x14ac:dyDescent="0.3">
      <c r="K8045" s="1">
        <v>40269</v>
      </c>
      <c r="M8045" t="e">
        <v>#N/A</v>
      </c>
      <c r="N8045" s="1">
        <v>39814</v>
      </c>
    </row>
    <row r="8046" spans="11:14" x14ac:dyDescent="0.3">
      <c r="K8046" s="1">
        <v>40269</v>
      </c>
      <c r="M8046" t="e">
        <v>#N/A</v>
      </c>
      <c r="N8046" s="1">
        <v>39814</v>
      </c>
    </row>
    <row r="8047" spans="11:14" x14ac:dyDescent="0.3">
      <c r="K8047" s="1">
        <v>40269</v>
      </c>
      <c r="M8047" t="e">
        <v>#N/A</v>
      </c>
      <c r="N8047" s="1">
        <v>39814</v>
      </c>
    </row>
    <row r="8048" spans="11:14" x14ac:dyDescent="0.3">
      <c r="K8048" s="1">
        <v>40269</v>
      </c>
      <c r="M8048" t="e">
        <v>#N/A</v>
      </c>
      <c r="N8048" s="1">
        <v>39814</v>
      </c>
    </row>
    <row r="8049" spans="11:14" x14ac:dyDescent="0.3">
      <c r="K8049" s="1">
        <v>40269</v>
      </c>
      <c r="M8049" t="e">
        <v>#N/A</v>
      </c>
      <c r="N8049" s="1">
        <v>39814</v>
      </c>
    </row>
    <row r="8050" spans="11:14" x14ac:dyDescent="0.3">
      <c r="K8050" s="1">
        <v>40269</v>
      </c>
      <c r="M8050" t="e">
        <v>#N/A</v>
      </c>
      <c r="N8050" s="1">
        <v>39814</v>
      </c>
    </row>
    <row r="8051" spans="11:14" x14ac:dyDescent="0.3">
      <c r="K8051" s="1">
        <v>40269</v>
      </c>
      <c r="M8051" t="e">
        <v>#N/A</v>
      </c>
      <c r="N8051" s="1">
        <v>39814</v>
      </c>
    </row>
    <row r="8052" spans="11:14" x14ac:dyDescent="0.3">
      <c r="K8052" s="1">
        <v>40269</v>
      </c>
      <c r="M8052" t="e">
        <v>#N/A</v>
      </c>
      <c r="N8052" s="1">
        <v>39814</v>
      </c>
    </row>
    <row r="8053" spans="11:14" x14ac:dyDescent="0.3">
      <c r="K8053" s="1">
        <v>40269</v>
      </c>
      <c r="M8053" t="e">
        <v>#N/A</v>
      </c>
      <c r="N8053" s="1">
        <v>39814</v>
      </c>
    </row>
    <row r="8054" spans="11:14" x14ac:dyDescent="0.3">
      <c r="K8054" s="1">
        <v>40269</v>
      </c>
      <c r="M8054" t="e">
        <v>#N/A</v>
      </c>
      <c r="N8054" s="1">
        <v>39814</v>
      </c>
    </row>
    <row r="8055" spans="11:14" x14ac:dyDescent="0.3">
      <c r="K8055" s="1">
        <v>40269</v>
      </c>
      <c r="M8055" t="e">
        <v>#N/A</v>
      </c>
      <c r="N8055" s="1">
        <v>39814</v>
      </c>
    </row>
    <row r="8056" spans="11:14" x14ac:dyDescent="0.3">
      <c r="K8056" s="1">
        <v>40269</v>
      </c>
      <c r="M8056" t="e">
        <v>#N/A</v>
      </c>
      <c r="N8056" s="1">
        <v>39814</v>
      </c>
    </row>
    <row r="8057" spans="11:14" x14ac:dyDescent="0.3">
      <c r="K8057" s="1">
        <v>40269</v>
      </c>
      <c r="M8057" t="e">
        <v>#N/A</v>
      </c>
      <c r="N8057" s="1">
        <v>39814</v>
      </c>
    </row>
    <row r="8058" spans="11:14" x14ac:dyDescent="0.3">
      <c r="K8058" s="1">
        <v>40269</v>
      </c>
      <c r="M8058" t="e">
        <v>#N/A</v>
      </c>
      <c r="N8058" s="1">
        <v>39814</v>
      </c>
    </row>
    <row r="8059" spans="11:14" x14ac:dyDescent="0.3">
      <c r="K8059" s="1">
        <v>40269</v>
      </c>
      <c r="M8059" t="e">
        <v>#N/A</v>
      </c>
      <c r="N8059" s="1">
        <v>39814</v>
      </c>
    </row>
    <row r="8060" spans="11:14" x14ac:dyDescent="0.3">
      <c r="K8060" s="1">
        <v>40269</v>
      </c>
      <c r="M8060" t="e">
        <v>#N/A</v>
      </c>
      <c r="N8060" s="1">
        <v>39814</v>
      </c>
    </row>
    <row r="8061" spans="11:14" x14ac:dyDescent="0.3">
      <c r="K8061" s="1">
        <v>40269</v>
      </c>
      <c r="M8061" t="e">
        <v>#N/A</v>
      </c>
      <c r="N8061" s="1">
        <v>39814</v>
      </c>
    </row>
    <row r="8062" spans="11:14" x14ac:dyDescent="0.3">
      <c r="K8062" s="1">
        <v>40269</v>
      </c>
      <c r="M8062" t="e">
        <v>#N/A</v>
      </c>
      <c r="N8062" s="1">
        <v>39814</v>
      </c>
    </row>
    <row r="8063" spans="11:14" x14ac:dyDescent="0.3">
      <c r="K8063" s="1">
        <v>40269</v>
      </c>
      <c r="M8063" t="e">
        <v>#N/A</v>
      </c>
      <c r="N8063" s="1">
        <v>39814</v>
      </c>
    </row>
    <row r="8064" spans="11:14" x14ac:dyDescent="0.3">
      <c r="K8064" s="1">
        <v>40269</v>
      </c>
      <c r="M8064" t="e">
        <v>#N/A</v>
      </c>
      <c r="N8064" s="1">
        <v>39814</v>
      </c>
    </row>
    <row r="8065" spans="11:14" x14ac:dyDescent="0.3">
      <c r="K8065" s="1">
        <v>40269</v>
      </c>
      <c r="M8065" t="e">
        <v>#N/A</v>
      </c>
      <c r="N8065" s="1">
        <v>39814</v>
      </c>
    </row>
    <row r="8066" spans="11:14" x14ac:dyDescent="0.3">
      <c r="K8066" s="1">
        <v>40269</v>
      </c>
      <c r="M8066" t="e">
        <v>#N/A</v>
      </c>
      <c r="N8066" s="1">
        <v>39814</v>
      </c>
    </row>
    <row r="8067" spans="11:14" x14ac:dyDescent="0.3">
      <c r="K8067" s="1">
        <v>40269</v>
      </c>
      <c r="M8067" t="e">
        <v>#N/A</v>
      </c>
      <c r="N8067" s="1">
        <v>39814</v>
      </c>
    </row>
    <row r="8068" spans="11:14" x14ac:dyDescent="0.3">
      <c r="K8068" s="1">
        <v>40269</v>
      </c>
      <c r="M8068" t="e">
        <v>#N/A</v>
      </c>
      <c r="N8068" s="1">
        <v>39814</v>
      </c>
    </row>
    <row r="8069" spans="11:14" x14ac:dyDescent="0.3">
      <c r="K8069" s="1">
        <v>40269</v>
      </c>
      <c r="M8069" t="e">
        <v>#N/A</v>
      </c>
      <c r="N8069" s="1">
        <v>39814</v>
      </c>
    </row>
    <row r="8070" spans="11:14" x14ac:dyDescent="0.3">
      <c r="K8070" s="1">
        <v>40269</v>
      </c>
      <c r="M8070" t="e">
        <v>#N/A</v>
      </c>
      <c r="N8070" s="1">
        <v>39814</v>
      </c>
    </row>
    <row r="8071" spans="11:14" x14ac:dyDescent="0.3">
      <c r="K8071" s="1">
        <v>40269</v>
      </c>
      <c r="M8071" t="e">
        <v>#N/A</v>
      </c>
      <c r="N8071" s="1">
        <v>39814</v>
      </c>
    </row>
    <row r="8072" spans="11:14" x14ac:dyDescent="0.3">
      <c r="K8072" s="1">
        <v>40269</v>
      </c>
      <c r="M8072" t="e">
        <v>#N/A</v>
      </c>
      <c r="N8072" s="1">
        <v>39814</v>
      </c>
    </row>
    <row r="8073" spans="11:14" x14ac:dyDescent="0.3">
      <c r="K8073" s="1">
        <v>40269</v>
      </c>
      <c r="M8073" t="e">
        <v>#N/A</v>
      </c>
      <c r="N8073" s="1">
        <v>39814</v>
      </c>
    </row>
    <row r="8074" spans="11:14" x14ac:dyDescent="0.3">
      <c r="K8074" s="1">
        <v>40269</v>
      </c>
      <c r="M8074" t="e">
        <v>#N/A</v>
      </c>
      <c r="N8074" s="1">
        <v>39814</v>
      </c>
    </row>
    <row r="8075" spans="11:14" x14ac:dyDescent="0.3">
      <c r="K8075" s="1">
        <v>40269</v>
      </c>
      <c r="M8075" t="e">
        <v>#N/A</v>
      </c>
      <c r="N8075" s="1">
        <v>39814</v>
      </c>
    </row>
    <row r="8076" spans="11:14" x14ac:dyDescent="0.3">
      <c r="K8076" s="1">
        <v>40269</v>
      </c>
      <c r="M8076" t="e">
        <v>#N/A</v>
      </c>
      <c r="N8076" s="1">
        <v>39814</v>
      </c>
    </row>
    <row r="8077" spans="11:14" x14ac:dyDescent="0.3">
      <c r="K8077" s="1">
        <v>40269</v>
      </c>
      <c r="M8077" t="e">
        <v>#N/A</v>
      </c>
      <c r="N8077" s="1">
        <v>39814</v>
      </c>
    </row>
    <row r="8078" spans="11:14" x14ac:dyDescent="0.3">
      <c r="K8078" s="1">
        <v>40269</v>
      </c>
      <c r="M8078" t="e">
        <v>#N/A</v>
      </c>
      <c r="N8078" s="1">
        <v>39814</v>
      </c>
    </row>
    <row r="8079" spans="11:14" x14ac:dyDescent="0.3">
      <c r="K8079" s="1">
        <v>40269</v>
      </c>
      <c r="M8079" t="e">
        <v>#N/A</v>
      </c>
      <c r="N8079" s="1">
        <v>39814</v>
      </c>
    </row>
    <row r="8080" spans="11:14" x14ac:dyDescent="0.3">
      <c r="K8080" s="1">
        <v>40269</v>
      </c>
      <c r="M8080" t="e">
        <v>#N/A</v>
      </c>
      <c r="N8080" s="1">
        <v>39814</v>
      </c>
    </row>
    <row r="8081" spans="11:14" x14ac:dyDescent="0.3">
      <c r="K8081" s="1">
        <v>40269</v>
      </c>
      <c r="M8081" t="e">
        <v>#N/A</v>
      </c>
      <c r="N8081" s="1">
        <v>39814</v>
      </c>
    </row>
    <row r="8082" spans="11:14" x14ac:dyDescent="0.3">
      <c r="K8082" s="1">
        <v>40269</v>
      </c>
      <c r="M8082" t="e">
        <v>#N/A</v>
      </c>
      <c r="N8082" s="1">
        <v>39814</v>
      </c>
    </row>
    <row r="8083" spans="11:14" x14ac:dyDescent="0.3">
      <c r="K8083" s="1">
        <v>40269</v>
      </c>
      <c r="M8083" t="e">
        <v>#N/A</v>
      </c>
      <c r="N8083" s="1">
        <v>39814</v>
      </c>
    </row>
    <row r="8084" spans="11:14" x14ac:dyDescent="0.3">
      <c r="K8084" s="1">
        <v>40269</v>
      </c>
      <c r="M8084" t="e">
        <v>#N/A</v>
      </c>
      <c r="N8084" s="1">
        <v>39814</v>
      </c>
    </row>
    <row r="8085" spans="11:14" x14ac:dyDescent="0.3">
      <c r="K8085" s="1">
        <v>40269</v>
      </c>
      <c r="M8085" t="e">
        <v>#N/A</v>
      </c>
      <c r="N8085" s="1">
        <v>39814</v>
      </c>
    </row>
    <row r="8086" spans="11:14" x14ac:dyDescent="0.3">
      <c r="K8086" s="1">
        <v>40269</v>
      </c>
      <c r="M8086" t="e">
        <v>#N/A</v>
      </c>
      <c r="N8086" s="1">
        <v>39814</v>
      </c>
    </row>
    <row r="8087" spans="11:14" x14ac:dyDescent="0.3">
      <c r="K8087" s="1">
        <v>40269</v>
      </c>
      <c r="M8087" t="e">
        <v>#N/A</v>
      </c>
      <c r="N8087" s="1">
        <v>39814</v>
      </c>
    </row>
    <row r="8088" spans="11:14" x14ac:dyDescent="0.3">
      <c r="K8088" s="1">
        <v>40269</v>
      </c>
      <c r="M8088" t="e">
        <v>#N/A</v>
      </c>
      <c r="N8088" s="1">
        <v>39814</v>
      </c>
    </row>
    <row r="8089" spans="11:14" x14ac:dyDescent="0.3">
      <c r="K8089" s="1">
        <v>40269</v>
      </c>
      <c r="M8089" t="e">
        <v>#N/A</v>
      </c>
      <c r="N8089" s="1">
        <v>39814</v>
      </c>
    </row>
    <row r="8090" spans="11:14" x14ac:dyDescent="0.3">
      <c r="K8090" s="1">
        <v>40269</v>
      </c>
      <c r="M8090" t="e">
        <v>#N/A</v>
      </c>
      <c r="N8090" s="1">
        <v>39814</v>
      </c>
    </row>
    <row r="8091" spans="11:14" x14ac:dyDescent="0.3">
      <c r="K8091" s="1">
        <v>40269</v>
      </c>
      <c r="M8091" t="e">
        <v>#N/A</v>
      </c>
      <c r="N8091" s="1">
        <v>39814</v>
      </c>
    </row>
    <row r="8092" spans="11:14" x14ac:dyDescent="0.3">
      <c r="K8092" s="1">
        <v>40269</v>
      </c>
      <c r="M8092" t="e">
        <v>#N/A</v>
      </c>
      <c r="N8092" s="1">
        <v>39814</v>
      </c>
    </row>
    <row r="8093" spans="11:14" x14ac:dyDescent="0.3">
      <c r="K8093" s="1">
        <v>40269</v>
      </c>
      <c r="M8093" t="e">
        <v>#N/A</v>
      </c>
      <c r="N8093" s="1">
        <v>39814</v>
      </c>
    </row>
    <row r="8094" spans="11:14" x14ac:dyDescent="0.3">
      <c r="K8094" s="1">
        <v>40269</v>
      </c>
      <c r="M8094" t="e">
        <v>#N/A</v>
      </c>
      <c r="N8094" s="1">
        <v>39814</v>
      </c>
    </row>
    <row r="8095" spans="11:14" x14ac:dyDescent="0.3">
      <c r="K8095" s="1">
        <v>40269</v>
      </c>
      <c r="M8095" t="e">
        <v>#N/A</v>
      </c>
      <c r="N8095" s="1">
        <v>39814</v>
      </c>
    </row>
    <row r="8096" spans="11:14" x14ac:dyDescent="0.3">
      <c r="K8096" s="1">
        <v>40269</v>
      </c>
      <c r="M8096" t="e">
        <v>#N/A</v>
      </c>
      <c r="N8096" s="1">
        <v>39814</v>
      </c>
    </row>
    <row r="8097" spans="11:14" x14ac:dyDescent="0.3">
      <c r="K8097" s="1">
        <v>40269</v>
      </c>
      <c r="M8097" t="e">
        <v>#N/A</v>
      </c>
      <c r="N8097" s="1">
        <v>39814</v>
      </c>
    </row>
    <row r="8098" spans="11:14" x14ac:dyDescent="0.3">
      <c r="K8098" s="1">
        <v>40269</v>
      </c>
      <c r="M8098" t="e">
        <v>#N/A</v>
      </c>
      <c r="N8098" s="1">
        <v>39814</v>
      </c>
    </row>
    <row r="8099" spans="11:14" x14ac:dyDescent="0.3">
      <c r="K8099" s="1">
        <v>40269</v>
      </c>
      <c r="M8099" t="e">
        <v>#N/A</v>
      </c>
      <c r="N8099" s="1">
        <v>39814</v>
      </c>
    </row>
    <row r="8100" spans="11:14" x14ac:dyDescent="0.3">
      <c r="K8100" s="1">
        <v>40269</v>
      </c>
      <c r="M8100" t="e">
        <v>#N/A</v>
      </c>
      <c r="N8100" s="1">
        <v>39814</v>
      </c>
    </row>
    <row r="8101" spans="11:14" x14ac:dyDescent="0.3">
      <c r="K8101" s="1">
        <v>40269</v>
      </c>
      <c r="M8101" t="e">
        <v>#N/A</v>
      </c>
      <c r="N8101" s="1">
        <v>39814</v>
      </c>
    </row>
    <row r="8102" spans="11:14" x14ac:dyDescent="0.3">
      <c r="K8102" s="1">
        <v>40269</v>
      </c>
      <c r="M8102" t="e">
        <v>#N/A</v>
      </c>
      <c r="N8102" s="1">
        <v>39814</v>
      </c>
    </row>
    <row r="8103" spans="11:14" x14ac:dyDescent="0.3">
      <c r="K8103" s="1">
        <v>40269</v>
      </c>
      <c r="M8103" t="e">
        <v>#N/A</v>
      </c>
      <c r="N8103" s="1">
        <v>39814</v>
      </c>
    </row>
    <row r="8104" spans="11:14" x14ac:dyDescent="0.3">
      <c r="K8104" s="1">
        <v>40269</v>
      </c>
      <c r="M8104" t="e">
        <v>#N/A</v>
      </c>
      <c r="N8104" s="1">
        <v>39814</v>
      </c>
    </row>
    <row r="8105" spans="11:14" x14ac:dyDescent="0.3">
      <c r="K8105" s="1">
        <v>40269</v>
      </c>
      <c r="M8105" t="e">
        <v>#N/A</v>
      </c>
      <c r="N8105" s="1">
        <v>39814</v>
      </c>
    </row>
    <row r="8106" spans="11:14" x14ac:dyDescent="0.3">
      <c r="K8106" s="1">
        <v>40269</v>
      </c>
      <c r="M8106" t="e">
        <v>#N/A</v>
      </c>
      <c r="N8106" s="1">
        <v>39814</v>
      </c>
    </row>
    <row r="8107" spans="11:14" x14ac:dyDescent="0.3">
      <c r="K8107" s="1">
        <v>40269</v>
      </c>
      <c r="M8107" t="e">
        <v>#N/A</v>
      </c>
      <c r="N8107" s="1">
        <v>39814</v>
      </c>
    </row>
    <row r="8108" spans="11:14" x14ac:dyDescent="0.3">
      <c r="K8108" s="1">
        <v>40269</v>
      </c>
      <c r="M8108" t="e">
        <v>#N/A</v>
      </c>
      <c r="N8108" s="1">
        <v>39814</v>
      </c>
    </row>
    <row r="8109" spans="11:14" x14ac:dyDescent="0.3">
      <c r="K8109" s="1">
        <v>40269</v>
      </c>
      <c r="M8109" t="e">
        <v>#N/A</v>
      </c>
      <c r="N8109" s="1">
        <v>39814</v>
      </c>
    </row>
    <row r="8110" spans="11:14" x14ac:dyDescent="0.3">
      <c r="K8110" s="1">
        <v>40269</v>
      </c>
      <c r="M8110" t="e">
        <v>#N/A</v>
      </c>
      <c r="N8110" s="1">
        <v>39814</v>
      </c>
    </row>
    <row r="8111" spans="11:14" x14ac:dyDescent="0.3">
      <c r="K8111" s="1">
        <v>40269</v>
      </c>
      <c r="M8111" t="e">
        <v>#N/A</v>
      </c>
      <c r="N8111" s="1">
        <v>39814</v>
      </c>
    </row>
    <row r="8112" spans="11:14" x14ac:dyDescent="0.3">
      <c r="K8112" s="1">
        <v>40269</v>
      </c>
      <c r="M8112" t="e">
        <v>#N/A</v>
      </c>
      <c r="N8112" s="1">
        <v>39814</v>
      </c>
    </row>
    <row r="8113" spans="11:14" x14ac:dyDescent="0.3">
      <c r="K8113" s="1">
        <v>40269</v>
      </c>
      <c r="M8113" t="e">
        <v>#N/A</v>
      </c>
      <c r="N8113" s="1">
        <v>39814</v>
      </c>
    </row>
    <row r="8114" spans="11:14" x14ac:dyDescent="0.3">
      <c r="K8114" s="1">
        <v>40269</v>
      </c>
      <c r="M8114" t="e">
        <v>#N/A</v>
      </c>
      <c r="N8114" s="1">
        <v>39814</v>
      </c>
    </row>
    <row r="8115" spans="11:14" x14ac:dyDescent="0.3">
      <c r="K8115" s="1">
        <v>40269</v>
      </c>
      <c r="M8115" t="e">
        <v>#N/A</v>
      </c>
      <c r="N8115" s="1">
        <v>39814</v>
      </c>
    </row>
    <row r="8116" spans="11:14" x14ac:dyDescent="0.3">
      <c r="K8116" s="1">
        <v>40269</v>
      </c>
      <c r="M8116" t="e">
        <v>#N/A</v>
      </c>
      <c r="N8116" s="1">
        <v>39814</v>
      </c>
    </row>
    <row r="8117" spans="11:14" x14ac:dyDescent="0.3">
      <c r="K8117" s="1">
        <v>40269</v>
      </c>
      <c r="M8117" t="e">
        <v>#N/A</v>
      </c>
      <c r="N8117" s="1">
        <v>39814</v>
      </c>
    </row>
    <row r="8118" spans="11:14" x14ac:dyDescent="0.3">
      <c r="K8118" s="1">
        <v>40269</v>
      </c>
      <c r="M8118" t="e">
        <v>#N/A</v>
      </c>
      <c r="N8118" s="1">
        <v>39814</v>
      </c>
    </row>
    <row r="8119" spans="11:14" x14ac:dyDescent="0.3">
      <c r="K8119" s="1">
        <v>40269</v>
      </c>
      <c r="M8119" t="e">
        <v>#N/A</v>
      </c>
      <c r="N8119" s="1">
        <v>39814</v>
      </c>
    </row>
    <row r="8120" spans="11:14" x14ac:dyDescent="0.3">
      <c r="K8120" s="1">
        <v>40269</v>
      </c>
      <c r="M8120" t="e">
        <v>#N/A</v>
      </c>
      <c r="N8120" s="1">
        <v>39814</v>
      </c>
    </row>
    <row r="8121" spans="11:14" x14ac:dyDescent="0.3">
      <c r="K8121" s="1">
        <v>40269</v>
      </c>
      <c r="M8121" t="e">
        <v>#N/A</v>
      </c>
      <c r="N8121" s="1">
        <v>39814</v>
      </c>
    </row>
    <row r="8122" spans="11:14" x14ac:dyDescent="0.3">
      <c r="K8122" s="1">
        <v>40269</v>
      </c>
      <c r="M8122" t="e">
        <v>#N/A</v>
      </c>
      <c r="N8122" s="1">
        <v>39814</v>
      </c>
    </row>
    <row r="8123" spans="11:14" x14ac:dyDescent="0.3">
      <c r="K8123" s="1">
        <v>40269</v>
      </c>
      <c r="M8123" t="e">
        <v>#N/A</v>
      </c>
      <c r="N8123" s="1">
        <v>39814</v>
      </c>
    </row>
    <row r="8124" spans="11:14" x14ac:dyDescent="0.3">
      <c r="K8124" s="1">
        <v>40269</v>
      </c>
      <c r="M8124" t="e">
        <v>#N/A</v>
      </c>
      <c r="N8124" s="1">
        <v>39814</v>
      </c>
    </row>
    <row r="8125" spans="11:14" x14ac:dyDescent="0.3">
      <c r="K8125" s="1">
        <v>40269</v>
      </c>
      <c r="M8125" t="e">
        <v>#N/A</v>
      </c>
      <c r="N8125" s="1">
        <v>39814</v>
      </c>
    </row>
    <row r="8126" spans="11:14" x14ac:dyDescent="0.3">
      <c r="K8126" s="1">
        <v>40269</v>
      </c>
      <c r="M8126" t="e">
        <v>#N/A</v>
      </c>
      <c r="N8126" s="1">
        <v>39814</v>
      </c>
    </row>
    <row r="8127" spans="11:14" x14ac:dyDescent="0.3">
      <c r="K8127" s="1">
        <v>40269</v>
      </c>
      <c r="M8127" t="e">
        <v>#N/A</v>
      </c>
      <c r="N8127" s="1">
        <v>39814</v>
      </c>
    </row>
    <row r="8128" spans="11:14" x14ac:dyDescent="0.3">
      <c r="K8128" s="1">
        <v>40269</v>
      </c>
      <c r="M8128" t="e">
        <v>#N/A</v>
      </c>
      <c r="N8128" s="1">
        <v>39814</v>
      </c>
    </row>
    <row r="8129" spans="11:14" x14ac:dyDescent="0.3">
      <c r="K8129" s="1">
        <v>40269</v>
      </c>
      <c r="M8129" t="e">
        <v>#N/A</v>
      </c>
      <c r="N8129" s="1">
        <v>39814</v>
      </c>
    </row>
    <row r="8130" spans="11:14" x14ac:dyDescent="0.3">
      <c r="K8130" s="1">
        <v>40269</v>
      </c>
      <c r="M8130" t="e">
        <v>#N/A</v>
      </c>
      <c r="N8130" s="1">
        <v>39814</v>
      </c>
    </row>
    <row r="8131" spans="11:14" x14ac:dyDescent="0.3">
      <c r="K8131" s="1">
        <v>40269</v>
      </c>
      <c r="M8131" t="e">
        <v>#N/A</v>
      </c>
      <c r="N8131" s="1">
        <v>39814</v>
      </c>
    </row>
    <row r="8132" spans="11:14" x14ac:dyDescent="0.3">
      <c r="K8132" s="1">
        <v>40269</v>
      </c>
      <c r="M8132" t="e">
        <v>#N/A</v>
      </c>
      <c r="N8132" s="1">
        <v>39814</v>
      </c>
    </row>
    <row r="8133" spans="11:14" x14ac:dyDescent="0.3">
      <c r="K8133" s="1">
        <v>40269</v>
      </c>
      <c r="M8133" t="e">
        <v>#N/A</v>
      </c>
      <c r="N8133" s="1">
        <v>39814</v>
      </c>
    </row>
    <row r="8134" spans="11:14" x14ac:dyDescent="0.3">
      <c r="K8134" s="1">
        <v>40269</v>
      </c>
      <c r="M8134" t="e">
        <v>#N/A</v>
      </c>
      <c r="N8134" s="1">
        <v>39814</v>
      </c>
    </row>
    <row r="8135" spans="11:14" x14ac:dyDescent="0.3">
      <c r="K8135" s="1">
        <v>40269</v>
      </c>
      <c r="M8135" t="e">
        <v>#N/A</v>
      </c>
      <c r="N8135" s="1">
        <v>39814</v>
      </c>
    </row>
    <row r="8136" spans="11:14" x14ac:dyDescent="0.3">
      <c r="K8136" s="1">
        <v>40269</v>
      </c>
      <c r="M8136" t="e">
        <v>#N/A</v>
      </c>
      <c r="N8136" s="1">
        <v>39814</v>
      </c>
    </row>
    <row r="8137" spans="11:14" x14ac:dyDescent="0.3">
      <c r="K8137" s="1">
        <v>40269</v>
      </c>
      <c r="M8137" t="e">
        <v>#N/A</v>
      </c>
      <c r="N8137" s="1">
        <v>39814</v>
      </c>
    </row>
    <row r="8138" spans="11:14" x14ac:dyDescent="0.3">
      <c r="K8138" s="1">
        <v>40269</v>
      </c>
      <c r="M8138" t="e">
        <v>#N/A</v>
      </c>
      <c r="N8138" s="1">
        <v>39814</v>
      </c>
    </row>
    <row r="8139" spans="11:14" x14ac:dyDescent="0.3">
      <c r="K8139" s="1">
        <v>40269</v>
      </c>
      <c r="M8139" t="e">
        <v>#N/A</v>
      </c>
      <c r="N8139" s="1">
        <v>39814</v>
      </c>
    </row>
    <row r="8140" spans="11:14" x14ac:dyDescent="0.3">
      <c r="K8140" s="1">
        <v>40269</v>
      </c>
      <c r="M8140" t="e">
        <v>#N/A</v>
      </c>
      <c r="N8140" s="1">
        <v>39814</v>
      </c>
    </row>
    <row r="8141" spans="11:14" x14ac:dyDescent="0.3">
      <c r="K8141" s="1">
        <v>40269</v>
      </c>
      <c r="M8141" t="e">
        <v>#N/A</v>
      </c>
      <c r="N8141" s="1">
        <v>39814</v>
      </c>
    </row>
    <row r="8142" spans="11:14" x14ac:dyDescent="0.3">
      <c r="K8142" s="1">
        <v>40269</v>
      </c>
      <c r="M8142" t="e">
        <v>#N/A</v>
      </c>
      <c r="N8142" s="1">
        <v>39814</v>
      </c>
    </row>
    <row r="8143" spans="11:14" x14ac:dyDescent="0.3">
      <c r="K8143" s="1">
        <v>40269</v>
      </c>
      <c r="M8143" t="e">
        <v>#N/A</v>
      </c>
      <c r="N8143" s="1">
        <v>39814</v>
      </c>
    </row>
    <row r="8144" spans="11:14" x14ac:dyDescent="0.3">
      <c r="K8144" s="1">
        <v>40269</v>
      </c>
      <c r="M8144" t="e">
        <v>#N/A</v>
      </c>
      <c r="N8144" s="1">
        <v>39814</v>
      </c>
    </row>
    <row r="8145" spans="11:14" x14ac:dyDescent="0.3">
      <c r="K8145" s="1">
        <v>40269</v>
      </c>
      <c r="M8145" t="e">
        <v>#N/A</v>
      </c>
      <c r="N8145" s="1">
        <v>39814</v>
      </c>
    </row>
    <row r="8146" spans="11:14" x14ac:dyDescent="0.3">
      <c r="K8146" s="1">
        <v>40269</v>
      </c>
      <c r="M8146" t="e">
        <v>#N/A</v>
      </c>
      <c r="N8146" s="1">
        <v>39814</v>
      </c>
    </row>
    <row r="8147" spans="11:14" x14ac:dyDescent="0.3">
      <c r="K8147" s="1">
        <v>40269</v>
      </c>
      <c r="M8147" t="e">
        <v>#N/A</v>
      </c>
      <c r="N8147" s="1">
        <v>39814</v>
      </c>
    </row>
    <row r="8148" spans="11:14" x14ac:dyDescent="0.3">
      <c r="K8148" s="1">
        <v>40269</v>
      </c>
      <c r="M8148" t="e">
        <v>#N/A</v>
      </c>
      <c r="N8148" s="1">
        <v>39814</v>
      </c>
    </row>
    <row r="8149" spans="11:14" x14ac:dyDescent="0.3">
      <c r="K8149" s="1">
        <v>40269</v>
      </c>
      <c r="M8149" t="e">
        <v>#N/A</v>
      </c>
      <c r="N8149" s="1">
        <v>39814</v>
      </c>
    </row>
    <row r="8150" spans="11:14" x14ac:dyDescent="0.3">
      <c r="K8150" s="1">
        <v>40269</v>
      </c>
      <c r="M8150" t="e">
        <v>#N/A</v>
      </c>
      <c r="N8150" s="1">
        <v>39814</v>
      </c>
    </row>
    <row r="8151" spans="11:14" x14ac:dyDescent="0.3">
      <c r="K8151" s="1">
        <v>40269</v>
      </c>
      <c r="M8151" t="e">
        <v>#N/A</v>
      </c>
      <c r="N8151" s="1">
        <v>39814</v>
      </c>
    </row>
    <row r="8152" spans="11:14" x14ac:dyDescent="0.3">
      <c r="K8152" s="1">
        <v>40269</v>
      </c>
      <c r="M8152" t="e">
        <v>#N/A</v>
      </c>
      <c r="N8152" s="1">
        <v>39814</v>
      </c>
    </row>
    <row r="8153" spans="11:14" x14ac:dyDescent="0.3">
      <c r="K8153" s="1">
        <v>40269</v>
      </c>
      <c r="M8153" t="e">
        <v>#N/A</v>
      </c>
      <c r="N8153" s="1">
        <v>39814</v>
      </c>
    </row>
    <row r="8154" spans="11:14" x14ac:dyDescent="0.3">
      <c r="K8154" s="1">
        <v>40269</v>
      </c>
      <c r="M8154" t="e">
        <v>#N/A</v>
      </c>
      <c r="N8154" s="1">
        <v>39814</v>
      </c>
    </row>
    <row r="8155" spans="11:14" x14ac:dyDescent="0.3">
      <c r="K8155" s="1">
        <v>40269</v>
      </c>
      <c r="M8155" t="e">
        <v>#N/A</v>
      </c>
      <c r="N8155" s="1">
        <v>39814</v>
      </c>
    </row>
    <row r="8156" spans="11:14" x14ac:dyDescent="0.3">
      <c r="K8156" s="1">
        <v>40269</v>
      </c>
      <c r="M8156" t="e">
        <v>#N/A</v>
      </c>
      <c r="N8156" s="1">
        <v>39814</v>
      </c>
    </row>
    <row r="8157" spans="11:14" x14ac:dyDescent="0.3">
      <c r="K8157" s="1">
        <v>40269</v>
      </c>
      <c r="M8157" t="e">
        <v>#N/A</v>
      </c>
      <c r="N8157" s="1">
        <v>39814</v>
      </c>
    </row>
    <row r="8158" spans="11:14" x14ac:dyDescent="0.3">
      <c r="K8158" s="1">
        <v>40269</v>
      </c>
      <c r="M8158" t="e">
        <v>#N/A</v>
      </c>
      <c r="N8158" s="1">
        <v>39814</v>
      </c>
    </row>
    <row r="8159" spans="11:14" x14ac:dyDescent="0.3">
      <c r="K8159" s="1">
        <v>40269</v>
      </c>
      <c r="M8159" t="e">
        <v>#N/A</v>
      </c>
      <c r="N8159" s="1">
        <v>39814</v>
      </c>
    </row>
    <row r="8160" spans="11:14" x14ac:dyDescent="0.3">
      <c r="K8160" s="1">
        <v>40269</v>
      </c>
      <c r="M8160" t="e">
        <v>#N/A</v>
      </c>
      <c r="N8160" s="1">
        <v>39814</v>
      </c>
    </row>
    <row r="8161" spans="11:14" x14ac:dyDescent="0.3">
      <c r="K8161" s="1">
        <v>40269</v>
      </c>
      <c r="M8161" t="e">
        <v>#N/A</v>
      </c>
      <c r="N8161" s="1">
        <v>39814</v>
      </c>
    </row>
    <row r="8162" spans="11:14" x14ac:dyDescent="0.3">
      <c r="K8162" s="1">
        <v>40269</v>
      </c>
      <c r="M8162" t="e">
        <v>#N/A</v>
      </c>
      <c r="N8162" s="1">
        <v>39814</v>
      </c>
    </row>
    <row r="8163" spans="11:14" x14ac:dyDescent="0.3">
      <c r="K8163" s="1">
        <v>40269</v>
      </c>
      <c r="M8163" t="e">
        <v>#N/A</v>
      </c>
      <c r="N8163" s="1">
        <v>39814</v>
      </c>
    </row>
    <row r="8164" spans="11:14" x14ac:dyDescent="0.3">
      <c r="K8164" s="1">
        <v>40269</v>
      </c>
      <c r="M8164" t="e">
        <v>#N/A</v>
      </c>
      <c r="N8164" s="1">
        <v>39814</v>
      </c>
    </row>
    <row r="8165" spans="11:14" x14ac:dyDescent="0.3">
      <c r="K8165" s="1">
        <v>40269</v>
      </c>
      <c r="M8165" t="e">
        <v>#N/A</v>
      </c>
      <c r="N8165" s="1">
        <v>39814</v>
      </c>
    </row>
    <row r="8166" spans="11:14" x14ac:dyDescent="0.3">
      <c r="K8166" s="1">
        <v>40269</v>
      </c>
      <c r="M8166" t="e">
        <v>#N/A</v>
      </c>
      <c r="N8166" s="1">
        <v>39814</v>
      </c>
    </row>
    <row r="8167" spans="11:14" x14ac:dyDescent="0.3">
      <c r="K8167" s="1">
        <v>40269</v>
      </c>
      <c r="M8167" t="e">
        <v>#N/A</v>
      </c>
      <c r="N8167" s="1">
        <v>39814</v>
      </c>
    </row>
    <row r="8168" spans="11:14" x14ac:dyDescent="0.3">
      <c r="K8168" s="1">
        <v>40269</v>
      </c>
      <c r="M8168" t="e">
        <v>#N/A</v>
      </c>
      <c r="N8168" s="1">
        <v>39814</v>
      </c>
    </row>
    <row r="8169" spans="11:14" x14ac:dyDescent="0.3">
      <c r="K8169" s="1">
        <v>40269</v>
      </c>
      <c r="M8169" t="e">
        <v>#N/A</v>
      </c>
      <c r="N8169" s="1">
        <v>39814</v>
      </c>
    </row>
    <row r="8170" spans="11:14" x14ac:dyDescent="0.3">
      <c r="K8170" s="1">
        <v>40269</v>
      </c>
      <c r="M8170" t="e">
        <v>#N/A</v>
      </c>
      <c r="N8170" s="1">
        <v>39814</v>
      </c>
    </row>
    <row r="8171" spans="11:14" x14ac:dyDescent="0.3">
      <c r="K8171" s="1">
        <v>40269</v>
      </c>
      <c r="M8171" t="e">
        <v>#N/A</v>
      </c>
      <c r="N8171" s="1">
        <v>39814</v>
      </c>
    </row>
    <row r="8172" spans="11:14" x14ac:dyDescent="0.3">
      <c r="K8172" s="1">
        <v>40269</v>
      </c>
      <c r="M8172" t="e">
        <v>#N/A</v>
      </c>
      <c r="N8172" s="1">
        <v>39814</v>
      </c>
    </row>
    <row r="8173" spans="11:14" x14ac:dyDescent="0.3">
      <c r="K8173" s="1">
        <v>40269</v>
      </c>
      <c r="M8173" t="e">
        <v>#N/A</v>
      </c>
      <c r="N8173" s="1">
        <v>39814</v>
      </c>
    </row>
    <row r="8174" spans="11:14" x14ac:dyDescent="0.3">
      <c r="K8174" s="1">
        <v>40269</v>
      </c>
      <c r="M8174" t="e">
        <v>#N/A</v>
      </c>
      <c r="N8174" s="1">
        <v>39814</v>
      </c>
    </row>
    <row r="8175" spans="11:14" x14ac:dyDescent="0.3">
      <c r="K8175" s="1">
        <v>40269</v>
      </c>
      <c r="M8175" t="e">
        <v>#N/A</v>
      </c>
      <c r="N8175" s="1">
        <v>39814</v>
      </c>
    </row>
    <row r="8176" spans="11:14" x14ac:dyDescent="0.3">
      <c r="K8176" s="1">
        <v>40269</v>
      </c>
      <c r="M8176" t="e">
        <v>#N/A</v>
      </c>
      <c r="N8176" s="1">
        <v>39814</v>
      </c>
    </row>
    <row r="8177" spans="11:14" x14ac:dyDescent="0.3">
      <c r="K8177" s="1">
        <v>40269</v>
      </c>
      <c r="M8177" t="e">
        <v>#N/A</v>
      </c>
      <c r="N8177" s="1">
        <v>39814</v>
      </c>
    </row>
    <row r="8178" spans="11:14" x14ac:dyDescent="0.3">
      <c r="K8178" s="1">
        <v>40269</v>
      </c>
      <c r="M8178" t="e">
        <v>#N/A</v>
      </c>
      <c r="N8178" s="1">
        <v>39814</v>
      </c>
    </row>
    <row r="8179" spans="11:14" x14ac:dyDescent="0.3">
      <c r="K8179" s="1">
        <v>40269</v>
      </c>
      <c r="M8179" t="e">
        <v>#N/A</v>
      </c>
      <c r="N8179" s="1">
        <v>39814</v>
      </c>
    </row>
    <row r="8180" spans="11:14" x14ac:dyDescent="0.3">
      <c r="K8180" s="1">
        <v>40269</v>
      </c>
      <c r="M8180" t="e">
        <v>#N/A</v>
      </c>
      <c r="N8180" s="1">
        <v>39814</v>
      </c>
    </row>
    <row r="8181" spans="11:14" x14ac:dyDescent="0.3">
      <c r="K8181" s="1">
        <v>40269</v>
      </c>
      <c r="M8181" t="e">
        <v>#N/A</v>
      </c>
      <c r="N8181" s="1">
        <v>39814</v>
      </c>
    </row>
    <row r="8182" spans="11:14" x14ac:dyDescent="0.3">
      <c r="K8182" s="1">
        <v>40269</v>
      </c>
      <c r="M8182" t="e">
        <v>#N/A</v>
      </c>
      <c r="N8182" s="1">
        <v>39814</v>
      </c>
    </row>
    <row r="8183" spans="11:14" x14ac:dyDescent="0.3">
      <c r="K8183" s="1">
        <v>40269</v>
      </c>
      <c r="M8183" t="e">
        <v>#N/A</v>
      </c>
      <c r="N8183" s="1">
        <v>39814</v>
      </c>
    </row>
    <row r="8184" spans="11:14" x14ac:dyDescent="0.3">
      <c r="K8184" s="1">
        <v>40269</v>
      </c>
      <c r="M8184" t="e">
        <v>#N/A</v>
      </c>
      <c r="N8184" s="1">
        <v>39814</v>
      </c>
    </row>
    <row r="8185" spans="11:14" x14ac:dyDescent="0.3">
      <c r="K8185" s="1">
        <v>40269</v>
      </c>
      <c r="M8185" t="e">
        <v>#N/A</v>
      </c>
      <c r="N8185" s="1">
        <v>39814</v>
      </c>
    </row>
    <row r="8186" spans="11:14" x14ac:dyDescent="0.3">
      <c r="K8186" s="1">
        <v>40269</v>
      </c>
      <c r="M8186" t="e">
        <v>#N/A</v>
      </c>
      <c r="N8186" s="1">
        <v>39814</v>
      </c>
    </row>
    <row r="8187" spans="11:14" x14ac:dyDescent="0.3">
      <c r="K8187" s="1">
        <v>40269</v>
      </c>
      <c r="M8187" t="e">
        <v>#N/A</v>
      </c>
      <c r="N8187" s="1">
        <v>39814</v>
      </c>
    </row>
    <row r="8188" spans="11:14" x14ac:dyDescent="0.3">
      <c r="K8188" s="1">
        <v>40269</v>
      </c>
      <c r="M8188" t="e">
        <v>#N/A</v>
      </c>
      <c r="N8188" s="1">
        <v>39814</v>
      </c>
    </row>
    <row r="8189" spans="11:14" x14ac:dyDescent="0.3">
      <c r="K8189" s="1">
        <v>40269</v>
      </c>
      <c r="M8189" t="e">
        <v>#N/A</v>
      </c>
      <c r="N8189" s="1">
        <v>39814</v>
      </c>
    </row>
    <row r="8190" spans="11:14" x14ac:dyDescent="0.3">
      <c r="K8190" s="1">
        <v>40269</v>
      </c>
      <c r="M8190" t="e">
        <v>#N/A</v>
      </c>
      <c r="N8190" s="1">
        <v>39814</v>
      </c>
    </row>
    <row r="8191" spans="11:14" x14ac:dyDescent="0.3">
      <c r="K8191" s="1">
        <v>40269</v>
      </c>
      <c r="M8191" t="e">
        <v>#N/A</v>
      </c>
      <c r="N8191" s="1">
        <v>39814</v>
      </c>
    </row>
    <row r="8192" spans="11:14" x14ac:dyDescent="0.3">
      <c r="K8192" s="1">
        <v>40269</v>
      </c>
      <c r="M8192" t="e">
        <v>#N/A</v>
      </c>
      <c r="N8192" s="1">
        <v>39814</v>
      </c>
    </row>
    <row r="8193" spans="11:14" x14ac:dyDescent="0.3">
      <c r="K8193" s="1">
        <v>40269</v>
      </c>
      <c r="M8193" t="e">
        <v>#N/A</v>
      </c>
      <c r="N8193" s="1">
        <v>39814</v>
      </c>
    </row>
    <row r="8194" spans="11:14" x14ac:dyDescent="0.3">
      <c r="K8194" s="1">
        <v>40269</v>
      </c>
      <c r="M8194" t="e">
        <v>#N/A</v>
      </c>
      <c r="N8194" s="1">
        <v>39814</v>
      </c>
    </row>
    <row r="8195" spans="11:14" x14ac:dyDescent="0.3">
      <c r="K8195" s="1">
        <v>40269</v>
      </c>
      <c r="M8195" t="e">
        <v>#N/A</v>
      </c>
      <c r="N8195" s="1">
        <v>39814</v>
      </c>
    </row>
    <row r="8196" spans="11:14" x14ac:dyDescent="0.3">
      <c r="K8196" s="1">
        <v>40269</v>
      </c>
      <c r="M8196" t="e">
        <v>#N/A</v>
      </c>
      <c r="N8196" s="1">
        <v>39814</v>
      </c>
    </row>
    <row r="8197" spans="11:14" x14ac:dyDescent="0.3">
      <c r="K8197" s="1">
        <v>40269</v>
      </c>
      <c r="M8197" t="e">
        <v>#N/A</v>
      </c>
      <c r="N8197" s="1">
        <v>39814</v>
      </c>
    </row>
    <row r="8198" spans="11:14" x14ac:dyDescent="0.3">
      <c r="K8198" s="1">
        <v>40269</v>
      </c>
      <c r="M8198" t="e">
        <v>#N/A</v>
      </c>
      <c r="N8198" s="1">
        <v>39814</v>
      </c>
    </row>
    <row r="8199" spans="11:14" x14ac:dyDescent="0.3">
      <c r="K8199" s="1">
        <v>40269</v>
      </c>
      <c r="M8199" t="e">
        <v>#N/A</v>
      </c>
      <c r="N8199" s="1">
        <v>39814</v>
      </c>
    </row>
    <row r="8200" spans="11:14" x14ac:dyDescent="0.3">
      <c r="K8200" s="1">
        <v>40269</v>
      </c>
      <c r="M8200" t="e">
        <v>#N/A</v>
      </c>
      <c r="N8200" s="1">
        <v>39814</v>
      </c>
    </row>
    <row r="8201" spans="11:14" x14ac:dyDescent="0.3">
      <c r="K8201" s="1">
        <v>40269</v>
      </c>
      <c r="M8201" t="e">
        <v>#N/A</v>
      </c>
      <c r="N8201" s="1">
        <v>39814</v>
      </c>
    </row>
    <row r="8202" spans="11:14" x14ac:dyDescent="0.3">
      <c r="K8202" s="1">
        <v>40269</v>
      </c>
      <c r="M8202" t="e">
        <v>#N/A</v>
      </c>
      <c r="N8202" s="1">
        <v>39814</v>
      </c>
    </row>
    <row r="8203" spans="11:14" x14ac:dyDescent="0.3">
      <c r="K8203" s="1">
        <v>40269</v>
      </c>
      <c r="M8203" t="e">
        <v>#N/A</v>
      </c>
      <c r="N8203" s="1">
        <v>39814</v>
      </c>
    </row>
    <row r="8204" spans="11:14" x14ac:dyDescent="0.3">
      <c r="K8204" s="1">
        <v>40269</v>
      </c>
      <c r="M8204" t="e">
        <v>#N/A</v>
      </c>
      <c r="N8204" s="1">
        <v>39814</v>
      </c>
    </row>
    <row r="8205" spans="11:14" x14ac:dyDescent="0.3">
      <c r="K8205" s="1">
        <v>40269</v>
      </c>
      <c r="M8205" t="e">
        <v>#N/A</v>
      </c>
      <c r="N8205" s="1">
        <v>39814</v>
      </c>
    </row>
    <row r="8206" spans="11:14" x14ac:dyDescent="0.3">
      <c r="K8206" s="1">
        <v>40269</v>
      </c>
      <c r="M8206" t="e">
        <v>#N/A</v>
      </c>
      <c r="N8206" s="1">
        <v>39814</v>
      </c>
    </row>
    <row r="8207" spans="11:14" x14ac:dyDescent="0.3">
      <c r="K8207" s="1">
        <v>40269</v>
      </c>
      <c r="M8207" t="e">
        <v>#N/A</v>
      </c>
      <c r="N8207" s="1">
        <v>39814</v>
      </c>
    </row>
    <row r="8208" spans="11:14" x14ac:dyDescent="0.3">
      <c r="K8208" s="1">
        <v>40269</v>
      </c>
      <c r="M8208" t="e">
        <v>#N/A</v>
      </c>
      <c r="N8208" s="1">
        <v>39814</v>
      </c>
    </row>
    <row r="8209" spans="11:14" x14ac:dyDescent="0.3">
      <c r="K8209" s="1">
        <v>40269</v>
      </c>
      <c r="M8209" t="e">
        <v>#N/A</v>
      </c>
      <c r="N8209" s="1">
        <v>39814</v>
      </c>
    </row>
    <row r="8210" spans="11:14" x14ac:dyDescent="0.3">
      <c r="K8210" s="1">
        <v>40269</v>
      </c>
      <c r="M8210" t="e">
        <v>#N/A</v>
      </c>
      <c r="N8210" s="1">
        <v>39814</v>
      </c>
    </row>
    <row r="8211" spans="11:14" x14ac:dyDescent="0.3">
      <c r="K8211" s="1">
        <v>40269</v>
      </c>
      <c r="M8211" t="e">
        <v>#N/A</v>
      </c>
      <c r="N8211" s="1">
        <v>39814</v>
      </c>
    </row>
    <row r="8212" spans="11:14" x14ac:dyDescent="0.3">
      <c r="K8212" s="1">
        <v>40269</v>
      </c>
      <c r="M8212" t="e">
        <v>#N/A</v>
      </c>
      <c r="N8212" s="1">
        <v>39904</v>
      </c>
    </row>
    <row r="8213" spans="11:14" x14ac:dyDescent="0.3">
      <c r="K8213" s="1">
        <v>40269</v>
      </c>
      <c r="M8213" t="e">
        <v>#N/A</v>
      </c>
      <c r="N8213" s="1">
        <v>39904</v>
      </c>
    </row>
    <row r="8214" spans="11:14" x14ac:dyDescent="0.3">
      <c r="K8214" s="1">
        <v>40269</v>
      </c>
      <c r="M8214" t="e">
        <v>#N/A</v>
      </c>
      <c r="N8214" s="1">
        <v>39904</v>
      </c>
    </row>
    <row r="8215" spans="11:14" x14ac:dyDescent="0.3">
      <c r="K8215" s="1">
        <v>40269</v>
      </c>
      <c r="M8215" t="e">
        <v>#N/A</v>
      </c>
      <c r="N8215" s="1">
        <v>39904</v>
      </c>
    </row>
    <row r="8216" spans="11:14" x14ac:dyDescent="0.3">
      <c r="K8216" s="1">
        <v>40269</v>
      </c>
      <c r="M8216" t="e">
        <v>#N/A</v>
      </c>
      <c r="N8216" s="1">
        <v>39904</v>
      </c>
    </row>
    <row r="8217" spans="11:14" x14ac:dyDescent="0.3">
      <c r="K8217" s="1">
        <v>40269</v>
      </c>
      <c r="M8217" t="e">
        <v>#N/A</v>
      </c>
      <c r="N8217" s="1">
        <v>39904</v>
      </c>
    </row>
    <row r="8218" spans="11:14" x14ac:dyDescent="0.3">
      <c r="K8218" s="1">
        <v>40269</v>
      </c>
      <c r="M8218" t="e">
        <v>#N/A</v>
      </c>
      <c r="N8218" s="1">
        <v>39904</v>
      </c>
    </row>
    <row r="8219" spans="11:14" x14ac:dyDescent="0.3">
      <c r="K8219" s="1">
        <v>40269</v>
      </c>
      <c r="M8219" t="e">
        <v>#N/A</v>
      </c>
      <c r="N8219" s="1">
        <v>39904</v>
      </c>
    </row>
    <row r="8220" spans="11:14" x14ac:dyDescent="0.3">
      <c r="K8220" s="1">
        <v>40269</v>
      </c>
      <c r="M8220" t="e">
        <v>#N/A</v>
      </c>
      <c r="N8220" s="1">
        <v>39904</v>
      </c>
    </row>
    <row r="8221" spans="11:14" x14ac:dyDescent="0.3">
      <c r="K8221" s="1">
        <v>40269</v>
      </c>
      <c r="M8221" t="e">
        <v>#N/A</v>
      </c>
      <c r="N8221" s="1">
        <v>39904</v>
      </c>
    </row>
    <row r="8222" spans="11:14" x14ac:dyDescent="0.3">
      <c r="K8222" s="1">
        <v>40269</v>
      </c>
      <c r="M8222" t="e">
        <v>#N/A</v>
      </c>
      <c r="N8222" s="1">
        <v>39904</v>
      </c>
    </row>
    <row r="8223" spans="11:14" x14ac:dyDescent="0.3">
      <c r="K8223" s="1">
        <v>40269</v>
      </c>
      <c r="M8223" t="e">
        <v>#N/A</v>
      </c>
      <c r="N8223" s="1">
        <v>39904</v>
      </c>
    </row>
    <row r="8224" spans="11:14" x14ac:dyDescent="0.3">
      <c r="K8224" s="1">
        <v>40269</v>
      </c>
      <c r="M8224" t="e">
        <v>#N/A</v>
      </c>
      <c r="N8224" s="1">
        <v>39904</v>
      </c>
    </row>
    <row r="8225" spans="11:14" x14ac:dyDescent="0.3">
      <c r="K8225" s="1">
        <v>40269</v>
      </c>
      <c r="M8225" t="e">
        <v>#N/A</v>
      </c>
      <c r="N8225" s="1">
        <v>39904</v>
      </c>
    </row>
    <row r="8226" spans="11:14" x14ac:dyDescent="0.3">
      <c r="K8226" s="1">
        <v>40269</v>
      </c>
      <c r="M8226" t="e">
        <v>#N/A</v>
      </c>
      <c r="N8226" s="1">
        <v>39904</v>
      </c>
    </row>
    <row r="8227" spans="11:14" x14ac:dyDescent="0.3">
      <c r="K8227" s="1">
        <v>40269</v>
      </c>
      <c r="M8227" t="e">
        <v>#N/A</v>
      </c>
      <c r="N8227" s="1">
        <v>39904</v>
      </c>
    </row>
    <row r="8228" spans="11:14" x14ac:dyDescent="0.3">
      <c r="K8228" s="1">
        <v>40269</v>
      </c>
      <c r="M8228" t="e">
        <v>#N/A</v>
      </c>
      <c r="N8228" s="1">
        <v>39904</v>
      </c>
    </row>
    <row r="8229" spans="11:14" x14ac:dyDescent="0.3">
      <c r="K8229" s="1">
        <v>40269</v>
      </c>
      <c r="M8229" t="e">
        <v>#N/A</v>
      </c>
      <c r="N8229" s="1">
        <v>39904</v>
      </c>
    </row>
    <row r="8230" spans="11:14" x14ac:dyDescent="0.3">
      <c r="K8230" s="1">
        <v>40269</v>
      </c>
      <c r="M8230" t="e">
        <v>#N/A</v>
      </c>
      <c r="N8230" s="1">
        <v>39904</v>
      </c>
    </row>
    <row r="8231" spans="11:14" x14ac:dyDescent="0.3">
      <c r="K8231" s="1">
        <v>40269</v>
      </c>
      <c r="M8231" t="e">
        <v>#N/A</v>
      </c>
      <c r="N8231" s="1">
        <v>39904</v>
      </c>
    </row>
    <row r="8232" spans="11:14" x14ac:dyDescent="0.3">
      <c r="K8232" s="1">
        <v>40269</v>
      </c>
      <c r="M8232" t="e">
        <v>#N/A</v>
      </c>
      <c r="N8232" s="1">
        <v>39904</v>
      </c>
    </row>
    <row r="8233" spans="11:14" x14ac:dyDescent="0.3">
      <c r="K8233" s="1">
        <v>40269</v>
      </c>
      <c r="M8233" t="e">
        <v>#N/A</v>
      </c>
      <c r="N8233" s="1">
        <v>39904</v>
      </c>
    </row>
    <row r="8234" spans="11:14" x14ac:dyDescent="0.3">
      <c r="K8234" s="1">
        <v>40269</v>
      </c>
      <c r="M8234" t="e">
        <v>#N/A</v>
      </c>
      <c r="N8234" s="1">
        <v>39904</v>
      </c>
    </row>
    <row r="8235" spans="11:14" x14ac:dyDescent="0.3">
      <c r="K8235" s="1">
        <v>40269</v>
      </c>
      <c r="M8235" t="e">
        <v>#N/A</v>
      </c>
      <c r="N8235" s="1">
        <v>39904</v>
      </c>
    </row>
    <row r="8236" spans="11:14" x14ac:dyDescent="0.3">
      <c r="K8236" s="1">
        <v>40269</v>
      </c>
      <c r="M8236" t="e">
        <v>#N/A</v>
      </c>
      <c r="N8236" s="1">
        <v>39904</v>
      </c>
    </row>
    <row r="8237" spans="11:14" x14ac:dyDescent="0.3">
      <c r="K8237" s="1">
        <v>40269</v>
      </c>
      <c r="M8237" t="e">
        <v>#N/A</v>
      </c>
      <c r="N8237" s="1">
        <v>39904</v>
      </c>
    </row>
    <row r="8238" spans="11:14" x14ac:dyDescent="0.3">
      <c r="K8238" s="1">
        <v>40269</v>
      </c>
      <c r="M8238" t="e">
        <v>#N/A</v>
      </c>
      <c r="N8238" s="1">
        <v>39904</v>
      </c>
    </row>
    <row r="8239" spans="11:14" x14ac:dyDescent="0.3">
      <c r="K8239" s="1">
        <v>40269</v>
      </c>
      <c r="M8239" t="e">
        <v>#N/A</v>
      </c>
      <c r="N8239" s="1">
        <v>39904</v>
      </c>
    </row>
    <row r="8240" spans="11:14" x14ac:dyDescent="0.3">
      <c r="K8240" s="1">
        <v>40269</v>
      </c>
      <c r="M8240" t="e">
        <v>#N/A</v>
      </c>
      <c r="N8240" s="1">
        <v>39904</v>
      </c>
    </row>
    <row r="8241" spans="11:14" x14ac:dyDescent="0.3">
      <c r="K8241" s="1">
        <v>40269</v>
      </c>
      <c r="M8241" t="e">
        <v>#N/A</v>
      </c>
      <c r="N8241" s="1">
        <v>39904</v>
      </c>
    </row>
    <row r="8242" spans="11:14" x14ac:dyDescent="0.3">
      <c r="K8242" s="1">
        <v>40269</v>
      </c>
      <c r="M8242" t="e">
        <v>#N/A</v>
      </c>
      <c r="N8242" s="1">
        <v>39904</v>
      </c>
    </row>
    <row r="8243" spans="11:14" x14ac:dyDescent="0.3">
      <c r="K8243" s="1">
        <v>40269</v>
      </c>
      <c r="M8243" t="e">
        <v>#N/A</v>
      </c>
      <c r="N8243" s="1">
        <v>39904</v>
      </c>
    </row>
    <row r="8244" spans="11:14" x14ac:dyDescent="0.3">
      <c r="K8244" s="1">
        <v>40269</v>
      </c>
      <c r="M8244" t="e">
        <v>#N/A</v>
      </c>
      <c r="N8244" s="1">
        <v>39904</v>
      </c>
    </row>
    <row r="8245" spans="11:14" x14ac:dyDescent="0.3">
      <c r="K8245" s="1">
        <v>40269</v>
      </c>
      <c r="M8245" t="e">
        <v>#N/A</v>
      </c>
      <c r="N8245" s="1">
        <v>39904</v>
      </c>
    </row>
    <row r="8246" spans="11:14" x14ac:dyDescent="0.3">
      <c r="K8246" s="1">
        <v>40269</v>
      </c>
      <c r="M8246" t="e">
        <v>#N/A</v>
      </c>
      <c r="N8246" s="1">
        <v>39904</v>
      </c>
    </row>
    <row r="8247" spans="11:14" x14ac:dyDescent="0.3">
      <c r="K8247" s="1">
        <v>40269</v>
      </c>
      <c r="M8247" t="e">
        <v>#N/A</v>
      </c>
      <c r="N8247" s="1">
        <v>39904</v>
      </c>
    </row>
    <row r="8248" spans="11:14" x14ac:dyDescent="0.3">
      <c r="K8248" s="1">
        <v>40269</v>
      </c>
      <c r="M8248" t="e">
        <v>#N/A</v>
      </c>
      <c r="N8248" s="1">
        <v>39904</v>
      </c>
    </row>
    <row r="8249" spans="11:14" x14ac:dyDescent="0.3">
      <c r="K8249" s="1">
        <v>40269</v>
      </c>
      <c r="M8249" t="e">
        <v>#N/A</v>
      </c>
      <c r="N8249" s="1">
        <v>39904</v>
      </c>
    </row>
    <row r="8250" spans="11:14" x14ac:dyDescent="0.3">
      <c r="K8250" s="1">
        <v>40269</v>
      </c>
      <c r="M8250" t="e">
        <v>#N/A</v>
      </c>
      <c r="N8250" s="1">
        <v>39904</v>
      </c>
    </row>
    <row r="8251" spans="11:14" x14ac:dyDescent="0.3">
      <c r="K8251" s="1">
        <v>40269</v>
      </c>
      <c r="M8251" t="e">
        <v>#N/A</v>
      </c>
      <c r="N8251" s="1">
        <v>39904</v>
      </c>
    </row>
    <row r="8252" spans="11:14" x14ac:dyDescent="0.3">
      <c r="K8252" s="1">
        <v>40269</v>
      </c>
      <c r="M8252" t="e">
        <v>#N/A</v>
      </c>
      <c r="N8252" s="1">
        <v>39904</v>
      </c>
    </row>
    <row r="8253" spans="11:14" x14ac:dyDescent="0.3">
      <c r="K8253" s="1">
        <v>40269</v>
      </c>
      <c r="M8253" t="e">
        <v>#N/A</v>
      </c>
      <c r="N8253" s="1">
        <v>39904</v>
      </c>
    </row>
    <row r="8254" spans="11:14" x14ac:dyDescent="0.3">
      <c r="K8254" s="1">
        <v>40269</v>
      </c>
      <c r="M8254" t="e">
        <v>#N/A</v>
      </c>
      <c r="N8254" s="1">
        <v>39904</v>
      </c>
    </row>
    <row r="8255" spans="11:14" x14ac:dyDescent="0.3">
      <c r="K8255" s="1">
        <v>40269</v>
      </c>
      <c r="M8255" t="e">
        <v>#N/A</v>
      </c>
      <c r="N8255" s="1">
        <v>39904</v>
      </c>
    </row>
    <row r="8256" spans="11:14" x14ac:dyDescent="0.3">
      <c r="K8256" s="1">
        <v>40269</v>
      </c>
      <c r="M8256" t="e">
        <v>#N/A</v>
      </c>
      <c r="N8256" s="1">
        <v>39904</v>
      </c>
    </row>
    <row r="8257" spans="11:14" x14ac:dyDescent="0.3">
      <c r="K8257" s="1">
        <v>40269</v>
      </c>
      <c r="M8257" t="e">
        <v>#N/A</v>
      </c>
      <c r="N8257" s="1">
        <v>39904</v>
      </c>
    </row>
    <row r="8258" spans="11:14" x14ac:dyDescent="0.3">
      <c r="K8258" s="1">
        <v>40269</v>
      </c>
      <c r="M8258" t="e">
        <v>#N/A</v>
      </c>
      <c r="N8258" s="1">
        <v>39904</v>
      </c>
    </row>
    <row r="8259" spans="11:14" x14ac:dyDescent="0.3">
      <c r="K8259" s="1">
        <v>40269</v>
      </c>
      <c r="M8259" t="e">
        <v>#N/A</v>
      </c>
      <c r="N8259" s="1">
        <v>39904</v>
      </c>
    </row>
    <row r="8260" spans="11:14" x14ac:dyDescent="0.3">
      <c r="K8260" s="1">
        <v>40269</v>
      </c>
      <c r="M8260" t="e">
        <v>#N/A</v>
      </c>
      <c r="N8260" s="1">
        <v>39904</v>
      </c>
    </row>
    <row r="8261" spans="11:14" x14ac:dyDescent="0.3">
      <c r="K8261" s="1">
        <v>40269</v>
      </c>
      <c r="M8261" t="e">
        <v>#N/A</v>
      </c>
      <c r="N8261" s="1">
        <v>39904</v>
      </c>
    </row>
    <row r="8262" spans="11:14" x14ac:dyDescent="0.3">
      <c r="K8262" s="1">
        <v>40269</v>
      </c>
      <c r="M8262" t="e">
        <v>#N/A</v>
      </c>
      <c r="N8262" s="1">
        <v>39904</v>
      </c>
    </row>
    <row r="8263" spans="11:14" x14ac:dyDescent="0.3">
      <c r="K8263" s="1">
        <v>40269</v>
      </c>
      <c r="M8263" t="e">
        <v>#N/A</v>
      </c>
      <c r="N8263" s="1">
        <v>39904</v>
      </c>
    </row>
    <row r="8264" spans="11:14" x14ac:dyDescent="0.3">
      <c r="K8264" s="1">
        <v>40269</v>
      </c>
      <c r="M8264" t="e">
        <v>#N/A</v>
      </c>
      <c r="N8264" s="1">
        <v>39904</v>
      </c>
    </row>
    <row r="8265" spans="11:14" x14ac:dyDescent="0.3">
      <c r="K8265" s="1">
        <v>40269</v>
      </c>
      <c r="M8265" t="e">
        <v>#N/A</v>
      </c>
      <c r="N8265" s="1">
        <v>39904</v>
      </c>
    </row>
    <row r="8266" spans="11:14" x14ac:dyDescent="0.3">
      <c r="K8266" s="1">
        <v>40269</v>
      </c>
      <c r="M8266" t="e">
        <v>#N/A</v>
      </c>
      <c r="N8266" s="1">
        <v>39904</v>
      </c>
    </row>
    <row r="8267" spans="11:14" x14ac:dyDescent="0.3">
      <c r="K8267" s="1">
        <v>40269</v>
      </c>
      <c r="M8267" t="e">
        <v>#N/A</v>
      </c>
      <c r="N8267" s="1">
        <v>39904</v>
      </c>
    </row>
    <row r="8268" spans="11:14" x14ac:dyDescent="0.3">
      <c r="K8268" s="1">
        <v>40269</v>
      </c>
      <c r="M8268" t="e">
        <v>#N/A</v>
      </c>
      <c r="N8268" s="1">
        <v>39904</v>
      </c>
    </row>
    <row r="8269" spans="11:14" x14ac:dyDescent="0.3">
      <c r="K8269" s="1">
        <v>40269</v>
      </c>
      <c r="M8269" t="e">
        <v>#N/A</v>
      </c>
      <c r="N8269" s="1">
        <v>39904</v>
      </c>
    </row>
    <row r="8270" spans="11:14" x14ac:dyDescent="0.3">
      <c r="K8270" s="1">
        <v>40269</v>
      </c>
      <c r="M8270" t="e">
        <v>#N/A</v>
      </c>
      <c r="N8270" s="1">
        <v>39904</v>
      </c>
    </row>
    <row r="8271" spans="11:14" x14ac:dyDescent="0.3">
      <c r="K8271" s="1">
        <v>40269</v>
      </c>
      <c r="M8271" t="e">
        <v>#N/A</v>
      </c>
      <c r="N8271" s="1">
        <v>39904</v>
      </c>
    </row>
    <row r="8272" spans="11:14" x14ac:dyDescent="0.3">
      <c r="K8272" s="1">
        <v>40269</v>
      </c>
      <c r="M8272" t="e">
        <v>#N/A</v>
      </c>
      <c r="N8272" s="1">
        <v>39904</v>
      </c>
    </row>
    <row r="8273" spans="11:14" x14ac:dyDescent="0.3">
      <c r="K8273" s="1">
        <v>40269</v>
      </c>
      <c r="M8273" t="e">
        <v>#N/A</v>
      </c>
      <c r="N8273" s="1">
        <v>39904</v>
      </c>
    </row>
    <row r="8274" spans="11:14" x14ac:dyDescent="0.3">
      <c r="K8274" s="1">
        <v>40269</v>
      </c>
      <c r="M8274" t="e">
        <v>#N/A</v>
      </c>
      <c r="N8274" s="1">
        <v>39904</v>
      </c>
    </row>
    <row r="8275" spans="11:14" x14ac:dyDescent="0.3">
      <c r="K8275" s="1">
        <v>40269</v>
      </c>
      <c r="M8275" t="e">
        <v>#N/A</v>
      </c>
      <c r="N8275" s="1">
        <v>39904</v>
      </c>
    </row>
    <row r="8276" spans="11:14" x14ac:dyDescent="0.3">
      <c r="K8276" s="1">
        <v>40269</v>
      </c>
      <c r="M8276" t="e">
        <v>#N/A</v>
      </c>
      <c r="N8276" s="1">
        <v>39904</v>
      </c>
    </row>
    <row r="8277" spans="11:14" x14ac:dyDescent="0.3">
      <c r="K8277" s="1">
        <v>40269</v>
      </c>
      <c r="M8277" t="e">
        <v>#N/A</v>
      </c>
      <c r="N8277" s="1">
        <v>39904</v>
      </c>
    </row>
    <row r="8278" spans="11:14" x14ac:dyDescent="0.3">
      <c r="K8278" s="1">
        <v>40269</v>
      </c>
      <c r="M8278" t="e">
        <v>#N/A</v>
      </c>
      <c r="N8278" s="1">
        <v>39904</v>
      </c>
    </row>
    <row r="8279" spans="11:14" x14ac:dyDescent="0.3">
      <c r="K8279" s="1">
        <v>40269</v>
      </c>
      <c r="M8279" t="e">
        <v>#N/A</v>
      </c>
      <c r="N8279" s="1">
        <v>39904</v>
      </c>
    </row>
    <row r="8280" spans="11:14" x14ac:dyDescent="0.3">
      <c r="K8280" s="1">
        <v>40269</v>
      </c>
      <c r="M8280" t="e">
        <v>#N/A</v>
      </c>
      <c r="N8280" s="1">
        <v>39904</v>
      </c>
    </row>
    <row r="8281" spans="11:14" x14ac:dyDescent="0.3">
      <c r="K8281" s="1">
        <v>40269</v>
      </c>
      <c r="M8281" t="e">
        <v>#N/A</v>
      </c>
      <c r="N8281" s="1">
        <v>39904</v>
      </c>
    </row>
    <row r="8282" spans="11:14" x14ac:dyDescent="0.3">
      <c r="K8282" s="1">
        <v>40269</v>
      </c>
      <c r="M8282" t="e">
        <v>#N/A</v>
      </c>
      <c r="N8282" s="1">
        <v>39904</v>
      </c>
    </row>
    <row r="8283" spans="11:14" x14ac:dyDescent="0.3">
      <c r="K8283" s="1">
        <v>40269</v>
      </c>
      <c r="M8283" t="e">
        <v>#N/A</v>
      </c>
      <c r="N8283" s="1">
        <v>39904</v>
      </c>
    </row>
    <row r="8284" spans="11:14" x14ac:dyDescent="0.3">
      <c r="K8284" s="1">
        <v>40269</v>
      </c>
      <c r="M8284" t="e">
        <v>#N/A</v>
      </c>
      <c r="N8284" s="1">
        <v>39904</v>
      </c>
    </row>
    <row r="8285" spans="11:14" x14ac:dyDescent="0.3">
      <c r="K8285" s="1">
        <v>40269</v>
      </c>
      <c r="M8285" t="e">
        <v>#N/A</v>
      </c>
      <c r="N8285" s="1">
        <v>39904</v>
      </c>
    </row>
    <row r="8286" spans="11:14" x14ac:dyDescent="0.3">
      <c r="K8286" s="1">
        <v>40269</v>
      </c>
      <c r="M8286" t="e">
        <v>#N/A</v>
      </c>
      <c r="N8286" s="1">
        <v>39904</v>
      </c>
    </row>
    <row r="8287" spans="11:14" x14ac:dyDescent="0.3">
      <c r="K8287" s="1">
        <v>40269</v>
      </c>
      <c r="M8287" t="e">
        <v>#N/A</v>
      </c>
      <c r="N8287" s="1">
        <v>39904</v>
      </c>
    </row>
    <row r="8288" spans="11:14" x14ac:dyDescent="0.3">
      <c r="K8288" s="1">
        <v>40269</v>
      </c>
      <c r="M8288" t="e">
        <v>#N/A</v>
      </c>
      <c r="N8288" s="1">
        <v>39904</v>
      </c>
    </row>
    <row r="8289" spans="11:14" x14ac:dyDescent="0.3">
      <c r="K8289" s="1">
        <v>40269</v>
      </c>
      <c r="M8289" t="e">
        <v>#N/A</v>
      </c>
      <c r="N8289" s="1">
        <v>39904</v>
      </c>
    </row>
    <row r="8290" spans="11:14" x14ac:dyDescent="0.3">
      <c r="K8290" s="1">
        <v>40269</v>
      </c>
      <c r="M8290" t="e">
        <v>#N/A</v>
      </c>
      <c r="N8290" s="1">
        <v>39904</v>
      </c>
    </row>
    <row r="8291" spans="11:14" x14ac:dyDescent="0.3">
      <c r="K8291" s="1">
        <v>40269</v>
      </c>
      <c r="M8291" t="e">
        <v>#N/A</v>
      </c>
      <c r="N8291" s="1">
        <v>39904</v>
      </c>
    </row>
    <row r="8292" spans="11:14" x14ac:dyDescent="0.3">
      <c r="K8292" s="1">
        <v>40269</v>
      </c>
      <c r="M8292" t="e">
        <v>#N/A</v>
      </c>
      <c r="N8292" s="1">
        <v>39904</v>
      </c>
    </row>
    <row r="8293" spans="11:14" x14ac:dyDescent="0.3">
      <c r="K8293" s="1">
        <v>40269</v>
      </c>
      <c r="M8293" t="e">
        <v>#N/A</v>
      </c>
      <c r="N8293" s="1">
        <v>39904</v>
      </c>
    </row>
    <row r="8294" spans="11:14" x14ac:dyDescent="0.3">
      <c r="K8294" s="1">
        <v>40269</v>
      </c>
      <c r="M8294" t="e">
        <v>#N/A</v>
      </c>
      <c r="N8294" s="1">
        <v>39904</v>
      </c>
    </row>
    <row r="8295" spans="11:14" x14ac:dyDescent="0.3">
      <c r="K8295" s="1">
        <v>40269</v>
      </c>
      <c r="M8295" t="e">
        <v>#N/A</v>
      </c>
      <c r="N8295" s="1">
        <v>39904</v>
      </c>
    </row>
    <row r="8296" spans="11:14" x14ac:dyDescent="0.3">
      <c r="K8296" s="1">
        <v>40269</v>
      </c>
      <c r="M8296" t="e">
        <v>#N/A</v>
      </c>
      <c r="N8296" s="1">
        <v>39904</v>
      </c>
    </row>
    <row r="8297" spans="11:14" x14ac:dyDescent="0.3">
      <c r="K8297" s="1">
        <v>40269</v>
      </c>
      <c r="M8297" t="e">
        <v>#N/A</v>
      </c>
      <c r="N8297" s="1">
        <v>39904</v>
      </c>
    </row>
    <row r="8298" spans="11:14" x14ac:dyDescent="0.3">
      <c r="K8298" s="1">
        <v>40269</v>
      </c>
      <c r="M8298" t="e">
        <v>#N/A</v>
      </c>
      <c r="N8298" s="1">
        <v>39904</v>
      </c>
    </row>
    <row r="8299" spans="11:14" x14ac:dyDescent="0.3">
      <c r="K8299" s="1">
        <v>40360</v>
      </c>
      <c r="M8299" t="e">
        <v>#N/A</v>
      </c>
      <c r="N8299" s="1">
        <v>39904</v>
      </c>
    </row>
    <row r="8300" spans="11:14" x14ac:dyDescent="0.3">
      <c r="K8300" s="1">
        <v>40360</v>
      </c>
      <c r="M8300" t="e">
        <v>#N/A</v>
      </c>
      <c r="N8300" s="1">
        <v>39904</v>
      </c>
    </row>
    <row r="8301" spans="11:14" x14ac:dyDescent="0.3">
      <c r="K8301" s="1">
        <v>40360</v>
      </c>
      <c r="M8301" t="e">
        <v>#N/A</v>
      </c>
      <c r="N8301" s="1">
        <v>39904</v>
      </c>
    </row>
    <row r="8302" spans="11:14" x14ac:dyDescent="0.3">
      <c r="K8302" s="1">
        <v>40360</v>
      </c>
      <c r="M8302" t="e">
        <v>#N/A</v>
      </c>
      <c r="N8302" s="1">
        <v>39904</v>
      </c>
    </row>
    <row r="8303" spans="11:14" x14ac:dyDescent="0.3">
      <c r="K8303" s="1">
        <v>40360</v>
      </c>
      <c r="M8303" t="e">
        <v>#N/A</v>
      </c>
      <c r="N8303" s="1">
        <v>39904</v>
      </c>
    </row>
    <row r="8304" spans="11:14" x14ac:dyDescent="0.3">
      <c r="K8304" s="1">
        <v>40360</v>
      </c>
      <c r="M8304" t="e">
        <v>#N/A</v>
      </c>
      <c r="N8304" s="1">
        <v>39904</v>
      </c>
    </row>
    <row r="8305" spans="11:14" x14ac:dyDescent="0.3">
      <c r="K8305" s="1">
        <v>40360</v>
      </c>
      <c r="M8305" t="e">
        <v>#N/A</v>
      </c>
      <c r="N8305" s="1">
        <v>39904</v>
      </c>
    </row>
    <row r="8306" spans="11:14" x14ac:dyDescent="0.3">
      <c r="K8306" s="1">
        <v>40360</v>
      </c>
      <c r="M8306" t="e">
        <v>#N/A</v>
      </c>
      <c r="N8306" s="1">
        <v>39904</v>
      </c>
    </row>
    <row r="8307" spans="11:14" x14ac:dyDescent="0.3">
      <c r="K8307" s="1">
        <v>40360</v>
      </c>
      <c r="M8307" t="e">
        <v>#N/A</v>
      </c>
      <c r="N8307" s="1">
        <v>39904</v>
      </c>
    </row>
    <row r="8308" spans="11:14" x14ac:dyDescent="0.3">
      <c r="K8308" s="1">
        <v>40360</v>
      </c>
      <c r="M8308" t="e">
        <v>#N/A</v>
      </c>
      <c r="N8308" s="1">
        <v>39904</v>
      </c>
    </row>
    <row r="8309" spans="11:14" x14ac:dyDescent="0.3">
      <c r="K8309" s="1">
        <v>40360</v>
      </c>
      <c r="M8309" t="e">
        <v>#N/A</v>
      </c>
      <c r="N8309" s="1">
        <v>39904</v>
      </c>
    </row>
    <row r="8310" spans="11:14" x14ac:dyDescent="0.3">
      <c r="K8310" s="1">
        <v>40360</v>
      </c>
      <c r="M8310" t="e">
        <v>#N/A</v>
      </c>
      <c r="N8310" s="1">
        <v>39904</v>
      </c>
    </row>
    <row r="8311" spans="11:14" x14ac:dyDescent="0.3">
      <c r="K8311" s="1">
        <v>40360</v>
      </c>
      <c r="M8311" t="e">
        <v>#N/A</v>
      </c>
      <c r="N8311" s="1">
        <v>39904</v>
      </c>
    </row>
    <row r="8312" spans="11:14" x14ac:dyDescent="0.3">
      <c r="K8312" s="1">
        <v>40360</v>
      </c>
      <c r="M8312" t="e">
        <v>#N/A</v>
      </c>
      <c r="N8312" s="1">
        <v>39904</v>
      </c>
    </row>
    <row r="8313" spans="11:14" x14ac:dyDescent="0.3">
      <c r="K8313" s="1">
        <v>40360</v>
      </c>
      <c r="M8313" t="e">
        <v>#N/A</v>
      </c>
      <c r="N8313" s="1">
        <v>39904</v>
      </c>
    </row>
    <row r="8314" spans="11:14" x14ac:dyDescent="0.3">
      <c r="K8314" s="1">
        <v>40360</v>
      </c>
      <c r="M8314" t="e">
        <v>#N/A</v>
      </c>
      <c r="N8314" s="1">
        <v>39904</v>
      </c>
    </row>
    <row r="8315" spans="11:14" x14ac:dyDescent="0.3">
      <c r="K8315" s="1">
        <v>40360</v>
      </c>
      <c r="M8315" t="e">
        <v>#N/A</v>
      </c>
      <c r="N8315" s="1">
        <v>39904</v>
      </c>
    </row>
    <row r="8316" spans="11:14" x14ac:dyDescent="0.3">
      <c r="K8316" s="1">
        <v>40360</v>
      </c>
      <c r="M8316" t="e">
        <v>#N/A</v>
      </c>
      <c r="N8316" s="1">
        <v>39904</v>
      </c>
    </row>
    <row r="8317" spans="11:14" x14ac:dyDescent="0.3">
      <c r="K8317" s="1">
        <v>40360</v>
      </c>
      <c r="M8317" t="e">
        <v>#N/A</v>
      </c>
      <c r="N8317" s="1">
        <v>39904</v>
      </c>
    </row>
    <row r="8318" spans="11:14" x14ac:dyDescent="0.3">
      <c r="K8318" s="1">
        <v>40360</v>
      </c>
      <c r="M8318" t="e">
        <v>#N/A</v>
      </c>
      <c r="N8318" s="1">
        <v>39904</v>
      </c>
    </row>
    <row r="8319" spans="11:14" x14ac:dyDescent="0.3">
      <c r="K8319" s="1">
        <v>40360</v>
      </c>
      <c r="M8319" t="e">
        <v>#N/A</v>
      </c>
      <c r="N8319" s="1">
        <v>39904</v>
      </c>
    </row>
    <row r="8320" spans="11:14" x14ac:dyDescent="0.3">
      <c r="K8320" s="1">
        <v>40360</v>
      </c>
      <c r="M8320" t="e">
        <v>#N/A</v>
      </c>
      <c r="N8320" s="1">
        <v>39904</v>
      </c>
    </row>
    <row r="8321" spans="11:14" x14ac:dyDescent="0.3">
      <c r="K8321" s="1">
        <v>40360</v>
      </c>
      <c r="M8321" t="e">
        <v>#N/A</v>
      </c>
      <c r="N8321" s="1">
        <v>39904</v>
      </c>
    </row>
    <row r="8322" spans="11:14" x14ac:dyDescent="0.3">
      <c r="K8322" s="1">
        <v>40360</v>
      </c>
      <c r="M8322" t="e">
        <v>#N/A</v>
      </c>
      <c r="N8322" s="1">
        <v>39904</v>
      </c>
    </row>
    <row r="8323" spans="11:14" x14ac:dyDescent="0.3">
      <c r="K8323" s="1">
        <v>40360</v>
      </c>
      <c r="M8323" t="e">
        <v>#N/A</v>
      </c>
      <c r="N8323" s="1">
        <v>39904</v>
      </c>
    </row>
    <row r="8324" spans="11:14" x14ac:dyDescent="0.3">
      <c r="K8324" s="1">
        <v>40360</v>
      </c>
      <c r="M8324" t="e">
        <v>#N/A</v>
      </c>
      <c r="N8324" s="1">
        <v>39904</v>
      </c>
    </row>
    <row r="8325" spans="11:14" x14ac:dyDescent="0.3">
      <c r="K8325" s="1">
        <v>40360</v>
      </c>
      <c r="M8325" t="e">
        <v>#N/A</v>
      </c>
      <c r="N8325" s="1">
        <v>39904</v>
      </c>
    </row>
    <row r="8326" spans="11:14" x14ac:dyDescent="0.3">
      <c r="K8326" s="1">
        <v>40360</v>
      </c>
      <c r="M8326" t="e">
        <v>#N/A</v>
      </c>
      <c r="N8326" s="1">
        <v>39904</v>
      </c>
    </row>
    <row r="8327" spans="11:14" x14ac:dyDescent="0.3">
      <c r="K8327" s="1">
        <v>40360</v>
      </c>
      <c r="M8327" t="e">
        <v>#N/A</v>
      </c>
      <c r="N8327" s="1">
        <v>39904</v>
      </c>
    </row>
    <row r="8328" spans="11:14" x14ac:dyDescent="0.3">
      <c r="K8328" s="1">
        <v>40360</v>
      </c>
      <c r="M8328" t="e">
        <v>#N/A</v>
      </c>
      <c r="N8328" s="1">
        <v>39904</v>
      </c>
    </row>
    <row r="8329" spans="11:14" x14ac:dyDescent="0.3">
      <c r="K8329" s="1">
        <v>40360</v>
      </c>
      <c r="M8329" t="e">
        <v>#N/A</v>
      </c>
      <c r="N8329" s="1">
        <v>39904</v>
      </c>
    </row>
    <row r="8330" spans="11:14" x14ac:dyDescent="0.3">
      <c r="K8330" s="1">
        <v>40360</v>
      </c>
      <c r="M8330" t="e">
        <v>#N/A</v>
      </c>
      <c r="N8330" s="1">
        <v>39904</v>
      </c>
    </row>
    <row r="8331" spans="11:14" x14ac:dyDescent="0.3">
      <c r="K8331" s="1">
        <v>40360</v>
      </c>
      <c r="M8331" t="e">
        <v>#N/A</v>
      </c>
      <c r="N8331" s="1">
        <v>39904</v>
      </c>
    </row>
    <row r="8332" spans="11:14" x14ac:dyDescent="0.3">
      <c r="K8332" s="1">
        <v>40360</v>
      </c>
      <c r="M8332" t="e">
        <v>#N/A</v>
      </c>
      <c r="N8332" s="1">
        <v>39904</v>
      </c>
    </row>
    <row r="8333" spans="11:14" x14ac:dyDescent="0.3">
      <c r="K8333" s="1">
        <v>40360</v>
      </c>
      <c r="M8333" t="e">
        <v>#N/A</v>
      </c>
      <c r="N8333" s="1">
        <v>39904</v>
      </c>
    </row>
    <row r="8334" spans="11:14" x14ac:dyDescent="0.3">
      <c r="K8334" s="1">
        <v>40360</v>
      </c>
      <c r="M8334" t="e">
        <v>#N/A</v>
      </c>
      <c r="N8334" s="1">
        <v>39904</v>
      </c>
    </row>
    <row r="8335" spans="11:14" x14ac:dyDescent="0.3">
      <c r="K8335" s="1">
        <v>40360</v>
      </c>
      <c r="M8335" t="e">
        <v>#N/A</v>
      </c>
      <c r="N8335" s="1">
        <v>39904</v>
      </c>
    </row>
    <row r="8336" spans="11:14" x14ac:dyDescent="0.3">
      <c r="K8336" s="1">
        <v>40360</v>
      </c>
      <c r="M8336" t="e">
        <v>#N/A</v>
      </c>
      <c r="N8336" s="1">
        <v>39904</v>
      </c>
    </row>
    <row r="8337" spans="11:14" x14ac:dyDescent="0.3">
      <c r="K8337" s="1">
        <v>40360</v>
      </c>
      <c r="M8337" t="e">
        <v>#N/A</v>
      </c>
      <c r="N8337" s="1">
        <v>39904</v>
      </c>
    </row>
    <row r="8338" spans="11:14" x14ac:dyDescent="0.3">
      <c r="K8338" s="1">
        <v>40360</v>
      </c>
      <c r="M8338" t="e">
        <v>#N/A</v>
      </c>
      <c r="N8338" s="1">
        <v>39904</v>
      </c>
    </row>
    <row r="8339" spans="11:14" x14ac:dyDescent="0.3">
      <c r="K8339" s="1">
        <v>40360</v>
      </c>
      <c r="M8339" t="e">
        <v>#N/A</v>
      </c>
      <c r="N8339" s="1">
        <v>39904</v>
      </c>
    </row>
    <row r="8340" spans="11:14" x14ac:dyDescent="0.3">
      <c r="K8340" s="1">
        <v>40360</v>
      </c>
      <c r="M8340" t="e">
        <v>#N/A</v>
      </c>
      <c r="N8340" s="1">
        <v>39904</v>
      </c>
    </row>
    <row r="8341" spans="11:14" x14ac:dyDescent="0.3">
      <c r="K8341" s="1">
        <v>40360</v>
      </c>
      <c r="M8341" t="e">
        <v>#N/A</v>
      </c>
      <c r="N8341" s="1">
        <v>39904</v>
      </c>
    </row>
    <row r="8342" spans="11:14" x14ac:dyDescent="0.3">
      <c r="K8342" s="1">
        <v>40360</v>
      </c>
      <c r="M8342" t="e">
        <v>#N/A</v>
      </c>
      <c r="N8342" s="1">
        <v>39904</v>
      </c>
    </row>
    <row r="8343" spans="11:14" x14ac:dyDescent="0.3">
      <c r="K8343" s="1">
        <v>40360</v>
      </c>
      <c r="M8343" t="e">
        <v>#N/A</v>
      </c>
      <c r="N8343" s="1">
        <v>39904</v>
      </c>
    </row>
    <row r="8344" spans="11:14" x14ac:dyDescent="0.3">
      <c r="K8344" s="1">
        <v>40360</v>
      </c>
      <c r="M8344" t="e">
        <v>#N/A</v>
      </c>
      <c r="N8344" s="1">
        <v>39904</v>
      </c>
    </row>
    <row r="8345" spans="11:14" x14ac:dyDescent="0.3">
      <c r="K8345" s="1">
        <v>40360</v>
      </c>
      <c r="M8345" t="e">
        <v>#N/A</v>
      </c>
      <c r="N8345" s="1">
        <v>39904</v>
      </c>
    </row>
    <row r="8346" spans="11:14" x14ac:dyDescent="0.3">
      <c r="K8346" s="1">
        <v>40360</v>
      </c>
      <c r="M8346" t="e">
        <v>#N/A</v>
      </c>
      <c r="N8346" s="1">
        <v>39904</v>
      </c>
    </row>
    <row r="8347" spans="11:14" x14ac:dyDescent="0.3">
      <c r="K8347" s="1">
        <v>40360</v>
      </c>
      <c r="M8347" t="e">
        <v>#N/A</v>
      </c>
      <c r="N8347" s="1">
        <v>39904</v>
      </c>
    </row>
    <row r="8348" spans="11:14" x14ac:dyDescent="0.3">
      <c r="K8348" s="1">
        <v>40360</v>
      </c>
      <c r="M8348" t="e">
        <v>#N/A</v>
      </c>
      <c r="N8348" s="1">
        <v>39904</v>
      </c>
    </row>
    <row r="8349" spans="11:14" x14ac:dyDescent="0.3">
      <c r="K8349" s="1">
        <v>40360</v>
      </c>
      <c r="M8349" t="e">
        <v>#N/A</v>
      </c>
      <c r="N8349" s="1">
        <v>39904</v>
      </c>
    </row>
    <row r="8350" spans="11:14" x14ac:dyDescent="0.3">
      <c r="K8350" s="1">
        <v>40360</v>
      </c>
      <c r="M8350" t="e">
        <v>#N/A</v>
      </c>
      <c r="N8350" s="1">
        <v>39904</v>
      </c>
    </row>
    <row r="8351" spans="11:14" x14ac:dyDescent="0.3">
      <c r="K8351" s="1">
        <v>40360</v>
      </c>
      <c r="M8351" t="e">
        <v>#N/A</v>
      </c>
      <c r="N8351" s="1">
        <v>39904</v>
      </c>
    </row>
    <row r="8352" spans="11:14" x14ac:dyDescent="0.3">
      <c r="K8352" s="1">
        <v>40360</v>
      </c>
      <c r="M8352" t="e">
        <v>#N/A</v>
      </c>
      <c r="N8352" s="1">
        <v>39904</v>
      </c>
    </row>
    <row r="8353" spans="11:14" x14ac:dyDescent="0.3">
      <c r="K8353" s="1">
        <v>40360</v>
      </c>
      <c r="M8353" t="e">
        <v>#N/A</v>
      </c>
      <c r="N8353" s="1">
        <v>39904</v>
      </c>
    </row>
    <row r="8354" spans="11:14" x14ac:dyDescent="0.3">
      <c r="K8354" s="1">
        <v>40360</v>
      </c>
      <c r="M8354" t="e">
        <v>#N/A</v>
      </c>
      <c r="N8354" s="1">
        <v>39904</v>
      </c>
    </row>
    <row r="8355" spans="11:14" x14ac:dyDescent="0.3">
      <c r="K8355" s="1">
        <v>40360</v>
      </c>
      <c r="M8355" t="e">
        <v>#N/A</v>
      </c>
      <c r="N8355" s="1">
        <v>39904</v>
      </c>
    </row>
    <row r="8356" spans="11:14" x14ac:dyDescent="0.3">
      <c r="K8356" s="1">
        <v>40360</v>
      </c>
      <c r="M8356" t="e">
        <v>#N/A</v>
      </c>
      <c r="N8356" s="1">
        <v>39904</v>
      </c>
    </row>
    <row r="8357" spans="11:14" x14ac:dyDescent="0.3">
      <c r="K8357" s="1">
        <v>40360</v>
      </c>
      <c r="M8357" t="e">
        <v>#N/A</v>
      </c>
      <c r="N8357" s="1">
        <v>39904</v>
      </c>
    </row>
    <row r="8358" spans="11:14" x14ac:dyDescent="0.3">
      <c r="K8358" s="1">
        <v>40360</v>
      </c>
      <c r="M8358" t="e">
        <v>#N/A</v>
      </c>
      <c r="N8358" s="1">
        <v>39904</v>
      </c>
    </row>
    <row r="8359" spans="11:14" x14ac:dyDescent="0.3">
      <c r="K8359" s="1">
        <v>40360</v>
      </c>
      <c r="M8359" t="e">
        <v>#N/A</v>
      </c>
      <c r="N8359" s="1">
        <v>39904</v>
      </c>
    </row>
    <row r="8360" spans="11:14" x14ac:dyDescent="0.3">
      <c r="K8360" s="1">
        <v>40360</v>
      </c>
      <c r="M8360" t="e">
        <v>#N/A</v>
      </c>
      <c r="N8360" s="1">
        <v>39904</v>
      </c>
    </row>
    <row r="8361" spans="11:14" x14ac:dyDescent="0.3">
      <c r="K8361" s="1">
        <v>40360</v>
      </c>
      <c r="M8361" t="e">
        <v>#N/A</v>
      </c>
      <c r="N8361" s="1">
        <v>39904</v>
      </c>
    </row>
    <row r="8362" spans="11:14" x14ac:dyDescent="0.3">
      <c r="K8362" s="1">
        <v>40360</v>
      </c>
      <c r="M8362" t="e">
        <v>#N/A</v>
      </c>
      <c r="N8362" s="1">
        <v>39904</v>
      </c>
    </row>
    <row r="8363" spans="11:14" x14ac:dyDescent="0.3">
      <c r="K8363" s="1">
        <v>40360</v>
      </c>
      <c r="M8363" t="e">
        <v>#N/A</v>
      </c>
      <c r="N8363" s="1">
        <v>39904</v>
      </c>
    </row>
    <row r="8364" spans="11:14" x14ac:dyDescent="0.3">
      <c r="K8364" s="1">
        <v>40360</v>
      </c>
      <c r="M8364" t="e">
        <v>#N/A</v>
      </c>
      <c r="N8364" s="1">
        <v>39904</v>
      </c>
    </row>
    <row r="8365" spans="11:14" x14ac:dyDescent="0.3">
      <c r="K8365" s="1">
        <v>40360</v>
      </c>
      <c r="M8365" t="e">
        <v>#N/A</v>
      </c>
      <c r="N8365" s="1">
        <v>39904</v>
      </c>
    </row>
    <row r="8366" spans="11:14" x14ac:dyDescent="0.3">
      <c r="K8366" s="1">
        <v>40360</v>
      </c>
      <c r="M8366" t="e">
        <v>#N/A</v>
      </c>
      <c r="N8366" s="1">
        <v>39904</v>
      </c>
    </row>
    <row r="8367" spans="11:14" x14ac:dyDescent="0.3">
      <c r="K8367" s="1">
        <v>40360</v>
      </c>
      <c r="M8367" t="e">
        <v>#N/A</v>
      </c>
      <c r="N8367" s="1">
        <v>39904</v>
      </c>
    </row>
    <row r="8368" spans="11:14" x14ac:dyDescent="0.3">
      <c r="K8368" s="1">
        <v>40360</v>
      </c>
      <c r="M8368" t="e">
        <v>#N/A</v>
      </c>
      <c r="N8368" s="1">
        <v>39904</v>
      </c>
    </row>
    <row r="8369" spans="11:14" x14ac:dyDescent="0.3">
      <c r="K8369" s="1">
        <v>40360</v>
      </c>
      <c r="M8369" t="e">
        <v>#N/A</v>
      </c>
      <c r="N8369" s="1">
        <v>39904</v>
      </c>
    </row>
    <row r="8370" spans="11:14" x14ac:dyDescent="0.3">
      <c r="K8370" s="1">
        <v>40360</v>
      </c>
      <c r="M8370" t="e">
        <v>#N/A</v>
      </c>
      <c r="N8370" s="1">
        <v>39904</v>
      </c>
    </row>
    <row r="8371" spans="11:14" x14ac:dyDescent="0.3">
      <c r="K8371" s="1">
        <v>40360</v>
      </c>
      <c r="M8371" t="e">
        <v>#N/A</v>
      </c>
      <c r="N8371" s="1">
        <v>39904</v>
      </c>
    </row>
    <row r="8372" spans="11:14" x14ac:dyDescent="0.3">
      <c r="K8372" s="1">
        <v>40360</v>
      </c>
      <c r="M8372" t="e">
        <v>#N/A</v>
      </c>
      <c r="N8372" s="1">
        <v>39904</v>
      </c>
    </row>
    <row r="8373" spans="11:14" x14ac:dyDescent="0.3">
      <c r="K8373" s="1">
        <v>40360</v>
      </c>
      <c r="M8373" t="e">
        <v>#N/A</v>
      </c>
      <c r="N8373" s="1">
        <v>39904</v>
      </c>
    </row>
    <row r="8374" spans="11:14" x14ac:dyDescent="0.3">
      <c r="K8374" s="1">
        <v>40360</v>
      </c>
      <c r="M8374" t="e">
        <v>#N/A</v>
      </c>
      <c r="N8374" s="1">
        <v>39904</v>
      </c>
    </row>
    <row r="8375" spans="11:14" x14ac:dyDescent="0.3">
      <c r="K8375" s="1">
        <v>40360</v>
      </c>
      <c r="M8375" t="e">
        <v>#N/A</v>
      </c>
      <c r="N8375" s="1">
        <v>39904</v>
      </c>
    </row>
    <row r="8376" spans="11:14" x14ac:dyDescent="0.3">
      <c r="K8376" s="1">
        <v>40360</v>
      </c>
      <c r="M8376" t="e">
        <v>#N/A</v>
      </c>
      <c r="N8376" s="1">
        <v>39904</v>
      </c>
    </row>
    <row r="8377" spans="11:14" x14ac:dyDescent="0.3">
      <c r="K8377" s="1">
        <v>40360</v>
      </c>
      <c r="M8377" t="e">
        <v>#N/A</v>
      </c>
      <c r="N8377" s="1">
        <v>39904</v>
      </c>
    </row>
    <row r="8378" spans="11:14" x14ac:dyDescent="0.3">
      <c r="K8378" s="1">
        <v>40360</v>
      </c>
      <c r="M8378" t="e">
        <v>#N/A</v>
      </c>
      <c r="N8378" s="1">
        <v>39904</v>
      </c>
    </row>
    <row r="8379" spans="11:14" x14ac:dyDescent="0.3">
      <c r="K8379" s="1">
        <v>40360</v>
      </c>
      <c r="M8379" t="e">
        <v>#N/A</v>
      </c>
      <c r="N8379" s="1">
        <v>39904</v>
      </c>
    </row>
    <row r="8380" spans="11:14" x14ac:dyDescent="0.3">
      <c r="K8380" s="1">
        <v>40360</v>
      </c>
      <c r="M8380" t="e">
        <v>#N/A</v>
      </c>
      <c r="N8380" s="1">
        <v>39904</v>
      </c>
    </row>
    <row r="8381" spans="11:14" x14ac:dyDescent="0.3">
      <c r="K8381" s="1">
        <v>40360</v>
      </c>
      <c r="M8381" t="e">
        <v>#N/A</v>
      </c>
      <c r="N8381" s="1">
        <v>39904</v>
      </c>
    </row>
    <row r="8382" spans="11:14" x14ac:dyDescent="0.3">
      <c r="K8382" s="1">
        <v>40360</v>
      </c>
      <c r="M8382" t="e">
        <v>#N/A</v>
      </c>
      <c r="N8382" s="1">
        <v>39904</v>
      </c>
    </row>
    <row r="8383" spans="11:14" x14ac:dyDescent="0.3">
      <c r="K8383" s="1">
        <v>40360</v>
      </c>
      <c r="M8383" t="e">
        <v>#N/A</v>
      </c>
      <c r="N8383" s="1">
        <v>39904</v>
      </c>
    </row>
    <row r="8384" spans="11:14" x14ac:dyDescent="0.3">
      <c r="K8384" s="1">
        <v>40360</v>
      </c>
      <c r="M8384" t="e">
        <v>#N/A</v>
      </c>
      <c r="N8384" s="1">
        <v>39904</v>
      </c>
    </row>
    <row r="8385" spans="11:14" x14ac:dyDescent="0.3">
      <c r="K8385" s="1">
        <v>40360</v>
      </c>
      <c r="M8385" t="e">
        <v>#N/A</v>
      </c>
      <c r="N8385" s="1">
        <v>39904</v>
      </c>
    </row>
    <row r="8386" spans="11:14" x14ac:dyDescent="0.3">
      <c r="K8386" s="1">
        <v>40360</v>
      </c>
      <c r="M8386" t="e">
        <v>#N/A</v>
      </c>
      <c r="N8386" s="1">
        <v>39904</v>
      </c>
    </row>
    <row r="8387" spans="11:14" x14ac:dyDescent="0.3">
      <c r="K8387" s="1">
        <v>40360</v>
      </c>
      <c r="M8387" t="e">
        <v>#N/A</v>
      </c>
      <c r="N8387" s="1">
        <v>39904</v>
      </c>
    </row>
    <row r="8388" spans="11:14" x14ac:dyDescent="0.3">
      <c r="K8388" s="1">
        <v>40360</v>
      </c>
      <c r="M8388" t="e">
        <v>#N/A</v>
      </c>
      <c r="N8388" s="1">
        <v>39904</v>
      </c>
    </row>
    <row r="8389" spans="11:14" x14ac:dyDescent="0.3">
      <c r="K8389" s="1">
        <v>40360</v>
      </c>
      <c r="M8389" t="e">
        <v>#N/A</v>
      </c>
      <c r="N8389" s="1">
        <v>39904</v>
      </c>
    </row>
    <row r="8390" spans="11:14" x14ac:dyDescent="0.3">
      <c r="K8390" s="1">
        <v>40360</v>
      </c>
      <c r="M8390" t="e">
        <v>#N/A</v>
      </c>
      <c r="N8390" s="1">
        <v>39904</v>
      </c>
    </row>
    <row r="8391" spans="11:14" x14ac:dyDescent="0.3">
      <c r="K8391" s="1">
        <v>40360</v>
      </c>
      <c r="M8391" t="e">
        <v>#N/A</v>
      </c>
      <c r="N8391" s="1">
        <v>39904</v>
      </c>
    </row>
    <row r="8392" spans="11:14" x14ac:dyDescent="0.3">
      <c r="K8392" s="1">
        <v>40360</v>
      </c>
      <c r="M8392" t="e">
        <v>#N/A</v>
      </c>
      <c r="N8392" s="1">
        <v>39904</v>
      </c>
    </row>
    <row r="8393" spans="11:14" x14ac:dyDescent="0.3">
      <c r="K8393" s="1">
        <v>40360</v>
      </c>
      <c r="M8393" t="e">
        <v>#N/A</v>
      </c>
      <c r="N8393" s="1">
        <v>39904</v>
      </c>
    </row>
    <row r="8394" spans="11:14" x14ac:dyDescent="0.3">
      <c r="K8394" s="1">
        <v>40360</v>
      </c>
      <c r="M8394" t="e">
        <v>#N/A</v>
      </c>
      <c r="N8394" s="1">
        <v>39904</v>
      </c>
    </row>
    <row r="8395" spans="11:14" x14ac:dyDescent="0.3">
      <c r="K8395" s="1">
        <v>40360</v>
      </c>
      <c r="M8395" t="e">
        <v>#N/A</v>
      </c>
      <c r="N8395" s="1">
        <v>39904</v>
      </c>
    </row>
    <row r="8396" spans="11:14" x14ac:dyDescent="0.3">
      <c r="K8396" s="1">
        <v>40360</v>
      </c>
      <c r="M8396" t="e">
        <v>#N/A</v>
      </c>
      <c r="N8396" s="1">
        <v>39904</v>
      </c>
    </row>
    <row r="8397" spans="11:14" x14ac:dyDescent="0.3">
      <c r="K8397" s="1">
        <v>40360</v>
      </c>
      <c r="M8397" t="e">
        <v>#N/A</v>
      </c>
      <c r="N8397" s="1">
        <v>39904</v>
      </c>
    </row>
    <row r="8398" spans="11:14" x14ac:dyDescent="0.3">
      <c r="K8398" s="1">
        <v>40360</v>
      </c>
      <c r="M8398" t="e">
        <v>#N/A</v>
      </c>
      <c r="N8398" s="1">
        <v>39904</v>
      </c>
    </row>
    <row r="8399" spans="11:14" x14ac:dyDescent="0.3">
      <c r="K8399" s="1">
        <v>40360</v>
      </c>
      <c r="M8399" t="e">
        <v>#N/A</v>
      </c>
      <c r="N8399" s="1">
        <v>39904</v>
      </c>
    </row>
    <row r="8400" spans="11:14" x14ac:dyDescent="0.3">
      <c r="K8400" s="1">
        <v>40360</v>
      </c>
      <c r="M8400" t="e">
        <v>#N/A</v>
      </c>
      <c r="N8400" s="1">
        <v>39904</v>
      </c>
    </row>
    <row r="8401" spans="11:14" x14ac:dyDescent="0.3">
      <c r="K8401" s="1">
        <v>40360</v>
      </c>
      <c r="M8401" t="e">
        <v>#N/A</v>
      </c>
      <c r="N8401" s="1">
        <v>39904</v>
      </c>
    </row>
    <row r="8402" spans="11:14" x14ac:dyDescent="0.3">
      <c r="K8402" s="1">
        <v>40360</v>
      </c>
      <c r="M8402" t="e">
        <v>#N/A</v>
      </c>
      <c r="N8402" s="1">
        <v>39904</v>
      </c>
    </row>
    <row r="8403" spans="11:14" x14ac:dyDescent="0.3">
      <c r="K8403" s="1">
        <v>40360</v>
      </c>
      <c r="M8403" t="e">
        <v>#N/A</v>
      </c>
      <c r="N8403" s="1">
        <v>39904</v>
      </c>
    </row>
    <row r="8404" spans="11:14" x14ac:dyDescent="0.3">
      <c r="K8404" s="1">
        <v>40360</v>
      </c>
      <c r="M8404" t="e">
        <v>#N/A</v>
      </c>
      <c r="N8404" s="1">
        <v>39904</v>
      </c>
    </row>
    <row r="8405" spans="11:14" x14ac:dyDescent="0.3">
      <c r="K8405" s="1">
        <v>40360</v>
      </c>
      <c r="M8405" t="e">
        <v>#N/A</v>
      </c>
      <c r="N8405" s="1">
        <v>39904</v>
      </c>
    </row>
    <row r="8406" spans="11:14" x14ac:dyDescent="0.3">
      <c r="K8406" s="1">
        <v>40360</v>
      </c>
      <c r="M8406" t="e">
        <v>#N/A</v>
      </c>
      <c r="N8406" s="1">
        <v>39904</v>
      </c>
    </row>
    <row r="8407" spans="11:14" x14ac:dyDescent="0.3">
      <c r="K8407" s="1">
        <v>40360</v>
      </c>
      <c r="M8407" t="e">
        <v>#N/A</v>
      </c>
      <c r="N8407" s="1">
        <v>39904</v>
      </c>
    </row>
    <row r="8408" spans="11:14" x14ac:dyDescent="0.3">
      <c r="K8408" s="1">
        <v>40360</v>
      </c>
      <c r="M8408" t="e">
        <v>#N/A</v>
      </c>
      <c r="N8408" s="1">
        <v>39904</v>
      </c>
    </row>
    <row r="8409" spans="11:14" x14ac:dyDescent="0.3">
      <c r="K8409" s="1">
        <v>40360</v>
      </c>
      <c r="M8409" t="e">
        <v>#N/A</v>
      </c>
      <c r="N8409" s="1">
        <v>39904</v>
      </c>
    </row>
    <row r="8410" spans="11:14" x14ac:dyDescent="0.3">
      <c r="K8410" s="1">
        <v>40360</v>
      </c>
      <c r="M8410" t="e">
        <v>#N/A</v>
      </c>
      <c r="N8410" s="1">
        <v>39904</v>
      </c>
    </row>
    <row r="8411" spans="11:14" x14ac:dyDescent="0.3">
      <c r="K8411" s="1">
        <v>40360</v>
      </c>
      <c r="M8411" t="e">
        <v>#N/A</v>
      </c>
      <c r="N8411" s="1">
        <v>39904</v>
      </c>
    </row>
    <row r="8412" spans="11:14" x14ac:dyDescent="0.3">
      <c r="K8412" s="1">
        <v>40360</v>
      </c>
      <c r="M8412" t="e">
        <v>#N/A</v>
      </c>
      <c r="N8412" s="1">
        <v>39904</v>
      </c>
    </row>
    <row r="8413" spans="11:14" x14ac:dyDescent="0.3">
      <c r="K8413" s="1">
        <v>40360</v>
      </c>
      <c r="M8413" t="e">
        <v>#N/A</v>
      </c>
      <c r="N8413" s="1">
        <v>39904</v>
      </c>
    </row>
    <row r="8414" spans="11:14" x14ac:dyDescent="0.3">
      <c r="K8414" s="1">
        <v>40360</v>
      </c>
      <c r="M8414" t="e">
        <v>#N/A</v>
      </c>
      <c r="N8414" s="1">
        <v>39904</v>
      </c>
    </row>
    <row r="8415" spans="11:14" x14ac:dyDescent="0.3">
      <c r="K8415" s="1">
        <v>40360</v>
      </c>
      <c r="M8415" t="e">
        <v>#N/A</v>
      </c>
      <c r="N8415" s="1">
        <v>39904</v>
      </c>
    </row>
    <row r="8416" spans="11:14" x14ac:dyDescent="0.3">
      <c r="K8416" s="1">
        <v>40360</v>
      </c>
      <c r="M8416" t="e">
        <v>#N/A</v>
      </c>
      <c r="N8416" s="1">
        <v>39904</v>
      </c>
    </row>
    <row r="8417" spans="11:14" x14ac:dyDescent="0.3">
      <c r="K8417" s="1">
        <v>40360</v>
      </c>
      <c r="M8417" t="e">
        <v>#N/A</v>
      </c>
      <c r="N8417" s="1">
        <v>39904</v>
      </c>
    </row>
    <row r="8418" spans="11:14" x14ac:dyDescent="0.3">
      <c r="K8418" s="1">
        <v>40360</v>
      </c>
      <c r="M8418" t="e">
        <v>#N/A</v>
      </c>
      <c r="N8418" s="1">
        <v>39904</v>
      </c>
    </row>
    <row r="8419" spans="11:14" x14ac:dyDescent="0.3">
      <c r="K8419" s="1">
        <v>40360</v>
      </c>
      <c r="M8419" t="e">
        <v>#N/A</v>
      </c>
      <c r="N8419" s="1">
        <v>39904</v>
      </c>
    </row>
    <row r="8420" spans="11:14" x14ac:dyDescent="0.3">
      <c r="K8420" s="1">
        <v>40360</v>
      </c>
      <c r="M8420" t="e">
        <v>#N/A</v>
      </c>
      <c r="N8420" s="1">
        <v>39904</v>
      </c>
    </row>
    <row r="8421" spans="11:14" x14ac:dyDescent="0.3">
      <c r="K8421" s="1">
        <v>40360</v>
      </c>
      <c r="M8421" t="e">
        <v>#N/A</v>
      </c>
      <c r="N8421" s="1">
        <v>39904</v>
      </c>
    </row>
    <row r="8422" spans="11:14" x14ac:dyDescent="0.3">
      <c r="K8422" s="1">
        <v>40360</v>
      </c>
      <c r="M8422" t="e">
        <v>#N/A</v>
      </c>
      <c r="N8422" s="1">
        <v>39904</v>
      </c>
    </row>
    <row r="8423" spans="11:14" x14ac:dyDescent="0.3">
      <c r="K8423" s="1">
        <v>40360</v>
      </c>
      <c r="M8423" t="e">
        <v>#N/A</v>
      </c>
      <c r="N8423" s="1">
        <v>39904</v>
      </c>
    </row>
    <row r="8424" spans="11:14" x14ac:dyDescent="0.3">
      <c r="K8424" s="1">
        <v>40360</v>
      </c>
      <c r="M8424" t="e">
        <v>#N/A</v>
      </c>
      <c r="N8424" s="1">
        <v>39904</v>
      </c>
    </row>
    <row r="8425" spans="11:14" x14ac:dyDescent="0.3">
      <c r="K8425" s="1">
        <v>40360</v>
      </c>
      <c r="M8425" t="e">
        <v>#N/A</v>
      </c>
      <c r="N8425" s="1">
        <v>39904</v>
      </c>
    </row>
    <row r="8426" spans="11:14" x14ac:dyDescent="0.3">
      <c r="K8426" s="1">
        <v>40360</v>
      </c>
      <c r="M8426" t="e">
        <v>#N/A</v>
      </c>
      <c r="N8426" s="1">
        <v>39904</v>
      </c>
    </row>
    <row r="8427" spans="11:14" x14ac:dyDescent="0.3">
      <c r="K8427" s="1">
        <v>40360</v>
      </c>
      <c r="M8427" t="e">
        <v>#N/A</v>
      </c>
      <c r="N8427" s="1">
        <v>39904</v>
      </c>
    </row>
    <row r="8428" spans="11:14" x14ac:dyDescent="0.3">
      <c r="K8428" s="1">
        <v>40360</v>
      </c>
      <c r="M8428" t="e">
        <v>#N/A</v>
      </c>
      <c r="N8428" s="1">
        <v>39904</v>
      </c>
    </row>
    <row r="8429" spans="11:14" x14ac:dyDescent="0.3">
      <c r="K8429" s="1">
        <v>40360</v>
      </c>
      <c r="M8429" t="e">
        <v>#N/A</v>
      </c>
      <c r="N8429" s="1">
        <v>39904</v>
      </c>
    </row>
    <row r="8430" spans="11:14" x14ac:dyDescent="0.3">
      <c r="K8430" s="1">
        <v>40360</v>
      </c>
      <c r="M8430" t="e">
        <v>#N/A</v>
      </c>
      <c r="N8430" s="1">
        <v>39904</v>
      </c>
    </row>
    <row r="8431" spans="11:14" x14ac:dyDescent="0.3">
      <c r="K8431" s="1">
        <v>40360</v>
      </c>
      <c r="M8431" t="e">
        <v>#N/A</v>
      </c>
      <c r="N8431" s="1">
        <v>39904</v>
      </c>
    </row>
    <row r="8432" spans="11:14" x14ac:dyDescent="0.3">
      <c r="K8432" s="1">
        <v>40360</v>
      </c>
      <c r="M8432" t="e">
        <v>#N/A</v>
      </c>
      <c r="N8432" s="1">
        <v>39904</v>
      </c>
    </row>
    <row r="8433" spans="11:14" x14ac:dyDescent="0.3">
      <c r="K8433" s="1">
        <v>40360</v>
      </c>
      <c r="M8433" t="e">
        <v>#N/A</v>
      </c>
      <c r="N8433" s="1">
        <v>39904</v>
      </c>
    </row>
    <row r="8434" spans="11:14" x14ac:dyDescent="0.3">
      <c r="K8434" s="1">
        <v>40360</v>
      </c>
      <c r="M8434" t="e">
        <v>#N/A</v>
      </c>
      <c r="N8434" s="1">
        <v>39904</v>
      </c>
    </row>
    <row r="8435" spans="11:14" x14ac:dyDescent="0.3">
      <c r="K8435" s="1">
        <v>40360</v>
      </c>
      <c r="M8435" t="e">
        <v>#N/A</v>
      </c>
      <c r="N8435" s="1">
        <v>39904</v>
      </c>
    </row>
    <row r="8436" spans="11:14" x14ac:dyDescent="0.3">
      <c r="K8436" s="1">
        <v>40360</v>
      </c>
      <c r="M8436" t="e">
        <v>#N/A</v>
      </c>
      <c r="N8436" s="1">
        <v>39904</v>
      </c>
    </row>
    <row r="8437" spans="11:14" x14ac:dyDescent="0.3">
      <c r="K8437" s="1">
        <v>40360</v>
      </c>
      <c r="M8437" t="e">
        <v>#N/A</v>
      </c>
      <c r="N8437" s="1">
        <v>39904</v>
      </c>
    </row>
    <row r="8438" spans="11:14" x14ac:dyDescent="0.3">
      <c r="K8438" s="1">
        <v>40360</v>
      </c>
      <c r="M8438" t="e">
        <v>#N/A</v>
      </c>
      <c r="N8438" s="1">
        <v>39904</v>
      </c>
    </row>
    <row r="8439" spans="11:14" x14ac:dyDescent="0.3">
      <c r="K8439" s="1">
        <v>40360</v>
      </c>
      <c r="M8439" t="e">
        <v>#N/A</v>
      </c>
      <c r="N8439" s="1">
        <v>39904</v>
      </c>
    </row>
    <row r="8440" spans="11:14" x14ac:dyDescent="0.3">
      <c r="K8440" s="1">
        <v>40360</v>
      </c>
      <c r="M8440" t="e">
        <v>#N/A</v>
      </c>
      <c r="N8440" s="1">
        <v>39904</v>
      </c>
    </row>
    <row r="8441" spans="11:14" x14ac:dyDescent="0.3">
      <c r="K8441" s="1">
        <v>40360</v>
      </c>
      <c r="M8441" t="e">
        <v>#N/A</v>
      </c>
      <c r="N8441" s="1">
        <v>39904</v>
      </c>
    </row>
    <row r="8442" spans="11:14" x14ac:dyDescent="0.3">
      <c r="K8442" s="1">
        <v>40360</v>
      </c>
      <c r="M8442" t="e">
        <v>#N/A</v>
      </c>
      <c r="N8442" s="1">
        <v>39904</v>
      </c>
    </row>
    <row r="8443" spans="11:14" x14ac:dyDescent="0.3">
      <c r="K8443" s="1">
        <v>40360</v>
      </c>
      <c r="M8443" t="e">
        <v>#N/A</v>
      </c>
      <c r="N8443" s="1">
        <v>39904</v>
      </c>
    </row>
    <row r="8444" spans="11:14" x14ac:dyDescent="0.3">
      <c r="K8444" s="1">
        <v>40360</v>
      </c>
      <c r="M8444" t="e">
        <v>#N/A</v>
      </c>
      <c r="N8444" s="1">
        <v>39904</v>
      </c>
    </row>
    <row r="8445" spans="11:14" x14ac:dyDescent="0.3">
      <c r="K8445" s="1">
        <v>40360</v>
      </c>
      <c r="M8445" t="e">
        <v>#N/A</v>
      </c>
      <c r="N8445" s="1">
        <v>39904</v>
      </c>
    </row>
    <row r="8446" spans="11:14" x14ac:dyDescent="0.3">
      <c r="K8446" s="1">
        <v>40360</v>
      </c>
      <c r="M8446" t="e">
        <v>#N/A</v>
      </c>
      <c r="N8446" s="1">
        <v>39904</v>
      </c>
    </row>
    <row r="8447" spans="11:14" x14ac:dyDescent="0.3">
      <c r="K8447" s="1">
        <v>40360</v>
      </c>
      <c r="M8447" t="e">
        <v>#N/A</v>
      </c>
      <c r="N8447" s="1">
        <v>39904</v>
      </c>
    </row>
    <row r="8448" spans="11:14" x14ac:dyDescent="0.3">
      <c r="K8448" s="1">
        <v>40360</v>
      </c>
      <c r="M8448" t="e">
        <v>#N/A</v>
      </c>
      <c r="N8448" s="1">
        <v>39904</v>
      </c>
    </row>
    <row r="8449" spans="11:14" x14ac:dyDescent="0.3">
      <c r="K8449" s="1">
        <v>40360</v>
      </c>
      <c r="M8449" t="e">
        <v>#N/A</v>
      </c>
      <c r="N8449" s="1">
        <v>39904</v>
      </c>
    </row>
    <row r="8450" spans="11:14" x14ac:dyDescent="0.3">
      <c r="K8450" s="1">
        <v>40360</v>
      </c>
      <c r="M8450" t="e">
        <v>#N/A</v>
      </c>
      <c r="N8450" s="1">
        <v>39904</v>
      </c>
    </row>
    <row r="8451" spans="11:14" x14ac:dyDescent="0.3">
      <c r="K8451" s="1">
        <v>40360</v>
      </c>
      <c r="M8451" t="e">
        <v>#N/A</v>
      </c>
      <c r="N8451" s="1">
        <v>39904</v>
      </c>
    </row>
    <row r="8452" spans="11:14" x14ac:dyDescent="0.3">
      <c r="K8452" s="1">
        <v>40360</v>
      </c>
      <c r="M8452" t="e">
        <v>#N/A</v>
      </c>
      <c r="N8452" s="1">
        <v>39904</v>
      </c>
    </row>
    <row r="8453" spans="11:14" x14ac:dyDescent="0.3">
      <c r="K8453" s="1">
        <v>40360</v>
      </c>
      <c r="M8453" t="e">
        <v>#N/A</v>
      </c>
      <c r="N8453" s="1">
        <v>39904</v>
      </c>
    </row>
    <row r="8454" spans="11:14" x14ac:dyDescent="0.3">
      <c r="K8454" s="1">
        <v>40360</v>
      </c>
      <c r="M8454" t="e">
        <v>#N/A</v>
      </c>
      <c r="N8454" s="1">
        <v>39904</v>
      </c>
    </row>
    <row r="8455" spans="11:14" x14ac:dyDescent="0.3">
      <c r="K8455" s="1">
        <v>40360</v>
      </c>
      <c r="M8455" t="e">
        <v>#N/A</v>
      </c>
      <c r="N8455" s="1">
        <v>39904</v>
      </c>
    </row>
    <row r="8456" spans="11:14" x14ac:dyDescent="0.3">
      <c r="K8456" s="1">
        <v>40360</v>
      </c>
      <c r="M8456" t="e">
        <v>#N/A</v>
      </c>
      <c r="N8456" s="1">
        <v>39904</v>
      </c>
    </row>
    <row r="8457" spans="11:14" x14ac:dyDescent="0.3">
      <c r="K8457" s="1">
        <v>40360</v>
      </c>
      <c r="M8457" t="e">
        <v>#N/A</v>
      </c>
      <c r="N8457" s="1">
        <v>39904</v>
      </c>
    </row>
    <row r="8458" spans="11:14" x14ac:dyDescent="0.3">
      <c r="K8458" s="1">
        <v>40360</v>
      </c>
      <c r="M8458" t="e">
        <v>#N/A</v>
      </c>
      <c r="N8458" s="1">
        <v>39904</v>
      </c>
    </row>
    <row r="8459" spans="11:14" x14ac:dyDescent="0.3">
      <c r="K8459" s="1">
        <v>40360</v>
      </c>
      <c r="M8459" t="e">
        <v>#N/A</v>
      </c>
      <c r="N8459" s="1">
        <v>39904</v>
      </c>
    </row>
    <row r="8460" spans="11:14" x14ac:dyDescent="0.3">
      <c r="K8460" s="1">
        <v>40360</v>
      </c>
      <c r="M8460" t="e">
        <v>#N/A</v>
      </c>
      <c r="N8460" s="1">
        <v>39904</v>
      </c>
    </row>
    <row r="8461" spans="11:14" x14ac:dyDescent="0.3">
      <c r="K8461" s="1">
        <v>40360</v>
      </c>
      <c r="M8461" t="e">
        <v>#N/A</v>
      </c>
      <c r="N8461" s="1">
        <v>39904</v>
      </c>
    </row>
    <row r="8462" spans="11:14" x14ac:dyDescent="0.3">
      <c r="K8462" s="1">
        <v>40360</v>
      </c>
      <c r="M8462" t="e">
        <v>#N/A</v>
      </c>
      <c r="N8462" s="1">
        <v>39904</v>
      </c>
    </row>
    <row r="8463" spans="11:14" x14ac:dyDescent="0.3">
      <c r="K8463" s="1">
        <v>40360</v>
      </c>
      <c r="M8463" t="e">
        <v>#N/A</v>
      </c>
      <c r="N8463" s="1">
        <v>39904</v>
      </c>
    </row>
    <row r="8464" spans="11:14" x14ac:dyDescent="0.3">
      <c r="K8464" s="1">
        <v>40360</v>
      </c>
      <c r="M8464" t="e">
        <v>#N/A</v>
      </c>
      <c r="N8464" s="1">
        <v>39904</v>
      </c>
    </row>
    <row r="8465" spans="11:14" x14ac:dyDescent="0.3">
      <c r="K8465" s="1">
        <v>40360</v>
      </c>
      <c r="M8465" t="e">
        <v>#N/A</v>
      </c>
      <c r="N8465" s="1">
        <v>39904</v>
      </c>
    </row>
    <row r="8466" spans="11:14" x14ac:dyDescent="0.3">
      <c r="K8466" s="1">
        <v>40360</v>
      </c>
      <c r="M8466" t="e">
        <v>#N/A</v>
      </c>
      <c r="N8466" s="1">
        <v>39904</v>
      </c>
    </row>
    <row r="8467" spans="11:14" x14ac:dyDescent="0.3">
      <c r="K8467" s="1">
        <v>40360</v>
      </c>
      <c r="M8467" t="e">
        <v>#N/A</v>
      </c>
      <c r="N8467" s="1">
        <v>39904</v>
      </c>
    </row>
    <row r="8468" spans="11:14" x14ac:dyDescent="0.3">
      <c r="K8468" s="1">
        <v>40360</v>
      </c>
      <c r="M8468" t="e">
        <v>#N/A</v>
      </c>
      <c r="N8468" s="1">
        <v>39904</v>
      </c>
    </row>
    <row r="8469" spans="11:14" x14ac:dyDescent="0.3">
      <c r="K8469" s="1">
        <v>40360</v>
      </c>
      <c r="M8469" t="e">
        <v>#N/A</v>
      </c>
      <c r="N8469" s="1">
        <v>39904</v>
      </c>
    </row>
    <row r="8470" spans="11:14" x14ac:dyDescent="0.3">
      <c r="K8470" s="1">
        <v>40360</v>
      </c>
      <c r="M8470" t="e">
        <v>#N/A</v>
      </c>
      <c r="N8470" s="1">
        <v>39904</v>
      </c>
    </row>
    <row r="8471" spans="11:14" x14ac:dyDescent="0.3">
      <c r="K8471" s="1">
        <v>40360</v>
      </c>
      <c r="M8471" t="e">
        <v>#N/A</v>
      </c>
      <c r="N8471" s="1">
        <v>39904</v>
      </c>
    </row>
    <row r="8472" spans="11:14" x14ac:dyDescent="0.3">
      <c r="K8472" s="1">
        <v>40360</v>
      </c>
      <c r="M8472" t="e">
        <v>#N/A</v>
      </c>
      <c r="N8472" s="1">
        <v>39904</v>
      </c>
    </row>
    <row r="8473" spans="11:14" x14ac:dyDescent="0.3">
      <c r="K8473" s="1">
        <v>40360</v>
      </c>
      <c r="M8473" t="e">
        <v>#N/A</v>
      </c>
      <c r="N8473" s="1">
        <v>39904</v>
      </c>
    </row>
    <row r="8474" spans="11:14" x14ac:dyDescent="0.3">
      <c r="K8474" s="1">
        <v>40360</v>
      </c>
      <c r="M8474" t="e">
        <v>#N/A</v>
      </c>
      <c r="N8474" s="1">
        <v>39904</v>
      </c>
    </row>
    <row r="8475" spans="11:14" x14ac:dyDescent="0.3">
      <c r="K8475" s="1">
        <v>40360</v>
      </c>
      <c r="M8475" t="e">
        <v>#N/A</v>
      </c>
      <c r="N8475" s="1">
        <v>39904</v>
      </c>
    </row>
    <row r="8476" spans="11:14" x14ac:dyDescent="0.3">
      <c r="K8476" s="1">
        <v>40360</v>
      </c>
      <c r="M8476" t="e">
        <v>#N/A</v>
      </c>
      <c r="N8476" s="1">
        <v>39904</v>
      </c>
    </row>
    <row r="8477" spans="11:14" x14ac:dyDescent="0.3">
      <c r="K8477" s="1">
        <v>40360</v>
      </c>
      <c r="M8477" t="e">
        <v>#N/A</v>
      </c>
      <c r="N8477" s="1">
        <v>39904</v>
      </c>
    </row>
    <row r="8478" spans="11:14" x14ac:dyDescent="0.3">
      <c r="K8478" s="1">
        <v>40360</v>
      </c>
      <c r="M8478" t="e">
        <v>#N/A</v>
      </c>
      <c r="N8478" s="1">
        <v>39904</v>
      </c>
    </row>
    <row r="8479" spans="11:14" x14ac:dyDescent="0.3">
      <c r="K8479" s="1">
        <v>40360</v>
      </c>
      <c r="M8479" t="e">
        <v>#N/A</v>
      </c>
      <c r="N8479" s="1">
        <v>39904</v>
      </c>
    </row>
    <row r="8480" spans="11:14" x14ac:dyDescent="0.3">
      <c r="K8480" s="1">
        <v>40360</v>
      </c>
      <c r="M8480" t="e">
        <v>#N/A</v>
      </c>
      <c r="N8480" s="1">
        <v>39904</v>
      </c>
    </row>
    <row r="8481" spans="11:14" x14ac:dyDescent="0.3">
      <c r="K8481" s="1">
        <v>40360</v>
      </c>
      <c r="M8481" t="e">
        <v>#N/A</v>
      </c>
      <c r="N8481" s="1">
        <v>39904</v>
      </c>
    </row>
    <row r="8482" spans="11:14" x14ac:dyDescent="0.3">
      <c r="K8482" s="1">
        <v>40360</v>
      </c>
      <c r="M8482" t="e">
        <v>#N/A</v>
      </c>
      <c r="N8482" s="1">
        <v>39904</v>
      </c>
    </row>
    <row r="8483" spans="11:14" x14ac:dyDescent="0.3">
      <c r="K8483" s="1">
        <v>40360</v>
      </c>
      <c r="M8483" t="e">
        <v>#N/A</v>
      </c>
      <c r="N8483" s="1">
        <v>39904</v>
      </c>
    </row>
    <row r="8484" spans="11:14" x14ac:dyDescent="0.3">
      <c r="K8484" s="1">
        <v>40360</v>
      </c>
      <c r="M8484" t="e">
        <v>#N/A</v>
      </c>
      <c r="N8484" s="1">
        <v>39904</v>
      </c>
    </row>
    <row r="8485" spans="11:14" x14ac:dyDescent="0.3">
      <c r="K8485" s="1">
        <v>40360</v>
      </c>
      <c r="M8485" t="e">
        <v>#N/A</v>
      </c>
      <c r="N8485" s="1">
        <v>39904</v>
      </c>
    </row>
    <row r="8486" spans="11:14" x14ac:dyDescent="0.3">
      <c r="K8486" s="1">
        <v>40360</v>
      </c>
      <c r="M8486" t="e">
        <v>#N/A</v>
      </c>
      <c r="N8486" s="1">
        <v>39904</v>
      </c>
    </row>
    <row r="8487" spans="11:14" x14ac:dyDescent="0.3">
      <c r="K8487" s="1">
        <v>40360</v>
      </c>
      <c r="M8487" t="e">
        <v>#N/A</v>
      </c>
      <c r="N8487" s="1">
        <v>39904</v>
      </c>
    </row>
    <row r="8488" spans="11:14" x14ac:dyDescent="0.3">
      <c r="K8488" s="1">
        <v>40360</v>
      </c>
      <c r="M8488" t="e">
        <v>#N/A</v>
      </c>
      <c r="N8488" s="1">
        <v>39904</v>
      </c>
    </row>
    <row r="8489" spans="11:14" x14ac:dyDescent="0.3">
      <c r="K8489" s="1">
        <v>40360</v>
      </c>
      <c r="M8489" t="e">
        <v>#N/A</v>
      </c>
      <c r="N8489" s="1">
        <v>39904</v>
      </c>
    </row>
    <row r="8490" spans="11:14" x14ac:dyDescent="0.3">
      <c r="K8490" s="1">
        <v>40360</v>
      </c>
      <c r="M8490" t="e">
        <v>#N/A</v>
      </c>
      <c r="N8490" s="1">
        <v>39904</v>
      </c>
    </row>
    <row r="8491" spans="11:14" x14ac:dyDescent="0.3">
      <c r="K8491" s="1">
        <v>40360</v>
      </c>
      <c r="M8491" t="e">
        <v>#N/A</v>
      </c>
      <c r="N8491" s="1">
        <v>39904</v>
      </c>
    </row>
    <row r="8492" spans="11:14" x14ac:dyDescent="0.3">
      <c r="K8492" s="1">
        <v>40360</v>
      </c>
      <c r="M8492" t="e">
        <v>#N/A</v>
      </c>
      <c r="N8492" s="1">
        <v>39904</v>
      </c>
    </row>
    <row r="8493" spans="11:14" x14ac:dyDescent="0.3">
      <c r="K8493" s="1">
        <v>40360</v>
      </c>
      <c r="M8493" t="e">
        <v>#N/A</v>
      </c>
      <c r="N8493" s="1">
        <v>39904</v>
      </c>
    </row>
    <row r="8494" spans="11:14" x14ac:dyDescent="0.3">
      <c r="K8494" s="1">
        <v>40360</v>
      </c>
      <c r="M8494" t="e">
        <v>#N/A</v>
      </c>
      <c r="N8494" s="1">
        <v>39904</v>
      </c>
    </row>
    <row r="8495" spans="11:14" x14ac:dyDescent="0.3">
      <c r="K8495" s="1">
        <v>40360</v>
      </c>
      <c r="M8495" t="e">
        <v>#N/A</v>
      </c>
      <c r="N8495" s="1">
        <v>39904</v>
      </c>
    </row>
    <row r="8496" spans="11:14" x14ac:dyDescent="0.3">
      <c r="K8496" s="1">
        <v>40360</v>
      </c>
      <c r="M8496" t="e">
        <v>#N/A</v>
      </c>
      <c r="N8496" s="1">
        <v>39904</v>
      </c>
    </row>
    <row r="8497" spans="11:14" x14ac:dyDescent="0.3">
      <c r="K8497" s="1">
        <v>40360</v>
      </c>
      <c r="M8497" t="e">
        <v>#N/A</v>
      </c>
      <c r="N8497" s="1">
        <v>39904</v>
      </c>
    </row>
    <row r="8498" spans="11:14" x14ac:dyDescent="0.3">
      <c r="K8498" s="1">
        <v>40360</v>
      </c>
      <c r="M8498" t="e">
        <v>#N/A</v>
      </c>
      <c r="N8498" s="1">
        <v>39995</v>
      </c>
    </row>
    <row r="8499" spans="11:14" x14ac:dyDescent="0.3">
      <c r="K8499" s="1">
        <v>40360</v>
      </c>
      <c r="M8499" t="e">
        <v>#N/A</v>
      </c>
      <c r="N8499" s="1">
        <v>39995</v>
      </c>
    </row>
    <row r="8500" spans="11:14" x14ac:dyDescent="0.3">
      <c r="K8500" s="1">
        <v>40360</v>
      </c>
      <c r="M8500" t="e">
        <v>#N/A</v>
      </c>
      <c r="N8500" s="1">
        <v>39995</v>
      </c>
    </row>
    <row r="8501" spans="11:14" x14ac:dyDescent="0.3">
      <c r="K8501" s="1">
        <v>40360</v>
      </c>
      <c r="M8501" t="e">
        <v>#N/A</v>
      </c>
      <c r="N8501" s="1">
        <v>39995</v>
      </c>
    </row>
    <row r="8502" spans="11:14" x14ac:dyDescent="0.3">
      <c r="K8502" s="1">
        <v>40360</v>
      </c>
      <c r="M8502" t="e">
        <v>#N/A</v>
      </c>
      <c r="N8502" s="1">
        <v>39995</v>
      </c>
    </row>
    <row r="8503" spans="11:14" x14ac:dyDescent="0.3">
      <c r="K8503" s="1">
        <v>40360</v>
      </c>
      <c r="M8503" t="e">
        <v>#N/A</v>
      </c>
      <c r="N8503" s="1">
        <v>39995</v>
      </c>
    </row>
    <row r="8504" spans="11:14" x14ac:dyDescent="0.3">
      <c r="K8504" s="1">
        <v>40360</v>
      </c>
      <c r="M8504" t="e">
        <v>#N/A</v>
      </c>
      <c r="N8504" s="1">
        <v>39995</v>
      </c>
    </row>
    <row r="8505" spans="11:14" x14ac:dyDescent="0.3">
      <c r="K8505" s="1">
        <v>40360</v>
      </c>
      <c r="M8505" t="e">
        <v>#N/A</v>
      </c>
      <c r="N8505" s="1">
        <v>39995</v>
      </c>
    </row>
    <row r="8506" spans="11:14" x14ac:dyDescent="0.3">
      <c r="K8506" s="1">
        <v>40360</v>
      </c>
      <c r="M8506" t="e">
        <v>#N/A</v>
      </c>
      <c r="N8506" s="1">
        <v>39995</v>
      </c>
    </row>
    <row r="8507" spans="11:14" x14ac:dyDescent="0.3">
      <c r="K8507" s="1">
        <v>40360</v>
      </c>
      <c r="M8507" t="e">
        <v>#N/A</v>
      </c>
      <c r="N8507" s="1">
        <v>39995</v>
      </c>
    </row>
    <row r="8508" spans="11:14" x14ac:dyDescent="0.3">
      <c r="K8508" s="1">
        <v>40360</v>
      </c>
      <c r="M8508" t="e">
        <v>#N/A</v>
      </c>
      <c r="N8508" s="1">
        <v>39995</v>
      </c>
    </row>
    <row r="8509" spans="11:14" x14ac:dyDescent="0.3">
      <c r="K8509" s="1">
        <v>40360</v>
      </c>
      <c r="M8509" t="e">
        <v>#N/A</v>
      </c>
      <c r="N8509" s="1">
        <v>39995</v>
      </c>
    </row>
    <row r="8510" spans="11:14" x14ac:dyDescent="0.3">
      <c r="K8510" s="1">
        <v>40360</v>
      </c>
      <c r="M8510" t="e">
        <v>#N/A</v>
      </c>
      <c r="N8510" s="1">
        <v>39995</v>
      </c>
    </row>
    <row r="8511" spans="11:14" x14ac:dyDescent="0.3">
      <c r="K8511" s="1">
        <v>40360</v>
      </c>
      <c r="M8511" t="e">
        <v>#N/A</v>
      </c>
      <c r="N8511" s="1">
        <v>39995</v>
      </c>
    </row>
    <row r="8512" spans="11:14" x14ac:dyDescent="0.3">
      <c r="K8512" s="1">
        <v>40360</v>
      </c>
      <c r="M8512" t="e">
        <v>#N/A</v>
      </c>
      <c r="N8512" s="1">
        <v>39995</v>
      </c>
    </row>
    <row r="8513" spans="11:14" x14ac:dyDescent="0.3">
      <c r="K8513" s="1">
        <v>40360</v>
      </c>
      <c r="M8513" t="e">
        <v>#N/A</v>
      </c>
      <c r="N8513" s="1">
        <v>39995</v>
      </c>
    </row>
    <row r="8514" spans="11:14" x14ac:dyDescent="0.3">
      <c r="K8514" s="1">
        <v>40360</v>
      </c>
      <c r="M8514" t="e">
        <v>#N/A</v>
      </c>
      <c r="N8514" s="1">
        <v>39995</v>
      </c>
    </row>
    <row r="8515" spans="11:14" x14ac:dyDescent="0.3">
      <c r="K8515" s="1">
        <v>40360</v>
      </c>
      <c r="M8515" t="e">
        <v>#N/A</v>
      </c>
      <c r="N8515" s="1">
        <v>39995</v>
      </c>
    </row>
    <row r="8516" spans="11:14" x14ac:dyDescent="0.3">
      <c r="K8516" s="1">
        <v>40360</v>
      </c>
      <c r="M8516" t="e">
        <v>#N/A</v>
      </c>
      <c r="N8516" s="1">
        <v>39995</v>
      </c>
    </row>
    <row r="8517" spans="11:14" x14ac:dyDescent="0.3">
      <c r="K8517" s="1">
        <v>40360</v>
      </c>
      <c r="M8517" t="e">
        <v>#N/A</v>
      </c>
      <c r="N8517" s="1">
        <v>39995</v>
      </c>
    </row>
    <row r="8518" spans="11:14" x14ac:dyDescent="0.3">
      <c r="K8518" s="1">
        <v>40360</v>
      </c>
      <c r="M8518" t="e">
        <v>#N/A</v>
      </c>
      <c r="N8518" s="1">
        <v>39995</v>
      </c>
    </row>
    <row r="8519" spans="11:14" x14ac:dyDescent="0.3">
      <c r="K8519" s="1">
        <v>40360</v>
      </c>
      <c r="M8519" t="e">
        <v>#N/A</v>
      </c>
      <c r="N8519" s="1">
        <v>39995</v>
      </c>
    </row>
    <row r="8520" spans="11:14" x14ac:dyDescent="0.3">
      <c r="K8520" s="1">
        <v>40360</v>
      </c>
      <c r="M8520" t="e">
        <v>#N/A</v>
      </c>
      <c r="N8520" s="1">
        <v>39995</v>
      </c>
    </row>
    <row r="8521" spans="11:14" x14ac:dyDescent="0.3">
      <c r="K8521" s="1">
        <v>40360</v>
      </c>
      <c r="M8521" t="e">
        <v>#N/A</v>
      </c>
      <c r="N8521" s="1">
        <v>39995</v>
      </c>
    </row>
    <row r="8522" spans="11:14" x14ac:dyDescent="0.3">
      <c r="K8522" s="1">
        <v>40360</v>
      </c>
      <c r="M8522" t="e">
        <v>#N/A</v>
      </c>
      <c r="N8522" s="1">
        <v>39995</v>
      </c>
    </row>
    <row r="8523" spans="11:14" x14ac:dyDescent="0.3">
      <c r="K8523" s="1">
        <v>40360</v>
      </c>
      <c r="M8523" t="e">
        <v>#N/A</v>
      </c>
      <c r="N8523" s="1">
        <v>39995</v>
      </c>
    </row>
    <row r="8524" spans="11:14" x14ac:dyDescent="0.3">
      <c r="K8524" s="1">
        <v>40360</v>
      </c>
      <c r="M8524" t="e">
        <v>#N/A</v>
      </c>
      <c r="N8524" s="1">
        <v>39995</v>
      </c>
    </row>
    <row r="8525" spans="11:14" x14ac:dyDescent="0.3">
      <c r="K8525" s="1">
        <v>40360</v>
      </c>
      <c r="M8525" t="e">
        <v>#N/A</v>
      </c>
      <c r="N8525" s="1">
        <v>39995</v>
      </c>
    </row>
    <row r="8526" spans="11:14" x14ac:dyDescent="0.3">
      <c r="K8526" s="1">
        <v>40360</v>
      </c>
      <c r="M8526" t="e">
        <v>#N/A</v>
      </c>
      <c r="N8526" s="1">
        <v>39995</v>
      </c>
    </row>
    <row r="8527" spans="11:14" x14ac:dyDescent="0.3">
      <c r="K8527" s="1">
        <v>40360</v>
      </c>
      <c r="M8527" t="e">
        <v>#N/A</v>
      </c>
      <c r="N8527" s="1">
        <v>39995</v>
      </c>
    </row>
    <row r="8528" spans="11:14" x14ac:dyDescent="0.3">
      <c r="K8528" s="1">
        <v>40360</v>
      </c>
      <c r="M8528" t="e">
        <v>#N/A</v>
      </c>
      <c r="N8528" s="1">
        <v>39995</v>
      </c>
    </row>
    <row r="8529" spans="11:14" x14ac:dyDescent="0.3">
      <c r="K8529" s="1">
        <v>40360</v>
      </c>
      <c r="M8529" t="e">
        <v>#N/A</v>
      </c>
      <c r="N8529" s="1">
        <v>39995</v>
      </c>
    </row>
    <row r="8530" spans="11:14" x14ac:dyDescent="0.3">
      <c r="K8530" s="1">
        <v>40360</v>
      </c>
      <c r="M8530" t="e">
        <v>#N/A</v>
      </c>
      <c r="N8530" s="1">
        <v>39995</v>
      </c>
    </row>
    <row r="8531" spans="11:14" x14ac:dyDescent="0.3">
      <c r="K8531" s="1">
        <v>40360</v>
      </c>
      <c r="M8531" t="e">
        <v>#N/A</v>
      </c>
      <c r="N8531" s="1">
        <v>39995</v>
      </c>
    </row>
    <row r="8532" spans="11:14" x14ac:dyDescent="0.3">
      <c r="K8532" s="1">
        <v>40360</v>
      </c>
      <c r="M8532" t="e">
        <v>#N/A</v>
      </c>
      <c r="N8532" s="1">
        <v>39995</v>
      </c>
    </row>
    <row r="8533" spans="11:14" x14ac:dyDescent="0.3">
      <c r="K8533" s="1">
        <v>40360</v>
      </c>
      <c r="M8533" t="e">
        <v>#N/A</v>
      </c>
      <c r="N8533" s="1">
        <v>39995</v>
      </c>
    </row>
    <row r="8534" spans="11:14" x14ac:dyDescent="0.3">
      <c r="K8534" s="1">
        <v>40360</v>
      </c>
      <c r="M8534" t="e">
        <v>#N/A</v>
      </c>
      <c r="N8534" s="1">
        <v>39995</v>
      </c>
    </row>
    <row r="8535" spans="11:14" x14ac:dyDescent="0.3">
      <c r="K8535" s="1">
        <v>40360</v>
      </c>
      <c r="M8535" t="e">
        <v>#N/A</v>
      </c>
      <c r="N8535" s="1">
        <v>39995</v>
      </c>
    </row>
    <row r="8536" spans="11:14" x14ac:dyDescent="0.3">
      <c r="K8536" s="1">
        <v>40360</v>
      </c>
      <c r="M8536" t="e">
        <v>#N/A</v>
      </c>
      <c r="N8536" s="1">
        <v>39995</v>
      </c>
    </row>
    <row r="8537" spans="11:14" x14ac:dyDescent="0.3">
      <c r="K8537" s="1">
        <v>40360</v>
      </c>
      <c r="M8537" t="e">
        <v>#N/A</v>
      </c>
      <c r="N8537" s="1">
        <v>39995</v>
      </c>
    </row>
    <row r="8538" spans="11:14" x14ac:dyDescent="0.3">
      <c r="K8538" s="1">
        <v>40360</v>
      </c>
      <c r="M8538" t="e">
        <v>#N/A</v>
      </c>
      <c r="N8538" s="1">
        <v>39995</v>
      </c>
    </row>
    <row r="8539" spans="11:14" x14ac:dyDescent="0.3">
      <c r="K8539" s="1">
        <v>40360</v>
      </c>
      <c r="M8539" t="e">
        <v>#N/A</v>
      </c>
      <c r="N8539" s="1">
        <v>39995</v>
      </c>
    </row>
    <row r="8540" spans="11:14" x14ac:dyDescent="0.3">
      <c r="K8540" s="1">
        <v>40360</v>
      </c>
      <c r="M8540" t="e">
        <v>#N/A</v>
      </c>
      <c r="N8540" s="1">
        <v>39995</v>
      </c>
    </row>
    <row r="8541" spans="11:14" x14ac:dyDescent="0.3">
      <c r="K8541" s="1">
        <v>40360</v>
      </c>
      <c r="M8541" t="e">
        <v>#N/A</v>
      </c>
      <c r="N8541" s="1">
        <v>39995</v>
      </c>
    </row>
    <row r="8542" spans="11:14" x14ac:dyDescent="0.3">
      <c r="K8542" s="1">
        <v>40360</v>
      </c>
      <c r="M8542" t="e">
        <v>#N/A</v>
      </c>
      <c r="N8542" s="1">
        <v>39995</v>
      </c>
    </row>
    <row r="8543" spans="11:14" x14ac:dyDescent="0.3">
      <c r="K8543" s="1">
        <v>40360</v>
      </c>
      <c r="M8543" t="e">
        <v>#N/A</v>
      </c>
      <c r="N8543" s="1">
        <v>39995</v>
      </c>
    </row>
    <row r="8544" spans="11:14" x14ac:dyDescent="0.3">
      <c r="K8544" s="1">
        <v>40360</v>
      </c>
      <c r="M8544" t="e">
        <v>#N/A</v>
      </c>
      <c r="N8544" s="1">
        <v>39995</v>
      </c>
    </row>
    <row r="8545" spans="11:14" x14ac:dyDescent="0.3">
      <c r="K8545" s="1">
        <v>40360</v>
      </c>
      <c r="M8545" t="e">
        <v>#N/A</v>
      </c>
      <c r="N8545" s="1">
        <v>39995</v>
      </c>
    </row>
    <row r="8546" spans="11:14" x14ac:dyDescent="0.3">
      <c r="K8546" s="1">
        <v>40360</v>
      </c>
      <c r="M8546" t="e">
        <v>#N/A</v>
      </c>
      <c r="N8546" s="1">
        <v>39995</v>
      </c>
    </row>
    <row r="8547" spans="11:14" x14ac:dyDescent="0.3">
      <c r="K8547" s="1">
        <v>40360</v>
      </c>
      <c r="M8547" t="e">
        <v>#N/A</v>
      </c>
      <c r="N8547" s="1">
        <v>39995</v>
      </c>
    </row>
    <row r="8548" spans="11:14" x14ac:dyDescent="0.3">
      <c r="K8548" s="1">
        <v>40360</v>
      </c>
      <c r="M8548" t="e">
        <v>#N/A</v>
      </c>
      <c r="N8548" s="1">
        <v>39995</v>
      </c>
    </row>
    <row r="8549" spans="11:14" x14ac:dyDescent="0.3">
      <c r="K8549" s="1">
        <v>40360</v>
      </c>
      <c r="M8549" t="e">
        <v>#N/A</v>
      </c>
      <c r="N8549" s="1">
        <v>39995</v>
      </c>
    </row>
    <row r="8550" spans="11:14" x14ac:dyDescent="0.3">
      <c r="K8550" s="1">
        <v>40360</v>
      </c>
      <c r="M8550" t="e">
        <v>#N/A</v>
      </c>
      <c r="N8550" s="1">
        <v>39995</v>
      </c>
    </row>
    <row r="8551" spans="11:14" x14ac:dyDescent="0.3">
      <c r="K8551" s="1">
        <v>40360</v>
      </c>
      <c r="M8551" t="e">
        <v>#N/A</v>
      </c>
      <c r="N8551" s="1">
        <v>39995</v>
      </c>
    </row>
    <row r="8552" spans="11:14" x14ac:dyDescent="0.3">
      <c r="K8552" s="1">
        <v>40360</v>
      </c>
      <c r="M8552" t="e">
        <v>#N/A</v>
      </c>
      <c r="N8552" s="1">
        <v>39995</v>
      </c>
    </row>
    <row r="8553" spans="11:14" x14ac:dyDescent="0.3">
      <c r="K8553" s="1">
        <v>40360</v>
      </c>
      <c r="M8553" t="e">
        <v>#N/A</v>
      </c>
      <c r="N8553" s="1">
        <v>39995</v>
      </c>
    </row>
    <row r="8554" spans="11:14" x14ac:dyDescent="0.3">
      <c r="K8554" s="1">
        <v>40360</v>
      </c>
      <c r="M8554" t="e">
        <v>#N/A</v>
      </c>
      <c r="N8554" s="1">
        <v>39995</v>
      </c>
    </row>
    <row r="8555" spans="11:14" x14ac:dyDescent="0.3">
      <c r="K8555" s="1">
        <v>40360</v>
      </c>
      <c r="M8555" t="e">
        <v>#N/A</v>
      </c>
      <c r="N8555" s="1">
        <v>39995</v>
      </c>
    </row>
    <row r="8556" spans="11:14" x14ac:dyDescent="0.3">
      <c r="K8556" s="1">
        <v>40360</v>
      </c>
      <c r="M8556" t="e">
        <v>#N/A</v>
      </c>
      <c r="N8556" s="1">
        <v>39995</v>
      </c>
    </row>
    <row r="8557" spans="11:14" x14ac:dyDescent="0.3">
      <c r="K8557" s="1">
        <v>40360</v>
      </c>
      <c r="M8557" t="e">
        <v>#N/A</v>
      </c>
      <c r="N8557" s="1">
        <v>39995</v>
      </c>
    </row>
    <row r="8558" spans="11:14" x14ac:dyDescent="0.3">
      <c r="K8558" s="1">
        <v>40360</v>
      </c>
      <c r="M8558" t="e">
        <v>#N/A</v>
      </c>
      <c r="N8558" s="1">
        <v>39995</v>
      </c>
    </row>
    <row r="8559" spans="11:14" x14ac:dyDescent="0.3">
      <c r="K8559" s="1">
        <v>40360</v>
      </c>
      <c r="M8559" t="e">
        <v>#N/A</v>
      </c>
      <c r="N8559" s="1">
        <v>39995</v>
      </c>
    </row>
    <row r="8560" spans="11:14" x14ac:dyDescent="0.3">
      <c r="K8560" s="1">
        <v>40360</v>
      </c>
      <c r="M8560" t="e">
        <v>#N/A</v>
      </c>
      <c r="N8560" s="1">
        <v>39995</v>
      </c>
    </row>
    <row r="8561" spans="11:14" x14ac:dyDescent="0.3">
      <c r="K8561" s="1">
        <v>40360</v>
      </c>
      <c r="M8561" t="e">
        <v>#N/A</v>
      </c>
      <c r="N8561" s="1">
        <v>39995</v>
      </c>
    </row>
    <row r="8562" spans="11:14" x14ac:dyDescent="0.3">
      <c r="K8562" s="1">
        <v>40360</v>
      </c>
      <c r="M8562" t="e">
        <v>#N/A</v>
      </c>
      <c r="N8562" s="1">
        <v>39995</v>
      </c>
    </row>
    <row r="8563" spans="11:14" x14ac:dyDescent="0.3">
      <c r="K8563" s="1">
        <v>40360</v>
      </c>
      <c r="M8563" t="e">
        <v>#N/A</v>
      </c>
      <c r="N8563" s="1">
        <v>39995</v>
      </c>
    </row>
    <row r="8564" spans="11:14" x14ac:dyDescent="0.3">
      <c r="K8564" s="1">
        <v>40360</v>
      </c>
      <c r="M8564" t="e">
        <v>#N/A</v>
      </c>
      <c r="N8564" s="1">
        <v>39995</v>
      </c>
    </row>
    <row r="8565" spans="11:14" x14ac:dyDescent="0.3">
      <c r="K8565" s="1">
        <v>40360</v>
      </c>
      <c r="M8565" t="e">
        <v>#N/A</v>
      </c>
      <c r="N8565" s="1">
        <v>39995</v>
      </c>
    </row>
    <row r="8566" spans="11:14" x14ac:dyDescent="0.3">
      <c r="K8566" s="1">
        <v>40360</v>
      </c>
      <c r="M8566" t="e">
        <v>#N/A</v>
      </c>
      <c r="N8566" s="1">
        <v>39995</v>
      </c>
    </row>
    <row r="8567" spans="11:14" x14ac:dyDescent="0.3">
      <c r="K8567" s="1">
        <v>40452</v>
      </c>
      <c r="M8567" t="e">
        <v>#N/A</v>
      </c>
      <c r="N8567" s="1">
        <v>39995</v>
      </c>
    </row>
    <row r="8568" spans="11:14" x14ac:dyDescent="0.3">
      <c r="K8568" s="1">
        <v>40452</v>
      </c>
      <c r="M8568" t="e">
        <v>#N/A</v>
      </c>
      <c r="N8568" s="1">
        <v>39995</v>
      </c>
    </row>
    <row r="8569" spans="11:14" x14ac:dyDescent="0.3">
      <c r="K8569" s="1">
        <v>40452</v>
      </c>
      <c r="M8569" t="e">
        <v>#N/A</v>
      </c>
      <c r="N8569" s="1">
        <v>39995</v>
      </c>
    </row>
    <row r="8570" spans="11:14" x14ac:dyDescent="0.3">
      <c r="K8570" s="1">
        <v>40452</v>
      </c>
      <c r="M8570" t="e">
        <v>#N/A</v>
      </c>
      <c r="N8570" s="1">
        <v>39995</v>
      </c>
    </row>
    <row r="8571" spans="11:14" x14ac:dyDescent="0.3">
      <c r="K8571" s="1">
        <v>40452</v>
      </c>
      <c r="M8571" t="e">
        <v>#N/A</v>
      </c>
      <c r="N8571" s="1">
        <v>39995</v>
      </c>
    </row>
    <row r="8572" spans="11:14" x14ac:dyDescent="0.3">
      <c r="K8572" s="1">
        <v>40452</v>
      </c>
      <c r="M8572" t="e">
        <v>#N/A</v>
      </c>
      <c r="N8572" s="1">
        <v>39995</v>
      </c>
    </row>
    <row r="8573" spans="11:14" x14ac:dyDescent="0.3">
      <c r="K8573" s="1">
        <v>40452</v>
      </c>
      <c r="M8573" t="e">
        <v>#N/A</v>
      </c>
      <c r="N8573" s="1">
        <v>39995</v>
      </c>
    </row>
    <row r="8574" spans="11:14" x14ac:dyDescent="0.3">
      <c r="K8574" s="1">
        <v>40452</v>
      </c>
      <c r="M8574" t="e">
        <v>#N/A</v>
      </c>
      <c r="N8574" s="1">
        <v>39995</v>
      </c>
    </row>
    <row r="8575" spans="11:14" x14ac:dyDescent="0.3">
      <c r="K8575" s="1">
        <v>40452</v>
      </c>
      <c r="M8575" t="e">
        <v>#N/A</v>
      </c>
      <c r="N8575" s="1">
        <v>39995</v>
      </c>
    </row>
    <row r="8576" spans="11:14" x14ac:dyDescent="0.3">
      <c r="K8576" s="1">
        <v>40452</v>
      </c>
      <c r="M8576" t="e">
        <v>#N/A</v>
      </c>
      <c r="N8576" s="1">
        <v>39995</v>
      </c>
    </row>
    <row r="8577" spans="11:14" x14ac:dyDescent="0.3">
      <c r="K8577" s="1">
        <v>40452</v>
      </c>
      <c r="M8577" t="e">
        <v>#N/A</v>
      </c>
      <c r="N8577" s="1">
        <v>39995</v>
      </c>
    </row>
    <row r="8578" spans="11:14" x14ac:dyDescent="0.3">
      <c r="K8578" s="1">
        <v>40452</v>
      </c>
      <c r="M8578" t="e">
        <v>#N/A</v>
      </c>
      <c r="N8578" s="1">
        <v>39995</v>
      </c>
    </row>
    <row r="8579" spans="11:14" x14ac:dyDescent="0.3">
      <c r="K8579" s="1">
        <v>40452</v>
      </c>
      <c r="M8579" t="e">
        <v>#N/A</v>
      </c>
      <c r="N8579" s="1">
        <v>39995</v>
      </c>
    </row>
    <row r="8580" spans="11:14" x14ac:dyDescent="0.3">
      <c r="K8580" s="1">
        <v>40452</v>
      </c>
      <c r="M8580" t="e">
        <v>#N/A</v>
      </c>
      <c r="N8580" s="1">
        <v>39995</v>
      </c>
    </row>
    <row r="8581" spans="11:14" x14ac:dyDescent="0.3">
      <c r="K8581" s="1">
        <v>40452</v>
      </c>
      <c r="M8581" t="e">
        <v>#N/A</v>
      </c>
      <c r="N8581" s="1">
        <v>39995</v>
      </c>
    </row>
    <row r="8582" spans="11:14" x14ac:dyDescent="0.3">
      <c r="K8582" s="1">
        <v>40452</v>
      </c>
      <c r="M8582" t="e">
        <v>#N/A</v>
      </c>
      <c r="N8582" s="1">
        <v>39995</v>
      </c>
    </row>
    <row r="8583" spans="11:14" x14ac:dyDescent="0.3">
      <c r="K8583" s="1">
        <v>40452</v>
      </c>
      <c r="M8583" t="e">
        <v>#N/A</v>
      </c>
      <c r="N8583" s="1">
        <v>39995</v>
      </c>
    </row>
    <row r="8584" spans="11:14" x14ac:dyDescent="0.3">
      <c r="K8584" s="1">
        <v>40452</v>
      </c>
      <c r="M8584" t="e">
        <v>#N/A</v>
      </c>
      <c r="N8584" s="1">
        <v>39995</v>
      </c>
    </row>
    <row r="8585" spans="11:14" x14ac:dyDescent="0.3">
      <c r="K8585" s="1">
        <v>40452</v>
      </c>
      <c r="M8585" t="e">
        <v>#N/A</v>
      </c>
      <c r="N8585" s="1">
        <v>39995</v>
      </c>
    </row>
    <row r="8586" spans="11:14" x14ac:dyDescent="0.3">
      <c r="K8586" s="1">
        <v>40452</v>
      </c>
      <c r="M8586" t="e">
        <v>#N/A</v>
      </c>
      <c r="N8586" s="1">
        <v>39995</v>
      </c>
    </row>
    <row r="8587" spans="11:14" x14ac:dyDescent="0.3">
      <c r="K8587" s="1">
        <v>40452</v>
      </c>
      <c r="M8587" t="e">
        <v>#N/A</v>
      </c>
      <c r="N8587" s="1">
        <v>39995</v>
      </c>
    </row>
    <row r="8588" spans="11:14" x14ac:dyDescent="0.3">
      <c r="K8588" s="1">
        <v>40452</v>
      </c>
      <c r="M8588" t="e">
        <v>#N/A</v>
      </c>
      <c r="N8588" s="1">
        <v>39995</v>
      </c>
    </row>
    <row r="8589" spans="11:14" x14ac:dyDescent="0.3">
      <c r="K8589" s="1">
        <v>40452</v>
      </c>
      <c r="M8589" t="e">
        <v>#N/A</v>
      </c>
      <c r="N8589" s="1">
        <v>39995</v>
      </c>
    </row>
    <row r="8590" spans="11:14" x14ac:dyDescent="0.3">
      <c r="K8590" s="1">
        <v>40452</v>
      </c>
      <c r="M8590" t="e">
        <v>#N/A</v>
      </c>
      <c r="N8590" s="1">
        <v>39995</v>
      </c>
    </row>
    <row r="8591" spans="11:14" x14ac:dyDescent="0.3">
      <c r="K8591" s="1">
        <v>40452</v>
      </c>
      <c r="M8591" t="e">
        <v>#N/A</v>
      </c>
      <c r="N8591" s="1">
        <v>39995</v>
      </c>
    </row>
    <row r="8592" spans="11:14" x14ac:dyDescent="0.3">
      <c r="K8592" s="1">
        <v>40452</v>
      </c>
      <c r="M8592" t="e">
        <v>#N/A</v>
      </c>
      <c r="N8592" s="1">
        <v>39995</v>
      </c>
    </row>
    <row r="8593" spans="11:14" x14ac:dyDescent="0.3">
      <c r="K8593" s="1">
        <v>40452</v>
      </c>
      <c r="M8593" t="e">
        <v>#N/A</v>
      </c>
      <c r="N8593" s="1">
        <v>39995</v>
      </c>
    </row>
    <row r="8594" spans="11:14" x14ac:dyDescent="0.3">
      <c r="K8594" s="1">
        <v>40452</v>
      </c>
      <c r="M8594" t="e">
        <v>#N/A</v>
      </c>
      <c r="N8594" s="1">
        <v>39995</v>
      </c>
    </row>
    <row r="8595" spans="11:14" x14ac:dyDescent="0.3">
      <c r="K8595" s="1">
        <v>40452</v>
      </c>
      <c r="M8595" t="e">
        <v>#N/A</v>
      </c>
      <c r="N8595" s="1">
        <v>39995</v>
      </c>
    </row>
    <row r="8596" spans="11:14" x14ac:dyDescent="0.3">
      <c r="K8596" s="1">
        <v>40452</v>
      </c>
      <c r="M8596" t="e">
        <v>#N/A</v>
      </c>
      <c r="N8596" s="1">
        <v>39995</v>
      </c>
    </row>
    <row r="8597" spans="11:14" x14ac:dyDescent="0.3">
      <c r="K8597" s="1">
        <v>40452</v>
      </c>
      <c r="M8597" t="e">
        <v>#N/A</v>
      </c>
      <c r="N8597" s="1">
        <v>39995</v>
      </c>
    </row>
    <row r="8598" spans="11:14" x14ac:dyDescent="0.3">
      <c r="K8598" s="1">
        <v>40452</v>
      </c>
      <c r="M8598" t="e">
        <v>#N/A</v>
      </c>
      <c r="N8598" s="1">
        <v>39995</v>
      </c>
    </row>
    <row r="8599" spans="11:14" x14ac:dyDescent="0.3">
      <c r="K8599" s="1">
        <v>40452</v>
      </c>
      <c r="M8599" t="e">
        <v>#N/A</v>
      </c>
      <c r="N8599" s="1">
        <v>39995</v>
      </c>
    </row>
    <row r="8600" spans="11:14" x14ac:dyDescent="0.3">
      <c r="K8600" s="1">
        <v>40452</v>
      </c>
      <c r="M8600" t="e">
        <v>#N/A</v>
      </c>
      <c r="N8600" s="1">
        <v>39995</v>
      </c>
    </row>
    <row r="8601" spans="11:14" x14ac:dyDescent="0.3">
      <c r="K8601" s="1">
        <v>40452</v>
      </c>
      <c r="M8601" t="e">
        <v>#N/A</v>
      </c>
      <c r="N8601" s="1">
        <v>39995</v>
      </c>
    </row>
    <row r="8602" spans="11:14" x14ac:dyDescent="0.3">
      <c r="K8602" s="1">
        <v>40452</v>
      </c>
      <c r="M8602" t="e">
        <v>#N/A</v>
      </c>
      <c r="N8602" s="1">
        <v>39995</v>
      </c>
    </row>
    <row r="8603" spans="11:14" x14ac:dyDescent="0.3">
      <c r="K8603" s="1">
        <v>40452</v>
      </c>
      <c r="M8603" t="e">
        <v>#N/A</v>
      </c>
      <c r="N8603" s="1">
        <v>39995</v>
      </c>
    </row>
    <row r="8604" spans="11:14" x14ac:dyDescent="0.3">
      <c r="K8604" s="1">
        <v>40452</v>
      </c>
      <c r="M8604" t="e">
        <v>#N/A</v>
      </c>
      <c r="N8604" s="1">
        <v>39995</v>
      </c>
    </row>
    <row r="8605" spans="11:14" x14ac:dyDescent="0.3">
      <c r="K8605" s="1">
        <v>40452</v>
      </c>
      <c r="M8605" t="e">
        <v>#N/A</v>
      </c>
      <c r="N8605" s="1">
        <v>39995</v>
      </c>
    </row>
    <row r="8606" spans="11:14" x14ac:dyDescent="0.3">
      <c r="K8606" s="1">
        <v>40452</v>
      </c>
      <c r="M8606" t="e">
        <v>#N/A</v>
      </c>
      <c r="N8606" s="1">
        <v>39995</v>
      </c>
    </row>
    <row r="8607" spans="11:14" x14ac:dyDescent="0.3">
      <c r="K8607" s="1">
        <v>40452</v>
      </c>
      <c r="M8607" t="e">
        <v>#N/A</v>
      </c>
      <c r="N8607" s="1">
        <v>39995</v>
      </c>
    </row>
    <row r="8608" spans="11:14" x14ac:dyDescent="0.3">
      <c r="K8608" s="1">
        <v>40452</v>
      </c>
      <c r="M8608" t="e">
        <v>#N/A</v>
      </c>
      <c r="N8608" s="1">
        <v>39995</v>
      </c>
    </row>
    <row r="8609" spans="11:14" x14ac:dyDescent="0.3">
      <c r="K8609" s="1">
        <v>40452</v>
      </c>
      <c r="M8609" t="e">
        <v>#N/A</v>
      </c>
      <c r="N8609" s="1">
        <v>39995</v>
      </c>
    </row>
    <row r="8610" spans="11:14" x14ac:dyDescent="0.3">
      <c r="K8610" s="1">
        <v>40452</v>
      </c>
      <c r="M8610" t="e">
        <v>#N/A</v>
      </c>
      <c r="N8610" s="1">
        <v>39995</v>
      </c>
    </row>
    <row r="8611" spans="11:14" x14ac:dyDescent="0.3">
      <c r="K8611" s="1">
        <v>40452</v>
      </c>
      <c r="M8611" t="e">
        <v>#N/A</v>
      </c>
      <c r="N8611" s="1">
        <v>39995</v>
      </c>
    </row>
    <row r="8612" spans="11:14" x14ac:dyDescent="0.3">
      <c r="K8612" s="1">
        <v>40452</v>
      </c>
      <c r="M8612" t="e">
        <v>#N/A</v>
      </c>
      <c r="N8612" s="1">
        <v>39995</v>
      </c>
    </row>
    <row r="8613" spans="11:14" x14ac:dyDescent="0.3">
      <c r="K8613" s="1">
        <v>40452</v>
      </c>
      <c r="M8613" t="e">
        <v>#N/A</v>
      </c>
      <c r="N8613" s="1">
        <v>39995</v>
      </c>
    </row>
    <row r="8614" spans="11:14" x14ac:dyDescent="0.3">
      <c r="K8614" s="1">
        <v>40452</v>
      </c>
      <c r="M8614" t="e">
        <v>#N/A</v>
      </c>
      <c r="N8614" s="1">
        <v>39995</v>
      </c>
    </row>
    <row r="8615" spans="11:14" x14ac:dyDescent="0.3">
      <c r="K8615" s="1">
        <v>40452</v>
      </c>
      <c r="M8615" t="e">
        <v>#N/A</v>
      </c>
      <c r="N8615" s="1">
        <v>39995</v>
      </c>
    </row>
    <row r="8616" spans="11:14" x14ac:dyDescent="0.3">
      <c r="K8616" s="1">
        <v>40452</v>
      </c>
      <c r="M8616" t="e">
        <v>#N/A</v>
      </c>
      <c r="N8616" s="1">
        <v>39995</v>
      </c>
    </row>
    <row r="8617" spans="11:14" x14ac:dyDescent="0.3">
      <c r="K8617" s="1">
        <v>40452</v>
      </c>
      <c r="M8617" t="e">
        <v>#N/A</v>
      </c>
      <c r="N8617" s="1">
        <v>39995</v>
      </c>
    </row>
    <row r="8618" spans="11:14" x14ac:dyDescent="0.3">
      <c r="K8618" s="1">
        <v>40452</v>
      </c>
      <c r="M8618" t="e">
        <v>#N/A</v>
      </c>
      <c r="N8618" s="1">
        <v>39995</v>
      </c>
    </row>
    <row r="8619" spans="11:14" x14ac:dyDescent="0.3">
      <c r="K8619" s="1">
        <v>40452</v>
      </c>
      <c r="M8619" t="e">
        <v>#N/A</v>
      </c>
      <c r="N8619" s="1">
        <v>39995</v>
      </c>
    </row>
    <row r="8620" spans="11:14" x14ac:dyDescent="0.3">
      <c r="K8620" s="1">
        <v>40452</v>
      </c>
      <c r="M8620" t="e">
        <v>#N/A</v>
      </c>
      <c r="N8620" s="1">
        <v>39995</v>
      </c>
    </row>
    <row r="8621" spans="11:14" x14ac:dyDescent="0.3">
      <c r="K8621" s="1">
        <v>40452</v>
      </c>
      <c r="M8621" t="e">
        <v>#N/A</v>
      </c>
      <c r="N8621" s="1">
        <v>39995</v>
      </c>
    </row>
    <row r="8622" spans="11:14" x14ac:dyDescent="0.3">
      <c r="K8622" s="1">
        <v>40452</v>
      </c>
      <c r="M8622" t="e">
        <v>#N/A</v>
      </c>
      <c r="N8622" s="1">
        <v>39995</v>
      </c>
    </row>
    <row r="8623" spans="11:14" x14ac:dyDescent="0.3">
      <c r="K8623" s="1">
        <v>40452</v>
      </c>
      <c r="M8623" t="e">
        <v>#N/A</v>
      </c>
      <c r="N8623" s="1">
        <v>39995</v>
      </c>
    </row>
    <row r="8624" spans="11:14" x14ac:dyDescent="0.3">
      <c r="K8624" s="1">
        <v>40452</v>
      </c>
      <c r="M8624" t="e">
        <v>#N/A</v>
      </c>
      <c r="N8624" s="1">
        <v>39995</v>
      </c>
    </row>
    <row r="8625" spans="11:14" x14ac:dyDescent="0.3">
      <c r="K8625" s="1">
        <v>40452</v>
      </c>
      <c r="M8625" t="e">
        <v>#N/A</v>
      </c>
      <c r="N8625" s="1">
        <v>39995</v>
      </c>
    </row>
    <row r="8626" spans="11:14" x14ac:dyDescent="0.3">
      <c r="K8626" s="1">
        <v>40452</v>
      </c>
      <c r="M8626" t="e">
        <v>#N/A</v>
      </c>
      <c r="N8626" s="1">
        <v>39995</v>
      </c>
    </row>
    <row r="8627" spans="11:14" x14ac:dyDescent="0.3">
      <c r="K8627" s="1">
        <v>40452</v>
      </c>
      <c r="M8627" t="e">
        <v>#N/A</v>
      </c>
      <c r="N8627" s="1">
        <v>39995</v>
      </c>
    </row>
    <row r="8628" spans="11:14" x14ac:dyDescent="0.3">
      <c r="K8628" s="1">
        <v>40452</v>
      </c>
      <c r="M8628" t="e">
        <v>#N/A</v>
      </c>
      <c r="N8628" s="1">
        <v>39995</v>
      </c>
    </row>
    <row r="8629" spans="11:14" x14ac:dyDescent="0.3">
      <c r="K8629" s="1">
        <v>40452</v>
      </c>
      <c r="M8629" t="e">
        <v>#N/A</v>
      </c>
      <c r="N8629" s="1">
        <v>39995</v>
      </c>
    </row>
    <row r="8630" spans="11:14" x14ac:dyDescent="0.3">
      <c r="K8630" s="1">
        <v>40452</v>
      </c>
      <c r="M8630" t="e">
        <v>#N/A</v>
      </c>
      <c r="N8630" s="1">
        <v>39995</v>
      </c>
    </row>
    <row r="8631" spans="11:14" x14ac:dyDescent="0.3">
      <c r="K8631" s="1">
        <v>40452</v>
      </c>
      <c r="M8631" t="e">
        <v>#N/A</v>
      </c>
      <c r="N8631" s="1">
        <v>39995</v>
      </c>
    </row>
    <row r="8632" spans="11:14" x14ac:dyDescent="0.3">
      <c r="K8632" s="1">
        <v>40452</v>
      </c>
      <c r="M8632" t="e">
        <v>#N/A</v>
      </c>
      <c r="N8632" s="1">
        <v>39995</v>
      </c>
    </row>
    <row r="8633" spans="11:14" x14ac:dyDescent="0.3">
      <c r="K8633" s="1">
        <v>40452</v>
      </c>
      <c r="M8633" t="e">
        <v>#N/A</v>
      </c>
      <c r="N8633" s="1">
        <v>39995</v>
      </c>
    </row>
    <row r="8634" spans="11:14" x14ac:dyDescent="0.3">
      <c r="K8634" s="1">
        <v>40452</v>
      </c>
      <c r="M8634" t="e">
        <v>#N/A</v>
      </c>
      <c r="N8634" s="1">
        <v>39995</v>
      </c>
    </row>
    <row r="8635" spans="11:14" x14ac:dyDescent="0.3">
      <c r="K8635" s="1">
        <v>40452</v>
      </c>
      <c r="M8635" t="e">
        <v>#N/A</v>
      </c>
      <c r="N8635" s="1">
        <v>39995</v>
      </c>
    </row>
    <row r="8636" spans="11:14" x14ac:dyDescent="0.3">
      <c r="K8636" s="1">
        <v>40452</v>
      </c>
      <c r="M8636" t="e">
        <v>#N/A</v>
      </c>
      <c r="N8636" s="1">
        <v>39995</v>
      </c>
    </row>
    <row r="8637" spans="11:14" x14ac:dyDescent="0.3">
      <c r="K8637" s="1">
        <v>40452</v>
      </c>
      <c r="M8637" t="e">
        <v>#N/A</v>
      </c>
      <c r="N8637" s="1">
        <v>39995</v>
      </c>
    </row>
    <row r="8638" spans="11:14" x14ac:dyDescent="0.3">
      <c r="K8638" s="1">
        <v>40452</v>
      </c>
      <c r="M8638" t="e">
        <v>#N/A</v>
      </c>
      <c r="N8638" s="1">
        <v>39995</v>
      </c>
    </row>
    <row r="8639" spans="11:14" x14ac:dyDescent="0.3">
      <c r="K8639" s="1">
        <v>40452</v>
      </c>
      <c r="M8639" t="e">
        <v>#N/A</v>
      </c>
      <c r="N8639" s="1">
        <v>39995</v>
      </c>
    </row>
    <row r="8640" spans="11:14" x14ac:dyDescent="0.3">
      <c r="K8640" s="1">
        <v>40452</v>
      </c>
      <c r="M8640" t="e">
        <v>#N/A</v>
      </c>
      <c r="N8640" s="1">
        <v>39995</v>
      </c>
    </row>
    <row r="8641" spans="11:14" x14ac:dyDescent="0.3">
      <c r="K8641" s="1">
        <v>40452</v>
      </c>
      <c r="M8641" t="e">
        <v>#N/A</v>
      </c>
      <c r="N8641" s="1">
        <v>39995</v>
      </c>
    </row>
    <row r="8642" spans="11:14" x14ac:dyDescent="0.3">
      <c r="K8642" s="1">
        <v>40452</v>
      </c>
      <c r="M8642" t="e">
        <v>#N/A</v>
      </c>
      <c r="N8642" s="1">
        <v>39995</v>
      </c>
    </row>
    <row r="8643" spans="11:14" x14ac:dyDescent="0.3">
      <c r="K8643" s="1">
        <v>40452</v>
      </c>
      <c r="M8643" t="e">
        <v>#N/A</v>
      </c>
      <c r="N8643" s="1">
        <v>39995</v>
      </c>
    </row>
    <row r="8644" spans="11:14" x14ac:dyDescent="0.3">
      <c r="K8644" s="1">
        <v>40452</v>
      </c>
      <c r="M8644" t="e">
        <v>#N/A</v>
      </c>
      <c r="N8644" s="1">
        <v>39995</v>
      </c>
    </row>
    <row r="8645" spans="11:14" x14ac:dyDescent="0.3">
      <c r="K8645" s="1">
        <v>40452</v>
      </c>
      <c r="M8645" t="e">
        <v>#N/A</v>
      </c>
      <c r="N8645" s="1">
        <v>39995</v>
      </c>
    </row>
    <row r="8646" spans="11:14" x14ac:dyDescent="0.3">
      <c r="K8646" s="1">
        <v>40452</v>
      </c>
      <c r="M8646" t="e">
        <v>#N/A</v>
      </c>
      <c r="N8646" s="1">
        <v>39995</v>
      </c>
    </row>
    <row r="8647" spans="11:14" x14ac:dyDescent="0.3">
      <c r="K8647" s="1">
        <v>40452</v>
      </c>
      <c r="M8647" t="e">
        <v>#N/A</v>
      </c>
      <c r="N8647" s="1">
        <v>39995</v>
      </c>
    </row>
    <row r="8648" spans="11:14" x14ac:dyDescent="0.3">
      <c r="K8648" s="1">
        <v>40452</v>
      </c>
      <c r="M8648" t="e">
        <v>#N/A</v>
      </c>
      <c r="N8648" s="1">
        <v>39995</v>
      </c>
    </row>
    <row r="8649" spans="11:14" x14ac:dyDescent="0.3">
      <c r="K8649" s="1">
        <v>40452</v>
      </c>
      <c r="M8649" t="e">
        <v>#N/A</v>
      </c>
      <c r="N8649" s="1">
        <v>39995</v>
      </c>
    </row>
    <row r="8650" spans="11:14" x14ac:dyDescent="0.3">
      <c r="K8650" s="1">
        <v>40452</v>
      </c>
      <c r="M8650" t="e">
        <v>#N/A</v>
      </c>
      <c r="N8650" s="1">
        <v>39995</v>
      </c>
    </row>
    <row r="8651" spans="11:14" x14ac:dyDescent="0.3">
      <c r="K8651" s="1">
        <v>40452</v>
      </c>
      <c r="M8651" t="e">
        <v>#N/A</v>
      </c>
      <c r="N8651" s="1">
        <v>39995</v>
      </c>
    </row>
    <row r="8652" spans="11:14" x14ac:dyDescent="0.3">
      <c r="K8652" s="1">
        <v>40452</v>
      </c>
      <c r="M8652" t="e">
        <v>#N/A</v>
      </c>
      <c r="N8652" s="1">
        <v>39995</v>
      </c>
    </row>
    <row r="8653" spans="11:14" x14ac:dyDescent="0.3">
      <c r="K8653" s="1">
        <v>40452</v>
      </c>
      <c r="M8653" t="e">
        <v>#N/A</v>
      </c>
      <c r="N8653" s="1">
        <v>39995</v>
      </c>
    </row>
    <row r="8654" spans="11:14" x14ac:dyDescent="0.3">
      <c r="K8654" s="1">
        <v>40452</v>
      </c>
      <c r="M8654" t="e">
        <v>#N/A</v>
      </c>
      <c r="N8654" s="1">
        <v>39995</v>
      </c>
    </row>
    <row r="8655" spans="11:14" x14ac:dyDescent="0.3">
      <c r="K8655" s="1">
        <v>40452</v>
      </c>
      <c r="M8655" t="e">
        <v>#N/A</v>
      </c>
      <c r="N8655" s="1">
        <v>39995</v>
      </c>
    </row>
    <row r="8656" spans="11:14" x14ac:dyDescent="0.3">
      <c r="K8656" s="1">
        <v>40452</v>
      </c>
      <c r="M8656" t="e">
        <v>#N/A</v>
      </c>
      <c r="N8656" s="1">
        <v>39995</v>
      </c>
    </row>
    <row r="8657" spans="11:14" x14ac:dyDescent="0.3">
      <c r="K8657" s="1">
        <v>40452</v>
      </c>
      <c r="M8657" t="e">
        <v>#N/A</v>
      </c>
      <c r="N8657" s="1">
        <v>39995</v>
      </c>
    </row>
    <row r="8658" spans="11:14" x14ac:dyDescent="0.3">
      <c r="K8658" s="1">
        <v>40452</v>
      </c>
      <c r="M8658" t="e">
        <v>#N/A</v>
      </c>
      <c r="N8658" s="1">
        <v>39995</v>
      </c>
    </row>
    <row r="8659" spans="11:14" x14ac:dyDescent="0.3">
      <c r="K8659" s="1">
        <v>40452</v>
      </c>
      <c r="M8659" t="e">
        <v>#N/A</v>
      </c>
      <c r="N8659" s="1">
        <v>39995</v>
      </c>
    </row>
    <row r="8660" spans="11:14" x14ac:dyDescent="0.3">
      <c r="K8660" s="1">
        <v>40452</v>
      </c>
      <c r="M8660" t="e">
        <v>#N/A</v>
      </c>
      <c r="N8660" s="1">
        <v>39995</v>
      </c>
    </row>
    <row r="8661" spans="11:14" x14ac:dyDescent="0.3">
      <c r="K8661" s="1">
        <v>40452</v>
      </c>
      <c r="M8661" t="e">
        <v>#N/A</v>
      </c>
      <c r="N8661" s="1">
        <v>39995</v>
      </c>
    </row>
    <row r="8662" spans="11:14" x14ac:dyDescent="0.3">
      <c r="K8662" s="1">
        <v>40452</v>
      </c>
      <c r="M8662" t="e">
        <v>#N/A</v>
      </c>
      <c r="N8662" s="1">
        <v>39995</v>
      </c>
    </row>
    <row r="8663" spans="11:14" x14ac:dyDescent="0.3">
      <c r="K8663" s="1">
        <v>40452</v>
      </c>
      <c r="M8663" t="e">
        <v>#N/A</v>
      </c>
      <c r="N8663" s="1">
        <v>39995</v>
      </c>
    </row>
    <row r="8664" spans="11:14" x14ac:dyDescent="0.3">
      <c r="K8664" s="1">
        <v>40452</v>
      </c>
      <c r="M8664" t="e">
        <v>#N/A</v>
      </c>
      <c r="N8664" s="1">
        <v>39995</v>
      </c>
    </row>
    <row r="8665" spans="11:14" x14ac:dyDescent="0.3">
      <c r="K8665" s="1">
        <v>40452</v>
      </c>
      <c r="M8665" t="e">
        <v>#N/A</v>
      </c>
      <c r="N8665" s="1">
        <v>39995</v>
      </c>
    </row>
    <row r="8666" spans="11:14" x14ac:dyDescent="0.3">
      <c r="K8666" s="1">
        <v>40452</v>
      </c>
      <c r="M8666" t="e">
        <v>#N/A</v>
      </c>
      <c r="N8666" s="1">
        <v>39995</v>
      </c>
    </row>
    <row r="8667" spans="11:14" x14ac:dyDescent="0.3">
      <c r="K8667" s="1">
        <v>40452</v>
      </c>
      <c r="M8667" t="e">
        <v>#N/A</v>
      </c>
      <c r="N8667" s="1">
        <v>39995</v>
      </c>
    </row>
    <row r="8668" spans="11:14" x14ac:dyDescent="0.3">
      <c r="K8668" s="1">
        <v>40452</v>
      </c>
      <c r="M8668" t="e">
        <v>#N/A</v>
      </c>
      <c r="N8668" s="1">
        <v>39995</v>
      </c>
    </row>
    <row r="8669" spans="11:14" x14ac:dyDescent="0.3">
      <c r="K8669" s="1">
        <v>40452</v>
      </c>
      <c r="M8669" t="e">
        <v>#N/A</v>
      </c>
      <c r="N8669" s="1">
        <v>39995</v>
      </c>
    </row>
    <row r="8670" spans="11:14" x14ac:dyDescent="0.3">
      <c r="K8670" s="1">
        <v>40452</v>
      </c>
      <c r="M8670" t="e">
        <v>#N/A</v>
      </c>
      <c r="N8670" s="1">
        <v>39995</v>
      </c>
    </row>
    <row r="8671" spans="11:14" x14ac:dyDescent="0.3">
      <c r="K8671" s="1">
        <v>40452</v>
      </c>
      <c r="M8671" t="e">
        <v>#N/A</v>
      </c>
      <c r="N8671" s="1">
        <v>39995</v>
      </c>
    </row>
    <row r="8672" spans="11:14" x14ac:dyDescent="0.3">
      <c r="K8672" s="1">
        <v>40452</v>
      </c>
      <c r="M8672" t="e">
        <v>#N/A</v>
      </c>
      <c r="N8672" s="1">
        <v>39995</v>
      </c>
    </row>
    <row r="8673" spans="11:14" x14ac:dyDescent="0.3">
      <c r="K8673" s="1">
        <v>40452</v>
      </c>
      <c r="M8673" t="e">
        <v>#N/A</v>
      </c>
      <c r="N8673" s="1">
        <v>39995</v>
      </c>
    </row>
    <row r="8674" spans="11:14" x14ac:dyDescent="0.3">
      <c r="K8674" s="1">
        <v>40452</v>
      </c>
      <c r="M8674" t="e">
        <v>#N/A</v>
      </c>
      <c r="N8674" s="1">
        <v>39995</v>
      </c>
    </row>
    <row r="8675" spans="11:14" x14ac:dyDescent="0.3">
      <c r="K8675" s="1">
        <v>40452</v>
      </c>
      <c r="M8675" t="e">
        <v>#N/A</v>
      </c>
      <c r="N8675" s="1">
        <v>39995</v>
      </c>
    </row>
    <row r="8676" spans="11:14" x14ac:dyDescent="0.3">
      <c r="K8676" s="1">
        <v>40452</v>
      </c>
      <c r="M8676" t="e">
        <v>#N/A</v>
      </c>
      <c r="N8676" s="1">
        <v>39995</v>
      </c>
    </row>
    <row r="8677" spans="11:14" x14ac:dyDescent="0.3">
      <c r="K8677" s="1">
        <v>40452</v>
      </c>
      <c r="M8677" t="e">
        <v>#N/A</v>
      </c>
      <c r="N8677" s="1">
        <v>39995</v>
      </c>
    </row>
    <row r="8678" spans="11:14" x14ac:dyDescent="0.3">
      <c r="K8678" s="1">
        <v>40452</v>
      </c>
      <c r="M8678" t="e">
        <v>#N/A</v>
      </c>
      <c r="N8678" s="1">
        <v>39995</v>
      </c>
    </row>
    <row r="8679" spans="11:14" x14ac:dyDescent="0.3">
      <c r="K8679" s="1">
        <v>40452</v>
      </c>
      <c r="M8679" t="e">
        <v>#N/A</v>
      </c>
      <c r="N8679" s="1">
        <v>39995</v>
      </c>
    </row>
    <row r="8680" spans="11:14" x14ac:dyDescent="0.3">
      <c r="K8680" s="1">
        <v>40452</v>
      </c>
      <c r="M8680" t="e">
        <v>#N/A</v>
      </c>
      <c r="N8680" s="1">
        <v>39995</v>
      </c>
    </row>
    <row r="8681" spans="11:14" x14ac:dyDescent="0.3">
      <c r="K8681" s="1">
        <v>40452</v>
      </c>
      <c r="M8681" t="e">
        <v>#N/A</v>
      </c>
      <c r="N8681" s="1">
        <v>39995</v>
      </c>
    </row>
    <row r="8682" spans="11:14" x14ac:dyDescent="0.3">
      <c r="K8682" s="1">
        <v>40452</v>
      </c>
      <c r="M8682" t="e">
        <v>#N/A</v>
      </c>
      <c r="N8682" s="1">
        <v>39995</v>
      </c>
    </row>
    <row r="8683" spans="11:14" x14ac:dyDescent="0.3">
      <c r="K8683" s="1">
        <v>40452</v>
      </c>
      <c r="M8683" t="e">
        <v>#N/A</v>
      </c>
      <c r="N8683" s="1">
        <v>39995</v>
      </c>
    </row>
    <row r="8684" spans="11:14" x14ac:dyDescent="0.3">
      <c r="K8684" s="1">
        <v>40452</v>
      </c>
      <c r="M8684" t="e">
        <v>#N/A</v>
      </c>
      <c r="N8684" s="1">
        <v>39995</v>
      </c>
    </row>
    <row r="8685" spans="11:14" x14ac:dyDescent="0.3">
      <c r="K8685" s="1">
        <v>40452</v>
      </c>
      <c r="M8685" t="e">
        <v>#N/A</v>
      </c>
      <c r="N8685" s="1">
        <v>39995</v>
      </c>
    </row>
    <row r="8686" spans="11:14" x14ac:dyDescent="0.3">
      <c r="K8686" s="1">
        <v>40452</v>
      </c>
      <c r="M8686" t="e">
        <v>#N/A</v>
      </c>
      <c r="N8686" s="1">
        <v>39995</v>
      </c>
    </row>
    <row r="8687" spans="11:14" x14ac:dyDescent="0.3">
      <c r="K8687" s="1">
        <v>40452</v>
      </c>
      <c r="M8687" t="e">
        <v>#N/A</v>
      </c>
      <c r="N8687" s="1">
        <v>39995</v>
      </c>
    </row>
    <row r="8688" spans="11:14" x14ac:dyDescent="0.3">
      <c r="K8688" s="1">
        <v>40452</v>
      </c>
      <c r="M8688" t="e">
        <v>#N/A</v>
      </c>
      <c r="N8688" s="1">
        <v>39995</v>
      </c>
    </row>
    <row r="8689" spans="11:14" x14ac:dyDescent="0.3">
      <c r="K8689" s="1">
        <v>40452</v>
      </c>
      <c r="M8689" t="e">
        <v>#N/A</v>
      </c>
      <c r="N8689" s="1">
        <v>39995</v>
      </c>
    </row>
    <row r="8690" spans="11:14" x14ac:dyDescent="0.3">
      <c r="K8690" s="1">
        <v>40452</v>
      </c>
      <c r="M8690" t="e">
        <v>#N/A</v>
      </c>
      <c r="N8690" s="1">
        <v>39995</v>
      </c>
    </row>
    <row r="8691" spans="11:14" x14ac:dyDescent="0.3">
      <c r="K8691" s="1">
        <v>40452</v>
      </c>
      <c r="M8691" t="e">
        <v>#N/A</v>
      </c>
      <c r="N8691" s="1">
        <v>39995</v>
      </c>
    </row>
    <row r="8692" spans="11:14" x14ac:dyDescent="0.3">
      <c r="K8692" s="1">
        <v>40452</v>
      </c>
      <c r="M8692" t="e">
        <v>#N/A</v>
      </c>
      <c r="N8692" s="1">
        <v>39995</v>
      </c>
    </row>
    <row r="8693" spans="11:14" x14ac:dyDescent="0.3">
      <c r="K8693" s="1">
        <v>40452</v>
      </c>
      <c r="M8693" t="e">
        <v>#N/A</v>
      </c>
      <c r="N8693" s="1">
        <v>39995</v>
      </c>
    </row>
    <row r="8694" spans="11:14" x14ac:dyDescent="0.3">
      <c r="K8694" s="1">
        <v>40452</v>
      </c>
      <c r="M8694" t="e">
        <v>#N/A</v>
      </c>
      <c r="N8694" s="1">
        <v>39995</v>
      </c>
    </row>
    <row r="8695" spans="11:14" x14ac:dyDescent="0.3">
      <c r="K8695" s="1">
        <v>40452</v>
      </c>
      <c r="M8695" t="e">
        <v>#N/A</v>
      </c>
      <c r="N8695" s="1">
        <v>39995</v>
      </c>
    </row>
    <row r="8696" spans="11:14" x14ac:dyDescent="0.3">
      <c r="K8696" s="1">
        <v>40452</v>
      </c>
      <c r="M8696" t="e">
        <v>#N/A</v>
      </c>
      <c r="N8696" s="1">
        <v>39995</v>
      </c>
    </row>
    <row r="8697" spans="11:14" x14ac:dyDescent="0.3">
      <c r="K8697" s="1">
        <v>40452</v>
      </c>
      <c r="M8697" t="e">
        <v>#N/A</v>
      </c>
      <c r="N8697" s="1">
        <v>39995</v>
      </c>
    </row>
    <row r="8698" spans="11:14" x14ac:dyDescent="0.3">
      <c r="K8698" s="1">
        <v>40452</v>
      </c>
      <c r="M8698" t="e">
        <v>#N/A</v>
      </c>
      <c r="N8698" s="1">
        <v>39995</v>
      </c>
    </row>
    <row r="8699" spans="11:14" x14ac:dyDescent="0.3">
      <c r="K8699" s="1">
        <v>40452</v>
      </c>
      <c r="M8699" t="e">
        <v>#N/A</v>
      </c>
      <c r="N8699" s="1">
        <v>39995</v>
      </c>
    </row>
    <row r="8700" spans="11:14" x14ac:dyDescent="0.3">
      <c r="K8700" s="1">
        <v>40452</v>
      </c>
      <c r="M8700" t="e">
        <v>#N/A</v>
      </c>
      <c r="N8700" s="1">
        <v>39995</v>
      </c>
    </row>
    <row r="8701" spans="11:14" x14ac:dyDescent="0.3">
      <c r="K8701" s="1">
        <v>40452</v>
      </c>
      <c r="M8701" t="e">
        <v>#N/A</v>
      </c>
      <c r="N8701" s="1">
        <v>39995</v>
      </c>
    </row>
    <row r="8702" spans="11:14" x14ac:dyDescent="0.3">
      <c r="K8702" s="1">
        <v>40452</v>
      </c>
      <c r="M8702" t="e">
        <v>#N/A</v>
      </c>
      <c r="N8702" s="1">
        <v>39995</v>
      </c>
    </row>
    <row r="8703" spans="11:14" x14ac:dyDescent="0.3">
      <c r="K8703" s="1">
        <v>40452</v>
      </c>
      <c r="M8703" t="e">
        <v>#N/A</v>
      </c>
      <c r="N8703" s="1">
        <v>39995</v>
      </c>
    </row>
    <row r="8704" spans="11:14" x14ac:dyDescent="0.3">
      <c r="K8704" s="1">
        <v>40452</v>
      </c>
      <c r="M8704" t="e">
        <v>#N/A</v>
      </c>
      <c r="N8704" s="1">
        <v>39995</v>
      </c>
    </row>
    <row r="8705" spans="11:14" x14ac:dyDescent="0.3">
      <c r="K8705" s="1">
        <v>40452</v>
      </c>
      <c r="M8705" t="e">
        <v>#N/A</v>
      </c>
      <c r="N8705" s="1">
        <v>39995</v>
      </c>
    </row>
    <row r="8706" spans="11:14" x14ac:dyDescent="0.3">
      <c r="K8706" s="1">
        <v>40452</v>
      </c>
      <c r="M8706" t="e">
        <v>#N/A</v>
      </c>
      <c r="N8706" s="1">
        <v>39995</v>
      </c>
    </row>
    <row r="8707" spans="11:14" x14ac:dyDescent="0.3">
      <c r="K8707" s="1">
        <v>40452</v>
      </c>
      <c r="M8707" t="e">
        <v>#N/A</v>
      </c>
      <c r="N8707" s="1">
        <v>39995</v>
      </c>
    </row>
    <row r="8708" spans="11:14" x14ac:dyDescent="0.3">
      <c r="K8708" s="1">
        <v>40452</v>
      </c>
      <c r="M8708" t="e">
        <v>#N/A</v>
      </c>
      <c r="N8708" s="1">
        <v>39995</v>
      </c>
    </row>
    <row r="8709" spans="11:14" x14ac:dyDescent="0.3">
      <c r="K8709" s="1">
        <v>40452</v>
      </c>
      <c r="M8709" t="e">
        <v>#N/A</v>
      </c>
      <c r="N8709" s="1">
        <v>39995</v>
      </c>
    </row>
    <row r="8710" spans="11:14" x14ac:dyDescent="0.3">
      <c r="K8710" s="1">
        <v>40452</v>
      </c>
      <c r="M8710" t="e">
        <v>#N/A</v>
      </c>
      <c r="N8710" s="1">
        <v>39995</v>
      </c>
    </row>
    <row r="8711" spans="11:14" x14ac:dyDescent="0.3">
      <c r="K8711" s="1">
        <v>40452</v>
      </c>
      <c r="M8711" t="e">
        <v>#N/A</v>
      </c>
      <c r="N8711" s="1">
        <v>39995</v>
      </c>
    </row>
    <row r="8712" spans="11:14" x14ac:dyDescent="0.3">
      <c r="K8712" s="1">
        <v>40452</v>
      </c>
      <c r="M8712" t="e">
        <v>#N/A</v>
      </c>
      <c r="N8712" s="1">
        <v>39995</v>
      </c>
    </row>
    <row r="8713" spans="11:14" x14ac:dyDescent="0.3">
      <c r="K8713" s="1">
        <v>40452</v>
      </c>
      <c r="M8713" t="e">
        <v>#N/A</v>
      </c>
      <c r="N8713" s="1">
        <v>39995</v>
      </c>
    </row>
    <row r="8714" spans="11:14" x14ac:dyDescent="0.3">
      <c r="K8714" s="1">
        <v>40452</v>
      </c>
      <c r="M8714" t="e">
        <v>#N/A</v>
      </c>
      <c r="N8714" s="1">
        <v>39995</v>
      </c>
    </row>
    <row r="8715" spans="11:14" x14ac:dyDescent="0.3">
      <c r="K8715" s="1">
        <v>40452</v>
      </c>
      <c r="M8715" t="e">
        <v>#N/A</v>
      </c>
      <c r="N8715" s="1">
        <v>39995</v>
      </c>
    </row>
    <row r="8716" spans="11:14" x14ac:dyDescent="0.3">
      <c r="K8716" s="1">
        <v>40452</v>
      </c>
      <c r="M8716" t="e">
        <v>#N/A</v>
      </c>
      <c r="N8716" s="1">
        <v>39995</v>
      </c>
    </row>
    <row r="8717" spans="11:14" x14ac:dyDescent="0.3">
      <c r="K8717" s="1">
        <v>40452</v>
      </c>
      <c r="M8717" t="e">
        <v>#N/A</v>
      </c>
      <c r="N8717" s="1">
        <v>39995</v>
      </c>
    </row>
    <row r="8718" spans="11:14" x14ac:dyDescent="0.3">
      <c r="K8718" s="1">
        <v>40452</v>
      </c>
      <c r="M8718" t="e">
        <v>#N/A</v>
      </c>
      <c r="N8718" s="1">
        <v>39995</v>
      </c>
    </row>
    <row r="8719" spans="11:14" x14ac:dyDescent="0.3">
      <c r="K8719" s="1">
        <v>40452</v>
      </c>
      <c r="M8719" t="e">
        <v>#N/A</v>
      </c>
      <c r="N8719" s="1">
        <v>39995</v>
      </c>
    </row>
    <row r="8720" spans="11:14" x14ac:dyDescent="0.3">
      <c r="K8720" s="1">
        <v>40452</v>
      </c>
      <c r="M8720" t="e">
        <v>#N/A</v>
      </c>
      <c r="N8720" s="1">
        <v>39995</v>
      </c>
    </row>
    <row r="8721" spans="11:14" x14ac:dyDescent="0.3">
      <c r="K8721" s="1">
        <v>40452</v>
      </c>
      <c r="M8721" t="e">
        <v>#N/A</v>
      </c>
      <c r="N8721" s="1">
        <v>39995</v>
      </c>
    </row>
    <row r="8722" spans="11:14" x14ac:dyDescent="0.3">
      <c r="K8722" s="1">
        <v>40452</v>
      </c>
      <c r="M8722" t="e">
        <v>#N/A</v>
      </c>
      <c r="N8722" s="1">
        <v>39995</v>
      </c>
    </row>
    <row r="8723" spans="11:14" x14ac:dyDescent="0.3">
      <c r="K8723" s="1">
        <v>40452</v>
      </c>
      <c r="M8723" t="e">
        <v>#N/A</v>
      </c>
      <c r="N8723" s="1">
        <v>39995</v>
      </c>
    </row>
    <row r="8724" spans="11:14" x14ac:dyDescent="0.3">
      <c r="K8724" s="1">
        <v>40452</v>
      </c>
      <c r="M8724" t="e">
        <v>#N/A</v>
      </c>
      <c r="N8724" s="1">
        <v>39995</v>
      </c>
    </row>
    <row r="8725" spans="11:14" x14ac:dyDescent="0.3">
      <c r="K8725" s="1">
        <v>40452</v>
      </c>
      <c r="M8725" t="e">
        <v>#N/A</v>
      </c>
      <c r="N8725" s="1">
        <v>39995</v>
      </c>
    </row>
    <row r="8726" spans="11:14" x14ac:dyDescent="0.3">
      <c r="K8726" s="1">
        <v>40452</v>
      </c>
      <c r="M8726" t="e">
        <v>#N/A</v>
      </c>
      <c r="N8726" s="1">
        <v>39995</v>
      </c>
    </row>
    <row r="8727" spans="11:14" x14ac:dyDescent="0.3">
      <c r="K8727" s="1">
        <v>40452</v>
      </c>
      <c r="M8727" t="e">
        <v>#N/A</v>
      </c>
      <c r="N8727" s="1">
        <v>39995</v>
      </c>
    </row>
    <row r="8728" spans="11:14" x14ac:dyDescent="0.3">
      <c r="K8728" s="1">
        <v>40452</v>
      </c>
      <c r="M8728" t="e">
        <v>#N/A</v>
      </c>
      <c r="N8728" s="1">
        <v>39995</v>
      </c>
    </row>
    <row r="8729" spans="11:14" x14ac:dyDescent="0.3">
      <c r="K8729" s="1">
        <v>40452</v>
      </c>
      <c r="M8729" t="e">
        <v>#N/A</v>
      </c>
      <c r="N8729" s="1">
        <v>39995</v>
      </c>
    </row>
    <row r="8730" spans="11:14" x14ac:dyDescent="0.3">
      <c r="K8730" s="1">
        <v>40452</v>
      </c>
      <c r="M8730" t="e">
        <v>#N/A</v>
      </c>
      <c r="N8730" s="1">
        <v>39995</v>
      </c>
    </row>
    <row r="8731" spans="11:14" x14ac:dyDescent="0.3">
      <c r="K8731" s="1">
        <v>40452</v>
      </c>
      <c r="M8731" t="e">
        <v>#N/A</v>
      </c>
      <c r="N8731" s="1">
        <v>39995</v>
      </c>
    </row>
    <row r="8732" spans="11:14" x14ac:dyDescent="0.3">
      <c r="K8732" s="1">
        <v>40452</v>
      </c>
      <c r="M8732" t="e">
        <v>#N/A</v>
      </c>
      <c r="N8732" s="1">
        <v>39995</v>
      </c>
    </row>
    <row r="8733" spans="11:14" x14ac:dyDescent="0.3">
      <c r="K8733" s="1">
        <v>40452</v>
      </c>
      <c r="M8733" t="e">
        <v>#N/A</v>
      </c>
      <c r="N8733" s="1">
        <v>39995</v>
      </c>
    </row>
    <row r="8734" spans="11:14" x14ac:dyDescent="0.3">
      <c r="K8734" s="1">
        <v>40452</v>
      </c>
      <c r="M8734" t="e">
        <v>#N/A</v>
      </c>
      <c r="N8734" s="1">
        <v>39995</v>
      </c>
    </row>
    <row r="8735" spans="11:14" x14ac:dyDescent="0.3">
      <c r="K8735" s="1">
        <v>40452</v>
      </c>
      <c r="M8735" t="e">
        <v>#N/A</v>
      </c>
      <c r="N8735" s="1">
        <v>39995</v>
      </c>
    </row>
    <row r="8736" spans="11:14" x14ac:dyDescent="0.3">
      <c r="K8736" s="1">
        <v>40452</v>
      </c>
      <c r="M8736" t="e">
        <v>#N/A</v>
      </c>
      <c r="N8736" s="1">
        <v>39995</v>
      </c>
    </row>
    <row r="8737" spans="11:14" x14ac:dyDescent="0.3">
      <c r="K8737" s="1">
        <v>40452</v>
      </c>
      <c r="M8737" t="e">
        <v>#N/A</v>
      </c>
      <c r="N8737" s="1">
        <v>39995</v>
      </c>
    </row>
    <row r="8738" spans="11:14" x14ac:dyDescent="0.3">
      <c r="K8738" s="1">
        <v>40452</v>
      </c>
      <c r="M8738" t="e">
        <v>#N/A</v>
      </c>
      <c r="N8738" s="1">
        <v>39995</v>
      </c>
    </row>
    <row r="8739" spans="11:14" x14ac:dyDescent="0.3">
      <c r="K8739" s="1">
        <v>40452</v>
      </c>
      <c r="M8739" t="e">
        <v>#N/A</v>
      </c>
      <c r="N8739" s="1">
        <v>39995</v>
      </c>
    </row>
    <row r="8740" spans="11:14" x14ac:dyDescent="0.3">
      <c r="K8740" s="1">
        <v>40452</v>
      </c>
      <c r="M8740" t="e">
        <v>#N/A</v>
      </c>
      <c r="N8740" s="1">
        <v>39995</v>
      </c>
    </row>
    <row r="8741" spans="11:14" x14ac:dyDescent="0.3">
      <c r="K8741" s="1">
        <v>40452</v>
      </c>
      <c r="M8741" t="e">
        <v>#N/A</v>
      </c>
      <c r="N8741" s="1">
        <v>39995</v>
      </c>
    </row>
    <row r="8742" spans="11:14" x14ac:dyDescent="0.3">
      <c r="K8742" s="1">
        <v>40452</v>
      </c>
      <c r="M8742" t="e">
        <v>#N/A</v>
      </c>
      <c r="N8742" s="1">
        <v>39995</v>
      </c>
    </row>
    <row r="8743" spans="11:14" x14ac:dyDescent="0.3">
      <c r="K8743" s="1">
        <v>40452</v>
      </c>
      <c r="M8743" t="e">
        <v>#N/A</v>
      </c>
      <c r="N8743" s="1">
        <v>39995</v>
      </c>
    </row>
    <row r="8744" spans="11:14" x14ac:dyDescent="0.3">
      <c r="K8744" s="1">
        <v>40452</v>
      </c>
      <c r="M8744" t="e">
        <v>#N/A</v>
      </c>
      <c r="N8744" s="1">
        <v>39995</v>
      </c>
    </row>
    <row r="8745" spans="11:14" x14ac:dyDescent="0.3">
      <c r="K8745" s="1">
        <v>40452</v>
      </c>
      <c r="M8745" t="e">
        <v>#N/A</v>
      </c>
      <c r="N8745" s="1">
        <v>39995</v>
      </c>
    </row>
    <row r="8746" spans="11:14" x14ac:dyDescent="0.3">
      <c r="K8746" s="1">
        <v>40452</v>
      </c>
      <c r="M8746" t="e">
        <v>#N/A</v>
      </c>
      <c r="N8746" s="1">
        <v>39995</v>
      </c>
    </row>
    <row r="8747" spans="11:14" x14ac:dyDescent="0.3">
      <c r="K8747" s="1">
        <v>40452</v>
      </c>
      <c r="M8747" t="e">
        <v>#N/A</v>
      </c>
      <c r="N8747" s="1">
        <v>39995</v>
      </c>
    </row>
    <row r="8748" spans="11:14" x14ac:dyDescent="0.3">
      <c r="K8748" s="1">
        <v>40452</v>
      </c>
      <c r="M8748" t="e">
        <v>#N/A</v>
      </c>
      <c r="N8748" s="1">
        <v>39995</v>
      </c>
    </row>
    <row r="8749" spans="11:14" x14ac:dyDescent="0.3">
      <c r="K8749" s="1">
        <v>40452</v>
      </c>
      <c r="M8749" t="e">
        <v>#N/A</v>
      </c>
      <c r="N8749" s="1">
        <v>39995</v>
      </c>
    </row>
    <row r="8750" spans="11:14" x14ac:dyDescent="0.3">
      <c r="K8750" s="1">
        <v>40452</v>
      </c>
      <c r="M8750" t="e">
        <v>#N/A</v>
      </c>
      <c r="N8750" s="1">
        <v>39995</v>
      </c>
    </row>
    <row r="8751" spans="11:14" x14ac:dyDescent="0.3">
      <c r="K8751" s="1">
        <v>40452</v>
      </c>
      <c r="M8751" t="e">
        <v>#N/A</v>
      </c>
      <c r="N8751" s="1">
        <v>39995</v>
      </c>
    </row>
    <row r="8752" spans="11:14" x14ac:dyDescent="0.3">
      <c r="K8752" s="1">
        <v>40452</v>
      </c>
      <c r="M8752" t="e">
        <v>#N/A</v>
      </c>
      <c r="N8752" s="1">
        <v>39995</v>
      </c>
    </row>
    <row r="8753" spans="11:14" x14ac:dyDescent="0.3">
      <c r="K8753" s="1">
        <v>40452</v>
      </c>
      <c r="M8753" t="e">
        <v>#N/A</v>
      </c>
      <c r="N8753" s="1">
        <v>39995</v>
      </c>
    </row>
    <row r="8754" spans="11:14" x14ac:dyDescent="0.3">
      <c r="K8754" s="1">
        <v>40452</v>
      </c>
      <c r="M8754" t="e">
        <v>#N/A</v>
      </c>
      <c r="N8754" s="1">
        <v>39995</v>
      </c>
    </row>
    <row r="8755" spans="11:14" x14ac:dyDescent="0.3">
      <c r="K8755" s="1">
        <v>40452</v>
      </c>
      <c r="M8755" t="e">
        <v>#N/A</v>
      </c>
      <c r="N8755" s="1">
        <v>39995</v>
      </c>
    </row>
    <row r="8756" spans="11:14" x14ac:dyDescent="0.3">
      <c r="K8756" s="1">
        <v>40452</v>
      </c>
      <c r="M8756" t="e">
        <v>#N/A</v>
      </c>
      <c r="N8756" s="1">
        <v>39995</v>
      </c>
    </row>
    <row r="8757" spans="11:14" x14ac:dyDescent="0.3">
      <c r="K8757" s="1">
        <v>40452</v>
      </c>
      <c r="M8757" t="e">
        <v>#N/A</v>
      </c>
      <c r="N8757" s="1">
        <v>39995</v>
      </c>
    </row>
    <row r="8758" spans="11:14" x14ac:dyDescent="0.3">
      <c r="K8758" s="1">
        <v>40452</v>
      </c>
      <c r="M8758" t="e">
        <v>#N/A</v>
      </c>
      <c r="N8758" s="1">
        <v>39995</v>
      </c>
    </row>
    <row r="8759" spans="11:14" x14ac:dyDescent="0.3">
      <c r="K8759" s="1">
        <v>40452</v>
      </c>
      <c r="M8759" t="e">
        <v>#N/A</v>
      </c>
      <c r="N8759" s="1">
        <v>39995</v>
      </c>
    </row>
    <row r="8760" spans="11:14" x14ac:dyDescent="0.3">
      <c r="K8760" s="1">
        <v>40452</v>
      </c>
      <c r="M8760" t="e">
        <v>#N/A</v>
      </c>
      <c r="N8760" s="1">
        <v>39995</v>
      </c>
    </row>
    <row r="8761" spans="11:14" x14ac:dyDescent="0.3">
      <c r="K8761" s="1">
        <v>40452</v>
      </c>
      <c r="M8761" t="e">
        <v>#N/A</v>
      </c>
      <c r="N8761" s="1">
        <v>39995</v>
      </c>
    </row>
    <row r="8762" spans="11:14" x14ac:dyDescent="0.3">
      <c r="K8762" s="1">
        <v>40452</v>
      </c>
      <c r="M8762" t="e">
        <v>#N/A</v>
      </c>
      <c r="N8762" s="1">
        <v>39995</v>
      </c>
    </row>
    <row r="8763" spans="11:14" x14ac:dyDescent="0.3">
      <c r="K8763" s="1">
        <v>40452</v>
      </c>
      <c r="M8763" t="e">
        <v>#N/A</v>
      </c>
      <c r="N8763" s="1">
        <v>39995</v>
      </c>
    </row>
    <row r="8764" spans="11:14" x14ac:dyDescent="0.3">
      <c r="K8764" s="1">
        <v>40452</v>
      </c>
      <c r="M8764" t="e">
        <v>#N/A</v>
      </c>
      <c r="N8764" s="1">
        <v>39995</v>
      </c>
    </row>
    <row r="8765" spans="11:14" x14ac:dyDescent="0.3">
      <c r="K8765" s="1">
        <v>40452</v>
      </c>
      <c r="M8765" t="e">
        <v>#N/A</v>
      </c>
      <c r="N8765" s="1">
        <v>39995</v>
      </c>
    </row>
    <row r="8766" spans="11:14" x14ac:dyDescent="0.3">
      <c r="K8766" s="1">
        <v>40452</v>
      </c>
      <c r="M8766" t="e">
        <v>#N/A</v>
      </c>
      <c r="N8766" s="1">
        <v>39995</v>
      </c>
    </row>
    <row r="8767" spans="11:14" x14ac:dyDescent="0.3">
      <c r="K8767" s="1">
        <v>40452</v>
      </c>
      <c r="M8767" t="e">
        <v>#N/A</v>
      </c>
      <c r="N8767" s="1">
        <v>39995</v>
      </c>
    </row>
    <row r="8768" spans="11:14" x14ac:dyDescent="0.3">
      <c r="K8768" s="1">
        <v>40452</v>
      </c>
      <c r="M8768" t="e">
        <v>#N/A</v>
      </c>
      <c r="N8768" s="1">
        <v>39995</v>
      </c>
    </row>
    <row r="8769" spans="11:14" x14ac:dyDescent="0.3">
      <c r="K8769" s="1">
        <v>40452</v>
      </c>
      <c r="M8769" t="e">
        <v>#N/A</v>
      </c>
      <c r="N8769" s="1">
        <v>39995</v>
      </c>
    </row>
    <row r="8770" spans="11:14" x14ac:dyDescent="0.3">
      <c r="K8770" s="1">
        <v>40452</v>
      </c>
      <c r="M8770" t="e">
        <v>#N/A</v>
      </c>
      <c r="N8770" s="1">
        <v>39995</v>
      </c>
    </row>
    <row r="8771" spans="11:14" x14ac:dyDescent="0.3">
      <c r="K8771" s="1">
        <v>40452</v>
      </c>
      <c r="M8771" t="e">
        <v>#N/A</v>
      </c>
      <c r="N8771" s="1">
        <v>39995</v>
      </c>
    </row>
    <row r="8772" spans="11:14" x14ac:dyDescent="0.3">
      <c r="K8772" s="1">
        <v>40452</v>
      </c>
      <c r="M8772" t="e">
        <v>#N/A</v>
      </c>
      <c r="N8772" s="1">
        <v>39995</v>
      </c>
    </row>
    <row r="8773" spans="11:14" x14ac:dyDescent="0.3">
      <c r="K8773" s="1">
        <v>40452</v>
      </c>
      <c r="M8773" t="e">
        <v>#N/A</v>
      </c>
      <c r="N8773" s="1">
        <v>39995</v>
      </c>
    </row>
    <row r="8774" spans="11:14" x14ac:dyDescent="0.3">
      <c r="K8774" s="1">
        <v>40452</v>
      </c>
      <c r="M8774" t="e">
        <v>#N/A</v>
      </c>
      <c r="N8774" s="1">
        <v>39995</v>
      </c>
    </row>
    <row r="8775" spans="11:14" x14ac:dyDescent="0.3">
      <c r="K8775" s="1">
        <v>40452</v>
      </c>
      <c r="M8775" t="e">
        <v>#N/A</v>
      </c>
      <c r="N8775" s="1">
        <v>39995</v>
      </c>
    </row>
    <row r="8776" spans="11:14" x14ac:dyDescent="0.3">
      <c r="K8776" s="1">
        <v>40452</v>
      </c>
      <c r="M8776" t="e">
        <v>#N/A</v>
      </c>
      <c r="N8776" s="1">
        <v>39995</v>
      </c>
    </row>
    <row r="8777" spans="11:14" x14ac:dyDescent="0.3">
      <c r="K8777" s="1">
        <v>40452</v>
      </c>
      <c r="M8777" t="e">
        <v>#N/A</v>
      </c>
      <c r="N8777" s="1">
        <v>39995</v>
      </c>
    </row>
    <row r="8778" spans="11:14" x14ac:dyDescent="0.3">
      <c r="K8778" s="1">
        <v>40452</v>
      </c>
      <c r="M8778" t="e">
        <v>#N/A</v>
      </c>
      <c r="N8778" s="1">
        <v>39995</v>
      </c>
    </row>
    <row r="8779" spans="11:14" x14ac:dyDescent="0.3">
      <c r="K8779" s="1">
        <v>40452</v>
      </c>
      <c r="M8779" t="e">
        <v>#N/A</v>
      </c>
      <c r="N8779" s="1">
        <v>39995</v>
      </c>
    </row>
    <row r="8780" spans="11:14" x14ac:dyDescent="0.3">
      <c r="K8780" s="1">
        <v>40452</v>
      </c>
      <c r="M8780" t="e">
        <v>#N/A</v>
      </c>
      <c r="N8780" s="1">
        <v>39995</v>
      </c>
    </row>
    <row r="8781" spans="11:14" x14ac:dyDescent="0.3">
      <c r="K8781" s="1">
        <v>40452</v>
      </c>
      <c r="M8781" t="e">
        <v>#N/A</v>
      </c>
      <c r="N8781" s="1">
        <v>39995</v>
      </c>
    </row>
    <row r="8782" spans="11:14" x14ac:dyDescent="0.3">
      <c r="K8782" s="1">
        <v>40452</v>
      </c>
      <c r="M8782" t="e">
        <v>#N/A</v>
      </c>
      <c r="N8782" s="1">
        <v>39995</v>
      </c>
    </row>
    <row r="8783" spans="11:14" x14ac:dyDescent="0.3">
      <c r="K8783" s="1">
        <v>40452</v>
      </c>
      <c r="M8783" t="e">
        <v>#N/A</v>
      </c>
      <c r="N8783" s="1">
        <v>39995</v>
      </c>
    </row>
    <row r="8784" spans="11:14" x14ac:dyDescent="0.3">
      <c r="K8784" s="1">
        <v>40452</v>
      </c>
      <c r="M8784" t="e">
        <v>#N/A</v>
      </c>
      <c r="N8784" s="1">
        <v>39995</v>
      </c>
    </row>
    <row r="8785" spans="11:14" x14ac:dyDescent="0.3">
      <c r="K8785" s="1">
        <v>40452</v>
      </c>
      <c r="M8785" t="e">
        <v>#N/A</v>
      </c>
      <c r="N8785" s="1">
        <v>39995</v>
      </c>
    </row>
    <row r="8786" spans="11:14" x14ac:dyDescent="0.3">
      <c r="K8786" s="1">
        <v>40452</v>
      </c>
      <c r="M8786" t="e">
        <v>#N/A</v>
      </c>
      <c r="N8786" s="1">
        <v>39995</v>
      </c>
    </row>
    <row r="8787" spans="11:14" x14ac:dyDescent="0.3">
      <c r="K8787" s="1">
        <v>40452</v>
      </c>
      <c r="M8787" t="e">
        <v>#N/A</v>
      </c>
      <c r="N8787" s="1">
        <v>39995</v>
      </c>
    </row>
    <row r="8788" spans="11:14" x14ac:dyDescent="0.3">
      <c r="K8788" s="1">
        <v>40452</v>
      </c>
      <c r="M8788" t="e">
        <v>#N/A</v>
      </c>
      <c r="N8788" s="1">
        <v>39995</v>
      </c>
    </row>
    <row r="8789" spans="11:14" x14ac:dyDescent="0.3">
      <c r="K8789" s="1">
        <v>40452</v>
      </c>
      <c r="M8789" t="e">
        <v>#N/A</v>
      </c>
      <c r="N8789" s="1">
        <v>39995</v>
      </c>
    </row>
    <row r="8790" spans="11:14" x14ac:dyDescent="0.3">
      <c r="K8790" s="1">
        <v>40452</v>
      </c>
      <c r="M8790" t="e">
        <v>#N/A</v>
      </c>
      <c r="N8790" s="1">
        <v>39995</v>
      </c>
    </row>
    <row r="8791" spans="11:14" x14ac:dyDescent="0.3">
      <c r="K8791" s="1">
        <v>40452</v>
      </c>
      <c r="M8791" t="e">
        <v>#N/A</v>
      </c>
      <c r="N8791" s="1">
        <v>39995</v>
      </c>
    </row>
    <row r="8792" spans="11:14" x14ac:dyDescent="0.3">
      <c r="K8792" s="1">
        <v>40452</v>
      </c>
      <c r="M8792" t="e">
        <v>#N/A</v>
      </c>
      <c r="N8792" s="1">
        <v>39995</v>
      </c>
    </row>
    <row r="8793" spans="11:14" x14ac:dyDescent="0.3">
      <c r="K8793" s="1">
        <v>40452</v>
      </c>
      <c r="M8793" t="e">
        <v>#N/A</v>
      </c>
      <c r="N8793" s="1">
        <v>39995</v>
      </c>
    </row>
    <row r="8794" spans="11:14" x14ac:dyDescent="0.3">
      <c r="K8794" s="1">
        <v>40452</v>
      </c>
      <c r="M8794" t="e">
        <v>#N/A</v>
      </c>
      <c r="N8794" s="1">
        <v>39995</v>
      </c>
    </row>
    <row r="8795" spans="11:14" x14ac:dyDescent="0.3">
      <c r="K8795" s="1">
        <v>40452</v>
      </c>
      <c r="M8795" t="e">
        <v>#N/A</v>
      </c>
      <c r="N8795" s="1">
        <v>39995</v>
      </c>
    </row>
    <row r="8796" spans="11:14" x14ac:dyDescent="0.3">
      <c r="K8796" s="1">
        <v>40452</v>
      </c>
      <c r="M8796" t="e">
        <v>#N/A</v>
      </c>
      <c r="N8796" s="1">
        <v>40087</v>
      </c>
    </row>
    <row r="8797" spans="11:14" x14ac:dyDescent="0.3">
      <c r="K8797" s="1">
        <v>40452</v>
      </c>
      <c r="M8797" t="e">
        <v>#N/A</v>
      </c>
      <c r="N8797" s="1">
        <v>40087</v>
      </c>
    </row>
    <row r="8798" spans="11:14" x14ac:dyDescent="0.3">
      <c r="K8798" s="1">
        <v>40452</v>
      </c>
      <c r="M8798" t="e">
        <v>#N/A</v>
      </c>
      <c r="N8798" s="1">
        <v>40087</v>
      </c>
    </row>
    <row r="8799" spans="11:14" x14ac:dyDescent="0.3">
      <c r="K8799" s="1">
        <v>40452</v>
      </c>
      <c r="M8799" t="e">
        <v>#N/A</v>
      </c>
      <c r="N8799" s="1">
        <v>40087</v>
      </c>
    </row>
    <row r="8800" spans="11:14" x14ac:dyDescent="0.3">
      <c r="K8800" s="1">
        <v>40452</v>
      </c>
      <c r="M8800" t="e">
        <v>#N/A</v>
      </c>
      <c r="N8800" s="1">
        <v>40087</v>
      </c>
    </row>
    <row r="8801" spans="11:14" x14ac:dyDescent="0.3">
      <c r="K8801" s="1">
        <v>40452</v>
      </c>
      <c r="M8801" t="e">
        <v>#N/A</v>
      </c>
      <c r="N8801" s="1">
        <v>40087</v>
      </c>
    </row>
    <row r="8802" spans="11:14" x14ac:dyDescent="0.3">
      <c r="K8802" s="1">
        <v>40452</v>
      </c>
      <c r="M8802" t="e">
        <v>#N/A</v>
      </c>
      <c r="N8802" s="1">
        <v>40087</v>
      </c>
    </row>
    <row r="8803" spans="11:14" x14ac:dyDescent="0.3">
      <c r="K8803" s="1">
        <v>40452</v>
      </c>
      <c r="M8803" t="e">
        <v>#N/A</v>
      </c>
      <c r="N8803" s="1">
        <v>40087</v>
      </c>
    </row>
    <row r="8804" spans="11:14" x14ac:dyDescent="0.3">
      <c r="K8804" s="1">
        <v>40452</v>
      </c>
      <c r="M8804" t="e">
        <v>#N/A</v>
      </c>
      <c r="N8804" s="1">
        <v>40087</v>
      </c>
    </row>
    <row r="8805" spans="11:14" x14ac:dyDescent="0.3">
      <c r="K8805" s="1">
        <v>40452</v>
      </c>
      <c r="M8805" t="e">
        <v>#N/A</v>
      </c>
      <c r="N8805" s="1">
        <v>40087</v>
      </c>
    </row>
    <row r="8806" spans="11:14" x14ac:dyDescent="0.3">
      <c r="K8806" s="1">
        <v>40452</v>
      </c>
      <c r="M8806" t="e">
        <v>#N/A</v>
      </c>
      <c r="N8806" s="1">
        <v>40087</v>
      </c>
    </row>
    <row r="8807" spans="11:14" x14ac:dyDescent="0.3">
      <c r="K8807" s="1">
        <v>40452</v>
      </c>
      <c r="M8807" t="e">
        <v>#N/A</v>
      </c>
      <c r="N8807" s="1">
        <v>40087</v>
      </c>
    </row>
    <row r="8808" spans="11:14" x14ac:dyDescent="0.3">
      <c r="K8808" s="1">
        <v>40452</v>
      </c>
      <c r="M8808" t="e">
        <v>#N/A</v>
      </c>
      <c r="N8808" s="1">
        <v>40087</v>
      </c>
    </row>
    <row r="8809" spans="11:14" x14ac:dyDescent="0.3">
      <c r="K8809" s="1">
        <v>40452</v>
      </c>
      <c r="M8809" t="e">
        <v>#N/A</v>
      </c>
      <c r="N8809" s="1">
        <v>40087</v>
      </c>
    </row>
    <row r="8810" spans="11:14" x14ac:dyDescent="0.3">
      <c r="K8810" s="1">
        <v>40452</v>
      </c>
      <c r="M8810" t="e">
        <v>#N/A</v>
      </c>
      <c r="N8810" s="1">
        <v>40087</v>
      </c>
    </row>
    <row r="8811" spans="11:14" x14ac:dyDescent="0.3">
      <c r="K8811" s="1">
        <v>40452</v>
      </c>
      <c r="M8811" t="e">
        <v>#N/A</v>
      </c>
      <c r="N8811" s="1">
        <v>40087</v>
      </c>
    </row>
    <row r="8812" spans="11:14" x14ac:dyDescent="0.3">
      <c r="K8812" s="1">
        <v>40452</v>
      </c>
      <c r="M8812" t="e">
        <v>#N/A</v>
      </c>
      <c r="N8812" s="1">
        <v>40087</v>
      </c>
    </row>
    <row r="8813" spans="11:14" x14ac:dyDescent="0.3">
      <c r="K8813" s="1">
        <v>40452</v>
      </c>
      <c r="M8813" t="e">
        <v>#N/A</v>
      </c>
      <c r="N8813" s="1">
        <v>40087</v>
      </c>
    </row>
    <row r="8814" spans="11:14" x14ac:dyDescent="0.3">
      <c r="K8814" s="1">
        <v>40452</v>
      </c>
      <c r="M8814" t="e">
        <v>#N/A</v>
      </c>
      <c r="N8814" s="1">
        <v>40087</v>
      </c>
    </row>
    <row r="8815" spans="11:14" x14ac:dyDescent="0.3">
      <c r="K8815" s="1">
        <v>40452</v>
      </c>
      <c r="M8815" t="e">
        <v>#N/A</v>
      </c>
      <c r="N8815" s="1">
        <v>40087</v>
      </c>
    </row>
    <row r="8816" spans="11:14" x14ac:dyDescent="0.3">
      <c r="K8816" s="1">
        <v>40452</v>
      </c>
      <c r="M8816" t="e">
        <v>#N/A</v>
      </c>
      <c r="N8816" s="1">
        <v>40087</v>
      </c>
    </row>
    <row r="8817" spans="11:14" x14ac:dyDescent="0.3">
      <c r="K8817" s="1">
        <v>40452</v>
      </c>
      <c r="M8817" t="e">
        <v>#N/A</v>
      </c>
      <c r="N8817" s="1">
        <v>40087</v>
      </c>
    </row>
    <row r="8818" spans="11:14" x14ac:dyDescent="0.3">
      <c r="K8818" s="1">
        <v>40452</v>
      </c>
      <c r="M8818" t="e">
        <v>#N/A</v>
      </c>
      <c r="N8818" s="1">
        <v>40087</v>
      </c>
    </row>
    <row r="8819" spans="11:14" x14ac:dyDescent="0.3">
      <c r="K8819" s="1">
        <v>40452</v>
      </c>
      <c r="M8819" t="e">
        <v>#N/A</v>
      </c>
      <c r="N8819" s="1">
        <v>40087</v>
      </c>
    </row>
    <row r="8820" spans="11:14" x14ac:dyDescent="0.3">
      <c r="K8820" s="1">
        <v>40452</v>
      </c>
      <c r="M8820" t="e">
        <v>#N/A</v>
      </c>
      <c r="N8820" s="1">
        <v>40087</v>
      </c>
    </row>
    <row r="8821" spans="11:14" x14ac:dyDescent="0.3">
      <c r="K8821" s="1">
        <v>40452</v>
      </c>
      <c r="M8821" t="e">
        <v>#N/A</v>
      </c>
      <c r="N8821" s="1">
        <v>40087</v>
      </c>
    </row>
    <row r="8822" spans="11:14" x14ac:dyDescent="0.3">
      <c r="K8822" s="1">
        <v>40452</v>
      </c>
      <c r="M8822" t="e">
        <v>#N/A</v>
      </c>
      <c r="N8822" s="1">
        <v>40087</v>
      </c>
    </row>
    <row r="8823" spans="11:14" x14ac:dyDescent="0.3">
      <c r="K8823" s="1">
        <v>40452</v>
      </c>
      <c r="M8823" t="e">
        <v>#N/A</v>
      </c>
      <c r="N8823" s="1">
        <v>40087</v>
      </c>
    </row>
    <row r="8824" spans="11:14" x14ac:dyDescent="0.3">
      <c r="K8824" s="1">
        <v>40452</v>
      </c>
      <c r="M8824" t="e">
        <v>#N/A</v>
      </c>
      <c r="N8824" s="1">
        <v>40087</v>
      </c>
    </row>
    <row r="8825" spans="11:14" x14ac:dyDescent="0.3">
      <c r="K8825" s="1">
        <v>40452</v>
      </c>
      <c r="M8825" t="e">
        <v>#N/A</v>
      </c>
      <c r="N8825" s="1">
        <v>40087</v>
      </c>
    </row>
    <row r="8826" spans="11:14" x14ac:dyDescent="0.3">
      <c r="K8826" s="1">
        <v>40452</v>
      </c>
      <c r="M8826" t="e">
        <v>#N/A</v>
      </c>
      <c r="N8826" s="1">
        <v>40087</v>
      </c>
    </row>
    <row r="8827" spans="11:14" x14ac:dyDescent="0.3">
      <c r="K8827" s="1">
        <v>40452</v>
      </c>
      <c r="M8827" t="e">
        <v>#N/A</v>
      </c>
      <c r="N8827" s="1">
        <v>40087</v>
      </c>
    </row>
    <row r="8828" spans="11:14" x14ac:dyDescent="0.3">
      <c r="K8828" s="1">
        <v>40452</v>
      </c>
      <c r="M8828" t="e">
        <v>#N/A</v>
      </c>
      <c r="N8828" s="1">
        <v>40087</v>
      </c>
    </row>
    <row r="8829" spans="11:14" x14ac:dyDescent="0.3">
      <c r="K8829" s="1">
        <v>40452</v>
      </c>
      <c r="M8829" t="e">
        <v>#N/A</v>
      </c>
      <c r="N8829" s="1">
        <v>40087</v>
      </c>
    </row>
    <row r="8830" spans="11:14" x14ac:dyDescent="0.3">
      <c r="K8830" s="1">
        <v>40452</v>
      </c>
      <c r="M8830" t="e">
        <v>#N/A</v>
      </c>
      <c r="N8830" s="1">
        <v>40087</v>
      </c>
    </row>
    <row r="8831" spans="11:14" x14ac:dyDescent="0.3">
      <c r="K8831" s="1">
        <v>40452</v>
      </c>
      <c r="M8831" t="e">
        <v>#N/A</v>
      </c>
      <c r="N8831" s="1">
        <v>40087</v>
      </c>
    </row>
    <row r="8832" spans="11:14" x14ac:dyDescent="0.3">
      <c r="K8832" s="1">
        <v>40452</v>
      </c>
      <c r="M8832" t="e">
        <v>#N/A</v>
      </c>
      <c r="N8832" s="1">
        <v>40087</v>
      </c>
    </row>
    <row r="8833" spans="11:14" x14ac:dyDescent="0.3">
      <c r="K8833" s="1">
        <v>40452</v>
      </c>
      <c r="M8833" t="e">
        <v>#N/A</v>
      </c>
      <c r="N8833" s="1">
        <v>40087</v>
      </c>
    </row>
    <row r="8834" spans="11:14" x14ac:dyDescent="0.3">
      <c r="K8834" s="1">
        <v>40452</v>
      </c>
      <c r="M8834" t="e">
        <v>#N/A</v>
      </c>
      <c r="N8834" s="1">
        <v>40087</v>
      </c>
    </row>
    <row r="8835" spans="11:14" x14ac:dyDescent="0.3">
      <c r="K8835" s="1">
        <v>40452</v>
      </c>
      <c r="M8835" t="e">
        <v>#N/A</v>
      </c>
      <c r="N8835" s="1">
        <v>40087</v>
      </c>
    </row>
    <row r="8836" spans="11:14" x14ac:dyDescent="0.3">
      <c r="K8836" s="1">
        <v>40452</v>
      </c>
      <c r="M8836" t="e">
        <v>#N/A</v>
      </c>
      <c r="N8836" s="1">
        <v>40087</v>
      </c>
    </row>
    <row r="8837" spans="11:14" x14ac:dyDescent="0.3">
      <c r="K8837" s="1">
        <v>40452</v>
      </c>
      <c r="M8837" t="e">
        <v>#N/A</v>
      </c>
      <c r="N8837" s="1">
        <v>40087</v>
      </c>
    </row>
    <row r="8838" spans="11:14" x14ac:dyDescent="0.3">
      <c r="K8838" s="1">
        <v>40452</v>
      </c>
      <c r="M8838" t="e">
        <v>#N/A</v>
      </c>
      <c r="N8838" s="1">
        <v>40087</v>
      </c>
    </row>
    <row r="8839" spans="11:14" x14ac:dyDescent="0.3">
      <c r="K8839" s="1">
        <v>40452</v>
      </c>
      <c r="M8839" t="e">
        <v>#N/A</v>
      </c>
      <c r="N8839" s="1">
        <v>40087</v>
      </c>
    </row>
    <row r="8840" spans="11:14" x14ac:dyDescent="0.3">
      <c r="K8840" s="1">
        <v>40452</v>
      </c>
      <c r="M8840" t="e">
        <v>#N/A</v>
      </c>
      <c r="N8840" s="1">
        <v>40087</v>
      </c>
    </row>
    <row r="8841" spans="11:14" x14ac:dyDescent="0.3">
      <c r="K8841" s="1">
        <v>40452</v>
      </c>
      <c r="M8841" t="e">
        <v>#N/A</v>
      </c>
      <c r="N8841" s="1">
        <v>40087</v>
      </c>
    </row>
    <row r="8842" spans="11:14" x14ac:dyDescent="0.3">
      <c r="K8842" s="1">
        <v>40452</v>
      </c>
      <c r="M8842" t="e">
        <v>#N/A</v>
      </c>
      <c r="N8842" s="1">
        <v>40087</v>
      </c>
    </row>
    <row r="8843" spans="11:14" x14ac:dyDescent="0.3">
      <c r="K8843" s="1">
        <v>40452</v>
      </c>
      <c r="M8843" t="e">
        <v>#N/A</v>
      </c>
      <c r="N8843" s="1">
        <v>40087</v>
      </c>
    </row>
    <row r="8844" spans="11:14" x14ac:dyDescent="0.3">
      <c r="K8844" s="1">
        <v>40452</v>
      </c>
      <c r="M8844" t="e">
        <v>#N/A</v>
      </c>
      <c r="N8844" s="1">
        <v>40087</v>
      </c>
    </row>
    <row r="8845" spans="11:14" x14ac:dyDescent="0.3">
      <c r="K8845" s="1">
        <v>40452</v>
      </c>
      <c r="M8845" t="e">
        <v>#N/A</v>
      </c>
      <c r="N8845" s="1">
        <v>40087</v>
      </c>
    </row>
    <row r="8846" spans="11:14" x14ac:dyDescent="0.3">
      <c r="K8846" s="1">
        <v>40452</v>
      </c>
      <c r="M8846" t="e">
        <v>#N/A</v>
      </c>
      <c r="N8846" s="1">
        <v>40087</v>
      </c>
    </row>
    <row r="8847" spans="11:14" x14ac:dyDescent="0.3">
      <c r="K8847" s="1">
        <v>40452</v>
      </c>
      <c r="M8847" t="e">
        <v>#N/A</v>
      </c>
      <c r="N8847" s="1">
        <v>40087</v>
      </c>
    </row>
    <row r="8848" spans="11:14" x14ac:dyDescent="0.3">
      <c r="K8848" s="1">
        <v>40452</v>
      </c>
      <c r="M8848" t="e">
        <v>#N/A</v>
      </c>
      <c r="N8848" s="1">
        <v>40087</v>
      </c>
    </row>
    <row r="8849" spans="11:14" x14ac:dyDescent="0.3">
      <c r="K8849" s="1">
        <v>40452</v>
      </c>
      <c r="M8849" t="e">
        <v>#N/A</v>
      </c>
      <c r="N8849" s="1">
        <v>40087</v>
      </c>
    </row>
    <row r="8850" spans="11:14" x14ac:dyDescent="0.3">
      <c r="K8850" s="1">
        <v>40452</v>
      </c>
      <c r="M8850" t="e">
        <v>#N/A</v>
      </c>
      <c r="N8850" s="1">
        <v>40087</v>
      </c>
    </row>
    <row r="8851" spans="11:14" x14ac:dyDescent="0.3">
      <c r="K8851" s="1">
        <v>40452</v>
      </c>
      <c r="M8851" t="e">
        <v>#N/A</v>
      </c>
      <c r="N8851" s="1">
        <v>40087</v>
      </c>
    </row>
    <row r="8852" spans="11:14" x14ac:dyDescent="0.3">
      <c r="K8852" s="1">
        <v>40452</v>
      </c>
      <c r="M8852" t="e">
        <v>#N/A</v>
      </c>
      <c r="N8852" s="1">
        <v>40087</v>
      </c>
    </row>
    <row r="8853" spans="11:14" x14ac:dyDescent="0.3">
      <c r="K8853" s="1">
        <v>40452</v>
      </c>
      <c r="M8853" t="e">
        <v>#N/A</v>
      </c>
      <c r="N8853" s="1">
        <v>40087</v>
      </c>
    </row>
    <row r="8854" spans="11:14" x14ac:dyDescent="0.3">
      <c r="K8854" s="1">
        <v>40452</v>
      </c>
      <c r="M8854" t="e">
        <v>#N/A</v>
      </c>
      <c r="N8854" s="1">
        <v>40087</v>
      </c>
    </row>
    <row r="8855" spans="11:14" x14ac:dyDescent="0.3">
      <c r="K8855" s="1">
        <v>40452</v>
      </c>
      <c r="M8855" t="e">
        <v>#N/A</v>
      </c>
      <c r="N8855" s="1">
        <v>40087</v>
      </c>
    </row>
    <row r="8856" spans="11:14" x14ac:dyDescent="0.3">
      <c r="K8856" s="1">
        <v>40452</v>
      </c>
      <c r="M8856" t="e">
        <v>#N/A</v>
      </c>
      <c r="N8856" s="1">
        <v>40087</v>
      </c>
    </row>
    <row r="8857" spans="11:14" x14ac:dyDescent="0.3">
      <c r="K8857" s="1">
        <v>40452</v>
      </c>
      <c r="M8857" t="e">
        <v>#N/A</v>
      </c>
      <c r="N8857" s="1">
        <v>40087</v>
      </c>
    </row>
    <row r="8858" spans="11:14" x14ac:dyDescent="0.3">
      <c r="K8858" s="1">
        <v>40452</v>
      </c>
      <c r="M8858" t="e">
        <v>#N/A</v>
      </c>
      <c r="N8858" s="1">
        <v>40087</v>
      </c>
    </row>
    <row r="8859" spans="11:14" x14ac:dyDescent="0.3">
      <c r="K8859" s="1">
        <v>40452</v>
      </c>
      <c r="M8859" t="e">
        <v>#N/A</v>
      </c>
      <c r="N8859" s="1">
        <v>40087</v>
      </c>
    </row>
    <row r="8860" spans="11:14" x14ac:dyDescent="0.3">
      <c r="K8860" s="1">
        <v>40452</v>
      </c>
      <c r="M8860" t="e">
        <v>#N/A</v>
      </c>
      <c r="N8860" s="1">
        <v>40087</v>
      </c>
    </row>
    <row r="8861" spans="11:14" x14ac:dyDescent="0.3">
      <c r="K8861" s="1">
        <v>40452</v>
      </c>
      <c r="M8861" t="e">
        <v>#N/A</v>
      </c>
      <c r="N8861" s="1">
        <v>40087</v>
      </c>
    </row>
    <row r="8862" spans="11:14" x14ac:dyDescent="0.3">
      <c r="K8862" s="1">
        <v>40452</v>
      </c>
      <c r="M8862" t="e">
        <v>#N/A</v>
      </c>
      <c r="N8862" s="1">
        <v>40087</v>
      </c>
    </row>
    <row r="8863" spans="11:14" x14ac:dyDescent="0.3">
      <c r="K8863" s="1">
        <v>40452</v>
      </c>
      <c r="M8863" t="e">
        <v>#N/A</v>
      </c>
      <c r="N8863" s="1">
        <v>40087</v>
      </c>
    </row>
    <row r="8864" spans="11:14" x14ac:dyDescent="0.3">
      <c r="K8864" s="1">
        <v>40452</v>
      </c>
      <c r="M8864" t="e">
        <v>#N/A</v>
      </c>
      <c r="N8864" s="1">
        <v>40087</v>
      </c>
    </row>
    <row r="8865" spans="11:14" x14ac:dyDescent="0.3">
      <c r="K8865" s="1">
        <v>40452</v>
      </c>
      <c r="M8865" t="e">
        <v>#N/A</v>
      </c>
      <c r="N8865" s="1">
        <v>40087</v>
      </c>
    </row>
    <row r="8866" spans="11:14" x14ac:dyDescent="0.3">
      <c r="K8866" s="1">
        <v>40452</v>
      </c>
      <c r="M8866" t="e">
        <v>#N/A</v>
      </c>
      <c r="N8866" s="1">
        <v>40087</v>
      </c>
    </row>
    <row r="8867" spans="11:14" x14ac:dyDescent="0.3">
      <c r="K8867" s="1">
        <v>40452</v>
      </c>
      <c r="M8867" t="e">
        <v>#N/A</v>
      </c>
      <c r="N8867" s="1">
        <v>40087</v>
      </c>
    </row>
    <row r="8868" spans="11:14" x14ac:dyDescent="0.3">
      <c r="K8868" s="1">
        <v>40452</v>
      </c>
      <c r="M8868" t="e">
        <v>#N/A</v>
      </c>
      <c r="N8868" s="1">
        <v>40087</v>
      </c>
    </row>
    <row r="8869" spans="11:14" x14ac:dyDescent="0.3">
      <c r="K8869" s="1">
        <v>40452</v>
      </c>
      <c r="M8869" t="e">
        <v>#N/A</v>
      </c>
      <c r="N8869" s="1">
        <v>40087</v>
      </c>
    </row>
    <row r="8870" spans="11:14" x14ac:dyDescent="0.3">
      <c r="K8870" s="1">
        <v>40452</v>
      </c>
      <c r="M8870" t="e">
        <v>#N/A</v>
      </c>
      <c r="N8870" s="1">
        <v>40087</v>
      </c>
    </row>
    <row r="8871" spans="11:14" x14ac:dyDescent="0.3">
      <c r="K8871" s="1">
        <v>40452</v>
      </c>
      <c r="M8871" t="e">
        <v>#N/A</v>
      </c>
      <c r="N8871" s="1">
        <v>40087</v>
      </c>
    </row>
    <row r="8872" spans="11:14" x14ac:dyDescent="0.3">
      <c r="K8872" s="1">
        <v>40452</v>
      </c>
      <c r="M8872" t="e">
        <v>#N/A</v>
      </c>
      <c r="N8872" s="1">
        <v>40087</v>
      </c>
    </row>
    <row r="8873" spans="11:14" x14ac:dyDescent="0.3">
      <c r="K8873" s="1">
        <v>40544</v>
      </c>
      <c r="M8873" t="e">
        <v>#N/A</v>
      </c>
      <c r="N8873" s="1">
        <v>40087</v>
      </c>
    </row>
    <row r="8874" spans="11:14" x14ac:dyDescent="0.3">
      <c r="K8874" s="1">
        <v>40544</v>
      </c>
      <c r="M8874" t="e">
        <v>#N/A</v>
      </c>
      <c r="N8874" s="1">
        <v>40087</v>
      </c>
    </row>
    <row r="8875" spans="11:14" x14ac:dyDescent="0.3">
      <c r="K8875" s="1">
        <v>40544</v>
      </c>
      <c r="M8875" t="e">
        <v>#N/A</v>
      </c>
      <c r="N8875" s="1">
        <v>40087</v>
      </c>
    </row>
    <row r="8876" spans="11:14" x14ac:dyDescent="0.3">
      <c r="K8876" s="1">
        <v>40544</v>
      </c>
      <c r="M8876" t="e">
        <v>#N/A</v>
      </c>
      <c r="N8876" s="1">
        <v>40087</v>
      </c>
    </row>
    <row r="8877" spans="11:14" x14ac:dyDescent="0.3">
      <c r="K8877" s="1">
        <v>40544</v>
      </c>
      <c r="M8877" t="e">
        <v>#N/A</v>
      </c>
      <c r="N8877" s="1">
        <v>40087</v>
      </c>
    </row>
    <row r="8878" spans="11:14" x14ac:dyDescent="0.3">
      <c r="K8878" s="1">
        <v>40544</v>
      </c>
      <c r="M8878" t="e">
        <v>#N/A</v>
      </c>
      <c r="N8878" s="1">
        <v>40087</v>
      </c>
    </row>
    <row r="8879" spans="11:14" x14ac:dyDescent="0.3">
      <c r="K8879" s="1">
        <v>40544</v>
      </c>
      <c r="M8879" t="e">
        <v>#N/A</v>
      </c>
      <c r="N8879" s="1">
        <v>40087</v>
      </c>
    </row>
    <row r="8880" spans="11:14" x14ac:dyDescent="0.3">
      <c r="K8880" s="1">
        <v>40544</v>
      </c>
      <c r="M8880" t="e">
        <v>#N/A</v>
      </c>
      <c r="N8880" s="1">
        <v>40087</v>
      </c>
    </row>
    <row r="8881" spans="11:14" x14ac:dyDescent="0.3">
      <c r="K8881" s="1">
        <v>40544</v>
      </c>
      <c r="M8881" t="e">
        <v>#N/A</v>
      </c>
      <c r="N8881" s="1">
        <v>40087</v>
      </c>
    </row>
    <row r="8882" spans="11:14" x14ac:dyDescent="0.3">
      <c r="K8882" s="1">
        <v>40544</v>
      </c>
      <c r="M8882" t="e">
        <v>#N/A</v>
      </c>
      <c r="N8882" s="1">
        <v>40087</v>
      </c>
    </row>
    <row r="8883" spans="11:14" x14ac:dyDescent="0.3">
      <c r="K8883" s="1">
        <v>40544</v>
      </c>
      <c r="M8883" t="e">
        <v>#N/A</v>
      </c>
      <c r="N8883" s="1">
        <v>40087</v>
      </c>
    </row>
    <row r="8884" spans="11:14" x14ac:dyDescent="0.3">
      <c r="K8884" s="1">
        <v>40544</v>
      </c>
      <c r="M8884" t="e">
        <v>#N/A</v>
      </c>
      <c r="N8884" s="1">
        <v>40087</v>
      </c>
    </row>
    <row r="8885" spans="11:14" x14ac:dyDescent="0.3">
      <c r="K8885" s="1">
        <v>40544</v>
      </c>
      <c r="M8885" t="e">
        <v>#N/A</v>
      </c>
      <c r="N8885" s="1">
        <v>40087</v>
      </c>
    </row>
    <row r="8886" spans="11:14" x14ac:dyDescent="0.3">
      <c r="K8886" s="1">
        <v>40544</v>
      </c>
      <c r="M8886" t="e">
        <v>#N/A</v>
      </c>
      <c r="N8886" s="1">
        <v>40087</v>
      </c>
    </row>
    <row r="8887" spans="11:14" x14ac:dyDescent="0.3">
      <c r="K8887" s="1">
        <v>40544</v>
      </c>
      <c r="M8887" t="e">
        <v>#N/A</v>
      </c>
      <c r="N8887" s="1">
        <v>40087</v>
      </c>
    </row>
    <row r="8888" spans="11:14" x14ac:dyDescent="0.3">
      <c r="K8888" s="1">
        <v>40544</v>
      </c>
      <c r="M8888" t="e">
        <v>#N/A</v>
      </c>
      <c r="N8888" s="1">
        <v>40087</v>
      </c>
    </row>
    <row r="8889" spans="11:14" x14ac:dyDescent="0.3">
      <c r="K8889" s="1">
        <v>40544</v>
      </c>
      <c r="M8889" t="e">
        <v>#N/A</v>
      </c>
      <c r="N8889" s="1">
        <v>40087</v>
      </c>
    </row>
    <row r="8890" spans="11:14" x14ac:dyDescent="0.3">
      <c r="K8890" s="1">
        <v>40544</v>
      </c>
      <c r="M8890" t="e">
        <v>#N/A</v>
      </c>
      <c r="N8890" s="1">
        <v>40087</v>
      </c>
    </row>
    <row r="8891" spans="11:14" x14ac:dyDescent="0.3">
      <c r="K8891" s="1">
        <v>40544</v>
      </c>
      <c r="M8891" t="e">
        <v>#N/A</v>
      </c>
      <c r="N8891" s="1">
        <v>40087</v>
      </c>
    </row>
    <row r="8892" spans="11:14" x14ac:dyDescent="0.3">
      <c r="K8892" s="1">
        <v>40544</v>
      </c>
      <c r="M8892" t="e">
        <v>#N/A</v>
      </c>
      <c r="N8892" s="1">
        <v>40087</v>
      </c>
    </row>
    <row r="8893" spans="11:14" x14ac:dyDescent="0.3">
      <c r="K8893" s="1">
        <v>40544</v>
      </c>
      <c r="M8893" t="e">
        <v>#N/A</v>
      </c>
      <c r="N8893" s="1">
        <v>40087</v>
      </c>
    </row>
    <row r="8894" spans="11:14" x14ac:dyDescent="0.3">
      <c r="K8894" s="1">
        <v>40544</v>
      </c>
      <c r="M8894" t="e">
        <v>#N/A</v>
      </c>
      <c r="N8894" s="1">
        <v>40087</v>
      </c>
    </row>
    <row r="8895" spans="11:14" x14ac:dyDescent="0.3">
      <c r="K8895" s="1">
        <v>40544</v>
      </c>
      <c r="M8895" t="e">
        <v>#N/A</v>
      </c>
      <c r="N8895" s="1">
        <v>40087</v>
      </c>
    </row>
    <row r="8896" spans="11:14" x14ac:dyDescent="0.3">
      <c r="K8896" s="1">
        <v>40544</v>
      </c>
      <c r="M8896" t="e">
        <v>#N/A</v>
      </c>
      <c r="N8896" s="1">
        <v>40087</v>
      </c>
    </row>
    <row r="8897" spans="11:14" x14ac:dyDescent="0.3">
      <c r="K8897" s="1">
        <v>40544</v>
      </c>
      <c r="M8897" t="e">
        <v>#N/A</v>
      </c>
      <c r="N8897" s="1">
        <v>40087</v>
      </c>
    </row>
    <row r="8898" spans="11:14" x14ac:dyDescent="0.3">
      <c r="K8898" s="1">
        <v>40544</v>
      </c>
      <c r="M8898" t="e">
        <v>#N/A</v>
      </c>
      <c r="N8898" s="1">
        <v>40087</v>
      </c>
    </row>
    <row r="8899" spans="11:14" x14ac:dyDescent="0.3">
      <c r="K8899" s="1">
        <v>40544</v>
      </c>
      <c r="M8899" t="e">
        <v>#N/A</v>
      </c>
      <c r="N8899" s="1">
        <v>40087</v>
      </c>
    </row>
    <row r="8900" spans="11:14" x14ac:dyDescent="0.3">
      <c r="K8900" s="1">
        <v>40544</v>
      </c>
      <c r="M8900" t="e">
        <v>#N/A</v>
      </c>
      <c r="N8900" s="1">
        <v>40087</v>
      </c>
    </row>
    <row r="8901" spans="11:14" x14ac:dyDescent="0.3">
      <c r="K8901" s="1">
        <v>40544</v>
      </c>
      <c r="M8901" t="e">
        <v>#N/A</v>
      </c>
      <c r="N8901" s="1">
        <v>40087</v>
      </c>
    </row>
    <row r="8902" spans="11:14" x14ac:dyDescent="0.3">
      <c r="K8902" s="1">
        <v>40544</v>
      </c>
      <c r="M8902" t="e">
        <v>#N/A</v>
      </c>
      <c r="N8902" s="1">
        <v>40087</v>
      </c>
    </row>
    <row r="8903" spans="11:14" x14ac:dyDescent="0.3">
      <c r="K8903" s="1">
        <v>40544</v>
      </c>
      <c r="M8903" t="e">
        <v>#N/A</v>
      </c>
      <c r="N8903" s="1">
        <v>40087</v>
      </c>
    </row>
    <row r="8904" spans="11:14" x14ac:dyDescent="0.3">
      <c r="K8904" s="1">
        <v>40544</v>
      </c>
      <c r="M8904" t="e">
        <v>#N/A</v>
      </c>
      <c r="N8904" s="1">
        <v>40087</v>
      </c>
    </row>
    <row r="8905" spans="11:14" x14ac:dyDescent="0.3">
      <c r="K8905" s="1">
        <v>40544</v>
      </c>
      <c r="M8905" t="e">
        <v>#N/A</v>
      </c>
      <c r="N8905" s="1">
        <v>40087</v>
      </c>
    </row>
    <row r="8906" spans="11:14" x14ac:dyDescent="0.3">
      <c r="K8906" s="1">
        <v>40544</v>
      </c>
      <c r="M8906" t="e">
        <v>#N/A</v>
      </c>
      <c r="N8906" s="1">
        <v>40087</v>
      </c>
    </row>
    <row r="8907" spans="11:14" x14ac:dyDescent="0.3">
      <c r="K8907" s="1">
        <v>40544</v>
      </c>
      <c r="M8907" t="e">
        <v>#N/A</v>
      </c>
      <c r="N8907" s="1">
        <v>40087</v>
      </c>
    </row>
    <row r="8908" spans="11:14" x14ac:dyDescent="0.3">
      <c r="K8908" s="1">
        <v>40544</v>
      </c>
      <c r="M8908" t="e">
        <v>#N/A</v>
      </c>
      <c r="N8908" s="1">
        <v>40087</v>
      </c>
    </row>
    <row r="8909" spans="11:14" x14ac:dyDescent="0.3">
      <c r="K8909" s="1">
        <v>40544</v>
      </c>
      <c r="M8909" t="e">
        <v>#N/A</v>
      </c>
      <c r="N8909" s="1">
        <v>40087</v>
      </c>
    </row>
    <row r="8910" spans="11:14" x14ac:dyDescent="0.3">
      <c r="K8910" s="1">
        <v>40544</v>
      </c>
      <c r="M8910" t="e">
        <v>#N/A</v>
      </c>
      <c r="N8910" s="1">
        <v>40087</v>
      </c>
    </row>
    <row r="8911" spans="11:14" x14ac:dyDescent="0.3">
      <c r="K8911" s="1">
        <v>40544</v>
      </c>
      <c r="M8911" t="e">
        <v>#N/A</v>
      </c>
      <c r="N8911" s="1">
        <v>40087</v>
      </c>
    </row>
    <row r="8912" spans="11:14" x14ac:dyDescent="0.3">
      <c r="K8912" s="1">
        <v>40544</v>
      </c>
      <c r="M8912" t="e">
        <v>#N/A</v>
      </c>
      <c r="N8912" s="1">
        <v>40087</v>
      </c>
    </row>
    <row r="8913" spans="11:14" x14ac:dyDescent="0.3">
      <c r="K8913" s="1">
        <v>40544</v>
      </c>
      <c r="M8913" t="e">
        <v>#N/A</v>
      </c>
      <c r="N8913" s="1">
        <v>40087</v>
      </c>
    </row>
    <row r="8914" spans="11:14" x14ac:dyDescent="0.3">
      <c r="K8914" s="1">
        <v>40544</v>
      </c>
      <c r="M8914" t="e">
        <v>#N/A</v>
      </c>
      <c r="N8914" s="1">
        <v>40087</v>
      </c>
    </row>
    <row r="8915" spans="11:14" x14ac:dyDescent="0.3">
      <c r="K8915" s="1">
        <v>40544</v>
      </c>
      <c r="M8915" t="e">
        <v>#N/A</v>
      </c>
      <c r="N8915" s="1">
        <v>40087</v>
      </c>
    </row>
    <row r="8916" spans="11:14" x14ac:dyDescent="0.3">
      <c r="K8916" s="1">
        <v>40544</v>
      </c>
      <c r="M8916" t="e">
        <v>#N/A</v>
      </c>
      <c r="N8916" s="1">
        <v>40087</v>
      </c>
    </row>
    <row r="8917" spans="11:14" x14ac:dyDescent="0.3">
      <c r="K8917" s="1">
        <v>40544</v>
      </c>
      <c r="M8917" t="e">
        <v>#N/A</v>
      </c>
      <c r="N8917" s="1">
        <v>40087</v>
      </c>
    </row>
    <row r="8918" spans="11:14" x14ac:dyDescent="0.3">
      <c r="K8918" s="1">
        <v>40544</v>
      </c>
      <c r="M8918" t="e">
        <v>#N/A</v>
      </c>
      <c r="N8918" s="1">
        <v>40087</v>
      </c>
    </row>
    <row r="8919" spans="11:14" x14ac:dyDescent="0.3">
      <c r="K8919" s="1">
        <v>40544</v>
      </c>
      <c r="M8919" t="e">
        <v>#N/A</v>
      </c>
      <c r="N8919" s="1">
        <v>40087</v>
      </c>
    </row>
    <row r="8920" spans="11:14" x14ac:dyDescent="0.3">
      <c r="K8920" s="1">
        <v>40544</v>
      </c>
      <c r="M8920" t="e">
        <v>#N/A</v>
      </c>
      <c r="N8920" s="1">
        <v>40087</v>
      </c>
    </row>
    <row r="8921" spans="11:14" x14ac:dyDescent="0.3">
      <c r="K8921" s="1">
        <v>40544</v>
      </c>
      <c r="M8921" t="e">
        <v>#N/A</v>
      </c>
      <c r="N8921" s="1">
        <v>40087</v>
      </c>
    </row>
    <row r="8922" spans="11:14" x14ac:dyDescent="0.3">
      <c r="K8922" s="1">
        <v>40544</v>
      </c>
      <c r="M8922" t="e">
        <v>#N/A</v>
      </c>
      <c r="N8922" s="1">
        <v>40087</v>
      </c>
    </row>
    <row r="8923" spans="11:14" x14ac:dyDescent="0.3">
      <c r="K8923" s="1">
        <v>40544</v>
      </c>
      <c r="M8923" t="e">
        <v>#N/A</v>
      </c>
      <c r="N8923" s="1">
        <v>40087</v>
      </c>
    </row>
    <row r="8924" spans="11:14" x14ac:dyDescent="0.3">
      <c r="K8924" s="1">
        <v>40544</v>
      </c>
      <c r="M8924" t="e">
        <v>#N/A</v>
      </c>
      <c r="N8924" s="1">
        <v>40087</v>
      </c>
    </row>
    <row r="8925" spans="11:14" x14ac:dyDescent="0.3">
      <c r="K8925" s="1">
        <v>40544</v>
      </c>
      <c r="M8925" t="e">
        <v>#N/A</v>
      </c>
      <c r="N8925" s="1">
        <v>40087</v>
      </c>
    </row>
    <row r="8926" spans="11:14" x14ac:dyDescent="0.3">
      <c r="K8926" s="1">
        <v>40544</v>
      </c>
      <c r="M8926" t="e">
        <v>#N/A</v>
      </c>
      <c r="N8926" s="1">
        <v>40087</v>
      </c>
    </row>
    <row r="8927" spans="11:14" x14ac:dyDescent="0.3">
      <c r="K8927" s="1">
        <v>40544</v>
      </c>
      <c r="M8927" t="e">
        <v>#N/A</v>
      </c>
      <c r="N8927" s="1">
        <v>40087</v>
      </c>
    </row>
    <row r="8928" spans="11:14" x14ac:dyDescent="0.3">
      <c r="K8928" s="1">
        <v>40544</v>
      </c>
      <c r="M8928" t="e">
        <v>#N/A</v>
      </c>
      <c r="N8928" s="1">
        <v>40087</v>
      </c>
    </row>
    <row r="8929" spans="11:14" x14ac:dyDescent="0.3">
      <c r="K8929" s="1">
        <v>40544</v>
      </c>
      <c r="M8929" t="e">
        <v>#N/A</v>
      </c>
      <c r="N8929" s="1">
        <v>40087</v>
      </c>
    </row>
    <row r="8930" spans="11:14" x14ac:dyDescent="0.3">
      <c r="K8930" s="1">
        <v>40544</v>
      </c>
      <c r="M8930" t="e">
        <v>#N/A</v>
      </c>
      <c r="N8930" s="1">
        <v>40087</v>
      </c>
    </row>
    <row r="8931" spans="11:14" x14ac:dyDescent="0.3">
      <c r="K8931" s="1">
        <v>40544</v>
      </c>
      <c r="M8931" t="e">
        <v>#N/A</v>
      </c>
      <c r="N8931" s="1">
        <v>40087</v>
      </c>
    </row>
    <row r="8932" spans="11:14" x14ac:dyDescent="0.3">
      <c r="K8932" s="1">
        <v>40544</v>
      </c>
      <c r="M8932" t="e">
        <v>#N/A</v>
      </c>
      <c r="N8932" s="1">
        <v>40087</v>
      </c>
    </row>
    <row r="8933" spans="11:14" x14ac:dyDescent="0.3">
      <c r="K8933" s="1">
        <v>40544</v>
      </c>
      <c r="M8933" t="e">
        <v>#N/A</v>
      </c>
      <c r="N8933" s="1">
        <v>40087</v>
      </c>
    </row>
    <row r="8934" spans="11:14" x14ac:dyDescent="0.3">
      <c r="K8934" s="1">
        <v>40544</v>
      </c>
      <c r="M8934" t="e">
        <v>#N/A</v>
      </c>
      <c r="N8934" s="1">
        <v>40087</v>
      </c>
    </row>
    <row r="8935" spans="11:14" x14ac:dyDescent="0.3">
      <c r="K8935" s="1">
        <v>40544</v>
      </c>
      <c r="M8935" t="e">
        <v>#N/A</v>
      </c>
      <c r="N8935" s="1">
        <v>40087</v>
      </c>
    </row>
    <row r="8936" spans="11:14" x14ac:dyDescent="0.3">
      <c r="K8936" s="1">
        <v>40544</v>
      </c>
      <c r="M8936" t="e">
        <v>#N/A</v>
      </c>
      <c r="N8936" s="1">
        <v>40087</v>
      </c>
    </row>
    <row r="8937" spans="11:14" x14ac:dyDescent="0.3">
      <c r="K8937" s="1">
        <v>40544</v>
      </c>
      <c r="M8937" t="e">
        <v>#N/A</v>
      </c>
      <c r="N8937" s="1">
        <v>40087</v>
      </c>
    </row>
    <row r="8938" spans="11:14" x14ac:dyDescent="0.3">
      <c r="K8938" s="1">
        <v>40544</v>
      </c>
      <c r="M8938" t="e">
        <v>#N/A</v>
      </c>
      <c r="N8938" s="1">
        <v>40087</v>
      </c>
    </row>
    <row r="8939" spans="11:14" x14ac:dyDescent="0.3">
      <c r="K8939" s="1">
        <v>40544</v>
      </c>
      <c r="M8939" t="e">
        <v>#N/A</v>
      </c>
      <c r="N8939" s="1">
        <v>40087</v>
      </c>
    </row>
    <row r="8940" spans="11:14" x14ac:dyDescent="0.3">
      <c r="K8940" s="1">
        <v>40544</v>
      </c>
      <c r="M8940" t="e">
        <v>#N/A</v>
      </c>
      <c r="N8940" s="1">
        <v>40087</v>
      </c>
    </row>
    <row r="8941" spans="11:14" x14ac:dyDescent="0.3">
      <c r="K8941" s="1">
        <v>40544</v>
      </c>
      <c r="M8941" t="e">
        <v>#N/A</v>
      </c>
      <c r="N8941" s="1">
        <v>40087</v>
      </c>
    </row>
    <row r="8942" spans="11:14" x14ac:dyDescent="0.3">
      <c r="K8942" s="1">
        <v>40544</v>
      </c>
      <c r="M8942" t="e">
        <v>#N/A</v>
      </c>
      <c r="N8942" s="1">
        <v>40087</v>
      </c>
    </row>
    <row r="8943" spans="11:14" x14ac:dyDescent="0.3">
      <c r="K8943" s="1">
        <v>40544</v>
      </c>
      <c r="M8943" t="e">
        <v>#N/A</v>
      </c>
      <c r="N8943" s="1">
        <v>40087</v>
      </c>
    </row>
    <row r="8944" spans="11:14" x14ac:dyDescent="0.3">
      <c r="K8944" s="1">
        <v>40544</v>
      </c>
      <c r="M8944" t="e">
        <v>#N/A</v>
      </c>
      <c r="N8944" s="1">
        <v>40087</v>
      </c>
    </row>
    <row r="8945" spans="11:14" x14ac:dyDescent="0.3">
      <c r="K8945" s="1">
        <v>40544</v>
      </c>
      <c r="M8945" t="e">
        <v>#N/A</v>
      </c>
      <c r="N8945" s="1">
        <v>40087</v>
      </c>
    </row>
    <row r="8946" spans="11:14" x14ac:dyDescent="0.3">
      <c r="K8946" s="1">
        <v>40544</v>
      </c>
      <c r="M8946" t="e">
        <v>#N/A</v>
      </c>
      <c r="N8946" s="1">
        <v>40087</v>
      </c>
    </row>
    <row r="8947" spans="11:14" x14ac:dyDescent="0.3">
      <c r="K8947" s="1">
        <v>40544</v>
      </c>
      <c r="M8947" t="e">
        <v>#N/A</v>
      </c>
      <c r="N8947" s="1">
        <v>40087</v>
      </c>
    </row>
    <row r="8948" spans="11:14" x14ac:dyDescent="0.3">
      <c r="K8948" s="1">
        <v>40544</v>
      </c>
      <c r="M8948" t="e">
        <v>#N/A</v>
      </c>
      <c r="N8948" s="1">
        <v>40087</v>
      </c>
    </row>
    <row r="8949" spans="11:14" x14ac:dyDescent="0.3">
      <c r="K8949" s="1">
        <v>40544</v>
      </c>
      <c r="M8949" t="e">
        <v>#N/A</v>
      </c>
      <c r="N8949" s="1">
        <v>40087</v>
      </c>
    </row>
    <row r="8950" spans="11:14" x14ac:dyDescent="0.3">
      <c r="K8950" s="1">
        <v>40544</v>
      </c>
      <c r="M8950" t="e">
        <v>#N/A</v>
      </c>
      <c r="N8950" s="1">
        <v>40087</v>
      </c>
    </row>
    <row r="8951" spans="11:14" x14ac:dyDescent="0.3">
      <c r="K8951" s="1">
        <v>40544</v>
      </c>
      <c r="M8951" t="e">
        <v>#N/A</v>
      </c>
      <c r="N8951" s="1">
        <v>40087</v>
      </c>
    </row>
    <row r="8952" spans="11:14" x14ac:dyDescent="0.3">
      <c r="K8952" s="1">
        <v>40544</v>
      </c>
      <c r="M8952" t="e">
        <v>#N/A</v>
      </c>
      <c r="N8952" s="1">
        <v>40087</v>
      </c>
    </row>
    <row r="8953" spans="11:14" x14ac:dyDescent="0.3">
      <c r="K8953" s="1">
        <v>40544</v>
      </c>
      <c r="M8953" t="e">
        <v>#N/A</v>
      </c>
      <c r="N8953" s="1">
        <v>40087</v>
      </c>
    </row>
    <row r="8954" spans="11:14" x14ac:dyDescent="0.3">
      <c r="K8954" s="1">
        <v>40544</v>
      </c>
      <c r="M8954" t="e">
        <v>#N/A</v>
      </c>
      <c r="N8954" s="1">
        <v>40087</v>
      </c>
    </row>
    <row r="8955" spans="11:14" x14ac:dyDescent="0.3">
      <c r="K8955" s="1">
        <v>40544</v>
      </c>
      <c r="M8955" t="e">
        <v>#N/A</v>
      </c>
      <c r="N8955" s="1">
        <v>40087</v>
      </c>
    </row>
    <row r="8956" spans="11:14" x14ac:dyDescent="0.3">
      <c r="K8956" s="1">
        <v>40544</v>
      </c>
      <c r="M8956" t="e">
        <v>#N/A</v>
      </c>
      <c r="N8956" s="1">
        <v>40087</v>
      </c>
    </row>
    <row r="8957" spans="11:14" x14ac:dyDescent="0.3">
      <c r="K8957" s="1">
        <v>40544</v>
      </c>
      <c r="M8957" t="e">
        <v>#N/A</v>
      </c>
      <c r="N8957" s="1">
        <v>40087</v>
      </c>
    </row>
    <row r="8958" spans="11:14" x14ac:dyDescent="0.3">
      <c r="K8958" s="1">
        <v>40544</v>
      </c>
      <c r="M8958" t="e">
        <v>#N/A</v>
      </c>
      <c r="N8958" s="1">
        <v>40087</v>
      </c>
    </row>
    <row r="8959" spans="11:14" x14ac:dyDescent="0.3">
      <c r="K8959" s="1">
        <v>40544</v>
      </c>
      <c r="M8959" t="e">
        <v>#N/A</v>
      </c>
      <c r="N8959" s="1">
        <v>40087</v>
      </c>
    </row>
    <row r="8960" spans="11:14" x14ac:dyDescent="0.3">
      <c r="K8960" s="1">
        <v>40544</v>
      </c>
      <c r="M8960" t="e">
        <v>#N/A</v>
      </c>
      <c r="N8960" s="1">
        <v>40087</v>
      </c>
    </row>
    <row r="8961" spans="11:14" x14ac:dyDescent="0.3">
      <c r="K8961" s="1">
        <v>40544</v>
      </c>
      <c r="M8961" t="e">
        <v>#N/A</v>
      </c>
      <c r="N8961" s="1">
        <v>40087</v>
      </c>
    </row>
    <row r="8962" spans="11:14" x14ac:dyDescent="0.3">
      <c r="K8962" s="1">
        <v>40544</v>
      </c>
      <c r="M8962" t="e">
        <v>#N/A</v>
      </c>
      <c r="N8962" s="1">
        <v>40087</v>
      </c>
    </row>
    <row r="8963" spans="11:14" x14ac:dyDescent="0.3">
      <c r="K8963" s="1">
        <v>40544</v>
      </c>
      <c r="M8963" t="e">
        <v>#N/A</v>
      </c>
      <c r="N8963" s="1">
        <v>40087</v>
      </c>
    </row>
    <row r="8964" spans="11:14" x14ac:dyDescent="0.3">
      <c r="K8964" s="1">
        <v>40544</v>
      </c>
      <c r="M8964" t="e">
        <v>#N/A</v>
      </c>
      <c r="N8964" s="1">
        <v>40087</v>
      </c>
    </row>
    <row r="8965" spans="11:14" x14ac:dyDescent="0.3">
      <c r="K8965" s="1">
        <v>40544</v>
      </c>
      <c r="M8965" t="e">
        <v>#N/A</v>
      </c>
      <c r="N8965" s="1">
        <v>40087</v>
      </c>
    </row>
    <row r="8966" spans="11:14" x14ac:dyDescent="0.3">
      <c r="K8966" s="1">
        <v>40544</v>
      </c>
      <c r="M8966" t="e">
        <v>#N/A</v>
      </c>
      <c r="N8966" s="1">
        <v>40087</v>
      </c>
    </row>
    <row r="8967" spans="11:14" x14ac:dyDescent="0.3">
      <c r="K8967" s="1">
        <v>40544</v>
      </c>
      <c r="M8967" t="e">
        <v>#N/A</v>
      </c>
      <c r="N8967" s="1">
        <v>40087</v>
      </c>
    </row>
    <row r="8968" spans="11:14" x14ac:dyDescent="0.3">
      <c r="K8968" s="1">
        <v>40544</v>
      </c>
      <c r="M8968" t="e">
        <v>#N/A</v>
      </c>
      <c r="N8968" s="1">
        <v>40087</v>
      </c>
    </row>
    <row r="8969" spans="11:14" x14ac:dyDescent="0.3">
      <c r="K8969" s="1">
        <v>40544</v>
      </c>
      <c r="M8969" t="e">
        <v>#N/A</v>
      </c>
      <c r="N8969" s="1">
        <v>40087</v>
      </c>
    </row>
    <row r="8970" spans="11:14" x14ac:dyDescent="0.3">
      <c r="K8970" s="1">
        <v>40544</v>
      </c>
      <c r="M8970" t="e">
        <v>#N/A</v>
      </c>
      <c r="N8970" s="1">
        <v>40087</v>
      </c>
    </row>
    <row r="8971" spans="11:14" x14ac:dyDescent="0.3">
      <c r="K8971" s="1">
        <v>40544</v>
      </c>
      <c r="M8971" t="e">
        <v>#N/A</v>
      </c>
      <c r="N8971" s="1">
        <v>40087</v>
      </c>
    </row>
    <row r="8972" spans="11:14" x14ac:dyDescent="0.3">
      <c r="K8972" s="1">
        <v>40544</v>
      </c>
      <c r="M8972" t="e">
        <v>#N/A</v>
      </c>
      <c r="N8972" s="1">
        <v>40087</v>
      </c>
    </row>
    <row r="8973" spans="11:14" x14ac:dyDescent="0.3">
      <c r="K8973" s="1">
        <v>40544</v>
      </c>
      <c r="M8973" t="e">
        <v>#N/A</v>
      </c>
      <c r="N8973" s="1">
        <v>40087</v>
      </c>
    </row>
    <row r="8974" spans="11:14" x14ac:dyDescent="0.3">
      <c r="K8974" s="1">
        <v>40544</v>
      </c>
      <c r="M8974" t="e">
        <v>#N/A</v>
      </c>
      <c r="N8974" s="1">
        <v>40087</v>
      </c>
    </row>
    <row r="8975" spans="11:14" x14ac:dyDescent="0.3">
      <c r="K8975" s="1">
        <v>40544</v>
      </c>
      <c r="M8975" t="e">
        <v>#N/A</v>
      </c>
      <c r="N8975" s="1">
        <v>40087</v>
      </c>
    </row>
    <row r="8976" spans="11:14" x14ac:dyDescent="0.3">
      <c r="K8976" s="1">
        <v>40544</v>
      </c>
      <c r="M8976" t="e">
        <v>#N/A</v>
      </c>
      <c r="N8976" s="1">
        <v>40087</v>
      </c>
    </row>
    <row r="8977" spans="11:14" x14ac:dyDescent="0.3">
      <c r="K8977" s="1">
        <v>40544</v>
      </c>
      <c r="M8977" t="e">
        <v>#N/A</v>
      </c>
      <c r="N8977" s="1">
        <v>40087</v>
      </c>
    </row>
    <row r="8978" spans="11:14" x14ac:dyDescent="0.3">
      <c r="K8978" s="1">
        <v>40544</v>
      </c>
      <c r="M8978" t="e">
        <v>#N/A</v>
      </c>
      <c r="N8978" s="1">
        <v>40087</v>
      </c>
    </row>
    <row r="8979" spans="11:14" x14ac:dyDescent="0.3">
      <c r="K8979" s="1">
        <v>40544</v>
      </c>
      <c r="M8979" t="e">
        <v>#N/A</v>
      </c>
      <c r="N8979" s="1">
        <v>40087</v>
      </c>
    </row>
    <row r="8980" spans="11:14" x14ac:dyDescent="0.3">
      <c r="K8980" s="1">
        <v>40544</v>
      </c>
      <c r="M8980" t="e">
        <v>#N/A</v>
      </c>
      <c r="N8980" s="1">
        <v>40087</v>
      </c>
    </row>
    <row r="8981" spans="11:14" x14ac:dyDescent="0.3">
      <c r="K8981" s="1">
        <v>40544</v>
      </c>
      <c r="M8981" t="e">
        <v>#N/A</v>
      </c>
      <c r="N8981" s="1">
        <v>40087</v>
      </c>
    </row>
    <row r="8982" spans="11:14" x14ac:dyDescent="0.3">
      <c r="K8982" s="1">
        <v>40544</v>
      </c>
      <c r="M8982" t="e">
        <v>#N/A</v>
      </c>
      <c r="N8982" s="1">
        <v>40087</v>
      </c>
    </row>
    <row r="8983" spans="11:14" x14ac:dyDescent="0.3">
      <c r="K8983" s="1">
        <v>40544</v>
      </c>
      <c r="M8983" t="e">
        <v>#N/A</v>
      </c>
      <c r="N8983" s="1">
        <v>40087</v>
      </c>
    </row>
    <row r="8984" spans="11:14" x14ac:dyDescent="0.3">
      <c r="K8984" s="1">
        <v>40544</v>
      </c>
      <c r="M8984" t="e">
        <v>#N/A</v>
      </c>
      <c r="N8984" s="1">
        <v>40087</v>
      </c>
    </row>
    <row r="8985" spans="11:14" x14ac:dyDescent="0.3">
      <c r="K8985" s="1">
        <v>40544</v>
      </c>
      <c r="M8985" t="e">
        <v>#N/A</v>
      </c>
      <c r="N8985" s="1">
        <v>40087</v>
      </c>
    </row>
    <row r="8986" spans="11:14" x14ac:dyDescent="0.3">
      <c r="K8986" s="1">
        <v>40544</v>
      </c>
      <c r="M8986" t="e">
        <v>#N/A</v>
      </c>
      <c r="N8986" s="1">
        <v>40087</v>
      </c>
    </row>
    <row r="8987" spans="11:14" x14ac:dyDescent="0.3">
      <c r="K8987" s="1">
        <v>40544</v>
      </c>
      <c r="M8987" t="e">
        <v>#N/A</v>
      </c>
      <c r="N8987" s="1">
        <v>40087</v>
      </c>
    </row>
    <row r="8988" spans="11:14" x14ac:dyDescent="0.3">
      <c r="K8988" s="1">
        <v>40544</v>
      </c>
      <c r="M8988" t="e">
        <v>#N/A</v>
      </c>
      <c r="N8988" s="1">
        <v>40087</v>
      </c>
    </row>
    <row r="8989" spans="11:14" x14ac:dyDescent="0.3">
      <c r="K8989" s="1">
        <v>40544</v>
      </c>
      <c r="M8989" t="e">
        <v>#N/A</v>
      </c>
      <c r="N8989" s="1">
        <v>40087</v>
      </c>
    </row>
    <row r="8990" spans="11:14" x14ac:dyDescent="0.3">
      <c r="K8990" s="1">
        <v>40544</v>
      </c>
      <c r="M8990" t="e">
        <v>#N/A</v>
      </c>
      <c r="N8990" s="1">
        <v>40087</v>
      </c>
    </row>
    <row r="8991" spans="11:14" x14ac:dyDescent="0.3">
      <c r="K8991" s="1">
        <v>40544</v>
      </c>
      <c r="M8991" t="e">
        <v>#N/A</v>
      </c>
      <c r="N8991" s="1">
        <v>40087</v>
      </c>
    </row>
    <row r="8992" spans="11:14" x14ac:dyDescent="0.3">
      <c r="K8992" s="1">
        <v>40544</v>
      </c>
      <c r="M8992" t="e">
        <v>#N/A</v>
      </c>
      <c r="N8992" s="1">
        <v>40087</v>
      </c>
    </row>
    <row r="8993" spans="11:14" x14ac:dyDescent="0.3">
      <c r="K8993" s="1">
        <v>40544</v>
      </c>
      <c r="M8993" t="e">
        <v>#N/A</v>
      </c>
      <c r="N8993" s="1">
        <v>40087</v>
      </c>
    </row>
    <row r="8994" spans="11:14" x14ac:dyDescent="0.3">
      <c r="K8994" s="1">
        <v>40544</v>
      </c>
      <c r="M8994" t="e">
        <v>#N/A</v>
      </c>
      <c r="N8994" s="1">
        <v>40087</v>
      </c>
    </row>
    <row r="8995" spans="11:14" x14ac:dyDescent="0.3">
      <c r="K8995" s="1">
        <v>40544</v>
      </c>
      <c r="M8995" t="e">
        <v>#N/A</v>
      </c>
      <c r="N8995" s="1">
        <v>40087</v>
      </c>
    </row>
    <row r="8996" spans="11:14" x14ac:dyDescent="0.3">
      <c r="K8996" s="1">
        <v>40544</v>
      </c>
      <c r="M8996" t="e">
        <v>#N/A</v>
      </c>
      <c r="N8996" s="1">
        <v>40087</v>
      </c>
    </row>
    <row r="8997" spans="11:14" x14ac:dyDescent="0.3">
      <c r="K8997" s="1">
        <v>40544</v>
      </c>
      <c r="M8997" t="e">
        <v>#N/A</v>
      </c>
      <c r="N8997" s="1">
        <v>40087</v>
      </c>
    </row>
    <row r="8998" spans="11:14" x14ac:dyDescent="0.3">
      <c r="K8998" s="1">
        <v>40544</v>
      </c>
      <c r="M8998" t="e">
        <v>#N/A</v>
      </c>
      <c r="N8998" s="1">
        <v>40087</v>
      </c>
    </row>
    <row r="8999" spans="11:14" x14ac:dyDescent="0.3">
      <c r="K8999" s="1">
        <v>40544</v>
      </c>
      <c r="M8999" t="e">
        <v>#N/A</v>
      </c>
      <c r="N8999" s="1">
        <v>40087</v>
      </c>
    </row>
    <row r="9000" spans="11:14" x14ac:dyDescent="0.3">
      <c r="K9000" s="1">
        <v>40544</v>
      </c>
      <c r="M9000" t="e">
        <v>#N/A</v>
      </c>
      <c r="N9000" s="1">
        <v>40087</v>
      </c>
    </row>
    <row r="9001" spans="11:14" x14ac:dyDescent="0.3">
      <c r="K9001" s="1">
        <v>40544</v>
      </c>
      <c r="M9001" t="e">
        <v>#N/A</v>
      </c>
      <c r="N9001" s="1">
        <v>40087</v>
      </c>
    </row>
    <row r="9002" spans="11:14" x14ac:dyDescent="0.3">
      <c r="K9002" s="1">
        <v>40544</v>
      </c>
      <c r="M9002" t="e">
        <v>#N/A</v>
      </c>
      <c r="N9002" s="1">
        <v>40087</v>
      </c>
    </row>
    <row r="9003" spans="11:14" x14ac:dyDescent="0.3">
      <c r="K9003" s="1">
        <v>40544</v>
      </c>
      <c r="M9003" t="e">
        <v>#N/A</v>
      </c>
      <c r="N9003" s="1">
        <v>40087</v>
      </c>
    </row>
    <row r="9004" spans="11:14" x14ac:dyDescent="0.3">
      <c r="K9004" s="1">
        <v>40544</v>
      </c>
      <c r="M9004" t="e">
        <v>#N/A</v>
      </c>
      <c r="N9004" s="1">
        <v>40087</v>
      </c>
    </row>
    <row r="9005" spans="11:14" x14ac:dyDescent="0.3">
      <c r="K9005" s="1">
        <v>40544</v>
      </c>
      <c r="M9005" t="e">
        <v>#N/A</v>
      </c>
      <c r="N9005" s="1">
        <v>40087</v>
      </c>
    </row>
    <row r="9006" spans="11:14" x14ac:dyDescent="0.3">
      <c r="K9006" s="1">
        <v>40544</v>
      </c>
      <c r="M9006" t="e">
        <v>#N/A</v>
      </c>
      <c r="N9006" s="1">
        <v>40087</v>
      </c>
    </row>
    <row r="9007" spans="11:14" x14ac:dyDescent="0.3">
      <c r="K9007" s="1">
        <v>40544</v>
      </c>
      <c r="M9007" t="e">
        <v>#N/A</v>
      </c>
      <c r="N9007" s="1">
        <v>40087</v>
      </c>
    </row>
    <row r="9008" spans="11:14" x14ac:dyDescent="0.3">
      <c r="K9008" s="1">
        <v>40544</v>
      </c>
      <c r="M9008" t="e">
        <v>#N/A</v>
      </c>
      <c r="N9008" s="1">
        <v>40087</v>
      </c>
    </row>
    <row r="9009" spans="11:14" x14ac:dyDescent="0.3">
      <c r="K9009" s="1">
        <v>40544</v>
      </c>
      <c r="M9009" t="e">
        <v>#N/A</v>
      </c>
      <c r="N9009" s="1">
        <v>40087</v>
      </c>
    </row>
    <row r="9010" spans="11:14" x14ac:dyDescent="0.3">
      <c r="K9010" s="1">
        <v>40544</v>
      </c>
      <c r="M9010" t="e">
        <v>#N/A</v>
      </c>
      <c r="N9010" s="1">
        <v>40087</v>
      </c>
    </row>
    <row r="9011" spans="11:14" x14ac:dyDescent="0.3">
      <c r="K9011" s="1">
        <v>40544</v>
      </c>
      <c r="M9011" t="e">
        <v>#N/A</v>
      </c>
      <c r="N9011" s="1">
        <v>40087</v>
      </c>
    </row>
    <row r="9012" spans="11:14" x14ac:dyDescent="0.3">
      <c r="K9012" s="1">
        <v>40544</v>
      </c>
      <c r="M9012" t="e">
        <v>#N/A</v>
      </c>
      <c r="N9012" s="1">
        <v>40087</v>
      </c>
    </row>
    <row r="9013" spans="11:14" x14ac:dyDescent="0.3">
      <c r="K9013" s="1">
        <v>40544</v>
      </c>
      <c r="M9013" t="e">
        <v>#N/A</v>
      </c>
      <c r="N9013" s="1">
        <v>40087</v>
      </c>
    </row>
    <row r="9014" spans="11:14" x14ac:dyDescent="0.3">
      <c r="K9014" s="1">
        <v>40544</v>
      </c>
      <c r="M9014" t="e">
        <v>#N/A</v>
      </c>
      <c r="N9014" s="1">
        <v>40087</v>
      </c>
    </row>
    <row r="9015" spans="11:14" x14ac:dyDescent="0.3">
      <c r="K9015" s="1">
        <v>40544</v>
      </c>
      <c r="M9015" t="e">
        <v>#N/A</v>
      </c>
      <c r="N9015" s="1">
        <v>40087</v>
      </c>
    </row>
    <row r="9016" spans="11:14" x14ac:dyDescent="0.3">
      <c r="K9016" s="1">
        <v>40544</v>
      </c>
      <c r="M9016" t="e">
        <v>#N/A</v>
      </c>
      <c r="N9016" s="1">
        <v>40087</v>
      </c>
    </row>
    <row r="9017" spans="11:14" x14ac:dyDescent="0.3">
      <c r="K9017" s="1">
        <v>40544</v>
      </c>
      <c r="M9017" t="e">
        <v>#N/A</v>
      </c>
      <c r="N9017" s="1">
        <v>40087</v>
      </c>
    </row>
    <row r="9018" spans="11:14" x14ac:dyDescent="0.3">
      <c r="K9018" s="1">
        <v>40544</v>
      </c>
      <c r="M9018" t="e">
        <v>#N/A</v>
      </c>
      <c r="N9018" s="1">
        <v>40087</v>
      </c>
    </row>
    <row r="9019" spans="11:14" x14ac:dyDescent="0.3">
      <c r="K9019" s="1">
        <v>40544</v>
      </c>
      <c r="M9019" t="e">
        <v>#N/A</v>
      </c>
      <c r="N9019" s="1">
        <v>40087</v>
      </c>
    </row>
    <row r="9020" spans="11:14" x14ac:dyDescent="0.3">
      <c r="K9020" s="1">
        <v>40544</v>
      </c>
      <c r="M9020" t="e">
        <v>#N/A</v>
      </c>
      <c r="N9020" s="1">
        <v>40087</v>
      </c>
    </row>
    <row r="9021" spans="11:14" x14ac:dyDescent="0.3">
      <c r="K9021" s="1">
        <v>40544</v>
      </c>
      <c r="M9021" t="e">
        <v>#N/A</v>
      </c>
      <c r="N9021" s="1">
        <v>40087</v>
      </c>
    </row>
    <row r="9022" spans="11:14" x14ac:dyDescent="0.3">
      <c r="K9022" s="1">
        <v>40544</v>
      </c>
      <c r="M9022" t="e">
        <v>#N/A</v>
      </c>
      <c r="N9022" s="1">
        <v>40087</v>
      </c>
    </row>
    <row r="9023" spans="11:14" x14ac:dyDescent="0.3">
      <c r="K9023" s="1">
        <v>40544</v>
      </c>
      <c r="M9023" t="e">
        <v>#N/A</v>
      </c>
      <c r="N9023" s="1">
        <v>40087</v>
      </c>
    </row>
    <row r="9024" spans="11:14" x14ac:dyDescent="0.3">
      <c r="K9024" s="1">
        <v>40544</v>
      </c>
      <c r="M9024" t="e">
        <v>#N/A</v>
      </c>
      <c r="N9024" s="1">
        <v>40087</v>
      </c>
    </row>
    <row r="9025" spans="11:14" x14ac:dyDescent="0.3">
      <c r="K9025" s="1">
        <v>40544</v>
      </c>
      <c r="M9025" t="e">
        <v>#N/A</v>
      </c>
      <c r="N9025" s="1">
        <v>40087</v>
      </c>
    </row>
    <row r="9026" spans="11:14" x14ac:dyDescent="0.3">
      <c r="K9026" s="1">
        <v>40544</v>
      </c>
      <c r="M9026" t="e">
        <v>#N/A</v>
      </c>
      <c r="N9026" s="1">
        <v>40087</v>
      </c>
    </row>
    <row r="9027" spans="11:14" x14ac:dyDescent="0.3">
      <c r="K9027" s="1">
        <v>40544</v>
      </c>
      <c r="M9027" t="e">
        <v>#N/A</v>
      </c>
      <c r="N9027" s="1">
        <v>40087</v>
      </c>
    </row>
    <row r="9028" spans="11:14" x14ac:dyDescent="0.3">
      <c r="K9028" s="1">
        <v>40544</v>
      </c>
      <c r="M9028" t="e">
        <v>#N/A</v>
      </c>
      <c r="N9028" s="1">
        <v>40087</v>
      </c>
    </row>
    <row r="9029" spans="11:14" x14ac:dyDescent="0.3">
      <c r="K9029" s="1">
        <v>40544</v>
      </c>
      <c r="M9029" t="e">
        <v>#N/A</v>
      </c>
      <c r="N9029" s="1">
        <v>40087</v>
      </c>
    </row>
    <row r="9030" spans="11:14" x14ac:dyDescent="0.3">
      <c r="K9030" s="1">
        <v>40544</v>
      </c>
      <c r="M9030" t="e">
        <v>#N/A</v>
      </c>
      <c r="N9030" s="1">
        <v>40087</v>
      </c>
    </row>
    <row r="9031" spans="11:14" x14ac:dyDescent="0.3">
      <c r="K9031" s="1">
        <v>40544</v>
      </c>
      <c r="M9031" t="e">
        <v>#N/A</v>
      </c>
      <c r="N9031" s="1">
        <v>40087</v>
      </c>
    </row>
    <row r="9032" spans="11:14" x14ac:dyDescent="0.3">
      <c r="K9032" s="1">
        <v>40544</v>
      </c>
      <c r="M9032" t="e">
        <v>#N/A</v>
      </c>
      <c r="N9032" s="1">
        <v>40087</v>
      </c>
    </row>
    <row r="9033" spans="11:14" x14ac:dyDescent="0.3">
      <c r="K9033" s="1">
        <v>40544</v>
      </c>
      <c r="M9033" t="e">
        <v>#N/A</v>
      </c>
      <c r="N9033" s="1">
        <v>40087</v>
      </c>
    </row>
    <row r="9034" spans="11:14" x14ac:dyDescent="0.3">
      <c r="K9034" s="1">
        <v>40544</v>
      </c>
      <c r="M9034" t="e">
        <v>#N/A</v>
      </c>
      <c r="N9034" s="1">
        <v>40087</v>
      </c>
    </row>
    <row r="9035" spans="11:14" x14ac:dyDescent="0.3">
      <c r="K9035" s="1">
        <v>40544</v>
      </c>
      <c r="M9035" t="e">
        <v>#N/A</v>
      </c>
      <c r="N9035" s="1">
        <v>40087</v>
      </c>
    </row>
    <row r="9036" spans="11:14" x14ac:dyDescent="0.3">
      <c r="K9036" s="1">
        <v>40544</v>
      </c>
      <c r="M9036" t="e">
        <v>#N/A</v>
      </c>
      <c r="N9036" s="1">
        <v>40087</v>
      </c>
    </row>
    <row r="9037" spans="11:14" x14ac:dyDescent="0.3">
      <c r="K9037" s="1">
        <v>40544</v>
      </c>
      <c r="M9037" t="e">
        <v>#N/A</v>
      </c>
      <c r="N9037" s="1">
        <v>40087</v>
      </c>
    </row>
    <row r="9038" spans="11:14" x14ac:dyDescent="0.3">
      <c r="K9038" s="1">
        <v>40544</v>
      </c>
      <c r="M9038" t="e">
        <v>#N/A</v>
      </c>
      <c r="N9038" s="1">
        <v>40087</v>
      </c>
    </row>
    <row r="9039" spans="11:14" x14ac:dyDescent="0.3">
      <c r="K9039" s="1">
        <v>40544</v>
      </c>
      <c r="M9039" t="e">
        <v>#N/A</v>
      </c>
      <c r="N9039" s="1">
        <v>40087</v>
      </c>
    </row>
    <row r="9040" spans="11:14" x14ac:dyDescent="0.3">
      <c r="K9040" s="1">
        <v>40544</v>
      </c>
      <c r="M9040" t="e">
        <v>#N/A</v>
      </c>
      <c r="N9040" s="1">
        <v>40087</v>
      </c>
    </row>
    <row r="9041" spans="11:14" x14ac:dyDescent="0.3">
      <c r="K9041" s="1">
        <v>40544</v>
      </c>
      <c r="M9041" t="e">
        <v>#N/A</v>
      </c>
      <c r="N9041" s="1">
        <v>40087</v>
      </c>
    </row>
    <row r="9042" spans="11:14" x14ac:dyDescent="0.3">
      <c r="K9042" s="1">
        <v>40544</v>
      </c>
      <c r="M9042" t="e">
        <v>#N/A</v>
      </c>
      <c r="N9042" s="1">
        <v>40087</v>
      </c>
    </row>
    <row r="9043" spans="11:14" x14ac:dyDescent="0.3">
      <c r="K9043" s="1">
        <v>40544</v>
      </c>
      <c r="M9043" t="e">
        <v>#N/A</v>
      </c>
      <c r="N9043" s="1">
        <v>40087</v>
      </c>
    </row>
    <row r="9044" spans="11:14" x14ac:dyDescent="0.3">
      <c r="K9044" s="1">
        <v>40544</v>
      </c>
      <c r="M9044" t="e">
        <v>#N/A</v>
      </c>
      <c r="N9044" s="1">
        <v>40087</v>
      </c>
    </row>
    <row r="9045" spans="11:14" x14ac:dyDescent="0.3">
      <c r="K9045" s="1">
        <v>40544</v>
      </c>
      <c r="M9045" t="e">
        <v>#N/A</v>
      </c>
      <c r="N9045" s="1">
        <v>40087</v>
      </c>
    </row>
    <row r="9046" spans="11:14" x14ac:dyDescent="0.3">
      <c r="K9046" s="1">
        <v>40544</v>
      </c>
      <c r="M9046" t="e">
        <v>#N/A</v>
      </c>
      <c r="N9046" s="1">
        <v>40087</v>
      </c>
    </row>
    <row r="9047" spans="11:14" x14ac:dyDescent="0.3">
      <c r="K9047" s="1">
        <v>40544</v>
      </c>
      <c r="M9047" t="e">
        <v>#N/A</v>
      </c>
      <c r="N9047" s="1">
        <v>40087</v>
      </c>
    </row>
    <row r="9048" spans="11:14" x14ac:dyDescent="0.3">
      <c r="K9048" s="1">
        <v>40544</v>
      </c>
      <c r="M9048" t="e">
        <v>#N/A</v>
      </c>
      <c r="N9048" s="1">
        <v>40087</v>
      </c>
    </row>
    <row r="9049" spans="11:14" x14ac:dyDescent="0.3">
      <c r="K9049" s="1">
        <v>40544</v>
      </c>
      <c r="M9049" t="e">
        <v>#N/A</v>
      </c>
      <c r="N9049" s="1">
        <v>40087</v>
      </c>
    </row>
    <row r="9050" spans="11:14" x14ac:dyDescent="0.3">
      <c r="K9050" s="1">
        <v>40544</v>
      </c>
      <c r="M9050" t="e">
        <v>#N/A</v>
      </c>
      <c r="N9050" s="1">
        <v>40087</v>
      </c>
    </row>
    <row r="9051" spans="11:14" x14ac:dyDescent="0.3">
      <c r="K9051" s="1">
        <v>40544</v>
      </c>
      <c r="M9051" t="e">
        <v>#N/A</v>
      </c>
      <c r="N9051" s="1">
        <v>40087</v>
      </c>
    </row>
    <row r="9052" spans="11:14" x14ac:dyDescent="0.3">
      <c r="K9052" s="1">
        <v>40544</v>
      </c>
      <c r="M9052" t="e">
        <v>#N/A</v>
      </c>
      <c r="N9052" s="1">
        <v>40087</v>
      </c>
    </row>
    <row r="9053" spans="11:14" x14ac:dyDescent="0.3">
      <c r="K9053" s="1">
        <v>40544</v>
      </c>
      <c r="M9053" t="e">
        <v>#N/A</v>
      </c>
      <c r="N9053" s="1">
        <v>40087</v>
      </c>
    </row>
    <row r="9054" spans="11:14" x14ac:dyDescent="0.3">
      <c r="K9054" s="1">
        <v>40544</v>
      </c>
      <c r="M9054" t="e">
        <v>#N/A</v>
      </c>
      <c r="N9054" s="1">
        <v>40087</v>
      </c>
    </row>
    <row r="9055" spans="11:14" x14ac:dyDescent="0.3">
      <c r="K9055" s="1">
        <v>40544</v>
      </c>
      <c r="M9055" t="e">
        <v>#N/A</v>
      </c>
      <c r="N9055" s="1">
        <v>40087</v>
      </c>
    </row>
    <row r="9056" spans="11:14" x14ac:dyDescent="0.3">
      <c r="K9056" s="1">
        <v>40544</v>
      </c>
      <c r="M9056" t="e">
        <v>#N/A</v>
      </c>
      <c r="N9056" s="1">
        <v>40087</v>
      </c>
    </row>
    <row r="9057" spans="11:14" x14ac:dyDescent="0.3">
      <c r="K9057" s="1">
        <v>40544</v>
      </c>
      <c r="M9057" t="e">
        <v>#N/A</v>
      </c>
      <c r="N9057" s="1">
        <v>40087</v>
      </c>
    </row>
    <row r="9058" spans="11:14" x14ac:dyDescent="0.3">
      <c r="K9058" s="1">
        <v>40544</v>
      </c>
      <c r="M9058" t="e">
        <v>#N/A</v>
      </c>
      <c r="N9058" s="1">
        <v>40087</v>
      </c>
    </row>
    <row r="9059" spans="11:14" x14ac:dyDescent="0.3">
      <c r="K9059" s="1">
        <v>40544</v>
      </c>
      <c r="M9059" t="e">
        <v>#N/A</v>
      </c>
      <c r="N9059" s="1">
        <v>40087</v>
      </c>
    </row>
    <row r="9060" spans="11:14" x14ac:dyDescent="0.3">
      <c r="K9060" s="1">
        <v>40544</v>
      </c>
      <c r="M9060" t="e">
        <v>#N/A</v>
      </c>
      <c r="N9060" s="1">
        <v>40087</v>
      </c>
    </row>
    <row r="9061" spans="11:14" x14ac:dyDescent="0.3">
      <c r="K9061" s="1">
        <v>40544</v>
      </c>
      <c r="M9061" t="e">
        <v>#N/A</v>
      </c>
      <c r="N9061" s="1">
        <v>40087</v>
      </c>
    </row>
    <row r="9062" spans="11:14" x14ac:dyDescent="0.3">
      <c r="K9062" s="1">
        <v>40544</v>
      </c>
      <c r="M9062" t="e">
        <v>#N/A</v>
      </c>
      <c r="N9062" s="1">
        <v>40087</v>
      </c>
    </row>
    <row r="9063" spans="11:14" x14ac:dyDescent="0.3">
      <c r="K9063" s="1">
        <v>40544</v>
      </c>
      <c r="M9063" t="e">
        <v>#N/A</v>
      </c>
      <c r="N9063" s="1">
        <v>40087</v>
      </c>
    </row>
    <row r="9064" spans="11:14" x14ac:dyDescent="0.3">
      <c r="K9064" s="1">
        <v>40544</v>
      </c>
      <c r="M9064" t="e">
        <v>#N/A</v>
      </c>
      <c r="N9064" s="1">
        <v>40087</v>
      </c>
    </row>
    <row r="9065" spans="11:14" x14ac:dyDescent="0.3">
      <c r="K9065" s="1">
        <v>40544</v>
      </c>
      <c r="M9065" t="e">
        <v>#N/A</v>
      </c>
      <c r="N9065" s="1">
        <v>40087</v>
      </c>
    </row>
    <row r="9066" spans="11:14" x14ac:dyDescent="0.3">
      <c r="K9066" s="1">
        <v>40544</v>
      </c>
      <c r="M9066" t="e">
        <v>#N/A</v>
      </c>
      <c r="N9066" s="1">
        <v>40087</v>
      </c>
    </row>
    <row r="9067" spans="11:14" x14ac:dyDescent="0.3">
      <c r="K9067" s="1">
        <v>40544</v>
      </c>
      <c r="M9067" t="e">
        <v>#N/A</v>
      </c>
      <c r="N9067" s="1">
        <v>40087</v>
      </c>
    </row>
    <row r="9068" spans="11:14" x14ac:dyDescent="0.3">
      <c r="K9068" s="1">
        <v>40544</v>
      </c>
      <c r="M9068" t="e">
        <v>#N/A</v>
      </c>
      <c r="N9068" s="1">
        <v>40087</v>
      </c>
    </row>
    <row r="9069" spans="11:14" x14ac:dyDescent="0.3">
      <c r="K9069" s="1">
        <v>40544</v>
      </c>
      <c r="M9069" t="e">
        <v>#N/A</v>
      </c>
      <c r="N9069" s="1">
        <v>40087</v>
      </c>
    </row>
    <row r="9070" spans="11:14" x14ac:dyDescent="0.3">
      <c r="K9070" s="1">
        <v>40544</v>
      </c>
      <c r="M9070" t="e">
        <v>#N/A</v>
      </c>
      <c r="N9070" s="1">
        <v>40087</v>
      </c>
    </row>
    <row r="9071" spans="11:14" x14ac:dyDescent="0.3">
      <c r="K9071" s="1">
        <v>40544</v>
      </c>
      <c r="M9071" t="e">
        <v>#N/A</v>
      </c>
      <c r="N9071" s="1">
        <v>40087</v>
      </c>
    </row>
    <row r="9072" spans="11:14" x14ac:dyDescent="0.3">
      <c r="K9072" s="1">
        <v>40544</v>
      </c>
      <c r="M9072" t="e">
        <v>#N/A</v>
      </c>
      <c r="N9072" s="1">
        <v>40087</v>
      </c>
    </row>
    <row r="9073" spans="11:14" x14ac:dyDescent="0.3">
      <c r="K9073" s="1">
        <v>40544</v>
      </c>
      <c r="M9073" t="e">
        <v>#N/A</v>
      </c>
      <c r="N9073" s="1">
        <v>40087</v>
      </c>
    </row>
    <row r="9074" spans="11:14" x14ac:dyDescent="0.3">
      <c r="K9074" s="1">
        <v>40544</v>
      </c>
      <c r="M9074" t="e">
        <v>#N/A</v>
      </c>
      <c r="N9074" s="1">
        <v>40087</v>
      </c>
    </row>
    <row r="9075" spans="11:14" x14ac:dyDescent="0.3">
      <c r="K9075" s="1">
        <v>40544</v>
      </c>
      <c r="M9075" t="e">
        <v>#N/A</v>
      </c>
      <c r="N9075" s="1">
        <v>40087</v>
      </c>
    </row>
    <row r="9076" spans="11:14" x14ac:dyDescent="0.3">
      <c r="K9076" s="1">
        <v>40544</v>
      </c>
      <c r="M9076" t="e">
        <v>#N/A</v>
      </c>
      <c r="N9076" s="1">
        <v>40087</v>
      </c>
    </row>
    <row r="9077" spans="11:14" x14ac:dyDescent="0.3">
      <c r="K9077" s="1">
        <v>40544</v>
      </c>
      <c r="M9077" t="e">
        <v>#N/A</v>
      </c>
      <c r="N9077" s="1">
        <v>40087</v>
      </c>
    </row>
    <row r="9078" spans="11:14" x14ac:dyDescent="0.3">
      <c r="K9078" s="1">
        <v>40544</v>
      </c>
      <c r="M9078" t="e">
        <v>#N/A</v>
      </c>
      <c r="N9078" s="1">
        <v>40087</v>
      </c>
    </row>
    <row r="9079" spans="11:14" x14ac:dyDescent="0.3">
      <c r="K9079" s="1">
        <v>40544</v>
      </c>
      <c r="M9079" t="e">
        <v>#N/A</v>
      </c>
      <c r="N9079" s="1">
        <v>40087</v>
      </c>
    </row>
    <row r="9080" spans="11:14" x14ac:dyDescent="0.3">
      <c r="K9080" s="1">
        <v>40544</v>
      </c>
      <c r="M9080" t="e">
        <v>#N/A</v>
      </c>
      <c r="N9080" s="1">
        <v>40087</v>
      </c>
    </row>
    <row r="9081" spans="11:14" x14ac:dyDescent="0.3">
      <c r="K9081" s="1">
        <v>40544</v>
      </c>
      <c r="M9081" t="e">
        <v>#N/A</v>
      </c>
      <c r="N9081" s="1">
        <v>40087</v>
      </c>
    </row>
    <row r="9082" spans="11:14" x14ac:dyDescent="0.3">
      <c r="K9082" s="1">
        <v>40544</v>
      </c>
      <c r="M9082" t="e">
        <v>#N/A</v>
      </c>
      <c r="N9082" s="1">
        <v>40087</v>
      </c>
    </row>
    <row r="9083" spans="11:14" x14ac:dyDescent="0.3">
      <c r="K9083" s="1">
        <v>40544</v>
      </c>
      <c r="M9083" t="e">
        <v>#N/A</v>
      </c>
      <c r="N9083" s="1">
        <v>40087</v>
      </c>
    </row>
    <row r="9084" spans="11:14" x14ac:dyDescent="0.3">
      <c r="K9084" s="1">
        <v>40544</v>
      </c>
      <c r="M9084" t="e">
        <v>#N/A</v>
      </c>
      <c r="N9084" s="1">
        <v>40087</v>
      </c>
    </row>
    <row r="9085" spans="11:14" x14ac:dyDescent="0.3">
      <c r="K9085" s="1">
        <v>40544</v>
      </c>
      <c r="M9085" t="e">
        <v>#N/A</v>
      </c>
      <c r="N9085" s="1">
        <v>40087</v>
      </c>
    </row>
    <row r="9086" spans="11:14" x14ac:dyDescent="0.3">
      <c r="K9086" s="1">
        <v>40544</v>
      </c>
      <c r="M9086" t="e">
        <v>#N/A</v>
      </c>
      <c r="N9086" s="1">
        <v>40087</v>
      </c>
    </row>
    <row r="9087" spans="11:14" x14ac:dyDescent="0.3">
      <c r="K9087" s="1">
        <v>40544</v>
      </c>
      <c r="M9087" t="e">
        <v>#N/A</v>
      </c>
      <c r="N9087" s="1">
        <v>40087</v>
      </c>
    </row>
    <row r="9088" spans="11:14" x14ac:dyDescent="0.3">
      <c r="K9088" s="1">
        <v>40544</v>
      </c>
      <c r="M9088" t="e">
        <v>#N/A</v>
      </c>
      <c r="N9088" s="1">
        <v>40087</v>
      </c>
    </row>
    <row r="9089" spans="11:14" x14ac:dyDescent="0.3">
      <c r="K9089" s="1">
        <v>40544</v>
      </c>
      <c r="M9089" t="e">
        <v>#N/A</v>
      </c>
      <c r="N9089" s="1">
        <v>40087</v>
      </c>
    </row>
    <row r="9090" spans="11:14" x14ac:dyDescent="0.3">
      <c r="K9090" s="1">
        <v>40544</v>
      </c>
      <c r="M9090" t="e">
        <v>#N/A</v>
      </c>
      <c r="N9090" s="1">
        <v>40087</v>
      </c>
    </row>
    <row r="9091" spans="11:14" x14ac:dyDescent="0.3">
      <c r="K9091" s="1">
        <v>40544</v>
      </c>
      <c r="M9091" t="e">
        <v>#N/A</v>
      </c>
      <c r="N9091" s="1">
        <v>40087</v>
      </c>
    </row>
    <row r="9092" spans="11:14" x14ac:dyDescent="0.3">
      <c r="K9092" s="1">
        <v>40544</v>
      </c>
      <c r="M9092" t="e">
        <v>#N/A</v>
      </c>
      <c r="N9092" s="1">
        <v>40087</v>
      </c>
    </row>
    <row r="9093" spans="11:14" x14ac:dyDescent="0.3">
      <c r="K9093" s="1">
        <v>40544</v>
      </c>
      <c r="M9093" t="e">
        <v>#N/A</v>
      </c>
      <c r="N9093" s="1">
        <v>40087</v>
      </c>
    </row>
    <row r="9094" spans="11:14" x14ac:dyDescent="0.3">
      <c r="K9094" s="1">
        <v>40544</v>
      </c>
      <c r="M9094" t="e">
        <v>#N/A</v>
      </c>
      <c r="N9094" s="1">
        <v>40087</v>
      </c>
    </row>
    <row r="9095" spans="11:14" x14ac:dyDescent="0.3">
      <c r="K9095" s="1">
        <v>40544</v>
      </c>
      <c r="M9095" t="e">
        <v>#N/A</v>
      </c>
      <c r="N9095" s="1">
        <v>40087</v>
      </c>
    </row>
    <row r="9096" spans="11:14" x14ac:dyDescent="0.3">
      <c r="K9096" s="1">
        <v>40544</v>
      </c>
      <c r="M9096" t="e">
        <v>#N/A</v>
      </c>
      <c r="N9096" s="1">
        <v>40087</v>
      </c>
    </row>
    <row r="9097" spans="11:14" x14ac:dyDescent="0.3">
      <c r="K9097" s="1">
        <v>40544</v>
      </c>
      <c r="M9097" t="e">
        <v>#N/A</v>
      </c>
      <c r="N9097" s="1">
        <v>40179</v>
      </c>
    </row>
    <row r="9098" spans="11:14" x14ac:dyDescent="0.3">
      <c r="K9098" s="1">
        <v>40544</v>
      </c>
      <c r="M9098" t="e">
        <v>#N/A</v>
      </c>
      <c r="N9098" s="1">
        <v>40179</v>
      </c>
    </row>
    <row r="9099" spans="11:14" x14ac:dyDescent="0.3">
      <c r="K9099" s="1">
        <v>40544</v>
      </c>
      <c r="M9099" t="e">
        <v>#N/A</v>
      </c>
      <c r="N9099" s="1">
        <v>40179</v>
      </c>
    </row>
    <row r="9100" spans="11:14" x14ac:dyDescent="0.3">
      <c r="K9100" s="1">
        <v>40544</v>
      </c>
      <c r="M9100" t="e">
        <v>#N/A</v>
      </c>
      <c r="N9100" s="1">
        <v>40179</v>
      </c>
    </row>
    <row r="9101" spans="11:14" x14ac:dyDescent="0.3">
      <c r="K9101" s="1">
        <v>40544</v>
      </c>
      <c r="M9101" t="e">
        <v>#N/A</v>
      </c>
      <c r="N9101" s="1">
        <v>40179</v>
      </c>
    </row>
    <row r="9102" spans="11:14" x14ac:dyDescent="0.3">
      <c r="K9102" s="1">
        <v>40544</v>
      </c>
      <c r="M9102" t="e">
        <v>#N/A</v>
      </c>
      <c r="N9102" s="1">
        <v>40179</v>
      </c>
    </row>
    <row r="9103" spans="11:14" x14ac:dyDescent="0.3">
      <c r="K9103" s="1">
        <v>40544</v>
      </c>
      <c r="M9103" t="e">
        <v>#N/A</v>
      </c>
      <c r="N9103" s="1">
        <v>40179</v>
      </c>
    </row>
    <row r="9104" spans="11:14" x14ac:dyDescent="0.3">
      <c r="K9104" s="1">
        <v>40544</v>
      </c>
      <c r="M9104" t="e">
        <v>#N/A</v>
      </c>
      <c r="N9104" s="1">
        <v>40179</v>
      </c>
    </row>
    <row r="9105" spans="11:14" x14ac:dyDescent="0.3">
      <c r="K9105" s="1">
        <v>40544</v>
      </c>
      <c r="M9105" t="e">
        <v>#N/A</v>
      </c>
      <c r="N9105" s="1">
        <v>40179</v>
      </c>
    </row>
    <row r="9106" spans="11:14" x14ac:dyDescent="0.3">
      <c r="K9106" s="1">
        <v>40544</v>
      </c>
      <c r="M9106" t="e">
        <v>#N/A</v>
      </c>
      <c r="N9106" s="1">
        <v>40179</v>
      </c>
    </row>
    <row r="9107" spans="11:14" x14ac:dyDescent="0.3">
      <c r="K9107" s="1">
        <v>40544</v>
      </c>
      <c r="M9107" t="e">
        <v>#N/A</v>
      </c>
      <c r="N9107" s="1">
        <v>40179</v>
      </c>
    </row>
    <row r="9108" spans="11:14" x14ac:dyDescent="0.3">
      <c r="K9108" s="1">
        <v>40544</v>
      </c>
      <c r="M9108" t="e">
        <v>#N/A</v>
      </c>
      <c r="N9108" s="1">
        <v>40179</v>
      </c>
    </row>
    <row r="9109" spans="11:14" x14ac:dyDescent="0.3">
      <c r="K9109" s="1">
        <v>40544</v>
      </c>
      <c r="M9109" t="e">
        <v>#N/A</v>
      </c>
      <c r="N9109" s="1">
        <v>40179</v>
      </c>
    </row>
    <row r="9110" spans="11:14" x14ac:dyDescent="0.3">
      <c r="K9110" s="1">
        <v>40544</v>
      </c>
      <c r="M9110" t="e">
        <v>#N/A</v>
      </c>
      <c r="N9110" s="1">
        <v>40179</v>
      </c>
    </row>
    <row r="9111" spans="11:14" x14ac:dyDescent="0.3">
      <c r="K9111" s="1">
        <v>40544</v>
      </c>
      <c r="M9111" t="e">
        <v>#N/A</v>
      </c>
      <c r="N9111" s="1">
        <v>40179</v>
      </c>
    </row>
    <row r="9112" spans="11:14" x14ac:dyDescent="0.3">
      <c r="K9112" s="1">
        <v>40544</v>
      </c>
      <c r="M9112" t="e">
        <v>#N/A</v>
      </c>
      <c r="N9112" s="1">
        <v>40179</v>
      </c>
    </row>
    <row r="9113" spans="11:14" x14ac:dyDescent="0.3">
      <c r="K9113" s="1">
        <v>40544</v>
      </c>
      <c r="M9113" t="e">
        <v>#N/A</v>
      </c>
      <c r="N9113" s="1">
        <v>40179</v>
      </c>
    </row>
    <row r="9114" spans="11:14" x14ac:dyDescent="0.3">
      <c r="K9114" s="1">
        <v>40544</v>
      </c>
      <c r="M9114" t="e">
        <v>#N/A</v>
      </c>
      <c r="N9114" s="1">
        <v>40179</v>
      </c>
    </row>
    <row r="9115" spans="11:14" x14ac:dyDescent="0.3">
      <c r="K9115" s="1">
        <v>40544</v>
      </c>
      <c r="M9115" t="e">
        <v>#N/A</v>
      </c>
      <c r="N9115" s="1">
        <v>40179</v>
      </c>
    </row>
    <row r="9116" spans="11:14" x14ac:dyDescent="0.3">
      <c r="K9116" s="1">
        <v>40544</v>
      </c>
      <c r="M9116" t="e">
        <v>#N/A</v>
      </c>
      <c r="N9116" s="1">
        <v>40179</v>
      </c>
    </row>
    <row r="9117" spans="11:14" x14ac:dyDescent="0.3">
      <c r="K9117" s="1">
        <v>40544</v>
      </c>
      <c r="M9117" t="e">
        <v>#N/A</v>
      </c>
      <c r="N9117" s="1">
        <v>40179</v>
      </c>
    </row>
    <row r="9118" spans="11:14" x14ac:dyDescent="0.3">
      <c r="K9118" s="1">
        <v>40544</v>
      </c>
      <c r="M9118" t="e">
        <v>#N/A</v>
      </c>
      <c r="N9118" s="1">
        <v>40179</v>
      </c>
    </row>
    <row r="9119" spans="11:14" x14ac:dyDescent="0.3">
      <c r="K9119" s="1">
        <v>40544</v>
      </c>
      <c r="M9119" t="e">
        <v>#N/A</v>
      </c>
      <c r="N9119" s="1">
        <v>40179</v>
      </c>
    </row>
    <row r="9120" spans="11:14" x14ac:dyDescent="0.3">
      <c r="K9120" s="1">
        <v>40544</v>
      </c>
      <c r="M9120" t="e">
        <v>#N/A</v>
      </c>
      <c r="N9120" s="1">
        <v>40179</v>
      </c>
    </row>
    <row r="9121" spans="11:14" x14ac:dyDescent="0.3">
      <c r="K9121" s="1">
        <v>40544</v>
      </c>
      <c r="M9121" t="e">
        <v>#N/A</v>
      </c>
      <c r="N9121" s="1">
        <v>40179</v>
      </c>
    </row>
    <row r="9122" spans="11:14" x14ac:dyDescent="0.3">
      <c r="K9122" s="1">
        <v>40544</v>
      </c>
      <c r="M9122" t="e">
        <v>#N/A</v>
      </c>
      <c r="N9122" s="1">
        <v>40179</v>
      </c>
    </row>
    <row r="9123" spans="11:14" x14ac:dyDescent="0.3">
      <c r="K9123" s="1">
        <v>40544</v>
      </c>
      <c r="M9123" t="e">
        <v>#N/A</v>
      </c>
      <c r="N9123" s="1">
        <v>40179</v>
      </c>
    </row>
    <row r="9124" spans="11:14" x14ac:dyDescent="0.3">
      <c r="K9124" s="1">
        <v>40544</v>
      </c>
      <c r="M9124" t="e">
        <v>#N/A</v>
      </c>
      <c r="N9124" s="1">
        <v>40179</v>
      </c>
    </row>
    <row r="9125" spans="11:14" x14ac:dyDescent="0.3">
      <c r="K9125" s="1">
        <v>40544</v>
      </c>
      <c r="M9125" t="e">
        <v>#N/A</v>
      </c>
      <c r="N9125" s="1">
        <v>40179</v>
      </c>
    </row>
    <row r="9126" spans="11:14" x14ac:dyDescent="0.3">
      <c r="K9126" s="1">
        <v>40544</v>
      </c>
      <c r="M9126" t="e">
        <v>#N/A</v>
      </c>
      <c r="N9126" s="1">
        <v>40179</v>
      </c>
    </row>
    <row r="9127" spans="11:14" x14ac:dyDescent="0.3">
      <c r="K9127" s="1">
        <v>40544</v>
      </c>
      <c r="M9127" t="e">
        <v>#N/A</v>
      </c>
      <c r="N9127" s="1">
        <v>40179</v>
      </c>
    </row>
    <row r="9128" spans="11:14" x14ac:dyDescent="0.3">
      <c r="K9128" s="1">
        <v>40544</v>
      </c>
      <c r="M9128" t="e">
        <v>#N/A</v>
      </c>
      <c r="N9128" s="1">
        <v>40179</v>
      </c>
    </row>
    <row r="9129" spans="11:14" x14ac:dyDescent="0.3">
      <c r="K9129" s="1">
        <v>40544</v>
      </c>
      <c r="M9129" t="e">
        <v>#N/A</v>
      </c>
      <c r="N9129" s="1">
        <v>40179</v>
      </c>
    </row>
    <row r="9130" spans="11:14" x14ac:dyDescent="0.3">
      <c r="K9130" s="1">
        <v>40544</v>
      </c>
      <c r="M9130" t="e">
        <v>#N/A</v>
      </c>
      <c r="N9130" s="1">
        <v>40179</v>
      </c>
    </row>
    <row r="9131" spans="11:14" x14ac:dyDescent="0.3">
      <c r="K9131" s="1">
        <v>40544</v>
      </c>
      <c r="M9131" t="e">
        <v>#N/A</v>
      </c>
      <c r="N9131" s="1">
        <v>40179</v>
      </c>
    </row>
    <row r="9132" spans="11:14" x14ac:dyDescent="0.3">
      <c r="K9132" s="1">
        <v>40544</v>
      </c>
      <c r="M9132" t="e">
        <v>#N/A</v>
      </c>
      <c r="N9132" s="1">
        <v>40179</v>
      </c>
    </row>
    <row r="9133" spans="11:14" x14ac:dyDescent="0.3">
      <c r="K9133" s="1">
        <v>40544</v>
      </c>
      <c r="M9133" t="e">
        <v>#N/A</v>
      </c>
      <c r="N9133" s="1">
        <v>40179</v>
      </c>
    </row>
    <row r="9134" spans="11:14" x14ac:dyDescent="0.3">
      <c r="K9134" s="1">
        <v>40544</v>
      </c>
      <c r="M9134" t="e">
        <v>#N/A</v>
      </c>
      <c r="N9134" s="1">
        <v>40179</v>
      </c>
    </row>
    <row r="9135" spans="11:14" x14ac:dyDescent="0.3">
      <c r="K9135" s="1">
        <v>40544</v>
      </c>
      <c r="M9135" t="e">
        <v>#N/A</v>
      </c>
      <c r="N9135" s="1">
        <v>40179</v>
      </c>
    </row>
    <row r="9136" spans="11:14" x14ac:dyDescent="0.3">
      <c r="K9136" s="1">
        <v>40544</v>
      </c>
      <c r="M9136" t="e">
        <v>#N/A</v>
      </c>
      <c r="N9136" s="1">
        <v>40179</v>
      </c>
    </row>
    <row r="9137" spans="11:14" x14ac:dyDescent="0.3">
      <c r="K9137" s="1">
        <v>40544</v>
      </c>
      <c r="M9137" t="e">
        <v>#N/A</v>
      </c>
      <c r="N9137" s="1">
        <v>40179</v>
      </c>
    </row>
    <row r="9138" spans="11:14" x14ac:dyDescent="0.3">
      <c r="K9138" s="1">
        <v>40544</v>
      </c>
      <c r="M9138" t="e">
        <v>#N/A</v>
      </c>
      <c r="N9138" s="1">
        <v>40179</v>
      </c>
    </row>
    <row r="9139" spans="11:14" x14ac:dyDescent="0.3">
      <c r="K9139" s="1">
        <v>40544</v>
      </c>
      <c r="M9139" t="e">
        <v>#N/A</v>
      </c>
      <c r="N9139" s="1">
        <v>40179</v>
      </c>
    </row>
    <row r="9140" spans="11:14" x14ac:dyDescent="0.3">
      <c r="K9140" s="1">
        <v>40544</v>
      </c>
      <c r="M9140" t="e">
        <v>#N/A</v>
      </c>
      <c r="N9140" s="1">
        <v>40179</v>
      </c>
    </row>
    <row r="9141" spans="11:14" x14ac:dyDescent="0.3">
      <c r="K9141" s="1">
        <v>40544</v>
      </c>
      <c r="M9141" t="e">
        <v>#N/A</v>
      </c>
      <c r="N9141" s="1">
        <v>40179</v>
      </c>
    </row>
    <row r="9142" spans="11:14" x14ac:dyDescent="0.3">
      <c r="K9142" s="1">
        <v>40544</v>
      </c>
      <c r="M9142" t="e">
        <v>#N/A</v>
      </c>
      <c r="N9142" s="1">
        <v>40179</v>
      </c>
    </row>
    <row r="9143" spans="11:14" x14ac:dyDescent="0.3">
      <c r="K9143" s="1">
        <v>40544</v>
      </c>
      <c r="M9143" t="e">
        <v>#N/A</v>
      </c>
      <c r="N9143" s="1">
        <v>40179</v>
      </c>
    </row>
    <row r="9144" spans="11:14" x14ac:dyDescent="0.3">
      <c r="K9144" s="1">
        <v>40544</v>
      </c>
      <c r="M9144" t="e">
        <v>#N/A</v>
      </c>
      <c r="N9144" s="1">
        <v>40179</v>
      </c>
    </row>
    <row r="9145" spans="11:14" x14ac:dyDescent="0.3">
      <c r="K9145" s="1">
        <v>40544</v>
      </c>
      <c r="M9145" t="e">
        <v>#N/A</v>
      </c>
      <c r="N9145" s="1">
        <v>40179</v>
      </c>
    </row>
    <row r="9146" spans="11:14" x14ac:dyDescent="0.3">
      <c r="K9146" s="1">
        <v>40544</v>
      </c>
      <c r="M9146" t="e">
        <v>#N/A</v>
      </c>
      <c r="N9146" s="1">
        <v>40179</v>
      </c>
    </row>
    <row r="9147" spans="11:14" x14ac:dyDescent="0.3">
      <c r="K9147" s="1">
        <v>40544</v>
      </c>
      <c r="M9147" t="e">
        <v>#N/A</v>
      </c>
      <c r="N9147" s="1">
        <v>40179</v>
      </c>
    </row>
    <row r="9148" spans="11:14" x14ac:dyDescent="0.3">
      <c r="K9148" s="1">
        <v>40544</v>
      </c>
      <c r="M9148" t="e">
        <v>#N/A</v>
      </c>
      <c r="N9148" s="1">
        <v>40179</v>
      </c>
    </row>
    <row r="9149" spans="11:14" x14ac:dyDescent="0.3">
      <c r="K9149" s="1">
        <v>40544</v>
      </c>
      <c r="M9149" t="e">
        <v>#N/A</v>
      </c>
      <c r="N9149" s="1">
        <v>40179</v>
      </c>
    </row>
    <row r="9150" spans="11:14" x14ac:dyDescent="0.3">
      <c r="K9150" s="1">
        <v>40544</v>
      </c>
      <c r="M9150" t="e">
        <v>#N/A</v>
      </c>
      <c r="N9150" s="1">
        <v>40179</v>
      </c>
    </row>
    <row r="9151" spans="11:14" x14ac:dyDescent="0.3">
      <c r="K9151" s="1">
        <v>40544</v>
      </c>
      <c r="M9151" t="e">
        <v>#N/A</v>
      </c>
      <c r="N9151" s="1">
        <v>40179</v>
      </c>
    </row>
    <row r="9152" spans="11:14" x14ac:dyDescent="0.3">
      <c r="K9152" s="1">
        <v>40544</v>
      </c>
      <c r="M9152" t="e">
        <v>#N/A</v>
      </c>
      <c r="N9152" s="1">
        <v>40179</v>
      </c>
    </row>
    <row r="9153" spans="11:14" x14ac:dyDescent="0.3">
      <c r="K9153" s="1">
        <v>40544</v>
      </c>
      <c r="M9153" t="e">
        <v>#N/A</v>
      </c>
      <c r="N9153" s="1">
        <v>40179</v>
      </c>
    </row>
    <row r="9154" spans="11:14" x14ac:dyDescent="0.3">
      <c r="K9154" s="1">
        <v>40544</v>
      </c>
      <c r="M9154" t="e">
        <v>#N/A</v>
      </c>
      <c r="N9154" s="1">
        <v>40179</v>
      </c>
    </row>
    <row r="9155" spans="11:14" x14ac:dyDescent="0.3">
      <c r="K9155" s="1">
        <v>40544</v>
      </c>
      <c r="M9155" t="e">
        <v>#N/A</v>
      </c>
      <c r="N9155" s="1">
        <v>40179</v>
      </c>
    </row>
    <row r="9156" spans="11:14" x14ac:dyDescent="0.3">
      <c r="K9156" s="1">
        <v>40544</v>
      </c>
      <c r="M9156" t="e">
        <v>#N/A</v>
      </c>
      <c r="N9156" s="1">
        <v>40179</v>
      </c>
    </row>
    <row r="9157" spans="11:14" x14ac:dyDescent="0.3">
      <c r="K9157" s="1">
        <v>40544</v>
      </c>
      <c r="M9157" t="e">
        <v>#N/A</v>
      </c>
      <c r="N9157" s="1">
        <v>40179</v>
      </c>
    </row>
    <row r="9158" spans="11:14" x14ac:dyDescent="0.3">
      <c r="K9158" s="1">
        <v>40544</v>
      </c>
      <c r="M9158" t="e">
        <v>#N/A</v>
      </c>
      <c r="N9158" s="1">
        <v>40179</v>
      </c>
    </row>
    <row r="9159" spans="11:14" x14ac:dyDescent="0.3">
      <c r="K9159" s="1">
        <v>40544</v>
      </c>
      <c r="M9159" t="e">
        <v>#N/A</v>
      </c>
      <c r="N9159" s="1">
        <v>40179</v>
      </c>
    </row>
    <row r="9160" spans="11:14" x14ac:dyDescent="0.3">
      <c r="K9160" s="1">
        <v>40544</v>
      </c>
      <c r="M9160" t="e">
        <v>#N/A</v>
      </c>
      <c r="N9160" s="1">
        <v>40179</v>
      </c>
    </row>
    <row r="9161" spans="11:14" x14ac:dyDescent="0.3">
      <c r="K9161" s="1">
        <v>40544</v>
      </c>
      <c r="M9161" t="e">
        <v>#N/A</v>
      </c>
      <c r="N9161" s="1">
        <v>40179</v>
      </c>
    </row>
    <row r="9162" spans="11:14" x14ac:dyDescent="0.3">
      <c r="K9162" s="1">
        <v>40544</v>
      </c>
      <c r="M9162" t="e">
        <v>#N/A</v>
      </c>
      <c r="N9162" s="1">
        <v>40179</v>
      </c>
    </row>
    <row r="9163" spans="11:14" x14ac:dyDescent="0.3">
      <c r="K9163" s="1">
        <v>40544</v>
      </c>
      <c r="M9163" t="e">
        <v>#N/A</v>
      </c>
      <c r="N9163" s="1">
        <v>40179</v>
      </c>
    </row>
    <row r="9164" spans="11:14" x14ac:dyDescent="0.3">
      <c r="K9164" s="1">
        <v>40544</v>
      </c>
      <c r="M9164" t="e">
        <v>#N/A</v>
      </c>
      <c r="N9164" s="1">
        <v>40179</v>
      </c>
    </row>
    <row r="9165" spans="11:14" x14ac:dyDescent="0.3">
      <c r="K9165" s="1">
        <v>40544</v>
      </c>
      <c r="M9165" t="e">
        <v>#N/A</v>
      </c>
      <c r="N9165" s="1">
        <v>40179</v>
      </c>
    </row>
    <row r="9166" spans="11:14" x14ac:dyDescent="0.3">
      <c r="K9166" s="1">
        <v>40544</v>
      </c>
      <c r="M9166" t="e">
        <v>#N/A</v>
      </c>
      <c r="N9166" s="1">
        <v>40179</v>
      </c>
    </row>
    <row r="9167" spans="11:14" x14ac:dyDescent="0.3">
      <c r="K9167" s="1">
        <v>40544</v>
      </c>
      <c r="M9167" t="e">
        <v>#N/A</v>
      </c>
      <c r="N9167" s="1">
        <v>40179</v>
      </c>
    </row>
    <row r="9168" spans="11:14" x14ac:dyDescent="0.3">
      <c r="K9168" s="1">
        <v>40544</v>
      </c>
      <c r="M9168" t="e">
        <v>#N/A</v>
      </c>
      <c r="N9168" s="1">
        <v>40179</v>
      </c>
    </row>
    <row r="9169" spans="11:14" x14ac:dyDescent="0.3">
      <c r="K9169" s="1">
        <v>40544</v>
      </c>
      <c r="M9169" t="e">
        <v>#N/A</v>
      </c>
      <c r="N9169" s="1">
        <v>40179</v>
      </c>
    </row>
    <row r="9170" spans="11:14" x14ac:dyDescent="0.3">
      <c r="K9170" s="1">
        <v>40544</v>
      </c>
      <c r="M9170" t="e">
        <v>#N/A</v>
      </c>
      <c r="N9170" s="1">
        <v>40179</v>
      </c>
    </row>
    <row r="9171" spans="11:14" x14ac:dyDescent="0.3">
      <c r="K9171" s="1">
        <v>40544</v>
      </c>
      <c r="M9171" t="e">
        <v>#N/A</v>
      </c>
      <c r="N9171" s="1">
        <v>40179</v>
      </c>
    </row>
    <row r="9172" spans="11:14" x14ac:dyDescent="0.3">
      <c r="K9172" s="1">
        <v>40634</v>
      </c>
      <c r="M9172" t="e">
        <v>#N/A</v>
      </c>
      <c r="N9172" s="1">
        <v>40179</v>
      </c>
    </row>
    <row r="9173" spans="11:14" x14ac:dyDescent="0.3">
      <c r="K9173" s="1">
        <v>40634</v>
      </c>
      <c r="M9173" t="e">
        <v>#N/A</v>
      </c>
      <c r="N9173" s="1">
        <v>40179</v>
      </c>
    </row>
    <row r="9174" spans="11:14" x14ac:dyDescent="0.3">
      <c r="K9174" s="1">
        <v>40634</v>
      </c>
      <c r="M9174" t="e">
        <v>#N/A</v>
      </c>
      <c r="N9174" s="1">
        <v>40179</v>
      </c>
    </row>
    <row r="9175" spans="11:14" x14ac:dyDescent="0.3">
      <c r="K9175" s="1">
        <v>40634</v>
      </c>
      <c r="M9175" t="e">
        <v>#N/A</v>
      </c>
      <c r="N9175" s="1">
        <v>40179</v>
      </c>
    </row>
    <row r="9176" spans="11:14" x14ac:dyDescent="0.3">
      <c r="K9176" s="1">
        <v>40634</v>
      </c>
      <c r="M9176" t="e">
        <v>#N/A</v>
      </c>
      <c r="N9176" s="1">
        <v>40179</v>
      </c>
    </row>
    <row r="9177" spans="11:14" x14ac:dyDescent="0.3">
      <c r="K9177" s="1">
        <v>40634</v>
      </c>
      <c r="M9177" t="e">
        <v>#N/A</v>
      </c>
      <c r="N9177" s="1">
        <v>40179</v>
      </c>
    </row>
    <row r="9178" spans="11:14" x14ac:dyDescent="0.3">
      <c r="K9178" s="1">
        <v>40634</v>
      </c>
      <c r="M9178" t="e">
        <v>#N/A</v>
      </c>
      <c r="N9178" s="1">
        <v>40179</v>
      </c>
    </row>
    <row r="9179" spans="11:14" x14ac:dyDescent="0.3">
      <c r="K9179" s="1">
        <v>40634</v>
      </c>
      <c r="M9179" t="e">
        <v>#N/A</v>
      </c>
      <c r="N9179" s="1">
        <v>40179</v>
      </c>
    </row>
    <row r="9180" spans="11:14" x14ac:dyDescent="0.3">
      <c r="K9180" s="1">
        <v>40634</v>
      </c>
      <c r="M9180" t="e">
        <v>#N/A</v>
      </c>
      <c r="N9180" s="1">
        <v>40179</v>
      </c>
    </row>
    <row r="9181" spans="11:14" x14ac:dyDescent="0.3">
      <c r="K9181" s="1">
        <v>40634</v>
      </c>
      <c r="M9181" t="e">
        <v>#N/A</v>
      </c>
      <c r="N9181" s="1">
        <v>40179</v>
      </c>
    </row>
    <row r="9182" spans="11:14" x14ac:dyDescent="0.3">
      <c r="K9182" s="1">
        <v>40634</v>
      </c>
      <c r="M9182" t="e">
        <v>#N/A</v>
      </c>
      <c r="N9182" s="1">
        <v>40179</v>
      </c>
    </row>
    <row r="9183" spans="11:14" x14ac:dyDescent="0.3">
      <c r="K9183" s="1">
        <v>40634</v>
      </c>
      <c r="M9183" t="e">
        <v>#N/A</v>
      </c>
      <c r="N9183" s="1">
        <v>40179</v>
      </c>
    </row>
    <row r="9184" spans="11:14" x14ac:dyDescent="0.3">
      <c r="K9184" s="1">
        <v>40634</v>
      </c>
      <c r="M9184" t="e">
        <v>#N/A</v>
      </c>
      <c r="N9184" s="1">
        <v>40179</v>
      </c>
    </row>
    <row r="9185" spans="11:14" x14ac:dyDescent="0.3">
      <c r="K9185" s="1">
        <v>40634</v>
      </c>
      <c r="M9185" t="e">
        <v>#N/A</v>
      </c>
      <c r="N9185" s="1">
        <v>40179</v>
      </c>
    </row>
    <row r="9186" spans="11:14" x14ac:dyDescent="0.3">
      <c r="K9186" s="1">
        <v>40634</v>
      </c>
      <c r="M9186" t="e">
        <v>#N/A</v>
      </c>
      <c r="N9186" s="1">
        <v>40179</v>
      </c>
    </row>
    <row r="9187" spans="11:14" x14ac:dyDescent="0.3">
      <c r="K9187" s="1">
        <v>40634</v>
      </c>
      <c r="M9187" t="e">
        <v>#N/A</v>
      </c>
      <c r="N9187" s="1">
        <v>40179</v>
      </c>
    </row>
    <row r="9188" spans="11:14" x14ac:dyDescent="0.3">
      <c r="K9188" s="1">
        <v>40634</v>
      </c>
      <c r="M9188" t="e">
        <v>#N/A</v>
      </c>
      <c r="N9188" s="1">
        <v>40179</v>
      </c>
    </row>
    <row r="9189" spans="11:14" x14ac:dyDescent="0.3">
      <c r="K9189" s="1">
        <v>40634</v>
      </c>
      <c r="M9189" t="e">
        <v>#N/A</v>
      </c>
      <c r="N9189" s="1">
        <v>40179</v>
      </c>
    </row>
    <row r="9190" spans="11:14" x14ac:dyDescent="0.3">
      <c r="K9190" s="1">
        <v>40634</v>
      </c>
      <c r="M9190" t="e">
        <v>#N/A</v>
      </c>
      <c r="N9190" s="1">
        <v>40179</v>
      </c>
    </row>
    <row r="9191" spans="11:14" x14ac:dyDescent="0.3">
      <c r="K9191" s="1">
        <v>40634</v>
      </c>
      <c r="M9191" t="e">
        <v>#N/A</v>
      </c>
      <c r="N9191" s="1">
        <v>40179</v>
      </c>
    </row>
    <row r="9192" spans="11:14" x14ac:dyDescent="0.3">
      <c r="K9192" s="1">
        <v>40634</v>
      </c>
      <c r="M9192" t="e">
        <v>#N/A</v>
      </c>
      <c r="N9192" s="1">
        <v>40179</v>
      </c>
    </row>
    <row r="9193" spans="11:14" x14ac:dyDescent="0.3">
      <c r="K9193" s="1">
        <v>40634</v>
      </c>
      <c r="M9193" t="e">
        <v>#N/A</v>
      </c>
      <c r="N9193" s="1">
        <v>40179</v>
      </c>
    </row>
    <row r="9194" spans="11:14" x14ac:dyDescent="0.3">
      <c r="K9194" s="1">
        <v>40634</v>
      </c>
      <c r="M9194" t="e">
        <v>#N/A</v>
      </c>
      <c r="N9194" s="1">
        <v>40179</v>
      </c>
    </row>
    <row r="9195" spans="11:14" x14ac:dyDescent="0.3">
      <c r="K9195" s="1">
        <v>40634</v>
      </c>
      <c r="M9195" t="e">
        <v>#N/A</v>
      </c>
      <c r="N9195" s="1">
        <v>40179</v>
      </c>
    </row>
    <row r="9196" spans="11:14" x14ac:dyDescent="0.3">
      <c r="K9196" s="1">
        <v>40634</v>
      </c>
      <c r="M9196" t="e">
        <v>#N/A</v>
      </c>
      <c r="N9196" s="1">
        <v>40179</v>
      </c>
    </row>
    <row r="9197" spans="11:14" x14ac:dyDescent="0.3">
      <c r="K9197" s="1">
        <v>40634</v>
      </c>
      <c r="M9197" t="e">
        <v>#N/A</v>
      </c>
      <c r="N9197" s="1">
        <v>40179</v>
      </c>
    </row>
    <row r="9198" spans="11:14" x14ac:dyDescent="0.3">
      <c r="K9198" s="1">
        <v>40634</v>
      </c>
      <c r="M9198" t="e">
        <v>#N/A</v>
      </c>
      <c r="N9198" s="1">
        <v>40179</v>
      </c>
    </row>
    <row r="9199" spans="11:14" x14ac:dyDescent="0.3">
      <c r="K9199" s="1">
        <v>40634</v>
      </c>
      <c r="M9199" t="e">
        <v>#N/A</v>
      </c>
      <c r="N9199" s="1">
        <v>40179</v>
      </c>
    </row>
    <row r="9200" spans="11:14" x14ac:dyDescent="0.3">
      <c r="K9200" s="1">
        <v>40634</v>
      </c>
      <c r="M9200" t="e">
        <v>#N/A</v>
      </c>
      <c r="N9200" s="1">
        <v>40179</v>
      </c>
    </row>
    <row r="9201" spans="11:14" x14ac:dyDescent="0.3">
      <c r="K9201" s="1">
        <v>40634</v>
      </c>
      <c r="M9201" t="e">
        <v>#N/A</v>
      </c>
      <c r="N9201" s="1">
        <v>40179</v>
      </c>
    </row>
    <row r="9202" spans="11:14" x14ac:dyDescent="0.3">
      <c r="K9202" s="1">
        <v>40634</v>
      </c>
      <c r="M9202" t="e">
        <v>#N/A</v>
      </c>
      <c r="N9202" s="1">
        <v>40179</v>
      </c>
    </row>
    <row r="9203" spans="11:14" x14ac:dyDescent="0.3">
      <c r="K9203" s="1">
        <v>40634</v>
      </c>
      <c r="M9203" t="e">
        <v>#N/A</v>
      </c>
      <c r="N9203" s="1">
        <v>40179</v>
      </c>
    </row>
    <row r="9204" spans="11:14" x14ac:dyDescent="0.3">
      <c r="K9204" s="1">
        <v>40634</v>
      </c>
      <c r="M9204" t="e">
        <v>#N/A</v>
      </c>
      <c r="N9204" s="1">
        <v>40179</v>
      </c>
    </row>
    <row r="9205" spans="11:14" x14ac:dyDescent="0.3">
      <c r="K9205" s="1">
        <v>40634</v>
      </c>
      <c r="M9205" t="e">
        <v>#N/A</v>
      </c>
      <c r="N9205" s="1">
        <v>40179</v>
      </c>
    </row>
    <row r="9206" spans="11:14" x14ac:dyDescent="0.3">
      <c r="K9206" s="1">
        <v>40634</v>
      </c>
      <c r="M9206" t="e">
        <v>#N/A</v>
      </c>
      <c r="N9206" s="1">
        <v>40179</v>
      </c>
    </row>
    <row r="9207" spans="11:14" x14ac:dyDescent="0.3">
      <c r="K9207" s="1">
        <v>40634</v>
      </c>
      <c r="M9207" t="e">
        <v>#N/A</v>
      </c>
      <c r="N9207" s="1">
        <v>40179</v>
      </c>
    </row>
    <row r="9208" spans="11:14" x14ac:dyDescent="0.3">
      <c r="K9208" s="1">
        <v>40634</v>
      </c>
      <c r="M9208" t="e">
        <v>#N/A</v>
      </c>
      <c r="N9208" s="1">
        <v>40179</v>
      </c>
    </row>
    <row r="9209" spans="11:14" x14ac:dyDescent="0.3">
      <c r="K9209" s="1">
        <v>40634</v>
      </c>
      <c r="M9209" t="e">
        <v>#N/A</v>
      </c>
      <c r="N9209" s="1">
        <v>40179</v>
      </c>
    </row>
    <row r="9210" spans="11:14" x14ac:dyDescent="0.3">
      <c r="K9210" s="1">
        <v>40634</v>
      </c>
      <c r="M9210" t="e">
        <v>#N/A</v>
      </c>
      <c r="N9210" s="1">
        <v>40179</v>
      </c>
    </row>
    <row r="9211" spans="11:14" x14ac:dyDescent="0.3">
      <c r="K9211" s="1">
        <v>40634</v>
      </c>
      <c r="M9211" t="e">
        <v>#N/A</v>
      </c>
      <c r="N9211" s="1">
        <v>40179</v>
      </c>
    </row>
    <row r="9212" spans="11:14" x14ac:dyDescent="0.3">
      <c r="K9212" s="1">
        <v>40634</v>
      </c>
      <c r="M9212" t="e">
        <v>#N/A</v>
      </c>
      <c r="N9212" s="1">
        <v>40179</v>
      </c>
    </row>
    <row r="9213" spans="11:14" x14ac:dyDescent="0.3">
      <c r="K9213" s="1">
        <v>40634</v>
      </c>
      <c r="M9213" t="e">
        <v>#N/A</v>
      </c>
      <c r="N9213" s="1">
        <v>40179</v>
      </c>
    </row>
    <row r="9214" spans="11:14" x14ac:dyDescent="0.3">
      <c r="K9214" s="1">
        <v>40634</v>
      </c>
      <c r="M9214" t="e">
        <v>#N/A</v>
      </c>
      <c r="N9214" s="1">
        <v>40179</v>
      </c>
    </row>
    <row r="9215" spans="11:14" x14ac:dyDescent="0.3">
      <c r="K9215" s="1">
        <v>40634</v>
      </c>
      <c r="M9215" t="e">
        <v>#N/A</v>
      </c>
      <c r="N9215" s="1">
        <v>40179</v>
      </c>
    </row>
    <row r="9216" spans="11:14" x14ac:dyDescent="0.3">
      <c r="K9216" s="1">
        <v>40634</v>
      </c>
      <c r="M9216" t="e">
        <v>#N/A</v>
      </c>
      <c r="N9216" s="1">
        <v>40179</v>
      </c>
    </row>
    <row r="9217" spans="11:14" x14ac:dyDescent="0.3">
      <c r="K9217" s="1">
        <v>40634</v>
      </c>
      <c r="M9217" t="e">
        <v>#N/A</v>
      </c>
      <c r="N9217" s="1">
        <v>40179</v>
      </c>
    </row>
    <row r="9218" spans="11:14" x14ac:dyDescent="0.3">
      <c r="K9218" s="1">
        <v>40634</v>
      </c>
      <c r="M9218" t="e">
        <v>#N/A</v>
      </c>
      <c r="N9218" s="1">
        <v>40179</v>
      </c>
    </row>
    <row r="9219" spans="11:14" x14ac:dyDescent="0.3">
      <c r="K9219" s="1">
        <v>40634</v>
      </c>
      <c r="M9219" t="e">
        <v>#N/A</v>
      </c>
      <c r="N9219" s="1">
        <v>40179</v>
      </c>
    </row>
    <row r="9220" spans="11:14" x14ac:dyDescent="0.3">
      <c r="K9220" s="1">
        <v>40634</v>
      </c>
      <c r="M9220" t="e">
        <v>#N/A</v>
      </c>
      <c r="N9220" s="1">
        <v>40179</v>
      </c>
    </row>
    <row r="9221" spans="11:14" x14ac:dyDescent="0.3">
      <c r="K9221" s="1">
        <v>40634</v>
      </c>
      <c r="M9221" t="e">
        <v>#N/A</v>
      </c>
      <c r="N9221" s="1">
        <v>40179</v>
      </c>
    </row>
    <row r="9222" spans="11:14" x14ac:dyDescent="0.3">
      <c r="K9222" s="1">
        <v>40634</v>
      </c>
      <c r="M9222" t="e">
        <v>#N/A</v>
      </c>
      <c r="N9222" s="1">
        <v>40179</v>
      </c>
    </row>
    <row r="9223" spans="11:14" x14ac:dyDescent="0.3">
      <c r="K9223" s="1">
        <v>40634</v>
      </c>
      <c r="M9223" t="e">
        <v>#N/A</v>
      </c>
      <c r="N9223" s="1">
        <v>40179</v>
      </c>
    </row>
    <row r="9224" spans="11:14" x14ac:dyDescent="0.3">
      <c r="K9224" s="1">
        <v>40634</v>
      </c>
      <c r="M9224" t="e">
        <v>#N/A</v>
      </c>
      <c r="N9224" s="1">
        <v>40179</v>
      </c>
    </row>
    <row r="9225" spans="11:14" x14ac:dyDescent="0.3">
      <c r="K9225" s="1">
        <v>40634</v>
      </c>
      <c r="M9225" t="e">
        <v>#N/A</v>
      </c>
      <c r="N9225" s="1">
        <v>40179</v>
      </c>
    </row>
    <row r="9226" spans="11:14" x14ac:dyDescent="0.3">
      <c r="K9226" s="1">
        <v>40634</v>
      </c>
      <c r="M9226" t="e">
        <v>#N/A</v>
      </c>
      <c r="N9226" s="1">
        <v>40179</v>
      </c>
    </row>
    <row r="9227" spans="11:14" x14ac:dyDescent="0.3">
      <c r="K9227" s="1">
        <v>40634</v>
      </c>
      <c r="M9227" t="e">
        <v>#N/A</v>
      </c>
      <c r="N9227" s="1">
        <v>40179</v>
      </c>
    </row>
    <row r="9228" spans="11:14" x14ac:dyDescent="0.3">
      <c r="K9228" s="1">
        <v>40634</v>
      </c>
      <c r="M9228" t="e">
        <v>#N/A</v>
      </c>
      <c r="N9228" s="1">
        <v>40179</v>
      </c>
    </row>
    <row r="9229" spans="11:14" x14ac:dyDescent="0.3">
      <c r="K9229" s="1">
        <v>40634</v>
      </c>
      <c r="M9229" t="e">
        <v>#N/A</v>
      </c>
      <c r="N9229" s="1">
        <v>40179</v>
      </c>
    </row>
    <row r="9230" spans="11:14" x14ac:dyDescent="0.3">
      <c r="K9230" s="1">
        <v>40634</v>
      </c>
      <c r="M9230" t="e">
        <v>#N/A</v>
      </c>
      <c r="N9230" s="1">
        <v>40179</v>
      </c>
    </row>
    <row r="9231" spans="11:14" x14ac:dyDescent="0.3">
      <c r="K9231" s="1">
        <v>40634</v>
      </c>
      <c r="M9231" t="e">
        <v>#N/A</v>
      </c>
      <c r="N9231" s="1">
        <v>40179</v>
      </c>
    </row>
    <row r="9232" spans="11:14" x14ac:dyDescent="0.3">
      <c r="K9232" s="1">
        <v>40634</v>
      </c>
      <c r="M9232" t="e">
        <v>#N/A</v>
      </c>
      <c r="N9232" s="1">
        <v>40179</v>
      </c>
    </row>
    <row r="9233" spans="11:14" x14ac:dyDescent="0.3">
      <c r="K9233" s="1">
        <v>40634</v>
      </c>
      <c r="M9233" t="e">
        <v>#N/A</v>
      </c>
      <c r="N9233" s="1">
        <v>40179</v>
      </c>
    </row>
    <row r="9234" spans="11:14" x14ac:dyDescent="0.3">
      <c r="K9234" s="1">
        <v>40634</v>
      </c>
      <c r="M9234" t="e">
        <v>#N/A</v>
      </c>
      <c r="N9234" s="1">
        <v>40179</v>
      </c>
    </row>
    <row r="9235" spans="11:14" x14ac:dyDescent="0.3">
      <c r="K9235" s="1">
        <v>40634</v>
      </c>
      <c r="M9235" t="e">
        <v>#N/A</v>
      </c>
      <c r="N9235" s="1">
        <v>40179</v>
      </c>
    </row>
    <row r="9236" spans="11:14" x14ac:dyDescent="0.3">
      <c r="K9236" s="1">
        <v>40634</v>
      </c>
      <c r="M9236" t="e">
        <v>#N/A</v>
      </c>
      <c r="N9236" s="1">
        <v>40179</v>
      </c>
    </row>
    <row r="9237" spans="11:14" x14ac:dyDescent="0.3">
      <c r="K9237" s="1">
        <v>40634</v>
      </c>
      <c r="M9237" t="e">
        <v>#N/A</v>
      </c>
      <c r="N9237" s="1">
        <v>40179</v>
      </c>
    </row>
    <row r="9238" spans="11:14" x14ac:dyDescent="0.3">
      <c r="K9238" s="1">
        <v>40634</v>
      </c>
      <c r="M9238" t="e">
        <v>#N/A</v>
      </c>
      <c r="N9238" s="1">
        <v>40179</v>
      </c>
    </row>
    <row r="9239" spans="11:14" x14ac:dyDescent="0.3">
      <c r="K9239" s="1">
        <v>40634</v>
      </c>
      <c r="M9239" t="e">
        <v>#N/A</v>
      </c>
      <c r="N9239" s="1">
        <v>40179</v>
      </c>
    </row>
    <row r="9240" spans="11:14" x14ac:dyDescent="0.3">
      <c r="K9240" s="1">
        <v>40634</v>
      </c>
      <c r="M9240" t="e">
        <v>#N/A</v>
      </c>
      <c r="N9240" s="1">
        <v>40179</v>
      </c>
    </row>
    <row r="9241" spans="11:14" x14ac:dyDescent="0.3">
      <c r="K9241" s="1">
        <v>40634</v>
      </c>
      <c r="M9241" t="e">
        <v>#N/A</v>
      </c>
      <c r="N9241" s="1">
        <v>40179</v>
      </c>
    </row>
    <row r="9242" spans="11:14" x14ac:dyDescent="0.3">
      <c r="K9242" s="1">
        <v>40634</v>
      </c>
      <c r="M9242" t="e">
        <v>#N/A</v>
      </c>
      <c r="N9242" s="1">
        <v>40179</v>
      </c>
    </row>
    <row r="9243" spans="11:14" x14ac:dyDescent="0.3">
      <c r="K9243" s="1">
        <v>40634</v>
      </c>
      <c r="M9243" t="e">
        <v>#N/A</v>
      </c>
      <c r="N9243" s="1">
        <v>40179</v>
      </c>
    </row>
    <row r="9244" spans="11:14" x14ac:dyDescent="0.3">
      <c r="K9244" s="1">
        <v>40634</v>
      </c>
      <c r="M9244" t="e">
        <v>#N/A</v>
      </c>
      <c r="N9244" s="1">
        <v>40179</v>
      </c>
    </row>
    <row r="9245" spans="11:14" x14ac:dyDescent="0.3">
      <c r="K9245" s="1">
        <v>40634</v>
      </c>
      <c r="M9245" t="e">
        <v>#N/A</v>
      </c>
      <c r="N9245" s="1">
        <v>40179</v>
      </c>
    </row>
    <row r="9246" spans="11:14" x14ac:dyDescent="0.3">
      <c r="K9246" s="1">
        <v>40634</v>
      </c>
      <c r="M9246" t="e">
        <v>#N/A</v>
      </c>
      <c r="N9246" s="1">
        <v>40179</v>
      </c>
    </row>
    <row r="9247" spans="11:14" x14ac:dyDescent="0.3">
      <c r="K9247" s="1">
        <v>40634</v>
      </c>
      <c r="M9247" t="e">
        <v>#N/A</v>
      </c>
      <c r="N9247" s="1">
        <v>40179</v>
      </c>
    </row>
    <row r="9248" spans="11:14" x14ac:dyDescent="0.3">
      <c r="K9248" s="1">
        <v>40634</v>
      </c>
      <c r="M9248" t="e">
        <v>#N/A</v>
      </c>
      <c r="N9248" s="1">
        <v>40179</v>
      </c>
    </row>
    <row r="9249" spans="11:14" x14ac:dyDescent="0.3">
      <c r="K9249" s="1">
        <v>40634</v>
      </c>
      <c r="M9249" t="e">
        <v>#N/A</v>
      </c>
      <c r="N9249" s="1">
        <v>40179</v>
      </c>
    </row>
    <row r="9250" spans="11:14" x14ac:dyDescent="0.3">
      <c r="K9250" s="1">
        <v>40634</v>
      </c>
      <c r="M9250" t="e">
        <v>#N/A</v>
      </c>
      <c r="N9250" s="1">
        <v>40179</v>
      </c>
    </row>
    <row r="9251" spans="11:14" x14ac:dyDescent="0.3">
      <c r="K9251" s="1">
        <v>40634</v>
      </c>
      <c r="M9251" t="e">
        <v>#N/A</v>
      </c>
      <c r="N9251" s="1">
        <v>40179</v>
      </c>
    </row>
    <row r="9252" spans="11:14" x14ac:dyDescent="0.3">
      <c r="K9252" s="1">
        <v>40634</v>
      </c>
      <c r="M9252" t="e">
        <v>#N/A</v>
      </c>
      <c r="N9252" s="1">
        <v>40179</v>
      </c>
    </row>
    <row r="9253" spans="11:14" x14ac:dyDescent="0.3">
      <c r="K9253" s="1">
        <v>40634</v>
      </c>
      <c r="M9253" t="e">
        <v>#N/A</v>
      </c>
      <c r="N9253" s="1">
        <v>40179</v>
      </c>
    </row>
    <row r="9254" spans="11:14" x14ac:dyDescent="0.3">
      <c r="K9254" s="1">
        <v>40634</v>
      </c>
      <c r="M9254" t="e">
        <v>#N/A</v>
      </c>
      <c r="N9254" s="1">
        <v>40179</v>
      </c>
    </row>
    <row r="9255" spans="11:14" x14ac:dyDescent="0.3">
      <c r="K9255" s="1">
        <v>40634</v>
      </c>
      <c r="M9255" t="e">
        <v>#N/A</v>
      </c>
      <c r="N9255" s="1">
        <v>40179</v>
      </c>
    </row>
    <row r="9256" spans="11:14" x14ac:dyDescent="0.3">
      <c r="K9256" s="1">
        <v>40634</v>
      </c>
      <c r="M9256" t="e">
        <v>#N/A</v>
      </c>
      <c r="N9256" s="1">
        <v>40179</v>
      </c>
    </row>
    <row r="9257" spans="11:14" x14ac:dyDescent="0.3">
      <c r="K9257" s="1">
        <v>40634</v>
      </c>
      <c r="M9257" t="e">
        <v>#N/A</v>
      </c>
      <c r="N9257" s="1">
        <v>40179</v>
      </c>
    </row>
    <row r="9258" spans="11:14" x14ac:dyDescent="0.3">
      <c r="K9258" s="1">
        <v>40634</v>
      </c>
      <c r="M9258" t="e">
        <v>#N/A</v>
      </c>
      <c r="N9258" s="1">
        <v>40179</v>
      </c>
    </row>
    <row r="9259" spans="11:14" x14ac:dyDescent="0.3">
      <c r="K9259" s="1">
        <v>40634</v>
      </c>
      <c r="M9259" t="e">
        <v>#N/A</v>
      </c>
      <c r="N9259" s="1">
        <v>40179</v>
      </c>
    </row>
    <row r="9260" spans="11:14" x14ac:dyDescent="0.3">
      <c r="K9260" s="1">
        <v>40634</v>
      </c>
      <c r="M9260" t="e">
        <v>#N/A</v>
      </c>
      <c r="N9260" s="1">
        <v>40179</v>
      </c>
    </row>
    <row r="9261" spans="11:14" x14ac:dyDescent="0.3">
      <c r="K9261" s="1">
        <v>40634</v>
      </c>
      <c r="M9261" t="e">
        <v>#N/A</v>
      </c>
      <c r="N9261" s="1">
        <v>40179</v>
      </c>
    </row>
    <row r="9262" spans="11:14" x14ac:dyDescent="0.3">
      <c r="K9262" s="1">
        <v>40634</v>
      </c>
      <c r="M9262" t="e">
        <v>#N/A</v>
      </c>
      <c r="N9262" s="1">
        <v>40179</v>
      </c>
    </row>
    <row r="9263" spans="11:14" x14ac:dyDescent="0.3">
      <c r="K9263" s="1">
        <v>40634</v>
      </c>
      <c r="M9263" t="e">
        <v>#N/A</v>
      </c>
      <c r="N9263" s="1">
        <v>40179</v>
      </c>
    </row>
    <row r="9264" spans="11:14" x14ac:dyDescent="0.3">
      <c r="K9264" s="1">
        <v>40634</v>
      </c>
      <c r="M9264" t="e">
        <v>#N/A</v>
      </c>
      <c r="N9264" s="1">
        <v>40179</v>
      </c>
    </row>
    <row r="9265" spans="11:14" x14ac:dyDescent="0.3">
      <c r="K9265" s="1">
        <v>40634</v>
      </c>
      <c r="M9265" t="e">
        <v>#N/A</v>
      </c>
      <c r="N9265" s="1">
        <v>40179</v>
      </c>
    </row>
    <row r="9266" spans="11:14" x14ac:dyDescent="0.3">
      <c r="K9266" s="1">
        <v>40634</v>
      </c>
      <c r="M9266" t="e">
        <v>#N/A</v>
      </c>
      <c r="N9266" s="1">
        <v>40179</v>
      </c>
    </row>
    <row r="9267" spans="11:14" x14ac:dyDescent="0.3">
      <c r="K9267" s="1">
        <v>40634</v>
      </c>
      <c r="M9267" t="e">
        <v>#N/A</v>
      </c>
      <c r="N9267" s="1">
        <v>40179</v>
      </c>
    </row>
    <row r="9268" spans="11:14" x14ac:dyDescent="0.3">
      <c r="K9268" s="1">
        <v>40634</v>
      </c>
      <c r="M9268" t="e">
        <v>#N/A</v>
      </c>
      <c r="N9268" s="1">
        <v>40179</v>
      </c>
    </row>
    <row r="9269" spans="11:14" x14ac:dyDescent="0.3">
      <c r="K9269" s="1">
        <v>40634</v>
      </c>
      <c r="M9269" t="e">
        <v>#N/A</v>
      </c>
      <c r="N9269" s="1">
        <v>40179</v>
      </c>
    </row>
    <row r="9270" spans="11:14" x14ac:dyDescent="0.3">
      <c r="K9270" s="1">
        <v>40634</v>
      </c>
      <c r="M9270" t="e">
        <v>#N/A</v>
      </c>
      <c r="N9270" s="1">
        <v>40179</v>
      </c>
    </row>
    <row r="9271" spans="11:14" x14ac:dyDescent="0.3">
      <c r="K9271" s="1">
        <v>40634</v>
      </c>
      <c r="M9271" t="e">
        <v>#N/A</v>
      </c>
      <c r="N9271" s="1">
        <v>40179</v>
      </c>
    </row>
    <row r="9272" spans="11:14" x14ac:dyDescent="0.3">
      <c r="K9272" s="1">
        <v>40634</v>
      </c>
      <c r="M9272" t="e">
        <v>#N/A</v>
      </c>
      <c r="N9272" s="1">
        <v>40179</v>
      </c>
    </row>
    <row r="9273" spans="11:14" x14ac:dyDescent="0.3">
      <c r="K9273" s="1">
        <v>40634</v>
      </c>
      <c r="M9273" t="e">
        <v>#N/A</v>
      </c>
      <c r="N9273" s="1">
        <v>40179</v>
      </c>
    </row>
    <row r="9274" spans="11:14" x14ac:dyDescent="0.3">
      <c r="K9274" s="1">
        <v>40634</v>
      </c>
      <c r="M9274" t="e">
        <v>#N/A</v>
      </c>
      <c r="N9274" s="1">
        <v>40179</v>
      </c>
    </row>
    <row r="9275" spans="11:14" x14ac:dyDescent="0.3">
      <c r="K9275" s="1">
        <v>40634</v>
      </c>
      <c r="M9275" t="e">
        <v>#N/A</v>
      </c>
      <c r="N9275" s="1">
        <v>40179</v>
      </c>
    </row>
    <row r="9276" spans="11:14" x14ac:dyDescent="0.3">
      <c r="K9276" s="1">
        <v>40634</v>
      </c>
      <c r="M9276" t="e">
        <v>#N/A</v>
      </c>
      <c r="N9276" s="1">
        <v>40179</v>
      </c>
    </row>
    <row r="9277" spans="11:14" x14ac:dyDescent="0.3">
      <c r="K9277" s="1">
        <v>40634</v>
      </c>
      <c r="M9277" t="e">
        <v>#N/A</v>
      </c>
      <c r="N9277" s="1">
        <v>40179</v>
      </c>
    </row>
    <row r="9278" spans="11:14" x14ac:dyDescent="0.3">
      <c r="K9278" s="1">
        <v>40634</v>
      </c>
      <c r="M9278" t="e">
        <v>#N/A</v>
      </c>
      <c r="N9278" s="1">
        <v>40179</v>
      </c>
    </row>
    <row r="9279" spans="11:14" x14ac:dyDescent="0.3">
      <c r="K9279" s="1">
        <v>40634</v>
      </c>
      <c r="M9279" t="e">
        <v>#N/A</v>
      </c>
      <c r="N9279" s="1">
        <v>40179</v>
      </c>
    </row>
    <row r="9280" spans="11:14" x14ac:dyDescent="0.3">
      <c r="K9280" s="1">
        <v>40634</v>
      </c>
      <c r="M9280" t="e">
        <v>#N/A</v>
      </c>
      <c r="N9280" s="1">
        <v>40179</v>
      </c>
    </row>
    <row r="9281" spans="11:14" x14ac:dyDescent="0.3">
      <c r="K9281" s="1">
        <v>40634</v>
      </c>
      <c r="M9281" t="e">
        <v>#N/A</v>
      </c>
      <c r="N9281" s="1">
        <v>40179</v>
      </c>
    </row>
    <row r="9282" spans="11:14" x14ac:dyDescent="0.3">
      <c r="K9282" s="1">
        <v>40634</v>
      </c>
      <c r="M9282" t="e">
        <v>#N/A</v>
      </c>
      <c r="N9282" s="1">
        <v>40179</v>
      </c>
    </row>
    <row r="9283" spans="11:14" x14ac:dyDescent="0.3">
      <c r="K9283" s="1">
        <v>40634</v>
      </c>
      <c r="M9283" t="e">
        <v>#N/A</v>
      </c>
      <c r="N9283" s="1">
        <v>40179</v>
      </c>
    </row>
    <row r="9284" spans="11:14" x14ac:dyDescent="0.3">
      <c r="K9284" s="1">
        <v>40634</v>
      </c>
      <c r="M9284" t="e">
        <v>#N/A</v>
      </c>
      <c r="N9284" s="1">
        <v>40179</v>
      </c>
    </row>
    <row r="9285" spans="11:14" x14ac:dyDescent="0.3">
      <c r="K9285" s="1">
        <v>40634</v>
      </c>
      <c r="M9285" t="e">
        <v>#N/A</v>
      </c>
      <c r="N9285" s="1">
        <v>40179</v>
      </c>
    </row>
    <row r="9286" spans="11:14" x14ac:dyDescent="0.3">
      <c r="K9286" s="1">
        <v>40634</v>
      </c>
      <c r="M9286" t="e">
        <v>#N/A</v>
      </c>
      <c r="N9286" s="1">
        <v>40179</v>
      </c>
    </row>
    <row r="9287" spans="11:14" x14ac:dyDescent="0.3">
      <c r="K9287" s="1">
        <v>40634</v>
      </c>
      <c r="M9287" t="e">
        <v>#N/A</v>
      </c>
      <c r="N9287" s="1">
        <v>40179</v>
      </c>
    </row>
    <row r="9288" spans="11:14" x14ac:dyDescent="0.3">
      <c r="K9288" s="1">
        <v>40634</v>
      </c>
      <c r="M9288" t="e">
        <v>#N/A</v>
      </c>
      <c r="N9288" s="1">
        <v>40179</v>
      </c>
    </row>
    <row r="9289" spans="11:14" x14ac:dyDescent="0.3">
      <c r="K9289" s="1">
        <v>40634</v>
      </c>
      <c r="M9289" t="e">
        <v>#N/A</v>
      </c>
      <c r="N9289" s="1">
        <v>40179</v>
      </c>
    </row>
    <row r="9290" spans="11:14" x14ac:dyDescent="0.3">
      <c r="K9290" s="1">
        <v>40634</v>
      </c>
      <c r="M9290" t="e">
        <v>#N/A</v>
      </c>
      <c r="N9290" s="1">
        <v>40179</v>
      </c>
    </row>
    <row r="9291" spans="11:14" x14ac:dyDescent="0.3">
      <c r="K9291" s="1">
        <v>40634</v>
      </c>
      <c r="M9291" t="e">
        <v>#N/A</v>
      </c>
      <c r="N9291" s="1">
        <v>40179</v>
      </c>
    </row>
    <row r="9292" spans="11:14" x14ac:dyDescent="0.3">
      <c r="K9292" s="1">
        <v>40634</v>
      </c>
      <c r="M9292" t="e">
        <v>#N/A</v>
      </c>
      <c r="N9292" s="1">
        <v>40179</v>
      </c>
    </row>
    <row r="9293" spans="11:14" x14ac:dyDescent="0.3">
      <c r="K9293" s="1">
        <v>40634</v>
      </c>
      <c r="M9293" t="e">
        <v>#N/A</v>
      </c>
      <c r="N9293" s="1">
        <v>40179</v>
      </c>
    </row>
    <row r="9294" spans="11:14" x14ac:dyDescent="0.3">
      <c r="K9294" s="1">
        <v>40634</v>
      </c>
      <c r="M9294" t="e">
        <v>#N/A</v>
      </c>
      <c r="N9294" s="1">
        <v>40179</v>
      </c>
    </row>
    <row r="9295" spans="11:14" x14ac:dyDescent="0.3">
      <c r="K9295" s="1">
        <v>40634</v>
      </c>
      <c r="M9295" t="e">
        <v>#N/A</v>
      </c>
      <c r="N9295" s="1">
        <v>40179</v>
      </c>
    </row>
    <row r="9296" spans="11:14" x14ac:dyDescent="0.3">
      <c r="K9296" s="1">
        <v>40634</v>
      </c>
      <c r="M9296" t="e">
        <v>#N/A</v>
      </c>
      <c r="N9296" s="1">
        <v>40179</v>
      </c>
    </row>
    <row r="9297" spans="11:14" x14ac:dyDescent="0.3">
      <c r="K9297" s="1">
        <v>40634</v>
      </c>
      <c r="M9297" t="e">
        <v>#N/A</v>
      </c>
      <c r="N9297" s="1">
        <v>40179</v>
      </c>
    </row>
    <row r="9298" spans="11:14" x14ac:dyDescent="0.3">
      <c r="K9298" s="1">
        <v>40634</v>
      </c>
      <c r="M9298" t="e">
        <v>#N/A</v>
      </c>
      <c r="N9298" s="1">
        <v>40179</v>
      </c>
    </row>
    <row r="9299" spans="11:14" x14ac:dyDescent="0.3">
      <c r="K9299" s="1">
        <v>40634</v>
      </c>
      <c r="M9299" t="e">
        <v>#N/A</v>
      </c>
      <c r="N9299" s="1">
        <v>40179</v>
      </c>
    </row>
    <row r="9300" spans="11:14" x14ac:dyDescent="0.3">
      <c r="K9300" s="1">
        <v>40634</v>
      </c>
      <c r="M9300" t="e">
        <v>#N/A</v>
      </c>
      <c r="N9300" s="1">
        <v>40179</v>
      </c>
    </row>
    <row r="9301" spans="11:14" x14ac:dyDescent="0.3">
      <c r="K9301" s="1">
        <v>40634</v>
      </c>
      <c r="M9301" t="e">
        <v>#N/A</v>
      </c>
      <c r="N9301" s="1">
        <v>40179</v>
      </c>
    </row>
    <row r="9302" spans="11:14" x14ac:dyDescent="0.3">
      <c r="K9302" s="1">
        <v>40634</v>
      </c>
      <c r="M9302" t="e">
        <v>#N/A</v>
      </c>
      <c r="N9302" s="1">
        <v>40179</v>
      </c>
    </row>
    <row r="9303" spans="11:14" x14ac:dyDescent="0.3">
      <c r="K9303" s="1">
        <v>40634</v>
      </c>
      <c r="M9303" t="e">
        <v>#N/A</v>
      </c>
      <c r="N9303" s="1">
        <v>40179</v>
      </c>
    </row>
    <row r="9304" spans="11:14" x14ac:dyDescent="0.3">
      <c r="K9304" s="1">
        <v>40634</v>
      </c>
      <c r="M9304" t="e">
        <v>#N/A</v>
      </c>
      <c r="N9304" s="1">
        <v>40179</v>
      </c>
    </row>
    <row r="9305" spans="11:14" x14ac:dyDescent="0.3">
      <c r="K9305" s="1">
        <v>40634</v>
      </c>
      <c r="M9305" t="e">
        <v>#N/A</v>
      </c>
      <c r="N9305" s="1">
        <v>40179</v>
      </c>
    </row>
    <row r="9306" spans="11:14" x14ac:dyDescent="0.3">
      <c r="K9306" s="1">
        <v>40634</v>
      </c>
      <c r="M9306" t="e">
        <v>#N/A</v>
      </c>
      <c r="N9306" s="1">
        <v>40179</v>
      </c>
    </row>
    <row r="9307" spans="11:14" x14ac:dyDescent="0.3">
      <c r="K9307" s="1">
        <v>40634</v>
      </c>
      <c r="M9307" t="e">
        <v>#N/A</v>
      </c>
      <c r="N9307" s="1">
        <v>40179</v>
      </c>
    </row>
    <row r="9308" spans="11:14" x14ac:dyDescent="0.3">
      <c r="K9308" s="1">
        <v>40634</v>
      </c>
      <c r="M9308" t="e">
        <v>#N/A</v>
      </c>
      <c r="N9308" s="1">
        <v>40179</v>
      </c>
    </row>
    <row r="9309" spans="11:14" x14ac:dyDescent="0.3">
      <c r="K9309" s="1">
        <v>40634</v>
      </c>
      <c r="M9309" t="e">
        <v>#N/A</v>
      </c>
      <c r="N9309" s="1">
        <v>40179</v>
      </c>
    </row>
    <row r="9310" spans="11:14" x14ac:dyDescent="0.3">
      <c r="K9310" s="1">
        <v>40634</v>
      </c>
      <c r="M9310" t="e">
        <v>#N/A</v>
      </c>
      <c r="N9310" s="1">
        <v>40179</v>
      </c>
    </row>
    <row r="9311" spans="11:14" x14ac:dyDescent="0.3">
      <c r="K9311" s="1">
        <v>40634</v>
      </c>
      <c r="M9311" t="e">
        <v>#N/A</v>
      </c>
      <c r="N9311" s="1">
        <v>40179</v>
      </c>
    </row>
    <row r="9312" spans="11:14" x14ac:dyDescent="0.3">
      <c r="K9312" s="1">
        <v>40634</v>
      </c>
      <c r="M9312" t="e">
        <v>#N/A</v>
      </c>
      <c r="N9312" s="1">
        <v>40179</v>
      </c>
    </row>
    <row r="9313" spans="11:14" x14ac:dyDescent="0.3">
      <c r="K9313" s="1">
        <v>40634</v>
      </c>
      <c r="M9313" t="e">
        <v>#N/A</v>
      </c>
      <c r="N9313" s="1">
        <v>40179</v>
      </c>
    </row>
    <row r="9314" spans="11:14" x14ac:dyDescent="0.3">
      <c r="K9314" s="1">
        <v>40634</v>
      </c>
      <c r="M9314" t="e">
        <v>#N/A</v>
      </c>
      <c r="N9314" s="1">
        <v>40179</v>
      </c>
    </row>
    <row r="9315" spans="11:14" x14ac:dyDescent="0.3">
      <c r="K9315" s="1">
        <v>40634</v>
      </c>
      <c r="M9315" t="e">
        <v>#N/A</v>
      </c>
      <c r="N9315" s="1">
        <v>40179</v>
      </c>
    </row>
    <row r="9316" spans="11:14" x14ac:dyDescent="0.3">
      <c r="K9316" s="1">
        <v>40634</v>
      </c>
      <c r="M9316" t="e">
        <v>#N/A</v>
      </c>
      <c r="N9316" s="1">
        <v>40179</v>
      </c>
    </row>
    <row r="9317" spans="11:14" x14ac:dyDescent="0.3">
      <c r="K9317" s="1">
        <v>40634</v>
      </c>
      <c r="M9317" t="e">
        <v>#N/A</v>
      </c>
      <c r="N9317" s="1">
        <v>40179</v>
      </c>
    </row>
    <row r="9318" spans="11:14" x14ac:dyDescent="0.3">
      <c r="K9318" s="1">
        <v>40634</v>
      </c>
      <c r="M9318" t="e">
        <v>#N/A</v>
      </c>
      <c r="N9318" s="1">
        <v>40179</v>
      </c>
    </row>
    <row r="9319" spans="11:14" x14ac:dyDescent="0.3">
      <c r="K9319" s="1">
        <v>40634</v>
      </c>
      <c r="M9319" t="e">
        <v>#N/A</v>
      </c>
      <c r="N9319" s="1">
        <v>40179</v>
      </c>
    </row>
    <row r="9320" spans="11:14" x14ac:dyDescent="0.3">
      <c r="K9320" s="1">
        <v>40634</v>
      </c>
      <c r="M9320" t="e">
        <v>#N/A</v>
      </c>
      <c r="N9320" s="1">
        <v>40179</v>
      </c>
    </row>
    <row r="9321" spans="11:14" x14ac:dyDescent="0.3">
      <c r="K9321" s="1">
        <v>40634</v>
      </c>
      <c r="M9321" t="e">
        <v>#N/A</v>
      </c>
      <c r="N9321" s="1">
        <v>40179</v>
      </c>
    </row>
    <row r="9322" spans="11:14" x14ac:dyDescent="0.3">
      <c r="K9322" s="1">
        <v>40634</v>
      </c>
      <c r="M9322" t="e">
        <v>#N/A</v>
      </c>
      <c r="N9322" s="1">
        <v>40179</v>
      </c>
    </row>
    <row r="9323" spans="11:14" x14ac:dyDescent="0.3">
      <c r="K9323" s="1">
        <v>40634</v>
      </c>
      <c r="M9323" t="e">
        <v>#N/A</v>
      </c>
      <c r="N9323" s="1">
        <v>40179</v>
      </c>
    </row>
    <row r="9324" spans="11:14" x14ac:dyDescent="0.3">
      <c r="K9324" s="1">
        <v>40634</v>
      </c>
      <c r="M9324" t="e">
        <v>#N/A</v>
      </c>
      <c r="N9324" s="1">
        <v>40179</v>
      </c>
    </row>
    <row r="9325" spans="11:14" x14ac:dyDescent="0.3">
      <c r="K9325" s="1">
        <v>40634</v>
      </c>
      <c r="M9325" t="e">
        <v>#N/A</v>
      </c>
      <c r="N9325" s="1">
        <v>40179</v>
      </c>
    </row>
    <row r="9326" spans="11:14" x14ac:dyDescent="0.3">
      <c r="K9326" s="1">
        <v>40634</v>
      </c>
      <c r="M9326" t="e">
        <v>#N/A</v>
      </c>
      <c r="N9326" s="1">
        <v>40179</v>
      </c>
    </row>
    <row r="9327" spans="11:14" x14ac:dyDescent="0.3">
      <c r="K9327" s="1">
        <v>40634</v>
      </c>
      <c r="M9327" t="e">
        <v>#N/A</v>
      </c>
      <c r="N9327" s="1">
        <v>40179</v>
      </c>
    </row>
    <row r="9328" spans="11:14" x14ac:dyDescent="0.3">
      <c r="K9328" s="1">
        <v>40634</v>
      </c>
      <c r="M9328" t="e">
        <v>#N/A</v>
      </c>
      <c r="N9328" s="1">
        <v>40179</v>
      </c>
    </row>
    <row r="9329" spans="11:14" x14ac:dyDescent="0.3">
      <c r="K9329" s="1">
        <v>40634</v>
      </c>
      <c r="M9329" t="e">
        <v>#N/A</v>
      </c>
      <c r="N9329" s="1">
        <v>40179</v>
      </c>
    </row>
    <row r="9330" spans="11:14" x14ac:dyDescent="0.3">
      <c r="K9330" s="1">
        <v>40634</v>
      </c>
      <c r="M9330" t="e">
        <v>#N/A</v>
      </c>
      <c r="N9330" s="1">
        <v>40179</v>
      </c>
    </row>
    <row r="9331" spans="11:14" x14ac:dyDescent="0.3">
      <c r="K9331" s="1">
        <v>40634</v>
      </c>
      <c r="M9331" t="e">
        <v>#N/A</v>
      </c>
      <c r="N9331" s="1">
        <v>40179</v>
      </c>
    </row>
    <row r="9332" spans="11:14" x14ac:dyDescent="0.3">
      <c r="K9332" s="1">
        <v>40634</v>
      </c>
      <c r="M9332" t="e">
        <v>#N/A</v>
      </c>
      <c r="N9332" s="1">
        <v>40179</v>
      </c>
    </row>
    <row r="9333" spans="11:14" x14ac:dyDescent="0.3">
      <c r="K9333" s="1">
        <v>40634</v>
      </c>
      <c r="M9333" t="e">
        <v>#N/A</v>
      </c>
      <c r="N9333" s="1">
        <v>40179</v>
      </c>
    </row>
    <row r="9334" spans="11:14" x14ac:dyDescent="0.3">
      <c r="K9334" s="1">
        <v>40634</v>
      </c>
      <c r="M9334" t="e">
        <v>#N/A</v>
      </c>
      <c r="N9334" s="1">
        <v>40179</v>
      </c>
    </row>
    <row r="9335" spans="11:14" x14ac:dyDescent="0.3">
      <c r="K9335" s="1">
        <v>40634</v>
      </c>
      <c r="M9335" t="e">
        <v>#N/A</v>
      </c>
      <c r="N9335" s="1">
        <v>40179</v>
      </c>
    </row>
    <row r="9336" spans="11:14" x14ac:dyDescent="0.3">
      <c r="K9336" s="1">
        <v>40634</v>
      </c>
      <c r="M9336" t="e">
        <v>#N/A</v>
      </c>
      <c r="N9336" s="1">
        <v>40179</v>
      </c>
    </row>
    <row r="9337" spans="11:14" x14ac:dyDescent="0.3">
      <c r="K9337" s="1">
        <v>40634</v>
      </c>
      <c r="M9337" t="e">
        <v>#N/A</v>
      </c>
      <c r="N9337" s="1">
        <v>40179</v>
      </c>
    </row>
    <row r="9338" spans="11:14" x14ac:dyDescent="0.3">
      <c r="K9338" s="1">
        <v>40634</v>
      </c>
      <c r="M9338" t="e">
        <v>#N/A</v>
      </c>
      <c r="N9338" s="1">
        <v>40179</v>
      </c>
    </row>
    <row r="9339" spans="11:14" x14ac:dyDescent="0.3">
      <c r="K9339" s="1">
        <v>40634</v>
      </c>
      <c r="M9339" t="e">
        <v>#N/A</v>
      </c>
      <c r="N9339" s="1">
        <v>40179</v>
      </c>
    </row>
    <row r="9340" spans="11:14" x14ac:dyDescent="0.3">
      <c r="K9340" s="1">
        <v>40634</v>
      </c>
      <c r="M9340" t="e">
        <v>#N/A</v>
      </c>
      <c r="N9340" s="1">
        <v>40179</v>
      </c>
    </row>
    <row r="9341" spans="11:14" x14ac:dyDescent="0.3">
      <c r="K9341" s="1">
        <v>40634</v>
      </c>
      <c r="M9341" t="e">
        <v>#N/A</v>
      </c>
      <c r="N9341" s="1">
        <v>40179</v>
      </c>
    </row>
    <row r="9342" spans="11:14" x14ac:dyDescent="0.3">
      <c r="K9342" s="1">
        <v>40634</v>
      </c>
      <c r="M9342" t="e">
        <v>#N/A</v>
      </c>
      <c r="N9342" s="1">
        <v>40179</v>
      </c>
    </row>
    <row r="9343" spans="11:14" x14ac:dyDescent="0.3">
      <c r="K9343" s="1">
        <v>40634</v>
      </c>
      <c r="M9343" t="e">
        <v>#N/A</v>
      </c>
      <c r="N9343" s="1">
        <v>40179</v>
      </c>
    </row>
    <row r="9344" spans="11:14" x14ac:dyDescent="0.3">
      <c r="K9344" s="1">
        <v>40634</v>
      </c>
      <c r="M9344" t="e">
        <v>#N/A</v>
      </c>
      <c r="N9344" s="1">
        <v>40179</v>
      </c>
    </row>
    <row r="9345" spans="11:14" x14ac:dyDescent="0.3">
      <c r="K9345" s="1">
        <v>40634</v>
      </c>
      <c r="M9345" t="e">
        <v>#N/A</v>
      </c>
      <c r="N9345" s="1">
        <v>40179</v>
      </c>
    </row>
    <row r="9346" spans="11:14" x14ac:dyDescent="0.3">
      <c r="K9346" s="1">
        <v>40634</v>
      </c>
      <c r="M9346" t="e">
        <v>#N/A</v>
      </c>
      <c r="N9346" s="1">
        <v>40179</v>
      </c>
    </row>
    <row r="9347" spans="11:14" x14ac:dyDescent="0.3">
      <c r="K9347" s="1">
        <v>40634</v>
      </c>
      <c r="M9347" t="e">
        <v>#N/A</v>
      </c>
      <c r="N9347" s="1">
        <v>40179</v>
      </c>
    </row>
    <row r="9348" spans="11:14" x14ac:dyDescent="0.3">
      <c r="K9348" s="1">
        <v>40634</v>
      </c>
      <c r="M9348" t="e">
        <v>#N/A</v>
      </c>
      <c r="N9348" s="1">
        <v>40179</v>
      </c>
    </row>
    <row r="9349" spans="11:14" x14ac:dyDescent="0.3">
      <c r="K9349" s="1">
        <v>40634</v>
      </c>
      <c r="M9349" t="e">
        <v>#N/A</v>
      </c>
      <c r="N9349" s="1">
        <v>40179</v>
      </c>
    </row>
    <row r="9350" spans="11:14" x14ac:dyDescent="0.3">
      <c r="K9350" s="1">
        <v>40634</v>
      </c>
      <c r="M9350" t="e">
        <v>#N/A</v>
      </c>
      <c r="N9350" s="1">
        <v>40179</v>
      </c>
    </row>
    <row r="9351" spans="11:14" x14ac:dyDescent="0.3">
      <c r="K9351" s="1">
        <v>40634</v>
      </c>
      <c r="M9351" t="e">
        <v>#N/A</v>
      </c>
      <c r="N9351" s="1">
        <v>40179</v>
      </c>
    </row>
    <row r="9352" spans="11:14" x14ac:dyDescent="0.3">
      <c r="K9352" s="1">
        <v>40634</v>
      </c>
      <c r="M9352" t="e">
        <v>#N/A</v>
      </c>
      <c r="N9352" s="1">
        <v>40179</v>
      </c>
    </row>
    <row r="9353" spans="11:14" x14ac:dyDescent="0.3">
      <c r="K9353" s="1">
        <v>40634</v>
      </c>
      <c r="M9353" t="e">
        <v>#N/A</v>
      </c>
      <c r="N9353" s="1">
        <v>40179</v>
      </c>
    </row>
    <row r="9354" spans="11:14" x14ac:dyDescent="0.3">
      <c r="K9354" s="1">
        <v>40634</v>
      </c>
      <c r="M9354" t="e">
        <v>#N/A</v>
      </c>
      <c r="N9354" s="1">
        <v>40179</v>
      </c>
    </row>
    <row r="9355" spans="11:14" x14ac:dyDescent="0.3">
      <c r="K9355" s="1">
        <v>40634</v>
      </c>
      <c r="M9355" t="e">
        <v>#N/A</v>
      </c>
      <c r="N9355" s="1">
        <v>40179</v>
      </c>
    </row>
    <row r="9356" spans="11:14" x14ac:dyDescent="0.3">
      <c r="K9356" s="1">
        <v>40634</v>
      </c>
      <c r="M9356" t="e">
        <v>#N/A</v>
      </c>
      <c r="N9356" s="1">
        <v>40179</v>
      </c>
    </row>
    <row r="9357" spans="11:14" x14ac:dyDescent="0.3">
      <c r="K9357" s="1">
        <v>40634</v>
      </c>
      <c r="M9357" t="e">
        <v>#N/A</v>
      </c>
      <c r="N9357" s="1">
        <v>40179</v>
      </c>
    </row>
    <row r="9358" spans="11:14" x14ac:dyDescent="0.3">
      <c r="K9358" s="1">
        <v>40634</v>
      </c>
      <c r="M9358" t="e">
        <v>#N/A</v>
      </c>
      <c r="N9358" s="1">
        <v>40179</v>
      </c>
    </row>
    <row r="9359" spans="11:14" x14ac:dyDescent="0.3">
      <c r="K9359" s="1">
        <v>40634</v>
      </c>
      <c r="M9359" t="e">
        <v>#N/A</v>
      </c>
      <c r="N9359" s="1">
        <v>40179</v>
      </c>
    </row>
    <row r="9360" spans="11:14" x14ac:dyDescent="0.3">
      <c r="K9360" s="1">
        <v>40634</v>
      </c>
      <c r="M9360" t="e">
        <v>#N/A</v>
      </c>
      <c r="N9360" s="1">
        <v>40179</v>
      </c>
    </row>
    <row r="9361" spans="11:14" x14ac:dyDescent="0.3">
      <c r="K9361" s="1">
        <v>40634</v>
      </c>
      <c r="M9361" t="e">
        <v>#N/A</v>
      </c>
      <c r="N9361" s="1">
        <v>40179</v>
      </c>
    </row>
    <row r="9362" spans="11:14" x14ac:dyDescent="0.3">
      <c r="K9362" s="1">
        <v>40634</v>
      </c>
      <c r="M9362" t="e">
        <v>#N/A</v>
      </c>
      <c r="N9362" s="1">
        <v>40269</v>
      </c>
    </row>
    <row r="9363" spans="11:14" x14ac:dyDescent="0.3">
      <c r="K9363" s="1">
        <v>40634</v>
      </c>
      <c r="M9363" t="e">
        <v>#N/A</v>
      </c>
      <c r="N9363" s="1">
        <v>40269</v>
      </c>
    </row>
    <row r="9364" spans="11:14" x14ac:dyDescent="0.3">
      <c r="K9364" s="1">
        <v>40634</v>
      </c>
      <c r="M9364" t="e">
        <v>#N/A</v>
      </c>
      <c r="N9364" s="1">
        <v>40269</v>
      </c>
    </row>
    <row r="9365" spans="11:14" x14ac:dyDescent="0.3">
      <c r="K9365" s="1">
        <v>40634</v>
      </c>
      <c r="M9365" t="e">
        <v>#N/A</v>
      </c>
      <c r="N9365" s="1">
        <v>40269</v>
      </c>
    </row>
    <row r="9366" spans="11:14" x14ac:dyDescent="0.3">
      <c r="K9366" s="1">
        <v>40634</v>
      </c>
      <c r="M9366" t="e">
        <v>#N/A</v>
      </c>
      <c r="N9366" s="1">
        <v>40269</v>
      </c>
    </row>
    <row r="9367" spans="11:14" x14ac:dyDescent="0.3">
      <c r="K9367" s="1">
        <v>40634</v>
      </c>
      <c r="M9367" t="e">
        <v>#N/A</v>
      </c>
      <c r="N9367" s="1">
        <v>40269</v>
      </c>
    </row>
    <row r="9368" spans="11:14" x14ac:dyDescent="0.3">
      <c r="K9368" s="1">
        <v>40634</v>
      </c>
      <c r="M9368" t="e">
        <v>#N/A</v>
      </c>
      <c r="N9368" s="1">
        <v>40269</v>
      </c>
    </row>
    <row r="9369" spans="11:14" x14ac:dyDescent="0.3">
      <c r="K9369" s="1">
        <v>40634</v>
      </c>
      <c r="M9369" t="e">
        <v>#N/A</v>
      </c>
      <c r="N9369" s="1">
        <v>40269</v>
      </c>
    </row>
    <row r="9370" spans="11:14" x14ac:dyDescent="0.3">
      <c r="K9370" s="1">
        <v>40634</v>
      </c>
      <c r="M9370" t="e">
        <v>#N/A</v>
      </c>
      <c r="N9370" s="1">
        <v>40269</v>
      </c>
    </row>
    <row r="9371" spans="11:14" x14ac:dyDescent="0.3">
      <c r="K9371" s="1">
        <v>40634</v>
      </c>
      <c r="M9371" t="e">
        <v>#N/A</v>
      </c>
      <c r="N9371" s="1">
        <v>40269</v>
      </c>
    </row>
    <row r="9372" spans="11:14" x14ac:dyDescent="0.3">
      <c r="K9372" s="1">
        <v>40634</v>
      </c>
      <c r="M9372" t="e">
        <v>#N/A</v>
      </c>
      <c r="N9372" s="1">
        <v>40269</v>
      </c>
    </row>
    <row r="9373" spans="11:14" x14ac:dyDescent="0.3">
      <c r="K9373" s="1">
        <v>40634</v>
      </c>
      <c r="M9373" t="e">
        <v>#N/A</v>
      </c>
      <c r="N9373" s="1">
        <v>40269</v>
      </c>
    </row>
    <row r="9374" spans="11:14" x14ac:dyDescent="0.3">
      <c r="K9374" s="1">
        <v>40634</v>
      </c>
      <c r="M9374" t="e">
        <v>#N/A</v>
      </c>
      <c r="N9374" s="1">
        <v>40269</v>
      </c>
    </row>
    <row r="9375" spans="11:14" x14ac:dyDescent="0.3">
      <c r="K9375" s="1">
        <v>40634</v>
      </c>
      <c r="M9375" t="e">
        <v>#N/A</v>
      </c>
      <c r="N9375" s="1">
        <v>40269</v>
      </c>
    </row>
    <row r="9376" spans="11:14" x14ac:dyDescent="0.3">
      <c r="K9376" s="1">
        <v>40634</v>
      </c>
      <c r="M9376" t="e">
        <v>#N/A</v>
      </c>
      <c r="N9376" s="1">
        <v>40269</v>
      </c>
    </row>
    <row r="9377" spans="11:14" x14ac:dyDescent="0.3">
      <c r="K9377" s="1">
        <v>40634</v>
      </c>
      <c r="M9377" t="e">
        <v>#N/A</v>
      </c>
      <c r="N9377" s="1">
        <v>40269</v>
      </c>
    </row>
    <row r="9378" spans="11:14" x14ac:dyDescent="0.3">
      <c r="K9378" s="1">
        <v>40634</v>
      </c>
      <c r="M9378" t="e">
        <v>#N/A</v>
      </c>
      <c r="N9378" s="1">
        <v>40269</v>
      </c>
    </row>
    <row r="9379" spans="11:14" x14ac:dyDescent="0.3">
      <c r="K9379" s="1">
        <v>40634</v>
      </c>
      <c r="M9379" t="e">
        <v>#N/A</v>
      </c>
      <c r="N9379" s="1">
        <v>40269</v>
      </c>
    </row>
    <row r="9380" spans="11:14" x14ac:dyDescent="0.3">
      <c r="K9380" s="1">
        <v>40634</v>
      </c>
      <c r="M9380" t="e">
        <v>#N/A</v>
      </c>
      <c r="N9380" s="1">
        <v>40269</v>
      </c>
    </row>
    <row r="9381" spans="11:14" x14ac:dyDescent="0.3">
      <c r="K9381" s="1">
        <v>40634</v>
      </c>
      <c r="M9381" t="e">
        <v>#N/A</v>
      </c>
      <c r="N9381" s="1">
        <v>40269</v>
      </c>
    </row>
    <row r="9382" spans="11:14" x14ac:dyDescent="0.3">
      <c r="K9382" s="1">
        <v>40634</v>
      </c>
      <c r="M9382" t="e">
        <v>#N/A</v>
      </c>
      <c r="N9382" s="1">
        <v>40269</v>
      </c>
    </row>
    <row r="9383" spans="11:14" x14ac:dyDescent="0.3">
      <c r="K9383" s="1">
        <v>40634</v>
      </c>
      <c r="M9383" t="e">
        <v>#N/A</v>
      </c>
      <c r="N9383" s="1">
        <v>40269</v>
      </c>
    </row>
    <row r="9384" spans="11:14" x14ac:dyDescent="0.3">
      <c r="K9384" s="1">
        <v>40634</v>
      </c>
      <c r="M9384" t="e">
        <v>#N/A</v>
      </c>
      <c r="N9384" s="1">
        <v>40269</v>
      </c>
    </row>
    <row r="9385" spans="11:14" x14ac:dyDescent="0.3">
      <c r="K9385" s="1">
        <v>40634</v>
      </c>
      <c r="M9385" t="e">
        <v>#N/A</v>
      </c>
      <c r="N9385" s="1">
        <v>40269</v>
      </c>
    </row>
    <row r="9386" spans="11:14" x14ac:dyDescent="0.3">
      <c r="K9386" s="1">
        <v>40634</v>
      </c>
      <c r="M9386" t="e">
        <v>#N/A</v>
      </c>
      <c r="N9386" s="1">
        <v>40269</v>
      </c>
    </row>
    <row r="9387" spans="11:14" x14ac:dyDescent="0.3">
      <c r="K9387" s="1">
        <v>40634</v>
      </c>
      <c r="M9387" t="e">
        <v>#N/A</v>
      </c>
      <c r="N9387" s="1">
        <v>40269</v>
      </c>
    </row>
    <row r="9388" spans="11:14" x14ac:dyDescent="0.3">
      <c r="K9388" s="1">
        <v>40634</v>
      </c>
      <c r="M9388" t="e">
        <v>#N/A</v>
      </c>
      <c r="N9388" s="1">
        <v>40269</v>
      </c>
    </row>
    <row r="9389" spans="11:14" x14ac:dyDescent="0.3">
      <c r="K9389" s="1">
        <v>40634</v>
      </c>
      <c r="M9389" t="e">
        <v>#N/A</v>
      </c>
      <c r="N9389" s="1">
        <v>40269</v>
      </c>
    </row>
    <row r="9390" spans="11:14" x14ac:dyDescent="0.3">
      <c r="K9390" s="1">
        <v>40634</v>
      </c>
      <c r="M9390" t="e">
        <v>#N/A</v>
      </c>
      <c r="N9390" s="1">
        <v>40269</v>
      </c>
    </row>
    <row r="9391" spans="11:14" x14ac:dyDescent="0.3">
      <c r="K9391" s="1">
        <v>40634</v>
      </c>
      <c r="M9391" t="e">
        <v>#N/A</v>
      </c>
      <c r="N9391" s="1">
        <v>40269</v>
      </c>
    </row>
    <row r="9392" spans="11:14" x14ac:dyDescent="0.3">
      <c r="K9392" s="1">
        <v>40634</v>
      </c>
      <c r="M9392" t="e">
        <v>#N/A</v>
      </c>
      <c r="N9392" s="1">
        <v>40269</v>
      </c>
    </row>
    <row r="9393" spans="11:14" x14ac:dyDescent="0.3">
      <c r="K9393" s="1">
        <v>40634</v>
      </c>
      <c r="M9393" t="e">
        <v>#N/A</v>
      </c>
      <c r="N9393" s="1">
        <v>40269</v>
      </c>
    </row>
    <row r="9394" spans="11:14" x14ac:dyDescent="0.3">
      <c r="K9394" s="1">
        <v>40634</v>
      </c>
      <c r="M9394" t="e">
        <v>#N/A</v>
      </c>
      <c r="N9394" s="1">
        <v>40269</v>
      </c>
    </row>
    <row r="9395" spans="11:14" x14ac:dyDescent="0.3">
      <c r="K9395" s="1">
        <v>40634</v>
      </c>
      <c r="M9395" t="e">
        <v>#N/A</v>
      </c>
      <c r="N9395" s="1">
        <v>40269</v>
      </c>
    </row>
    <row r="9396" spans="11:14" x14ac:dyDescent="0.3">
      <c r="K9396" s="1">
        <v>40634</v>
      </c>
      <c r="M9396" t="e">
        <v>#N/A</v>
      </c>
      <c r="N9396" s="1">
        <v>40269</v>
      </c>
    </row>
    <row r="9397" spans="11:14" x14ac:dyDescent="0.3">
      <c r="K9397" s="1">
        <v>40634</v>
      </c>
      <c r="M9397" t="e">
        <v>#N/A</v>
      </c>
      <c r="N9397" s="1">
        <v>40269</v>
      </c>
    </row>
    <row r="9398" spans="11:14" x14ac:dyDescent="0.3">
      <c r="K9398" s="1">
        <v>40634</v>
      </c>
      <c r="M9398" t="e">
        <v>#N/A</v>
      </c>
      <c r="N9398" s="1">
        <v>40269</v>
      </c>
    </row>
    <row r="9399" spans="11:14" x14ac:dyDescent="0.3">
      <c r="K9399" s="1">
        <v>40634</v>
      </c>
      <c r="M9399" t="e">
        <v>#N/A</v>
      </c>
      <c r="N9399" s="1">
        <v>40269</v>
      </c>
    </row>
    <row r="9400" spans="11:14" x14ac:dyDescent="0.3">
      <c r="K9400" s="1">
        <v>40634</v>
      </c>
      <c r="M9400" t="e">
        <v>#N/A</v>
      </c>
      <c r="N9400" s="1">
        <v>40269</v>
      </c>
    </row>
    <row r="9401" spans="11:14" x14ac:dyDescent="0.3">
      <c r="K9401" s="1">
        <v>40634</v>
      </c>
      <c r="M9401" t="e">
        <v>#N/A</v>
      </c>
      <c r="N9401" s="1">
        <v>40269</v>
      </c>
    </row>
    <row r="9402" spans="11:14" x14ac:dyDescent="0.3">
      <c r="K9402" s="1">
        <v>40634</v>
      </c>
      <c r="M9402" t="e">
        <v>#N/A</v>
      </c>
      <c r="N9402" s="1">
        <v>40269</v>
      </c>
    </row>
    <row r="9403" spans="11:14" x14ac:dyDescent="0.3">
      <c r="K9403" s="1">
        <v>40634</v>
      </c>
      <c r="M9403" t="e">
        <v>#N/A</v>
      </c>
      <c r="N9403" s="1">
        <v>40269</v>
      </c>
    </row>
    <row r="9404" spans="11:14" x14ac:dyDescent="0.3">
      <c r="K9404" s="1">
        <v>40634</v>
      </c>
      <c r="M9404" t="e">
        <v>#N/A</v>
      </c>
      <c r="N9404" s="1">
        <v>40269</v>
      </c>
    </row>
    <row r="9405" spans="11:14" x14ac:dyDescent="0.3">
      <c r="K9405" s="1">
        <v>40634</v>
      </c>
      <c r="M9405" t="e">
        <v>#N/A</v>
      </c>
      <c r="N9405" s="1">
        <v>40269</v>
      </c>
    </row>
    <row r="9406" spans="11:14" x14ac:dyDescent="0.3">
      <c r="K9406" s="1">
        <v>40634</v>
      </c>
      <c r="M9406" t="e">
        <v>#N/A</v>
      </c>
      <c r="N9406" s="1">
        <v>40269</v>
      </c>
    </row>
    <row r="9407" spans="11:14" x14ac:dyDescent="0.3">
      <c r="K9407" s="1">
        <v>40634</v>
      </c>
      <c r="M9407" t="e">
        <v>#N/A</v>
      </c>
      <c r="N9407" s="1">
        <v>40269</v>
      </c>
    </row>
    <row r="9408" spans="11:14" x14ac:dyDescent="0.3">
      <c r="K9408" s="1">
        <v>40634</v>
      </c>
      <c r="M9408" t="e">
        <v>#N/A</v>
      </c>
      <c r="N9408" s="1">
        <v>40269</v>
      </c>
    </row>
    <row r="9409" spans="11:14" x14ac:dyDescent="0.3">
      <c r="K9409" s="1">
        <v>40634</v>
      </c>
      <c r="M9409" t="e">
        <v>#N/A</v>
      </c>
      <c r="N9409" s="1">
        <v>40269</v>
      </c>
    </row>
    <row r="9410" spans="11:14" x14ac:dyDescent="0.3">
      <c r="K9410" s="1">
        <v>40634</v>
      </c>
      <c r="M9410" t="e">
        <v>#N/A</v>
      </c>
      <c r="N9410" s="1">
        <v>40269</v>
      </c>
    </row>
    <row r="9411" spans="11:14" x14ac:dyDescent="0.3">
      <c r="K9411" s="1">
        <v>40634</v>
      </c>
      <c r="M9411" t="e">
        <v>#N/A</v>
      </c>
      <c r="N9411" s="1">
        <v>40269</v>
      </c>
    </row>
    <row r="9412" spans="11:14" x14ac:dyDescent="0.3">
      <c r="K9412" s="1">
        <v>40634</v>
      </c>
      <c r="M9412" t="e">
        <v>#N/A</v>
      </c>
      <c r="N9412" s="1">
        <v>40269</v>
      </c>
    </row>
    <row r="9413" spans="11:14" x14ac:dyDescent="0.3">
      <c r="K9413" s="1">
        <v>40634</v>
      </c>
      <c r="M9413" t="e">
        <v>#N/A</v>
      </c>
      <c r="N9413" s="1">
        <v>40269</v>
      </c>
    </row>
    <row r="9414" spans="11:14" x14ac:dyDescent="0.3">
      <c r="K9414" s="1">
        <v>40634</v>
      </c>
      <c r="M9414" t="e">
        <v>#N/A</v>
      </c>
      <c r="N9414" s="1">
        <v>40269</v>
      </c>
    </row>
    <row r="9415" spans="11:14" x14ac:dyDescent="0.3">
      <c r="K9415" s="1">
        <v>40634</v>
      </c>
      <c r="M9415" t="e">
        <v>#N/A</v>
      </c>
      <c r="N9415" s="1">
        <v>40269</v>
      </c>
    </row>
    <row r="9416" spans="11:14" x14ac:dyDescent="0.3">
      <c r="K9416" s="1">
        <v>40634</v>
      </c>
      <c r="M9416" t="e">
        <v>#N/A</v>
      </c>
      <c r="N9416" s="1">
        <v>40269</v>
      </c>
    </row>
    <row r="9417" spans="11:14" x14ac:dyDescent="0.3">
      <c r="K9417" s="1">
        <v>40634</v>
      </c>
      <c r="M9417" t="e">
        <v>#N/A</v>
      </c>
      <c r="N9417" s="1">
        <v>40269</v>
      </c>
    </row>
    <row r="9418" spans="11:14" x14ac:dyDescent="0.3">
      <c r="K9418" s="1">
        <v>40634</v>
      </c>
      <c r="M9418" t="e">
        <v>#N/A</v>
      </c>
      <c r="N9418" s="1">
        <v>40269</v>
      </c>
    </row>
    <row r="9419" spans="11:14" x14ac:dyDescent="0.3">
      <c r="K9419" s="1">
        <v>40634</v>
      </c>
      <c r="M9419" t="e">
        <v>#N/A</v>
      </c>
      <c r="N9419" s="1">
        <v>40269</v>
      </c>
    </row>
    <row r="9420" spans="11:14" x14ac:dyDescent="0.3">
      <c r="K9420" s="1">
        <v>40634</v>
      </c>
      <c r="M9420" t="e">
        <v>#N/A</v>
      </c>
      <c r="N9420" s="1">
        <v>40269</v>
      </c>
    </row>
    <row r="9421" spans="11:14" x14ac:dyDescent="0.3">
      <c r="K9421" s="1">
        <v>40634</v>
      </c>
      <c r="M9421" t="e">
        <v>#N/A</v>
      </c>
      <c r="N9421" s="1">
        <v>40269</v>
      </c>
    </row>
    <row r="9422" spans="11:14" x14ac:dyDescent="0.3">
      <c r="K9422" s="1">
        <v>40634</v>
      </c>
      <c r="M9422" t="e">
        <v>#N/A</v>
      </c>
      <c r="N9422" s="1">
        <v>40269</v>
      </c>
    </row>
    <row r="9423" spans="11:14" x14ac:dyDescent="0.3">
      <c r="K9423" s="1">
        <v>40634</v>
      </c>
      <c r="M9423" t="e">
        <v>#N/A</v>
      </c>
      <c r="N9423" s="1">
        <v>40269</v>
      </c>
    </row>
    <row r="9424" spans="11:14" x14ac:dyDescent="0.3">
      <c r="K9424" s="1">
        <v>40634</v>
      </c>
      <c r="M9424" t="e">
        <v>#N/A</v>
      </c>
      <c r="N9424" s="1">
        <v>40269</v>
      </c>
    </row>
    <row r="9425" spans="11:14" x14ac:dyDescent="0.3">
      <c r="K9425" s="1">
        <v>40634</v>
      </c>
      <c r="M9425" t="e">
        <v>#N/A</v>
      </c>
      <c r="N9425" s="1">
        <v>40269</v>
      </c>
    </row>
    <row r="9426" spans="11:14" x14ac:dyDescent="0.3">
      <c r="K9426" s="1">
        <v>40634</v>
      </c>
      <c r="M9426" t="e">
        <v>#N/A</v>
      </c>
      <c r="N9426" s="1">
        <v>40269</v>
      </c>
    </row>
    <row r="9427" spans="11:14" x14ac:dyDescent="0.3">
      <c r="K9427" s="1">
        <v>40634</v>
      </c>
      <c r="M9427" t="e">
        <v>#N/A</v>
      </c>
      <c r="N9427" s="1">
        <v>40269</v>
      </c>
    </row>
    <row r="9428" spans="11:14" x14ac:dyDescent="0.3">
      <c r="K9428" s="1">
        <v>40634</v>
      </c>
      <c r="M9428" t="e">
        <v>#N/A</v>
      </c>
      <c r="N9428" s="1">
        <v>40269</v>
      </c>
    </row>
    <row r="9429" spans="11:14" x14ac:dyDescent="0.3">
      <c r="K9429" s="1">
        <v>40634</v>
      </c>
      <c r="M9429" t="e">
        <v>#N/A</v>
      </c>
      <c r="N9429" s="1">
        <v>40269</v>
      </c>
    </row>
    <row r="9430" spans="11:14" x14ac:dyDescent="0.3">
      <c r="K9430" s="1">
        <v>40634</v>
      </c>
      <c r="M9430" t="e">
        <v>#N/A</v>
      </c>
      <c r="N9430" s="1">
        <v>40269</v>
      </c>
    </row>
    <row r="9431" spans="11:14" x14ac:dyDescent="0.3">
      <c r="K9431" s="1">
        <v>40634</v>
      </c>
      <c r="M9431" t="e">
        <v>#N/A</v>
      </c>
      <c r="N9431" s="1">
        <v>40269</v>
      </c>
    </row>
    <row r="9432" spans="11:14" x14ac:dyDescent="0.3">
      <c r="K9432" s="1">
        <v>40634</v>
      </c>
      <c r="M9432" t="e">
        <v>#N/A</v>
      </c>
      <c r="N9432" s="1">
        <v>40269</v>
      </c>
    </row>
    <row r="9433" spans="11:14" x14ac:dyDescent="0.3">
      <c r="K9433" s="1">
        <v>40634</v>
      </c>
      <c r="M9433" t="e">
        <v>#N/A</v>
      </c>
      <c r="N9433" s="1">
        <v>40269</v>
      </c>
    </row>
    <row r="9434" spans="11:14" x14ac:dyDescent="0.3">
      <c r="K9434" s="1">
        <v>40634</v>
      </c>
      <c r="M9434" t="e">
        <v>#N/A</v>
      </c>
      <c r="N9434" s="1">
        <v>40269</v>
      </c>
    </row>
    <row r="9435" spans="11:14" x14ac:dyDescent="0.3">
      <c r="K9435" s="1">
        <v>40634</v>
      </c>
      <c r="M9435" t="e">
        <v>#N/A</v>
      </c>
      <c r="N9435" s="1">
        <v>40269</v>
      </c>
    </row>
    <row r="9436" spans="11:14" x14ac:dyDescent="0.3">
      <c r="K9436" s="1">
        <v>40634</v>
      </c>
      <c r="M9436" t="e">
        <v>#N/A</v>
      </c>
      <c r="N9436" s="1">
        <v>40269</v>
      </c>
    </row>
    <row r="9437" spans="11:14" x14ac:dyDescent="0.3">
      <c r="K9437" s="1">
        <v>40634</v>
      </c>
      <c r="M9437" t="e">
        <v>#N/A</v>
      </c>
      <c r="N9437" s="1">
        <v>40269</v>
      </c>
    </row>
    <row r="9438" spans="11:14" x14ac:dyDescent="0.3">
      <c r="K9438" s="1">
        <v>40634</v>
      </c>
      <c r="M9438" t="e">
        <v>#N/A</v>
      </c>
      <c r="N9438" s="1">
        <v>40269</v>
      </c>
    </row>
    <row r="9439" spans="11:14" x14ac:dyDescent="0.3">
      <c r="K9439" s="1">
        <v>40634</v>
      </c>
      <c r="M9439" t="e">
        <v>#N/A</v>
      </c>
      <c r="N9439" s="1">
        <v>40269</v>
      </c>
    </row>
    <row r="9440" spans="11:14" x14ac:dyDescent="0.3">
      <c r="K9440" s="1">
        <v>40634</v>
      </c>
      <c r="M9440" t="e">
        <v>#N/A</v>
      </c>
      <c r="N9440" s="1">
        <v>40269</v>
      </c>
    </row>
    <row r="9441" spans="11:14" x14ac:dyDescent="0.3">
      <c r="K9441" s="1">
        <v>40634</v>
      </c>
      <c r="M9441" t="e">
        <v>#N/A</v>
      </c>
      <c r="N9441" s="1">
        <v>40269</v>
      </c>
    </row>
    <row r="9442" spans="11:14" x14ac:dyDescent="0.3">
      <c r="K9442" s="1">
        <v>40634</v>
      </c>
      <c r="M9442" t="e">
        <v>#N/A</v>
      </c>
      <c r="N9442" s="1">
        <v>40269</v>
      </c>
    </row>
    <row r="9443" spans="11:14" x14ac:dyDescent="0.3">
      <c r="K9443" s="1">
        <v>40634</v>
      </c>
      <c r="M9443" t="e">
        <v>#N/A</v>
      </c>
      <c r="N9443" s="1">
        <v>40269</v>
      </c>
    </row>
    <row r="9444" spans="11:14" x14ac:dyDescent="0.3">
      <c r="K9444" s="1">
        <v>40634</v>
      </c>
      <c r="M9444" t="e">
        <v>#N/A</v>
      </c>
      <c r="N9444" s="1">
        <v>40269</v>
      </c>
    </row>
    <row r="9445" spans="11:14" x14ac:dyDescent="0.3">
      <c r="K9445" s="1">
        <v>40634</v>
      </c>
      <c r="M9445" t="e">
        <v>#N/A</v>
      </c>
      <c r="N9445" s="1">
        <v>40269</v>
      </c>
    </row>
    <row r="9446" spans="11:14" x14ac:dyDescent="0.3">
      <c r="K9446" s="1">
        <v>40634</v>
      </c>
      <c r="M9446" t="e">
        <v>#N/A</v>
      </c>
      <c r="N9446" s="1">
        <v>40269</v>
      </c>
    </row>
    <row r="9447" spans="11:14" x14ac:dyDescent="0.3">
      <c r="K9447" s="1">
        <v>40634</v>
      </c>
      <c r="M9447" t="e">
        <v>#N/A</v>
      </c>
      <c r="N9447" s="1">
        <v>40269</v>
      </c>
    </row>
    <row r="9448" spans="11:14" x14ac:dyDescent="0.3">
      <c r="K9448" s="1">
        <v>40634</v>
      </c>
      <c r="M9448" t="e">
        <v>#N/A</v>
      </c>
      <c r="N9448" s="1">
        <v>40269</v>
      </c>
    </row>
    <row r="9449" spans="11:14" x14ac:dyDescent="0.3">
      <c r="K9449" s="1">
        <v>40634</v>
      </c>
      <c r="M9449" t="e">
        <v>#N/A</v>
      </c>
      <c r="N9449" s="1">
        <v>40269</v>
      </c>
    </row>
    <row r="9450" spans="11:14" x14ac:dyDescent="0.3">
      <c r="K9450" s="1">
        <v>40634</v>
      </c>
      <c r="M9450" t="e">
        <v>#N/A</v>
      </c>
      <c r="N9450" s="1">
        <v>40269</v>
      </c>
    </row>
    <row r="9451" spans="11:14" x14ac:dyDescent="0.3">
      <c r="K9451" s="1">
        <v>40634</v>
      </c>
      <c r="M9451" t="e">
        <v>#N/A</v>
      </c>
      <c r="N9451" s="1">
        <v>40269</v>
      </c>
    </row>
    <row r="9452" spans="11:14" x14ac:dyDescent="0.3">
      <c r="K9452" s="1">
        <v>40634</v>
      </c>
      <c r="M9452" t="e">
        <v>#N/A</v>
      </c>
      <c r="N9452" s="1">
        <v>40269</v>
      </c>
    </row>
    <row r="9453" spans="11:14" x14ac:dyDescent="0.3">
      <c r="K9453" s="1">
        <v>40634</v>
      </c>
      <c r="M9453" t="e">
        <v>#N/A</v>
      </c>
      <c r="N9453" s="1">
        <v>40269</v>
      </c>
    </row>
    <row r="9454" spans="11:14" x14ac:dyDescent="0.3">
      <c r="K9454" s="1">
        <v>40634</v>
      </c>
      <c r="M9454" t="e">
        <v>#N/A</v>
      </c>
      <c r="N9454" s="1">
        <v>40269</v>
      </c>
    </row>
    <row r="9455" spans="11:14" x14ac:dyDescent="0.3">
      <c r="K9455" s="1">
        <v>40725</v>
      </c>
      <c r="M9455" t="e">
        <v>#N/A</v>
      </c>
      <c r="N9455" s="1">
        <v>40269</v>
      </c>
    </row>
    <row r="9456" spans="11:14" x14ac:dyDescent="0.3">
      <c r="K9456" s="1">
        <v>40725</v>
      </c>
      <c r="M9456" t="e">
        <v>#N/A</v>
      </c>
      <c r="N9456" s="1">
        <v>40269</v>
      </c>
    </row>
    <row r="9457" spans="11:14" x14ac:dyDescent="0.3">
      <c r="K9457" s="1">
        <v>40725</v>
      </c>
      <c r="M9457" t="e">
        <v>#N/A</v>
      </c>
      <c r="N9457" s="1">
        <v>40269</v>
      </c>
    </row>
    <row r="9458" spans="11:14" x14ac:dyDescent="0.3">
      <c r="K9458" s="1">
        <v>40725</v>
      </c>
      <c r="M9458" t="e">
        <v>#N/A</v>
      </c>
      <c r="N9458" s="1">
        <v>40269</v>
      </c>
    </row>
    <row r="9459" spans="11:14" x14ac:dyDescent="0.3">
      <c r="K9459" s="1">
        <v>40725</v>
      </c>
      <c r="M9459" t="e">
        <v>#N/A</v>
      </c>
      <c r="N9459" s="1">
        <v>40269</v>
      </c>
    </row>
    <row r="9460" spans="11:14" x14ac:dyDescent="0.3">
      <c r="K9460" s="1">
        <v>40725</v>
      </c>
      <c r="M9460" t="e">
        <v>#N/A</v>
      </c>
      <c r="N9460" s="1">
        <v>40269</v>
      </c>
    </row>
    <row r="9461" spans="11:14" x14ac:dyDescent="0.3">
      <c r="K9461" s="1">
        <v>40725</v>
      </c>
      <c r="M9461" t="e">
        <v>#N/A</v>
      </c>
      <c r="N9461" s="1">
        <v>40269</v>
      </c>
    </row>
    <row r="9462" spans="11:14" x14ac:dyDescent="0.3">
      <c r="K9462" s="1">
        <v>40725</v>
      </c>
      <c r="M9462" t="e">
        <v>#N/A</v>
      </c>
      <c r="N9462" s="1">
        <v>40269</v>
      </c>
    </row>
    <row r="9463" spans="11:14" x14ac:dyDescent="0.3">
      <c r="K9463" s="1">
        <v>40725</v>
      </c>
      <c r="M9463" t="e">
        <v>#N/A</v>
      </c>
      <c r="N9463" s="1">
        <v>40269</v>
      </c>
    </row>
    <row r="9464" spans="11:14" x14ac:dyDescent="0.3">
      <c r="K9464" s="1">
        <v>40725</v>
      </c>
      <c r="M9464" t="e">
        <v>#N/A</v>
      </c>
      <c r="N9464" s="1">
        <v>40269</v>
      </c>
    </row>
    <row r="9465" spans="11:14" x14ac:dyDescent="0.3">
      <c r="K9465" s="1">
        <v>40725</v>
      </c>
      <c r="M9465" t="e">
        <v>#N/A</v>
      </c>
      <c r="N9465" s="1">
        <v>40269</v>
      </c>
    </row>
    <row r="9466" spans="11:14" x14ac:dyDescent="0.3">
      <c r="K9466" s="1">
        <v>40725</v>
      </c>
      <c r="M9466" t="e">
        <v>#N/A</v>
      </c>
      <c r="N9466" s="1">
        <v>40269</v>
      </c>
    </row>
    <row r="9467" spans="11:14" x14ac:dyDescent="0.3">
      <c r="K9467" s="1">
        <v>40725</v>
      </c>
      <c r="M9467" t="e">
        <v>#N/A</v>
      </c>
      <c r="N9467" s="1">
        <v>40269</v>
      </c>
    </row>
    <row r="9468" spans="11:14" x14ac:dyDescent="0.3">
      <c r="K9468" s="1">
        <v>40725</v>
      </c>
      <c r="M9468" t="e">
        <v>#N/A</v>
      </c>
      <c r="N9468" s="1">
        <v>40269</v>
      </c>
    </row>
    <row r="9469" spans="11:14" x14ac:dyDescent="0.3">
      <c r="K9469" s="1">
        <v>40725</v>
      </c>
      <c r="M9469" t="e">
        <v>#N/A</v>
      </c>
      <c r="N9469" s="1">
        <v>40269</v>
      </c>
    </row>
    <row r="9470" spans="11:14" x14ac:dyDescent="0.3">
      <c r="K9470" s="1">
        <v>40725</v>
      </c>
      <c r="M9470" t="e">
        <v>#N/A</v>
      </c>
      <c r="N9470" s="1">
        <v>40269</v>
      </c>
    </row>
    <row r="9471" spans="11:14" x14ac:dyDescent="0.3">
      <c r="K9471" s="1">
        <v>40725</v>
      </c>
      <c r="M9471" t="e">
        <v>#N/A</v>
      </c>
      <c r="N9471" s="1">
        <v>40269</v>
      </c>
    </row>
    <row r="9472" spans="11:14" x14ac:dyDescent="0.3">
      <c r="K9472" s="1">
        <v>40725</v>
      </c>
      <c r="M9472" t="e">
        <v>#N/A</v>
      </c>
      <c r="N9472" s="1">
        <v>40269</v>
      </c>
    </row>
    <row r="9473" spans="11:14" x14ac:dyDescent="0.3">
      <c r="K9473" s="1">
        <v>40725</v>
      </c>
      <c r="M9473" t="e">
        <v>#N/A</v>
      </c>
      <c r="N9473" s="1">
        <v>40269</v>
      </c>
    </row>
    <row r="9474" spans="11:14" x14ac:dyDescent="0.3">
      <c r="K9474" s="1">
        <v>40725</v>
      </c>
      <c r="M9474" t="e">
        <v>#N/A</v>
      </c>
      <c r="N9474" s="1">
        <v>40269</v>
      </c>
    </row>
    <row r="9475" spans="11:14" x14ac:dyDescent="0.3">
      <c r="K9475" s="1">
        <v>40725</v>
      </c>
      <c r="M9475" t="e">
        <v>#N/A</v>
      </c>
      <c r="N9475" s="1">
        <v>40269</v>
      </c>
    </row>
    <row r="9476" spans="11:14" x14ac:dyDescent="0.3">
      <c r="K9476" s="1">
        <v>40725</v>
      </c>
      <c r="M9476" t="e">
        <v>#N/A</v>
      </c>
      <c r="N9476" s="1">
        <v>40269</v>
      </c>
    </row>
    <row r="9477" spans="11:14" x14ac:dyDescent="0.3">
      <c r="K9477" s="1">
        <v>40725</v>
      </c>
      <c r="M9477" t="e">
        <v>#N/A</v>
      </c>
      <c r="N9477" s="1">
        <v>40269</v>
      </c>
    </row>
    <row r="9478" spans="11:14" x14ac:dyDescent="0.3">
      <c r="K9478" s="1">
        <v>40725</v>
      </c>
      <c r="M9478" t="e">
        <v>#N/A</v>
      </c>
      <c r="N9478" s="1">
        <v>40269</v>
      </c>
    </row>
    <row r="9479" spans="11:14" x14ac:dyDescent="0.3">
      <c r="K9479" s="1">
        <v>40725</v>
      </c>
      <c r="M9479" t="e">
        <v>#N/A</v>
      </c>
      <c r="N9479" s="1">
        <v>40269</v>
      </c>
    </row>
    <row r="9480" spans="11:14" x14ac:dyDescent="0.3">
      <c r="K9480" s="1">
        <v>40725</v>
      </c>
      <c r="M9480" t="e">
        <v>#N/A</v>
      </c>
      <c r="N9480" s="1">
        <v>40269</v>
      </c>
    </row>
    <row r="9481" spans="11:14" x14ac:dyDescent="0.3">
      <c r="K9481" s="1">
        <v>40725</v>
      </c>
      <c r="M9481" t="e">
        <v>#N/A</v>
      </c>
      <c r="N9481" s="1">
        <v>40269</v>
      </c>
    </row>
    <row r="9482" spans="11:14" x14ac:dyDescent="0.3">
      <c r="K9482" s="1">
        <v>40725</v>
      </c>
      <c r="M9482" t="e">
        <v>#N/A</v>
      </c>
      <c r="N9482" s="1">
        <v>40269</v>
      </c>
    </row>
    <row r="9483" spans="11:14" x14ac:dyDescent="0.3">
      <c r="K9483" s="1">
        <v>40725</v>
      </c>
      <c r="M9483" t="e">
        <v>#N/A</v>
      </c>
      <c r="N9483" s="1">
        <v>40269</v>
      </c>
    </row>
    <row r="9484" spans="11:14" x14ac:dyDescent="0.3">
      <c r="K9484" s="1">
        <v>40725</v>
      </c>
      <c r="M9484" t="e">
        <v>#N/A</v>
      </c>
      <c r="N9484" s="1">
        <v>40269</v>
      </c>
    </row>
    <row r="9485" spans="11:14" x14ac:dyDescent="0.3">
      <c r="K9485" s="1">
        <v>40725</v>
      </c>
      <c r="M9485" t="e">
        <v>#N/A</v>
      </c>
      <c r="N9485" s="1">
        <v>40269</v>
      </c>
    </row>
    <row r="9486" spans="11:14" x14ac:dyDescent="0.3">
      <c r="K9486" s="1">
        <v>40725</v>
      </c>
      <c r="M9486" t="e">
        <v>#N/A</v>
      </c>
      <c r="N9486" s="1">
        <v>40269</v>
      </c>
    </row>
    <row r="9487" spans="11:14" x14ac:dyDescent="0.3">
      <c r="K9487" s="1">
        <v>40725</v>
      </c>
      <c r="M9487" t="e">
        <v>#N/A</v>
      </c>
      <c r="N9487" s="1">
        <v>40269</v>
      </c>
    </row>
    <row r="9488" spans="11:14" x14ac:dyDescent="0.3">
      <c r="K9488" s="1">
        <v>40725</v>
      </c>
      <c r="M9488" t="e">
        <v>#N/A</v>
      </c>
      <c r="N9488" s="1">
        <v>40269</v>
      </c>
    </row>
    <row r="9489" spans="11:14" x14ac:dyDescent="0.3">
      <c r="K9489" s="1">
        <v>40725</v>
      </c>
      <c r="M9489" t="e">
        <v>#N/A</v>
      </c>
      <c r="N9489" s="1">
        <v>40269</v>
      </c>
    </row>
    <row r="9490" spans="11:14" x14ac:dyDescent="0.3">
      <c r="K9490" s="1">
        <v>40725</v>
      </c>
      <c r="M9490" t="e">
        <v>#N/A</v>
      </c>
      <c r="N9490" s="1">
        <v>40269</v>
      </c>
    </row>
    <row r="9491" spans="11:14" x14ac:dyDescent="0.3">
      <c r="K9491" s="1">
        <v>40725</v>
      </c>
      <c r="M9491" t="e">
        <v>#N/A</v>
      </c>
      <c r="N9491" s="1">
        <v>40269</v>
      </c>
    </row>
    <row r="9492" spans="11:14" x14ac:dyDescent="0.3">
      <c r="K9492" s="1">
        <v>40725</v>
      </c>
      <c r="M9492" t="e">
        <v>#N/A</v>
      </c>
      <c r="N9492" s="1">
        <v>40269</v>
      </c>
    </row>
    <row r="9493" spans="11:14" x14ac:dyDescent="0.3">
      <c r="K9493" s="1">
        <v>40725</v>
      </c>
      <c r="M9493" t="e">
        <v>#N/A</v>
      </c>
      <c r="N9493" s="1">
        <v>40269</v>
      </c>
    </row>
    <row r="9494" spans="11:14" x14ac:dyDescent="0.3">
      <c r="K9494" s="1">
        <v>40725</v>
      </c>
      <c r="M9494" t="e">
        <v>#N/A</v>
      </c>
      <c r="N9494" s="1">
        <v>40269</v>
      </c>
    </row>
    <row r="9495" spans="11:14" x14ac:dyDescent="0.3">
      <c r="K9495" s="1">
        <v>40725</v>
      </c>
      <c r="M9495" t="e">
        <v>#N/A</v>
      </c>
      <c r="N9495" s="1">
        <v>40269</v>
      </c>
    </row>
    <row r="9496" spans="11:14" x14ac:dyDescent="0.3">
      <c r="K9496" s="1">
        <v>40725</v>
      </c>
      <c r="M9496" t="e">
        <v>#N/A</v>
      </c>
      <c r="N9496" s="1">
        <v>40269</v>
      </c>
    </row>
    <row r="9497" spans="11:14" x14ac:dyDescent="0.3">
      <c r="K9497" s="1">
        <v>40725</v>
      </c>
      <c r="M9497" t="e">
        <v>#N/A</v>
      </c>
      <c r="N9497" s="1">
        <v>40269</v>
      </c>
    </row>
    <row r="9498" spans="11:14" x14ac:dyDescent="0.3">
      <c r="K9498" s="1">
        <v>40725</v>
      </c>
      <c r="M9498" t="e">
        <v>#N/A</v>
      </c>
      <c r="N9498" s="1">
        <v>40269</v>
      </c>
    </row>
    <row r="9499" spans="11:14" x14ac:dyDescent="0.3">
      <c r="K9499" s="1">
        <v>40725</v>
      </c>
      <c r="M9499" t="e">
        <v>#N/A</v>
      </c>
      <c r="N9499" s="1">
        <v>40269</v>
      </c>
    </row>
    <row r="9500" spans="11:14" x14ac:dyDescent="0.3">
      <c r="K9500" s="1">
        <v>40725</v>
      </c>
      <c r="M9500" t="e">
        <v>#N/A</v>
      </c>
      <c r="N9500" s="1">
        <v>40269</v>
      </c>
    </row>
    <row r="9501" spans="11:14" x14ac:dyDescent="0.3">
      <c r="K9501" s="1">
        <v>40725</v>
      </c>
      <c r="M9501" t="e">
        <v>#N/A</v>
      </c>
      <c r="N9501" s="1">
        <v>40269</v>
      </c>
    </row>
    <row r="9502" spans="11:14" x14ac:dyDescent="0.3">
      <c r="K9502" s="1">
        <v>40725</v>
      </c>
      <c r="M9502" t="e">
        <v>#N/A</v>
      </c>
      <c r="N9502" s="1">
        <v>40269</v>
      </c>
    </row>
    <row r="9503" spans="11:14" x14ac:dyDescent="0.3">
      <c r="K9503" s="1">
        <v>40725</v>
      </c>
      <c r="M9503" t="e">
        <v>#N/A</v>
      </c>
      <c r="N9503" s="1">
        <v>40269</v>
      </c>
    </row>
    <row r="9504" spans="11:14" x14ac:dyDescent="0.3">
      <c r="K9504" s="1">
        <v>40725</v>
      </c>
      <c r="M9504" t="e">
        <v>#N/A</v>
      </c>
      <c r="N9504" s="1">
        <v>40269</v>
      </c>
    </row>
    <row r="9505" spans="11:14" x14ac:dyDescent="0.3">
      <c r="K9505" s="1">
        <v>40725</v>
      </c>
      <c r="M9505" t="e">
        <v>#N/A</v>
      </c>
      <c r="N9505" s="1">
        <v>40269</v>
      </c>
    </row>
    <row r="9506" spans="11:14" x14ac:dyDescent="0.3">
      <c r="K9506" s="1">
        <v>40725</v>
      </c>
      <c r="M9506" t="e">
        <v>#N/A</v>
      </c>
      <c r="N9506" s="1">
        <v>40269</v>
      </c>
    </row>
    <row r="9507" spans="11:14" x14ac:dyDescent="0.3">
      <c r="K9507" s="1">
        <v>40725</v>
      </c>
      <c r="M9507" t="e">
        <v>#N/A</v>
      </c>
      <c r="N9507" s="1">
        <v>40269</v>
      </c>
    </row>
    <row r="9508" spans="11:14" x14ac:dyDescent="0.3">
      <c r="K9508" s="1">
        <v>40725</v>
      </c>
      <c r="M9508" t="e">
        <v>#N/A</v>
      </c>
      <c r="N9508" s="1">
        <v>40269</v>
      </c>
    </row>
    <row r="9509" spans="11:14" x14ac:dyDescent="0.3">
      <c r="K9509" s="1">
        <v>40725</v>
      </c>
      <c r="M9509" t="e">
        <v>#N/A</v>
      </c>
      <c r="N9509" s="1">
        <v>40269</v>
      </c>
    </row>
    <row r="9510" spans="11:14" x14ac:dyDescent="0.3">
      <c r="K9510" s="1">
        <v>40725</v>
      </c>
      <c r="M9510" t="e">
        <v>#N/A</v>
      </c>
      <c r="N9510" s="1">
        <v>40269</v>
      </c>
    </row>
    <row r="9511" spans="11:14" x14ac:dyDescent="0.3">
      <c r="K9511" s="1">
        <v>40725</v>
      </c>
      <c r="M9511" t="e">
        <v>#N/A</v>
      </c>
      <c r="N9511" s="1">
        <v>40269</v>
      </c>
    </row>
    <row r="9512" spans="11:14" x14ac:dyDescent="0.3">
      <c r="K9512" s="1">
        <v>40725</v>
      </c>
      <c r="M9512" t="e">
        <v>#N/A</v>
      </c>
      <c r="N9512" s="1">
        <v>40269</v>
      </c>
    </row>
    <row r="9513" spans="11:14" x14ac:dyDescent="0.3">
      <c r="K9513" s="1">
        <v>40725</v>
      </c>
      <c r="M9513" t="e">
        <v>#N/A</v>
      </c>
      <c r="N9513" s="1">
        <v>40269</v>
      </c>
    </row>
    <row r="9514" spans="11:14" x14ac:dyDescent="0.3">
      <c r="K9514" s="1">
        <v>40725</v>
      </c>
      <c r="M9514" t="e">
        <v>#N/A</v>
      </c>
      <c r="N9514" s="1">
        <v>40269</v>
      </c>
    </row>
    <row r="9515" spans="11:14" x14ac:dyDescent="0.3">
      <c r="K9515" s="1">
        <v>40725</v>
      </c>
      <c r="M9515" t="e">
        <v>#N/A</v>
      </c>
      <c r="N9515" s="1">
        <v>40269</v>
      </c>
    </row>
    <row r="9516" spans="11:14" x14ac:dyDescent="0.3">
      <c r="K9516" s="1">
        <v>40725</v>
      </c>
      <c r="M9516" t="e">
        <v>#N/A</v>
      </c>
      <c r="N9516" s="1">
        <v>40269</v>
      </c>
    </row>
    <row r="9517" spans="11:14" x14ac:dyDescent="0.3">
      <c r="K9517" s="1">
        <v>40725</v>
      </c>
      <c r="M9517" t="e">
        <v>#N/A</v>
      </c>
      <c r="N9517" s="1">
        <v>40269</v>
      </c>
    </row>
    <row r="9518" spans="11:14" x14ac:dyDescent="0.3">
      <c r="K9518" s="1">
        <v>40725</v>
      </c>
      <c r="M9518" t="e">
        <v>#N/A</v>
      </c>
      <c r="N9518" s="1">
        <v>40269</v>
      </c>
    </row>
    <row r="9519" spans="11:14" x14ac:dyDescent="0.3">
      <c r="K9519" s="1">
        <v>40725</v>
      </c>
      <c r="M9519" t="e">
        <v>#N/A</v>
      </c>
      <c r="N9519" s="1">
        <v>40269</v>
      </c>
    </row>
    <row r="9520" spans="11:14" x14ac:dyDescent="0.3">
      <c r="K9520" s="1">
        <v>40725</v>
      </c>
      <c r="M9520" t="e">
        <v>#N/A</v>
      </c>
      <c r="N9520" s="1">
        <v>40269</v>
      </c>
    </row>
    <row r="9521" spans="11:14" x14ac:dyDescent="0.3">
      <c r="K9521" s="1">
        <v>40725</v>
      </c>
      <c r="M9521" t="e">
        <v>#N/A</v>
      </c>
      <c r="N9521" s="1">
        <v>40269</v>
      </c>
    </row>
    <row r="9522" spans="11:14" x14ac:dyDescent="0.3">
      <c r="K9522" s="1">
        <v>40725</v>
      </c>
      <c r="M9522" t="e">
        <v>#N/A</v>
      </c>
      <c r="N9522" s="1">
        <v>40269</v>
      </c>
    </row>
    <row r="9523" spans="11:14" x14ac:dyDescent="0.3">
      <c r="K9523" s="1">
        <v>40725</v>
      </c>
      <c r="M9523" t="e">
        <v>#N/A</v>
      </c>
      <c r="N9523" s="1">
        <v>40269</v>
      </c>
    </row>
    <row r="9524" spans="11:14" x14ac:dyDescent="0.3">
      <c r="K9524" s="1">
        <v>40725</v>
      </c>
      <c r="M9524" t="e">
        <v>#N/A</v>
      </c>
      <c r="N9524" s="1">
        <v>40269</v>
      </c>
    </row>
    <row r="9525" spans="11:14" x14ac:dyDescent="0.3">
      <c r="K9525" s="1">
        <v>40725</v>
      </c>
      <c r="M9525" t="e">
        <v>#N/A</v>
      </c>
      <c r="N9525" s="1">
        <v>40269</v>
      </c>
    </row>
    <row r="9526" spans="11:14" x14ac:dyDescent="0.3">
      <c r="K9526" s="1">
        <v>40725</v>
      </c>
      <c r="M9526" t="e">
        <v>#N/A</v>
      </c>
      <c r="N9526" s="1">
        <v>40269</v>
      </c>
    </row>
    <row r="9527" spans="11:14" x14ac:dyDescent="0.3">
      <c r="K9527" s="1">
        <v>40725</v>
      </c>
      <c r="M9527" t="e">
        <v>#N/A</v>
      </c>
      <c r="N9527" s="1">
        <v>40269</v>
      </c>
    </row>
    <row r="9528" spans="11:14" x14ac:dyDescent="0.3">
      <c r="K9528" s="1">
        <v>40725</v>
      </c>
      <c r="M9528" t="e">
        <v>#N/A</v>
      </c>
      <c r="N9528" s="1">
        <v>40269</v>
      </c>
    </row>
    <row r="9529" spans="11:14" x14ac:dyDescent="0.3">
      <c r="K9529" s="1">
        <v>40725</v>
      </c>
      <c r="M9529" t="e">
        <v>#N/A</v>
      </c>
      <c r="N9529" s="1">
        <v>40269</v>
      </c>
    </row>
    <row r="9530" spans="11:14" x14ac:dyDescent="0.3">
      <c r="K9530" s="1">
        <v>40725</v>
      </c>
      <c r="M9530" t="e">
        <v>#N/A</v>
      </c>
      <c r="N9530" s="1">
        <v>40269</v>
      </c>
    </row>
    <row r="9531" spans="11:14" x14ac:dyDescent="0.3">
      <c r="K9531" s="1">
        <v>40725</v>
      </c>
      <c r="M9531" t="e">
        <v>#N/A</v>
      </c>
      <c r="N9531" s="1">
        <v>40269</v>
      </c>
    </row>
    <row r="9532" spans="11:14" x14ac:dyDescent="0.3">
      <c r="K9532" s="1">
        <v>40725</v>
      </c>
      <c r="M9532" t="e">
        <v>#N/A</v>
      </c>
      <c r="N9532" s="1">
        <v>40269</v>
      </c>
    </row>
    <row r="9533" spans="11:14" x14ac:dyDescent="0.3">
      <c r="K9533" s="1">
        <v>40725</v>
      </c>
      <c r="M9533" t="e">
        <v>#N/A</v>
      </c>
      <c r="N9533" s="1">
        <v>40269</v>
      </c>
    </row>
    <row r="9534" spans="11:14" x14ac:dyDescent="0.3">
      <c r="K9534" s="1">
        <v>40725</v>
      </c>
      <c r="M9534" t="e">
        <v>#N/A</v>
      </c>
      <c r="N9534" s="1">
        <v>40269</v>
      </c>
    </row>
    <row r="9535" spans="11:14" x14ac:dyDescent="0.3">
      <c r="K9535" s="1">
        <v>40725</v>
      </c>
      <c r="M9535" t="e">
        <v>#N/A</v>
      </c>
      <c r="N9535" s="1">
        <v>40269</v>
      </c>
    </row>
    <row r="9536" spans="11:14" x14ac:dyDescent="0.3">
      <c r="K9536" s="1">
        <v>40725</v>
      </c>
      <c r="M9536" t="e">
        <v>#N/A</v>
      </c>
      <c r="N9536" s="1">
        <v>40269</v>
      </c>
    </row>
    <row r="9537" spans="11:14" x14ac:dyDescent="0.3">
      <c r="K9537" s="1">
        <v>40725</v>
      </c>
      <c r="M9537" t="e">
        <v>#N/A</v>
      </c>
      <c r="N9537" s="1">
        <v>40269</v>
      </c>
    </row>
    <row r="9538" spans="11:14" x14ac:dyDescent="0.3">
      <c r="K9538" s="1">
        <v>40725</v>
      </c>
      <c r="M9538" t="e">
        <v>#N/A</v>
      </c>
      <c r="N9538" s="1">
        <v>40269</v>
      </c>
    </row>
    <row r="9539" spans="11:14" x14ac:dyDescent="0.3">
      <c r="K9539" s="1">
        <v>40725</v>
      </c>
      <c r="M9539" t="e">
        <v>#N/A</v>
      </c>
      <c r="N9539" s="1">
        <v>40269</v>
      </c>
    </row>
    <row r="9540" spans="11:14" x14ac:dyDescent="0.3">
      <c r="K9540" s="1">
        <v>40725</v>
      </c>
      <c r="M9540" t="e">
        <v>#N/A</v>
      </c>
      <c r="N9540" s="1">
        <v>40269</v>
      </c>
    </row>
    <row r="9541" spans="11:14" x14ac:dyDescent="0.3">
      <c r="K9541" s="1">
        <v>40725</v>
      </c>
      <c r="M9541" t="e">
        <v>#N/A</v>
      </c>
      <c r="N9541" s="1">
        <v>40269</v>
      </c>
    </row>
    <row r="9542" spans="11:14" x14ac:dyDescent="0.3">
      <c r="K9542" s="1">
        <v>40725</v>
      </c>
      <c r="M9542" t="e">
        <v>#N/A</v>
      </c>
      <c r="N9542" s="1">
        <v>40269</v>
      </c>
    </row>
    <row r="9543" spans="11:14" x14ac:dyDescent="0.3">
      <c r="K9543" s="1">
        <v>40725</v>
      </c>
      <c r="M9543" t="e">
        <v>#N/A</v>
      </c>
      <c r="N9543" s="1">
        <v>40269</v>
      </c>
    </row>
    <row r="9544" spans="11:14" x14ac:dyDescent="0.3">
      <c r="K9544" s="1">
        <v>40725</v>
      </c>
      <c r="M9544" t="e">
        <v>#N/A</v>
      </c>
      <c r="N9544" s="1">
        <v>40269</v>
      </c>
    </row>
    <row r="9545" spans="11:14" x14ac:dyDescent="0.3">
      <c r="K9545" s="1">
        <v>40725</v>
      </c>
      <c r="M9545" t="e">
        <v>#N/A</v>
      </c>
      <c r="N9545" s="1">
        <v>40269</v>
      </c>
    </row>
    <row r="9546" spans="11:14" x14ac:dyDescent="0.3">
      <c r="K9546" s="1">
        <v>40725</v>
      </c>
      <c r="M9546" t="e">
        <v>#N/A</v>
      </c>
      <c r="N9546" s="1">
        <v>40269</v>
      </c>
    </row>
    <row r="9547" spans="11:14" x14ac:dyDescent="0.3">
      <c r="K9547" s="1">
        <v>40725</v>
      </c>
      <c r="M9547" t="e">
        <v>#N/A</v>
      </c>
      <c r="N9547" s="1">
        <v>40269</v>
      </c>
    </row>
    <row r="9548" spans="11:14" x14ac:dyDescent="0.3">
      <c r="K9548" s="1">
        <v>40725</v>
      </c>
      <c r="M9548" t="e">
        <v>#N/A</v>
      </c>
      <c r="N9548" s="1">
        <v>40269</v>
      </c>
    </row>
    <row r="9549" spans="11:14" x14ac:dyDescent="0.3">
      <c r="K9549" s="1">
        <v>40725</v>
      </c>
      <c r="M9549" t="e">
        <v>#N/A</v>
      </c>
      <c r="N9549" s="1">
        <v>40269</v>
      </c>
    </row>
    <row r="9550" spans="11:14" x14ac:dyDescent="0.3">
      <c r="K9550" s="1">
        <v>40725</v>
      </c>
      <c r="M9550" t="e">
        <v>#N/A</v>
      </c>
      <c r="N9550" s="1">
        <v>40269</v>
      </c>
    </row>
    <row r="9551" spans="11:14" x14ac:dyDescent="0.3">
      <c r="K9551" s="1">
        <v>40725</v>
      </c>
      <c r="M9551" t="e">
        <v>#N/A</v>
      </c>
      <c r="N9551" s="1">
        <v>40269</v>
      </c>
    </row>
    <row r="9552" spans="11:14" x14ac:dyDescent="0.3">
      <c r="K9552" s="1">
        <v>40725</v>
      </c>
      <c r="M9552" t="e">
        <v>#N/A</v>
      </c>
      <c r="N9552" s="1">
        <v>40269</v>
      </c>
    </row>
    <row r="9553" spans="11:14" x14ac:dyDescent="0.3">
      <c r="K9553" s="1">
        <v>40725</v>
      </c>
      <c r="M9553" t="e">
        <v>#N/A</v>
      </c>
      <c r="N9553" s="1">
        <v>40269</v>
      </c>
    </row>
    <row r="9554" spans="11:14" x14ac:dyDescent="0.3">
      <c r="K9554" s="1">
        <v>40725</v>
      </c>
      <c r="M9554" t="e">
        <v>#N/A</v>
      </c>
      <c r="N9554" s="1">
        <v>40269</v>
      </c>
    </row>
    <row r="9555" spans="11:14" x14ac:dyDescent="0.3">
      <c r="K9555" s="1">
        <v>40725</v>
      </c>
      <c r="M9555" t="e">
        <v>#N/A</v>
      </c>
      <c r="N9555" s="1">
        <v>40269</v>
      </c>
    </row>
    <row r="9556" spans="11:14" x14ac:dyDescent="0.3">
      <c r="K9556" s="1">
        <v>40725</v>
      </c>
      <c r="M9556" t="e">
        <v>#N/A</v>
      </c>
      <c r="N9556" s="1">
        <v>40269</v>
      </c>
    </row>
    <row r="9557" spans="11:14" x14ac:dyDescent="0.3">
      <c r="K9557" s="1">
        <v>40725</v>
      </c>
      <c r="M9557" t="e">
        <v>#N/A</v>
      </c>
      <c r="N9557" s="1">
        <v>40269</v>
      </c>
    </row>
    <row r="9558" spans="11:14" x14ac:dyDescent="0.3">
      <c r="K9558" s="1">
        <v>40725</v>
      </c>
      <c r="M9558" t="e">
        <v>#N/A</v>
      </c>
      <c r="N9558" s="1">
        <v>40269</v>
      </c>
    </row>
    <row r="9559" spans="11:14" x14ac:dyDescent="0.3">
      <c r="K9559" s="1">
        <v>40725</v>
      </c>
      <c r="M9559" t="e">
        <v>#N/A</v>
      </c>
      <c r="N9559" s="1">
        <v>40269</v>
      </c>
    </row>
    <row r="9560" spans="11:14" x14ac:dyDescent="0.3">
      <c r="K9560" s="1">
        <v>40725</v>
      </c>
      <c r="M9560" t="e">
        <v>#N/A</v>
      </c>
      <c r="N9560" s="1">
        <v>40269</v>
      </c>
    </row>
    <row r="9561" spans="11:14" x14ac:dyDescent="0.3">
      <c r="K9561" s="1">
        <v>40725</v>
      </c>
      <c r="M9561" t="e">
        <v>#N/A</v>
      </c>
      <c r="N9561" s="1">
        <v>40269</v>
      </c>
    </row>
    <row r="9562" spans="11:14" x14ac:dyDescent="0.3">
      <c r="K9562" s="1">
        <v>40725</v>
      </c>
      <c r="M9562" t="e">
        <v>#N/A</v>
      </c>
      <c r="N9562" s="1">
        <v>40269</v>
      </c>
    </row>
    <row r="9563" spans="11:14" x14ac:dyDescent="0.3">
      <c r="K9563" s="1">
        <v>40725</v>
      </c>
      <c r="M9563" t="e">
        <v>#N/A</v>
      </c>
      <c r="N9563" s="1">
        <v>40269</v>
      </c>
    </row>
    <row r="9564" spans="11:14" x14ac:dyDescent="0.3">
      <c r="K9564" s="1">
        <v>40725</v>
      </c>
      <c r="M9564" t="e">
        <v>#N/A</v>
      </c>
      <c r="N9564" s="1">
        <v>40269</v>
      </c>
    </row>
    <row r="9565" spans="11:14" x14ac:dyDescent="0.3">
      <c r="K9565" s="1">
        <v>40725</v>
      </c>
      <c r="M9565" t="e">
        <v>#N/A</v>
      </c>
      <c r="N9565" s="1">
        <v>40269</v>
      </c>
    </row>
    <row r="9566" spans="11:14" x14ac:dyDescent="0.3">
      <c r="K9566" s="1">
        <v>40725</v>
      </c>
      <c r="M9566" t="e">
        <v>#N/A</v>
      </c>
      <c r="N9566" s="1">
        <v>40269</v>
      </c>
    </row>
    <row r="9567" spans="11:14" x14ac:dyDescent="0.3">
      <c r="K9567" s="1">
        <v>40725</v>
      </c>
      <c r="M9567" t="e">
        <v>#N/A</v>
      </c>
      <c r="N9567" s="1">
        <v>40269</v>
      </c>
    </row>
    <row r="9568" spans="11:14" x14ac:dyDescent="0.3">
      <c r="K9568" s="1">
        <v>40725</v>
      </c>
      <c r="M9568" t="e">
        <v>#N/A</v>
      </c>
      <c r="N9568" s="1">
        <v>40269</v>
      </c>
    </row>
    <row r="9569" spans="11:14" x14ac:dyDescent="0.3">
      <c r="K9569" s="1">
        <v>40725</v>
      </c>
      <c r="M9569" t="e">
        <v>#N/A</v>
      </c>
      <c r="N9569" s="1">
        <v>40269</v>
      </c>
    </row>
    <row r="9570" spans="11:14" x14ac:dyDescent="0.3">
      <c r="K9570" s="1">
        <v>40725</v>
      </c>
      <c r="M9570" t="e">
        <v>#N/A</v>
      </c>
      <c r="N9570" s="1">
        <v>40269</v>
      </c>
    </row>
    <row r="9571" spans="11:14" x14ac:dyDescent="0.3">
      <c r="K9571" s="1">
        <v>40725</v>
      </c>
      <c r="M9571" t="e">
        <v>#N/A</v>
      </c>
      <c r="N9571" s="1">
        <v>40269</v>
      </c>
    </row>
    <row r="9572" spans="11:14" x14ac:dyDescent="0.3">
      <c r="K9572" s="1">
        <v>40725</v>
      </c>
      <c r="M9572" t="e">
        <v>#N/A</v>
      </c>
      <c r="N9572" s="1">
        <v>40269</v>
      </c>
    </row>
    <row r="9573" spans="11:14" x14ac:dyDescent="0.3">
      <c r="K9573" s="1">
        <v>40725</v>
      </c>
      <c r="M9573" t="e">
        <v>#N/A</v>
      </c>
      <c r="N9573" s="1">
        <v>40269</v>
      </c>
    </row>
    <row r="9574" spans="11:14" x14ac:dyDescent="0.3">
      <c r="K9574" s="1">
        <v>40725</v>
      </c>
      <c r="M9574" t="e">
        <v>#N/A</v>
      </c>
      <c r="N9574" s="1">
        <v>40269</v>
      </c>
    </row>
    <row r="9575" spans="11:14" x14ac:dyDescent="0.3">
      <c r="K9575" s="1">
        <v>40725</v>
      </c>
      <c r="M9575" t="e">
        <v>#N/A</v>
      </c>
      <c r="N9575" s="1">
        <v>40269</v>
      </c>
    </row>
    <row r="9576" spans="11:14" x14ac:dyDescent="0.3">
      <c r="K9576" s="1">
        <v>40725</v>
      </c>
      <c r="M9576" t="e">
        <v>#N/A</v>
      </c>
      <c r="N9576" s="1">
        <v>40269</v>
      </c>
    </row>
    <row r="9577" spans="11:14" x14ac:dyDescent="0.3">
      <c r="K9577" s="1">
        <v>40725</v>
      </c>
      <c r="M9577" t="e">
        <v>#N/A</v>
      </c>
      <c r="N9577" s="1">
        <v>40269</v>
      </c>
    </row>
    <row r="9578" spans="11:14" x14ac:dyDescent="0.3">
      <c r="K9578" s="1">
        <v>40725</v>
      </c>
      <c r="M9578" t="e">
        <v>#N/A</v>
      </c>
      <c r="N9578" s="1">
        <v>40269</v>
      </c>
    </row>
    <row r="9579" spans="11:14" x14ac:dyDescent="0.3">
      <c r="K9579" s="1">
        <v>40725</v>
      </c>
      <c r="M9579" t="e">
        <v>#N/A</v>
      </c>
      <c r="N9579" s="1">
        <v>40269</v>
      </c>
    </row>
    <row r="9580" spans="11:14" x14ac:dyDescent="0.3">
      <c r="K9580" s="1">
        <v>40725</v>
      </c>
      <c r="M9580" t="e">
        <v>#N/A</v>
      </c>
      <c r="N9580" s="1">
        <v>40269</v>
      </c>
    </row>
    <row r="9581" spans="11:14" x14ac:dyDescent="0.3">
      <c r="K9581" s="1">
        <v>40725</v>
      </c>
      <c r="M9581" t="e">
        <v>#N/A</v>
      </c>
      <c r="N9581" s="1">
        <v>40269</v>
      </c>
    </row>
    <row r="9582" spans="11:14" x14ac:dyDescent="0.3">
      <c r="K9582" s="1">
        <v>40725</v>
      </c>
      <c r="M9582" t="e">
        <v>#N/A</v>
      </c>
      <c r="N9582" s="1">
        <v>40269</v>
      </c>
    </row>
    <row r="9583" spans="11:14" x14ac:dyDescent="0.3">
      <c r="K9583" s="1">
        <v>40725</v>
      </c>
      <c r="M9583" t="e">
        <v>#N/A</v>
      </c>
      <c r="N9583" s="1">
        <v>40269</v>
      </c>
    </row>
    <row r="9584" spans="11:14" x14ac:dyDescent="0.3">
      <c r="K9584" s="1">
        <v>40725</v>
      </c>
      <c r="M9584" t="e">
        <v>#N/A</v>
      </c>
      <c r="N9584" s="1">
        <v>40269</v>
      </c>
    </row>
    <row r="9585" spans="11:14" x14ac:dyDescent="0.3">
      <c r="K9585" s="1">
        <v>40725</v>
      </c>
      <c r="M9585" t="e">
        <v>#N/A</v>
      </c>
      <c r="N9585" s="1">
        <v>40269</v>
      </c>
    </row>
    <row r="9586" spans="11:14" x14ac:dyDescent="0.3">
      <c r="K9586" s="1">
        <v>40725</v>
      </c>
      <c r="M9586" t="e">
        <v>#N/A</v>
      </c>
      <c r="N9586" s="1">
        <v>40269</v>
      </c>
    </row>
    <row r="9587" spans="11:14" x14ac:dyDescent="0.3">
      <c r="K9587" s="1">
        <v>40725</v>
      </c>
      <c r="M9587" t="e">
        <v>#N/A</v>
      </c>
      <c r="N9587" s="1">
        <v>40269</v>
      </c>
    </row>
    <row r="9588" spans="11:14" x14ac:dyDescent="0.3">
      <c r="K9588" s="1">
        <v>40725</v>
      </c>
      <c r="M9588" t="e">
        <v>#N/A</v>
      </c>
      <c r="N9588" s="1">
        <v>40269</v>
      </c>
    </row>
    <row r="9589" spans="11:14" x14ac:dyDescent="0.3">
      <c r="K9589" s="1">
        <v>40725</v>
      </c>
      <c r="M9589" t="e">
        <v>#N/A</v>
      </c>
      <c r="N9589" s="1">
        <v>40269</v>
      </c>
    </row>
    <row r="9590" spans="11:14" x14ac:dyDescent="0.3">
      <c r="K9590" s="1">
        <v>40725</v>
      </c>
      <c r="M9590" t="e">
        <v>#N/A</v>
      </c>
      <c r="N9590" s="1">
        <v>40269</v>
      </c>
    </row>
    <row r="9591" spans="11:14" x14ac:dyDescent="0.3">
      <c r="K9591" s="1">
        <v>40725</v>
      </c>
      <c r="M9591" t="e">
        <v>#N/A</v>
      </c>
      <c r="N9591" s="1">
        <v>40269</v>
      </c>
    </row>
    <row r="9592" spans="11:14" x14ac:dyDescent="0.3">
      <c r="K9592" s="1">
        <v>40725</v>
      </c>
      <c r="M9592" t="e">
        <v>#N/A</v>
      </c>
      <c r="N9592" s="1">
        <v>40269</v>
      </c>
    </row>
    <row r="9593" spans="11:14" x14ac:dyDescent="0.3">
      <c r="K9593" s="1">
        <v>40725</v>
      </c>
      <c r="M9593" t="e">
        <v>#N/A</v>
      </c>
      <c r="N9593" s="1">
        <v>40269</v>
      </c>
    </row>
    <row r="9594" spans="11:14" x14ac:dyDescent="0.3">
      <c r="K9594" s="1">
        <v>40725</v>
      </c>
      <c r="M9594" t="e">
        <v>#N/A</v>
      </c>
      <c r="N9594" s="1">
        <v>40269</v>
      </c>
    </row>
    <row r="9595" spans="11:14" x14ac:dyDescent="0.3">
      <c r="K9595" s="1">
        <v>40725</v>
      </c>
      <c r="M9595" t="e">
        <v>#N/A</v>
      </c>
      <c r="N9595" s="1">
        <v>40269</v>
      </c>
    </row>
    <row r="9596" spans="11:14" x14ac:dyDescent="0.3">
      <c r="K9596" s="1">
        <v>40725</v>
      </c>
      <c r="M9596" t="e">
        <v>#N/A</v>
      </c>
      <c r="N9596" s="1">
        <v>40269</v>
      </c>
    </row>
    <row r="9597" spans="11:14" x14ac:dyDescent="0.3">
      <c r="K9597" s="1">
        <v>40725</v>
      </c>
      <c r="M9597" t="e">
        <v>#N/A</v>
      </c>
      <c r="N9597" s="1">
        <v>40269</v>
      </c>
    </row>
    <row r="9598" spans="11:14" x14ac:dyDescent="0.3">
      <c r="K9598" s="1">
        <v>40725</v>
      </c>
      <c r="M9598" t="e">
        <v>#N/A</v>
      </c>
      <c r="N9598" s="1">
        <v>40269</v>
      </c>
    </row>
    <row r="9599" spans="11:14" x14ac:dyDescent="0.3">
      <c r="K9599" s="1">
        <v>40725</v>
      </c>
      <c r="M9599" t="e">
        <v>#N/A</v>
      </c>
      <c r="N9599" s="1">
        <v>40269</v>
      </c>
    </row>
    <row r="9600" spans="11:14" x14ac:dyDescent="0.3">
      <c r="K9600" s="1">
        <v>40725</v>
      </c>
      <c r="M9600" t="e">
        <v>#N/A</v>
      </c>
      <c r="N9600" s="1">
        <v>40269</v>
      </c>
    </row>
    <row r="9601" spans="11:14" x14ac:dyDescent="0.3">
      <c r="K9601" s="1">
        <v>40725</v>
      </c>
      <c r="M9601" t="e">
        <v>#N/A</v>
      </c>
      <c r="N9601" s="1">
        <v>40269</v>
      </c>
    </row>
    <row r="9602" spans="11:14" x14ac:dyDescent="0.3">
      <c r="K9602" s="1">
        <v>40725</v>
      </c>
      <c r="M9602" t="e">
        <v>#N/A</v>
      </c>
      <c r="N9602" s="1">
        <v>40269</v>
      </c>
    </row>
    <row r="9603" spans="11:14" x14ac:dyDescent="0.3">
      <c r="K9603" s="1">
        <v>40725</v>
      </c>
      <c r="M9603" t="e">
        <v>#N/A</v>
      </c>
      <c r="N9603" s="1">
        <v>40269</v>
      </c>
    </row>
    <row r="9604" spans="11:14" x14ac:dyDescent="0.3">
      <c r="K9604" s="1">
        <v>40725</v>
      </c>
      <c r="M9604" t="e">
        <v>#N/A</v>
      </c>
      <c r="N9604" s="1">
        <v>40269</v>
      </c>
    </row>
    <row r="9605" spans="11:14" x14ac:dyDescent="0.3">
      <c r="K9605" s="1">
        <v>40725</v>
      </c>
      <c r="M9605" t="e">
        <v>#N/A</v>
      </c>
      <c r="N9605" s="1">
        <v>40269</v>
      </c>
    </row>
    <row r="9606" spans="11:14" x14ac:dyDescent="0.3">
      <c r="K9606" s="1">
        <v>40725</v>
      </c>
      <c r="M9606" t="e">
        <v>#N/A</v>
      </c>
      <c r="N9606" s="1">
        <v>40269</v>
      </c>
    </row>
    <row r="9607" spans="11:14" x14ac:dyDescent="0.3">
      <c r="K9607" s="1">
        <v>40725</v>
      </c>
      <c r="M9607" t="e">
        <v>#N/A</v>
      </c>
      <c r="N9607" s="1">
        <v>40269</v>
      </c>
    </row>
    <row r="9608" spans="11:14" x14ac:dyDescent="0.3">
      <c r="K9608" s="1">
        <v>40725</v>
      </c>
      <c r="M9608" t="e">
        <v>#N/A</v>
      </c>
      <c r="N9608" s="1">
        <v>40269</v>
      </c>
    </row>
    <row r="9609" spans="11:14" x14ac:dyDescent="0.3">
      <c r="K9609" s="1">
        <v>40725</v>
      </c>
      <c r="M9609" t="e">
        <v>#N/A</v>
      </c>
      <c r="N9609" s="1">
        <v>40269</v>
      </c>
    </row>
    <row r="9610" spans="11:14" x14ac:dyDescent="0.3">
      <c r="K9610" s="1">
        <v>40725</v>
      </c>
      <c r="M9610" t="e">
        <v>#N/A</v>
      </c>
      <c r="N9610" s="1">
        <v>40269</v>
      </c>
    </row>
    <row r="9611" spans="11:14" x14ac:dyDescent="0.3">
      <c r="K9611" s="1">
        <v>40725</v>
      </c>
      <c r="M9611" t="e">
        <v>#N/A</v>
      </c>
      <c r="N9611" s="1">
        <v>40269</v>
      </c>
    </row>
    <row r="9612" spans="11:14" x14ac:dyDescent="0.3">
      <c r="K9612" s="1">
        <v>40725</v>
      </c>
      <c r="M9612" t="e">
        <v>#N/A</v>
      </c>
      <c r="N9612" s="1">
        <v>40269</v>
      </c>
    </row>
    <row r="9613" spans="11:14" x14ac:dyDescent="0.3">
      <c r="K9613" s="1">
        <v>40725</v>
      </c>
      <c r="M9613" t="e">
        <v>#N/A</v>
      </c>
      <c r="N9613" s="1">
        <v>40269</v>
      </c>
    </row>
    <row r="9614" spans="11:14" x14ac:dyDescent="0.3">
      <c r="K9614" s="1">
        <v>40725</v>
      </c>
      <c r="M9614" t="e">
        <v>#N/A</v>
      </c>
      <c r="N9614" s="1">
        <v>40269</v>
      </c>
    </row>
    <row r="9615" spans="11:14" x14ac:dyDescent="0.3">
      <c r="K9615" s="1">
        <v>40725</v>
      </c>
      <c r="M9615" t="e">
        <v>#N/A</v>
      </c>
      <c r="N9615" s="1">
        <v>40269</v>
      </c>
    </row>
    <row r="9616" spans="11:14" x14ac:dyDescent="0.3">
      <c r="K9616" s="1">
        <v>40725</v>
      </c>
      <c r="M9616" t="e">
        <v>#N/A</v>
      </c>
      <c r="N9616" s="1">
        <v>40269</v>
      </c>
    </row>
    <row r="9617" spans="11:14" x14ac:dyDescent="0.3">
      <c r="K9617" s="1">
        <v>40725</v>
      </c>
      <c r="M9617" t="e">
        <v>#N/A</v>
      </c>
      <c r="N9617" s="1">
        <v>40269</v>
      </c>
    </row>
    <row r="9618" spans="11:14" x14ac:dyDescent="0.3">
      <c r="K9618" s="1">
        <v>40725</v>
      </c>
      <c r="M9618" t="e">
        <v>#N/A</v>
      </c>
      <c r="N9618" s="1">
        <v>40269</v>
      </c>
    </row>
    <row r="9619" spans="11:14" x14ac:dyDescent="0.3">
      <c r="K9619" s="1">
        <v>40725</v>
      </c>
      <c r="M9619" t="e">
        <v>#N/A</v>
      </c>
      <c r="N9619" s="1">
        <v>40269</v>
      </c>
    </row>
    <row r="9620" spans="11:14" x14ac:dyDescent="0.3">
      <c r="K9620" s="1">
        <v>40725</v>
      </c>
      <c r="M9620" t="e">
        <v>#N/A</v>
      </c>
      <c r="N9620" s="1">
        <v>40269</v>
      </c>
    </row>
    <row r="9621" spans="11:14" x14ac:dyDescent="0.3">
      <c r="K9621" s="1">
        <v>40725</v>
      </c>
      <c r="M9621" t="e">
        <v>#N/A</v>
      </c>
      <c r="N9621" s="1">
        <v>40269</v>
      </c>
    </row>
    <row r="9622" spans="11:14" x14ac:dyDescent="0.3">
      <c r="K9622" s="1">
        <v>40725</v>
      </c>
      <c r="M9622" t="e">
        <v>#N/A</v>
      </c>
      <c r="N9622" s="1">
        <v>40269</v>
      </c>
    </row>
    <row r="9623" spans="11:14" x14ac:dyDescent="0.3">
      <c r="K9623" s="1">
        <v>40725</v>
      </c>
      <c r="M9623" t="e">
        <v>#N/A</v>
      </c>
      <c r="N9623" s="1">
        <v>40269</v>
      </c>
    </row>
    <row r="9624" spans="11:14" x14ac:dyDescent="0.3">
      <c r="K9624" s="1">
        <v>40725</v>
      </c>
      <c r="M9624" t="e">
        <v>#N/A</v>
      </c>
      <c r="N9624" s="1">
        <v>40269</v>
      </c>
    </row>
    <row r="9625" spans="11:14" x14ac:dyDescent="0.3">
      <c r="K9625" s="1">
        <v>40725</v>
      </c>
      <c r="M9625" t="e">
        <v>#N/A</v>
      </c>
      <c r="N9625" s="1">
        <v>40269</v>
      </c>
    </row>
    <row r="9626" spans="11:14" x14ac:dyDescent="0.3">
      <c r="K9626" s="1">
        <v>40725</v>
      </c>
      <c r="M9626" t="e">
        <v>#N/A</v>
      </c>
      <c r="N9626" s="1">
        <v>40269</v>
      </c>
    </row>
    <row r="9627" spans="11:14" x14ac:dyDescent="0.3">
      <c r="K9627" s="1">
        <v>40725</v>
      </c>
      <c r="M9627" t="e">
        <v>#N/A</v>
      </c>
      <c r="N9627" s="1">
        <v>40269</v>
      </c>
    </row>
    <row r="9628" spans="11:14" x14ac:dyDescent="0.3">
      <c r="K9628" s="1">
        <v>40725</v>
      </c>
      <c r="M9628" t="e">
        <v>#N/A</v>
      </c>
      <c r="N9628" s="1">
        <v>40269</v>
      </c>
    </row>
    <row r="9629" spans="11:14" x14ac:dyDescent="0.3">
      <c r="K9629" s="1">
        <v>40725</v>
      </c>
      <c r="M9629" t="e">
        <v>#N/A</v>
      </c>
      <c r="N9629" s="1">
        <v>40269</v>
      </c>
    </row>
    <row r="9630" spans="11:14" x14ac:dyDescent="0.3">
      <c r="K9630" s="1">
        <v>40725</v>
      </c>
      <c r="M9630" t="e">
        <v>#N/A</v>
      </c>
      <c r="N9630" s="1">
        <v>40269</v>
      </c>
    </row>
    <row r="9631" spans="11:14" x14ac:dyDescent="0.3">
      <c r="K9631" s="1">
        <v>40725</v>
      </c>
      <c r="M9631" t="e">
        <v>#N/A</v>
      </c>
      <c r="N9631" s="1">
        <v>40360</v>
      </c>
    </row>
    <row r="9632" spans="11:14" x14ac:dyDescent="0.3">
      <c r="K9632" s="1">
        <v>40725</v>
      </c>
      <c r="M9632" t="e">
        <v>#N/A</v>
      </c>
      <c r="N9632" s="1">
        <v>40360</v>
      </c>
    </row>
    <row r="9633" spans="11:14" x14ac:dyDescent="0.3">
      <c r="K9633" s="1">
        <v>40725</v>
      </c>
      <c r="M9633" t="e">
        <v>#N/A</v>
      </c>
      <c r="N9633" s="1">
        <v>40360</v>
      </c>
    </row>
    <row r="9634" spans="11:14" x14ac:dyDescent="0.3">
      <c r="K9634" s="1">
        <v>40725</v>
      </c>
      <c r="M9634" t="e">
        <v>#N/A</v>
      </c>
      <c r="N9634" s="1">
        <v>40360</v>
      </c>
    </row>
    <row r="9635" spans="11:14" x14ac:dyDescent="0.3">
      <c r="K9635" s="1">
        <v>40725</v>
      </c>
      <c r="M9635" t="e">
        <v>#N/A</v>
      </c>
      <c r="N9635" s="1">
        <v>40360</v>
      </c>
    </row>
    <row r="9636" spans="11:14" x14ac:dyDescent="0.3">
      <c r="K9636" s="1">
        <v>40725</v>
      </c>
      <c r="M9636" t="e">
        <v>#N/A</v>
      </c>
      <c r="N9636" s="1">
        <v>40360</v>
      </c>
    </row>
    <row r="9637" spans="11:14" x14ac:dyDescent="0.3">
      <c r="K9637" s="1">
        <v>40725</v>
      </c>
      <c r="M9637" t="e">
        <v>#N/A</v>
      </c>
      <c r="N9637" s="1">
        <v>40360</v>
      </c>
    </row>
    <row r="9638" spans="11:14" x14ac:dyDescent="0.3">
      <c r="K9638" s="1">
        <v>40725</v>
      </c>
      <c r="M9638" t="e">
        <v>#N/A</v>
      </c>
      <c r="N9638" s="1">
        <v>40360</v>
      </c>
    </row>
    <row r="9639" spans="11:14" x14ac:dyDescent="0.3">
      <c r="K9639" s="1">
        <v>40725</v>
      </c>
      <c r="M9639" t="e">
        <v>#N/A</v>
      </c>
      <c r="N9639" s="1">
        <v>40360</v>
      </c>
    </row>
    <row r="9640" spans="11:14" x14ac:dyDescent="0.3">
      <c r="K9640" s="1">
        <v>40725</v>
      </c>
      <c r="M9640" t="e">
        <v>#N/A</v>
      </c>
      <c r="N9640" s="1">
        <v>40360</v>
      </c>
    </row>
    <row r="9641" spans="11:14" x14ac:dyDescent="0.3">
      <c r="K9641" s="1">
        <v>40725</v>
      </c>
      <c r="M9641" t="e">
        <v>#N/A</v>
      </c>
      <c r="N9641" s="1">
        <v>40360</v>
      </c>
    </row>
    <row r="9642" spans="11:14" x14ac:dyDescent="0.3">
      <c r="K9642" s="1">
        <v>40725</v>
      </c>
      <c r="M9642" t="e">
        <v>#N/A</v>
      </c>
      <c r="N9642" s="1">
        <v>40360</v>
      </c>
    </row>
    <row r="9643" spans="11:14" x14ac:dyDescent="0.3">
      <c r="K9643" s="1">
        <v>40725</v>
      </c>
      <c r="M9643" t="e">
        <v>#N/A</v>
      </c>
      <c r="N9643" s="1">
        <v>40360</v>
      </c>
    </row>
    <row r="9644" spans="11:14" x14ac:dyDescent="0.3">
      <c r="K9644" s="1">
        <v>40725</v>
      </c>
      <c r="M9644" t="e">
        <v>#N/A</v>
      </c>
      <c r="N9644" s="1">
        <v>40360</v>
      </c>
    </row>
    <row r="9645" spans="11:14" x14ac:dyDescent="0.3">
      <c r="K9645" s="1">
        <v>40725</v>
      </c>
      <c r="M9645" t="e">
        <v>#N/A</v>
      </c>
      <c r="N9645" s="1">
        <v>40360</v>
      </c>
    </row>
    <row r="9646" spans="11:14" x14ac:dyDescent="0.3">
      <c r="K9646" s="1">
        <v>40725</v>
      </c>
      <c r="M9646" t="e">
        <v>#N/A</v>
      </c>
      <c r="N9646" s="1">
        <v>40360</v>
      </c>
    </row>
    <row r="9647" spans="11:14" x14ac:dyDescent="0.3">
      <c r="K9647" s="1">
        <v>40725</v>
      </c>
      <c r="M9647" t="e">
        <v>#N/A</v>
      </c>
      <c r="N9647" s="1">
        <v>40360</v>
      </c>
    </row>
    <row r="9648" spans="11:14" x14ac:dyDescent="0.3">
      <c r="K9648" s="1">
        <v>40725</v>
      </c>
      <c r="M9648" t="e">
        <v>#N/A</v>
      </c>
      <c r="N9648" s="1">
        <v>40360</v>
      </c>
    </row>
    <row r="9649" spans="11:14" x14ac:dyDescent="0.3">
      <c r="K9649" s="1">
        <v>40725</v>
      </c>
      <c r="M9649" t="e">
        <v>#N/A</v>
      </c>
      <c r="N9649" s="1">
        <v>40360</v>
      </c>
    </row>
    <row r="9650" spans="11:14" x14ac:dyDescent="0.3">
      <c r="K9650" s="1">
        <v>40725</v>
      </c>
      <c r="M9650" t="e">
        <v>#N/A</v>
      </c>
      <c r="N9650" s="1">
        <v>40360</v>
      </c>
    </row>
    <row r="9651" spans="11:14" x14ac:dyDescent="0.3">
      <c r="K9651" s="1">
        <v>40725</v>
      </c>
      <c r="M9651" t="e">
        <v>#N/A</v>
      </c>
      <c r="N9651" s="1">
        <v>40360</v>
      </c>
    </row>
    <row r="9652" spans="11:14" x14ac:dyDescent="0.3">
      <c r="K9652" s="1">
        <v>40725</v>
      </c>
      <c r="M9652" t="e">
        <v>#N/A</v>
      </c>
      <c r="N9652" s="1">
        <v>40360</v>
      </c>
    </row>
    <row r="9653" spans="11:14" x14ac:dyDescent="0.3">
      <c r="K9653" s="1">
        <v>40725</v>
      </c>
      <c r="M9653" t="e">
        <v>#N/A</v>
      </c>
      <c r="N9653" s="1">
        <v>40360</v>
      </c>
    </row>
    <row r="9654" spans="11:14" x14ac:dyDescent="0.3">
      <c r="K9654" s="1">
        <v>40725</v>
      </c>
      <c r="M9654" t="e">
        <v>#N/A</v>
      </c>
      <c r="N9654" s="1">
        <v>40360</v>
      </c>
    </row>
    <row r="9655" spans="11:14" x14ac:dyDescent="0.3">
      <c r="K9655" s="1">
        <v>40725</v>
      </c>
      <c r="M9655" t="e">
        <v>#N/A</v>
      </c>
      <c r="N9655" s="1">
        <v>40360</v>
      </c>
    </row>
    <row r="9656" spans="11:14" x14ac:dyDescent="0.3">
      <c r="K9656" s="1">
        <v>40725</v>
      </c>
      <c r="M9656" t="e">
        <v>#N/A</v>
      </c>
      <c r="N9656" s="1">
        <v>40360</v>
      </c>
    </row>
    <row r="9657" spans="11:14" x14ac:dyDescent="0.3">
      <c r="K9657" s="1">
        <v>40725</v>
      </c>
      <c r="M9657" t="e">
        <v>#N/A</v>
      </c>
      <c r="N9657" s="1">
        <v>40360</v>
      </c>
    </row>
    <row r="9658" spans="11:14" x14ac:dyDescent="0.3">
      <c r="K9658" s="1">
        <v>40725</v>
      </c>
      <c r="M9658" t="e">
        <v>#N/A</v>
      </c>
      <c r="N9658" s="1">
        <v>40360</v>
      </c>
    </row>
    <row r="9659" spans="11:14" x14ac:dyDescent="0.3">
      <c r="K9659" s="1">
        <v>40725</v>
      </c>
      <c r="M9659" t="e">
        <v>#N/A</v>
      </c>
      <c r="N9659" s="1">
        <v>40360</v>
      </c>
    </row>
    <row r="9660" spans="11:14" x14ac:dyDescent="0.3">
      <c r="K9660" s="1">
        <v>40725</v>
      </c>
      <c r="M9660" t="e">
        <v>#N/A</v>
      </c>
      <c r="N9660" s="1">
        <v>40360</v>
      </c>
    </row>
    <row r="9661" spans="11:14" x14ac:dyDescent="0.3">
      <c r="K9661" s="1">
        <v>40725</v>
      </c>
      <c r="M9661" t="e">
        <v>#N/A</v>
      </c>
      <c r="N9661" s="1">
        <v>40360</v>
      </c>
    </row>
    <row r="9662" spans="11:14" x14ac:dyDescent="0.3">
      <c r="K9662" s="1">
        <v>40725</v>
      </c>
      <c r="M9662" t="e">
        <v>#N/A</v>
      </c>
      <c r="N9662" s="1">
        <v>40360</v>
      </c>
    </row>
    <row r="9663" spans="11:14" x14ac:dyDescent="0.3">
      <c r="K9663" s="1">
        <v>40725</v>
      </c>
      <c r="M9663" t="e">
        <v>#N/A</v>
      </c>
      <c r="N9663" s="1">
        <v>40360</v>
      </c>
    </row>
    <row r="9664" spans="11:14" x14ac:dyDescent="0.3">
      <c r="K9664" s="1">
        <v>40725</v>
      </c>
      <c r="M9664" t="e">
        <v>#N/A</v>
      </c>
      <c r="N9664" s="1">
        <v>40360</v>
      </c>
    </row>
    <row r="9665" spans="11:14" x14ac:dyDescent="0.3">
      <c r="K9665" s="1">
        <v>40725</v>
      </c>
      <c r="M9665" t="e">
        <v>#N/A</v>
      </c>
      <c r="N9665" s="1">
        <v>40360</v>
      </c>
    </row>
    <row r="9666" spans="11:14" x14ac:dyDescent="0.3">
      <c r="K9666" s="1">
        <v>40725</v>
      </c>
      <c r="M9666" t="e">
        <v>#N/A</v>
      </c>
      <c r="N9666" s="1">
        <v>40360</v>
      </c>
    </row>
    <row r="9667" spans="11:14" x14ac:dyDescent="0.3">
      <c r="K9667" s="1">
        <v>40725</v>
      </c>
      <c r="M9667" t="e">
        <v>#N/A</v>
      </c>
      <c r="N9667" s="1">
        <v>40360</v>
      </c>
    </row>
    <row r="9668" spans="11:14" x14ac:dyDescent="0.3">
      <c r="K9668" s="1">
        <v>40725</v>
      </c>
      <c r="M9668" t="e">
        <v>#N/A</v>
      </c>
      <c r="N9668" s="1">
        <v>40360</v>
      </c>
    </row>
    <row r="9669" spans="11:14" x14ac:dyDescent="0.3">
      <c r="K9669" s="1">
        <v>40725</v>
      </c>
      <c r="M9669" t="e">
        <v>#N/A</v>
      </c>
      <c r="N9669" s="1">
        <v>40360</v>
      </c>
    </row>
    <row r="9670" spans="11:14" x14ac:dyDescent="0.3">
      <c r="K9670" s="1">
        <v>40725</v>
      </c>
      <c r="M9670" t="e">
        <v>#N/A</v>
      </c>
      <c r="N9670" s="1">
        <v>40360</v>
      </c>
    </row>
    <row r="9671" spans="11:14" x14ac:dyDescent="0.3">
      <c r="K9671" s="1">
        <v>40725</v>
      </c>
      <c r="M9671" t="e">
        <v>#N/A</v>
      </c>
      <c r="N9671" s="1">
        <v>40360</v>
      </c>
    </row>
    <row r="9672" spans="11:14" x14ac:dyDescent="0.3">
      <c r="K9672" s="1">
        <v>40725</v>
      </c>
      <c r="M9672" t="e">
        <v>#N/A</v>
      </c>
      <c r="N9672" s="1">
        <v>40360</v>
      </c>
    </row>
    <row r="9673" spans="11:14" x14ac:dyDescent="0.3">
      <c r="K9673" s="1">
        <v>40725</v>
      </c>
      <c r="M9673" t="e">
        <v>#N/A</v>
      </c>
      <c r="N9673" s="1">
        <v>40360</v>
      </c>
    </row>
    <row r="9674" spans="11:14" x14ac:dyDescent="0.3">
      <c r="K9674" s="1">
        <v>40725</v>
      </c>
      <c r="M9674" t="e">
        <v>#N/A</v>
      </c>
      <c r="N9674" s="1">
        <v>40360</v>
      </c>
    </row>
    <row r="9675" spans="11:14" x14ac:dyDescent="0.3">
      <c r="K9675" s="1">
        <v>40725</v>
      </c>
      <c r="M9675" t="e">
        <v>#N/A</v>
      </c>
      <c r="N9675" s="1">
        <v>40360</v>
      </c>
    </row>
    <row r="9676" spans="11:14" x14ac:dyDescent="0.3">
      <c r="K9676" s="1">
        <v>40725</v>
      </c>
      <c r="M9676" t="e">
        <v>#N/A</v>
      </c>
      <c r="N9676" s="1">
        <v>40360</v>
      </c>
    </row>
    <row r="9677" spans="11:14" x14ac:dyDescent="0.3">
      <c r="K9677" s="1">
        <v>40725</v>
      </c>
      <c r="M9677" t="e">
        <v>#N/A</v>
      </c>
      <c r="N9677" s="1">
        <v>40360</v>
      </c>
    </row>
    <row r="9678" spans="11:14" x14ac:dyDescent="0.3">
      <c r="K9678" s="1">
        <v>40725</v>
      </c>
      <c r="M9678" t="e">
        <v>#N/A</v>
      </c>
      <c r="N9678" s="1">
        <v>40360</v>
      </c>
    </row>
    <row r="9679" spans="11:14" x14ac:dyDescent="0.3">
      <c r="K9679" s="1">
        <v>40725</v>
      </c>
      <c r="M9679" t="e">
        <v>#N/A</v>
      </c>
      <c r="N9679" s="1">
        <v>40360</v>
      </c>
    </row>
    <row r="9680" spans="11:14" x14ac:dyDescent="0.3">
      <c r="K9680" s="1">
        <v>40725</v>
      </c>
      <c r="M9680" t="e">
        <v>#N/A</v>
      </c>
      <c r="N9680" s="1">
        <v>40360</v>
      </c>
    </row>
    <row r="9681" spans="11:14" x14ac:dyDescent="0.3">
      <c r="K9681" s="1">
        <v>40725</v>
      </c>
      <c r="M9681" t="e">
        <v>#N/A</v>
      </c>
      <c r="N9681" s="1">
        <v>40360</v>
      </c>
    </row>
    <row r="9682" spans="11:14" x14ac:dyDescent="0.3">
      <c r="K9682" s="1">
        <v>40725</v>
      </c>
      <c r="M9682" t="e">
        <v>#N/A</v>
      </c>
      <c r="N9682" s="1">
        <v>40360</v>
      </c>
    </row>
    <row r="9683" spans="11:14" x14ac:dyDescent="0.3">
      <c r="K9683" s="1">
        <v>40725</v>
      </c>
      <c r="M9683" t="e">
        <v>#N/A</v>
      </c>
      <c r="N9683" s="1">
        <v>40360</v>
      </c>
    </row>
    <row r="9684" spans="11:14" x14ac:dyDescent="0.3">
      <c r="K9684" s="1">
        <v>40725</v>
      </c>
      <c r="M9684" t="e">
        <v>#N/A</v>
      </c>
      <c r="N9684" s="1">
        <v>40360</v>
      </c>
    </row>
    <row r="9685" spans="11:14" x14ac:dyDescent="0.3">
      <c r="K9685" s="1">
        <v>40725</v>
      </c>
      <c r="M9685" t="e">
        <v>#N/A</v>
      </c>
      <c r="N9685" s="1">
        <v>40360</v>
      </c>
    </row>
    <row r="9686" spans="11:14" x14ac:dyDescent="0.3">
      <c r="K9686" s="1">
        <v>40725</v>
      </c>
      <c r="M9686" t="e">
        <v>#N/A</v>
      </c>
      <c r="N9686" s="1">
        <v>40360</v>
      </c>
    </row>
    <row r="9687" spans="11:14" x14ac:dyDescent="0.3">
      <c r="K9687" s="1">
        <v>40725</v>
      </c>
      <c r="M9687" t="e">
        <v>#N/A</v>
      </c>
      <c r="N9687" s="1">
        <v>40360</v>
      </c>
    </row>
    <row r="9688" spans="11:14" x14ac:dyDescent="0.3">
      <c r="K9688" s="1">
        <v>40725</v>
      </c>
      <c r="M9688" t="e">
        <v>#N/A</v>
      </c>
      <c r="N9688" s="1">
        <v>40360</v>
      </c>
    </row>
    <row r="9689" spans="11:14" x14ac:dyDescent="0.3">
      <c r="K9689" s="1">
        <v>40725</v>
      </c>
      <c r="M9689" t="e">
        <v>#N/A</v>
      </c>
      <c r="N9689" s="1">
        <v>40360</v>
      </c>
    </row>
    <row r="9690" spans="11:14" x14ac:dyDescent="0.3">
      <c r="K9690" s="1">
        <v>40725</v>
      </c>
      <c r="M9690" t="e">
        <v>#N/A</v>
      </c>
      <c r="N9690" s="1">
        <v>40360</v>
      </c>
    </row>
    <row r="9691" spans="11:14" x14ac:dyDescent="0.3">
      <c r="K9691" s="1">
        <v>40725</v>
      </c>
      <c r="M9691" t="e">
        <v>#N/A</v>
      </c>
      <c r="N9691" s="1">
        <v>40360</v>
      </c>
    </row>
    <row r="9692" spans="11:14" x14ac:dyDescent="0.3">
      <c r="K9692" s="1">
        <v>40725</v>
      </c>
      <c r="M9692" t="e">
        <v>#N/A</v>
      </c>
      <c r="N9692" s="1">
        <v>40360</v>
      </c>
    </row>
    <row r="9693" spans="11:14" x14ac:dyDescent="0.3">
      <c r="K9693" s="1">
        <v>40725</v>
      </c>
      <c r="M9693" t="e">
        <v>#N/A</v>
      </c>
      <c r="N9693" s="1">
        <v>40360</v>
      </c>
    </row>
    <row r="9694" spans="11:14" x14ac:dyDescent="0.3">
      <c r="K9694" s="1">
        <v>40725</v>
      </c>
      <c r="M9694" t="e">
        <v>#N/A</v>
      </c>
      <c r="N9694" s="1">
        <v>40360</v>
      </c>
    </row>
    <row r="9695" spans="11:14" x14ac:dyDescent="0.3">
      <c r="K9695" s="1">
        <v>40725</v>
      </c>
      <c r="M9695" t="e">
        <v>#N/A</v>
      </c>
      <c r="N9695" s="1">
        <v>40360</v>
      </c>
    </row>
    <row r="9696" spans="11:14" x14ac:dyDescent="0.3">
      <c r="K9696" s="1">
        <v>40725</v>
      </c>
      <c r="M9696" t="e">
        <v>#N/A</v>
      </c>
      <c r="N9696" s="1">
        <v>40360</v>
      </c>
    </row>
    <row r="9697" spans="11:14" x14ac:dyDescent="0.3">
      <c r="K9697" s="1">
        <v>40725</v>
      </c>
      <c r="M9697" t="e">
        <v>#N/A</v>
      </c>
      <c r="N9697" s="1">
        <v>40360</v>
      </c>
    </row>
    <row r="9698" spans="11:14" x14ac:dyDescent="0.3">
      <c r="K9698" s="1">
        <v>40725</v>
      </c>
      <c r="M9698" t="e">
        <v>#N/A</v>
      </c>
      <c r="N9698" s="1">
        <v>40360</v>
      </c>
    </row>
    <row r="9699" spans="11:14" x14ac:dyDescent="0.3">
      <c r="K9699" s="1">
        <v>40725</v>
      </c>
      <c r="M9699" t="e">
        <v>#N/A</v>
      </c>
      <c r="N9699" s="1">
        <v>40360</v>
      </c>
    </row>
    <row r="9700" spans="11:14" x14ac:dyDescent="0.3">
      <c r="K9700" s="1">
        <v>40725</v>
      </c>
      <c r="M9700" t="e">
        <v>#N/A</v>
      </c>
      <c r="N9700" s="1">
        <v>40360</v>
      </c>
    </row>
    <row r="9701" spans="11:14" x14ac:dyDescent="0.3">
      <c r="K9701" s="1">
        <v>40725</v>
      </c>
      <c r="M9701" t="e">
        <v>#N/A</v>
      </c>
      <c r="N9701" s="1">
        <v>40360</v>
      </c>
    </row>
    <row r="9702" spans="11:14" x14ac:dyDescent="0.3">
      <c r="K9702" s="1">
        <v>40725</v>
      </c>
      <c r="M9702" t="e">
        <v>#N/A</v>
      </c>
      <c r="N9702" s="1">
        <v>40360</v>
      </c>
    </row>
    <row r="9703" spans="11:14" x14ac:dyDescent="0.3">
      <c r="K9703" s="1">
        <v>40725</v>
      </c>
      <c r="M9703" t="e">
        <v>#N/A</v>
      </c>
      <c r="N9703" s="1">
        <v>40360</v>
      </c>
    </row>
    <row r="9704" spans="11:14" x14ac:dyDescent="0.3">
      <c r="K9704" s="1">
        <v>40725</v>
      </c>
      <c r="M9704" t="e">
        <v>#N/A</v>
      </c>
      <c r="N9704" s="1">
        <v>40360</v>
      </c>
    </row>
    <row r="9705" spans="11:14" x14ac:dyDescent="0.3">
      <c r="K9705" s="1">
        <v>40725</v>
      </c>
      <c r="M9705" t="e">
        <v>#N/A</v>
      </c>
      <c r="N9705" s="1">
        <v>40360</v>
      </c>
    </row>
    <row r="9706" spans="11:14" x14ac:dyDescent="0.3">
      <c r="K9706" s="1">
        <v>40725</v>
      </c>
      <c r="M9706" t="e">
        <v>#N/A</v>
      </c>
      <c r="N9706" s="1">
        <v>40360</v>
      </c>
    </row>
    <row r="9707" spans="11:14" x14ac:dyDescent="0.3">
      <c r="K9707" s="1">
        <v>40725</v>
      </c>
      <c r="M9707" t="e">
        <v>#N/A</v>
      </c>
      <c r="N9707" s="1">
        <v>40360</v>
      </c>
    </row>
    <row r="9708" spans="11:14" x14ac:dyDescent="0.3">
      <c r="K9708" s="1">
        <v>40725</v>
      </c>
      <c r="M9708" t="e">
        <v>#N/A</v>
      </c>
      <c r="N9708" s="1">
        <v>40360</v>
      </c>
    </row>
    <row r="9709" spans="11:14" x14ac:dyDescent="0.3">
      <c r="K9709" s="1">
        <v>40725</v>
      </c>
      <c r="M9709" t="e">
        <v>#N/A</v>
      </c>
      <c r="N9709" s="1">
        <v>40360</v>
      </c>
    </row>
    <row r="9710" spans="11:14" x14ac:dyDescent="0.3">
      <c r="K9710" s="1">
        <v>40725</v>
      </c>
      <c r="M9710" t="e">
        <v>#N/A</v>
      </c>
      <c r="N9710" s="1">
        <v>40360</v>
      </c>
    </row>
    <row r="9711" spans="11:14" x14ac:dyDescent="0.3">
      <c r="K9711" s="1">
        <v>40725</v>
      </c>
      <c r="M9711" t="e">
        <v>#N/A</v>
      </c>
      <c r="N9711" s="1">
        <v>40360</v>
      </c>
    </row>
    <row r="9712" spans="11:14" x14ac:dyDescent="0.3">
      <c r="K9712" s="1">
        <v>40725</v>
      </c>
      <c r="M9712" t="e">
        <v>#N/A</v>
      </c>
      <c r="N9712" s="1">
        <v>40360</v>
      </c>
    </row>
    <row r="9713" spans="11:14" x14ac:dyDescent="0.3">
      <c r="K9713" s="1">
        <v>40725</v>
      </c>
      <c r="M9713" t="e">
        <v>#N/A</v>
      </c>
      <c r="N9713" s="1">
        <v>40360</v>
      </c>
    </row>
    <row r="9714" spans="11:14" x14ac:dyDescent="0.3">
      <c r="K9714" s="1">
        <v>40725</v>
      </c>
      <c r="M9714" t="e">
        <v>#N/A</v>
      </c>
      <c r="N9714" s="1">
        <v>40360</v>
      </c>
    </row>
    <row r="9715" spans="11:14" x14ac:dyDescent="0.3">
      <c r="K9715" s="1">
        <v>40725</v>
      </c>
      <c r="M9715" t="e">
        <v>#N/A</v>
      </c>
      <c r="N9715" s="1">
        <v>40360</v>
      </c>
    </row>
    <row r="9716" spans="11:14" x14ac:dyDescent="0.3">
      <c r="K9716" s="1">
        <v>40725</v>
      </c>
      <c r="M9716" t="e">
        <v>#N/A</v>
      </c>
      <c r="N9716" s="1">
        <v>40360</v>
      </c>
    </row>
    <row r="9717" spans="11:14" x14ac:dyDescent="0.3">
      <c r="K9717" s="1">
        <v>40725</v>
      </c>
      <c r="M9717" t="e">
        <v>#N/A</v>
      </c>
      <c r="N9717" s="1">
        <v>40360</v>
      </c>
    </row>
    <row r="9718" spans="11:14" x14ac:dyDescent="0.3">
      <c r="K9718" s="1">
        <v>40725</v>
      </c>
      <c r="M9718" t="e">
        <v>#N/A</v>
      </c>
      <c r="N9718" s="1">
        <v>40360</v>
      </c>
    </row>
    <row r="9719" spans="11:14" x14ac:dyDescent="0.3">
      <c r="K9719" s="1">
        <v>40725</v>
      </c>
      <c r="M9719" t="e">
        <v>#N/A</v>
      </c>
      <c r="N9719" s="1">
        <v>40360</v>
      </c>
    </row>
    <row r="9720" spans="11:14" x14ac:dyDescent="0.3">
      <c r="K9720" s="1">
        <v>40725</v>
      </c>
      <c r="M9720" t="e">
        <v>#N/A</v>
      </c>
      <c r="N9720" s="1">
        <v>40360</v>
      </c>
    </row>
    <row r="9721" spans="11:14" x14ac:dyDescent="0.3">
      <c r="K9721" s="1">
        <v>40725</v>
      </c>
      <c r="M9721" t="e">
        <v>#N/A</v>
      </c>
      <c r="N9721" s="1">
        <v>40360</v>
      </c>
    </row>
    <row r="9722" spans="11:14" x14ac:dyDescent="0.3">
      <c r="K9722" s="1">
        <v>40725</v>
      </c>
      <c r="M9722" t="e">
        <v>#N/A</v>
      </c>
      <c r="N9722" s="1">
        <v>40360</v>
      </c>
    </row>
    <row r="9723" spans="11:14" x14ac:dyDescent="0.3">
      <c r="K9723" s="1">
        <v>40725</v>
      </c>
      <c r="M9723" t="e">
        <v>#N/A</v>
      </c>
      <c r="N9723" s="1">
        <v>40360</v>
      </c>
    </row>
    <row r="9724" spans="11:14" x14ac:dyDescent="0.3">
      <c r="K9724" s="1">
        <v>40725</v>
      </c>
      <c r="M9724" t="e">
        <v>#N/A</v>
      </c>
      <c r="N9724" s="1">
        <v>40360</v>
      </c>
    </row>
    <row r="9725" spans="11:14" x14ac:dyDescent="0.3">
      <c r="K9725" s="1">
        <v>40725</v>
      </c>
      <c r="M9725" t="e">
        <v>#N/A</v>
      </c>
      <c r="N9725" s="1">
        <v>40360</v>
      </c>
    </row>
    <row r="9726" spans="11:14" x14ac:dyDescent="0.3">
      <c r="K9726" s="1">
        <v>40725</v>
      </c>
      <c r="M9726" t="e">
        <v>#N/A</v>
      </c>
      <c r="N9726" s="1">
        <v>40360</v>
      </c>
    </row>
    <row r="9727" spans="11:14" x14ac:dyDescent="0.3">
      <c r="K9727" s="1">
        <v>40725</v>
      </c>
      <c r="M9727" t="e">
        <v>#N/A</v>
      </c>
      <c r="N9727" s="1">
        <v>40360</v>
      </c>
    </row>
    <row r="9728" spans="11:14" x14ac:dyDescent="0.3">
      <c r="K9728" s="1">
        <v>40725</v>
      </c>
      <c r="M9728" t="e">
        <v>#N/A</v>
      </c>
      <c r="N9728" s="1">
        <v>40360</v>
      </c>
    </row>
    <row r="9729" spans="11:14" x14ac:dyDescent="0.3">
      <c r="K9729" s="1">
        <v>40725</v>
      </c>
      <c r="M9729" t="e">
        <v>#N/A</v>
      </c>
      <c r="N9729" s="1">
        <v>40360</v>
      </c>
    </row>
    <row r="9730" spans="11:14" x14ac:dyDescent="0.3">
      <c r="K9730" s="1">
        <v>40725</v>
      </c>
      <c r="M9730" t="e">
        <v>#N/A</v>
      </c>
      <c r="N9730" s="1">
        <v>40360</v>
      </c>
    </row>
    <row r="9731" spans="11:14" x14ac:dyDescent="0.3">
      <c r="K9731" s="1">
        <v>40725</v>
      </c>
      <c r="M9731" t="e">
        <v>#N/A</v>
      </c>
      <c r="N9731" s="1">
        <v>40360</v>
      </c>
    </row>
    <row r="9732" spans="11:14" x14ac:dyDescent="0.3">
      <c r="K9732" s="1">
        <v>40725</v>
      </c>
      <c r="M9732" t="e">
        <v>#N/A</v>
      </c>
      <c r="N9732" s="1">
        <v>40360</v>
      </c>
    </row>
    <row r="9733" spans="11:14" x14ac:dyDescent="0.3">
      <c r="K9733" s="1">
        <v>40725</v>
      </c>
      <c r="M9733" t="e">
        <v>#N/A</v>
      </c>
      <c r="N9733" s="1">
        <v>40360</v>
      </c>
    </row>
    <row r="9734" spans="11:14" x14ac:dyDescent="0.3">
      <c r="K9734" s="1">
        <v>40725</v>
      </c>
      <c r="M9734" t="e">
        <v>#N/A</v>
      </c>
      <c r="N9734" s="1">
        <v>40360</v>
      </c>
    </row>
    <row r="9735" spans="11:14" x14ac:dyDescent="0.3">
      <c r="K9735" s="1">
        <v>40725</v>
      </c>
      <c r="M9735" t="e">
        <v>#N/A</v>
      </c>
      <c r="N9735" s="1">
        <v>40360</v>
      </c>
    </row>
    <row r="9736" spans="11:14" x14ac:dyDescent="0.3">
      <c r="K9736" s="1">
        <v>40725</v>
      </c>
      <c r="M9736" t="e">
        <v>#N/A</v>
      </c>
      <c r="N9736" s="1">
        <v>40360</v>
      </c>
    </row>
    <row r="9737" spans="11:14" x14ac:dyDescent="0.3">
      <c r="K9737" s="1">
        <v>40725</v>
      </c>
      <c r="M9737" t="e">
        <v>#N/A</v>
      </c>
      <c r="N9737" s="1">
        <v>40360</v>
      </c>
    </row>
    <row r="9738" spans="11:14" x14ac:dyDescent="0.3">
      <c r="K9738" s="1">
        <v>40725</v>
      </c>
      <c r="M9738" t="e">
        <v>#N/A</v>
      </c>
      <c r="N9738" s="1">
        <v>40360</v>
      </c>
    </row>
    <row r="9739" spans="11:14" x14ac:dyDescent="0.3">
      <c r="K9739" s="1">
        <v>40725</v>
      </c>
      <c r="M9739" t="e">
        <v>#N/A</v>
      </c>
      <c r="N9739" s="1">
        <v>40360</v>
      </c>
    </row>
    <row r="9740" spans="11:14" x14ac:dyDescent="0.3">
      <c r="K9740" s="1">
        <v>40725</v>
      </c>
      <c r="M9740" t="e">
        <v>#N/A</v>
      </c>
      <c r="N9740" s="1">
        <v>40360</v>
      </c>
    </row>
    <row r="9741" spans="11:14" x14ac:dyDescent="0.3">
      <c r="K9741" s="1">
        <v>40725</v>
      </c>
      <c r="M9741" t="e">
        <v>#N/A</v>
      </c>
      <c r="N9741" s="1">
        <v>40360</v>
      </c>
    </row>
    <row r="9742" spans="11:14" x14ac:dyDescent="0.3">
      <c r="K9742" s="1">
        <v>40725</v>
      </c>
      <c r="M9742" t="e">
        <v>#N/A</v>
      </c>
      <c r="N9742" s="1">
        <v>40360</v>
      </c>
    </row>
    <row r="9743" spans="11:14" x14ac:dyDescent="0.3">
      <c r="K9743" s="1">
        <v>40725</v>
      </c>
      <c r="M9743" t="e">
        <v>#N/A</v>
      </c>
      <c r="N9743" s="1">
        <v>40360</v>
      </c>
    </row>
    <row r="9744" spans="11:14" x14ac:dyDescent="0.3">
      <c r="K9744" s="1">
        <v>40817</v>
      </c>
      <c r="M9744" t="e">
        <v>#N/A</v>
      </c>
      <c r="N9744" s="1">
        <v>40360</v>
      </c>
    </row>
    <row r="9745" spans="11:14" x14ac:dyDescent="0.3">
      <c r="K9745" s="1">
        <v>40817</v>
      </c>
      <c r="M9745" t="e">
        <v>#N/A</v>
      </c>
      <c r="N9745" s="1">
        <v>40360</v>
      </c>
    </row>
    <row r="9746" spans="11:14" x14ac:dyDescent="0.3">
      <c r="K9746" s="1">
        <v>40817</v>
      </c>
      <c r="M9746" t="e">
        <v>#N/A</v>
      </c>
      <c r="N9746" s="1">
        <v>40360</v>
      </c>
    </row>
    <row r="9747" spans="11:14" x14ac:dyDescent="0.3">
      <c r="K9747" s="1">
        <v>40817</v>
      </c>
      <c r="M9747" t="e">
        <v>#N/A</v>
      </c>
      <c r="N9747" s="1">
        <v>40360</v>
      </c>
    </row>
    <row r="9748" spans="11:14" x14ac:dyDescent="0.3">
      <c r="K9748" s="1">
        <v>40817</v>
      </c>
      <c r="M9748" t="e">
        <v>#N/A</v>
      </c>
      <c r="N9748" s="1">
        <v>40360</v>
      </c>
    </row>
    <row r="9749" spans="11:14" x14ac:dyDescent="0.3">
      <c r="K9749" s="1">
        <v>40817</v>
      </c>
      <c r="M9749" t="e">
        <v>#N/A</v>
      </c>
      <c r="N9749" s="1">
        <v>40360</v>
      </c>
    </row>
    <row r="9750" spans="11:14" x14ac:dyDescent="0.3">
      <c r="K9750" s="1">
        <v>40817</v>
      </c>
      <c r="M9750" t="e">
        <v>#N/A</v>
      </c>
      <c r="N9750" s="1">
        <v>40360</v>
      </c>
    </row>
    <row r="9751" spans="11:14" x14ac:dyDescent="0.3">
      <c r="K9751" s="1">
        <v>40817</v>
      </c>
      <c r="M9751" t="e">
        <v>#N/A</v>
      </c>
      <c r="N9751" s="1">
        <v>40360</v>
      </c>
    </row>
    <row r="9752" spans="11:14" x14ac:dyDescent="0.3">
      <c r="K9752" s="1">
        <v>40817</v>
      </c>
      <c r="M9752" t="e">
        <v>#N/A</v>
      </c>
      <c r="N9752" s="1">
        <v>40360</v>
      </c>
    </row>
    <row r="9753" spans="11:14" x14ac:dyDescent="0.3">
      <c r="K9753" s="1">
        <v>40817</v>
      </c>
      <c r="M9753" t="e">
        <v>#N/A</v>
      </c>
      <c r="N9753" s="1">
        <v>40360</v>
      </c>
    </row>
    <row r="9754" spans="11:14" x14ac:dyDescent="0.3">
      <c r="K9754" s="1">
        <v>40817</v>
      </c>
      <c r="M9754" t="e">
        <v>#N/A</v>
      </c>
      <c r="N9754" s="1">
        <v>40360</v>
      </c>
    </row>
    <row r="9755" spans="11:14" x14ac:dyDescent="0.3">
      <c r="K9755" s="1">
        <v>40817</v>
      </c>
      <c r="M9755" t="e">
        <v>#N/A</v>
      </c>
      <c r="N9755" s="1">
        <v>40360</v>
      </c>
    </row>
    <row r="9756" spans="11:14" x14ac:dyDescent="0.3">
      <c r="K9756" s="1">
        <v>40817</v>
      </c>
      <c r="M9756" t="e">
        <v>#N/A</v>
      </c>
      <c r="N9756" s="1">
        <v>40360</v>
      </c>
    </row>
    <row r="9757" spans="11:14" x14ac:dyDescent="0.3">
      <c r="K9757" s="1">
        <v>40817</v>
      </c>
      <c r="M9757" t="e">
        <v>#N/A</v>
      </c>
      <c r="N9757" s="1">
        <v>40360</v>
      </c>
    </row>
    <row r="9758" spans="11:14" x14ac:dyDescent="0.3">
      <c r="K9758" s="1">
        <v>40817</v>
      </c>
      <c r="M9758" t="e">
        <v>#N/A</v>
      </c>
      <c r="N9758" s="1">
        <v>40360</v>
      </c>
    </row>
    <row r="9759" spans="11:14" x14ac:dyDescent="0.3">
      <c r="K9759" s="1">
        <v>40817</v>
      </c>
      <c r="M9759" t="e">
        <v>#N/A</v>
      </c>
      <c r="N9759" s="1">
        <v>40360</v>
      </c>
    </row>
    <row r="9760" spans="11:14" x14ac:dyDescent="0.3">
      <c r="K9760" s="1">
        <v>40817</v>
      </c>
      <c r="M9760" t="e">
        <v>#N/A</v>
      </c>
      <c r="N9760" s="1">
        <v>40360</v>
      </c>
    </row>
    <row r="9761" spans="11:14" x14ac:dyDescent="0.3">
      <c r="K9761" s="1">
        <v>40817</v>
      </c>
      <c r="M9761" t="e">
        <v>#N/A</v>
      </c>
      <c r="N9761" s="1">
        <v>40360</v>
      </c>
    </row>
    <row r="9762" spans="11:14" x14ac:dyDescent="0.3">
      <c r="K9762" s="1">
        <v>40817</v>
      </c>
      <c r="M9762" t="e">
        <v>#N/A</v>
      </c>
      <c r="N9762" s="1">
        <v>40360</v>
      </c>
    </row>
    <row r="9763" spans="11:14" x14ac:dyDescent="0.3">
      <c r="K9763" s="1">
        <v>40817</v>
      </c>
      <c r="M9763" t="e">
        <v>#N/A</v>
      </c>
      <c r="N9763" s="1">
        <v>40360</v>
      </c>
    </row>
    <row r="9764" spans="11:14" x14ac:dyDescent="0.3">
      <c r="K9764" s="1">
        <v>40817</v>
      </c>
      <c r="M9764" t="e">
        <v>#N/A</v>
      </c>
      <c r="N9764" s="1">
        <v>40360</v>
      </c>
    </row>
    <row r="9765" spans="11:14" x14ac:dyDescent="0.3">
      <c r="K9765" s="1">
        <v>40817</v>
      </c>
      <c r="M9765" t="e">
        <v>#N/A</v>
      </c>
      <c r="N9765" s="1">
        <v>40360</v>
      </c>
    </row>
    <row r="9766" spans="11:14" x14ac:dyDescent="0.3">
      <c r="K9766" s="1">
        <v>40817</v>
      </c>
      <c r="M9766" t="e">
        <v>#N/A</v>
      </c>
      <c r="N9766" s="1">
        <v>40360</v>
      </c>
    </row>
    <row r="9767" spans="11:14" x14ac:dyDescent="0.3">
      <c r="K9767" s="1">
        <v>40817</v>
      </c>
      <c r="M9767" t="e">
        <v>#N/A</v>
      </c>
      <c r="N9767" s="1">
        <v>40360</v>
      </c>
    </row>
    <row r="9768" spans="11:14" x14ac:dyDescent="0.3">
      <c r="K9768" s="1">
        <v>40817</v>
      </c>
      <c r="M9768" t="e">
        <v>#N/A</v>
      </c>
      <c r="N9768" s="1">
        <v>40360</v>
      </c>
    </row>
    <row r="9769" spans="11:14" x14ac:dyDescent="0.3">
      <c r="K9769" s="1">
        <v>40817</v>
      </c>
      <c r="M9769" t="e">
        <v>#N/A</v>
      </c>
      <c r="N9769" s="1">
        <v>40360</v>
      </c>
    </row>
    <row r="9770" spans="11:14" x14ac:dyDescent="0.3">
      <c r="K9770" s="1">
        <v>40817</v>
      </c>
      <c r="M9770" t="e">
        <v>#N/A</v>
      </c>
      <c r="N9770" s="1">
        <v>40360</v>
      </c>
    </row>
    <row r="9771" spans="11:14" x14ac:dyDescent="0.3">
      <c r="K9771" s="1">
        <v>40817</v>
      </c>
      <c r="M9771" t="e">
        <v>#N/A</v>
      </c>
      <c r="N9771" s="1">
        <v>40360</v>
      </c>
    </row>
    <row r="9772" spans="11:14" x14ac:dyDescent="0.3">
      <c r="K9772" s="1">
        <v>40817</v>
      </c>
      <c r="M9772" t="e">
        <v>#N/A</v>
      </c>
      <c r="N9772" s="1">
        <v>40360</v>
      </c>
    </row>
    <row r="9773" spans="11:14" x14ac:dyDescent="0.3">
      <c r="K9773" s="1">
        <v>40817</v>
      </c>
      <c r="M9773" t="e">
        <v>#N/A</v>
      </c>
      <c r="N9773" s="1">
        <v>40360</v>
      </c>
    </row>
    <row r="9774" spans="11:14" x14ac:dyDescent="0.3">
      <c r="K9774" s="1">
        <v>40817</v>
      </c>
      <c r="M9774" t="e">
        <v>#N/A</v>
      </c>
      <c r="N9774" s="1">
        <v>40360</v>
      </c>
    </row>
    <row r="9775" spans="11:14" x14ac:dyDescent="0.3">
      <c r="K9775" s="1">
        <v>40817</v>
      </c>
      <c r="M9775" t="e">
        <v>#N/A</v>
      </c>
      <c r="N9775" s="1">
        <v>40360</v>
      </c>
    </row>
    <row r="9776" spans="11:14" x14ac:dyDescent="0.3">
      <c r="K9776" s="1">
        <v>40817</v>
      </c>
      <c r="M9776" t="e">
        <v>#N/A</v>
      </c>
      <c r="N9776" s="1">
        <v>40360</v>
      </c>
    </row>
    <row r="9777" spans="11:14" x14ac:dyDescent="0.3">
      <c r="K9777" s="1">
        <v>40817</v>
      </c>
      <c r="M9777" t="e">
        <v>#N/A</v>
      </c>
      <c r="N9777" s="1">
        <v>40360</v>
      </c>
    </row>
    <row r="9778" spans="11:14" x14ac:dyDescent="0.3">
      <c r="K9778" s="1">
        <v>40817</v>
      </c>
      <c r="M9778" t="e">
        <v>#N/A</v>
      </c>
      <c r="N9778" s="1">
        <v>40360</v>
      </c>
    </row>
    <row r="9779" spans="11:14" x14ac:dyDescent="0.3">
      <c r="K9779" s="1">
        <v>40817</v>
      </c>
      <c r="M9779" t="e">
        <v>#N/A</v>
      </c>
      <c r="N9779" s="1">
        <v>40360</v>
      </c>
    </row>
    <row r="9780" spans="11:14" x14ac:dyDescent="0.3">
      <c r="K9780" s="1">
        <v>40817</v>
      </c>
      <c r="M9780" t="e">
        <v>#N/A</v>
      </c>
      <c r="N9780" s="1">
        <v>40360</v>
      </c>
    </row>
    <row r="9781" spans="11:14" x14ac:dyDescent="0.3">
      <c r="K9781" s="1">
        <v>40817</v>
      </c>
      <c r="M9781" t="e">
        <v>#N/A</v>
      </c>
      <c r="N9781" s="1">
        <v>40360</v>
      </c>
    </row>
    <row r="9782" spans="11:14" x14ac:dyDescent="0.3">
      <c r="K9782" s="1">
        <v>40817</v>
      </c>
      <c r="M9782" t="e">
        <v>#N/A</v>
      </c>
      <c r="N9782" s="1">
        <v>40360</v>
      </c>
    </row>
    <row r="9783" spans="11:14" x14ac:dyDescent="0.3">
      <c r="K9783" s="1">
        <v>40817</v>
      </c>
      <c r="M9783" t="e">
        <v>#N/A</v>
      </c>
      <c r="N9783" s="1">
        <v>40360</v>
      </c>
    </row>
    <row r="9784" spans="11:14" x14ac:dyDescent="0.3">
      <c r="K9784" s="1">
        <v>40817</v>
      </c>
      <c r="M9784" t="e">
        <v>#N/A</v>
      </c>
      <c r="N9784" s="1">
        <v>40360</v>
      </c>
    </row>
    <row r="9785" spans="11:14" x14ac:dyDescent="0.3">
      <c r="K9785" s="1">
        <v>40817</v>
      </c>
      <c r="M9785" t="e">
        <v>#N/A</v>
      </c>
      <c r="N9785" s="1">
        <v>40360</v>
      </c>
    </row>
    <row r="9786" spans="11:14" x14ac:dyDescent="0.3">
      <c r="K9786" s="1">
        <v>40817</v>
      </c>
      <c r="M9786" t="e">
        <v>#N/A</v>
      </c>
      <c r="N9786" s="1">
        <v>40360</v>
      </c>
    </row>
    <row r="9787" spans="11:14" x14ac:dyDescent="0.3">
      <c r="K9787" s="1">
        <v>40817</v>
      </c>
      <c r="M9787" t="e">
        <v>#N/A</v>
      </c>
      <c r="N9787" s="1">
        <v>40360</v>
      </c>
    </row>
    <row r="9788" spans="11:14" x14ac:dyDescent="0.3">
      <c r="K9788" s="1">
        <v>40817</v>
      </c>
      <c r="M9788" t="e">
        <v>#N/A</v>
      </c>
      <c r="N9788" s="1">
        <v>40360</v>
      </c>
    </row>
    <row r="9789" spans="11:14" x14ac:dyDescent="0.3">
      <c r="K9789" s="1">
        <v>40817</v>
      </c>
      <c r="M9789" t="e">
        <v>#N/A</v>
      </c>
      <c r="N9789" s="1">
        <v>40360</v>
      </c>
    </row>
    <row r="9790" spans="11:14" x14ac:dyDescent="0.3">
      <c r="K9790" s="1">
        <v>40817</v>
      </c>
      <c r="M9790" t="e">
        <v>#N/A</v>
      </c>
      <c r="N9790" s="1">
        <v>40360</v>
      </c>
    </row>
    <row r="9791" spans="11:14" x14ac:dyDescent="0.3">
      <c r="K9791" s="1">
        <v>40817</v>
      </c>
      <c r="M9791" t="e">
        <v>#N/A</v>
      </c>
      <c r="N9791" s="1">
        <v>40360</v>
      </c>
    </row>
    <row r="9792" spans="11:14" x14ac:dyDescent="0.3">
      <c r="K9792" s="1">
        <v>40817</v>
      </c>
      <c r="M9792" t="e">
        <v>#N/A</v>
      </c>
      <c r="N9792" s="1">
        <v>40360</v>
      </c>
    </row>
    <row r="9793" spans="11:14" x14ac:dyDescent="0.3">
      <c r="K9793" s="1">
        <v>40817</v>
      </c>
      <c r="M9793" t="e">
        <v>#N/A</v>
      </c>
      <c r="N9793" s="1">
        <v>40360</v>
      </c>
    </row>
    <row r="9794" spans="11:14" x14ac:dyDescent="0.3">
      <c r="K9794" s="1">
        <v>40817</v>
      </c>
      <c r="M9794" t="e">
        <v>#N/A</v>
      </c>
      <c r="N9794" s="1">
        <v>40360</v>
      </c>
    </row>
    <row r="9795" spans="11:14" x14ac:dyDescent="0.3">
      <c r="K9795" s="1">
        <v>40817</v>
      </c>
      <c r="M9795" t="e">
        <v>#N/A</v>
      </c>
      <c r="N9795" s="1">
        <v>40360</v>
      </c>
    </row>
    <row r="9796" spans="11:14" x14ac:dyDescent="0.3">
      <c r="K9796" s="1">
        <v>40817</v>
      </c>
      <c r="M9796" t="e">
        <v>#N/A</v>
      </c>
      <c r="N9796" s="1">
        <v>40360</v>
      </c>
    </row>
    <row r="9797" spans="11:14" x14ac:dyDescent="0.3">
      <c r="K9797" s="1">
        <v>40817</v>
      </c>
      <c r="M9797" t="e">
        <v>#N/A</v>
      </c>
      <c r="N9797" s="1">
        <v>40360</v>
      </c>
    </row>
    <row r="9798" spans="11:14" x14ac:dyDescent="0.3">
      <c r="K9798" s="1">
        <v>40817</v>
      </c>
      <c r="M9798" t="e">
        <v>#N/A</v>
      </c>
      <c r="N9798" s="1">
        <v>40360</v>
      </c>
    </row>
    <row r="9799" spans="11:14" x14ac:dyDescent="0.3">
      <c r="K9799" s="1">
        <v>40817</v>
      </c>
      <c r="M9799" t="e">
        <v>#N/A</v>
      </c>
      <c r="N9799" s="1">
        <v>40360</v>
      </c>
    </row>
    <row r="9800" spans="11:14" x14ac:dyDescent="0.3">
      <c r="K9800" s="1">
        <v>40817</v>
      </c>
      <c r="M9800" t="e">
        <v>#N/A</v>
      </c>
      <c r="N9800" s="1">
        <v>40360</v>
      </c>
    </row>
    <row r="9801" spans="11:14" x14ac:dyDescent="0.3">
      <c r="K9801" s="1">
        <v>40817</v>
      </c>
      <c r="M9801" t="e">
        <v>#N/A</v>
      </c>
      <c r="N9801" s="1">
        <v>40360</v>
      </c>
    </row>
    <row r="9802" spans="11:14" x14ac:dyDescent="0.3">
      <c r="K9802" s="1">
        <v>40817</v>
      </c>
      <c r="M9802" t="e">
        <v>#N/A</v>
      </c>
      <c r="N9802" s="1">
        <v>40360</v>
      </c>
    </row>
    <row r="9803" spans="11:14" x14ac:dyDescent="0.3">
      <c r="K9803" s="1">
        <v>40817</v>
      </c>
      <c r="M9803" t="e">
        <v>#N/A</v>
      </c>
      <c r="N9803" s="1">
        <v>40360</v>
      </c>
    </row>
    <row r="9804" spans="11:14" x14ac:dyDescent="0.3">
      <c r="K9804" s="1">
        <v>40817</v>
      </c>
      <c r="M9804" t="e">
        <v>#N/A</v>
      </c>
      <c r="N9804" s="1">
        <v>40360</v>
      </c>
    </row>
    <row r="9805" spans="11:14" x14ac:dyDescent="0.3">
      <c r="K9805" s="1">
        <v>40817</v>
      </c>
      <c r="M9805" t="e">
        <v>#N/A</v>
      </c>
      <c r="N9805" s="1">
        <v>40360</v>
      </c>
    </row>
    <row r="9806" spans="11:14" x14ac:dyDescent="0.3">
      <c r="K9806" s="1">
        <v>40817</v>
      </c>
      <c r="M9806" t="e">
        <v>#N/A</v>
      </c>
      <c r="N9806" s="1">
        <v>40360</v>
      </c>
    </row>
    <row r="9807" spans="11:14" x14ac:dyDescent="0.3">
      <c r="K9807" s="1">
        <v>40817</v>
      </c>
      <c r="M9807" t="e">
        <v>#N/A</v>
      </c>
      <c r="N9807" s="1">
        <v>40360</v>
      </c>
    </row>
    <row r="9808" spans="11:14" x14ac:dyDescent="0.3">
      <c r="K9808" s="1">
        <v>40817</v>
      </c>
      <c r="M9808" t="e">
        <v>#N/A</v>
      </c>
      <c r="N9808" s="1">
        <v>40360</v>
      </c>
    </row>
    <row r="9809" spans="11:14" x14ac:dyDescent="0.3">
      <c r="K9809" s="1">
        <v>40817</v>
      </c>
      <c r="M9809" t="e">
        <v>#N/A</v>
      </c>
      <c r="N9809" s="1">
        <v>40360</v>
      </c>
    </row>
    <row r="9810" spans="11:14" x14ac:dyDescent="0.3">
      <c r="K9810" s="1">
        <v>40817</v>
      </c>
      <c r="M9810" t="e">
        <v>#N/A</v>
      </c>
      <c r="N9810" s="1">
        <v>40360</v>
      </c>
    </row>
    <row r="9811" spans="11:14" x14ac:dyDescent="0.3">
      <c r="K9811" s="1">
        <v>40817</v>
      </c>
      <c r="M9811" t="e">
        <v>#N/A</v>
      </c>
      <c r="N9811" s="1">
        <v>40360</v>
      </c>
    </row>
    <row r="9812" spans="11:14" x14ac:dyDescent="0.3">
      <c r="K9812" s="1">
        <v>40817</v>
      </c>
      <c r="M9812" t="e">
        <v>#N/A</v>
      </c>
      <c r="N9812" s="1">
        <v>40360</v>
      </c>
    </row>
    <row r="9813" spans="11:14" x14ac:dyDescent="0.3">
      <c r="K9813" s="1">
        <v>40817</v>
      </c>
      <c r="M9813" t="e">
        <v>#N/A</v>
      </c>
      <c r="N9813" s="1">
        <v>40360</v>
      </c>
    </row>
    <row r="9814" spans="11:14" x14ac:dyDescent="0.3">
      <c r="K9814" s="1">
        <v>40817</v>
      </c>
      <c r="M9814" t="e">
        <v>#N/A</v>
      </c>
      <c r="N9814" s="1">
        <v>40360</v>
      </c>
    </row>
    <row r="9815" spans="11:14" x14ac:dyDescent="0.3">
      <c r="K9815" s="1">
        <v>40817</v>
      </c>
      <c r="M9815" t="e">
        <v>#N/A</v>
      </c>
      <c r="N9815" s="1">
        <v>40360</v>
      </c>
    </row>
    <row r="9816" spans="11:14" x14ac:dyDescent="0.3">
      <c r="K9816" s="1">
        <v>40817</v>
      </c>
      <c r="M9816" t="e">
        <v>#N/A</v>
      </c>
      <c r="N9816" s="1">
        <v>40360</v>
      </c>
    </row>
    <row r="9817" spans="11:14" x14ac:dyDescent="0.3">
      <c r="K9817" s="1">
        <v>40817</v>
      </c>
      <c r="M9817" t="e">
        <v>#N/A</v>
      </c>
      <c r="N9817" s="1">
        <v>40360</v>
      </c>
    </row>
    <row r="9818" spans="11:14" x14ac:dyDescent="0.3">
      <c r="K9818" s="1">
        <v>40817</v>
      </c>
      <c r="M9818" t="e">
        <v>#N/A</v>
      </c>
      <c r="N9818" s="1">
        <v>40360</v>
      </c>
    </row>
    <row r="9819" spans="11:14" x14ac:dyDescent="0.3">
      <c r="K9819" s="1">
        <v>40817</v>
      </c>
      <c r="M9819" t="e">
        <v>#N/A</v>
      </c>
      <c r="N9819" s="1">
        <v>40360</v>
      </c>
    </row>
    <row r="9820" spans="11:14" x14ac:dyDescent="0.3">
      <c r="K9820" s="1">
        <v>40817</v>
      </c>
      <c r="M9820" t="e">
        <v>#N/A</v>
      </c>
      <c r="N9820" s="1">
        <v>40360</v>
      </c>
    </row>
    <row r="9821" spans="11:14" x14ac:dyDescent="0.3">
      <c r="K9821" s="1">
        <v>40817</v>
      </c>
      <c r="M9821" t="e">
        <v>#N/A</v>
      </c>
      <c r="N9821" s="1">
        <v>40360</v>
      </c>
    </row>
    <row r="9822" spans="11:14" x14ac:dyDescent="0.3">
      <c r="K9822" s="1">
        <v>40817</v>
      </c>
      <c r="M9822" t="e">
        <v>#N/A</v>
      </c>
      <c r="N9822" s="1">
        <v>40360</v>
      </c>
    </row>
    <row r="9823" spans="11:14" x14ac:dyDescent="0.3">
      <c r="K9823" s="1">
        <v>40817</v>
      </c>
      <c r="M9823" t="e">
        <v>#N/A</v>
      </c>
      <c r="N9823" s="1">
        <v>40360</v>
      </c>
    </row>
    <row r="9824" spans="11:14" x14ac:dyDescent="0.3">
      <c r="K9824" s="1">
        <v>40817</v>
      </c>
      <c r="M9824" t="e">
        <v>#N/A</v>
      </c>
      <c r="N9824" s="1">
        <v>40360</v>
      </c>
    </row>
    <row r="9825" spans="11:14" x14ac:dyDescent="0.3">
      <c r="K9825" s="1">
        <v>40817</v>
      </c>
      <c r="M9825" t="e">
        <v>#N/A</v>
      </c>
      <c r="N9825" s="1">
        <v>40360</v>
      </c>
    </row>
    <row r="9826" spans="11:14" x14ac:dyDescent="0.3">
      <c r="K9826" s="1">
        <v>40817</v>
      </c>
      <c r="M9826" t="e">
        <v>#N/A</v>
      </c>
      <c r="N9826" s="1">
        <v>40360</v>
      </c>
    </row>
    <row r="9827" spans="11:14" x14ac:dyDescent="0.3">
      <c r="K9827" s="1">
        <v>40817</v>
      </c>
      <c r="M9827" t="e">
        <v>#N/A</v>
      </c>
      <c r="N9827" s="1">
        <v>40360</v>
      </c>
    </row>
    <row r="9828" spans="11:14" x14ac:dyDescent="0.3">
      <c r="K9828" s="1">
        <v>40817</v>
      </c>
      <c r="M9828" t="e">
        <v>#N/A</v>
      </c>
      <c r="N9828" s="1">
        <v>40360</v>
      </c>
    </row>
    <row r="9829" spans="11:14" x14ac:dyDescent="0.3">
      <c r="K9829" s="1">
        <v>40817</v>
      </c>
      <c r="M9829" t="e">
        <v>#N/A</v>
      </c>
      <c r="N9829" s="1">
        <v>40360</v>
      </c>
    </row>
    <row r="9830" spans="11:14" x14ac:dyDescent="0.3">
      <c r="K9830" s="1">
        <v>40817</v>
      </c>
      <c r="M9830" t="e">
        <v>#N/A</v>
      </c>
      <c r="N9830" s="1">
        <v>40360</v>
      </c>
    </row>
    <row r="9831" spans="11:14" x14ac:dyDescent="0.3">
      <c r="K9831" s="1">
        <v>40817</v>
      </c>
      <c r="M9831" t="e">
        <v>#N/A</v>
      </c>
      <c r="N9831" s="1">
        <v>40360</v>
      </c>
    </row>
    <row r="9832" spans="11:14" x14ac:dyDescent="0.3">
      <c r="K9832" s="1">
        <v>40817</v>
      </c>
      <c r="M9832" t="e">
        <v>#N/A</v>
      </c>
      <c r="N9832" s="1">
        <v>40360</v>
      </c>
    </row>
    <row r="9833" spans="11:14" x14ac:dyDescent="0.3">
      <c r="K9833" s="1">
        <v>40817</v>
      </c>
      <c r="M9833" t="e">
        <v>#N/A</v>
      </c>
      <c r="N9833" s="1">
        <v>40360</v>
      </c>
    </row>
    <row r="9834" spans="11:14" x14ac:dyDescent="0.3">
      <c r="K9834" s="1">
        <v>40817</v>
      </c>
      <c r="M9834" t="e">
        <v>#N/A</v>
      </c>
      <c r="N9834" s="1">
        <v>40360</v>
      </c>
    </row>
    <row r="9835" spans="11:14" x14ac:dyDescent="0.3">
      <c r="K9835" s="1">
        <v>40817</v>
      </c>
      <c r="M9835" t="e">
        <v>#N/A</v>
      </c>
      <c r="N9835" s="1">
        <v>40360</v>
      </c>
    </row>
    <row r="9836" spans="11:14" x14ac:dyDescent="0.3">
      <c r="K9836" s="1">
        <v>40817</v>
      </c>
      <c r="M9836" t="e">
        <v>#N/A</v>
      </c>
      <c r="N9836" s="1">
        <v>40360</v>
      </c>
    </row>
    <row r="9837" spans="11:14" x14ac:dyDescent="0.3">
      <c r="K9837" s="1">
        <v>40817</v>
      </c>
      <c r="M9837" t="e">
        <v>#N/A</v>
      </c>
      <c r="N9837" s="1">
        <v>40360</v>
      </c>
    </row>
    <row r="9838" spans="11:14" x14ac:dyDescent="0.3">
      <c r="K9838" s="1">
        <v>40817</v>
      </c>
      <c r="M9838" t="e">
        <v>#N/A</v>
      </c>
      <c r="N9838" s="1">
        <v>40360</v>
      </c>
    </row>
    <row r="9839" spans="11:14" x14ac:dyDescent="0.3">
      <c r="K9839" s="1">
        <v>40817</v>
      </c>
      <c r="M9839" t="e">
        <v>#N/A</v>
      </c>
      <c r="N9839" s="1">
        <v>40360</v>
      </c>
    </row>
    <row r="9840" spans="11:14" x14ac:dyDescent="0.3">
      <c r="K9840" s="1">
        <v>40817</v>
      </c>
      <c r="M9840" t="e">
        <v>#N/A</v>
      </c>
      <c r="N9840" s="1">
        <v>40360</v>
      </c>
    </row>
    <row r="9841" spans="11:14" x14ac:dyDescent="0.3">
      <c r="K9841" s="1">
        <v>40817</v>
      </c>
      <c r="M9841" t="e">
        <v>#N/A</v>
      </c>
      <c r="N9841" s="1">
        <v>40360</v>
      </c>
    </row>
    <row r="9842" spans="11:14" x14ac:dyDescent="0.3">
      <c r="K9842" s="1">
        <v>40817</v>
      </c>
      <c r="M9842" t="e">
        <v>#N/A</v>
      </c>
      <c r="N9842" s="1">
        <v>40360</v>
      </c>
    </row>
    <row r="9843" spans="11:14" x14ac:dyDescent="0.3">
      <c r="K9843" s="1">
        <v>40817</v>
      </c>
      <c r="M9843" t="e">
        <v>#N/A</v>
      </c>
      <c r="N9843" s="1">
        <v>40360</v>
      </c>
    </row>
    <row r="9844" spans="11:14" x14ac:dyDescent="0.3">
      <c r="K9844" s="1">
        <v>40817</v>
      </c>
      <c r="M9844" t="e">
        <v>#N/A</v>
      </c>
      <c r="N9844" s="1">
        <v>40360</v>
      </c>
    </row>
    <row r="9845" spans="11:14" x14ac:dyDescent="0.3">
      <c r="K9845" s="1">
        <v>40817</v>
      </c>
      <c r="M9845" t="e">
        <v>#N/A</v>
      </c>
      <c r="N9845" s="1">
        <v>40360</v>
      </c>
    </row>
    <row r="9846" spans="11:14" x14ac:dyDescent="0.3">
      <c r="K9846" s="1">
        <v>40817</v>
      </c>
      <c r="M9846" t="e">
        <v>#N/A</v>
      </c>
      <c r="N9846" s="1">
        <v>40360</v>
      </c>
    </row>
    <row r="9847" spans="11:14" x14ac:dyDescent="0.3">
      <c r="K9847" s="1">
        <v>40817</v>
      </c>
      <c r="M9847" t="e">
        <v>#N/A</v>
      </c>
      <c r="N9847" s="1">
        <v>40360</v>
      </c>
    </row>
    <row r="9848" spans="11:14" x14ac:dyDescent="0.3">
      <c r="K9848" s="1">
        <v>40817</v>
      </c>
      <c r="M9848" t="e">
        <v>#N/A</v>
      </c>
      <c r="N9848" s="1">
        <v>40360</v>
      </c>
    </row>
    <row r="9849" spans="11:14" x14ac:dyDescent="0.3">
      <c r="K9849" s="1">
        <v>40817</v>
      </c>
      <c r="M9849" t="e">
        <v>#N/A</v>
      </c>
      <c r="N9849" s="1">
        <v>40360</v>
      </c>
    </row>
    <row r="9850" spans="11:14" x14ac:dyDescent="0.3">
      <c r="K9850" s="1">
        <v>40817</v>
      </c>
      <c r="M9850" t="e">
        <v>#N/A</v>
      </c>
      <c r="N9850" s="1">
        <v>40360</v>
      </c>
    </row>
    <row r="9851" spans="11:14" x14ac:dyDescent="0.3">
      <c r="K9851" s="1">
        <v>40817</v>
      </c>
      <c r="M9851" t="e">
        <v>#N/A</v>
      </c>
      <c r="N9851" s="1">
        <v>40360</v>
      </c>
    </row>
    <row r="9852" spans="11:14" x14ac:dyDescent="0.3">
      <c r="K9852" s="1">
        <v>40817</v>
      </c>
      <c r="M9852" t="e">
        <v>#N/A</v>
      </c>
      <c r="N9852" s="1">
        <v>40360</v>
      </c>
    </row>
    <row r="9853" spans="11:14" x14ac:dyDescent="0.3">
      <c r="K9853" s="1">
        <v>40817</v>
      </c>
      <c r="M9853" t="e">
        <v>#N/A</v>
      </c>
      <c r="N9853" s="1">
        <v>40360</v>
      </c>
    </row>
    <row r="9854" spans="11:14" x14ac:dyDescent="0.3">
      <c r="K9854" s="1">
        <v>40817</v>
      </c>
      <c r="M9854" t="e">
        <v>#N/A</v>
      </c>
      <c r="N9854" s="1">
        <v>40360</v>
      </c>
    </row>
    <row r="9855" spans="11:14" x14ac:dyDescent="0.3">
      <c r="K9855" s="1">
        <v>40817</v>
      </c>
      <c r="M9855" t="e">
        <v>#N/A</v>
      </c>
      <c r="N9855" s="1">
        <v>40360</v>
      </c>
    </row>
    <row r="9856" spans="11:14" x14ac:dyDescent="0.3">
      <c r="K9856" s="1">
        <v>40817</v>
      </c>
      <c r="M9856" t="e">
        <v>#N/A</v>
      </c>
      <c r="N9856" s="1">
        <v>40360</v>
      </c>
    </row>
    <row r="9857" spans="11:14" x14ac:dyDescent="0.3">
      <c r="K9857" s="1">
        <v>40817</v>
      </c>
      <c r="M9857" t="e">
        <v>#N/A</v>
      </c>
      <c r="N9857" s="1">
        <v>40360</v>
      </c>
    </row>
    <row r="9858" spans="11:14" x14ac:dyDescent="0.3">
      <c r="K9858" s="1">
        <v>40817</v>
      </c>
      <c r="M9858" t="e">
        <v>#N/A</v>
      </c>
      <c r="N9858" s="1">
        <v>40360</v>
      </c>
    </row>
    <row r="9859" spans="11:14" x14ac:dyDescent="0.3">
      <c r="K9859" s="1">
        <v>40817</v>
      </c>
      <c r="M9859" t="e">
        <v>#N/A</v>
      </c>
      <c r="N9859" s="1">
        <v>40360</v>
      </c>
    </row>
    <row r="9860" spans="11:14" x14ac:dyDescent="0.3">
      <c r="K9860" s="1">
        <v>40817</v>
      </c>
      <c r="M9860" t="e">
        <v>#N/A</v>
      </c>
      <c r="N9860" s="1">
        <v>40360</v>
      </c>
    </row>
    <row r="9861" spans="11:14" x14ac:dyDescent="0.3">
      <c r="K9861" s="1">
        <v>40817</v>
      </c>
      <c r="M9861" t="e">
        <v>#N/A</v>
      </c>
      <c r="N9861" s="1">
        <v>40360</v>
      </c>
    </row>
    <row r="9862" spans="11:14" x14ac:dyDescent="0.3">
      <c r="K9862" s="1">
        <v>40817</v>
      </c>
      <c r="M9862" t="e">
        <v>#N/A</v>
      </c>
      <c r="N9862" s="1">
        <v>40360</v>
      </c>
    </row>
    <row r="9863" spans="11:14" x14ac:dyDescent="0.3">
      <c r="K9863" s="1">
        <v>40817</v>
      </c>
      <c r="M9863" t="e">
        <v>#N/A</v>
      </c>
      <c r="N9863" s="1">
        <v>40360</v>
      </c>
    </row>
    <row r="9864" spans="11:14" x14ac:dyDescent="0.3">
      <c r="K9864" s="1">
        <v>40817</v>
      </c>
      <c r="M9864" t="e">
        <v>#N/A</v>
      </c>
      <c r="N9864" s="1">
        <v>40360</v>
      </c>
    </row>
    <row r="9865" spans="11:14" x14ac:dyDescent="0.3">
      <c r="K9865" s="1">
        <v>40817</v>
      </c>
      <c r="M9865" t="e">
        <v>#N/A</v>
      </c>
      <c r="N9865" s="1">
        <v>40360</v>
      </c>
    </row>
    <row r="9866" spans="11:14" x14ac:dyDescent="0.3">
      <c r="K9866" s="1">
        <v>40817</v>
      </c>
      <c r="M9866" t="e">
        <v>#N/A</v>
      </c>
      <c r="N9866" s="1">
        <v>40360</v>
      </c>
    </row>
    <row r="9867" spans="11:14" x14ac:dyDescent="0.3">
      <c r="K9867" s="1">
        <v>40817</v>
      </c>
      <c r="M9867" t="e">
        <v>#N/A</v>
      </c>
      <c r="N9867" s="1">
        <v>40360</v>
      </c>
    </row>
    <row r="9868" spans="11:14" x14ac:dyDescent="0.3">
      <c r="K9868" s="1">
        <v>40817</v>
      </c>
      <c r="M9868" t="e">
        <v>#N/A</v>
      </c>
      <c r="N9868" s="1">
        <v>40360</v>
      </c>
    </row>
    <row r="9869" spans="11:14" x14ac:dyDescent="0.3">
      <c r="K9869" s="1">
        <v>40817</v>
      </c>
      <c r="M9869" t="e">
        <v>#N/A</v>
      </c>
      <c r="N9869" s="1">
        <v>40360</v>
      </c>
    </row>
    <row r="9870" spans="11:14" x14ac:dyDescent="0.3">
      <c r="K9870" s="1">
        <v>40817</v>
      </c>
      <c r="M9870" t="e">
        <v>#N/A</v>
      </c>
      <c r="N9870" s="1">
        <v>40360</v>
      </c>
    </row>
    <row r="9871" spans="11:14" x14ac:dyDescent="0.3">
      <c r="K9871" s="1">
        <v>40817</v>
      </c>
      <c r="M9871" t="e">
        <v>#N/A</v>
      </c>
      <c r="N9871" s="1">
        <v>40360</v>
      </c>
    </row>
    <row r="9872" spans="11:14" x14ac:dyDescent="0.3">
      <c r="K9872" s="1">
        <v>40817</v>
      </c>
      <c r="M9872" t="e">
        <v>#N/A</v>
      </c>
      <c r="N9872" s="1">
        <v>40360</v>
      </c>
    </row>
    <row r="9873" spans="11:14" x14ac:dyDescent="0.3">
      <c r="K9873" s="1">
        <v>40817</v>
      </c>
      <c r="M9873" t="e">
        <v>#N/A</v>
      </c>
      <c r="N9873" s="1">
        <v>40360</v>
      </c>
    </row>
    <row r="9874" spans="11:14" x14ac:dyDescent="0.3">
      <c r="K9874" s="1">
        <v>40817</v>
      </c>
      <c r="M9874" t="e">
        <v>#N/A</v>
      </c>
      <c r="N9874" s="1">
        <v>40360</v>
      </c>
    </row>
    <row r="9875" spans="11:14" x14ac:dyDescent="0.3">
      <c r="K9875" s="1">
        <v>40817</v>
      </c>
      <c r="M9875" t="e">
        <v>#N/A</v>
      </c>
      <c r="N9875" s="1">
        <v>40360</v>
      </c>
    </row>
    <row r="9876" spans="11:14" x14ac:dyDescent="0.3">
      <c r="K9876" s="1">
        <v>40817</v>
      </c>
      <c r="M9876" t="e">
        <v>#N/A</v>
      </c>
      <c r="N9876" s="1">
        <v>40360</v>
      </c>
    </row>
    <row r="9877" spans="11:14" x14ac:dyDescent="0.3">
      <c r="K9877" s="1">
        <v>40817</v>
      </c>
      <c r="M9877" t="e">
        <v>#N/A</v>
      </c>
      <c r="N9877" s="1">
        <v>40360</v>
      </c>
    </row>
    <row r="9878" spans="11:14" x14ac:dyDescent="0.3">
      <c r="K9878" s="1">
        <v>40817</v>
      </c>
      <c r="M9878" t="e">
        <v>#N/A</v>
      </c>
      <c r="N9878" s="1">
        <v>40360</v>
      </c>
    </row>
    <row r="9879" spans="11:14" x14ac:dyDescent="0.3">
      <c r="K9879" s="1">
        <v>40817</v>
      </c>
      <c r="M9879" t="e">
        <v>#N/A</v>
      </c>
      <c r="N9879" s="1">
        <v>40360</v>
      </c>
    </row>
    <row r="9880" spans="11:14" x14ac:dyDescent="0.3">
      <c r="K9880" s="1">
        <v>40817</v>
      </c>
      <c r="M9880" t="e">
        <v>#N/A</v>
      </c>
      <c r="N9880" s="1">
        <v>40360</v>
      </c>
    </row>
    <row r="9881" spans="11:14" x14ac:dyDescent="0.3">
      <c r="K9881" s="1">
        <v>40817</v>
      </c>
      <c r="M9881" t="e">
        <v>#N/A</v>
      </c>
      <c r="N9881" s="1">
        <v>40360</v>
      </c>
    </row>
    <row r="9882" spans="11:14" x14ac:dyDescent="0.3">
      <c r="K9882" s="1">
        <v>40817</v>
      </c>
      <c r="M9882" t="e">
        <v>#N/A</v>
      </c>
      <c r="N9882" s="1">
        <v>40360</v>
      </c>
    </row>
    <row r="9883" spans="11:14" x14ac:dyDescent="0.3">
      <c r="K9883" s="1">
        <v>40817</v>
      </c>
      <c r="M9883" t="e">
        <v>#N/A</v>
      </c>
      <c r="N9883" s="1">
        <v>40360</v>
      </c>
    </row>
    <row r="9884" spans="11:14" x14ac:dyDescent="0.3">
      <c r="K9884" s="1">
        <v>40817</v>
      </c>
      <c r="M9884" t="e">
        <v>#N/A</v>
      </c>
      <c r="N9884" s="1">
        <v>40360</v>
      </c>
    </row>
    <row r="9885" spans="11:14" x14ac:dyDescent="0.3">
      <c r="K9885" s="1">
        <v>40817</v>
      </c>
      <c r="M9885" t="e">
        <v>#N/A</v>
      </c>
      <c r="N9885" s="1">
        <v>40360</v>
      </c>
    </row>
    <row r="9886" spans="11:14" x14ac:dyDescent="0.3">
      <c r="K9886" s="1">
        <v>40817</v>
      </c>
      <c r="M9886" t="e">
        <v>#N/A</v>
      </c>
      <c r="N9886" s="1">
        <v>40360</v>
      </c>
    </row>
    <row r="9887" spans="11:14" x14ac:dyDescent="0.3">
      <c r="K9887" s="1">
        <v>40817</v>
      </c>
      <c r="M9887" t="e">
        <v>#N/A</v>
      </c>
      <c r="N9887" s="1">
        <v>40360</v>
      </c>
    </row>
    <row r="9888" spans="11:14" x14ac:dyDescent="0.3">
      <c r="K9888" s="1">
        <v>40817</v>
      </c>
      <c r="M9888" t="e">
        <v>#N/A</v>
      </c>
      <c r="N9888" s="1">
        <v>40360</v>
      </c>
    </row>
    <row r="9889" spans="11:14" x14ac:dyDescent="0.3">
      <c r="K9889" s="1">
        <v>40817</v>
      </c>
      <c r="M9889" t="e">
        <v>#N/A</v>
      </c>
      <c r="N9889" s="1">
        <v>40360</v>
      </c>
    </row>
    <row r="9890" spans="11:14" x14ac:dyDescent="0.3">
      <c r="K9890" s="1">
        <v>40817</v>
      </c>
      <c r="M9890" t="e">
        <v>#N/A</v>
      </c>
      <c r="N9890" s="1">
        <v>40360</v>
      </c>
    </row>
    <row r="9891" spans="11:14" x14ac:dyDescent="0.3">
      <c r="K9891" s="1">
        <v>40817</v>
      </c>
      <c r="M9891" t="e">
        <v>#N/A</v>
      </c>
      <c r="N9891" s="1">
        <v>40360</v>
      </c>
    </row>
    <row r="9892" spans="11:14" x14ac:dyDescent="0.3">
      <c r="K9892" s="1">
        <v>40817</v>
      </c>
      <c r="M9892" t="e">
        <v>#N/A</v>
      </c>
      <c r="N9892" s="1">
        <v>40360</v>
      </c>
    </row>
    <row r="9893" spans="11:14" x14ac:dyDescent="0.3">
      <c r="K9893" s="1">
        <v>40817</v>
      </c>
      <c r="M9893" t="e">
        <v>#N/A</v>
      </c>
      <c r="N9893" s="1">
        <v>40360</v>
      </c>
    </row>
    <row r="9894" spans="11:14" x14ac:dyDescent="0.3">
      <c r="K9894" s="1">
        <v>40817</v>
      </c>
      <c r="M9894" t="e">
        <v>#N/A</v>
      </c>
      <c r="N9894" s="1">
        <v>40360</v>
      </c>
    </row>
    <row r="9895" spans="11:14" x14ac:dyDescent="0.3">
      <c r="K9895" s="1">
        <v>40817</v>
      </c>
      <c r="M9895" t="e">
        <v>#N/A</v>
      </c>
      <c r="N9895" s="1">
        <v>40360</v>
      </c>
    </row>
    <row r="9896" spans="11:14" x14ac:dyDescent="0.3">
      <c r="K9896" s="1">
        <v>40817</v>
      </c>
      <c r="M9896" t="e">
        <v>#N/A</v>
      </c>
      <c r="N9896" s="1">
        <v>40360</v>
      </c>
    </row>
    <row r="9897" spans="11:14" x14ac:dyDescent="0.3">
      <c r="K9897" s="1">
        <v>40817</v>
      </c>
      <c r="M9897" t="e">
        <v>#N/A</v>
      </c>
      <c r="N9897" s="1">
        <v>40360</v>
      </c>
    </row>
    <row r="9898" spans="11:14" x14ac:dyDescent="0.3">
      <c r="K9898" s="1">
        <v>40817</v>
      </c>
      <c r="M9898" t="e">
        <v>#N/A</v>
      </c>
      <c r="N9898" s="1">
        <v>40360</v>
      </c>
    </row>
    <row r="9899" spans="11:14" x14ac:dyDescent="0.3">
      <c r="K9899" s="1">
        <v>40817</v>
      </c>
      <c r="M9899" t="e">
        <v>#N/A</v>
      </c>
      <c r="N9899" s="1">
        <v>40452</v>
      </c>
    </row>
    <row r="9900" spans="11:14" x14ac:dyDescent="0.3">
      <c r="K9900" s="1">
        <v>40817</v>
      </c>
      <c r="M9900" t="e">
        <v>#N/A</v>
      </c>
      <c r="N9900" s="1">
        <v>40452</v>
      </c>
    </row>
    <row r="9901" spans="11:14" x14ac:dyDescent="0.3">
      <c r="K9901" s="1">
        <v>40817</v>
      </c>
      <c r="M9901" t="e">
        <v>#N/A</v>
      </c>
      <c r="N9901" s="1">
        <v>40452</v>
      </c>
    </row>
    <row r="9902" spans="11:14" x14ac:dyDescent="0.3">
      <c r="K9902" s="1">
        <v>40817</v>
      </c>
      <c r="M9902" t="e">
        <v>#N/A</v>
      </c>
      <c r="N9902" s="1">
        <v>40452</v>
      </c>
    </row>
    <row r="9903" spans="11:14" x14ac:dyDescent="0.3">
      <c r="K9903" s="1">
        <v>40817</v>
      </c>
      <c r="M9903" t="e">
        <v>#N/A</v>
      </c>
      <c r="N9903" s="1">
        <v>40452</v>
      </c>
    </row>
    <row r="9904" spans="11:14" x14ac:dyDescent="0.3">
      <c r="K9904" s="1">
        <v>40817</v>
      </c>
      <c r="M9904" t="e">
        <v>#N/A</v>
      </c>
      <c r="N9904" s="1">
        <v>40452</v>
      </c>
    </row>
    <row r="9905" spans="11:14" x14ac:dyDescent="0.3">
      <c r="K9905" s="1">
        <v>40817</v>
      </c>
      <c r="M9905" t="e">
        <v>#N/A</v>
      </c>
      <c r="N9905" s="1">
        <v>40452</v>
      </c>
    </row>
    <row r="9906" spans="11:14" x14ac:dyDescent="0.3">
      <c r="K9906" s="1">
        <v>40817</v>
      </c>
      <c r="M9906" t="e">
        <v>#N/A</v>
      </c>
      <c r="N9906" s="1">
        <v>40452</v>
      </c>
    </row>
    <row r="9907" spans="11:14" x14ac:dyDescent="0.3">
      <c r="K9907" s="1">
        <v>40817</v>
      </c>
      <c r="M9907" t="e">
        <v>#N/A</v>
      </c>
      <c r="N9907" s="1">
        <v>40452</v>
      </c>
    </row>
    <row r="9908" spans="11:14" x14ac:dyDescent="0.3">
      <c r="K9908" s="1">
        <v>40817</v>
      </c>
      <c r="M9908" t="e">
        <v>#N/A</v>
      </c>
      <c r="N9908" s="1">
        <v>40452</v>
      </c>
    </row>
    <row r="9909" spans="11:14" x14ac:dyDescent="0.3">
      <c r="K9909" s="1">
        <v>40817</v>
      </c>
      <c r="M9909" t="e">
        <v>#N/A</v>
      </c>
      <c r="N9909" s="1">
        <v>40452</v>
      </c>
    </row>
    <row r="9910" spans="11:14" x14ac:dyDescent="0.3">
      <c r="K9910" s="1">
        <v>40817</v>
      </c>
      <c r="M9910" t="e">
        <v>#N/A</v>
      </c>
      <c r="N9910" s="1">
        <v>40452</v>
      </c>
    </row>
    <row r="9911" spans="11:14" x14ac:dyDescent="0.3">
      <c r="K9911" s="1">
        <v>40817</v>
      </c>
      <c r="M9911" t="e">
        <v>#N/A</v>
      </c>
      <c r="N9911" s="1">
        <v>40452</v>
      </c>
    </row>
    <row r="9912" spans="11:14" x14ac:dyDescent="0.3">
      <c r="K9912" s="1">
        <v>40817</v>
      </c>
      <c r="M9912" t="e">
        <v>#N/A</v>
      </c>
      <c r="N9912" s="1">
        <v>40452</v>
      </c>
    </row>
    <row r="9913" spans="11:14" x14ac:dyDescent="0.3">
      <c r="K9913" s="1">
        <v>40817</v>
      </c>
      <c r="M9913" t="e">
        <v>#N/A</v>
      </c>
      <c r="N9913" s="1">
        <v>40452</v>
      </c>
    </row>
    <row r="9914" spans="11:14" x14ac:dyDescent="0.3">
      <c r="K9914" s="1">
        <v>40817</v>
      </c>
      <c r="M9914" t="e">
        <v>#N/A</v>
      </c>
      <c r="N9914" s="1">
        <v>40452</v>
      </c>
    </row>
    <row r="9915" spans="11:14" x14ac:dyDescent="0.3">
      <c r="K9915" s="1">
        <v>40817</v>
      </c>
      <c r="M9915" t="e">
        <v>#N/A</v>
      </c>
      <c r="N9915" s="1">
        <v>40452</v>
      </c>
    </row>
    <row r="9916" spans="11:14" x14ac:dyDescent="0.3">
      <c r="K9916" s="1">
        <v>40817</v>
      </c>
      <c r="M9916" t="e">
        <v>#N/A</v>
      </c>
      <c r="N9916" s="1">
        <v>40452</v>
      </c>
    </row>
    <row r="9917" spans="11:14" x14ac:dyDescent="0.3">
      <c r="K9917" s="1">
        <v>40817</v>
      </c>
      <c r="M9917" t="e">
        <v>#N/A</v>
      </c>
      <c r="N9917" s="1">
        <v>40452</v>
      </c>
    </row>
    <row r="9918" spans="11:14" x14ac:dyDescent="0.3">
      <c r="K9918" s="1">
        <v>40817</v>
      </c>
      <c r="M9918" t="e">
        <v>#N/A</v>
      </c>
      <c r="N9918" s="1">
        <v>40452</v>
      </c>
    </row>
    <row r="9919" spans="11:14" x14ac:dyDescent="0.3">
      <c r="K9919" s="1">
        <v>40817</v>
      </c>
      <c r="M9919" t="e">
        <v>#N/A</v>
      </c>
      <c r="N9919" s="1">
        <v>40452</v>
      </c>
    </row>
    <row r="9920" spans="11:14" x14ac:dyDescent="0.3">
      <c r="K9920" s="1">
        <v>40817</v>
      </c>
      <c r="M9920" t="e">
        <v>#N/A</v>
      </c>
      <c r="N9920" s="1">
        <v>40452</v>
      </c>
    </row>
    <row r="9921" spans="11:14" x14ac:dyDescent="0.3">
      <c r="K9921" s="1">
        <v>40817</v>
      </c>
      <c r="M9921" t="e">
        <v>#N/A</v>
      </c>
      <c r="N9921" s="1">
        <v>40452</v>
      </c>
    </row>
    <row r="9922" spans="11:14" x14ac:dyDescent="0.3">
      <c r="K9922" s="1">
        <v>40817</v>
      </c>
      <c r="M9922" t="e">
        <v>#N/A</v>
      </c>
      <c r="N9922" s="1">
        <v>40452</v>
      </c>
    </row>
    <row r="9923" spans="11:14" x14ac:dyDescent="0.3">
      <c r="K9923" s="1">
        <v>40817</v>
      </c>
      <c r="M9923" t="e">
        <v>#N/A</v>
      </c>
      <c r="N9923" s="1">
        <v>40452</v>
      </c>
    </row>
    <row r="9924" spans="11:14" x14ac:dyDescent="0.3">
      <c r="K9924" s="1">
        <v>40817</v>
      </c>
      <c r="M9924" t="e">
        <v>#N/A</v>
      </c>
      <c r="N9924" s="1">
        <v>40452</v>
      </c>
    </row>
    <row r="9925" spans="11:14" x14ac:dyDescent="0.3">
      <c r="K9925" s="1">
        <v>40817</v>
      </c>
      <c r="M9925" t="e">
        <v>#N/A</v>
      </c>
      <c r="N9925" s="1">
        <v>40452</v>
      </c>
    </row>
    <row r="9926" spans="11:14" x14ac:dyDescent="0.3">
      <c r="K9926" s="1">
        <v>40817</v>
      </c>
      <c r="M9926" t="e">
        <v>#N/A</v>
      </c>
      <c r="N9926" s="1">
        <v>40452</v>
      </c>
    </row>
    <row r="9927" spans="11:14" x14ac:dyDescent="0.3">
      <c r="K9927" s="1">
        <v>40817</v>
      </c>
      <c r="M9927" t="e">
        <v>#N/A</v>
      </c>
      <c r="N9927" s="1">
        <v>40452</v>
      </c>
    </row>
    <row r="9928" spans="11:14" x14ac:dyDescent="0.3">
      <c r="K9928" s="1">
        <v>40817</v>
      </c>
      <c r="M9928" t="e">
        <v>#N/A</v>
      </c>
      <c r="N9928" s="1">
        <v>40452</v>
      </c>
    </row>
    <row r="9929" spans="11:14" x14ac:dyDescent="0.3">
      <c r="K9929" s="1">
        <v>40817</v>
      </c>
      <c r="M9929" t="e">
        <v>#N/A</v>
      </c>
      <c r="N9929" s="1">
        <v>40452</v>
      </c>
    </row>
    <row r="9930" spans="11:14" x14ac:dyDescent="0.3">
      <c r="K9930" s="1">
        <v>40817</v>
      </c>
      <c r="M9930" t="e">
        <v>#N/A</v>
      </c>
      <c r="N9930" s="1">
        <v>40452</v>
      </c>
    </row>
    <row r="9931" spans="11:14" x14ac:dyDescent="0.3">
      <c r="K9931" s="1">
        <v>40817</v>
      </c>
      <c r="M9931" t="e">
        <v>#N/A</v>
      </c>
      <c r="N9931" s="1">
        <v>40452</v>
      </c>
    </row>
    <row r="9932" spans="11:14" x14ac:dyDescent="0.3">
      <c r="K9932" s="1">
        <v>40817</v>
      </c>
      <c r="M9932" t="e">
        <v>#N/A</v>
      </c>
      <c r="N9932" s="1">
        <v>40452</v>
      </c>
    </row>
    <row r="9933" spans="11:14" x14ac:dyDescent="0.3">
      <c r="K9933" s="1">
        <v>40817</v>
      </c>
      <c r="M9933" t="e">
        <v>#N/A</v>
      </c>
      <c r="N9933" s="1">
        <v>40452</v>
      </c>
    </row>
    <row r="9934" spans="11:14" x14ac:dyDescent="0.3">
      <c r="K9934" s="1">
        <v>40817</v>
      </c>
      <c r="M9934" t="e">
        <v>#N/A</v>
      </c>
      <c r="N9934" s="1">
        <v>40452</v>
      </c>
    </row>
    <row r="9935" spans="11:14" x14ac:dyDescent="0.3">
      <c r="K9935" s="1">
        <v>40817</v>
      </c>
      <c r="M9935" t="e">
        <v>#N/A</v>
      </c>
      <c r="N9935" s="1">
        <v>40452</v>
      </c>
    </row>
    <row r="9936" spans="11:14" x14ac:dyDescent="0.3">
      <c r="K9936" s="1">
        <v>40817</v>
      </c>
      <c r="M9936" t="e">
        <v>#N/A</v>
      </c>
      <c r="N9936" s="1">
        <v>40452</v>
      </c>
    </row>
    <row r="9937" spans="11:14" x14ac:dyDescent="0.3">
      <c r="K9937" s="1">
        <v>40817</v>
      </c>
      <c r="M9937" t="e">
        <v>#N/A</v>
      </c>
      <c r="N9937" s="1">
        <v>40452</v>
      </c>
    </row>
    <row r="9938" spans="11:14" x14ac:dyDescent="0.3">
      <c r="K9938" s="1">
        <v>40817</v>
      </c>
      <c r="M9938" t="e">
        <v>#N/A</v>
      </c>
      <c r="N9938" s="1">
        <v>40452</v>
      </c>
    </row>
    <row r="9939" spans="11:14" x14ac:dyDescent="0.3">
      <c r="K9939" s="1">
        <v>40817</v>
      </c>
      <c r="M9939" t="e">
        <v>#N/A</v>
      </c>
      <c r="N9939" s="1">
        <v>40452</v>
      </c>
    </row>
    <row r="9940" spans="11:14" x14ac:dyDescent="0.3">
      <c r="K9940" s="1">
        <v>40817</v>
      </c>
      <c r="M9940" t="e">
        <v>#N/A</v>
      </c>
      <c r="N9940" s="1">
        <v>40452</v>
      </c>
    </row>
    <row r="9941" spans="11:14" x14ac:dyDescent="0.3">
      <c r="K9941" s="1">
        <v>40817</v>
      </c>
      <c r="M9941" t="e">
        <v>#N/A</v>
      </c>
      <c r="N9941" s="1">
        <v>40452</v>
      </c>
    </row>
    <row r="9942" spans="11:14" x14ac:dyDescent="0.3">
      <c r="K9942" s="1">
        <v>40817</v>
      </c>
      <c r="M9942" t="e">
        <v>#N/A</v>
      </c>
      <c r="N9942" s="1">
        <v>40452</v>
      </c>
    </row>
    <row r="9943" spans="11:14" x14ac:dyDescent="0.3">
      <c r="K9943" s="1">
        <v>40817</v>
      </c>
      <c r="M9943" t="e">
        <v>#N/A</v>
      </c>
      <c r="N9943" s="1">
        <v>40452</v>
      </c>
    </row>
    <row r="9944" spans="11:14" x14ac:dyDescent="0.3">
      <c r="K9944" s="1">
        <v>40817</v>
      </c>
      <c r="M9944" t="e">
        <v>#N/A</v>
      </c>
      <c r="N9944" s="1">
        <v>40452</v>
      </c>
    </row>
    <row r="9945" spans="11:14" x14ac:dyDescent="0.3">
      <c r="K9945" s="1">
        <v>40817</v>
      </c>
      <c r="M9945" t="e">
        <v>#N/A</v>
      </c>
      <c r="N9945" s="1">
        <v>40452</v>
      </c>
    </row>
    <row r="9946" spans="11:14" x14ac:dyDescent="0.3">
      <c r="K9946" s="1">
        <v>40817</v>
      </c>
      <c r="M9946" t="e">
        <v>#N/A</v>
      </c>
      <c r="N9946" s="1">
        <v>40452</v>
      </c>
    </row>
    <row r="9947" spans="11:14" x14ac:dyDescent="0.3">
      <c r="K9947" s="1">
        <v>40817</v>
      </c>
      <c r="M9947" t="e">
        <v>#N/A</v>
      </c>
      <c r="N9947" s="1">
        <v>40452</v>
      </c>
    </row>
    <row r="9948" spans="11:14" x14ac:dyDescent="0.3">
      <c r="K9948" s="1">
        <v>40817</v>
      </c>
      <c r="M9948" t="e">
        <v>#N/A</v>
      </c>
      <c r="N9948" s="1">
        <v>40452</v>
      </c>
    </row>
    <row r="9949" spans="11:14" x14ac:dyDescent="0.3">
      <c r="K9949" s="1">
        <v>40817</v>
      </c>
      <c r="M9949" t="e">
        <v>#N/A</v>
      </c>
      <c r="N9949" s="1">
        <v>40452</v>
      </c>
    </row>
    <row r="9950" spans="11:14" x14ac:dyDescent="0.3">
      <c r="K9950" s="1">
        <v>40817</v>
      </c>
      <c r="M9950" t="e">
        <v>#N/A</v>
      </c>
      <c r="N9950" s="1">
        <v>40452</v>
      </c>
    </row>
    <row r="9951" spans="11:14" x14ac:dyDescent="0.3">
      <c r="K9951" s="1">
        <v>40817</v>
      </c>
      <c r="M9951" t="e">
        <v>#N/A</v>
      </c>
      <c r="N9951" s="1">
        <v>40452</v>
      </c>
    </row>
    <row r="9952" spans="11:14" x14ac:dyDescent="0.3">
      <c r="K9952" s="1">
        <v>40817</v>
      </c>
      <c r="M9952" t="e">
        <v>#N/A</v>
      </c>
      <c r="N9952" s="1">
        <v>40452</v>
      </c>
    </row>
    <row r="9953" spans="11:14" x14ac:dyDescent="0.3">
      <c r="K9953" s="1">
        <v>40817</v>
      </c>
      <c r="M9953" t="e">
        <v>#N/A</v>
      </c>
      <c r="N9953" s="1">
        <v>40452</v>
      </c>
    </row>
    <row r="9954" spans="11:14" x14ac:dyDescent="0.3">
      <c r="K9954" s="1">
        <v>40817</v>
      </c>
      <c r="M9954" t="e">
        <v>#N/A</v>
      </c>
      <c r="N9954" s="1">
        <v>40452</v>
      </c>
    </row>
    <row r="9955" spans="11:14" x14ac:dyDescent="0.3">
      <c r="K9955" s="1">
        <v>40817</v>
      </c>
      <c r="M9955" t="e">
        <v>#N/A</v>
      </c>
      <c r="N9955" s="1">
        <v>40452</v>
      </c>
    </row>
    <row r="9956" spans="11:14" x14ac:dyDescent="0.3">
      <c r="K9956" s="1">
        <v>40817</v>
      </c>
      <c r="M9956" t="e">
        <v>#N/A</v>
      </c>
      <c r="N9956" s="1">
        <v>40452</v>
      </c>
    </row>
    <row r="9957" spans="11:14" x14ac:dyDescent="0.3">
      <c r="K9957" s="1">
        <v>40817</v>
      </c>
      <c r="M9957" t="e">
        <v>#N/A</v>
      </c>
      <c r="N9957" s="1">
        <v>40452</v>
      </c>
    </row>
    <row r="9958" spans="11:14" x14ac:dyDescent="0.3">
      <c r="K9958" s="1">
        <v>40817</v>
      </c>
      <c r="M9958" t="e">
        <v>#N/A</v>
      </c>
      <c r="N9958" s="1">
        <v>40452</v>
      </c>
    </row>
    <row r="9959" spans="11:14" x14ac:dyDescent="0.3">
      <c r="K9959" s="1">
        <v>40817</v>
      </c>
      <c r="M9959" t="e">
        <v>#N/A</v>
      </c>
      <c r="N9959" s="1">
        <v>40452</v>
      </c>
    </row>
    <row r="9960" spans="11:14" x14ac:dyDescent="0.3">
      <c r="K9960" s="1">
        <v>40817</v>
      </c>
      <c r="M9960" t="e">
        <v>#N/A</v>
      </c>
      <c r="N9960" s="1">
        <v>40452</v>
      </c>
    </row>
    <row r="9961" spans="11:14" x14ac:dyDescent="0.3">
      <c r="K9961" s="1">
        <v>40817</v>
      </c>
      <c r="M9961" t="e">
        <v>#N/A</v>
      </c>
      <c r="N9961" s="1">
        <v>40452</v>
      </c>
    </row>
    <row r="9962" spans="11:14" x14ac:dyDescent="0.3">
      <c r="K9962" s="1">
        <v>40817</v>
      </c>
      <c r="M9962" t="e">
        <v>#N/A</v>
      </c>
      <c r="N9962" s="1">
        <v>40452</v>
      </c>
    </row>
    <row r="9963" spans="11:14" x14ac:dyDescent="0.3">
      <c r="K9963" s="1">
        <v>40817</v>
      </c>
      <c r="M9963" t="e">
        <v>#N/A</v>
      </c>
      <c r="N9963" s="1">
        <v>40452</v>
      </c>
    </row>
    <row r="9964" spans="11:14" x14ac:dyDescent="0.3">
      <c r="K9964" s="1">
        <v>40817</v>
      </c>
      <c r="M9964" t="e">
        <v>#N/A</v>
      </c>
      <c r="N9964" s="1">
        <v>40452</v>
      </c>
    </row>
    <row r="9965" spans="11:14" x14ac:dyDescent="0.3">
      <c r="K9965" s="1">
        <v>40817</v>
      </c>
      <c r="M9965" t="e">
        <v>#N/A</v>
      </c>
      <c r="N9965" s="1">
        <v>40452</v>
      </c>
    </row>
    <row r="9966" spans="11:14" x14ac:dyDescent="0.3">
      <c r="K9966" s="1">
        <v>40817</v>
      </c>
      <c r="M9966" t="e">
        <v>#N/A</v>
      </c>
      <c r="N9966" s="1">
        <v>40452</v>
      </c>
    </row>
    <row r="9967" spans="11:14" x14ac:dyDescent="0.3">
      <c r="K9967" s="1">
        <v>40817</v>
      </c>
      <c r="M9967" t="e">
        <v>#N/A</v>
      </c>
      <c r="N9967" s="1">
        <v>40452</v>
      </c>
    </row>
    <row r="9968" spans="11:14" x14ac:dyDescent="0.3">
      <c r="K9968" s="1">
        <v>40817</v>
      </c>
      <c r="M9968" t="e">
        <v>#N/A</v>
      </c>
      <c r="N9968" s="1">
        <v>40452</v>
      </c>
    </row>
    <row r="9969" spans="11:14" x14ac:dyDescent="0.3">
      <c r="K9969" s="1">
        <v>40817</v>
      </c>
      <c r="M9969" t="e">
        <v>#N/A</v>
      </c>
      <c r="N9969" s="1">
        <v>40452</v>
      </c>
    </row>
    <row r="9970" spans="11:14" x14ac:dyDescent="0.3">
      <c r="K9970" s="1">
        <v>40817</v>
      </c>
      <c r="M9970" t="e">
        <v>#N/A</v>
      </c>
      <c r="N9970" s="1">
        <v>40452</v>
      </c>
    </row>
    <row r="9971" spans="11:14" x14ac:dyDescent="0.3">
      <c r="K9971" s="1">
        <v>40817</v>
      </c>
      <c r="M9971" t="e">
        <v>#N/A</v>
      </c>
      <c r="N9971" s="1">
        <v>40452</v>
      </c>
    </row>
    <row r="9972" spans="11:14" x14ac:dyDescent="0.3">
      <c r="K9972" s="1">
        <v>40817</v>
      </c>
      <c r="M9972" t="e">
        <v>#N/A</v>
      </c>
      <c r="N9972" s="1">
        <v>40452</v>
      </c>
    </row>
    <row r="9973" spans="11:14" x14ac:dyDescent="0.3">
      <c r="K9973" s="1">
        <v>40817</v>
      </c>
      <c r="M9973" t="e">
        <v>#N/A</v>
      </c>
      <c r="N9973" s="1">
        <v>40452</v>
      </c>
    </row>
    <row r="9974" spans="11:14" x14ac:dyDescent="0.3">
      <c r="K9974" s="1">
        <v>40817</v>
      </c>
      <c r="M9974" t="e">
        <v>#N/A</v>
      </c>
      <c r="N9974" s="1">
        <v>40452</v>
      </c>
    </row>
    <row r="9975" spans="11:14" x14ac:dyDescent="0.3">
      <c r="K9975" s="1">
        <v>40817</v>
      </c>
      <c r="M9975" t="e">
        <v>#N/A</v>
      </c>
      <c r="N9975" s="1">
        <v>40452</v>
      </c>
    </row>
    <row r="9976" spans="11:14" x14ac:dyDescent="0.3">
      <c r="K9976" s="1">
        <v>40817</v>
      </c>
      <c r="M9976" t="e">
        <v>#N/A</v>
      </c>
      <c r="N9976" s="1">
        <v>40452</v>
      </c>
    </row>
    <row r="9977" spans="11:14" x14ac:dyDescent="0.3">
      <c r="K9977" s="1">
        <v>40817</v>
      </c>
      <c r="M9977" t="e">
        <v>#N/A</v>
      </c>
      <c r="N9977" s="1">
        <v>40452</v>
      </c>
    </row>
    <row r="9978" spans="11:14" x14ac:dyDescent="0.3">
      <c r="K9978" s="1">
        <v>40817</v>
      </c>
      <c r="M9978" t="e">
        <v>#N/A</v>
      </c>
      <c r="N9978" s="1">
        <v>40452</v>
      </c>
    </row>
    <row r="9979" spans="11:14" x14ac:dyDescent="0.3">
      <c r="K9979" s="1">
        <v>40817</v>
      </c>
      <c r="M9979" t="e">
        <v>#N/A</v>
      </c>
      <c r="N9979" s="1">
        <v>40452</v>
      </c>
    </row>
    <row r="9980" spans="11:14" x14ac:dyDescent="0.3">
      <c r="K9980" s="1">
        <v>40817</v>
      </c>
      <c r="M9980" t="e">
        <v>#N/A</v>
      </c>
      <c r="N9980" s="1">
        <v>40452</v>
      </c>
    </row>
    <row r="9981" spans="11:14" x14ac:dyDescent="0.3">
      <c r="K9981" s="1">
        <v>40817</v>
      </c>
      <c r="M9981" t="e">
        <v>#N/A</v>
      </c>
      <c r="N9981" s="1">
        <v>40452</v>
      </c>
    </row>
    <row r="9982" spans="11:14" x14ac:dyDescent="0.3">
      <c r="K9982" s="1">
        <v>40817</v>
      </c>
      <c r="M9982" t="e">
        <v>#N/A</v>
      </c>
      <c r="N9982" s="1">
        <v>40452</v>
      </c>
    </row>
    <row r="9983" spans="11:14" x14ac:dyDescent="0.3">
      <c r="K9983" s="1">
        <v>40817</v>
      </c>
      <c r="M9983" t="e">
        <v>#N/A</v>
      </c>
      <c r="N9983" s="1">
        <v>40452</v>
      </c>
    </row>
    <row r="9984" spans="11:14" x14ac:dyDescent="0.3">
      <c r="K9984" s="1">
        <v>40817</v>
      </c>
      <c r="M9984" t="e">
        <v>#N/A</v>
      </c>
      <c r="N9984" s="1">
        <v>40452</v>
      </c>
    </row>
    <row r="9985" spans="11:14" x14ac:dyDescent="0.3">
      <c r="K9985" s="1">
        <v>40817</v>
      </c>
      <c r="M9985" t="e">
        <v>#N/A</v>
      </c>
      <c r="N9985" s="1">
        <v>40452</v>
      </c>
    </row>
    <row r="9986" spans="11:14" x14ac:dyDescent="0.3">
      <c r="K9986" s="1">
        <v>40817</v>
      </c>
      <c r="M9986" t="e">
        <v>#N/A</v>
      </c>
      <c r="N9986" s="1">
        <v>40452</v>
      </c>
    </row>
    <row r="9987" spans="11:14" x14ac:dyDescent="0.3">
      <c r="K9987" s="1">
        <v>40817</v>
      </c>
      <c r="M9987" t="e">
        <v>#N/A</v>
      </c>
      <c r="N9987" s="1">
        <v>40452</v>
      </c>
    </row>
    <row r="9988" spans="11:14" x14ac:dyDescent="0.3">
      <c r="K9988" s="1">
        <v>40817</v>
      </c>
      <c r="M9988" t="e">
        <v>#N/A</v>
      </c>
      <c r="N9988" s="1">
        <v>40452</v>
      </c>
    </row>
    <row r="9989" spans="11:14" x14ac:dyDescent="0.3">
      <c r="K9989" s="1">
        <v>40817</v>
      </c>
      <c r="M9989" t="e">
        <v>#N/A</v>
      </c>
      <c r="N9989" s="1">
        <v>40452</v>
      </c>
    </row>
    <row r="9990" spans="11:14" x14ac:dyDescent="0.3">
      <c r="K9990" s="1">
        <v>40817</v>
      </c>
      <c r="M9990" t="e">
        <v>#N/A</v>
      </c>
      <c r="N9990" s="1">
        <v>40452</v>
      </c>
    </row>
    <row r="9991" spans="11:14" x14ac:dyDescent="0.3">
      <c r="K9991" s="1">
        <v>40817</v>
      </c>
      <c r="M9991" t="e">
        <v>#N/A</v>
      </c>
      <c r="N9991" s="1">
        <v>40452</v>
      </c>
    </row>
    <row r="9992" spans="11:14" x14ac:dyDescent="0.3">
      <c r="K9992" s="1">
        <v>40817</v>
      </c>
      <c r="M9992" t="e">
        <v>#N/A</v>
      </c>
      <c r="N9992" s="1">
        <v>40452</v>
      </c>
    </row>
    <row r="9993" spans="11:14" x14ac:dyDescent="0.3">
      <c r="K9993" s="1">
        <v>40817</v>
      </c>
      <c r="M9993" t="e">
        <v>#N/A</v>
      </c>
      <c r="N9993" s="1">
        <v>40452</v>
      </c>
    </row>
    <row r="9994" spans="11:14" x14ac:dyDescent="0.3">
      <c r="K9994" s="1">
        <v>40817</v>
      </c>
      <c r="M9994" t="e">
        <v>#N/A</v>
      </c>
      <c r="N9994" s="1">
        <v>40452</v>
      </c>
    </row>
    <row r="9995" spans="11:14" x14ac:dyDescent="0.3">
      <c r="K9995" s="1">
        <v>40817</v>
      </c>
      <c r="M9995" t="e">
        <v>#N/A</v>
      </c>
      <c r="N9995" s="1">
        <v>40452</v>
      </c>
    </row>
    <row r="9996" spans="11:14" x14ac:dyDescent="0.3">
      <c r="K9996" s="1">
        <v>40817</v>
      </c>
      <c r="M9996" t="e">
        <v>#N/A</v>
      </c>
      <c r="N9996" s="1">
        <v>40452</v>
      </c>
    </row>
    <row r="9997" spans="11:14" x14ac:dyDescent="0.3">
      <c r="K9997" s="1">
        <v>40817</v>
      </c>
      <c r="M9997" t="e">
        <v>#N/A</v>
      </c>
      <c r="N9997" s="1">
        <v>40452</v>
      </c>
    </row>
    <row r="9998" spans="11:14" x14ac:dyDescent="0.3">
      <c r="K9998" s="1">
        <v>40817</v>
      </c>
      <c r="M9998" t="e">
        <v>#N/A</v>
      </c>
      <c r="N9998" s="1">
        <v>40452</v>
      </c>
    </row>
    <row r="9999" spans="11:14" x14ac:dyDescent="0.3">
      <c r="K9999" s="1">
        <v>40817</v>
      </c>
      <c r="M9999" t="e">
        <v>#N/A</v>
      </c>
      <c r="N9999" s="1">
        <v>40452</v>
      </c>
    </row>
    <row r="10000" spans="11:14" x14ac:dyDescent="0.3">
      <c r="K10000" s="1">
        <v>40817</v>
      </c>
      <c r="M10000" t="e">
        <v>#N/A</v>
      </c>
      <c r="N10000" s="1">
        <v>40452</v>
      </c>
    </row>
    <row r="10001" spans="11:14" x14ac:dyDescent="0.3">
      <c r="K10001" s="1">
        <v>40817</v>
      </c>
      <c r="M10001" t="e">
        <v>#N/A</v>
      </c>
      <c r="N10001" s="1">
        <v>40452</v>
      </c>
    </row>
    <row r="10002" spans="11:14" x14ac:dyDescent="0.3">
      <c r="K10002" s="1">
        <v>40817</v>
      </c>
      <c r="M10002" t="e">
        <v>#N/A</v>
      </c>
      <c r="N10002" s="1">
        <v>40452</v>
      </c>
    </row>
    <row r="10003" spans="11:14" x14ac:dyDescent="0.3">
      <c r="K10003" s="1">
        <v>40817</v>
      </c>
      <c r="M10003" t="e">
        <v>#N/A</v>
      </c>
      <c r="N10003" s="1">
        <v>40452</v>
      </c>
    </row>
    <row r="10004" spans="11:14" x14ac:dyDescent="0.3">
      <c r="K10004" s="1">
        <v>40817</v>
      </c>
      <c r="M10004" t="e">
        <v>#N/A</v>
      </c>
      <c r="N10004" s="1">
        <v>40452</v>
      </c>
    </row>
    <row r="10005" spans="11:14" x14ac:dyDescent="0.3">
      <c r="K10005" s="1">
        <v>40817</v>
      </c>
      <c r="M10005" t="e">
        <v>#N/A</v>
      </c>
      <c r="N10005" s="1">
        <v>40452</v>
      </c>
    </row>
    <row r="10006" spans="11:14" x14ac:dyDescent="0.3">
      <c r="K10006" s="1">
        <v>40817</v>
      </c>
      <c r="M10006" t="e">
        <v>#N/A</v>
      </c>
      <c r="N10006" s="1">
        <v>40452</v>
      </c>
    </row>
    <row r="10007" spans="11:14" x14ac:dyDescent="0.3">
      <c r="K10007" s="1">
        <v>40817</v>
      </c>
      <c r="M10007" t="e">
        <v>#N/A</v>
      </c>
      <c r="N10007" s="1">
        <v>40452</v>
      </c>
    </row>
    <row r="10008" spans="11:14" x14ac:dyDescent="0.3">
      <c r="K10008" s="1">
        <v>40817</v>
      </c>
      <c r="M10008" t="e">
        <v>#N/A</v>
      </c>
      <c r="N10008" s="1">
        <v>40452</v>
      </c>
    </row>
    <row r="10009" spans="11:14" x14ac:dyDescent="0.3">
      <c r="K10009" s="1">
        <v>40817</v>
      </c>
      <c r="M10009" t="e">
        <v>#N/A</v>
      </c>
      <c r="N10009" s="1">
        <v>40452</v>
      </c>
    </row>
    <row r="10010" spans="11:14" x14ac:dyDescent="0.3">
      <c r="K10010" s="1">
        <v>40817</v>
      </c>
      <c r="M10010" t="e">
        <v>#N/A</v>
      </c>
      <c r="N10010" s="1">
        <v>40452</v>
      </c>
    </row>
    <row r="10011" spans="11:14" x14ac:dyDescent="0.3">
      <c r="K10011" s="1">
        <v>40817</v>
      </c>
      <c r="M10011" t="e">
        <v>#N/A</v>
      </c>
      <c r="N10011" s="1">
        <v>40452</v>
      </c>
    </row>
    <row r="10012" spans="11:14" x14ac:dyDescent="0.3">
      <c r="K10012" s="1">
        <v>40817</v>
      </c>
      <c r="M10012" t="e">
        <v>#N/A</v>
      </c>
      <c r="N10012" s="1">
        <v>40452</v>
      </c>
    </row>
    <row r="10013" spans="11:14" x14ac:dyDescent="0.3">
      <c r="K10013" s="1">
        <v>40817</v>
      </c>
      <c r="M10013" t="e">
        <v>#N/A</v>
      </c>
      <c r="N10013" s="1">
        <v>40452</v>
      </c>
    </row>
    <row r="10014" spans="11:14" x14ac:dyDescent="0.3">
      <c r="K10014" s="1">
        <v>40817</v>
      </c>
      <c r="M10014" t="e">
        <v>#N/A</v>
      </c>
      <c r="N10014" s="1">
        <v>40452</v>
      </c>
    </row>
    <row r="10015" spans="11:14" x14ac:dyDescent="0.3">
      <c r="K10015" s="1">
        <v>40817</v>
      </c>
      <c r="M10015" t="e">
        <v>#N/A</v>
      </c>
      <c r="N10015" s="1">
        <v>40452</v>
      </c>
    </row>
    <row r="10016" spans="11:14" x14ac:dyDescent="0.3">
      <c r="K10016" s="1">
        <v>40817</v>
      </c>
      <c r="M10016" t="e">
        <v>#N/A</v>
      </c>
      <c r="N10016" s="1">
        <v>40452</v>
      </c>
    </row>
    <row r="10017" spans="11:14" x14ac:dyDescent="0.3">
      <c r="K10017" s="1">
        <v>40817</v>
      </c>
      <c r="M10017" t="e">
        <v>#N/A</v>
      </c>
      <c r="N10017" s="1">
        <v>40452</v>
      </c>
    </row>
    <row r="10018" spans="11:14" x14ac:dyDescent="0.3">
      <c r="K10018" s="1">
        <v>40817</v>
      </c>
      <c r="M10018" t="e">
        <v>#N/A</v>
      </c>
      <c r="N10018" s="1">
        <v>40452</v>
      </c>
    </row>
    <row r="10019" spans="11:14" x14ac:dyDescent="0.3">
      <c r="K10019" s="1">
        <v>40817</v>
      </c>
      <c r="M10019" t="e">
        <v>#N/A</v>
      </c>
      <c r="N10019" s="1">
        <v>40452</v>
      </c>
    </row>
    <row r="10020" spans="11:14" x14ac:dyDescent="0.3">
      <c r="K10020" s="1">
        <v>40817</v>
      </c>
      <c r="M10020" t="e">
        <v>#N/A</v>
      </c>
      <c r="N10020" s="1">
        <v>40452</v>
      </c>
    </row>
    <row r="10021" spans="11:14" x14ac:dyDescent="0.3">
      <c r="K10021" s="1">
        <v>40817</v>
      </c>
      <c r="M10021" t="e">
        <v>#N/A</v>
      </c>
      <c r="N10021" s="1">
        <v>40452</v>
      </c>
    </row>
    <row r="10022" spans="11:14" x14ac:dyDescent="0.3">
      <c r="K10022" s="1">
        <v>40817</v>
      </c>
      <c r="M10022" t="e">
        <v>#N/A</v>
      </c>
      <c r="N10022" s="1">
        <v>40452</v>
      </c>
    </row>
    <row r="10023" spans="11:14" x14ac:dyDescent="0.3">
      <c r="K10023" s="1">
        <v>40817</v>
      </c>
      <c r="M10023" t="e">
        <v>#N/A</v>
      </c>
      <c r="N10023" s="1">
        <v>40452</v>
      </c>
    </row>
    <row r="10024" spans="11:14" x14ac:dyDescent="0.3">
      <c r="K10024" s="1">
        <v>40817</v>
      </c>
      <c r="M10024" t="e">
        <v>#N/A</v>
      </c>
      <c r="N10024" s="1">
        <v>40452</v>
      </c>
    </row>
    <row r="10025" spans="11:14" x14ac:dyDescent="0.3">
      <c r="K10025" s="1">
        <v>40817</v>
      </c>
      <c r="M10025" t="e">
        <v>#N/A</v>
      </c>
      <c r="N10025" s="1">
        <v>40452</v>
      </c>
    </row>
    <row r="10026" spans="11:14" x14ac:dyDescent="0.3">
      <c r="K10026" s="1">
        <v>40817</v>
      </c>
      <c r="M10026" t="e">
        <v>#N/A</v>
      </c>
      <c r="N10026" s="1">
        <v>40452</v>
      </c>
    </row>
    <row r="10027" spans="11:14" x14ac:dyDescent="0.3">
      <c r="K10027" s="1">
        <v>40817</v>
      </c>
      <c r="M10027" t="e">
        <v>#N/A</v>
      </c>
      <c r="N10027" s="1">
        <v>40452</v>
      </c>
    </row>
    <row r="10028" spans="11:14" x14ac:dyDescent="0.3">
      <c r="K10028" s="1">
        <v>40817</v>
      </c>
      <c r="M10028" t="e">
        <v>#N/A</v>
      </c>
      <c r="N10028" s="1">
        <v>40452</v>
      </c>
    </row>
    <row r="10029" spans="11:14" x14ac:dyDescent="0.3">
      <c r="K10029" s="1">
        <v>40817</v>
      </c>
      <c r="M10029" t="e">
        <v>#N/A</v>
      </c>
      <c r="N10029" s="1">
        <v>40452</v>
      </c>
    </row>
    <row r="10030" spans="11:14" x14ac:dyDescent="0.3">
      <c r="K10030" s="1">
        <v>40817</v>
      </c>
      <c r="M10030" t="e">
        <v>#N/A</v>
      </c>
      <c r="N10030" s="1">
        <v>40452</v>
      </c>
    </row>
    <row r="10031" spans="11:14" x14ac:dyDescent="0.3">
      <c r="K10031" s="1">
        <v>40817</v>
      </c>
      <c r="M10031" t="e">
        <v>#N/A</v>
      </c>
      <c r="N10031" s="1">
        <v>40452</v>
      </c>
    </row>
    <row r="10032" spans="11:14" x14ac:dyDescent="0.3">
      <c r="K10032" s="1">
        <v>40817</v>
      </c>
      <c r="M10032" t="e">
        <v>#N/A</v>
      </c>
      <c r="N10032" s="1">
        <v>40452</v>
      </c>
    </row>
    <row r="10033" spans="11:14" x14ac:dyDescent="0.3">
      <c r="K10033" s="1">
        <v>40817</v>
      </c>
      <c r="M10033" t="e">
        <v>#N/A</v>
      </c>
      <c r="N10033" s="1">
        <v>40452</v>
      </c>
    </row>
    <row r="10034" spans="11:14" x14ac:dyDescent="0.3">
      <c r="K10034" s="1">
        <v>40817</v>
      </c>
      <c r="M10034" t="e">
        <v>#N/A</v>
      </c>
      <c r="N10034" s="1">
        <v>40452</v>
      </c>
    </row>
    <row r="10035" spans="11:14" x14ac:dyDescent="0.3">
      <c r="K10035" s="1">
        <v>40817</v>
      </c>
      <c r="M10035" t="e">
        <v>#N/A</v>
      </c>
      <c r="N10035" s="1">
        <v>40452</v>
      </c>
    </row>
    <row r="10036" spans="11:14" x14ac:dyDescent="0.3">
      <c r="K10036" s="1">
        <v>40817</v>
      </c>
      <c r="M10036" t="e">
        <v>#N/A</v>
      </c>
      <c r="N10036" s="1">
        <v>40452</v>
      </c>
    </row>
    <row r="10037" spans="11:14" x14ac:dyDescent="0.3">
      <c r="K10037" s="1">
        <v>40817</v>
      </c>
      <c r="M10037" t="e">
        <v>#N/A</v>
      </c>
      <c r="N10037" s="1">
        <v>40452</v>
      </c>
    </row>
    <row r="10038" spans="11:14" x14ac:dyDescent="0.3">
      <c r="K10038" s="1">
        <v>40817</v>
      </c>
      <c r="M10038" t="e">
        <v>#N/A</v>
      </c>
      <c r="N10038" s="1">
        <v>40452</v>
      </c>
    </row>
    <row r="10039" spans="11:14" x14ac:dyDescent="0.3">
      <c r="K10039" s="1">
        <v>40817</v>
      </c>
      <c r="M10039" t="e">
        <v>#N/A</v>
      </c>
      <c r="N10039" s="1">
        <v>40452</v>
      </c>
    </row>
    <row r="10040" spans="11:14" x14ac:dyDescent="0.3">
      <c r="K10040" s="1">
        <v>40817</v>
      </c>
      <c r="M10040" t="e">
        <v>#N/A</v>
      </c>
      <c r="N10040" s="1">
        <v>40452</v>
      </c>
    </row>
    <row r="10041" spans="11:14" x14ac:dyDescent="0.3">
      <c r="K10041" s="1">
        <v>40817</v>
      </c>
      <c r="M10041" t="e">
        <v>#N/A</v>
      </c>
      <c r="N10041" s="1">
        <v>40452</v>
      </c>
    </row>
    <row r="10042" spans="11:14" x14ac:dyDescent="0.3">
      <c r="K10042" s="1">
        <v>40817</v>
      </c>
      <c r="M10042" t="e">
        <v>#N/A</v>
      </c>
      <c r="N10042" s="1">
        <v>40452</v>
      </c>
    </row>
    <row r="10043" spans="11:14" x14ac:dyDescent="0.3">
      <c r="K10043" s="1">
        <v>40817</v>
      </c>
      <c r="M10043" t="e">
        <v>#N/A</v>
      </c>
      <c r="N10043" s="1">
        <v>40452</v>
      </c>
    </row>
    <row r="10044" spans="11:14" x14ac:dyDescent="0.3">
      <c r="K10044" s="1">
        <v>40817</v>
      </c>
      <c r="M10044" t="e">
        <v>#N/A</v>
      </c>
      <c r="N10044" s="1">
        <v>40452</v>
      </c>
    </row>
    <row r="10045" spans="11:14" x14ac:dyDescent="0.3">
      <c r="K10045" s="1">
        <v>40909</v>
      </c>
      <c r="M10045" t="e">
        <v>#N/A</v>
      </c>
      <c r="N10045" s="1">
        <v>40452</v>
      </c>
    </row>
    <row r="10046" spans="11:14" x14ac:dyDescent="0.3">
      <c r="K10046" s="1">
        <v>40909</v>
      </c>
      <c r="M10046" t="e">
        <v>#N/A</v>
      </c>
      <c r="N10046" s="1">
        <v>40452</v>
      </c>
    </row>
    <row r="10047" spans="11:14" x14ac:dyDescent="0.3">
      <c r="K10047" s="1">
        <v>40909</v>
      </c>
      <c r="M10047" t="e">
        <v>#N/A</v>
      </c>
      <c r="N10047" s="1">
        <v>40452</v>
      </c>
    </row>
    <row r="10048" spans="11:14" x14ac:dyDescent="0.3">
      <c r="K10048" s="1">
        <v>40909</v>
      </c>
      <c r="M10048" t="e">
        <v>#N/A</v>
      </c>
      <c r="N10048" s="1">
        <v>40452</v>
      </c>
    </row>
    <row r="10049" spans="11:14" x14ac:dyDescent="0.3">
      <c r="K10049" s="1">
        <v>40909</v>
      </c>
      <c r="M10049" t="e">
        <v>#N/A</v>
      </c>
      <c r="N10049" s="1">
        <v>40452</v>
      </c>
    </row>
    <row r="10050" spans="11:14" x14ac:dyDescent="0.3">
      <c r="K10050" s="1">
        <v>40909</v>
      </c>
      <c r="M10050" t="e">
        <v>#N/A</v>
      </c>
      <c r="N10050" s="1">
        <v>40452</v>
      </c>
    </row>
    <row r="10051" spans="11:14" x14ac:dyDescent="0.3">
      <c r="K10051" s="1">
        <v>40909</v>
      </c>
      <c r="M10051" t="e">
        <v>#N/A</v>
      </c>
      <c r="N10051" s="1">
        <v>40452</v>
      </c>
    </row>
    <row r="10052" spans="11:14" x14ac:dyDescent="0.3">
      <c r="K10052" s="1">
        <v>40909</v>
      </c>
      <c r="M10052" t="e">
        <v>#N/A</v>
      </c>
      <c r="N10052" s="1">
        <v>40452</v>
      </c>
    </row>
    <row r="10053" spans="11:14" x14ac:dyDescent="0.3">
      <c r="K10053" s="1">
        <v>40909</v>
      </c>
      <c r="M10053" t="e">
        <v>#N/A</v>
      </c>
      <c r="N10053" s="1">
        <v>40452</v>
      </c>
    </row>
    <row r="10054" spans="11:14" x14ac:dyDescent="0.3">
      <c r="K10054" s="1">
        <v>40909</v>
      </c>
      <c r="M10054" t="e">
        <v>#N/A</v>
      </c>
      <c r="N10054" s="1">
        <v>40452</v>
      </c>
    </row>
    <row r="10055" spans="11:14" x14ac:dyDescent="0.3">
      <c r="K10055" s="1">
        <v>40909</v>
      </c>
      <c r="M10055" t="e">
        <v>#N/A</v>
      </c>
      <c r="N10055" s="1">
        <v>40452</v>
      </c>
    </row>
    <row r="10056" spans="11:14" x14ac:dyDescent="0.3">
      <c r="K10056" s="1">
        <v>40909</v>
      </c>
      <c r="M10056" t="e">
        <v>#N/A</v>
      </c>
      <c r="N10056" s="1">
        <v>40452</v>
      </c>
    </row>
    <row r="10057" spans="11:14" x14ac:dyDescent="0.3">
      <c r="K10057" s="1">
        <v>40909</v>
      </c>
      <c r="M10057" t="e">
        <v>#N/A</v>
      </c>
      <c r="N10057" s="1">
        <v>40452</v>
      </c>
    </row>
    <row r="10058" spans="11:14" x14ac:dyDescent="0.3">
      <c r="K10058" s="1">
        <v>40909</v>
      </c>
      <c r="M10058" t="e">
        <v>#N/A</v>
      </c>
      <c r="N10058" s="1">
        <v>40452</v>
      </c>
    </row>
    <row r="10059" spans="11:14" x14ac:dyDescent="0.3">
      <c r="K10059" s="1">
        <v>40909</v>
      </c>
      <c r="M10059" t="e">
        <v>#N/A</v>
      </c>
      <c r="N10059" s="1">
        <v>40452</v>
      </c>
    </row>
    <row r="10060" spans="11:14" x14ac:dyDescent="0.3">
      <c r="K10060" s="1">
        <v>40909</v>
      </c>
      <c r="M10060" t="e">
        <v>#N/A</v>
      </c>
      <c r="N10060" s="1">
        <v>40452</v>
      </c>
    </row>
    <row r="10061" spans="11:14" x14ac:dyDescent="0.3">
      <c r="K10061" s="1">
        <v>40909</v>
      </c>
      <c r="M10061" t="e">
        <v>#N/A</v>
      </c>
      <c r="N10061" s="1">
        <v>40452</v>
      </c>
    </row>
    <row r="10062" spans="11:14" x14ac:dyDescent="0.3">
      <c r="K10062" s="1">
        <v>40909</v>
      </c>
      <c r="M10062" t="e">
        <v>#N/A</v>
      </c>
      <c r="N10062" s="1">
        <v>40452</v>
      </c>
    </row>
    <row r="10063" spans="11:14" x14ac:dyDescent="0.3">
      <c r="K10063" s="1">
        <v>40909</v>
      </c>
      <c r="M10063" t="e">
        <v>#N/A</v>
      </c>
      <c r="N10063" s="1">
        <v>40452</v>
      </c>
    </row>
    <row r="10064" spans="11:14" x14ac:dyDescent="0.3">
      <c r="K10064" s="1">
        <v>40909</v>
      </c>
      <c r="M10064" t="e">
        <v>#N/A</v>
      </c>
      <c r="N10064" s="1">
        <v>40452</v>
      </c>
    </row>
    <row r="10065" spans="11:14" x14ac:dyDescent="0.3">
      <c r="K10065" s="1">
        <v>40909</v>
      </c>
      <c r="M10065" t="e">
        <v>#N/A</v>
      </c>
      <c r="N10065" s="1">
        <v>40452</v>
      </c>
    </row>
    <row r="10066" spans="11:14" x14ac:dyDescent="0.3">
      <c r="K10066" s="1">
        <v>40909</v>
      </c>
      <c r="M10066" t="e">
        <v>#N/A</v>
      </c>
      <c r="N10066" s="1">
        <v>40452</v>
      </c>
    </row>
    <row r="10067" spans="11:14" x14ac:dyDescent="0.3">
      <c r="K10067" s="1">
        <v>40909</v>
      </c>
      <c r="M10067" t="e">
        <v>#N/A</v>
      </c>
      <c r="N10067" s="1">
        <v>40452</v>
      </c>
    </row>
    <row r="10068" spans="11:14" x14ac:dyDescent="0.3">
      <c r="K10068" s="1">
        <v>40909</v>
      </c>
      <c r="M10068" t="e">
        <v>#N/A</v>
      </c>
      <c r="N10068" s="1">
        <v>40452</v>
      </c>
    </row>
    <row r="10069" spans="11:14" x14ac:dyDescent="0.3">
      <c r="K10069" s="1">
        <v>40909</v>
      </c>
      <c r="M10069" t="e">
        <v>#N/A</v>
      </c>
      <c r="N10069" s="1">
        <v>40452</v>
      </c>
    </row>
    <row r="10070" spans="11:14" x14ac:dyDescent="0.3">
      <c r="K10070" s="1">
        <v>40909</v>
      </c>
      <c r="M10070" t="e">
        <v>#N/A</v>
      </c>
      <c r="N10070" s="1">
        <v>40452</v>
      </c>
    </row>
    <row r="10071" spans="11:14" x14ac:dyDescent="0.3">
      <c r="K10071" s="1">
        <v>40909</v>
      </c>
      <c r="M10071" t="e">
        <v>#N/A</v>
      </c>
      <c r="N10071" s="1">
        <v>40452</v>
      </c>
    </row>
    <row r="10072" spans="11:14" x14ac:dyDescent="0.3">
      <c r="K10072" s="1">
        <v>40909</v>
      </c>
      <c r="M10072" t="e">
        <v>#N/A</v>
      </c>
      <c r="N10072" s="1">
        <v>40452</v>
      </c>
    </row>
    <row r="10073" spans="11:14" x14ac:dyDescent="0.3">
      <c r="K10073" s="1">
        <v>40909</v>
      </c>
      <c r="M10073" t="e">
        <v>#N/A</v>
      </c>
      <c r="N10073" s="1">
        <v>40452</v>
      </c>
    </row>
    <row r="10074" spans="11:14" x14ac:dyDescent="0.3">
      <c r="K10074" s="1">
        <v>40909</v>
      </c>
      <c r="M10074" t="e">
        <v>#N/A</v>
      </c>
      <c r="N10074" s="1">
        <v>40452</v>
      </c>
    </row>
    <row r="10075" spans="11:14" x14ac:dyDescent="0.3">
      <c r="K10075" s="1">
        <v>40909</v>
      </c>
      <c r="M10075" t="e">
        <v>#N/A</v>
      </c>
      <c r="N10075" s="1">
        <v>40452</v>
      </c>
    </row>
    <row r="10076" spans="11:14" x14ac:dyDescent="0.3">
      <c r="K10076" s="1">
        <v>40909</v>
      </c>
      <c r="M10076" t="e">
        <v>#N/A</v>
      </c>
      <c r="N10076" s="1">
        <v>40452</v>
      </c>
    </row>
    <row r="10077" spans="11:14" x14ac:dyDescent="0.3">
      <c r="K10077" s="1">
        <v>40909</v>
      </c>
      <c r="M10077" t="e">
        <v>#N/A</v>
      </c>
      <c r="N10077" s="1">
        <v>40452</v>
      </c>
    </row>
    <row r="10078" spans="11:14" x14ac:dyDescent="0.3">
      <c r="K10078" s="1">
        <v>40909</v>
      </c>
      <c r="M10078" t="e">
        <v>#N/A</v>
      </c>
      <c r="N10078" s="1">
        <v>40452</v>
      </c>
    </row>
    <row r="10079" spans="11:14" x14ac:dyDescent="0.3">
      <c r="K10079" s="1">
        <v>40909</v>
      </c>
      <c r="M10079" t="e">
        <v>#N/A</v>
      </c>
      <c r="N10079" s="1">
        <v>40452</v>
      </c>
    </row>
    <row r="10080" spans="11:14" x14ac:dyDescent="0.3">
      <c r="K10080" s="1">
        <v>40909</v>
      </c>
      <c r="M10080" t="e">
        <v>#N/A</v>
      </c>
      <c r="N10080" s="1">
        <v>40452</v>
      </c>
    </row>
    <row r="10081" spans="11:14" x14ac:dyDescent="0.3">
      <c r="K10081" s="1">
        <v>40909</v>
      </c>
      <c r="M10081" t="e">
        <v>#N/A</v>
      </c>
      <c r="N10081" s="1">
        <v>40452</v>
      </c>
    </row>
    <row r="10082" spans="11:14" x14ac:dyDescent="0.3">
      <c r="K10082" s="1">
        <v>40909</v>
      </c>
      <c r="M10082" t="e">
        <v>#N/A</v>
      </c>
      <c r="N10082" s="1">
        <v>40452</v>
      </c>
    </row>
    <row r="10083" spans="11:14" x14ac:dyDescent="0.3">
      <c r="K10083" s="1">
        <v>40909</v>
      </c>
      <c r="M10083" t="e">
        <v>#N/A</v>
      </c>
      <c r="N10083" s="1">
        <v>40452</v>
      </c>
    </row>
    <row r="10084" spans="11:14" x14ac:dyDescent="0.3">
      <c r="K10084" s="1">
        <v>40909</v>
      </c>
      <c r="M10084" t="e">
        <v>#N/A</v>
      </c>
      <c r="N10084" s="1">
        <v>40452</v>
      </c>
    </row>
    <row r="10085" spans="11:14" x14ac:dyDescent="0.3">
      <c r="K10085" s="1">
        <v>40909</v>
      </c>
      <c r="M10085" t="e">
        <v>#N/A</v>
      </c>
      <c r="N10085" s="1">
        <v>40452</v>
      </c>
    </row>
    <row r="10086" spans="11:14" x14ac:dyDescent="0.3">
      <c r="K10086" s="1">
        <v>40909</v>
      </c>
      <c r="M10086" t="e">
        <v>#N/A</v>
      </c>
      <c r="N10086" s="1">
        <v>40452</v>
      </c>
    </row>
    <row r="10087" spans="11:14" x14ac:dyDescent="0.3">
      <c r="K10087" s="1">
        <v>40909</v>
      </c>
      <c r="M10087" t="e">
        <v>#N/A</v>
      </c>
      <c r="N10087" s="1">
        <v>40452</v>
      </c>
    </row>
    <row r="10088" spans="11:14" x14ac:dyDescent="0.3">
      <c r="K10088" s="1">
        <v>40909</v>
      </c>
      <c r="M10088" t="e">
        <v>#N/A</v>
      </c>
      <c r="N10088" s="1">
        <v>40452</v>
      </c>
    </row>
    <row r="10089" spans="11:14" x14ac:dyDescent="0.3">
      <c r="K10089" s="1">
        <v>40909</v>
      </c>
      <c r="M10089" t="e">
        <v>#N/A</v>
      </c>
      <c r="N10089" s="1">
        <v>40452</v>
      </c>
    </row>
    <row r="10090" spans="11:14" x14ac:dyDescent="0.3">
      <c r="K10090" s="1">
        <v>40909</v>
      </c>
      <c r="M10090" t="e">
        <v>#N/A</v>
      </c>
      <c r="N10090" s="1">
        <v>40452</v>
      </c>
    </row>
    <row r="10091" spans="11:14" x14ac:dyDescent="0.3">
      <c r="K10091" s="1">
        <v>40909</v>
      </c>
      <c r="M10091" t="e">
        <v>#N/A</v>
      </c>
      <c r="N10091" s="1">
        <v>40452</v>
      </c>
    </row>
    <row r="10092" spans="11:14" x14ac:dyDescent="0.3">
      <c r="K10092" s="1">
        <v>40909</v>
      </c>
      <c r="M10092" t="e">
        <v>#N/A</v>
      </c>
      <c r="N10092" s="1">
        <v>40452</v>
      </c>
    </row>
    <row r="10093" spans="11:14" x14ac:dyDescent="0.3">
      <c r="K10093" s="1">
        <v>40909</v>
      </c>
      <c r="M10093" t="e">
        <v>#N/A</v>
      </c>
      <c r="N10093" s="1">
        <v>40452</v>
      </c>
    </row>
    <row r="10094" spans="11:14" x14ac:dyDescent="0.3">
      <c r="K10094" s="1">
        <v>40909</v>
      </c>
      <c r="M10094" t="e">
        <v>#N/A</v>
      </c>
      <c r="N10094" s="1">
        <v>40452</v>
      </c>
    </row>
    <row r="10095" spans="11:14" x14ac:dyDescent="0.3">
      <c r="K10095" s="1">
        <v>40909</v>
      </c>
      <c r="M10095" t="e">
        <v>#N/A</v>
      </c>
      <c r="N10095" s="1">
        <v>40452</v>
      </c>
    </row>
    <row r="10096" spans="11:14" x14ac:dyDescent="0.3">
      <c r="K10096" s="1">
        <v>40909</v>
      </c>
      <c r="M10096" t="e">
        <v>#N/A</v>
      </c>
      <c r="N10096" s="1">
        <v>40452</v>
      </c>
    </row>
    <row r="10097" spans="11:14" x14ac:dyDescent="0.3">
      <c r="K10097" s="1">
        <v>40909</v>
      </c>
      <c r="M10097" t="e">
        <v>#N/A</v>
      </c>
      <c r="N10097" s="1">
        <v>40452</v>
      </c>
    </row>
    <row r="10098" spans="11:14" x14ac:dyDescent="0.3">
      <c r="K10098" s="1">
        <v>40909</v>
      </c>
      <c r="M10098" t="e">
        <v>#N/A</v>
      </c>
      <c r="N10098" s="1">
        <v>40452</v>
      </c>
    </row>
    <row r="10099" spans="11:14" x14ac:dyDescent="0.3">
      <c r="K10099" s="1">
        <v>40909</v>
      </c>
      <c r="M10099" t="e">
        <v>#N/A</v>
      </c>
      <c r="N10099" s="1">
        <v>40452</v>
      </c>
    </row>
    <row r="10100" spans="11:14" x14ac:dyDescent="0.3">
      <c r="K10100" s="1">
        <v>40909</v>
      </c>
      <c r="M10100" t="e">
        <v>#N/A</v>
      </c>
      <c r="N10100" s="1">
        <v>40452</v>
      </c>
    </row>
    <row r="10101" spans="11:14" x14ac:dyDescent="0.3">
      <c r="K10101" s="1">
        <v>40909</v>
      </c>
      <c r="M10101" t="e">
        <v>#N/A</v>
      </c>
      <c r="N10101" s="1">
        <v>40452</v>
      </c>
    </row>
    <row r="10102" spans="11:14" x14ac:dyDescent="0.3">
      <c r="K10102" s="1">
        <v>40909</v>
      </c>
      <c r="M10102" t="e">
        <v>#N/A</v>
      </c>
      <c r="N10102" s="1">
        <v>40452</v>
      </c>
    </row>
    <row r="10103" spans="11:14" x14ac:dyDescent="0.3">
      <c r="K10103" s="1">
        <v>40909</v>
      </c>
      <c r="M10103" t="e">
        <v>#N/A</v>
      </c>
      <c r="N10103" s="1">
        <v>40452</v>
      </c>
    </row>
    <row r="10104" spans="11:14" x14ac:dyDescent="0.3">
      <c r="K10104" s="1">
        <v>40909</v>
      </c>
      <c r="M10104" t="e">
        <v>#N/A</v>
      </c>
      <c r="N10104" s="1">
        <v>40452</v>
      </c>
    </row>
    <row r="10105" spans="11:14" x14ac:dyDescent="0.3">
      <c r="K10105" s="1">
        <v>40909</v>
      </c>
      <c r="M10105" t="e">
        <v>#N/A</v>
      </c>
      <c r="N10105" s="1">
        <v>40452</v>
      </c>
    </row>
    <row r="10106" spans="11:14" x14ac:dyDescent="0.3">
      <c r="K10106" s="1">
        <v>40909</v>
      </c>
      <c r="M10106" t="e">
        <v>#N/A</v>
      </c>
      <c r="N10106" s="1">
        <v>40452</v>
      </c>
    </row>
    <row r="10107" spans="11:14" x14ac:dyDescent="0.3">
      <c r="K10107" s="1">
        <v>40909</v>
      </c>
      <c r="M10107" t="e">
        <v>#N/A</v>
      </c>
      <c r="N10107" s="1">
        <v>40452</v>
      </c>
    </row>
    <row r="10108" spans="11:14" x14ac:dyDescent="0.3">
      <c r="K10108" s="1">
        <v>40909</v>
      </c>
      <c r="M10108" t="e">
        <v>#N/A</v>
      </c>
      <c r="N10108" s="1">
        <v>40452</v>
      </c>
    </row>
    <row r="10109" spans="11:14" x14ac:dyDescent="0.3">
      <c r="K10109" s="1">
        <v>40909</v>
      </c>
      <c r="M10109" t="e">
        <v>#N/A</v>
      </c>
      <c r="N10109" s="1">
        <v>40452</v>
      </c>
    </row>
    <row r="10110" spans="11:14" x14ac:dyDescent="0.3">
      <c r="K10110" s="1">
        <v>40909</v>
      </c>
      <c r="M10110" t="e">
        <v>#N/A</v>
      </c>
      <c r="N10110" s="1">
        <v>40452</v>
      </c>
    </row>
    <row r="10111" spans="11:14" x14ac:dyDescent="0.3">
      <c r="K10111" s="1">
        <v>40909</v>
      </c>
      <c r="M10111" t="e">
        <v>#N/A</v>
      </c>
      <c r="N10111" s="1">
        <v>40452</v>
      </c>
    </row>
    <row r="10112" spans="11:14" x14ac:dyDescent="0.3">
      <c r="K10112" s="1">
        <v>40909</v>
      </c>
      <c r="M10112" t="e">
        <v>#N/A</v>
      </c>
      <c r="N10112" s="1">
        <v>40452</v>
      </c>
    </row>
    <row r="10113" spans="11:14" x14ac:dyDescent="0.3">
      <c r="K10113" s="1">
        <v>40909</v>
      </c>
      <c r="M10113" t="e">
        <v>#N/A</v>
      </c>
      <c r="N10113" s="1">
        <v>40452</v>
      </c>
    </row>
    <row r="10114" spans="11:14" x14ac:dyDescent="0.3">
      <c r="K10114" s="1">
        <v>40909</v>
      </c>
      <c r="M10114" t="e">
        <v>#N/A</v>
      </c>
      <c r="N10114" s="1">
        <v>40452</v>
      </c>
    </row>
    <row r="10115" spans="11:14" x14ac:dyDescent="0.3">
      <c r="K10115" s="1">
        <v>40909</v>
      </c>
      <c r="M10115" t="e">
        <v>#N/A</v>
      </c>
      <c r="N10115" s="1">
        <v>40452</v>
      </c>
    </row>
    <row r="10116" spans="11:14" x14ac:dyDescent="0.3">
      <c r="K10116" s="1">
        <v>40909</v>
      </c>
      <c r="M10116" t="e">
        <v>#N/A</v>
      </c>
      <c r="N10116" s="1">
        <v>40452</v>
      </c>
    </row>
    <row r="10117" spans="11:14" x14ac:dyDescent="0.3">
      <c r="K10117" s="1">
        <v>40909</v>
      </c>
      <c r="M10117" t="e">
        <v>#N/A</v>
      </c>
      <c r="N10117" s="1">
        <v>40452</v>
      </c>
    </row>
    <row r="10118" spans="11:14" x14ac:dyDescent="0.3">
      <c r="K10118" s="1">
        <v>40909</v>
      </c>
      <c r="M10118" t="e">
        <v>#N/A</v>
      </c>
      <c r="N10118" s="1">
        <v>40452</v>
      </c>
    </row>
    <row r="10119" spans="11:14" x14ac:dyDescent="0.3">
      <c r="K10119" s="1">
        <v>40909</v>
      </c>
      <c r="M10119" t="e">
        <v>#N/A</v>
      </c>
      <c r="N10119" s="1">
        <v>40452</v>
      </c>
    </row>
    <row r="10120" spans="11:14" x14ac:dyDescent="0.3">
      <c r="K10120" s="1">
        <v>40909</v>
      </c>
      <c r="M10120" t="e">
        <v>#N/A</v>
      </c>
      <c r="N10120" s="1">
        <v>40452</v>
      </c>
    </row>
    <row r="10121" spans="11:14" x14ac:dyDescent="0.3">
      <c r="K10121" s="1">
        <v>40909</v>
      </c>
      <c r="M10121" t="e">
        <v>#N/A</v>
      </c>
      <c r="N10121" s="1">
        <v>40452</v>
      </c>
    </row>
    <row r="10122" spans="11:14" x14ac:dyDescent="0.3">
      <c r="K10122" s="1">
        <v>40909</v>
      </c>
      <c r="M10122" t="e">
        <v>#N/A</v>
      </c>
      <c r="N10122" s="1">
        <v>40452</v>
      </c>
    </row>
    <row r="10123" spans="11:14" x14ac:dyDescent="0.3">
      <c r="K10123" s="1">
        <v>40909</v>
      </c>
      <c r="M10123" t="e">
        <v>#N/A</v>
      </c>
      <c r="N10123" s="1">
        <v>40452</v>
      </c>
    </row>
    <row r="10124" spans="11:14" x14ac:dyDescent="0.3">
      <c r="K10124" s="1">
        <v>40909</v>
      </c>
      <c r="M10124" t="e">
        <v>#N/A</v>
      </c>
      <c r="N10124" s="1">
        <v>40452</v>
      </c>
    </row>
    <row r="10125" spans="11:14" x14ac:dyDescent="0.3">
      <c r="K10125" s="1">
        <v>40909</v>
      </c>
      <c r="M10125" t="e">
        <v>#N/A</v>
      </c>
      <c r="N10125" s="1">
        <v>40452</v>
      </c>
    </row>
    <row r="10126" spans="11:14" x14ac:dyDescent="0.3">
      <c r="K10126" s="1">
        <v>40909</v>
      </c>
      <c r="M10126" t="e">
        <v>#N/A</v>
      </c>
      <c r="N10126" s="1">
        <v>40452</v>
      </c>
    </row>
    <row r="10127" spans="11:14" x14ac:dyDescent="0.3">
      <c r="K10127" s="1">
        <v>40909</v>
      </c>
      <c r="M10127" t="e">
        <v>#N/A</v>
      </c>
      <c r="N10127" s="1">
        <v>40452</v>
      </c>
    </row>
    <row r="10128" spans="11:14" x14ac:dyDescent="0.3">
      <c r="K10128" s="1">
        <v>40909</v>
      </c>
      <c r="M10128" t="e">
        <v>#N/A</v>
      </c>
      <c r="N10128" s="1">
        <v>40452</v>
      </c>
    </row>
    <row r="10129" spans="11:14" x14ac:dyDescent="0.3">
      <c r="K10129" s="1">
        <v>40909</v>
      </c>
      <c r="M10129" t="e">
        <v>#N/A</v>
      </c>
      <c r="N10129" s="1">
        <v>40452</v>
      </c>
    </row>
    <row r="10130" spans="11:14" x14ac:dyDescent="0.3">
      <c r="K10130" s="1">
        <v>40909</v>
      </c>
      <c r="M10130" t="e">
        <v>#N/A</v>
      </c>
      <c r="N10130" s="1">
        <v>40452</v>
      </c>
    </row>
    <row r="10131" spans="11:14" x14ac:dyDescent="0.3">
      <c r="K10131" s="1">
        <v>40909</v>
      </c>
      <c r="M10131" t="e">
        <v>#N/A</v>
      </c>
      <c r="N10131" s="1">
        <v>40452</v>
      </c>
    </row>
    <row r="10132" spans="11:14" x14ac:dyDescent="0.3">
      <c r="K10132" s="1">
        <v>40909</v>
      </c>
      <c r="M10132" t="e">
        <v>#N/A</v>
      </c>
      <c r="N10132" s="1">
        <v>40452</v>
      </c>
    </row>
    <row r="10133" spans="11:14" x14ac:dyDescent="0.3">
      <c r="K10133" s="1">
        <v>40909</v>
      </c>
      <c r="M10133" t="e">
        <v>#N/A</v>
      </c>
      <c r="N10133" s="1">
        <v>40452</v>
      </c>
    </row>
    <row r="10134" spans="11:14" x14ac:dyDescent="0.3">
      <c r="K10134" s="1">
        <v>40909</v>
      </c>
      <c r="M10134" t="e">
        <v>#N/A</v>
      </c>
      <c r="N10134" s="1">
        <v>40452</v>
      </c>
    </row>
    <row r="10135" spans="11:14" x14ac:dyDescent="0.3">
      <c r="K10135" s="1">
        <v>40909</v>
      </c>
      <c r="M10135" t="e">
        <v>#N/A</v>
      </c>
      <c r="N10135" s="1">
        <v>40452</v>
      </c>
    </row>
    <row r="10136" spans="11:14" x14ac:dyDescent="0.3">
      <c r="K10136" s="1">
        <v>40909</v>
      </c>
      <c r="M10136" t="e">
        <v>#N/A</v>
      </c>
      <c r="N10136" s="1">
        <v>40452</v>
      </c>
    </row>
    <row r="10137" spans="11:14" x14ac:dyDescent="0.3">
      <c r="K10137" s="1">
        <v>40909</v>
      </c>
      <c r="M10137" t="e">
        <v>#N/A</v>
      </c>
      <c r="N10137" s="1">
        <v>40452</v>
      </c>
    </row>
    <row r="10138" spans="11:14" x14ac:dyDescent="0.3">
      <c r="K10138" s="1">
        <v>40909</v>
      </c>
      <c r="M10138" t="e">
        <v>#N/A</v>
      </c>
      <c r="N10138" s="1">
        <v>40452</v>
      </c>
    </row>
    <row r="10139" spans="11:14" x14ac:dyDescent="0.3">
      <c r="K10139" s="1">
        <v>40909</v>
      </c>
      <c r="M10139" t="e">
        <v>#N/A</v>
      </c>
      <c r="N10139" s="1">
        <v>40452</v>
      </c>
    </row>
    <row r="10140" spans="11:14" x14ac:dyDescent="0.3">
      <c r="K10140" s="1">
        <v>40909</v>
      </c>
      <c r="M10140" t="e">
        <v>#N/A</v>
      </c>
      <c r="N10140" s="1">
        <v>40452</v>
      </c>
    </row>
    <row r="10141" spans="11:14" x14ac:dyDescent="0.3">
      <c r="K10141" s="1">
        <v>40909</v>
      </c>
      <c r="M10141" t="e">
        <v>#N/A</v>
      </c>
      <c r="N10141" s="1">
        <v>40452</v>
      </c>
    </row>
    <row r="10142" spans="11:14" x14ac:dyDescent="0.3">
      <c r="K10142" s="1">
        <v>40909</v>
      </c>
      <c r="M10142" t="e">
        <v>#N/A</v>
      </c>
      <c r="N10142" s="1">
        <v>40452</v>
      </c>
    </row>
    <row r="10143" spans="11:14" x14ac:dyDescent="0.3">
      <c r="K10143" s="1">
        <v>40909</v>
      </c>
      <c r="M10143" t="e">
        <v>#N/A</v>
      </c>
      <c r="N10143" s="1">
        <v>40452</v>
      </c>
    </row>
    <row r="10144" spans="11:14" x14ac:dyDescent="0.3">
      <c r="K10144" s="1">
        <v>40909</v>
      </c>
      <c r="M10144" t="e">
        <v>#N/A</v>
      </c>
      <c r="N10144" s="1">
        <v>40452</v>
      </c>
    </row>
    <row r="10145" spans="11:14" x14ac:dyDescent="0.3">
      <c r="K10145" s="1">
        <v>40909</v>
      </c>
      <c r="M10145" t="e">
        <v>#N/A</v>
      </c>
      <c r="N10145" s="1">
        <v>40452</v>
      </c>
    </row>
    <row r="10146" spans="11:14" x14ac:dyDescent="0.3">
      <c r="K10146" s="1">
        <v>40909</v>
      </c>
      <c r="M10146" t="e">
        <v>#N/A</v>
      </c>
      <c r="N10146" s="1">
        <v>40452</v>
      </c>
    </row>
    <row r="10147" spans="11:14" x14ac:dyDescent="0.3">
      <c r="K10147" s="1">
        <v>40909</v>
      </c>
      <c r="M10147" t="e">
        <v>#N/A</v>
      </c>
      <c r="N10147" s="1">
        <v>40452</v>
      </c>
    </row>
    <row r="10148" spans="11:14" x14ac:dyDescent="0.3">
      <c r="K10148" s="1">
        <v>40909</v>
      </c>
      <c r="M10148" t="e">
        <v>#N/A</v>
      </c>
      <c r="N10148" s="1">
        <v>40452</v>
      </c>
    </row>
    <row r="10149" spans="11:14" x14ac:dyDescent="0.3">
      <c r="K10149" s="1">
        <v>40909</v>
      </c>
      <c r="M10149" t="e">
        <v>#N/A</v>
      </c>
      <c r="N10149" s="1">
        <v>40452</v>
      </c>
    </row>
    <row r="10150" spans="11:14" x14ac:dyDescent="0.3">
      <c r="K10150" s="1">
        <v>40909</v>
      </c>
      <c r="M10150" t="e">
        <v>#N/A</v>
      </c>
      <c r="N10150" s="1">
        <v>40452</v>
      </c>
    </row>
    <row r="10151" spans="11:14" x14ac:dyDescent="0.3">
      <c r="K10151" s="1">
        <v>40909</v>
      </c>
      <c r="M10151" t="e">
        <v>#N/A</v>
      </c>
      <c r="N10151" s="1">
        <v>40452</v>
      </c>
    </row>
    <row r="10152" spans="11:14" x14ac:dyDescent="0.3">
      <c r="K10152" s="1">
        <v>40909</v>
      </c>
      <c r="M10152" t="e">
        <v>#N/A</v>
      </c>
      <c r="N10152" s="1">
        <v>40452</v>
      </c>
    </row>
    <row r="10153" spans="11:14" x14ac:dyDescent="0.3">
      <c r="K10153" s="1">
        <v>40909</v>
      </c>
      <c r="M10153" t="e">
        <v>#N/A</v>
      </c>
      <c r="N10153" s="1">
        <v>40452</v>
      </c>
    </row>
    <row r="10154" spans="11:14" x14ac:dyDescent="0.3">
      <c r="K10154" s="1">
        <v>40909</v>
      </c>
      <c r="M10154" t="e">
        <v>#N/A</v>
      </c>
      <c r="N10154" s="1">
        <v>40452</v>
      </c>
    </row>
    <row r="10155" spans="11:14" x14ac:dyDescent="0.3">
      <c r="K10155" s="1">
        <v>40909</v>
      </c>
      <c r="M10155" t="e">
        <v>#N/A</v>
      </c>
      <c r="N10155" s="1">
        <v>40452</v>
      </c>
    </row>
    <row r="10156" spans="11:14" x14ac:dyDescent="0.3">
      <c r="K10156" s="1">
        <v>40909</v>
      </c>
      <c r="M10156" t="e">
        <v>#N/A</v>
      </c>
      <c r="N10156" s="1">
        <v>40452</v>
      </c>
    </row>
    <row r="10157" spans="11:14" x14ac:dyDescent="0.3">
      <c r="K10157" s="1">
        <v>40909</v>
      </c>
      <c r="M10157" t="e">
        <v>#N/A</v>
      </c>
      <c r="N10157" s="1">
        <v>40452</v>
      </c>
    </row>
    <row r="10158" spans="11:14" x14ac:dyDescent="0.3">
      <c r="K10158" s="1">
        <v>40909</v>
      </c>
      <c r="M10158" t="e">
        <v>#N/A</v>
      </c>
      <c r="N10158" s="1">
        <v>40452</v>
      </c>
    </row>
    <row r="10159" spans="11:14" x14ac:dyDescent="0.3">
      <c r="K10159" s="1">
        <v>40909</v>
      </c>
      <c r="M10159" t="e">
        <v>#N/A</v>
      </c>
      <c r="N10159" s="1">
        <v>40452</v>
      </c>
    </row>
    <row r="10160" spans="11:14" x14ac:dyDescent="0.3">
      <c r="K10160" s="1">
        <v>40909</v>
      </c>
      <c r="M10160" t="e">
        <v>#N/A</v>
      </c>
      <c r="N10160" s="1">
        <v>40452</v>
      </c>
    </row>
    <row r="10161" spans="11:14" x14ac:dyDescent="0.3">
      <c r="K10161" s="1">
        <v>40909</v>
      </c>
      <c r="M10161" t="e">
        <v>#N/A</v>
      </c>
      <c r="N10161" s="1">
        <v>40452</v>
      </c>
    </row>
    <row r="10162" spans="11:14" x14ac:dyDescent="0.3">
      <c r="K10162" s="1">
        <v>40909</v>
      </c>
      <c r="M10162" t="e">
        <v>#N/A</v>
      </c>
      <c r="N10162" s="1">
        <v>40452</v>
      </c>
    </row>
    <row r="10163" spans="11:14" x14ac:dyDescent="0.3">
      <c r="K10163" s="1">
        <v>40909</v>
      </c>
      <c r="M10163" t="e">
        <v>#N/A</v>
      </c>
      <c r="N10163" s="1">
        <v>40452</v>
      </c>
    </row>
    <row r="10164" spans="11:14" x14ac:dyDescent="0.3">
      <c r="K10164" s="1">
        <v>40909</v>
      </c>
      <c r="M10164" t="e">
        <v>#N/A</v>
      </c>
      <c r="N10164" s="1">
        <v>40452</v>
      </c>
    </row>
    <row r="10165" spans="11:14" x14ac:dyDescent="0.3">
      <c r="K10165" s="1">
        <v>40909</v>
      </c>
      <c r="M10165" t="e">
        <v>#N/A</v>
      </c>
      <c r="N10165" s="1">
        <v>40452</v>
      </c>
    </row>
    <row r="10166" spans="11:14" x14ac:dyDescent="0.3">
      <c r="K10166" s="1">
        <v>40909</v>
      </c>
      <c r="M10166" t="e">
        <v>#N/A</v>
      </c>
      <c r="N10166" s="1">
        <v>40452</v>
      </c>
    </row>
    <row r="10167" spans="11:14" x14ac:dyDescent="0.3">
      <c r="K10167" s="1">
        <v>40909</v>
      </c>
      <c r="M10167" t="e">
        <v>#N/A</v>
      </c>
      <c r="N10167" s="1">
        <v>40452</v>
      </c>
    </row>
    <row r="10168" spans="11:14" x14ac:dyDescent="0.3">
      <c r="K10168" s="1">
        <v>40909</v>
      </c>
      <c r="M10168" t="e">
        <v>#N/A</v>
      </c>
      <c r="N10168" s="1">
        <v>40452</v>
      </c>
    </row>
    <row r="10169" spans="11:14" x14ac:dyDescent="0.3">
      <c r="K10169" s="1">
        <v>40909</v>
      </c>
      <c r="M10169" t="e">
        <v>#N/A</v>
      </c>
      <c r="N10169" s="1">
        <v>40452</v>
      </c>
    </row>
    <row r="10170" spans="11:14" x14ac:dyDescent="0.3">
      <c r="K10170" s="1">
        <v>40909</v>
      </c>
      <c r="M10170" t="e">
        <v>#N/A</v>
      </c>
      <c r="N10170" s="1">
        <v>40452</v>
      </c>
    </row>
    <row r="10171" spans="11:14" x14ac:dyDescent="0.3">
      <c r="K10171" s="1">
        <v>40909</v>
      </c>
      <c r="M10171" t="e">
        <v>#N/A</v>
      </c>
      <c r="N10171" s="1">
        <v>40452</v>
      </c>
    </row>
    <row r="10172" spans="11:14" x14ac:dyDescent="0.3">
      <c r="K10172" s="1">
        <v>40909</v>
      </c>
      <c r="M10172" t="e">
        <v>#N/A</v>
      </c>
      <c r="N10172" s="1">
        <v>40452</v>
      </c>
    </row>
    <row r="10173" spans="11:14" x14ac:dyDescent="0.3">
      <c r="K10173" s="1">
        <v>40909</v>
      </c>
      <c r="M10173" t="e">
        <v>#N/A</v>
      </c>
      <c r="N10173" s="1">
        <v>40452</v>
      </c>
    </row>
    <row r="10174" spans="11:14" x14ac:dyDescent="0.3">
      <c r="K10174" s="1">
        <v>40909</v>
      </c>
      <c r="M10174" t="e">
        <v>#N/A</v>
      </c>
      <c r="N10174" s="1">
        <v>40452</v>
      </c>
    </row>
    <row r="10175" spans="11:14" x14ac:dyDescent="0.3">
      <c r="K10175" s="1">
        <v>40909</v>
      </c>
      <c r="M10175" t="e">
        <v>#N/A</v>
      </c>
      <c r="N10175" s="1">
        <v>40452</v>
      </c>
    </row>
    <row r="10176" spans="11:14" x14ac:dyDescent="0.3">
      <c r="K10176" s="1">
        <v>40909</v>
      </c>
      <c r="M10176" t="e">
        <v>#N/A</v>
      </c>
      <c r="N10176" s="1">
        <v>40452</v>
      </c>
    </row>
    <row r="10177" spans="11:14" x14ac:dyDescent="0.3">
      <c r="K10177" s="1">
        <v>40909</v>
      </c>
      <c r="M10177" t="e">
        <v>#N/A</v>
      </c>
      <c r="N10177" s="1">
        <v>40452</v>
      </c>
    </row>
    <row r="10178" spans="11:14" x14ac:dyDescent="0.3">
      <c r="K10178" s="1">
        <v>40909</v>
      </c>
      <c r="M10178" t="e">
        <v>#N/A</v>
      </c>
      <c r="N10178" s="1">
        <v>40452</v>
      </c>
    </row>
    <row r="10179" spans="11:14" x14ac:dyDescent="0.3">
      <c r="K10179" s="1">
        <v>40909</v>
      </c>
      <c r="M10179" t="e">
        <v>#N/A</v>
      </c>
      <c r="N10179" s="1">
        <v>40452</v>
      </c>
    </row>
    <row r="10180" spans="11:14" x14ac:dyDescent="0.3">
      <c r="K10180" s="1">
        <v>40909</v>
      </c>
      <c r="M10180" t="e">
        <v>#N/A</v>
      </c>
      <c r="N10180" s="1">
        <v>40452</v>
      </c>
    </row>
    <row r="10181" spans="11:14" x14ac:dyDescent="0.3">
      <c r="K10181" s="1">
        <v>40909</v>
      </c>
      <c r="M10181" t="e">
        <v>#N/A</v>
      </c>
      <c r="N10181" s="1">
        <v>40452</v>
      </c>
    </row>
    <row r="10182" spans="11:14" x14ac:dyDescent="0.3">
      <c r="K10182" s="1">
        <v>40909</v>
      </c>
      <c r="M10182" t="e">
        <v>#N/A</v>
      </c>
      <c r="N10182" s="1">
        <v>40452</v>
      </c>
    </row>
    <row r="10183" spans="11:14" x14ac:dyDescent="0.3">
      <c r="K10183" s="1">
        <v>40909</v>
      </c>
      <c r="M10183" t="e">
        <v>#N/A</v>
      </c>
      <c r="N10183" s="1">
        <v>40452</v>
      </c>
    </row>
    <row r="10184" spans="11:14" x14ac:dyDescent="0.3">
      <c r="K10184" s="1">
        <v>40909</v>
      </c>
      <c r="M10184" t="e">
        <v>#N/A</v>
      </c>
      <c r="N10184" s="1">
        <v>40452</v>
      </c>
    </row>
    <row r="10185" spans="11:14" x14ac:dyDescent="0.3">
      <c r="K10185" s="1">
        <v>40909</v>
      </c>
      <c r="M10185" t="e">
        <v>#N/A</v>
      </c>
      <c r="N10185" s="1">
        <v>40452</v>
      </c>
    </row>
    <row r="10186" spans="11:14" x14ac:dyDescent="0.3">
      <c r="K10186" s="1">
        <v>40909</v>
      </c>
      <c r="M10186" t="e">
        <v>#N/A</v>
      </c>
      <c r="N10186" s="1">
        <v>40452</v>
      </c>
    </row>
    <row r="10187" spans="11:14" x14ac:dyDescent="0.3">
      <c r="K10187" s="1">
        <v>40909</v>
      </c>
      <c r="M10187" t="e">
        <v>#N/A</v>
      </c>
      <c r="N10187" s="1">
        <v>40452</v>
      </c>
    </row>
    <row r="10188" spans="11:14" x14ac:dyDescent="0.3">
      <c r="K10188" s="1">
        <v>40909</v>
      </c>
      <c r="M10188" t="e">
        <v>#N/A</v>
      </c>
      <c r="N10188" s="1">
        <v>40452</v>
      </c>
    </row>
    <row r="10189" spans="11:14" x14ac:dyDescent="0.3">
      <c r="K10189" s="1">
        <v>40909</v>
      </c>
      <c r="M10189" t="e">
        <v>#N/A</v>
      </c>
      <c r="N10189" s="1">
        <v>40452</v>
      </c>
    </row>
    <row r="10190" spans="11:14" x14ac:dyDescent="0.3">
      <c r="K10190" s="1">
        <v>40909</v>
      </c>
      <c r="M10190" t="e">
        <v>#N/A</v>
      </c>
      <c r="N10190" s="1">
        <v>40452</v>
      </c>
    </row>
    <row r="10191" spans="11:14" x14ac:dyDescent="0.3">
      <c r="K10191" s="1">
        <v>40909</v>
      </c>
      <c r="M10191" t="e">
        <v>#N/A</v>
      </c>
      <c r="N10191" s="1">
        <v>40452</v>
      </c>
    </row>
    <row r="10192" spans="11:14" x14ac:dyDescent="0.3">
      <c r="K10192" s="1">
        <v>40909</v>
      </c>
      <c r="M10192" t="e">
        <v>#N/A</v>
      </c>
      <c r="N10192" s="1">
        <v>40452</v>
      </c>
    </row>
    <row r="10193" spans="11:14" x14ac:dyDescent="0.3">
      <c r="K10193" s="1">
        <v>40909</v>
      </c>
      <c r="M10193" t="e">
        <v>#N/A</v>
      </c>
      <c r="N10193" s="1">
        <v>40452</v>
      </c>
    </row>
    <row r="10194" spans="11:14" x14ac:dyDescent="0.3">
      <c r="K10194" s="1">
        <v>40909</v>
      </c>
      <c r="M10194" t="e">
        <v>#N/A</v>
      </c>
      <c r="N10194" s="1">
        <v>40452</v>
      </c>
    </row>
    <row r="10195" spans="11:14" x14ac:dyDescent="0.3">
      <c r="K10195" s="1">
        <v>40909</v>
      </c>
      <c r="M10195" t="e">
        <v>#N/A</v>
      </c>
      <c r="N10195" s="1">
        <v>40452</v>
      </c>
    </row>
    <row r="10196" spans="11:14" x14ac:dyDescent="0.3">
      <c r="K10196" s="1">
        <v>40909</v>
      </c>
      <c r="M10196" t="e">
        <v>#N/A</v>
      </c>
      <c r="N10196" s="1">
        <v>40452</v>
      </c>
    </row>
    <row r="10197" spans="11:14" x14ac:dyDescent="0.3">
      <c r="K10197" s="1">
        <v>40909</v>
      </c>
      <c r="M10197" t="e">
        <v>#N/A</v>
      </c>
      <c r="N10197" s="1">
        <v>40452</v>
      </c>
    </row>
    <row r="10198" spans="11:14" x14ac:dyDescent="0.3">
      <c r="K10198" s="1">
        <v>40909</v>
      </c>
      <c r="M10198" t="e">
        <v>#N/A</v>
      </c>
      <c r="N10198" s="1">
        <v>40452</v>
      </c>
    </row>
    <row r="10199" spans="11:14" x14ac:dyDescent="0.3">
      <c r="K10199" s="1">
        <v>40909</v>
      </c>
      <c r="M10199" t="e">
        <v>#N/A</v>
      </c>
      <c r="N10199" s="1">
        <v>40452</v>
      </c>
    </row>
    <row r="10200" spans="11:14" x14ac:dyDescent="0.3">
      <c r="K10200" s="1">
        <v>40909</v>
      </c>
      <c r="M10200" t="e">
        <v>#N/A</v>
      </c>
      <c r="N10200" s="1">
        <v>40452</v>
      </c>
    </row>
    <row r="10201" spans="11:14" x14ac:dyDescent="0.3">
      <c r="K10201" s="1">
        <v>40909</v>
      </c>
      <c r="M10201" t="e">
        <v>#N/A</v>
      </c>
      <c r="N10201" s="1">
        <v>40452</v>
      </c>
    </row>
    <row r="10202" spans="11:14" x14ac:dyDescent="0.3">
      <c r="K10202" s="1">
        <v>40909</v>
      </c>
      <c r="M10202" t="e">
        <v>#N/A</v>
      </c>
      <c r="N10202" s="1">
        <v>40452</v>
      </c>
    </row>
    <row r="10203" spans="11:14" x14ac:dyDescent="0.3">
      <c r="K10203" s="1">
        <v>40909</v>
      </c>
      <c r="M10203" t="e">
        <v>#N/A</v>
      </c>
      <c r="N10203" s="1">
        <v>40452</v>
      </c>
    </row>
    <row r="10204" spans="11:14" x14ac:dyDescent="0.3">
      <c r="K10204" s="1">
        <v>40909</v>
      </c>
      <c r="M10204" t="e">
        <v>#N/A</v>
      </c>
      <c r="N10204" s="1">
        <v>40452</v>
      </c>
    </row>
    <row r="10205" spans="11:14" x14ac:dyDescent="0.3">
      <c r="K10205" s="1">
        <v>40909</v>
      </c>
      <c r="M10205" t="e">
        <v>#N/A</v>
      </c>
      <c r="N10205" s="1">
        <v>40544</v>
      </c>
    </row>
    <row r="10206" spans="11:14" x14ac:dyDescent="0.3">
      <c r="K10206" s="1">
        <v>40909</v>
      </c>
      <c r="M10206" t="e">
        <v>#N/A</v>
      </c>
      <c r="N10206" s="1">
        <v>40544</v>
      </c>
    </row>
    <row r="10207" spans="11:14" x14ac:dyDescent="0.3">
      <c r="K10207" s="1">
        <v>40909</v>
      </c>
      <c r="M10207" t="e">
        <v>#N/A</v>
      </c>
      <c r="N10207" s="1">
        <v>40544</v>
      </c>
    </row>
    <row r="10208" spans="11:14" x14ac:dyDescent="0.3">
      <c r="K10208" s="1">
        <v>40909</v>
      </c>
      <c r="M10208" t="e">
        <v>#N/A</v>
      </c>
      <c r="N10208" s="1">
        <v>40544</v>
      </c>
    </row>
    <row r="10209" spans="11:14" x14ac:dyDescent="0.3">
      <c r="K10209" s="1">
        <v>40909</v>
      </c>
      <c r="M10209" t="e">
        <v>#N/A</v>
      </c>
      <c r="N10209" s="1">
        <v>40544</v>
      </c>
    </row>
    <row r="10210" spans="11:14" x14ac:dyDescent="0.3">
      <c r="K10210" s="1">
        <v>40909</v>
      </c>
      <c r="M10210" t="e">
        <v>#N/A</v>
      </c>
      <c r="N10210" s="1">
        <v>40544</v>
      </c>
    </row>
    <row r="10211" spans="11:14" x14ac:dyDescent="0.3">
      <c r="K10211" s="1">
        <v>40909</v>
      </c>
      <c r="M10211" t="e">
        <v>#N/A</v>
      </c>
      <c r="N10211" s="1">
        <v>40544</v>
      </c>
    </row>
    <row r="10212" spans="11:14" x14ac:dyDescent="0.3">
      <c r="K10212" s="1">
        <v>40909</v>
      </c>
      <c r="M10212" t="e">
        <v>#N/A</v>
      </c>
      <c r="N10212" s="1">
        <v>40544</v>
      </c>
    </row>
    <row r="10213" spans="11:14" x14ac:dyDescent="0.3">
      <c r="K10213" s="1">
        <v>40909</v>
      </c>
      <c r="M10213" t="e">
        <v>#N/A</v>
      </c>
      <c r="N10213" s="1">
        <v>40544</v>
      </c>
    </row>
    <row r="10214" spans="11:14" x14ac:dyDescent="0.3">
      <c r="K10214" s="1">
        <v>40909</v>
      </c>
      <c r="M10214" t="e">
        <v>#N/A</v>
      </c>
      <c r="N10214" s="1">
        <v>40544</v>
      </c>
    </row>
    <row r="10215" spans="11:14" x14ac:dyDescent="0.3">
      <c r="K10215" s="1">
        <v>40909</v>
      </c>
      <c r="M10215" t="e">
        <v>#N/A</v>
      </c>
      <c r="N10215" s="1">
        <v>40544</v>
      </c>
    </row>
    <row r="10216" spans="11:14" x14ac:dyDescent="0.3">
      <c r="K10216" s="1">
        <v>40909</v>
      </c>
      <c r="M10216" t="e">
        <v>#N/A</v>
      </c>
      <c r="N10216" s="1">
        <v>40544</v>
      </c>
    </row>
    <row r="10217" spans="11:14" x14ac:dyDescent="0.3">
      <c r="K10217" s="1">
        <v>40909</v>
      </c>
      <c r="M10217" t="e">
        <v>#N/A</v>
      </c>
      <c r="N10217" s="1">
        <v>40544</v>
      </c>
    </row>
    <row r="10218" spans="11:14" x14ac:dyDescent="0.3">
      <c r="K10218" s="1">
        <v>40909</v>
      </c>
      <c r="M10218" t="e">
        <v>#N/A</v>
      </c>
      <c r="N10218" s="1">
        <v>40544</v>
      </c>
    </row>
    <row r="10219" spans="11:14" x14ac:dyDescent="0.3">
      <c r="K10219" s="1">
        <v>40909</v>
      </c>
      <c r="M10219" t="e">
        <v>#N/A</v>
      </c>
      <c r="N10219" s="1">
        <v>40544</v>
      </c>
    </row>
    <row r="10220" spans="11:14" x14ac:dyDescent="0.3">
      <c r="K10220" s="1">
        <v>40909</v>
      </c>
      <c r="M10220" t="e">
        <v>#N/A</v>
      </c>
      <c r="N10220" s="1">
        <v>40544</v>
      </c>
    </row>
    <row r="10221" spans="11:14" x14ac:dyDescent="0.3">
      <c r="K10221" s="1">
        <v>40909</v>
      </c>
      <c r="M10221" t="e">
        <v>#N/A</v>
      </c>
      <c r="N10221" s="1">
        <v>40544</v>
      </c>
    </row>
    <row r="10222" spans="11:14" x14ac:dyDescent="0.3">
      <c r="K10222" s="1">
        <v>40909</v>
      </c>
      <c r="M10222" t="e">
        <v>#N/A</v>
      </c>
      <c r="N10222" s="1">
        <v>40544</v>
      </c>
    </row>
    <row r="10223" spans="11:14" x14ac:dyDescent="0.3">
      <c r="K10223" s="1">
        <v>40909</v>
      </c>
      <c r="M10223" t="e">
        <v>#N/A</v>
      </c>
      <c r="N10223" s="1">
        <v>40544</v>
      </c>
    </row>
    <row r="10224" spans="11:14" x14ac:dyDescent="0.3">
      <c r="K10224" s="1">
        <v>40909</v>
      </c>
      <c r="M10224" t="e">
        <v>#N/A</v>
      </c>
      <c r="N10224" s="1">
        <v>40544</v>
      </c>
    </row>
    <row r="10225" spans="11:14" x14ac:dyDescent="0.3">
      <c r="K10225" s="1">
        <v>40909</v>
      </c>
      <c r="M10225" t="e">
        <v>#N/A</v>
      </c>
      <c r="N10225" s="1">
        <v>40544</v>
      </c>
    </row>
    <row r="10226" spans="11:14" x14ac:dyDescent="0.3">
      <c r="K10226" s="1">
        <v>40909</v>
      </c>
      <c r="M10226" t="e">
        <v>#N/A</v>
      </c>
      <c r="N10226" s="1">
        <v>40544</v>
      </c>
    </row>
    <row r="10227" spans="11:14" x14ac:dyDescent="0.3">
      <c r="K10227" s="1">
        <v>40909</v>
      </c>
      <c r="M10227" t="e">
        <v>#N/A</v>
      </c>
      <c r="N10227" s="1">
        <v>40544</v>
      </c>
    </row>
    <row r="10228" spans="11:14" x14ac:dyDescent="0.3">
      <c r="K10228" s="1">
        <v>40909</v>
      </c>
      <c r="M10228" t="e">
        <v>#N/A</v>
      </c>
      <c r="N10228" s="1">
        <v>40544</v>
      </c>
    </row>
    <row r="10229" spans="11:14" x14ac:dyDescent="0.3">
      <c r="K10229" s="1">
        <v>40909</v>
      </c>
      <c r="M10229" t="e">
        <v>#N/A</v>
      </c>
      <c r="N10229" s="1">
        <v>40544</v>
      </c>
    </row>
    <row r="10230" spans="11:14" x14ac:dyDescent="0.3">
      <c r="K10230" s="1">
        <v>40909</v>
      </c>
      <c r="M10230" t="e">
        <v>#N/A</v>
      </c>
      <c r="N10230" s="1">
        <v>40544</v>
      </c>
    </row>
    <row r="10231" spans="11:14" x14ac:dyDescent="0.3">
      <c r="K10231" s="1">
        <v>40909</v>
      </c>
      <c r="M10231" t="e">
        <v>#N/A</v>
      </c>
      <c r="N10231" s="1">
        <v>40544</v>
      </c>
    </row>
    <row r="10232" spans="11:14" x14ac:dyDescent="0.3">
      <c r="K10232" s="1">
        <v>40909</v>
      </c>
      <c r="M10232" t="e">
        <v>#N/A</v>
      </c>
      <c r="N10232" s="1">
        <v>40544</v>
      </c>
    </row>
    <row r="10233" spans="11:14" x14ac:dyDescent="0.3">
      <c r="K10233" s="1">
        <v>40909</v>
      </c>
      <c r="M10233" t="e">
        <v>#N/A</v>
      </c>
      <c r="N10233" s="1">
        <v>40544</v>
      </c>
    </row>
    <row r="10234" spans="11:14" x14ac:dyDescent="0.3">
      <c r="K10234" s="1">
        <v>40909</v>
      </c>
      <c r="M10234" t="e">
        <v>#N/A</v>
      </c>
      <c r="N10234" s="1">
        <v>40544</v>
      </c>
    </row>
    <row r="10235" spans="11:14" x14ac:dyDescent="0.3">
      <c r="K10235" s="1">
        <v>40909</v>
      </c>
      <c r="M10235" t="e">
        <v>#N/A</v>
      </c>
      <c r="N10235" s="1">
        <v>40544</v>
      </c>
    </row>
    <row r="10236" spans="11:14" x14ac:dyDescent="0.3">
      <c r="K10236" s="1">
        <v>40909</v>
      </c>
      <c r="M10236" t="e">
        <v>#N/A</v>
      </c>
      <c r="N10236" s="1">
        <v>40544</v>
      </c>
    </row>
    <row r="10237" spans="11:14" x14ac:dyDescent="0.3">
      <c r="K10237" s="1">
        <v>40909</v>
      </c>
      <c r="M10237" t="e">
        <v>#N/A</v>
      </c>
      <c r="N10237" s="1">
        <v>40544</v>
      </c>
    </row>
    <row r="10238" spans="11:14" x14ac:dyDescent="0.3">
      <c r="K10238" s="1">
        <v>40909</v>
      </c>
      <c r="M10238" t="e">
        <v>#N/A</v>
      </c>
      <c r="N10238" s="1">
        <v>40544</v>
      </c>
    </row>
    <row r="10239" spans="11:14" x14ac:dyDescent="0.3">
      <c r="K10239" s="1">
        <v>40909</v>
      </c>
      <c r="M10239" t="e">
        <v>#N/A</v>
      </c>
      <c r="N10239" s="1">
        <v>40544</v>
      </c>
    </row>
    <row r="10240" spans="11:14" x14ac:dyDescent="0.3">
      <c r="K10240" s="1">
        <v>40909</v>
      </c>
      <c r="M10240" t="e">
        <v>#N/A</v>
      </c>
      <c r="N10240" s="1">
        <v>40544</v>
      </c>
    </row>
    <row r="10241" spans="11:14" x14ac:dyDescent="0.3">
      <c r="K10241" s="1">
        <v>40909</v>
      </c>
      <c r="M10241" t="e">
        <v>#N/A</v>
      </c>
      <c r="N10241" s="1">
        <v>40544</v>
      </c>
    </row>
    <row r="10242" spans="11:14" x14ac:dyDescent="0.3">
      <c r="K10242" s="1">
        <v>40909</v>
      </c>
      <c r="M10242" t="e">
        <v>#N/A</v>
      </c>
      <c r="N10242" s="1">
        <v>40544</v>
      </c>
    </row>
    <row r="10243" spans="11:14" x14ac:dyDescent="0.3">
      <c r="K10243" s="1">
        <v>40909</v>
      </c>
      <c r="M10243" t="e">
        <v>#N/A</v>
      </c>
      <c r="N10243" s="1">
        <v>40544</v>
      </c>
    </row>
    <row r="10244" spans="11:14" x14ac:dyDescent="0.3">
      <c r="K10244" s="1">
        <v>40909</v>
      </c>
      <c r="M10244" t="e">
        <v>#N/A</v>
      </c>
      <c r="N10244" s="1">
        <v>40544</v>
      </c>
    </row>
    <row r="10245" spans="11:14" x14ac:dyDescent="0.3">
      <c r="K10245" s="1">
        <v>40909</v>
      </c>
      <c r="M10245" t="e">
        <v>#N/A</v>
      </c>
      <c r="N10245" s="1">
        <v>40544</v>
      </c>
    </row>
    <row r="10246" spans="11:14" x14ac:dyDescent="0.3">
      <c r="K10246" s="1">
        <v>40909</v>
      </c>
      <c r="M10246" t="e">
        <v>#N/A</v>
      </c>
      <c r="N10246" s="1">
        <v>40544</v>
      </c>
    </row>
    <row r="10247" spans="11:14" x14ac:dyDescent="0.3">
      <c r="K10247" s="1">
        <v>40909</v>
      </c>
      <c r="M10247" t="e">
        <v>#N/A</v>
      </c>
      <c r="N10247" s="1">
        <v>40544</v>
      </c>
    </row>
    <row r="10248" spans="11:14" x14ac:dyDescent="0.3">
      <c r="K10248" s="1">
        <v>40909</v>
      </c>
      <c r="M10248" t="e">
        <v>#N/A</v>
      </c>
      <c r="N10248" s="1">
        <v>40544</v>
      </c>
    </row>
    <row r="10249" spans="11:14" x14ac:dyDescent="0.3">
      <c r="K10249" s="1">
        <v>40909</v>
      </c>
      <c r="M10249" t="e">
        <v>#N/A</v>
      </c>
      <c r="N10249" s="1">
        <v>40544</v>
      </c>
    </row>
    <row r="10250" spans="11:14" x14ac:dyDescent="0.3">
      <c r="K10250" s="1">
        <v>40909</v>
      </c>
      <c r="M10250" t="e">
        <v>#N/A</v>
      </c>
      <c r="N10250" s="1">
        <v>40544</v>
      </c>
    </row>
    <row r="10251" spans="11:14" x14ac:dyDescent="0.3">
      <c r="K10251" s="1">
        <v>40909</v>
      </c>
      <c r="M10251" t="e">
        <v>#N/A</v>
      </c>
      <c r="N10251" s="1">
        <v>40544</v>
      </c>
    </row>
    <row r="10252" spans="11:14" x14ac:dyDescent="0.3">
      <c r="K10252" s="1">
        <v>40909</v>
      </c>
      <c r="M10252" t="e">
        <v>#N/A</v>
      </c>
      <c r="N10252" s="1">
        <v>40544</v>
      </c>
    </row>
    <row r="10253" spans="11:14" x14ac:dyDescent="0.3">
      <c r="K10253" s="1">
        <v>40909</v>
      </c>
      <c r="M10253" t="e">
        <v>#N/A</v>
      </c>
      <c r="N10253" s="1">
        <v>40544</v>
      </c>
    </row>
    <row r="10254" spans="11:14" x14ac:dyDescent="0.3">
      <c r="K10254" s="1">
        <v>40909</v>
      </c>
      <c r="M10254" t="e">
        <v>#N/A</v>
      </c>
      <c r="N10254" s="1">
        <v>40544</v>
      </c>
    </row>
    <row r="10255" spans="11:14" x14ac:dyDescent="0.3">
      <c r="K10255" s="1">
        <v>40909</v>
      </c>
      <c r="M10255" t="e">
        <v>#N/A</v>
      </c>
      <c r="N10255" s="1">
        <v>40544</v>
      </c>
    </row>
    <row r="10256" spans="11:14" x14ac:dyDescent="0.3">
      <c r="K10256" s="1">
        <v>40909</v>
      </c>
      <c r="M10256" t="e">
        <v>#N/A</v>
      </c>
      <c r="N10256" s="1">
        <v>40544</v>
      </c>
    </row>
    <row r="10257" spans="11:14" x14ac:dyDescent="0.3">
      <c r="K10257" s="1">
        <v>40909</v>
      </c>
      <c r="M10257" t="e">
        <v>#N/A</v>
      </c>
      <c r="N10257" s="1">
        <v>40544</v>
      </c>
    </row>
    <row r="10258" spans="11:14" x14ac:dyDescent="0.3">
      <c r="K10258" s="1">
        <v>40909</v>
      </c>
      <c r="M10258" t="e">
        <v>#N/A</v>
      </c>
      <c r="N10258" s="1">
        <v>40544</v>
      </c>
    </row>
    <row r="10259" spans="11:14" x14ac:dyDescent="0.3">
      <c r="K10259" s="1">
        <v>40909</v>
      </c>
      <c r="M10259" t="e">
        <v>#N/A</v>
      </c>
      <c r="N10259" s="1">
        <v>40544</v>
      </c>
    </row>
    <row r="10260" spans="11:14" x14ac:dyDescent="0.3">
      <c r="K10260" s="1">
        <v>40909</v>
      </c>
      <c r="M10260" t="e">
        <v>#N/A</v>
      </c>
      <c r="N10260" s="1">
        <v>40544</v>
      </c>
    </row>
    <row r="10261" spans="11:14" x14ac:dyDescent="0.3">
      <c r="K10261" s="1">
        <v>40909</v>
      </c>
      <c r="M10261" t="e">
        <v>#N/A</v>
      </c>
      <c r="N10261" s="1">
        <v>40544</v>
      </c>
    </row>
    <row r="10262" spans="11:14" x14ac:dyDescent="0.3">
      <c r="K10262" s="1">
        <v>40909</v>
      </c>
      <c r="M10262" t="e">
        <v>#N/A</v>
      </c>
      <c r="N10262" s="1">
        <v>40544</v>
      </c>
    </row>
    <row r="10263" spans="11:14" x14ac:dyDescent="0.3">
      <c r="K10263" s="1">
        <v>40909</v>
      </c>
      <c r="M10263" t="e">
        <v>#N/A</v>
      </c>
      <c r="N10263" s="1">
        <v>40544</v>
      </c>
    </row>
    <row r="10264" spans="11:14" x14ac:dyDescent="0.3">
      <c r="K10264" s="1">
        <v>40909</v>
      </c>
      <c r="M10264" t="e">
        <v>#N/A</v>
      </c>
      <c r="N10264" s="1">
        <v>40544</v>
      </c>
    </row>
    <row r="10265" spans="11:14" x14ac:dyDescent="0.3">
      <c r="K10265" s="1">
        <v>40909</v>
      </c>
      <c r="M10265" t="e">
        <v>#N/A</v>
      </c>
      <c r="N10265" s="1">
        <v>40544</v>
      </c>
    </row>
    <row r="10266" spans="11:14" x14ac:dyDescent="0.3">
      <c r="K10266" s="1">
        <v>40909</v>
      </c>
      <c r="M10266" t="e">
        <v>#N/A</v>
      </c>
      <c r="N10266" s="1">
        <v>40544</v>
      </c>
    </row>
    <row r="10267" spans="11:14" x14ac:dyDescent="0.3">
      <c r="K10267" s="1">
        <v>40909</v>
      </c>
      <c r="M10267" t="e">
        <v>#N/A</v>
      </c>
      <c r="N10267" s="1">
        <v>40544</v>
      </c>
    </row>
    <row r="10268" spans="11:14" x14ac:dyDescent="0.3">
      <c r="K10268" s="1">
        <v>40909</v>
      </c>
      <c r="M10268" t="e">
        <v>#N/A</v>
      </c>
      <c r="N10268" s="1">
        <v>40544</v>
      </c>
    </row>
    <row r="10269" spans="11:14" x14ac:dyDescent="0.3">
      <c r="K10269" s="1">
        <v>40909</v>
      </c>
      <c r="M10269" t="e">
        <v>#N/A</v>
      </c>
      <c r="N10269" s="1">
        <v>40544</v>
      </c>
    </row>
    <row r="10270" spans="11:14" x14ac:dyDescent="0.3">
      <c r="K10270" s="1">
        <v>40909</v>
      </c>
      <c r="M10270" t="e">
        <v>#N/A</v>
      </c>
      <c r="N10270" s="1">
        <v>40544</v>
      </c>
    </row>
    <row r="10271" spans="11:14" x14ac:dyDescent="0.3">
      <c r="K10271" s="1">
        <v>40909</v>
      </c>
      <c r="M10271" t="e">
        <v>#N/A</v>
      </c>
      <c r="N10271" s="1">
        <v>40544</v>
      </c>
    </row>
    <row r="10272" spans="11:14" x14ac:dyDescent="0.3">
      <c r="K10272" s="1">
        <v>40909</v>
      </c>
      <c r="M10272" t="e">
        <v>#N/A</v>
      </c>
      <c r="N10272" s="1">
        <v>40544</v>
      </c>
    </row>
    <row r="10273" spans="11:14" x14ac:dyDescent="0.3">
      <c r="K10273" s="1">
        <v>40909</v>
      </c>
      <c r="M10273" t="e">
        <v>#N/A</v>
      </c>
      <c r="N10273" s="1">
        <v>40544</v>
      </c>
    </row>
    <row r="10274" spans="11:14" x14ac:dyDescent="0.3">
      <c r="K10274" s="1">
        <v>40909</v>
      </c>
      <c r="M10274" t="e">
        <v>#N/A</v>
      </c>
      <c r="N10274" s="1">
        <v>40544</v>
      </c>
    </row>
    <row r="10275" spans="11:14" x14ac:dyDescent="0.3">
      <c r="K10275" s="1">
        <v>40909</v>
      </c>
      <c r="M10275" t="e">
        <v>#N/A</v>
      </c>
      <c r="N10275" s="1">
        <v>40544</v>
      </c>
    </row>
    <row r="10276" spans="11:14" x14ac:dyDescent="0.3">
      <c r="K10276" s="1">
        <v>40909</v>
      </c>
      <c r="M10276" t="e">
        <v>#N/A</v>
      </c>
      <c r="N10276" s="1">
        <v>40544</v>
      </c>
    </row>
    <row r="10277" spans="11:14" x14ac:dyDescent="0.3">
      <c r="K10277" s="1">
        <v>40909</v>
      </c>
      <c r="M10277" t="e">
        <v>#N/A</v>
      </c>
      <c r="N10277" s="1">
        <v>40544</v>
      </c>
    </row>
    <row r="10278" spans="11:14" x14ac:dyDescent="0.3">
      <c r="K10278" s="1">
        <v>40909</v>
      </c>
      <c r="M10278" t="e">
        <v>#N/A</v>
      </c>
      <c r="N10278" s="1">
        <v>40544</v>
      </c>
    </row>
    <row r="10279" spans="11:14" x14ac:dyDescent="0.3">
      <c r="K10279" s="1">
        <v>40909</v>
      </c>
      <c r="M10279" t="e">
        <v>#N/A</v>
      </c>
      <c r="N10279" s="1">
        <v>40544</v>
      </c>
    </row>
    <row r="10280" spans="11:14" x14ac:dyDescent="0.3">
      <c r="K10280" s="1">
        <v>40909</v>
      </c>
      <c r="M10280" t="e">
        <v>#N/A</v>
      </c>
      <c r="N10280" s="1">
        <v>40544</v>
      </c>
    </row>
    <row r="10281" spans="11:14" x14ac:dyDescent="0.3">
      <c r="K10281" s="1">
        <v>40909</v>
      </c>
      <c r="M10281" t="e">
        <v>#N/A</v>
      </c>
      <c r="N10281" s="1">
        <v>40544</v>
      </c>
    </row>
    <row r="10282" spans="11:14" x14ac:dyDescent="0.3">
      <c r="K10282" s="1">
        <v>40909</v>
      </c>
      <c r="M10282" t="e">
        <v>#N/A</v>
      </c>
      <c r="N10282" s="1">
        <v>40544</v>
      </c>
    </row>
    <row r="10283" spans="11:14" x14ac:dyDescent="0.3">
      <c r="K10283" s="1">
        <v>40909</v>
      </c>
      <c r="M10283" t="e">
        <v>#N/A</v>
      </c>
      <c r="N10283" s="1">
        <v>40544</v>
      </c>
    </row>
    <row r="10284" spans="11:14" x14ac:dyDescent="0.3">
      <c r="K10284" s="1">
        <v>40909</v>
      </c>
      <c r="M10284" t="e">
        <v>#N/A</v>
      </c>
      <c r="N10284" s="1">
        <v>40544</v>
      </c>
    </row>
    <row r="10285" spans="11:14" x14ac:dyDescent="0.3">
      <c r="K10285" s="1">
        <v>40909</v>
      </c>
      <c r="M10285" t="e">
        <v>#N/A</v>
      </c>
      <c r="N10285" s="1">
        <v>40544</v>
      </c>
    </row>
    <row r="10286" spans="11:14" x14ac:dyDescent="0.3">
      <c r="K10286" s="1">
        <v>40909</v>
      </c>
      <c r="M10286" t="e">
        <v>#N/A</v>
      </c>
      <c r="N10286" s="1">
        <v>40544</v>
      </c>
    </row>
    <row r="10287" spans="11:14" x14ac:dyDescent="0.3">
      <c r="K10287" s="1">
        <v>40909</v>
      </c>
      <c r="M10287" t="e">
        <v>#N/A</v>
      </c>
      <c r="N10287" s="1">
        <v>40544</v>
      </c>
    </row>
    <row r="10288" spans="11:14" x14ac:dyDescent="0.3">
      <c r="K10288" s="1">
        <v>40909</v>
      </c>
      <c r="M10288" t="e">
        <v>#N/A</v>
      </c>
      <c r="N10288" s="1">
        <v>40544</v>
      </c>
    </row>
    <row r="10289" spans="11:14" x14ac:dyDescent="0.3">
      <c r="K10289" s="1">
        <v>40909</v>
      </c>
      <c r="M10289" t="e">
        <v>#N/A</v>
      </c>
      <c r="N10289" s="1">
        <v>40544</v>
      </c>
    </row>
    <row r="10290" spans="11:14" x14ac:dyDescent="0.3">
      <c r="K10290" s="1">
        <v>40909</v>
      </c>
      <c r="M10290" t="e">
        <v>#N/A</v>
      </c>
      <c r="N10290" s="1">
        <v>40544</v>
      </c>
    </row>
    <row r="10291" spans="11:14" x14ac:dyDescent="0.3">
      <c r="K10291" s="1">
        <v>40909</v>
      </c>
      <c r="M10291" t="e">
        <v>#N/A</v>
      </c>
      <c r="N10291" s="1">
        <v>40544</v>
      </c>
    </row>
    <row r="10292" spans="11:14" x14ac:dyDescent="0.3">
      <c r="K10292" s="1">
        <v>40909</v>
      </c>
      <c r="M10292" t="e">
        <v>#N/A</v>
      </c>
      <c r="N10292" s="1">
        <v>40544</v>
      </c>
    </row>
    <row r="10293" spans="11:14" x14ac:dyDescent="0.3">
      <c r="K10293" s="1">
        <v>40909</v>
      </c>
      <c r="M10293" t="e">
        <v>#N/A</v>
      </c>
      <c r="N10293" s="1">
        <v>40544</v>
      </c>
    </row>
    <row r="10294" spans="11:14" x14ac:dyDescent="0.3">
      <c r="K10294" s="1">
        <v>40909</v>
      </c>
      <c r="M10294" t="e">
        <v>#N/A</v>
      </c>
      <c r="N10294" s="1">
        <v>40544</v>
      </c>
    </row>
    <row r="10295" spans="11:14" x14ac:dyDescent="0.3">
      <c r="K10295" s="1">
        <v>40909</v>
      </c>
      <c r="M10295" t="e">
        <v>#N/A</v>
      </c>
      <c r="N10295" s="1">
        <v>40544</v>
      </c>
    </row>
    <row r="10296" spans="11:14" x14ac:dyDescent="0.3">
      <c r="K10296" s="1">
        <v>40909</v>
      </c>
      <c r="M10296" t="e">
        <v>#N/A</v>
      </c>
      <c r="N10296" s="1">
        <v>40544</v>
      </c>
    </row>
    <row r="10297" spans="11:14" x14ac:dyDescent="0.3">
      <c r="K10297" s="1">
        <v>40909</v>
      </c>
      <c r="M10297" t="e">
        <v>#N/A</v>
      </c>
      <c r="N10297" s="1">
        <v>40544</v>
      </c>
    </row>
    <row r="10298" spans="11:14" x14ac:dyDescent="0.3">
      <c r="K10298" s="1">
        <v>40909</v>
      </c>
      <c r="M10298" t="e">
        <v>#N/A</v>
      </c>
      <c r="N10298" s="1">
        <v>40544</v>
      </c>
    </row>
    <row r="10299" spans="11:14" x14ac:dyDescent="0.3">
      <c r="K10299" s="1">
        <v>40909</v>
      </c>
      <c r="M10299" t="e">
        <v>#N/A</v>
      </c>
      <c r="N10299" s="1">
        <v>40544</v>
      </c>
    </row>
    <row r="10300" spans="11:14" x14ac:dyDescent="0.3">
      <c r="K10300" s="1">
        <v>40909</v>
      </c>
      <c r="M10300" t="e">
        <v>#N/A</v>
      </c>
      <c r="N10300" s="1">
        <v>40544</v>
      </c>
    </row>
    <row r="10301" spans="11:14" x14ac:dyDescent="0.3">
      <c r="K10301" s="1">
        <v>40909</v>
      </c>
      <c r="M10301" t="e">
        <v>#N/A</v>
      </c>
      <c r="N10301" s="1">
        <v>40544</v>
      </c>
    </row>
    <row r="10302" spans="11:14" x14ac:dyDescent="0.3">
      <c r="K10302" s="1">
        <v>40909</v>
      </c>
      <c r="M10302" t="e">
        <v>#N/A</v>
      </c>
      <c r="N10302" s="1">
        <v>40544</v>
      </c>
    </row>
    <row r="10303" spans="11:14" x14ac:dyDescent="0.3">
      <c r="K10303" s="1">
        <v>40909</v>
      </c>
      <c r="M10303" t="e">
        <v>#N/A</v>
      </c>
      <c r="N10303" s="1">
        <v>40544</v>
      </c>
    </row>
    <row r="10304" spans="11:14" x14ac:dyDescent="0.3">
      <c r="K10304" s="1">
        <v>40909</v>
      </c>
      <c r="M10304" t="e">
        <v>#N/A</v>
      </c>
      <c r="N10304" s="1">
        <v>40544</v>
      </c>
    </row>
    <row r="10305" spans="11:14" x14ac:dyDescent="0.3">
      <c r="K10305" s="1">
        <v>40909</v>
      </c>
      <c r="M10305" t="e">
        <v>#N/A</v>
      </c>
      <c r="N10305" s="1">
        <v>40544</v>
      </c>
    </row>
    <row r="10306" spans="11:14" x14ac:dyDescent="0.3">
      <c r="K10306" s="1">
        <v>40909</v>
      </c>
      <c r="M10306" t="e">
        <v>#N/A</v>
      </c>
      <c r="N10306" s="1">
        <v>40544</v>
      </c>
    </row>
    <row r="10307" spans="11:14" x14ac:dyDescent="0.3">
      <c r="K10307" s="1">
        <v>40909</v>
      </c>
      <c r="M10307" t="e">
        <v>#N/A</v>
      </c>
      <c r="N10307" s="1">
        <v>40544</v>
      </c>
    </row>
    <row r="10308" spans="11:14" x14ac:dyDescent="0.3">
      <c r="K10308" s="1">
        <v>40909</v>
      </c>
      <c r="M10308" t="e">
        <v>#N/A</v>
      </c>
      <c r="N10308" s="1">
        <v>40544</v>
      </c>
    </row>
    <row r="10309" spans="11:14" x14ac:dyDescent="0.3">
      <c r="K10309" s="1">
        <v>40909</v>
      </c>
      <c r="M10309" t="e">
        <v>#N/A</v>
      </c>
      <c r="N10309" s="1">
        <v>40544</v>
      </c>
    </row>
    <row r="10310" spans="11:14" x14ac:dyDescent="0.3">
      <c r="K10310" s="1">
        <v>40909</v>
      </c>
      <c r="M10310" t="e">
        <v>#N/A</v>
      </c>
      <c r="N10310" s="1">
        <v>40544</v>
      </c>
    </row>
    <row r="10311" spans="11:14" x14ac:dyDescent="0.3">
      <c r="K10311" s="1">
        <v>40909</v>
      </c>
      <c r="M10311" t="e">
        <v>#N/A</v>
      </c>
      <c r="N10311" s="1">
        <v>40544</v>
      </c>
    </row>
    <row r="10312" spans="11:14" x14ac:dyDescent="0.3">
      <c r="K10312" s="1">
        <v>40909</v>
      </c>
      <c r="M10312" t="e">
        <v>#N/A</v>
      </c>
      <c r="N10312" s="1">
        <v>40544</v>
      </c>
    </row>
    <row r="10313" spans="11:14" x14ac:dyDescent="0.3">
      <c r="K10313" s="1">
        <v>40909</v>
      </c>
      <c r="M10313" t="e">
        <v>#N/A</v>
      </c>
      <c r="N10313" s="1">
        <v>40544</v>
      </c>
    </row>
    <row r="10314" spans="11:14" x14ac:dyDescent="0.3">
      <c r="K10314" s="1">
        <v>40909</v>
      </c>
      <c r="M10314" t="e">
        <v>#N/A</v>
      </c>
      <c r="N10314" s="1">
        <v>40544</v>
      </c>
    </row>
    <row r="10315" spans="11:14" x14ac:dyDescent="0.3">
      <c r="K10315" s="1">
        <v>40909</v>
      </c>
      <c r="M10315" t="e">
        <v>#N/A</v>
      </c>
      <c r="N10315" s="1">
        <v>40544</v>
      </c>
    </row>
    <row r="10316" spans="11:14" x14ac:dyDescent="0.3">
      <c r="K10316" s="1">
        <v>40909</v>
      </c>
      <c r="M10316" t="e">
        <v>#N/A</v>
      </c>
      <c r="N10316" s="1">
        <v>40544</v>
      </c>
    </row>
    <row r="10317" spans="11:14" x14ac:dyDescent="0.3">
      <c r="K10317" s="1">
        <v>40909</v>
      </c>
      <c r="M10317" t="e">
        <v>#N/A</v>
      </c>
      <c r="N10317" s="1">
        <v>40544</v>
      </c>
    </row>
    <row r="10318" spans="11:14" x14ac:dyDescent="0.3">
      <c r="K10318" s="1">
        <v>40909</v>
      </c>
      <c r="M10318" t="e">
        <v>#N/A</v>
      </c>
      <c r="N10318" s="1">
        <v>40544</v>
      </c>
    </row>
    <row r="10319" spans="11:14" x14ac:dyDescent="0.3">
      <c r="K10319" s="1">
        <v>40909</v>
      </c>
      <c r="M10319" t="e">
        <v>#N/A</v>
      </c>
      <c r="N10319" s="1">
        <v>40544</v>
      </c>
    </row>
    <row r="10320" spans="11:14" x14ac:dyDescent="0.3">
      <c r="K10320" s="1">
        <v>40909</v>
      </c>
      <c r="M10320" t="e">
        <v>#N/A</v>
      </c>
      <c r="N10320" s="1">
        <v>40544</v>
      </c>
    </row>
    <row r="10321" spans="11:14" x14ac:dyDescent="0.3">
      <c r="K10321" s="1">
        <v>40909</v>
      </c>
      <c r="M10321" t="e">
        <v>#N/A</v>
      </c>
      <c r="N10321" s="1">
        <v>40544</v>
      </c>
    </row>
    <row r="10322" spans="11:14" x14ac:dyDescent="0.3">
      <c r="K10322" s="1">
        <v>40909</v>
      </c>
      <c r="M10322" t="e">
        <v>#N/A</v>
      </c>
      <c r="N10322" s="1">
        <v>40544</v>
      </c>
    </row>
    <row r="10323" spans="11:14" x14ac:dyDescent="0.3">
      <c r="K10323" s="1">
        <v>40909</v>
      </c>
      <c r="M10323" t="e">
        <v>#N/A</v>
      </c>
      <c r="N10323" s="1">
        <v>40544</v>
      </c>
    </row>
    <row r="10324" spans="11:14" x14ac:dyDescent="0.3">
      <c r="K10324" s="1">
        <v>40909</v>
      </c>
      <c r="M10324" t="e">
        <v>#N/A</v>
      </c>
      <c r="N10324" s="1">
        <v>40544</v>
      </c>
    </row>
    <row r="10325" spans="11:14" x14ac:dyDescent="0.3">
      <c r="K10325" s="1">
        <v>40909</v>
      </c>
      <c r="M10325" t="e">
        <v>#N/A</v>
      </c>
      <c r="N10325" s="1">
        <v>40544</v>
      </c>
    </row>
    <row r="10326" spans="11:14" x14ac:dyDescent="0.3">
      <c r="K10326" s="1">
        <v>40909</v>
      </c>
      <c r="M10326" t="e">
        <v>#N/A</v>
      </c>
      <c r="N10326" s="1">
        <v>40544</v>
      </c>
    </row>
    <row r="10327" spans="11:14" x14ac:dyDescent="0.3">
      <c r="K10327" s="1">
        <v>40909</v>
      </c>
      <c r="M10327" t="e">
        <v>#N/A</v>
      </c>
      <c r="N10327" s="1">
        <v>40544</v>
      </c>
    </row>
    <row r="10328" spans="11:14" x14ac:dyDescent="0.3">
      <c r="K10328" s="1">
        <v>40909</v>
      </c>
      <c r="M10328" t="e">
        <v>#N/A</v>
      </c>
      <c r="N10328" s="1">
        <v>40544</v>
      </c>
    </row>
    <row r="10329" spans="11:14" x14ac:dyDescent="0.3">
      <c r="K10329" s="1">
        <v>40909</v>
      </c>
      <c r="M10329" t="e">
        <v>#N/A</v>
      </c>
      <c r="N10329" s="1">
        <v>40544</v>
      </c>
    </row>
    <row r="10330" spans="11:14" x14ac:dyDescent="0.3">
      <c r="K10330" s="1">
        <v>40909</v>
      </c>
      <c r="M10330" t="e">
        <v>#N/A</v>
      </c>
      <c r="N10330" s="1">
        <v>40544</v>
      </c>
    </row>
    <row r="10331" spans="11:14" x14ac:dyDescent="0.3">
      <c r="K10331" s="1">
        <v>40909</v>
      </c>
      <c r="M10331" t="e">
        <v>#N/A</v>
      </c>
      <c r="N10331" s="1">
        <v>40544</v>
      </c>
    </row>
    <row r="10332" spans="11:14" x14ac:dyDescent="0.3">
      <c r="K10332" s="1">
        <v>40909</v>
      </c>
      <c r="M10332" t="e">
        <v>#N/A</v>
      </c>
      <c r="N10332" s="1">
        <v>40544</v>
      </c>
    </row>
    <row r="10333" spans="11:14" x14ac:dyDescent="0.3">
      <c r="K10333" s="1">
        <v>40909</v>
      </c>
      <c r="M10333" t="e">
        <v>#N/A</v>
      </c>
      <c r="N10333" s="1">
        <v>40544</v>
      </c>
    </row>
    <row r="10334" spans="11:14" x14ac:dyDescent="0.3">
      <c r="K10334" s="1">
        <v>40909</v>
      </c>
      <c r="M10334" t="e">
        <v>#N/A</v>
      </c>
      <c r="N10334" s="1">
        <v>40544</v>
      </c>
    </row>
    <row r="10335" spans="11:14" x14ac:dyDescent="0.3">
      <c r="K10335" s="1">
        <v>40909</v>
      </c>
      <c r="M10335" t="e">
        <v>#N/A</v>
      </c>
      <c r="N10335" s="1">
        <v>40544</v>
      </c>
    </row>
    <row r="10336" spans="11:14" x14ac:dyDescent="0.3">
      <c r="K10336" s="1">
        <v>40909</v>
      </c>
      <c r="M10336" t="e">
        <v>#N/A</v>
      </c>
      <c r="N10336" s="1">
        <v>40544</v>
      </c>
    </row>
    <row r="10337" spans="11:14" x14ac:dyDescent="0.3">
      <c r="K10337" s="1">
        <v>40909</v>
      </c>
      <c r="M10337" t="e">
        <v>#N/A</v>
      </c>
      <c r="N10337" s="1">
        <v>40544</v>
      </c>
    </row>
    <row r="10338" spans="11:14" x14ac:dyDescent="0.3">
      <c r="K10338" s="1">
        <v>40909</v>
      </c>
      <c r="M10338" t="e">
        <v>#N/A</v>
      </c>
      <c r="N10338" s="1">
        <v>40544</v>
      </c>
    </row>
    <row r="10339" spans="11:14" x14ac:dyDescent="0.3">
      <c r="K10339" s="1">
        <v>40909</v>
      </c>
      <c r="M10339" t="e">
        <v>#N/A</v>
      </c>
      <c r="N10339" s="1">
        <v>40544</v>
      </c>
    </row>
    <row r="10340" spans="11:14" x14ac:dyDescent="0.3">
      <c r="K10340" s="1">
        <v>40909</v>
      </c>
      <c r="M10340" t="e">
        <v>#N/A</v>
      </c>
      <c r="N10340" s="1">
        <v>40544</v>
      </c>
    </row>
    <row r="10341" spans="11:14" x14ac:dyDescent="0.3">
      <c r="K10341" s="1">
        <v>40909</v>
      </c>
      <c r="M10341" t="e">
        <v>#N/A</v>
      </c>
      <c r="N10341" s="1">
        <v>40544</v>
      </c>
    </row>
    <row r="10342" spans="11:14" x14ac:dyDescent="0.3">
      <c r="K10342" s="1">
        <v>40909</v>
      </c>
      <c r="M10342" t="e">
        <v>#N/A</v>
      </c>
      <c r="N10342" s="1">
        <v>40544</v>
      </c>
    </row>
    <row r="10343" spans="11:14" x14ac:dyDescent="0.3">
      <c r="K10343" s="1">
        <v>40909</v>
      </c>
      <c r="M10343" t="e">
        <v>#N/A</v>
      </c>
      <c r="N10343" s="1">
        <v>40544</v>
      </c>
    </row>
    <row r="10344" spans="11:14" x14ac:dyDescent="0.3">
      <c r="K10344" s="1">
        <v>40909</v>
      </c>
      <c r="M10344" t="e">
        <v>#N/A</v>
      </c>
      <c r="N10344" s="1">
        <v>40544</v>
      </c>
    </row>
    <row r="10345" spans="11:14" x14ac:dyDescent="0.3">
      <c r="K10345" s="1">
        <v>40909</v>
      </c>
      <c r="M10345" t="e">
        <v>#N/A</v>
      </c>
      <c r="N10345" s="1">
        <v>40544</v>
      </c>
    </row>
    <row r="10346" spans="11:14" x14ac:dyDescent="0.3">
      <c r="K10346" s="1">
        <v>40909</v>
      </c>
      <c r="M10346" t="e">
        <v>#N/A</v>
      </c>
      <c r="N10346" s="1">
        <v>40544</v>
      </c>
    </row>
    <row r="10347" spans="11:14" x14ac:dyDescent="0.3">
      <c r="K10347" s="1">
        <v>40909</v>
      </c>
      <c r="M10347" t="e">
        <v>#N/A</v>
      </c>
      <c r="N10347" s="1">
        <v>40544</v>
      </c>
    </row>
    <row r="10348" spans="11:14" x14ac:dyDescent="0.3">
      <c r="K10348" s="1">
        <v>40909</v>
      </c>
      <c r="M10348" t="e">
        <v>#N/A</v>
      </c>
      <c r="N10348" s="1">
        <v>40544</v>
      </c>
    </row>
    <row r="10349" spans="11:14" x14ac:dyDescent="0.3">
      <c r="K10349" s="1">
        <v>40909</v>
      </c>
      <c r="M10349" t="e">
        <v>#N/A</v>
      </c>
      <c r="N10349" s="1">
        <v>40544</v>
      </c>
    </row>
    <row r="10350" spans="11:14" x14ac:dyDescent="0.3">
      <c r="K10350" s="1">
        <v>40909</v>
      </c>
      <c r="M10350" t="e">
        <v>#N/A</v>
      </c>
      <c r="N10350" s="1">
        <v>40544</v>
      </c>
    </row>
    <row r="10351" spans="11:14" x14ac:dyDescent="0.3">
      <c r="K10351" s="1">
        <v>40909</v>
      </c>
      <c r="M10351" t="e">
        <v>#N/A</v>
      </c>
      <c r="N10351" s="1">
        <v>40544</v>
      </c>
    </row>
    <row r="10352" spans="11:14" x14ac:dyDescent="0.3">
      <c r="K10352" s="1">
        <v>40909</v>
      </c>
      <c r="M10352" t="e">
        <v>#N/A</v>
      </c>
      <c r="N10352" s="1">
        <v>40544</v>
      </c>
    </row>
    <row r="10353" spans="11:14" x14ac:dyDescent="0.3">
      <c r="K10353" s="1">
        <v>40909</v>
      </c>
      <c r="M10353" t="e">
        <v>#N/A</v>
      </c>
      <c r="N10353" s="1">
        <v>40544</v>
      </c>
    </row>
    <row r="10354" spans="11:14" x14ac:dyDescent="0.3">
      <c r="K10354" s="1">
        <v>40909</v>
      </c>
      <c r="M10354" t="e">
        <v>#N/A</v>
      </c>
      <c r="N10354" s="1">
        <v>40544</v>
      </c>
    </row>
    <row r="10355" spans="11:14" x14ac:dyDescent="0.3">
      <c r="K10355" s="1">
        <v>40909</v>
      </c>
      <c r="M10355" t="e">
        <v>#N/A</v>
      </c>
      <c r="N10355" s="1">
        <v>40544</v>
      </c>
    </row>
    <row r="10356" spans="11:14" x14ac:dyDescent="0.3">
      <c r="K10356" s="1">
        <v>40909</v>
      </c>
      <c r="M10356" t="e">
        <v>#N/A</v>
      </c>
      <c r="N10356" s="1">
        <v>40544</v>
      </c>
    </row>
    <row r="10357" spans="11:14" x14ac:dyDescent="0.3">
      <c r="K10357" s="1">
        <v>40909</v>
      </c>
      <c r="M10357" t="e">
        <v>#N/A</v>
      </c>
      <c r="N10357" s="1">
        <v>40544</v>
      </c>
    </row>
    <row r="10358" spans="11:14" x14ac:dyDescent="0.3">
      <c r="K10358" s="1">
        <v>40909</v>
      </c>
      <c r="M10358" t="e">
        <v>#N/A</v>
      </c>
      <c r="N10358" s="1">
        <v>40544</v>
      </c>
    </row>
    <row r="10359" spans="11:14" x14ac:dyDescent="0.3">
      <c r="K10359" s="1">
        <v>40909</v>
      </c>
      <c r="M10359" t="e">
        <v>#N/A</v>
      </c>
      <c r="N10359" s="1">
        <v>40544</v>
      </c>
    </row>
    <row r="10360" spans="11:14" x14ac:dyDescent="0.3">
      <c r="K10360" s="1">
        <v>41000</v>
      </c>
      <c r="M10360" t="e">
        <v>#N/A</v>
      </c>
      <c r="N10360" s="1">
        <v>40544</v>
      </c>
    </row>
    <row r="10361" spans="11:14" x14ac:dyDescent="0.3">
      <c r="K10361" s="1">
        <v>41000</v>
      </c>
      <c r="M10361" t="e">
        <v>#N/A</v>
      </c>
      <c r="N10361" s="1">
        <v>40544</v>
      </c>
    </row>
    <row r="10362" spans="11:14" x14ac:dyDescent="0.3">
      <c r="K10362" s="1">
        <v>41000</v>
      </c>
      <c r="M10362" t="e">
        <v>#N/A</v>
      </c>
      <c r="N10362" s="1">
        <v>40544</v>
      </c>
    </row>
    <row r="10363" spans="11:14" x14ac:dyDescent="0.3">
      <c r="K10363" s="1">
        <v>41000</v>
      </c>
      <c r="M10363" t="e">
        <v>#N/A</v>
      </c>
      <c r="N10363" s="1">
        <v>40544</v>
      </c>
    </row>
    <row r="10364" spans="11:14" x14ac:dyDescent="0.3">
      <c r="K10364" s="1">
        <v>41000</v>
      </c>
      <c r="M10364" t="e">
        <v>#N/A</v>
      </c>
      <c r="N10364" s="1">
        <v>40544</v>
      </c>
    </row>
    <row r="10365" spans="11:14" x14ac:dyDescent="0.3">
      <c r="K10365" s="1">
        <v>41000</v>
      </c>
      <c r="M10365" t="e">
        <v>#N/A</v>
      </c>
      <c r="N10365" s="1">
        <v>40544</v>
      </c>
    </row>
    <row r="10366" spans="11:14" x14ac:dyDescent="0.3">
      <c r="K10366" s="1">
        <v>41000</v>
      </c>
      <c r="M10366" t="e">
        <v>#N/A</v>
      </c>
      <c r="N10366" s="1">
        <v>40544</v>
      </c>
    </row>
    <row r="10367" spans="11:14" x14ac:dyDescent="0.3">
      <c r="K10367" s="1">
        <v>41000</v>
      </c>
      <c r="M10367" t="e">
        <v>#N/A</v>
      </c>
      <c r="N10367" s="1">
        <v>40544</v>
      </c>
    </row>
    <row r="10368" spans="11:14" x14ac:dyDescent="0.3">
      <c r="K10368" s="1">
        <v>41000</v>
      </c>
      <c r="M10368" t="e">
        <v>#N/A</v>
      </c>
      <c r="N10368" s="1">
        <v>40544</v>
      </c>
    </row>
    <row r="10369" spans="11:14" x14ac:dyDescent="0.3">
      <c r="K10369" s="1">
        <v>41000</v>
      </c>
      <c r="M10369" t="e">
        <v>#N/A</v>
      </c>
      <c r="N10369" s="1">
        <v>40544</v>
      </c>
    </row>
    <row r="10370" spans="11:14" x14ac:dyDescent="0.3">
      <c r="K10370" s="1">
        <v>41000</v>
      </c>
      <c r="M10370" t="e">
        <v>#N/A</v>
      </c>
      <c r="N10370" s="1">
        <v>40544</v>
      </c>
    </row>
    <row r="10371" spans="11:14" x14ac:dyDescent="0.3">
      <c r="K10371" s="1">
        <v>41000</v>
      </c>
      <c r="M10371" t="e">
        <v>#N/A</v>
      </c>
      <c r="N10371" s="1">
        <v>40544</v>
      </c>
    </row>
    <row r="10372" spans="11:14" x14ac:dyDescent="0.3">
      <c r="K10372" s="1">
        <v>41000</v>
      </c>
      <c r="M10372" t="e">
        <v>#N/A</v>
      </c>
      <c r="N10372" s="1">
        <v>40544</v>
      </c>
    </row>
    <row r="10373" spans="11:14" x14ac:dyDescent="0.3">
      <c r="K10373" s="1">
        <v>41000</v>
      </c>
      <c r="M10373" t="e">
        <v>#N/A</v>
      </c>
      <c r="N10373" s="1">
        <v>40544</v>
      </c>
    </row>
    <row r="10374" spans="11:14" x14ac:dyDescent="0.3">
      <c r="K10374" s="1">
        <v>41000</v>
      </c>
      <c r="M10374" t="e">
        <v>#N/A</v>
      </c>
      <c r="N10374" s="1">
        <v>40544</v>
      </c>
    </row>
    <row r="10375" spans="11:14" x14ac:dyDescent="0.3">
      <c r="K10375" s="1">
        <v>41000</v>
      </c>
      <c r="M10375" t="e">
        <v>#N/A</v>
      </c>
      <c r="N10375" s="1">
        <v>40544</v>
      </c>
    </row>
    <row r="10376" spans="11:14" x14ac:dyDescent="0.3">
      <c r="K10376" s="1">
        <v>41000</v>
      </c>
      <c r="M10376" t="e">
        <v>#N/A</v>
      </c>
      <c r="N10376" s="1">
        <v>40544</v>
      </c>
    </row>
    <row r="10377" spans="11:14" x14ac:dyDescent="0.3">
      <c r="K10377" s="1">
        <v>41000</v>
      </c>
      <c r="M10377" t="e">
        <v>#N/A</v>
      </c>
      <c r="N10377" s="1">
        <v>40544</v>
      </c>
    </row>
    <row r="10378" spans="11:14" x14ac:dyDescent="0.3">
      <c r="K10378" s="1">
        <v>41000</v>
      </c>
      <c r="M10378" t="e">
        <v>#N/A</v>
      </c>
      <c r="N10378" s="1">
        <v>40544</v>
      </c>
    </row>
    <row r="10379" spans="11:14" x14ac:dyDescent="0.3">
      <c r="K10379" s="1">
        <v>41000</v>
      </c>
      <c r="M10379" t="e">
        <v>#N/A</v>
      </c>
      <c r="N10379" s="1">
        <v>40544</v>
      </c>
    </row>
    <row r="10380" spans="11:14" x14ac:dyDescent="0.3">
      <c r="K10380" s="1">
        <v>41000</v>
      </c>
      <c r="M10380" t="e">
        <v>#N/A</v>
      </c>
      <c r="N10380" s="1">
        <v>40544</v>
      </c>
    </row>
    <row r="10381" spans="11:14" x14ac:dyDescent="0.3">
      <c r="K10381" s="1">
        <v>41000</v>
      </c>
      <c r="M10381" t="e">
        <v>#N/A</v>
      </c>
      <c r="N10381" s="1">
        <v>40544</v>
      </c>
    </row>
    <row r="10382" spans="11:14" x14ac:dyDescent="0.3">
      <c r="K10382" s="1">
        <v>41000</v>
      </c>
      <c r="M10382" t="e">
        <v>#N/A</v>
      </c>
      <c r="N10382" s="1">
        <v>40544</v>
      </c>
    </row>
    <row r="10383" spans="11:14" x14ac:dyDescent="0.3">
      <c r="K10383" s="1">
        <v>41000</v>
      </c>
      <c r="M10383" t="e">
        <v>#N/A</v>
      </c>
      <c r="N10383" s="1">
        <v>40544</v>
      </c>
    </row>
    <row r="10384" spans="11:14" x14ac:dyDescent="0.3">
      <c r="K10384" s="1">
        <v>41000</v>
      </c>
      <c r="M10384" t="e">
        <v>#N/A</v>
      </c>
      <c r="N10384" s="1">
        <v>40544</v>
      </c>
    </row>
    <row r="10385" spans="11:14" x14ac:dyDescent="0.3">
      <c r="K10385" s="1">
        <v>41000</v>
      </c>
      <c r="M10385" t="e">
        <v>#N/A</v>
      </c>
      <c r="N10385" s="1">
        <v>40544</v>
      </c>
    </row>
    <row r="10386" spans="11:14" x14ac:dyDescent="0.3">
      <c r="K10386" s="1">
        <v>41000</v>
      </c>
      <c r="M10386" t="e">
        <v>#N/A</v>
      </c>
      <c r="N10386" s="1">
        <v>40544</v>
      </c>
    </row>
    <row r="10387" spans="11:14" x14ac:dyDescent="0.3">
      <c r="K10387" s="1">
        <v>41000</v>
      </c>
      <c r="M10387" t="e">
        <v>#N/A</v>
      </c>
      <c r="N10387" s="1">
        <v>40544</v>
      </c>
    </row>
    <row r="10388" spans="11:14" x14ac:dyDescent="0.3">
      <c r="K10388" s="1">
        <v>41000</v>
      </c>
      <c r="M10388" t="e">
        <v>#N/A</v>
      </c>
      <c r="N10388" s="1">
        <v>40544</v>
      </c>
    </row>
    <row r="10389" spans="11:14" x14ac:dyDescent="0.3">
      <c r="K10389" s="1">
        <v>41000</v>
      </c>
      <c r="M10389" t="e">
        <v>#N/A</v>
      </c>
      <c r="N10389" s="1">
        <v>40544</v>
      </c>
    </row>
    <row r="10390" spans="11:14" x14ac:dyDescent="0.3">
      <c r="K10390" s="1">
        <v>41000</v>
      </c>
      <c r="M10390" t="e">
        <v>#N/A</v>
      </c>
      <c r="N10390" s="1">
        <v>40544</v>
      </c>
    </row>
    <row r="10391" spans="11:14" x14ac:dyDescent="0.3">
      <c r="K10391" s="1">
        <v>41000</v>
      </c>
      <c r="M10391" t="e">
        <v>#N/A</v>
      </c>
      <c r="N10391" s="1">
        <v>40544</v>
      </c>
    </row>
    <row r="10392" spans="11:14" x14ac:dyDescent="0.3">
      <c r="K10392" s="1">
        <v>41000</v>
      </c>
      <c r="M10392" t="e">
        <v>#N/A</v>
      </c>
      <c r="N10392" s="1">
        <v>40544</v>
      </c>
    </row>
    <row r="10393" spans="11:14" x14ac:dyDescent="0.3">
      <c r="K10393" s="1">
        <v>41000</v>
      </c>
      <c r="M10393" t="e">
        <v>#N/A</v>
      </c>
      <c r="N10393" s="1">
        <v>40544</v>
      </c>
    </row>
    <row r="10394" spans="11:14" x14ac:dyDescent="0.3">
      <c r="K10394" s="1">
        <v>41000</v>
      </c>
      <c r="M10394" t="e">
        <v>#N/A</v>
      </c>
      <c r="N10394" s="1">
        <v>40544</v>
      </c>
    </row>
    <row r="10395" spans="11:14" x14ac:dyDescent="0.3">
      <c r="K10395" s="1">
        <v>41000</v>
      </c>
      <c r="M10395" t="e">
        <v>#N/A</v>
      </c>
      <c r="N10395" s="1">
        <v>40544</v>
      </c>
    </row>
    <row r="10396" spans="11:14" x14ac:dyDescent="0.3">
      <c r="K10396" s="1">
        <v>41000</v>
      </c>
      <c r="M10396" t="e">
        <v>#N/A</v>
      </c>
      <c r="N10396" s="1">
        <v>40544</v>
      </c>
    </row>
    <row r="10397" spans="11:14" x14ac:dyDescent="0.3">
      <c r="K10397" s="1">
        <v>41000</v>
      </c>
      <c r="M10397" t="e">
        <v>#N/A</v>
      </c>
      <c r="N10397" s="1">
        <v>40544</v>
      </c>
    </row>
    <row r="10398" spans="11:14" x14ac:dyDescent="0.3">
      <c r="K10398" s="1">
        <v>41000</v>
      </c>
      <c r="M10398" t="e">
        <v>#N/A</v>
      </c>
      <c r="N10398" s="1">
        <v>40544</v>
      </c>
    </row>
    <row r="10399" spans="11:14" x14ac:dyDescent="0.3">
      <c r="K10399" s="1">
        <v>41000</v>
      </c>
      <c r="M10399" t="e">
        <v>#N/A</v>
      </c>
      <c r="N10399" s="1">
        <v>40544</v>
      </c>
    </row>
    <row r="10400" spans="11:14" x14ac:dyDescent="0.3">
      <c r="K10400" s="1">
        <v>41000</v>
      </c>
      <c r="M10400" t="e">
        <v>#N/A</v>
      </c>
      <c r="N10400" s="1">
        <v>40544</v>
      </c>
    </row>
    <row r="10401" spans="11:14" x14ac:dyDescent="0.3">
      <c r="K10401" s="1">
        <v>41000</v>
      </c>
      <c r="M10401" t="e">
        <v>#N/A</v>
      </c>
      <c r="N10401" s="1">
        <v>40544</v>
      </c>
    </row>
    <row r="10402" spans="11:14" x14ac:dyDescent="0.3">
      <c r="K10402" s="1">
        <v>41000</v>
      </c>
      <c r="M10402" t="e">
        <v>#N/A</v>
      </c>
      <c r="N10402" s="1">
        <v>40544</v>
      </c>
    </row>
    <row r="10403" spans="11:14" x14ac:dyDescent="0.3">
      <c r="K10403" s="1">
        <v>41000</v>
      </c>
      <c r="M10403" t="e">
        <v>#N/A</v>
      </c>
      <c r="N10403" s="1">
        <v>40544</v>
      </c>
    </row>
    <row r="10404" spans="11:14" x14ac:dyDescent="0.3">
      <c r="K10404" s="1">
        <v>41000</v>
      </c>
      <c r="M10404" t="e">
        <v>#N/A</v>
      </c>
      <c r="N10404" s="1">
        <v>40544</v>
      </c>
    </row>
    <row r="10405" spans="11:14" x14ac:dyDescent="0.3">
      <c r="K10405" s="1">
        <v>41000</v>
      </c>
      <c r="M10405" t="e">
        <v>#N/A</v>
      </c>
      <c r="N10405" s="1">
        <v>40544</v>
      </c>
    </row>
    <row r="10406" spans="11:14" x14ac:dyDescent="0.3">
      <c r="K10406" s="1">
        <v>41000</v>
      </c>
      <c r="M10406" t="e">
        <v>#N/A</v>
      </c>
      <c r="N10406" s="1">
        <v>40544</v>
      </c>
    </row>
    <row r="10407" spans="11:14" x14ac:dyDescent="0.3">
      <c r="K10407" s="1">
        <v>41000</v>
      </c>
      <c r="M10407" t="e">
        <v>#N/A</v>
      </c>
      <c r="N10407" s="1">
        <v>40544</v>
      </c>
    </row>
    <row r="10408" spans="11:14" x14ac:dyDescent="0.3">
      <c r="K10408" s="1">
        <v>41000</v>
      </c>
      <c r="M10408" t="e">
        <v>#N/A</v>
      </c>
      <c r="N10408" s="1">
        <v>40544</v>
      </c>
    </row>
    <row r="10409" spans="11:14" x14ac:dyDescent="0.3">
      <c r="K10409" s="1">
        <v>41000</v>
      </c>
      <c r="M10409" t="e">
        <v>#N/A</v>
      </c>
      <c r="N10409" s="1">
        <v>40544</v>
      </c>
    </row>
    <row r="10410" spans="11:14" x14ac:dyDescent="0.3">
      <c r="K10410" s="1">
        <v>41000</v>
      </c>
      <c r="M10410" t="e">
        <v>#N/A</v>
      </c>
      <c r="N10410" s="1">
        <v>40544</v>
      </c>
    </row>
    <row r="10411" spans="11:14" x14ac:dyDescent="0.3">
      <c r="K10411" s="1">
        <v>41000</v>
      </c>
      <c r="M10411" t="e">
        <v>#N/A</v>
      </c>
      <c r="N10411" s="1">
        <v>40544</v>
      </c>
    </row>
    <row r="10412" spans="11:14" x14ac:dyDescent="0.3">
      <c r="K10412" s="1">
        <v>41000</v>
      </c>
      <c r="M10412" t="e">
        <v>#N/A</v>
      </c>
      <c r="N10412" s="1">
        <v>40544</v>
      </c>
    </row>
    <row r="10413" spans="11:14" x14ac:dyDescent="0.3">
      <c r="K10413" s="1">
        <v>41000</v>
      </c>
      <c r="M10413" t="e">
        <v>#N/A</v>
      </c>
      <c r="N10413" s="1">
        <v>40544</v>
      </c>
    </row>
    <row r="10414" spans="11:14" x14ac:dyDescent="0.3">
      <c r="K10414" s="1">
        <v>41000</v>
      </c>
      <c r="M10414" t="e">
        <v>#N/A</v>
      </c>
      <c r="N10414" s="1">
        <v>40544</v>
      </c>
    </row>
    <row r="10415" spans="11:14" x14ac:dyDescent="0.3">
      <c r="K10415" s="1">
        <v>41000</v>
      </c>
      <c r="M10415" t="e">
        <v>#N/A</v>
      </c>
      <c r="N10415" s="1">
        <v>40544</v>
      </c>
    </row>
    <row r="10416" spans="11:14" x14ac:dyDescent="0.3">
      <c r="K10416" s="1">
        <v>41000</v>
      </c>
      <c r="M10416" t="e">
        <v>#N/A</v>
      </c>
      <c r="N10416" s="1">
        <v>40544</v>
      </c>
    </row>
    <row r="10417" spans="11:14" x14ac:dyDescent="0.3">
      <c r="K10417" s="1">
        <v>41000</v>
      </c>
      <c r="M10417" t="e">
        <v>#N/A</v>
      </c>
      <c r="N10417" s="1">
        <v>40544</v>
      </c>
    </row>
    <row r="10418" spans="11:14" x14ac:dyDescent="0.3">
      <c r="K10418" s="1">
        <v>41000</v>
      </c>
      <c r="M10418" t="e">
        <v>#N/A</v>
      </c>
      <c r="N10418" s="1">
        <v>40544</v>
      </c>
    </row>
    <row r="10419" spans="11:14" x14ac:dyDescent="0.3">
      <c r="K10419" s="1">
        <v>41000</v>
      </c>
      <c r="M10419" t="e">
        <v>#N/A</v>
      </c>
      <c r="N10419" s="1">
        <v>40544</v>
      </c>
    </row>
    <row r="10420" spans="11:14" x14ac:dyDescent="0.3">
      <c r="K10420" s="1">
        <v>41000</v>
      </c>
      <c r="M10420" t="e">
        <v>#N/A</v>
      </c>
      <c r="N10420" s="1">
        <v>40544</v>
      </c>
    </row>
    <row r="10421" spans="11:14" x14ac:dyDescent="0.3">
      <c r="K10421" s="1">
        <v>41000</v>
      </c>
      <c r="M10421" t="e">
        <v>#N/A</v>
      </c>
      <c r="N10421" s="1">
        <v>40544</v>
      </c>
    </row>
    <row r="10422" spans="11:14" x14ac:dyDescent="0.3">
      <c r="K10422" s="1">
        <v>41000</v>
      </c>
      <c r="M10422" t="e">
        <v>#N/A</v>
      </c>
      <c r="N10422" s="1">
        <v>40544</v>
      </c>
    </row>
    <row r="10423" spans="11:14" x14ac:dyDescent="0.3">
      <c r="K10423" s="1">
        <v>41000</v>
      </c>
      <c r="M10423" t="e">
        <v>#N/A</v>
      </c>
      <c r="N10423" s="1">
        <v>40544</v>
      </c>
    </row>
    <row r="10424" spans="11:14" x14ac:dyDescent="0.3">
      <c r="K10424" s="1">
        <v>41000</v>
      </c>
      <c r="M10424" t="e">
        <v>#N/A</v>
      </c>
      <c r="N10424" s="1">
        <v>40544</v>
      </c>
    </row>
    <row r="10425" spans="11:14" x14ac:dyDescent="0.3">
      <c r="K10425" s="1">
        <v>41000</v>
      </c>
      <c r="M10425" t="e">
        <v>#N/A</v>
      </c>
      <c r="N10425" s="1">
        <v>40544</v>
      </c>
    </row>
    <row r="10426" spans="11:14" x14ac:dyDescent="0.3">
      <c r="K10426" s="1">
        <v>41000</v>
      </c>
      <c r="M10426" t="e">
        <v>#N/A</v>
      </c>
      <c r="N10426" s="1">
        <v>40544</v>
      </c>
    </row>
    <row r="10427" spans="11:14" x14ac:dyDescent="0.3">
      <c r="K10427" s="1">
        <v>41000</v>
      </c>
      <c r="M10427" t="e">
        <v>#N/A</v>
      </c>
      <c r="N10427" s="1">
        <v>40544</v>
      </c>
    </row>
    <row r="10428" spans="11:14" x14ac:dyDescent="0.3">
      <c r="K10428" s="1">
        <v>41000</v>
      </c>
      <c r="M10428" t="e">
        <v>#N/A</v>
      </c>
      <c r="N10428" s="1">
        <v>40544</v>
      </c>
    </row>
    <row r="10429" spans="11:14" x14ac:dyDescent="0.3">
      <c r="K10429" s="1">
        <v>41000</v>
      </c>
      <c r="M10429" t="e">
        <v>#N/A</v>
      </c>
      <c r="N10429" s="1">
        <v>40544</v>
      </c>
    </row>
    <row r="10430" spans="11:14" x14ac:dyDescent="0.3">
      <c r="K10430" s="1">
        <v>41000</v>
      </c>
      <c r="M10430" t="e">
        <v>#N/A</v>
      </c>
      <c r="N10430" s="1">
        <v>40544</v>
      </c>
    </row>
    <row r="10431" spans="11:14" x14ac:dyDescent="0.3">
      <c r="K10431" s="1">
        <v>41000</v>
      </c>
      <c r="M10431" t="e">
        <v>#N/A</v>
      </c>
      <c r="N10431" s="1">
        <v>40544</v>
      </c>
    </row>
    <row r="10432" spans="11:14" x14ac:dyDescent="0.3">
      <c r="K10432" s="1">
        <v>41000</v>
      </c>
      <c r="M10432" t="e">
        <v>#N/A</v>
      </c>
      <c r="N10432" s="1">
        <v>40544</v>
      </c>
    </row>
    <row r="10433" spans="11:14" x14ac:dyDescent="0.3">
      <c r="K10433" s="1">
        <v>41000</v>
      </c>
      <c r="M10433" t="e">
        <v>#N/A</v>
      </c>
      <c r="N10433" s="1">
        <v>40544</v>
      </c>
    </row>
    <row r="10434" spans="11:14" x14ac:dyDescent="0.3">
      <c r="K10434" s="1">
        <v>41000</v>
      </c>
      <c r="M10434" t="e">
        <v>#N/A</v>
      </c>
      <c r="N10434" s="1">
        <v>40544</v>
      </c>
    </row>
    <row r="10435" spans="11:14" x14ac:dyDescent="0.3">
      <c r="K10435" s="1">
        <v>41000</v>
      </c>
      <c r="M10435" t="e">
        <v>#N/A</v>
      </c>
      <c r="N10435" s="1">
        <v>40544</v>
      </c>
    </row>
    <row r="10436" spans="11:14" x14ac:dyDescent="0.3">
      <c r="K10436" s="1">
        <v>41000</v>
      </c>
      <c r="M10436" t="e">
        <v>#N/A</v>
      </c>
      <c r="N10436" s="1">
        <v>40544</v>
      </c>
    </row>
    <row r="10437" spans="11:14" x14ac:dyDescent="0.3">
      <c r="K10437" s="1">
        <v>41000</v>
      </c>
      <c r="M10437" t="e">
        <v>#N/A</v>
      </c>
      <c r="N10437" s="1">
        <v>40544</v>
      </c>
    </row>
    <row r="10438" spans="11:14" x14ac:dyDescent="0.3">
      <c r="K10438" s="1">
        <v>41000</v>
      </c>
      <c r="M10438" t="e">
        <v>#N/A</v>
      </c>
      <c r="N10438" s="1">
        <v>40544</v>
      </c>
    </row>
    <row r="10439" spans="11:14" x14ac:dyDescent="0.3">
      <c r="K10439" s="1">
        <v>41000</v>
      </c>
      <c r="M10439" t="e">
        <v>#N/A</v>
      </c>
      <c r="N10439" s="1">
        <v>40544</v>
      </c>
    </row>
    <row r="10440" spans="11:14" x14ac:dyDescent="0.3">
      <c r="K10440" s="1">
        <v>41000</v>
      </c>
      <c r="M10440" t="e">
        <v>#N/A</v>
      </c>
      <c r="N10440" s="1">
        <v>40544</v>
      </c>
    </row>
    <row r="10441" spans="11:14" x14ac:dyDescent="0.3">
      <c r="K10441" s="1">
        <v>41000</v>
      </c>
      <c r="M10441" t="e">
        <v>#N/A</v>
      </c>
      <c r="N10441" s="1">
        <v>40544</v>
      </c>
    </row>
    <row r="10442" spans="11:14" x14ac:dyDescent="0.3">
      <c r="K10442" s="1">
        <v>41000</v>
      </c>
      <c r="M10442" t="e">
        <v>#N/A</v>
      </c>
      <c r="N10442" s="1">
        <v>40544</v>
      </c>
    </row>
    <row r="10443" spans="11:14" x14ac:dyDescent="0.3">
      <c r="K10443" s="1">
        <v>41000</v>
      </c>
      <c r="M10443" t="e">
        <v>#N/A</v>
      </c>
      <c r="N10443" s="1">
        <v>40544</v>
      </c>
    </row>
    <row r="10444" spans="11:14" x14ac:dyDescent="0.3">
      <c r="K10444" s="1">
        <v>41000</v>
      </c>
      <c r="M10444" t="e">
        <v>#N/A</v>
      </c>
      <c r="N10444" s="1">
        <v>40544</v>
      </c>
    </row>
    <row r="10445" spans="11:14" x14ac:dyDescent="0.3">
      <c r="K10445" s="1">
        <v>41000</v>
      </c>
      <c r="M10445" t="e">
        <v>#N/A</v>
      </c>
      <c r="N10445" s="1">
        <v>40544</v>
      </c>
    </row>
    <row r="10446" spans="11:14" x14ac:dyDescent="0.3">
      <c r="K10446" s="1">
        <v>41000</v>
      </c>
      <c r="M10446" t="e">
        <v>#N/A</v>
      </c>
      <c r="N10446" s="1">
        <v>40544</v>
      </c>
    </row>
    <row r="10447" spans="11:14" x14ac:dyDescent="0.3">
      <c r="K10447" s="1">
        <v>41000</v>
      </c>
      <c r="M10447" t="e">
        <v>#N/A</v>
      </c>
      <c r="N10447" s="1">
        <v>40544</v>
      </c>
    </row>
    <row r="10448" spans="11:14" x14ac:dyDescent="0.3">
      <c r="K10448" s="1">
        <v>41000</v>
      </c>
      <c r="M10448" t="e">
        <v>#N/A</v>
      </c>
      <c r="N10448" s="1">
        <v>40544</v>
      </c>
    </row>
    <row r="10449" spans="11:14" x14ac:dyDescent="0.3">
      <c r="K10449" s="1">
        <v>41000</v>
      </c>
      <c r="M10449" t="e">
        <v>#N/A</v>
      </c>
      <c r="N10449" s="1">
        <v>40544</v>
      </c>
    </row>
    <row r="10450" spans="11:14" x14ac:dyDescent="0.3">
      <c r="K10450" s="1">
        <v>41000</v>
      </c>
      <c r="M10450" t="e">
        <v>#N/A</v>
      </c>
      <c r="N10450" s="1">
        <v>40544</v>
      </c>
    </row>
    <row r="10451" spans="11:14" x14ac:dyDescent="0.3">
      <c r="K10451" s="1">
        <v>41000</v>
      </c>
      <c r="M10451" t="e">
        <v>#N/A</v>
      </c>
      <c r="N10451" s="1">
        <v>40544</v>
      </c>
    </row>
    <row r="10452" spans="11:14" x14ac:dyDescent="0.3">
      <c r="K10452" s="1">
        <v>41000</v>
      </c>
      <c r="M10452" t="e">
        <v>#N/A</v>
      </c>
      <c r="N10452" s="1">
        <v>40544</v>
      </c>
    </row>
    <row r="10453" spans="11:14" x14ac:dyDescent="0.3">
      <c r="K10453" s="1">
        <v>41000</v>
      </c>
      <c r="M10453" t="e">
        <v>#N/A</v>
      </c>
      <c r="N10453" s="1">
        <v>40544</v>
      </c>
    </row>
    <row r="10454" spans="11:14" x14ac:dyDescent="0.3">
      <c r="K10454" s="1">
        <v>41000</v>
      </c>
      <c r="M10454" t="e">
        <v>#N/A</v>
      </c>
      <c r="N10454" s="1">
        <v>40544</v>
      </c>
    </row>
    <row r="10455" spans="11:14" x14ac:dyDescent="0.3">
      <c r="K10455" s="1">
        <v>41000</v>
      </c>
      <c r="M10455" t="e">
        <v>#N/A</v>
      </c>
      <c r="N10455" s="1">
        <v>40544</v>
      </c>
    </row>
    <row r="10456" spans="11:14" x14ac:dyDescent="0.3">
      <c r="K10456" s="1">
        <v>41000</v>
      </c>
      <c r="M10456" t="e">
        <v>#N/A</v>
      </c>
      <c r="N10456" s="1">
        <v>40544</v>
      </c>
    </row>
    <row r="10457" spans="11:14" x14ac:dyDescent="0.3">
      <c r="K10457" s="1">
        <v>41000</v>
      </c>
      <c r="M10457" t="e">
        <v>#N/A</v>
      </c>
      <c r="N10457" s="1">
        <v>40544</v>
      </c>
    </row>
    <row r="10458" spans="11:14" x14ac:dyDescent="0.3">
      <c r="K10458" s="1">
        <v>41000</v>
      </c>
      <c r="M10458" t="e">
        <v>#N/A</v>
      </c>
      <c r="N10458" s="1">
        <v>40544</v>
      </c>
    </row>
    <row r="10459" spans="11:14" x14ac:dyDescent="0.3">
      <c r="K10459" s="1">
        <v>41000</v>
      </c>
      <c r="M10459" t="e">
        <v>#N/A</v>
      </c>
      <c r="N10459" s="1">
        <v>40544</v>
      </c>
    </row>
    <row r="10460" spans="11:14" x14ac:dyDescent="0.3">
      <c r="K10460" s="1">
        <v>41000</v>
      </c>
      <c r="M10460" t="e">
        <v>#N/A</v>
      </c>
      <c r="N10460" s="1">
        <v>40544</v>
      </c>
    </row>
    <row r="10461" spans="11:14" x14ac:dyDescent="0.3">
      <c r="K10461" s="1">
        <v>41000</v>
      </c>
      <c r="M10461" t="e">
        <v>#N/A</v>
      </c>
      <c r="N10461" s="1">
        <v>40544</v>
      </c>
    </row>
    <row r="10462" spans="11:14" x14ac:dyDescent="0.3">
      <c r="K10462" s="1">
        <v>41000</v>
      </c>
      <c r="M10462" t="e">
        <v>#N/A</v>
      </c>
      <c r="N10462" s="1">
        <v>40544</v>
      </c>
    </row>
    <row r="10463" spans="11:14" x14ac:dyDescent="0.3">
      <c r="K10463" s="1">
        <v>41000</v>
      </c>
      <c r="M10463" t="e">
        <v>#N/A</v>
      </c>
      <c r="N10463" s="1">
        <v>40544</v>
      </c>
    </row>
    <row r="10464" spans="11:14" x14ac:dyDescent="0.3">
      <c r="K10464" s="1">
        <v>41000</v>
      </c>
      <c r="M10464" t="e">
        <v>#N/A</v>
      </c>
      <c r="N10464" s="1">
        <v>40544</v>
      </c>
    </row>
    <row r="10465" spans="11:14" x14ac:dyDescent="0.3">
      <c r="K10465" s="1">
        <v>41000</v>
      </c>
      <c r="M10465" t="e">
        <v>#N/A</v>
      </c>
      <c r="N10465" s="1">
        <v>40544</v>
      </c>
    </row>
    <row r="10466" spans="11:14" x14ac:dyDescent="0.3">
      <c r="K10466" s="1">
        <v>41000</v>
      </c>
      <c r="M10466" t="e">
        <v>#N/A</v>
      </c>
      <c r="N10466" s="1">
        <v>40544</v>
      </c>
    </row>
    <row r="10467" spans="11:14" x14ac:dyDescent="0.3">
      <c r="K10467" s="1">
        <v>41000</v>
      </c>
      <c r="M10467" t="e">
        <v>#N/A</v>
      </c>
      <c r="N10467" s="1">
        <v>40544</v>
      </c>
    </row>
    <row r="10468" spans="11:14" x14ac:dyDescent="0.3">
      <c r="K10468" s="1">
        <v>41000</v>
      </c>
      <c r="M10468" t="e">
        <v>#N/A</v>
      </c>
      <c r="N10468" s="1">
        <v>40544</v>
      </c>
    </row>
    <row r="10469" spans="11:14" x14ac:dyDescent="0.3">
      <c r="K10469" s="1">
        <v>41000</v>
      </c>
      <c r="M10469" t="e">
        <v>#N/A</v>
      </c>
      <c r="N10469" s="1">
        <v>40544</v>
      </c>
    </row>
    <row r="10470" spans="11:14" x14ac:dyDescent="0.3">
      <c r="K10470" s="1">
        <v>41000</v>
      </c>
      <c r="M10470" t="e">
        <v>#N/A</v>
      </c>
      <c r="N10470" s="1">
        <v>40544</v>
      </c>
    </row>
    <row r="10471" spans="11:14" x14ac:dyDescent="0.3">
      <c r="K10471" s="1">
        <v>41000</v>
      </c>
      <c r="M10471" t="e">
        <v>#N/A</v>
      </c>
      <c r="N10471" s="1">
        <v>40544</v>
      </c>
    </row>
    <row r="10472" spans="11:14" x14ac:dyDescent="0.3">
      <c r="K10472" s="1">
        <v>41000</v>
      </c>
      <c r="M10472" t="e">
        <v>#N/A</v>
      </c>
      <c r="N10472" s="1">
        <v>40544</v>
      </c>
    </row>
    <row r="10473" spans="11:14" x14ac:dyDescent="0.3">
      <c r="K10473" s="1">
        <v>41000</v>
      </c>
      <c r="M10473" t="e">
        <v>#N/A</v>
      </c>
      <c r="N10473" s="1">
        <v>40544</v>
      </c>
    </row>
    <row r="10474" spans="11:14" x14ac:dyDescent="0.3">
      <c r="K10474" s="1">
        <v>41000</v>
      </c>
      <c r="M10474" t="e">
        <v>#N/A</v>
      </c>
      <c r="N10474" s="1">
        <v>40544</v>
      </c>
    </row>
    <row r="10475" spans="11:14" x14ac:dyDescent="0.3">
      <c r="K10475" s="1">
        <v>41000</v>
      </c>
      <c r="M10475" t="e">
        <v>#N/A</v>
      </c>
      <c r="N10475" s="1">
        <v>40544</v>
      </c>
    </row>
    <row r="10476" spans="11:14" x14ac:dyDescent="0.3">
      <c r="K10476" s="1">
        <v>41000</v>
      </c>
      <c r="M10476" t="e">
        <v>#N/A</v>
      </c>
      <c r="N10476" s="1">
        <v>40544</v>
      </c>
    </row>
    <row r="10477" spans="11:14" x14ac:dyDescent="0.3">
      <c r="K10477" s="1">
        <v>41000</v>
      </c>
      <c r="M10477" t="e">
        <v>#N/A</v>
      </c>
      <c r="N10477" s="1">
        <v>40544</v>
      </c>
    </row>
    <row r="10478" spans="11:14" x14ac:dyDescent="0.3">
      <c r="K10478" s="1">
        <v>41000</v>
      </c>
      <c r="M10478" t="e">
        <v>#N/A</v>
      </c>
      <c r="N10478" s="1">
        <v>40544</v>
      </c>
    </row>
    <row r="10479" spans="11:14" x14ac:dyDescent="0.3">
      <c r="K10479" s="1">
        <v>41000</v>
      </c>
      <c r="M10479" t="e">
        <v>#N/A</v>
      </c>
      <c r="N10479" s="1">
        <v>40544</v>
      </c>
    </row>
    <row r="10480" spans="11:14" x14ac:dyDescent="0.3">
      <c r="K10480" s="1">
        <v>41000</v>
      </c>
      <c r="M10480" t="e">
        <v>#N/A</v>
      </c>
      <c r="N10480" s="1">
        <v>40544</v>
      </c>
    </row>
    <row r="10481" spans="11:14" x14ac:dyDescent="0.3">
      <c r="K10481" s="1">
        <v>41000</v>
      </c>
      <c r="M10481" t="e">
        <v>#N/A</v>
      </c>
      <c r="N10481" s="1">
        <v>40544</v>
      </c>
    </row>
    <row r="10482" spans="11:14" x14ac:dyDescent="0.3">
      <c r="K10482" s="1">
        <v>41000</v>
      </c>
      <c r="M10482" t="e">
        <v>#N/A</v>
      </c>
      <c r="N10482" s="1">
        <v>40544</v>
      </c>
    </row>
    <row r="10483" spans="11:14" x14ac:dyDescent="0.3">
      <c r="K10483" s="1">
        <v>41000</v>
      </c>
      <c r="M10483" t="e">
        <v>#N/A</v>
      </c>
      <c r="N10483" s="1">
        <v>40544</v>
      </c>
    </row>
    <row r="10484" spans="11:14" x14ac:dyDescent="0.3">
      <c r="K10484" s="1">
        <v>41000</v>
      </c>
      <c r="M10484" t="e">
        <v>#N/A</v>
      </c>
      <c r="N10484" s="1">
        <v>40544</v>
      </c>
    </row>
    <row r="10485" spans="11:14" x14ac:dyDescent="0.3">
      <c r="K10485" s="1">
        <v>41000</v>
      </c>
      <c r="M10485" t="e">
        <v>#N/A</v>
      </c>
      <c r="N10485" s="1">
        <v>40544</v>
      </c>
    </row>
    <row r="10486" spans="11:14" x14ac:dyDescent="0.3">
      <c r="K10486" s="1">
        <v>41000</v>
      </c>
      <c r="M10486" t="e">
        <v>#N/A</v>
      </c>
      <c r="N10486" s="1">
        <v>40544</v>
      </c>
    </row>
    <row r="10487" spans="11:14" x14ac:dyDescent="0.3">
      <c r="K10487" s="1">
        <v>41000</v>
      </c>
      <c r="M10487" t="e">
        <v>#N/A</v>
      </c>
      <c r="N10487" s="1">
        <v>40544</v>
      </c>
    </row>
    <row r="10488" spans="11:14" x14ac:dyDescent="0.3">
      <c r="K10488" s="1">
        <v>41000</v>
      </c>
      <c r="M10488" t="e">
        <v>#N/A</v>
      </c>
      <c r="N10488" s="1">
        <v>40544</v>
      </c>
    </row>
    <row r="10489" spans="11:14" x14ac:dyDescent="0.3">
      <c r="K10489" s="1">
        <v>41000</v>
      </c>
      <c r="M10489" t="e">
        <v>#N/A</v>
      </c>
      <c r="N10489" s="1">
        <v>40544</v>
      </c>
    </row>
    <row r="10490" spans="11:14" x14ac:dyDescent="0.3">
      <c r="K10490" s="1">
        <v>41000</v>
      </c>
      <c r="M10490" t="e">
        <v>#N/A</v>
      </c>
      <c r="N10490" s="1">
        <v>40544</v>
      </c>
    </row>
    <row r="10491" spans="11:14" x14ac:dyDescent="0.3">
      <c r="K10491" s="1">
        <v>41000</v>
      </c>
      <c r="M10491" t="e">
        <v>#N/A</v>
      </c>
      <c r="N10491" s="1">
        <v>40544</v>
      </c>
    </row>
    <row r="10492" spans="11:14" x14ac:dyDescent="0.3">
      <c r="K10492" s="1">
        <v>41000</v>
      </c>
      <c r="M10492" t="e">
        <v>#N/A</v>
      </c>
      <c r="N10492" s="1">
        <v>40544</v>
      </c>
    </row>
    <row r="10493" spans="11:14" x14ac:dyDescent="0.3">
      <c r="K10493" s="1">
        <v>41000</v>
      </c>
      <c r="M10493" t="e">
        <v>#N/A</v>
      </c>
      <c r="N10493" s="1">
        <v>40544</v>
      </c>
    </row>
    <row r="10494" spans="11:14" x14ac:dyDescent="0.3">
      <c r="K10494" s="1">
        <v>41000</v>
      </c>
      <c r="M10494" t="e">
        <v>#N/A</v>
      </c>
      <c r="N10494" s="1">
        <v>40544</v>
      </c>
    </row>
    <row r="10495" spans="11:14" x14ac:dyDescent="0.3">
      <c r="K10495" s="1">
        <v>41000</v>
      </c>
      <c r="M10495" t="e">
        <v>#N/A</v>
      </c>
      <c r="N10495" s="1">
        <v>40544</v>
      </c>
    </row>
    <row r="10496" spans="11:14" x14ac:dyDescent="0.3">
      <c r="K10496" s="1">
        <v>41000</v>
      </c>
      <c r="M10496" t="e">
        <v>#N/A</v>
      </c>
      <c r="N10496" s="1">
        <v>40544</v>
      </c>
    </row>
    <row r="10497" spans="11:14" x14ac:dyDescent="0.3">
      <c r="K10497" s="1">
        <v>41000</v>
      </c>
      <c r="M10497" t="e">
        <v>#N/A</v>
      </c>
      <c r="N10497" s="1">
        <v>40544</v>
      </c>
    </row>
    <row r="10498" spans="11:14" x14ac:dyDescent="0.3">
      <c r="K10498" s="1">
        <v>41000</v>
      </c>
      <c r="M10498" t="e">
        <v>#N/A</v>
      </c>
      <c r="N10498" s="1">
        <v>40544</v>
      </c>
    </row>
    <row r="10499" spans="11:14" x14ac:dyDescent="0.3">
      <c r="K10499" s="1">
        <v>41000</v>
      </c>
      <c r="M10499" t="e">
        <v>#N/A</v>
      </c>
      <c r="N10499" s="1">
        <v>40544</v>
      </c>
    </row>
    <row r="10500" spans="11:14" x14ac:dyDescent="0.3">
      <c r="K10500" s="1">
        <v>41000</v>
      </c>
      <c r="M10500" t="e">
        <v>#N/A</v>
      </c>
      <c r="N10500" s="1">
        <v>40544</v>
      </c>
    </row>
    <row r="10501" spans="11:14" x14ac:dyDescent="0.3">
      <c r="K10501" s="1">
        <v>41000</v>
      </c>
      <c r="M10501" t="e">
        <v>#N/A</v>
      </c>
      <c r="N10501" s="1">
        <v>40544</v>
      </c>
    </row>
    <row r="10502" spans="11:14" x14ac:dyDescent="0.3">
      <c r="K10502" s="1">
        <v>41000</v>
      </c>
      <c r="M10502" t="e">
        <v>#N/A</v>
      </c>
      <c r="N10502" s="1">
        <v>40544</v>
      </c>
    </row>
    <row r="10503" spans="11:14" x14ac:dyDescent="0.3">
      <c r="K10503" s="1">
        <v>41000</v>
      </c>
      <c r="M10503" t="e">
        <v>#N/A</v>
      </c>
      <c r="N10503" s="1">
        <v>40544</v>
      </c>
    </row>
    <row r="10504" spans="11:14" x14ac:dyDescent="0.3">
      <c r="K10504" s="1">
        <v>41000</v>
      </c>
      <c r="M10504" t="e">
        <v>#N/A</v>
      </c>
      <c r="N10504" s="1">
        <v>40634</v>
      </c>
    </row>
    <row r="10505" spans="11:14" x14ac:dyDescent="0.3">
      <c r="K10505" s="1">
        <v>41000</v>
      </c>
      <c r="M10505" t="e">
        <v>#N/A</v>
      </c>
      <c r="N10505" s="1">
        <v>40634</v>
      </c>
    </row>
    <row r="10506" spans="11:14" x14ac:dyDescent="0.3">
      <c r="K10506" s="1">
        <v>41000</v>
      </c>
      <c r="M10506" t="e">
        <v>#N/A</v>
      </c>
      <c r="N10506" s="1">
        <v>40634</v>
      </c>
    </row>
    <row r="10507" spans="11:14" x14ac:dyDescent="0.3">
      <c r="K10507" s="1">
        <v>41000</v>
      </c>
      <c r="M10507" t="e">
        <v>#N/A</v>
      </c>
      <c r="N10507" s="1">
        <v>40634</v>
      </c>
    </row>
    <row r="10508" spans="11:14" x14ac:dyDescent="0.3">
      <c r="K10508" s="1">
        <v>41000</v>
      </c>
      <c r="M10508" t="e">
        <v>#N/A</v>
      </c>
      <c r="N10508" s="1">
        <v>40634</v>
      </c>
    </row>
    <row r="10509" spans="11:14" x14ac:dyDescent="0.3">
      <c r="K10509" s="1">
        <v>41000</v>
      </c>
      <c r="M10509" t="e">
        <v>#N/A</v>
      </c>
      <c r="N10509" s="1">
        <v>40634</v>
      </c>
    </row>
    <row r="10510" spans="11:14" x14ac:dyDescent="0.3">
      <c r="K10510" s="1">
        <v>41000</v>
      </c>
      <c r="M10510" t="e">
        <v>#N/A</v>
      </c>
      <c r="N10510" s="1">
        <v>40634</v>
      </c>
    </row>
    <row r="10511" spans="11:14" x14ac:dyDescent="0.3">
      <c r="K10511" s="1">
        <v>41000</v>
      </c>
      <c r="M10511" t="e">
        <v>#N/A</v>
      </c>
      <c r="N10511" s="1">
        <v>40634</v>
      </c>
    </row>
    <row r="10512" spans="11:14" x14ac:dyDescent="0.3">
      <c r="K10512" s="1">
        <v>41000</v>
      </c>
      <c r="M10512" t="e">
        <v>#N/A</v>
      </c>
      <c r="N10512" s="1">
        <v>40634</v>
      </c>
    </row>
    <row r="10513" spans="11:14" x14ac:dyDescent="0.3">
      <c r="K10513" s="1">
        <v>41000</v>
      </c>
      <c r="M10513" t="e">
        <v>#N/A</v>
      </c>
      <c r="N10513" s="1">
        <v>40634</v>
      </c>
    </row>
    <row r="10514" spans="11:14" x14ac:dyDescent="0.3">
      <c r="K10514" s="1">
        <v>41000</v>
      </c>
      <c r="M10514" t="e">
        <v>#N/A</v>
      </c>
      <c r="N10514" s="1">
        <v>40634</v>
      </c>
    </row>
    <row r="10515" spans="11:14" x14ac:dyDescent="0.3">
      <c r="K10515" s="1">
        <v>41000</v>
      </c>
      <c r="M10515" t="e">
        <v>#N/A</v>
      </c>
      <c r="N10515" s="1">
        <v>40634</v>
      </c>
    </row>
    <row r="10516" spans="11:14" x14ac:dyDescent="0.3">
      <c r="K10516" s="1">
        <v>41000</v>
      </c>
      <c r="M10516" t="e">
        <v>#N/A</v>
      </c>
      <c r="N10516" s="1">
        <v>40634</v>
      </c>
    </row>
    <row r="10517" spans="11:14" x14ac:dyDescent="0.3">
      <c r="K10517" s="1">
        <v>41000</v>
      </c>
      <c r="M10517" t="e">
        <v>#N/A</v>
      </c>
      <c r="N10517" s="1">
        <v>40634</v>
      </c>
    </row>
    <row r="10518" spans="11:14" x14ac:dyDescent="0.3">
      <c r="K10518" s="1">
        <v>41000</v>
      </c>
      <c r="M10518" t="e">
        <v>#N/A</v>
      </c>
      <c r="N10518" s="1">
        <v>40634</v>
      </c>
    </row>
    <row r="10519" spans="11:14" x14ac:dyDescent="0.3">
      <c r="K10519" s="1">
        <v>41000</v>
      </c>
      <c r="M10519" t="e">
        <v>#N/A</v>
      </c>
      <c r="N10519" s="1">
        <v>40634</v>
      </c>
    </row>
    <row r="10520" spans="11:14" x14ac:dyDescent="0.3">
      <c r="K10520" s="1">
        <v>41000</v>
      </c>
      <c r="M10520" t="e">
        <v>#N/A</v>
      </c>
      <c r="N10520" s="1">
        <v>40634</v>
      </c>
    </row>
    <row r="10521" spans="11:14" x14ac:dyDescent="0.3">
      <c r="K10521" s="1">
        <v>41000</v>
      </c>
      <c r="M10521" t="e">
        <v>#N/A</v>
      </c>
      <c r="N10521" s="1">
        <v>40634</v>
      </c>
    </row>
    <row r="10522" spans="11:14" x14ac:dyDescent="0.3">
      <c r="K10522" s="1">
        <v>41000</v>
      </c>
      <c r="M10522" t="e">
        <v>#N/A</v>
      </c>
      <c r="N10522" s="1">
        <v>40634</v>
      </c>
    </row>
    <row r="10523" spans="11:14" x14ac:dyDescent="0.3">
      <c r="K10523" s="1">
        <v>41000</v>
      </c>
      <c r="M10523" t="e">
        <v>#N/A</v>
      </c>
      <c r="N10523" s="1">
        <v>40634</v>
      </c>
    </row>
    <row r="10524" spans="11:14" x14ac:dyDescent="0.3">
      <c r="K10524" s="1">
        <v>41000</v>
      </c>
      <c r="M10524" t="e">
        <v>#N/A</v>
      </c>
      <c r="N10524" s="1">
        <v>40634</v>
      </c>
    </row>
    <row r="10525" spans="11:14" x14ac:dyDescent="0.3">
      <c r="K10525" s="1">
        <v>41000</v>
      </c>
      <c r="M10525" t="e">
        <v>#N/A</v>
      </c>
      <c r="N10525" s="1">
        <v>40634</v>
      </c>
    </row>
    <row r="10526" spans="11:14" x14ac:dyDescent="0.3">
      <c r="K10526" s="1">
        <v>41000</v>
      </c>
      <c r="M10526" t="e">
        <v>#N/A</v>
      </c>
      <c r="N10526" s="1">
        <v>40634</v>
      </c>
    </row>
    <row r="10527" spans="11:14" x14ac:dyDescent="0.3">
      <c r="K10527" s="1">
        <v>41000</v>
      </c>
      <c r="M10527" t="e">
        <v>#N/A</v>
      </c>
      <c r="N10527" s="1">
        <v>40634</v>
      </c>
    </row>
    <row r="10528" spans="11:14" x14ac:dyDescent="0.3">
      <c r="K10528" s="1">
        <v>41000</v>
      </c>
      <c r="M10528" t="e">
        <v>#N/A</v>
      </c>
      <c r="N10528" s="1">
        <v>40634</v>
      </c>
    </row>
    <row r="10529" spans="11:14" x14ac:dyDescent="0.3">
      <c r="K10529" s="1">
        <v>41000</v>
      </c>
      <c r="M10529" t="e">
        <v>#N/A</v>
      </c>
      <c r="N10529" s="1">
        <v>40634</v>
      </c>
    </row>
    <row r="10530" spans="11:14" x14ac:dyDescent="0.3">
      <c r="K10530" s="1">
        <v>41000</v>
      </c>
      <c r="M10530" t="e">
        <v>#N/A</v>
      </c>
      <c r="N10530" s="1">
        <v>40634</v>
      </c>
    </row>
    <row r="10531" spans="11:14" x14ac:dyDescent="0.3">
      <c r="K10531" s="1">
        <v>41000</v>
      </c>
      <c r="M10531" t="e">
        <v>#N/A</v>
      </c>
      <c r="N10531" s="1">
        <v>40634</v>
      </c>
    </row>
    <row r="10532" spans="11:14" x14ac:dyDescent="0.3">
      <c r="K10532" s="1">
        <v>41000</v>
      </c>
      <c r="M10532" t="e">
        <v>#N/A</v>
      </c>
      <c r="N10532" s="1">
        <v>40634</v>
      </c>
    </row>
    <row r="10533" spans="11:14" x14ac:dyDescent="0.3">
      <c r="K10533" s="1">
        <v>41000</v>
      </c>
      <c r="M10533" t="e">
        <v>#N/A</v>
      </c>
      <c r="N10533" s="1">
        <v>40634</v>
      </c>
    </row>
    <row r="10534" spans="11:14" x14ac:dyDescent="0.3">
      <c r="K10534" s="1">
        <v>41000</v>
      </c>
      <c r="M10534" t="e">
        <v>#N/A</v>
      </c>
      <c r="N10534" s="1">
        <v>40634</v>
      </c>
    </row>
    <row r="10535" spans="11:14" x14ac:dyDescent="0.3">
      <c r="K10535" s="1">
        <v>41000</v>
      </c>
      <c r="M10535" t="e">
        <v>#N/A</v>
      </c>
      <c r="N10535" s="1">
        <v>40634</v>
      </c>
    </row>
    <row r="10536" spans="11:14" x14ac:dyDescent="0.3">
      <c r="K10536" s="1">
        <v>41000</v>
      </c>
      <c r="M10536" t="e">
        <v>#N/A</v>
      </c>
      <c r="N10536" s="1">
        <v>40634</v>
      </c>
    </row>
    <row r="10537" spans="11:14" x14ac:dyDescent="0.3">
      <c r="K10537" s="1">
        <v>41000</v>
      </c>
      <c r="M10537" t="e">
        <v>#N/A</v>
      </c>
      <c r="N10537" s="1">
        <v>40634</v>
      </c>
    </row>
    <row r="10538" spans="11:14" x14ac:dyDescent="0.3">
      <c r="K10538" s="1">
        <v>41000</v>
      </c>
      <c r="M10538" t="e">
        <v>#N/A</v>
      </c>
      <c r="N10538" s="1">
        <v>40634</v>
      </c>
    </row>
    <row r="10539" spans="11:14" x14ac:dyDescent="0.3">
      <c r="K10539" s="1">
        <v>41000</v>
      </c>
      <c r="M10539" t="e">
        <v>#N/A</v>
      </c>
      <c r="N10539" s="1">
        <v>40634</v>
      </c>
    </row>
    <row r="10540" spans="11:14" x14ac:dyDescent="0.3">
      <c r="K10540" s="1">
        <v>41000</v>
      </c>
      <c r="M10540" t="e">
        <v>#N/A</v>
      </c>
      <c r="N10540" s="1">
        <v>40634</v>
      </c>
    </row>
    <row r="10541" spans="11:14" x14ac:dyDescent="0.3">
      <c r="K10541" s="1">
        <v>41000</v>
      </c>
      <c r="M10541" t="e">
        <v>#N/A</v>
      </c>
      <c r="N10541" s="1">
        <v>40634</v>
      </c>
    </row>
    <row r="10542" spans="11:14" x14ac:dyDescent="0.3">
      <c r="K10542" s="1">
        <v>41000</v>
      </c>
      <c r="M10542" t="e">
        <v>#N/A</v>
      </c>
      <c r="N10542" s="1">
        <v>40634</v>
      </c>
    </row>
    <row r="10543" spans="11:14" x14ac:dyDescent="0.3">
      <c r="K10543" s="1">
        <v>41000</v>
      </c>
      <c r="M10543" t="e">
        <v>#N/A</v>
      </c>
      <c r="N10543" s="1">
        <v>40634</v>
      </c>
    </row>
    <row r="10544" spans="11:14" x14ac:dyDescent="0.3">
      <c r="K10544" s="1">
        <v>41000</v>
      </c>
      <c r="M10544" t="e">
        <v>#N/A</v>
      </c>
      <c r="N10544" s="1">
        <v>40634</v>
      </c>
    </row>
    <row r="10545" spans="11:14" x14ac:dyDescent="0.3">
      <c r="K10545" s="1">
        <v>41000</v>
      </c>
      <c r="M10545" t="e">
        <v>#N/A</v>
      </c>
      <c r="N10545" s="1">
        <v>40634</v>
      </c>
    </row>
    <row r="10546" spans="11:14" x14ac:dyDescent="0.3">
      <c r="K10546" s="1">
        <v>41000</v>
      </c>
      <c r="M10546" t="e">
        <v>#N/A</v>
      </c>
      <c r="N10546" s="1">
        <v>40634</v>
      </c>
    </row>
    <row r="10547" spans="11:14" x14ac:dyDescent="0.3">
      <c r="K10547" s="1">
        <v>41000</v>
      </c>
      <c r="M10547" t="e">
        <v>#N/A</v>
      </c>
      <c r="N10547" s="1">
        <v>40634</v>
      </c>
    </row>
    <row r="10548" spans="11:14" x14ac:dyDescent="0.3">
      <c r="K10548" s="1">
        <v>41000</v>
      </c>
      <c r="M10548" t="e">
        <v>#N/A</v>
      </c>
      <c r="N10548" s="1">
        <v>40634</v>
      </c>
    </row>
    <row r="10549" spans="11:14" x14ac:dyDescent="0.3">
      <c r="K10549" s="1">
        <v>41000</v>
      </c>
      <c r="M10549" t="e">
        <v>#N/A</v>
      </c>
      <c r="N10549" s="1">
        <v>40634</v>
      </c>
    </row>
    <row r="10550" spans="11:14" x14ac:dyDescent="0.3">
      <c r="K10550" s="1">
        <v>41000</v>
      </c>
      <c r="M10550" t="e">
        <v>#N/A</v>
      </c>
      <c r="N10550" s="1">
        <v>40634</v>
      </c>
    </row>
    <row r="10551" spans="11:14" x14ac:dyDescent="0.3">
      <c r="K10551" s="1">
        <v>41000</v>
      </c>
      <c r="M10551" t="e">
        <v>#N/A</v>
      </c>
      <c r="N10551" s="1">
        <v>40634</v>
      </c>
    </row>
    <row r="10552" spans="11:14" x14ac:dyDescent="0.3">
      <c r="K10552" s="1">
        <v>41000</v>
      </c>
      <c r="M10552" t="e">
        <v>#N/A</v>
      </c>
      <c r="N10552" s="1">
        <v>40634</v>
      </c>
    </row>
    <row r="10553" spans="11:14" x14ac:dyDescent="0.3">
      <c r="K10553" s="1">
        <v>41000</v>
      </c>
      <c r="M10553" t="e">
        <v>#N/A</v>
      </c>
      <c r="N10553" s="1">
        <v>40634</v>
      </c>
    </row>
    <row r="10554" spans="11:14" x14ac:dyDescent="0.3">
      <c r="K10554" s="1">
        <v>41000</v>
      </c>
      <c r="M10554" t="e">
        <v>#N/A</v>
      </c>
      <c r="N10554" s="1">
        <v>40634</v>
      </c>
    </row>
    <row r="10555" spans="11:14" x14ac:dyDescent="0.3">
      <c r="K10555" s="1">
        <v>41000</v>
      </c>
      <c r="M10555" t="e">
        <v>#N/A</v>
      </c>
      <c r="N10555" s="1">
        <v>40634</v>
      </c>
    </row>
    <row r="10556" spans="11:14" x14ac:dyDescent="0.3">
      <c r="K10556" s="1">
        <v>41000</v>
      </c>
      <c r="M10556" t="e">
        <v>#N/A</v>
      </c>
      <c r="N10556" s="1">
        <v>40634</v>
      </c>
    </row>
    <row r="10557" spans="11:14" x14ac:dyDescent="0.3">
      <c r="K10557" s="1">
        <v>41000</v>
      </c>
      <c r="M10557" t="e">
        <v>#N/A</v>
      </c>
      <c r="N10557" s="1">
        <v>40634</v>
      </c>
    </row>
    <row r="10558" spans="11:14" x14ac:dyDescent="0.3">
      <c r="K10558" s="1">
        <v>41000</v>
      </c>
      <c r="M10558" t="e">
        <v>#N/A</v>
      </c>
      <c r="N10558" s="1">
        <v>40634</v>
      </c>
    </row>
    <row r="10559" spans="11:14" x14ac:dyDescent="0.3">
      <c r="K10559" s="1">
        <v>41000</v>
      </c>
      <c r="M10559" t="e">
        <v>#N/A</v>
      </c>
      <c r="N10559" s="1">
        <v>40634</v>
      </c>
    </row>
    <row r="10560" spans="11:14" x14ac:dyDescent="0.3">
      <c r="K10560" s="1">
        <v>41000</v>
      </c>
      <c r="M10560" t="e">
        <v>#N/A</v>
      </c>
      <c r="N10560" s="1">
        <v>40634</v>
      </c>
    </row>
    <row r="10561" spans="11:14" x14ac:dyDescent="0.3">
      <c r="K10561" s="1">
        <v>41000</v>
      </c>
      <c r="M10561" t="e">
        <v>#N/A</v>
      </c>
      <c r="N10561" s="1">
        <v>40634</v>
      </c>
    </row>
    <row r="10562" spans="11:14" x14ac:dyDescent="0.3">
      <c r="K10562" s="1">
        <v>41000</v>
      </c>
      <c r="M10562" t="e">
        <v>#N/A</v>
      </c>
      <c r="N10562" s="1">
        <v>40634</v>
      </c>
    </row>
    <row r="10563" spans="11:14" x14ac:dyDescent="0.3">
      <c r="K10563" s="1">
        <v>41000</v>
      </c>
      <c r="M10563" t="e">
        <v>#N/A</v>
      </c>
      <c r="N10563" s="1">
        <v>40634</v>
      </c>
    </row>
    <row r="10564" spans="11:14" x14ac:dyDescent="0.3">
      <c r="K10564" s="1">
        <v>41000</v>
      </c>
      <c r="M10564" t="e">
        <v>#N/A</v>
      </c>
      <c r="N10564" s="1">
        <v>40634</v>
      </c>
    </row>
    <row r="10565" spans="11:14" x14ac:dyDescent="0.3">
      <c r="K10565" s="1">
        <v>41000</v>
      </c>
      <c r="M10565" t="e">
        <v>#N/A</v>
      </c>
      <c r="N10565" s="1">
        <v>40634</v>
      </c>
    </row>
    <row r="10566" spans="11:14" x14ac:dyDescent="0.3">
      <c r="K10566" s="1">
        <v>41000</v>
      </c>
      <c r="M10566" t="e">
        <v>#N/A</v>
      </c>
      <c r="N10566" s="1">
        <v>40634</v>
      </c>
    </row>
    <row r="10567" spans="11:14" x14ac:dyDescent="0.3">
      <c r="K10567" s="1">
        <v>41000</v>
      </c>
      <c r="M10567" t="e">
        <v>#N/A</v>
      </c>
      <c r="N10567" s="1">
        <v>40634</v>
      </c>
    </row>
    <row r="10568" spans="11:14" x14ac:dyDescent="0.3">
      <c r="K10568" s="1">
        <v>41000</v>
      </c>
      <c r="M10568" t="e">
        <v>#N/A</v>
      </c>
      <c r="N10568" s="1">
        <v>40634</v>
      </c>
    </row>
    <row r="10569" spans="11:14" x14ac:dyDescent="0.3">
      <c r="K10569" s="1">
        <v>41000</v>
      </c>
      <c r="M10569" t="e">
        <v>#N/A</v>
      </c>
      <c r="N10569" s="1">
        <v>40634</v>
      </c>
    </row>
    <row r="10570" spans="11:14" x14ac:dyDescent="0.3">
      <c r="K10570" s="1">
        <v>41000</v>
      </c>
      <c r="M10570" t="e">
        <v>#N/A</v>
      </c>
      <c r="N10570" s="1">
        <v>40634</v>
      </c>
    </row>
    <row r="10571" spans="11:14" x14ac:dyDescent="0.3">
      <c r="K10571" s="1">
        <v>41000</v>
      </c>
      <c r="M10571" t="e">
        <v>#N/A</v>
      </c>
      <c r="N10571" s="1">
        <v>40634</v>
      </c>
    </row>
    <row r="10572" spans="11:14" x14ac:dyDescent="0.3">
      <c r="K10572" s="1">
        <v>41000</v>
      </c>
      <c r="M10572" t="e">
        <v>#N/A</v>
      </c>
      <c r="N10572" s="1">
        <v>40634</v>
      </c>
    </row>
    <row r="10573" spans="11:14" x14ac:dyDescent="0.3">
      <c r="K10573" s="1">
        <v>41000</v>
      </c>
      <c r="M10573" t="e">
        <v>#N/A</v>
      </c>
      <c r="N10573" s="1">
        <v>40634</v>
      </c>
    </row>
    <row r="10574" spans="11:14" x14ac:dyDescent="0.3">
      <c r="K10574" s="1">
        <v>41000</v>
      </c>
      <c r="M10574" t="e">
        <v>#N/A</v>
      </c>
      <c r="N10574" s="1">
        <v>40634</v>
      </c>
    </row>
    <row r="10575" spans="11:14" x14ac:dyDescent="0.3">
      <c r="K10575" s="1">
        <v>41000</v>
      </c>
      <c r="M10575" t="e">
        <v>#N/A</v>
      </c>
      <c r="N10575" s="1">
        <v>40634</v>
      </c>
    </row>
    <row r="10576" spans="11:14" x14ac:dyDescent="0.3">
      <c r="K10576" s="1">
        <v>41000</v>
      </c>
      <c r="M10576" t="e">
        <v>#N/A</v>
      </c>
      <c r="N10576" s="1">
        <v>40634</v>
      </c>
    </row>
    <row r="10577" spans="11:14" x14ac:dyDescent="0.3">
      <c r="K10577" s="1">
        <v>41000</v>
      </c>
      <c r="M10577" t="e">
        <v>#N/A</v>
      </c>
      <c r="N10577" s="1">
        <v>40634</v>
      </c>
    </row>
    <row r="10578" spans="11:14" x14ac:dyDescent="0.3">
      <c r="K10578" s="1">
        <v>41000</v>
      </c>
      <c r="M10578" t="e">
        <v>#N/A</v>
      </c>
      <c r="N10578" s="1">
        <v>40634</v>
      </c>
    </row>
    <row r="10579" spans="11:14" x14ac:dyDescent="0.3">
      <c r="K10579" s="1">
        <v>41000</v>
      </c>
      <c r="M10579" t="e">
        <v>#N/A</v>
      </c>
      <c r="N10579" s="1">
        <v>40634</v>
      </c>
    </row>
    <row r="10580" spans="11:14" x14ac:dyDescent="0.3">
      <c r="K10580" s="1">
        <v>41000</v>
      </c>
      <c r="M10580" t="e">
        <v>#N/A</v>
      </c>
      <c r="N10580" s="1">
        <v>40634</v>
      </c>
    </row>
    <row r="10581" spans="11:14" x14ac:dyDescent="0.3">
      <c r="K10581" s="1">
        <v>41000</v>
      </c>
      <c r="M10581" t="e">
        <v>#N/A</v>
      </c>
      <c r="N10581" s="1">
        <v>40634</v>
      </c>
    </row>
    <row r="10582" spans="11:14" x14ac:dyDescent="0.3">
      <c r="K10582" s="1">
        <v>41000</v>
      </c>
      <c r="M10582" t="e">
        <v>#N/A</v>
      </c>
      <c r="N10582" s="1">
        <v>40634</v>
      </c>
    </row>
    <row r="10583" spans="11:14" x14ac:dyDescent="0.3">
      <c r="K10583" s="1">
        <v>41000</v>
      </c>
      <c r="M10583" t="e">
        <v>#N/A</v>
      </c>
      <c r="N10583" s="1">
        <v>40634</v>
      </c>
    </row>
    <row r="10584" spans="11:14" x14ac:dyDescent="0.3">
      <c r="K10584" s="1">
        <v>41000</v>
      </c>
      <c r="M10584" t="e">
        <v>#N/A</v>
      </c>
      <c r="N10584" s="1">
        <v>40634</v>
      </c>
    </row>
    <row r="10585" spans="11:14" x14ac:dyDescent="0.3">
      <c r="K10585" s="1">
        <v>41000</v>
      </c>
      <c r="M10585" t="e">
        <v>#N/A</v>
      </c>
      <c r="N10585" s="1">
        <v>40634</v>
      </c>
    </row>
    <row r="10586" spans="11:14" x14ac:dyDescent="0.3">
      <c r="K10586" s="1">
        <v>41000</v>
      </c>
      <c r="M10586" t="e">
        <v>#N/A</v>
      </c>
      <c r="N10586" s="1">
        <v>40634</v>
      </c>
    </row>
    <row r="10587" spans="11:14" x14ac:dyDescent="0.3">
      <c r="K10587" s="1">
        <v>41000</v>
      </c>
      <c r="M10587" t="e">
        <v>#N/A</v>
      </c>
      <c r="N10587" s="1">
        <v>40634</v>
      </c>
    </row>
    <row r="10588" spans="11:14" x14ac:dyDescent="0.3">
      <c r="K10588" s="1">
        <v>41000</v>
      </c>
      <c r="M10588" t="e">
        <v>#N/A</v>
      </c>
      <c r="N10588" s="1">
        <v>40634</v>
      </c>
    </row>
    <row r="10589" spans="11:14" x14ac:dyDescent="0.3">
      <c r="K10589" s="1">
        <v>41000</v>
      </c>
      <c r="M10589" t="e">
        <v>#N/A</v>
      </c>
      <c r="N10589" s="1">
        <v>40634</v>
      </c>
    </row>
    <row r="10590" spans="11:14" x14ac:dyDescent="0.3">
      <c r="K10590" s="1">
        <v>41000</v>
      </c>
      <c r="M10590" t="e">
        <v>#N/A</v>
      </c>
      <c r="N10590" s="1">
        <v>40634</v>
      </c>
    </row>
    <row r="10591" spans="11:14" x14ac:dyDescent="0.3">
      <c r="K10591" s="1">
        <v>41000</v>
      </c>
      <c r="M10591" t="e">
        <v>#N/A</v>
      </c>
      <c r="N10591" s="1">
        <v>40634</v>
      </c>
    </row>
    <row r="10592" spans="11:14" x14ac:dyDescent="0.3">
      <c r="K10592" s="1">
        <v>41000</v>
      </c>
      <c r="M10592" t="e">
        <v>#N/A</v>
      </c>
      <c r="N10592" s="1">
        <v>40634</v>
      </c>
    </row>
    <row r="10593" spans="11:14" x14ac:dyDescent="0.3">
      <c r="K10593" s="1">
        <v>41000</v>
      </c>
      <c r="M10593" t="e">
        <v>#N/A</v>
      </c>
      <c r="N10593" s="1">
        <v>40634</v>
      </c>
    </row>
    <row r="10594" spans="11:14" x14ac:dyDescent="0.3">
      <c r="K10594" s="1">
        <v>41000</v>
      </c>
      <c r="M10594" t="e">
        <v>#N/A</v>
      </c>
      <c r="N10594" s="1">
        <v>40634</v>
      </c>
    </row>
    <row r="10595" spans="11:14" x14ac:dyDescent="0.3">
      <c r="K10595" s="1">
        <v>41000</v>
      </c>
      <c r="M10595" t="e">
        <v>#N/A</v>
      </c>
      <c r="N10595" s="1">
        <v>40634</v>
      </c>
    </row>
    <row r="10596" spans="11:14" x14ac:dyDescent="0.3">
      <c r="K10596" s="1">
        <v>41000</v>
      </c>
      <c r="M10596" t="e">
        <v>#N/A</v>
      </c>
      <c r="N10596" s="1">
        <v>40634</v>
      </c>
    </row>
    <row r="10597" spans="11:14" x14ac:dyDescent="0.3">
      <c r="K10597" s="1">
        <v>41000</v>
      </c>
      <c r="M10597" t="e">
        <v>#N/A</v>
      </c>
      <c r="N10597" s="1">
        <v>40634</v>
      </c>
    </row>
    <row r="10598" spans="11:14" x14ac:dyDescent="0.3">
      <c r="K10598" s="1">
        <v>41000</v>
      </c>
      <c r="M10598" t="e">
        <v>#N/A</v>
      </c>
      <c r="N10598" s="1">
        <v>40634</v>
      </c>
    </row>
    <row r="10599" spans="11:14" x14ac:dyDescent="0.3">
      <c r="K10599" s="1">
        <v>41000</v>
      </c>
      <c r="M10599" t="e">
        <v>#N/A</v>
      </c>
      <c r="N10599" s="1">
        <v>40634</v>
      </c>
    </row>
    <row r="10600" spans="11:14" x14ac:dyDescent="0.3">
      <c r="K10600" s="1">
        <v>41000</v>
      </c>
      <c r="M10600" t="e">
        <v>#N/A</v>
      </c>
      <c r="N10600" s="1">
        <v>40634</v>
      </c>
    </row>
    <row r="10601" spans="11:14" x14ac:dyDescent="0.3">
      <c r="K10601" s="1">
        <v>41000</v>
      </c>
      <c r="M10601" t="e">
        <v>#N/A</v>
      </c>
      <c r="N10601" s="1">
        <v>40634</v>
      </c>
    </row>
    <row r="10602" spans="11:14" x14ac:dyDescent="0.3">
      <c r="K10602" s="1">
        <v>41000</v>
      </c>
      <c r="M10602" t="e">
        <v>#N/A</v>
      </c>
      <c r="N10602" s="1">
        <v>40634</v>
      </c>
    </row>
    <row r="10603" spans="11:14" x14ac:dyDescent="0.3">
      <c r="K10603" s="1">
        <v>41000</v>
      </c>
      <c r="M10603" t="e">
        <v>#N/A</v>
      </c>
      <c r="N10603" s="1">
        <v>40634</v>
      </c>
    </row>
    <row r="10604" spans="11:14" x14ac:dyDescent="0.3">
      <c r="K10604" s="1">
        <v>41000</v>
      </c>
      <c r="M10604" t="e">
        <v>#N/A</v>
      </c>
      <c r="N10604" s="1">
        <v>40634</v>
      </c>
    </row>
    <row r="10605" spans="11:14" x14ac:dyDescent="0.3">
      <c r="K10605" s="1">
        <v>41000</v>
      </c>
      <c r="M10605" t="e">
        <v>#N/A</v>
      </c>
      <c r="N10605" s="1">
        <v>40634</v>
      </c>
    </row>
    <row r="10606" spans="11:14" x14ac:dyDescent="0.3">
      <c r="K10606" s="1">
        <v>41000</v>
      </c>
      <c r="M10606" t="e">
        <v>#N/A</v>
      </c>
      <c r="N10606" s="1">
        <v>40634</v>
      </c>
    </row>
    <row r="10607" spans="11:14" x14ac:dyDescent="0.3">
      <c r="K10607" s="1">
        <v>41000</v>
      </c>
      <c r="M10607" t="e">
        <v>#N/A</v>
      </c>
      <c r="N10607" s="1">
        <v>40634</v>
      </c>
    </row>
    <row r="10608" spans="11:14" x14ac:dyDescent="0.3">
      <c r="K10608" s="1">
        <v>41000</v>
      </c>
      <c r="M10608" t="e">
        <v>#N/A</v>
      </c>
      <c r="N10608" s="1">
        <v>40634</v>
      </c>
    </row>
    <row r="10609" spans="11:14" x14ac:dyDescent="0.3">
      <c r="K10609" s="1">
        <v>41000</v>
      </c>
      <c r="M10609" t="e">
        <v>#N/A</v>
      </c>
      <c r="N10609" s="1">
        <v>40634</v>
      </c>
    </row>
    <row r="10610" spans="11:14" x14ac:dyDescent="0.3">
      <c r="K10610" s="1">
        <v>41000</v>
      </c>
      <c r="M10610" t="e">
        <v>#N/A</v>
      </c>
      <c r="N10610" s="1">
        <v>40634</v>
      </c>
    </row>
    <row r="10611" spans="11:14" x14ac:dyDescent="0.3">
      <c r="K10611" s="1">
        <v>41000</v>
      </c>
      <c r="M10611" t="e">
        <v>#N/A</v>
      </c>
      <c r="N10611" s="1">
        <v>40634</v>
      </c>
    </row>
    <row r="10612" spans="11:14" x14ac:dyDescent="0.3">
      <c r="K10612" s="1">
        <v>41000</v>
      </c>
      <c r="M10612" t="e">
        <v>#N/A</v>
      </c>
      <c r="N10612" s="1">
        <v>40634</v>
      </c>
    </row>
    <row r="10613" spans="11:14" x14ac:dyDescent="0.3">
      <c r="K10613" s="1">
        <v>41000</v>
      </c>
      <c r="M10613" t="e">
        <v>#N/A</v>
      </c>
      <c r="N10613" s="1">
        <v>40634</v>
      </c>
    </row>
    <row r="10614" spans="11:14" x14ac:dyDescent="0.3">
      <c r="K10614" s="1">
        <v>41000</v>
      </c>
      <c r="M10614" t="e">
        <v>#N/A</v>
      </c>
      <c r="N10614" s="1">
        <v>40634</v>
      </c>
    </row>
    <row r="10615" spans="11:14" x14ac:dyDescent="0.3">
      <c r="K10615" s="1">
        <v>41000</v>
      </c>
      <c r="M10615" t="e">
        <v>#N/A</v>
      </c>
      <c r="N10615" s="1">
        <v>40634</v>
      </c>
    </row>
    <row r="10616" spans="11:14" x14ac:dyDescent="0.3">
      <c r="K10616" s="1">
        <v>41000</v>
      </c>
      <c r="M10616" t="e">
        <v>#N/A</v>
      </c>
      <c r="N10616" s="1">
        <v>40634</v>
      </c>
    </row>
    <row r="10617" spans="11:14" x14ac:dyDescent="0.3">
      <c r="K10617" s="1">
        <v>41000</v>
      </c>
      <c r="M10617" t="e">
        <v>#N/A</v>
      </c>
      <c r="N10617" s="1">
        <v>40634</v>
      </c>
    </row>
    <row r="10618" spans="11:14" x14ac:dyDescent="0.3">
      <c r="K10618" s="1">
        <v>41000</v>
      </c>
      <c r="M10618" t="e">
        <v>#N/A</v>
      </c>
      <c r="N10618" s="1">
        <v>40634</v>
      </c>
    </row>
    <row r="10619" spans="11:14" x14ac:dyDescent="0.3">
      <c r="K10619" s="1">
        <v>41000</v>
      </c>
      <c r="M10619" t="e">
        <v>#N/A</v>
      </c>
      <c r="N10619" s="1">
        <v>40634</v>
      </c>
    </row>
    <row r="10620" spans="11:14" x14ac:dyDescent="0.3">
      <c r="K10620" s="1">
        <v>41000</v>
      </c>
      <c r="M10620" t="e">
        <v>#N/A</v>
      </c>
      <c r="N10620" s="1">
        <v>40634</v>
      </c>
    </row>
    <row r="10621" spans="11:14" x14ac:dyDescent="0.3">
      <c r="K10621" s="1">
        <v>41000</v>
      </c>
      <c r="M10621" t="e">
        <v>#N/A</v>
      </c>
      <c r="N10621" s="1">
        <v>40634</v>
      </c>
    </row>
    <row r="10622" spans="11:14" x14ac:dyDescent="0.3">
      <c r="K10622" s="1">
        <v>41000</v>
      </c>
      <c r="M10622" t="e">
        <v>#N/A</v>
      </c>
      <c r="N10622" s="1">
        <v>40634</v>
      </c>
    </row>
    <row r="10623" spans="11:14" x14ac:dyDescent="0.3">
      <c r="K10623" s="1">
        <v>41000</v>
      </c>
      <c r="M10623" t="e">
        <v>#N/A</v>
      </c>
      <c r="N10623" s="1">
        <v>40634</v>
      </c>
    </row>
    <row r="10624" spans="11:14" x14ac:dyDescent="0.3">
      <c r="K10624" s="1">
        <v>41000</v>
      </c>
      <c r="M10624" t="e">
        <v>#N/A</v>
      </c>
      <c r="N10624" s="1">
        <v>40634</v>
      </c>
    </row>
    <row r="10625" spans="11:14" x14ac:dyDescent="0.3">
      <c r="K10625" s="1">
        <v>41000</v>
      </c>
      <c r="M10625" t="e">
        <v>#N/A</v>
      </c>
      <c r="N10625" s="1">
        <v>40634</v>
      </c>
    </row>
    <row r="10626" spans="11:14" x14ac:dyDescent="0.3">
      <c r="K10626" s="1">
        <v>41000</v>
      </c>
      <c r="M10626" t="e">
        <v>#N/A</v>
      </c>
      <c r="N10626" s="1">
        <v>40634</v>
      </c>
    </row>
    <row r="10627" spans="11:14" x14ac:dyDescent="0.3">
      <c r="K10627" s="1">
        <v>41000</v>
      </c>
      <c r="M10627" t="e">
        <v>#N/A</v>
      </c>
      <c r="N10627" s="1">
        <v>40634</v>
      </c>
    </row>
    <row r="10628" spans="11:14" x14ac:dyDescent="0.3">
      <c r="K10628" s="1">
        <v>41000</v>
      </c>
      <c r="M10628" t="e">
        <v>#N/A</v>
      </c>
      <c r="N10628" s="1">
        <v>40634</v>
      </c>
    </row>
    <row r="10629" spans="11:14" x14ac:dyDescent="0.3">
      <c r="K10629" s="1">
        <v>41000</v>
      </c>
      <c r="M10629" t="e">
        <v>#N/A</v>
      </c>
      <c r="N10629" s="1">
        <v>40634</v>
      </c>
    </row>
    <row r="10630" spans="11:14" x14ac:dyDescent="0.3">
      <c r="K10630" s="1">
        <v>41000</v>
      </c>
      <c r="M10630" t="e">
        <v>#N/A</v>
      </c>
      <c r="N10630" s="1">
        <v>40634</v>
      </c>
    </row>
    <row r="10631" spans="11:14" x14ac:dyDescent="0.3">
      <c r="K10631" s="1">
        <v>41000</v>
      </c>
      <c r="M10631" t="e">
        <v>#N/A</v>
      </c>
      <c r="N10631" s="1">
        <v>40634</v>
      </c>
    </row>
    <row r="10632" spans="11:14" x14ac:dyDescent="0.3">
      <c r="K10632" s="1">
        <v>41000</v>
      </c>
      <c r="M10632" t="e">
        <v>#N/A</v>
      </c>
      <c r="N10632" s="1">
        <v>40634</v>
      </c>
    </row>
    <row r="10633" spans="11:14" x14ac:dyDescent="0.3">
      <c r="K10633" s="1">
        <v>41000</v>
      </c>
      <c r="M10633" t="e">
        <v>#N/A</v>
      </c>
      <c r="N10633" s="1">
        <v>40634</v>
      </c>
    </row>
    <row r="10634" spans="11:14" x14ac:dyDescent="0.3">
      <c r="K10634" s="1">
        <v>41000</v>
      </c>
      <c r="M10634" t="e">
        <v>#N/A</v>
      </c>
      <c r="N10634" s="1">
        <v>40634</v>
      </c>
    </row>
    <row r="10635" spans="11:14" x14ac:dyDescent="0.3">
      <c r="K10635" s="1">
        <v>41000</v>
      </c>
      <c r="M10635" t="e">
        <v>#N/A</v>
      </c>
      <c r="N10635" s="1">
        <v>40634</v>
      </c>
    </row>
    <row r="10636" spans="11:14" x14ac:dyDescent="0.3">
      <c r="K10636" s="1">
        <v>41000</v>
      </c>
      <c r="M10636" t="e">
        <v>#N/A</v>
      </c>
      <c r="N10636" s="1">
        <v>40634</v>
      </c>
    </row>
    <row r="10637" spans="11:14" x14ac:dyDescent="0.3">
      <c r="K10637" s="1">
        <v>41000</v>
      </c>
      <c r="M10637" t="e">
        <v>#N/A</v>
      </c>
      <c r="N10637" s="1">
        <v>40634</v>
      </c>
    </row>
    <row r="10638" spans="11:14" x14ac:dyDescent="0.3">
      <c r="K10638" s="1">
        <v>41000</v>
      </c>
      <c r="M10638" t="e">
        <v>#N/A</v>
      </c>
      <c r="N10638" s="1">
        <v>40634</v>
      </c>
    </row>
    <row r="10639" spans="11:14" x14ac:dyDescent="0.3">
      <c r="K10639" s="1">
        <v>41000</v>
      </c>
      <c r="M10639" t="e">
        <v>#N/A</v>
      </c>
      <c r="N10639" s="1">
        <v>40634</v>
      </c>
    </row>
    <row r="10640" spans="11:14" x14ac:dyDescent="0.3">
      <c r="K10640" s="1">
        <v>41000</v>
      </c>
      <c r="M10640" t="e">
        <v>#N/A</v>
      </c>
      <c r="N10640" s="1">
        <v>40634</v>
      </c>
    </row>
    <row r="10641" spans="11:14" x14ac:dyDescent="0.3">
      <c r="K10641" s="1">
        <v>41000</v>
      </c>
      <c r="M10641" t="e">
        <v>#N/A</v>
      </c>
      <c r="N10641" s="1">
        <v>40634</v>
      </c>
    </row>
    <row r="10642" spans="11:14" x14ac:dyDescent="0.3">
      <c r="K10642" s="1">
        <v>41000</v>
      </c>
      <c r="M10642" t="e">
        <v>#N/A</v>
      </c>
      <c r="N10642" s="1">
        <v>40634</v>
      </c>
    </row>
    <row r="10643" spans="11:14" x14ac:dyDescent="0.3">
      <c r="K10643" s="1">
        <v>41000</v>
      </c>
      <c r="M10643" t="e">
        <v>#N/A</v>
      </c>
      <c r="N10643" s="1">
        <v>40634</v>
      </c>
    </row>
    <row r="10644" spans="11:14" x14ac:dyDescent="0.3">
      <c r="K10644" s="1">
        <v>41000</v>
      </c>
      <c r="M10644" t="e">
        <v>#N/A</v>
      </c>
      <c r="N10644" s="1">
        <v>40634</v>
      </c>
    </row>
    <row r="10645" spans="11:14" x14ac:dyDescent="0.3">
      <c r="K10645" s="1">
        <v>41000</v>
      </c>
      <c r="M10645" t="e">
        <v>#N/A</v>
      </c>
      <c r="N10645" s="1">
        <v>40634</v>
      </c>
    </row>
    <row r="10646" spans="11:14" x14ac:dyDescent="0.3">
      <c r="K10646" s="1">
        <v>41000</v>
      </c>
      <c r="M10646" t="e">
        <v>#N/A</v>
      </c>
      <c r="N10646" s="1">
        <v>40634</v>
      </c>
    </row>
    <row r="10647" spans="11:14" x14ac:dyDescent="0.3">
      <c r="K10647" s="1">
        <v>41000</v>
      </c>
      <c r="M10647" t="e">
        <v>#N/A</v>
      </c>
      <c r="N10647" s="1">
        <v>40634</v>
      </c>
    </row>
    <row r="10648" spans="11:14" x14ac:dyDescent="0.3">
      <c r="K10648" s="1">
        <v>41000</v>
      </c>
      <c r="M10648" t="e">
        <v>#N/A</v>
      </c>
      <c r="N10648" s="1">
        <v>40634</v>
      </c>
    </row>
    <row r="10649" spans="11:14" x14ac:dyDescent="0.3">
      <c r="K10649" s="1">
        <v>41000</v>
      </c>
      <c r="M10649" t="e">
        <v>#N/A</v>
      </c>
      <c r="N10649" s="1">
        <v>40634</v>
      </c>
    </row>
    <row r="10650" spans="11:14" x14ac:dyDescent="0.3">
      <c r="K10650" s="1">
        <v>41000</v>
      </c>
      <c r="M10650" t="e">
        <v>#N/A</v>
      </c>
      <c r="N10650" s="1">
        <v>40634</v>
      </c>
    </row>
    <row r="10651" spans="11:14" x14ac:dyDescent="0.3">
      <c r="K10651" s="1">
        <v>41000</v>
      </c>
      <c r="M10651" t="e">
        <v>#N/A</v>
      </c>
      <c r="N10651" s="1">
        <v>40634</v>
      </c>
    </row>
    <row r="10652" spans="11:14" x14ac:dyDescent="0.3">
      <c r="K10652" s="1">
        <v>41000</v>
      </c>
      <c r="M10652" t="e">
        <v>#N/A</v>
      </c>
      <c r="N10652" s="1">
        <v>40634</v>
      </c>
    </row>
    <row r="10653" spans="11:14" x14ac:dyDescent="0.3">
      <c r="K10653" s="1">
        <v>41000</v>
      </c>
      <c r="M10653" t="e">
        <v>#N/A</v>
      </c>
      <c r="N10653" s="1">
        <v>40634</v>
      </c>
    </row>
    <row r="10654" spans="11:14" x14ac:dyDescent="0.3">
      <c r="K10654" s="1">
        <v>41000</v>
      </c>
      <c r="M10654" t="e">
        <v>#N/A</v>
      </c>
      <c r="N10654" s="1">
        <v>40634</v>
      </c>
    </row>
    <row r="10655" spans="11:14" x14ac:dyDescent="0.3">
      <c r="K10655" s="1">
        <v>41000</v>
      </c>
      <c r="M10655" t="e">
        <v>#N/A</v>
      </c>
      <c r="N10655" s="1">
        <v>40634</v>
      </c>
    </row>
    <row r="10656" spans="11:14" x14ac:dyDescent="0.3">
      <c r="K10656" s="1">
        <v>41000</v>
      </c>
      <c r="M10656" t="e">
        <v>#N/A</v>
      </c>
      <c r="N10656" s="1">
        <v>40634</v>
      </c>
    </row>
    <row r="10657" spans="11:14" x14ac:dyDescent="0.3">
      <c r="K10657" s="1">
        <v>41000</v>
      </c>
      <c r="M10657" t="e">
        <v>#N/A</v>
      </c>
      <c r="N10657" s="1">
        <v>40634</v>
      </c>
    </row>
    <row r="10658" spans="11:14" x14ac:dyDescent="0.3">
      <c r="K10658" s="1">
        <v>41000</v>
      </c>
      <c r="M10658" t="e">
        <v>#N/A</v>
      </c>
      <c r="N10658" s="1">
        <v>40634</v>
      </c>
    </row>
    <row r="10659" spans="11:14" x14ac:dyDescent="0.3">
      <c r="K10659" s="1">
        <v>41000</v>
      </c>
      <c r="M10659" t="e">
        <v>#N/A</v>
      </c>
      <c r="N10659" s="1">
        <v>40634</v>
      </c>
    </row>
    <row r="10660" spans="11:14" x14ac:dyDescent="0.3">
      <c r="K10660" s="1">
        <v>41000</v>
      </c>
      <c r="M10660" t="e">
        <v>#N/A</v>
      </c>
      <c r="N10660" s="1">
        <v>40634</v>
      </c>
    </row>
    <row r="10661" spans="11:14" x14ac:dyDescent="0.3">
      <c r="K10661" s="1">
        <v>41000</v>
      </c>
      <c r="M10661" t="e">
        <v>#N/A</v>
      </c>
      <c r="N10661" s="1">
        <v>40634</v>
      </c>
    </row>
    <row r="10662" spans="11:14" x14ac:dyDescent="0.3">
      <c r="K10662" s="1">
        <v>41000</v>
      </c>
      <c r="M10662" t="e">
        <v>#N/A</v>
      </c>
      <c r="N10662" s="1">
        <v>40634</v>
      </c>
    </row>
    <row r="10663" spans="11:14" x14ac:dyDescent="0.3">
      <c r="K10663" s="1">
        <v>41000</v>
      </c>
      <c r="M10663" t="e">
        <v>#N/A</v>
      </c>
      <c r="N10663" s="1">
        <v>40634</v>
      </c>
    </row>
    <row r="10664" spans="11:14" x14ac:dyDescent="0.3">
      <c r="K10664" s="1">
        <v>41000</v>
      </c>
      <c r="M10664" t="e">
        <v>#N/A</v>
      </c>
      <c r="N10664" s="1">
        <v>40634</v>
      </c>
    </row>
    <row r="10665" spans="11:14" x14ac:dyDescent="0.3">
      <c r="K10665" s="1">
        <v>41000</v>
      </c>
      <c r="M10665" t="e">
        <v>#N/A</v>
      </c>
      <c r="N10665" s="1">
        <v>40634</v>
      </c>
    </row>
    <row r="10666" spans="11:14" x14ac:dyDescent="0.3">
      <c r="K10666" s="1">
        <v>41000</v>
      </c>
      <c r="M10666" t="e">
        <v>#N/A</v>
      </c>
      <c r="N10666" s="1">
        <v>40634</v>
      </c>
    </row>
    <row r="10667" spans="11:14" x14ac:dyDescent="0.3">
      <c r="K10667" s="1">
        <v>41000</v>
      </c>
      <c r="M10667" t="e">
        <v>#N/A</v>
      </c>
      <c r="N10667" s="1">
        <v>40634</v>
      </c>
    </row>
    <row r="10668" spans="11:14" x14ac:dyDescent="0.3">
      <c r="K10668" s="1">
        <v>41000</v>
      </c>
      <c r="M10668" t="e">
        <v>#N/A</v>
      </c>
      <c r="N10668" s="1">
        <v>40634</v>
      </c>
    </row>
    <row r="10669" spans="11:14" x14ac:dyDescent="0.3">
      <c r="K10669" s="1">
        <v>41000</v>
      </c>
      <c r="M10669" t="e">
        <v>#N/A</v>
      </c>
      <c r="N10669" s="1">
        <v>40634</v>
      </c>
    </row>
    <row r="10670" spans="11:14" x14ac:dyDescent="0.3">
      <c r="K10670" s="1">
        <v>41000</v>
      </c>
      <c r="M10670" t="e">
        <v>#N/A</v>
      </c>
      <c r="N10670" s="1">
        <v>40634</v>
      </c>
    </row>
    <row r="10671" spans="11:14" x14ac:dyDescent="0.3">
      <c r="K10671" s="1">
        <v>41000</v>
      </c>
      <c r="M10671" t="e">
        <v>#N/A</v>
      </c>
      <c r="N10671" s="1">
        <v>40634</v>
      </c>
    </row>
    <row r="10672" spans="11:14" x14ac:dyDescent="0.3">
      <c r="K10672" s="1">
        <v>41000</v>
      </c>
      <c r="M10672" t="e">
        <v>#N/A</v>
      </c>
      <c r="N10672" s="1">
        <v>40634</v>
      </c>
    </row>
    <row r="10673" spans="11:14" x14ac:dyDescent="0.3">
      <c r="K10673" s="1">
        <v>41091</v>
      </c>
      <c r="M10673" t="e">
        <v>#N/A</v>
      </c>
      <c r="N10673" s="1">
        <v>40634</v>
      </c>
    </row>
    <row r="10674" spans="11:14" x14ac:dyDescent="0.3">
      <c r="K10674" s="1">
        <v>41091</v>
      </c>
      <c r="M10674" t="e">
        <v>#N/A</v>
      </c>
      <c r="N10674" s="1">
        <v>40634</v>
      </c>
    </row>
    <row r="10675" spans="11:14" x14ac:dyDescent="0.3">
      <c r="K10675" s="1">
        <v>41091</v>
      </c>
      <c r="M10675" t="e">
        <v>#N/A</v>
      </c>
      <c r="N10675" s="1">
        <v>40634</v>
      </c>
    </row>
    <row r="10676" spans="11:14" x14ac:dyDescent="0.3">
      <c r="K10676" s="1">
        <v>41091</v>
      </c>
      <c r="M10676" t="e">
        <v>#N/A</v>
      </c>
      <c r="N10676" s="1">
        <v>40634</v>
      </c>
    </row>
    <row r="10677" spans="11:14" x14ac:dyDescent="0.3">
      <c r="K10677" s="1">
        <v>41091</v>
      </c>
      <c r="M10677" t="e">
        <v>#N/A</v>
      </c>
      <c r="N10677" s="1">
        <v>40634</v>
      </c>
    </row>
    <row r="10678" spans="11:14" x14ac:dyDescent="0.3">
      <c r="K10678" s="1">
        <v>41091</v>
      </c>
      <c r="M10678" t="e">
        <v>#N/A</v>
      </c>
      <c r="N10678" s="1">
        <v>40634</v>
      </c>
    </row>
    <row r="10679" spans="11:14" x14ac:dyDescent="0.3">
      <c r="K10679" s="1">
        <v>41091</v>
      </c>
      <c r="M10679" t="e">
        <v>#N/A</v>
      </c>
      <c r="N10679" s="1">
        <v>40634</v>
      </c>
    </row>
    <row r="10680" spans="11:14" x14ac:dyDescent="0.3">
      <c r="K10680" s="1">
        <v>41091</v>
      </c>
      <c r="M10680" t="e">
        <v>#N/A</v>
      </c>
      <c r="N10680" s="1">
        <v>40634</v>
      </c>
    </row>
    <row r="10681" spans="11:14" x14ac:dyDescent="0.3">
      <c r="K10681" s="1">
        <v>41091</v>
      </c>
      <c r="M10681" t="e">
        <v>#N/A</v>
      </c>
      <c r="N10681" s="1">
        <v>40634</v>
      </c>
    </row>
    <row r="10682" spans="11:14" x14ac:dyDescent="0.3">
      <c r="K10682" s="1">
        <v>41091</v>
      </c>
      <c r="M10682" t="e">
        <v>#N/A</v>
      </c>
      <c r="N10682" s="1">
        <v>40634</v>
      </c>
    </row>
    <row r="10683" spans="11:14" x14ac:dyDescent="0.3">
      <c r="K10683" s="1">
        <v>41091</v>
      </c>
      <c r="M10683" t="e">
        <v>#N/A</v>
      </c>
      <c r="N10683" s="1">
        <v>40634</v>
      </c>
    </row>
    <row r="10684" spans="11:14" x14ac:dyDescent="0.3">
      <c r="K10684" s="1">
        <v>41091</v>
      </c>
      <c r="M10684" t="e">
        <v>#N/A</v>
      </c>
      <c r="N10684" s="1">
        <v>40634</v>
      </c>
    </row>
    <row r="10685" spans="11:14" x14ac:dyDescent="0.3">
      <c r="K10685" s="1">
        <v>41091</v>
      </c>
      <c r="M10685" t="e">
        <v>#N/A</v>
      </c>
      <c r="N10685" s="1">
        <v>40634</v>
      </c>
    </row>
    <row r="10686" spans="11:14" x14ac:dyDescent="0.3">
      <c r="K10686" s="1">
        <v>41091</v>
      </c>
      <c r="M10686" t="e">
        <v>#N/A</v>
      </c>
      <c r="N10686" s="1">
        <v>40634</v>
      </c>
    </row>
    <row r="10687" spans="11:14" x14ac:dyDescent="0.3">
      <c r="K10687" s="1">
        <v>41091</v>
      </c>
      <c r="M10687" t="e">
        <v>#N/A</v>
      </c>
      <c r="N10687" s="1">
        <v>40634</v>
      </c>
    </row>
    <row r="10688" spans="11:14" x14ac:dyDescent="0.3">
      <c r="K10688" s="1">
        <v>41091</v>
      </c>
      <c r="M10688" t="e">
        <v>#N/A</v>
      </c>
      <c r="N10688" s="1">
        <v>40634</v>
      </c>
    </row>
    <row r="10689" spans="11:14" x14ac:dyDescent="0.3">
      <c r="K10689" s="1">
        <v>41091</v>
      </c>
      <c r="M10689" t="e">
        <v>#N/A</v>
      </c>
      <c r="N10689" s="1">
        <v>40634</v>
      </c>
    </row>
    <row r="10690" spans="11:14" x14ac:dyDescent="0.3">
      <c r="K10690" s="1">
        <v>41091</v>
      </c>
      <c r="M10690" t="e">
        <v>#N/A</v>
      </c>
      <c r="N10690" s="1">
        <v>40634</v>
      </c>
    </row>
    <row r="10691" spans="11:14" x14ac:dyDescent="0.3">
      <c r="K10691" s="1">
        <v>41091</v>
      </c>
      <c r="M10691" t="e">
        <v>#N/A</v>
      </c>
      <c r="N10691" s="1">
        <v>40634</v>
      </c>
    </row>
    <row r="10692" spans="11:14" x14ac:dyDescent="0.3">
      <c r="K10692" s="1">
        <v>41091</v>
      </c>
      <c r="M10692" t="e">
        <v>#N/A</v>
      </c>
      <c r="N10692" s="1">
        <v>40634</v>
      </c>
    </row>
    <row r="10693" spans="11:14" x14ac:dyDescent="0.3">
      <c r="K10693" s="1">
        <v>41091</v>
      </c>
      <c r="M10693" t="e">
        <v>#N/A</v>
      </c>
      <c r="N10693" s="1">
        <v>40634</v>
      </c>
    </row>
    <row r="10694" spans="11:14" x14ac:dyDescent="0.3">
      <c r="K10694" s="1">
        <v>41091</v>
      </c>
      <c r="M10694" t="e">
        <v>#N/A</v>
      </c>
      <c r="N10694" s="1">
        <v>40634</v>
      </c>
    </row>
    <row r="10695" spans="11:14" x14ac:dyDescent="0.3">
      <c r="K10695" s="1">
        <v>41091</v>
      </c>
      <c r="M10695" t="e">
        <v>#N/A</v>
      </c>
      <c r="N10695" s="1">
        <v>40634</v>
      </c>
    </row>
    <row r="10696" spans="11:14" x14ac:dyDescent="0.3">
      <c r="K10696" s="1">
        <v>41091</v>
      </c>
      <c r="M10696" t="e">
        <v>#N/A</v>
      </c>
      <c r="N10696" s="1">
        <v>40634</v>
      </c>
    </row>
    <row r="10697" spans="11:14" x14ac:dyDescent="0.3">
      <c r="K10697" s="1">
        <v>41091</v>
      </c>
      <c r="M10697" t="e">
        <v>#N/A</v>
      </c>
      <c r="N10697" s="1">
        <v>40634</v>
      </c>
    </row>
    <row r="10698" spans="11:14" x14ac:dyDescent="0.3">
      <c r="K10698" s="1">
        <v>41091</v>
      </c>
      <c r="M10698" t="e">
        <v>#N/A</v>
      </c>
      <c r="N10698" s="1">
        <v>40634</v>
      </c>
    </row>
    <row r="10699" spans="11:14" x14ac:dyDescent="0.3">
      <c r="K10699" s="1">
        <v>41091</v>
      </c>
      <c r="M10699" t="e">
        <v>#N/A</v>
      </c>
      <c r="N10699" s="1">
        <v>40634</v>
      </c>
    </row>
    <row r="10700" spans="11:14" x14ac:dyDescent="0.3">
      <c r="K10700" s="1">
        <v>41091</v>
      </c>
      <c r="M10700" t="e">
        <v>#N/A</v>
      </c>
      <c r="N10700" s="1">
        <v>40634</v>
      </c>
    </row>
    <row r="10701" spans="11:14" x14ac:dyDescent="0.3">
      <c r="K10701" s="1">
        <v>41091</v>
      </c>
      <c r="M10701" t="e">
        <v>#N/A</v>
      </c>
      <c r="N10701" s="1">
        <v>40634</v>
      </c>
    </row>
    <row r="10702" spans="11:14" x14ac:dyDescent="0.3">
      <c r="K10702" s="1">
        <v>41091</v>
      </c>
      <c r="M10702" t="e">
        <v>#N/A</v>
      </c>
      <c r="N10702" s="1">
        <v>40634</v>
      </c>
    </row>
    <row r="10703" spans="11:14" x14ac:dyDescent="0.3">
      <c r="K10703" s="1">
        <v>41091</v>
      </c>
      <c r="M10703" t="e">
        <v>#N/A</v>
      </c>
      <c r="N10703" s="1">
        <v>40634</v>
      </c>
    </row>
    <row r="10704" spans="11:14" x14ac:dyDescent="0.3">
      <c r="K10704" s="1">
        <v>41091</v>
      </c>
      <c r="M10704" t="e">
        <v>#N/A</v>
      </c>
      <c r="N10704" s="1">
        <v>40634</v>
      </c>
    </row>
    <row r="10705" spans="11:14" x14ac:dyDescent="0.3">
      <c r="K10705" s="1">
        <v>41091</v>
      </c>
      <c r="M10705" t="e">
        <v>#N/A</v>
      </c>
      <c r="N10705" s="1">
        <v>40634</v>
      </c>
    </row>
    <row r="10706" spans="11:14" x14ac:dyDescent="0.3">
      <c r="K10706" s="1">
        <v>41091</v>
      </c>
      <c r="M10706" t="e">
        <v>#N/A</v>
      </c>
      <c r="N10706" s="1">
        <v>40634</v>
      </c>
    </row>
    <row r="10707" spans="11:14" x14ac:dyDescent="0.3">
      <c r="K10707" s="1">
        <v>41091</v>
      </c>
      <c r="M10707" t="e">
        <v>#N/A</v>
      </c>
      <c r="N10707" s="1">
        <v>40634</v>
      </c>
    </row>
    <row r="10708" spans="11:14" x14ac:dyDescent="0.3">
      <c r="K10708" s="1">
        <v>41091</v>
      </c>
      <c r="M10708" t="e">
        <v>#N/A</v>
      </c>
      <c r="N10708" s="1">
        <v>40634</v>
      </c>
    </row>
    <row r="10709" spans="11:14" x14ac:dyDescent="0.3">
      <c r="K10709" s="1">
        <v>41091</v>
      </c>
      <c r="M10709" t="e">
        <v>#N/A</v>
      </c>
      <c r="N10709" s="1">
        <v>40634</v>
      </c>
    </row>
    <row r="10710" spans="11:14" x14ac:dyDescent="0.3">
      <c r="K10710" s="1">
        <v>41091</v>
      </c>
      <c r="M10710" t="e">
        <v>#N/A</v>
      </c>
      <c r="N10710" s="1">
        <v>40634</v>
      </c>
    </row>
    <row r="10711" spans="11:14" x14ac:dyDescent="0.3">
      <c r="K10711" s="1">
        <v>41091</v>
      </c>
      <c r="M10711" t="e">
        <v>#N/A</v>
      </c>
      <c r="N10711" s="1">
        <v>40634</v>
      </c>
    </row>
    <row r="10712" spans="11:14" x14ac:dyDescent="0.3">
      <c r="K10712" s="1">
        <v>41091</v>
      </c>
      <c r="M10712" t="e">
        <v>#N/A</v>
      </c>
      <c r="N10712" s="1">
        <v>40634</v>
      </c>
    </row>
    <row r="10713" spans="11:14" x14ac:dyDescent="0.3">
      <c r="K10713" s="1">
        <v>41091</v>
      </c>
      <c r="M10713" t="e">
        <v>#N/A</v>
      </c>
      <c r="N10713" s="1">
        <v>40634</v>
      </c>
    </row>
    <row r="10714" spans="11:14" x14ac:dyDescent="0.3">
      <c r="K10714" s="1">
        <v>41091</v>
      </c>
      <c r="M10714" t="e">
        <v>#N/A</v>
      </c>
      <c r="N10714" s="1">
        <v>40634</v>
      </c>
    </row>
    <row r="10715" spans="11:14" x14ac:dyDescent="0.3">
      <c r="K10715" s="1">
        <v>41091</v>
      </c>
      <c r="M10715" t="e">
        <v>#N/A</v>
      </c>
      <c r="N10715" s="1">
        <v>40634</v>
      </c>
    </row>
    <row r="10716" spans="11:14" x14ac:dyDescent="0.3">
      <c r="K10716" s="1">
        <v>41091</v>
      </c>
      <c r="M10716" t="e">
        <v>#N/A</v>
      </c>
      <c r="N10716" s="1">
        <v>40634</v>
      </c>
    </row>
    <row r="10717" spans="11:14" x14ac:dyDescent="0.3">
      <c r="K10717" s="1">
        <v>41091</v>
      </c>
      <c r="M10717" t="e">
        <v>#N/A</v>
      </c>
      <c r="N10717" s="1">
        <v>40634</v>
      </c>
    </row>
    <row r="10718" spans="11:14" x14ac:dyDescent="0.3">
      <c r="K10718" s="1">
        <v>41091</v>
      </c>
      <c r="M10718" t="e">
        <v>#N/A</v>
      </c>
      <c r="N10718" s="1">
        <v>40634</v>
      </c>
    </row>
    <row r="10719" spans="11:14" x14ac:dyDescent="0.3">
      <c r="K10719" s="1">
        <v>41091</v>
      </c>
      <c r="M10719" t="e">
        <v>#N/A</v>
      </c>
      <c r="N10719" s="1">
        <v>40634</v>
      </c>
    </row>
    <row r="10720" spans="11:14" x14ac:dyDescent="0.3">
      <c r="K10720" s="1">
        <v>41091</v>
      </c>
      <c r="M10720" t="e">
        <v>#N/A</v>
      </c>
      <c r="N10720" s="1">
        <v>40634</v>
      </c>
    </row>
    <row r="10721" spans="11:14" x14ac:dyDescent="0.3">
      <c r="K10721" s="1">
        <v>41091</v>
      </c>
      <c r="M10721" t="e">
        <v>#N/A</v>
      </c>
      <c r="N10721" s="1">
        <v>40634</v>
      </c>
    </row>
    <row r="10722" spans="11:14" x14ac:dyDescent="0.3">
      <c r="K10722" s="1">
        <v>41091</v>
      </c>
      <c r="M10722" t="e">
        <v>#N/A</v>
      </c>
      <c r="N10722" s="1">
        <v>40634</v>
      </c>
    </row>
    <row r="10723" spans="11:14" x14ac:dyDescent="0.3">
      <c r="K10723" s="1">
        <v>41091</v>
      </c>
      <c r="M10723" t="e">
        <v>#N/A</v>
      </c>
      <c r="N10723" s="1">
        <v>40634</v>
      </c>
    </row>
    <row r="10724" spans="11:14" x14ac:dyDescent="0.3">
      <c r="K10724" s="1">
        <v>41091</v>
      </c>
      <c r="M10724" t="e">
        <v>#N/A</v>
      </c>
      <c r="N10724" s="1">
        <v>40634</v>
      </c>
    </row>
    <row r="10725" spans="11:14" x14ac:dyDescent="0.3">
      <c r="K10725" s="1">
        <v>41091</v>
      </c>
      <c r="M10725" t="e">
        <v>#N/A</v>
      </c>
      <c r="N10725" s="1">
        <v>40634</v>
      </c>
    </row>
    <row r="10726" spans="11:14" x14ac:dyDescent="0.3">
      <c r="K10726" s="1">
        <v>41091</v>
      </c>
      <c r="M10726" t="e">
        <v>#N/A</v>
      </c>
      <c r="N10726" s="1">
        <v>40634</v>
      </c>
    </row>
    <row r="10727" spans="11:14" x14ac:dyDescent="0.3">
      <c r="K10727" s="1">
        <v>41091</v>
      </c>
      <c r="M10727" t="e">
        <v>#N/A</v>
      </c>
      <c r="N10727" s="1">
        <v>40634</v>
      </c>
    </row>
    <row r="10728" spans="11:14" x14ac:dyDescent="0.3">
      <c r="K10728" s="1">
        <v>41091</v>
      </c>
      <c r="M10728" t="e">
        <v>#N/A</v>
      </c>
      <c r="N10728" s="1">
        <v>40634</v>
      </c>
    </row>
    <row r="10729" spans="11:14" x14ac:dyDescent="0.3">
      <c r="K10729" s="1">
        <v>41091</v>
      </c>
      <c r="M10729" t="e">
        <v>#N/A</v>
      </c>
      <c r="N10729" s="1">
        <v>40634</v>
      </c>
    </row>
    <row r="10730" spans="11:14" x14ac:dyDescent="0.3">
      <c r="K10730" s="1">
        <v>41091</v>
      </c>
      <c r="M10730" t="e">
        <v>#N/A</v>
      </c>
      <c r="N10730" s="1">
        <v>40634</v>
      </c>
    </row>
    <row r="10731" spans="11:14" x14ac:dyDescent="0.3">
      <c r="K10731" s="1">
        <v>41091</v>
      </c>
      <c r="M10731" t="e">
        <v>#N/A</v>
      </c>
      <c r="N10731" s="1">
        <v>40634</v>
      </c>
    </row>
    <row r="10732" spans="11:14" x14ac:dyDescent="0.3">
      <c r="K10732" s="1">
        <v>41091</v>
      </c>
      <c r="M10732" t="e">
        <v>#N/A</v>
      </c>
      <c r="N10732" s="1">
        <v>40634</v>
      </c>
    </row>
    <row r="10733" spans="11:14" x14ac:dyDescent="0.3">
      <c r="K10733" s="1">
        <v>41091</v>
      </c>
      <c r="M10733" t="e">
        <v>#N/A</v>
      </c>
      <c r="N10733" s="1">
        <v>40634</v>
      </c>
    </row>
    <row r="10734" spans="11:14" x14ac:dyDescent="0.3">
      <c r="K10734" s="1">
        <v>41091</v>
      </c>
      <c r="M10734" t="e">
        <v>#N/A</v>
      </c>
      <c r="N10734" s="1">
        <v>40634</v>
      </c>
    </row>
    <row r="10735" spans="11:14" x14ac:dyDescent="0.3">
      <c r="K10735" s="1">
        <v>41091</v>
      </c>
      <c r="M10735" t="e">
        <v>#N/A</v>
      </c>
      <c r="N10735" s="1">
        <v>40634</v>
      </c>
    </row>
    <row r="10736" spans="11:14" x14ac:dyDescent="0.3">
      <c r="K10736" s="1">
        <v>41091</v>
      </c>
      <c r="M10736" t="e">
        <v>#N/A</v>
      </c>
      <c r="N10736" s="1">
        <v>40634</v>
      </c>
    </row>
    <row r="10737" spans="11:14" x14ac:dyDescent="0.3">
      <c r="K10737" s="1">
        <v>41091</v>
      </c>
      <c r="M10737" t="e">
        <v>#N/A</v>
      </c>
      <c r="N10737" s="1">
        <v>40634</v>
      </c>
    </row>
    <row r="10738" spans="11:14" x14ac:dyDescent="0.3">
      <c r="K10738" s="1">
        <v>41091</v>
      </c>
      <c r="M10738" t="e">
        <v>#N/A</v>
      </c>
      <c r="N10738" s="1">
        <v>40634</v>
      </c>
    </row>
    <row r="10739" spans="11:14" x14ac:dyDescent="0.3">
      <c r="K10739" s="1">
        <v>41091</v>
      </c>
      <c r="M10739" t="e">
        <v>#N/A</v>
      </c>
      <c r="N10739" s="1">
        <v>40634</v>
      </c>
    </row>
    <row r="10740" spans="11:14" x14ac:dyDescent="0.3">
      <c r="K10740" s="1">
        <v>41091</v>
      </c>
      <c r="M10740" t="e">
        <v>#N/A</v>
      </c>
      <c r="N10740" s="1">
        <v>40634</v>
      </c>
    </row>
    <row r="10741" spans="11:14" x14ac:dyDescent="0.3">
      <c r="K10741" s="1">
        <v>41091</v>
      </c>
      <c r="M10741" t="e">
        <v>#N/A</v>
      </c>
      <c r="N10741" s="1">
        <v>40634</v>
      </c>
    </row>
    <row r="10742" spans="11:14" x14ac:dyDescent="0.3">
      <c r="K10742" s="1">
        <v>41091</v>
      </c>
      <c r="M10742" t="e">
        <v>#N/A</v>
      </c>
      <c r="N10742" s="1">
        <v>40634</v>
      </c>
    </row>
    <row r="10743" spans="11:14" x14ac:dyDescent="0.3">
      <c r="K10743" s="1">
        <v>41091</v>
      </c>
      <c r="M10743" t="e">
        <v>#N/A</v>
      </c>
      <c r="N10743" s="1">
        <v>40634</v>
      </c>
    </row>
    <row r="10744" spans="11:14" x14ac:dyDescent="0.3">
      <c r="K10744" s="1">
        <v>41091</v>
      </c>
      <c r="M10744" t="e">
        <v>#N/A</v>
      </c>
      <c r="N10744" s="1">
        <v>40634</v>
      </c>
    </row>
    <row r="10745" spans="11:14" x14ac:dyDescent="0.3">
      <c r="K10745" s="1">
        <v>41091</v>
      </c>
      <c r="M10745" t="e">
        <v>#N/A</v>
      </c>
      <c r="N10745" s="1">
        <v>40634</v>
      </c>
    </row>
    <row r="10746" spans="11:14" x14ac:dyDescent="0.3">
      <c r="K10746" s="1">
        <v>41091</v>
      </c>
      <c r="M10746" t="e">
        <v>#N/A</v>
      </c>
      <c r="N10746" s="1">
        <v>40634</v>
      </c>
    </row>
    <row r="10747" spans="11:14" x14ac:dyDescent="0.3">
      <c r="K10747" s="1">
        <v>41091</v>
      </c>
      <c r="M10747" t="e">
        <v>#N/A</v>
      </c>
      <c r="N10747" s="1">
        <v>40634</v>
      </c>
    </row>
    <row r="10748" spans="11:14" x14ac:dyDescent="0.3">
      <c r="K10748" s="1">
        <v>41091</v>
      </c>
      <c r="M10748" t="e">
        <v>#N/A</v>
      </c>
      <c r="N10748" s="1">
        <v>40634</v>
      </c>
    </row>
    <row r="10749" spans="11:14" x14ac:dyDescent="0.3">
      <c r="K10749" s="1">
        <v>41091</v>
      </c>
      <c r="M10749" t="e">
        <v>#N/A</v>
      </c>
      <c r="N10749" s="1">
        <v>40634</v>
      </c>
    </row>
    <row r="10750" spans="11:14" x14ac:dyDescent="0.3">
      <c r="K10750" s="1">
        <v>41091</v>
      </c>
      <c r="M10750" t="e">
        <v>#N/A</v>
      </c>
      <c r="N10750" s="1">
        <v>40634</v>
      </c>
    </row>
    <row r="10751" spans="11:14" x14ac:dyDescent="0.3">
      <c r="K10751" s="1">
        <v>41091</v>
      </c>
      <c r="M10751" t="e">
        <v>#N/A</v>
      </c>
      <c r="N10751" s="1">
        <v>40634</v>
      </c>
    </row>
    <row r="10752" spans="11:14" x14ac:dyDescent="0.3">
      <c r="K10752" s="1">
        <v>41091</v>
      </c>
      <c r="M10752" t="e">
        <v>#N/A</v>
      </c>
      <c r="N10752" s="1">
        <v>40634</v>
      </c>
    </row>
    <row r="10753" spans="11:14" x14ac:dyDescent="0.3">
      <c r="K10753" s="1">
        <v>41091</v>
      </c>
      <c r="M10753" t="e">
        <v>#N/A</v>
      </c>
      <c r="N10753" s="1">
        <v>40634</v>
      </c>
    </row>
    <row r="10754" spans="11:14" x14ac:dyDescent="0.3">
      <c r="K10754" s="1">
        <v>41091</v>
      </c>
      <c r="M10754" t="e">
        <v>#N/A</v>
      </c>
      <c r="N10754" s="1">
        <v>40634</v>
      </c>
    </row>
    <row r="10755" spans="11:14" x14ac:dyDescent="0.3">
      <c r="K10755" s="1">
        <v>41091</v>
      </c>
      <c r="M10755" t="e">
        <v>#N/A</v>
      </c>
      <c r="N10755" s="1">
        <v>40634</v>
      </c>
    </row>
    <row r="10756" spans="11:14" x14ac:dyDescent="0.3">
      <c r="K10756" s="1">
        <v>41091</v>
      </c>
      <c r="M10756" t="e">
        <v>#N/A</v>
      </c>
      <c r="N10756" s="1">
        <v>40634</v>
      </c>
    </row>
    <row r="10757" spans="11:14" x14ac:dyDescent="0.3">
      <c r="K10757" s="1">
        <v>41091</v>
      </c>
      <c r="M10757" t="e">
        <v>#N/A</v>
      </c>
      <c r="N10757" s="1">
        <v>40634</v>
      </c>
    </row>
    <row r="10758" spans="11:14" x14ac:dyDescent="0.3">
      <c r="K10758" s="1">
        <v>41091</v>
      </c>
      <c r="M10758" t="e">
        <v>#N/A</v>
      </c>
      <c r="N10758" s="1">
        <v>40634</v>
      </c>
    </row>
    <row r="10759" spans="11:14" x14ac:dyDescent="0.3">
      <c r="K10759" s="1">
        <v>41091</v>
      </c>
      <c r="M10759" t="e">
        <v>#N/A</v>
      </c>
      <c r="N10759" s="1">
        <v>40634</v>
      </c>
    </row>
    <row r="10760" spans="11:14" x14ac:dyDescent="0.3">
      <c r="K10760" s="1">
        <v>41091</v>
      </c>
      <c r="M10760" t="e">
        <v>#N/A</v>
      </c>
      <c r="N10760" s="1">
        <v>40634</v>
      </c>
    </row>
    <row r="10761" spans="11:14" x14ac:dyDescent="0.3">
      <c r="K10761" s="1">
        <v>41091</v>
      </c>
      <c r="M10761" t="e">
        <v>#N/A</v>
      </c>
      <c r="N10761" s="1">
        <v>40634</v>
      </c>
    </row>
    <row r="10762" spans="11:14" x14ac:dyDescent="0.3">
      <c r="K10762" s="1">
        <v>41091</v>
      </c>
      <c r="M10762" t="e">
        <v>#N/A</v>
      </c>
      <c r="N10762" s="1">
        <v>40634</v>
      </c>
    </row>
    <row r="10763" spans="11:14" x14ac:dyDescent="0.3">
      <c r="K10763" s="1">
        <v>41091</v>
      </c>
      <c r="M10763" t="e">
        <v>#N/A</v>
      </c>
      <c r="N10763" s="1">
        <v>40634</v>
      </c>
    </row>
    <row r="10764" spans="11:14" x14ac:dyDescent="0.3">
      <c r="K10764" s="1">
        <v>41091</v>
      </c>
      <c r="M10764" t="e">
        <v>#N/A</v>
      </c>
      <c r="N10764" s="1">
        <v>40634</v>
      </c>
    </row>
    <row r="10765" spans="11:14" x14ac:dyDescent="0.3">
      <c r="K10765" s="1">
        <v>41091</v>
      </c>
      <c r="M10765" t="e">
        <v>#N/A</v>
      </c>
      <c r="N10765" s="1">
        <v>40634</v>
      </c>
    </row>
    <row r="10766" spans="11:14" x14ac:dyDescent="0.3">
      <c r="K10766" s="1">
        <v>41091</v>
      </c>
      <c r="M10766" t="e">
        <v>#N/A</v>
      </c>
      <c r="N10766" s="1">
        <v>40634</v>
      </c>
    </row>
    <row r="10767" spans="11:14" x14ac:dyDescent="0.3">
      <c r="K10767" s="1">
        <v>41091</v>
      </c>
      <c r="M10767" t="e">
        <v>#N/A</v>
      </c>
      <c r="N10767" s="1">
        <v>40634</v>
      </c>
    </row>
    <row r="10768" spans="11:14" x14ac:dyDescent="0.3">
      <c r="K10768" s="1">
        <v>41091</v>
      </c>
      <c r="M10768" t="e">
        <v>#N/A</v>
      </c>
      <c r="N10768" s="1">
        <v>40634</v>
      </c>
    </row>
    <row r="10769" spans="11:14" x14ac:dyDescent="0.3">
      <c r="K10769" s="1">
        <v>41091</v>
      </c>
      <c r="M10769" t="e">
        <v>#N/A</v>
      </c>
      <c r="N10769" s="1">
        <v>40634</v>
      </c>
    </row>
    <row r="10770" spans="11:14" x14ac:dyDescent="0.3">
      <c r="K10770" s="1">
        <v>41091</v>
      </c>
      <c r="M10770" t="e">
        <v>#N/A</v>
      </c>
      <c r="N10770" s="1">
        <v>40634</v>
      </c>
    </row>
    <row r="10771" spans="11:14" x14ac:dyDescent="0.3">
      <c r="K10771" s="1">
        <v>41091</v>
      </c>
      <c r="M10771" t="e">
        <v>#N/A</v>
      </c>
      <c r="N10771" s="1">
        <v>40634</v>
      </c>
    </row>
    <row r="10772" spans="11:14" x14ac:dyDescent="0.3">
      <c r="K10772" s="1">
        <v>41091</v>
      </c>
      <c r="M10772" t="e">
        <v>#N/A</v>
      </c>
      <c r="N10772" s="1">
        <v>40634</v>
      </c>
    </row>
    <row r="10773" spans="11:14" x14ac:dyDescent="0.3">
      <c r="K10773" s="1">
        <v>41091</v>
      </c>
      <c r="M10773" t="e">
        <v>#N/A</v>
      </c>
      <c r="N10773" s="1">
        <v>40634</v>
      </c>
    </row>
    <row r="10774" spans="11:14" x14ac:dyDescent="0.3">
      <c r="K10774" s="1">
        <v>41091</v>
      </c>
      <c r="M10774" t="e">
        <v>#N/A</v>
      </c>
      <c r="N10774" s="1">
        <v>40634</v>
      </c>
    </row>
    <row r="10775" spans="11:14" x14ac:dyDescent="0.3">
      <c r="K10775" s="1">
        <v>41091</v>
      </c>
      <c r="M10775" t="e">
        <v>#N/A</v>
      </c>
      <c r="N10775" s="1">
        <v>40634</v>
      </c>
    </row>
    <row r="10776" spans="11:14" x14ac:dyDescent="0.3">
      <c r="K10776" s="1">
        <v>41091</v>
      </c>
      <c r="M10776" t="e">
        <v>#N/A</v>
      </c>
      <c r="N10776" s="1">
        <v>40634</v>
      </c>
    </row>
    <row r="10777" spans="11:14" x14ac:dyDescent="0.3">
      <c r="K10777" s="1">
        <v>41091</v>
      </c>
      <c r="M10777" t="e">
        <v>#N/A</v>
      </c>
      <c r="N10777" s="1">
        <v>40634</v>
      </c>
    </row>
    <row r="10778" spans="11:14" x14ac:dyDescent="0.3">
      <c r="K10778" s="1">
        <v>41091</v>
      </c>
      <c r="M10778" t="e">
        <v>#N/A</v>
      </c>
      <c r="N10778" s="1">
        <v>40634</v>
      </c>
    </row>
    <row r="10779" spans="11:14" x14ac:dyDescent="0.3">
      <c r="K10779" s="1">
        <v>41091</v>
      </c>
      <c r="M10779" t="e">
        <v>#N/A</v>
      </c>
      <c r="N10779" s="1">
        <v>40634</v>
      </c>
    </row>
    <row r="10780" spans="11:14" x14ac:dyDescent="0.3">
      <c r="K10780" s="1">
        <v>41091</v>
      </c>
      <c r="M10780" t="e">
        <v>#N/A</v>
      </c>
      <c r="N10780" s="1">
        <v>40634</v>
      </c>
    </row>
    <row r="10781" spans="11:14" x14ac:dyDescent="0.3">
      <c r="K10781" s="1">
        <v>41091</v>
      </c>
      <c r="M10781" t="e">
        <v>#N/A</v>
      </c>
      <c r="N10781" s="1">
        <v>40634</v>
      </c>
    </row>
    <row r="10782" spans="11:14" x14ac:dyDescent="0.3">
      <c r="K10782" s="1">
        <v>41091</v>
      </c>
      <c r="M10782" t="e">
        <v>#N/A</v>
      </c>
      <c r="N10782" s="1">
        <v>40634</v>
      </c>
    </row>
    <row r="10783" spans="11:14" x14ac:dyDescent="0.3">
      <c r="K10783" s="1">
        <v>41091</v>
      </c>
      <c r="M10783" t="e">
        <v>#N/A</v>
      </c>
      <c r="N10783" s="1">
        <v>40634</v>
      </c>
    </row>
    <row r="10784" spans="11:14" x14ac:dyDescent="0.3">
      <c r="K10784" s="1">
        <v>41091</v>
      </c>
      <c r="M10784" t="e">
        <v>#N/A</v>
      </c>
      <c r="N10784" s="1">
        <v>40634</v>
      </c>
    </row>
    <row r="10785" spans="11:14" x14ac:dyDescent="0.3">
      <c r="K10785" s="1">
        <v>41091</v>
      </c>
      <c r="M10785" t="e">
        <v>#N/A</v>
      </c>
      <c r="N10785" s="1">
        <v>40634</v>
      </c>
    </row>
    <row r="10786" spans="11:14" x14ac:dyDescent="0.3">
      <c r="K10786" s="1">
        <v>41091</v>
      </c>
      <c r="M10786" t="e">
        <v>#N/A</v>
      </c>
      <c r="N10786" s="1">
        <v>40634</v>
      </c>
    </row>
    <row r="10787" spans="11:14" x14ac:dyDescent="0.3">
      <c r="K10787" s="1">
        <v>41091</v>
      </c>
      <c r="M10787" t="e">
        <v>#N/A</v>
      </c>
      <c r="N10787" s="1">
        <v>40725</v>
      </c>
    </row>
    <row r="10788" spans="11:14" x14ac:dyDescent="0.3">
      <c r="K10788" s="1">
        <v>41091</v>
      </c>
      <c r="M10788" t="e">
        <v>#N/A</v>
      </c>
      <c r="N10788" s="1">
        <v>40725</v>
      </c>
    </row>
    <row r="10789" spans="11:14" x14ac:dyDescent="0.3">
      <c r="K10789" s="1">
        <v>41091</v>
      </c>
      <c r="M10789" t="e">
        <v>#N/A</v>
      </c>
      <c r="N10789" s="1">
        <v>40725</v>
      </c>
    </row>
    <row r="10790" spans="11:14" x14ac:dyDescent="0.3">
      <c r="K10790" s="1">
        <v>41091</v>
      </c>
      <c r="M10790" t="e">
        <v>#N/A</v>
      </c>
      <c r="N10790" s="1">
        <v>40725</v>
      </c>
    </row>
    <row r="10791" spans="11:14" x14ac:dyDescent="0.3">
      <c r="K10791" s="1">
        <v>41091</v>
      </c>
      <c r="M10791" t="e">
        <v>#N/A</v>
      </c>
      <c r="N10791" s="1">
        <v>40725</v>
      </c>
    </row>
    <row r="10792" spans="11:14" x14ac:dyDescent="0.3">
      <c r="K10792" s="1">
        <v>41091</v>
      </c>
      <c r="M10792" t="e">
        <v>#N/A</v>
      </c>
      <c r="N10792" s="1">
        <v>40725</v>
      </c>
    </row>
    <row r="10793" spans="11:14" x14ac:dyDescent="0.3">
      <c r="K10793" s="1">
        <v>41091</v>
      </c>
      <c r="M10793" t="e">
        <v>#N/A</v>
      </c>
      <c r="N10793" s="1">
        <v>40725</v>
      </c>
    </row>
    <row r="10794" spans="11:14" x14ac:dyDescent="0.3">
      <c r="K10794" s="1">
        <v>41091</v>
      </c>
      <c r="M10794" t="e">
        <v>#N/A</v>
      </c>
      <c r="N10794" s="1">
        <v>40725</v>
      </c>
    </row>
    <row r="10795" spans="11:14" x14ac:dyDescent="0.3">
      <c r="K10795" s="1">
        <v>41091</v>
      </c>
      <c r="M10795" t="e">
        <v>#N/A</v>
      </c>
      <c r="N10795" s="1">
        <v>40725</v>
      </c>
    </row>
    <row r="10796" spans="11:14" x14ac:dyDescent="0.3">
      <c r="K10796" s="1">
        <v>41091</v>
      </c>
      <c r="M10796" t="e">
        <v>#N/A</v>
      </c>
      <c r="N10796" s="1">
        <v>40725</v>
      </c>
    </row>
    <row r="10797" spans="11:14" x14ac:dyDescent="0.3">
      <c r="K10797" s="1">
        <v>41091</v>
      </c>
      <c r="M10797" t="e">
        <v>#N/A</v>
      </c>
      <c r="N10797" s="1">
        <v>40725</v>
      </c>
    </row>
    <row r="10798" spans="11:14" x14ac:dyDescent="0.3">
      <c r="K10798" s="1">
        <v>41091</v>
      </c>
      <c r="M10798" t="e">
        <v>#N/A</v>
      </c>
      <c r="N10798" s="1">
        <v>40725</v>
      </c>
    </row>
    <row r="10799" spans="11:14" x14ac:dyDescent="0.3">
      <c r="K10799" s="1">
        <v>41091</v>
      </c>
      <c r="M10799" t="e">
        <v>#N/A</v>
      </c>
      <c r="N10799" s="1">
        <v>40725</v>
      </c>
    </row>
    <row r="10800" spans="11:14" x14ac:dyDescent="0.3">
      <c r="K10800" s="1">
        <v>41091</v>
      </c>
      <c r="M10800" t="e">
        <v>#N/A</v>
      </c>
      <c r="N10800" s="1">
        <v>40725</v>
      </c>
    </row>
    <row r="10801" spans="11:14" x14ac:dyDescent="0.3">
      <c r="K10801" s="1">
        <v>41091</v>
      </c>
      <c r="M10801" t="e">
        <v>#N/A</v>
      </c>
      <c r="N10801" s="1">
        <v>40725</v>
      </c>
    </row>
    <row r="10802" spans="11:14" x14ac:dyDescent="0.3">
      <c r="K10802" s="1">
        <v>41091</v>
      </c>
      <c r="M10802" t="e">
        <v>#N/A</v>
      </c>
      <c r="N10802" s="1">
        <v>40725</v>
      </c>
    </row>
    <row r="10803" spans="11:14" x14ac:dyDescent="0.3">
      <c r="K10803" s="1">
        <v>41091</v>
      </c>
      <c r="M10803" t="e">
        <v>#N/A</v>
      </c>
      <c r="N10803" s="1">
        <v>40725</v>
      </c>
    </row>
    <row r="10804" spans="11:14" x14ac:dyDescent="0.3">
      <c r="K10804" s="1">
        <v>41091</v>
      </c>
      <c r="M10804" t="e">
        <v>#N/A</v>
      </c>
      <c r="N10804" s="1">
        <v>40725</v>
      </c>
    </row>
    <row r="10805" spans="11:14" x14ac:dyDescent="0.3">
      <c r="K10805" s="1">
        <v>41091</v>
      </c>
      <c r="M10805" t="e">
        <v>#N/A</v>
      </c>
      <c r="N10805" s="1">
        <v>40725</v>
      </c>
    </row>
    <row r="10806" spans="11:14" x14ac:dyDescent="0.3">
      <c r="K10806" s="1">
        <v>41091</v>
      </c>
      <c r="M10806" t="e">
        <v>#N/A</v>
      </c>
      <c r="N10806" s="1">
        <v>40725</v>
      </c>
    </row>
    <row r="10807" spans="11:14" x14ac:dyDescent="0.3">
      <c r="K10807" s="1">
        <v>41091</v>
      </c>
      <c r="M10807" t="e">
        <v>#N/A</v>
      </c>
      <c r="N10807" s="1">
        <v>40725</v>
      </c>
    </row>
    <row r="10808" spans="11:14" x14ac:dyDescent="0.3">
      <c r="K10808" s="1">
        <v>41091</v>
      </c>
      <c r="M10808" t="e">
        <v>#N/A</v>
      </c>
      <c r="N10808" s="1">
        <v>40725</v>
      </c>
    </row>
    <row r="10809" spans="11:14" x14ac:dyDescent="0.3">
      <c r="K10809" s="1">
        <v>41091</v>
      </c>
      <c r="M10809" t="e">
        <v>#N/A</v>
      </c>
      <c r="N10809" s="1">
        <v>40725</v>
      </c>
    </row>
    <row r="10810" spans="11:14" x14ac:dyDescent="0.3">
      <c r="K10810" s="1">
        <v>41091</v>
      </c>
      <c r="M10810" t="e">
        <v>#N/A</v>
      </c>
      <c r="N10810" s="1">
        <v>40725</v>
      </c>
    </row>
    <row r="10811" spans="11:14" x14ac:dyDescent="0.3">
      <c r="K10811" s="1">
        <v>41091</v>
      </c>
      <c r="M10811" t="e">
        <v>#N/A</v>
      </c>
      <c r="N10811" s="1">
        <v>40725</v>
      </c>
    </row>
    <row r="10812" spans="11:14" x14ac:dyDescent="0.3">
      <c r="K10812" s="1">
        <v>41091</v>
      </c>
      <c r="M10812" t="e">
        <v>#N/A</v>
      </c>
      <c r="N10812" s="1">
        <v>40725</v>
      </c>
    </row>
    <row r="10813" spans="11:14" x14ac:dyDescent="0.3">
      <c r="K10813" s="1">
        <v>41091</v>
      </c>
      <c r="M10813" t="e">
        <v>#N/A</v>
      </c>
      <c r="N10813" s="1">
        <v>40725</v>
      </c>
    </row>
    <row r="10814" spans="11:14" x14ac:dyDescent="0.3">
      <c r="K10814" s="1">
        <v>41091</v>
      </c>
      <c r="M10814" t="e">
        <v>#N/A</v>
      </c>
      <c r="N10814" s="1">
        <v>40725</v>
      </c>
    </row>
    <row r="10815" spans="11:14" x14ac:dyDescent="0.3">
      <c r="K10815" s="1">
        <v>41091</v>
      </c>
      <c r="M10815" t="e">
        <v>#N/A</v>
      </c>
      <c r="N10815" s="1">
        <v>40725</v>
      </c>
    </row>
    <row r="10816" spans="11:14" x14ac:dyDescent="0.3">
      <c r="K10816" s="1">
        <v>41091</v>
      </c>
      <c r="M10816" t="e">
        <v>#N/A</v>
      </c>
      <c r="N10816" s="1">
        <v>40725</v>
      </c>
    </row>
    <row r="10817" spans="11:14" x14ac:dyDescent="0.3">
      <c r="K10817" s="1">
        <v>41091</v>
      </c>
      <c r="M10817" t="e">
        <v>#N/A</v>
      </c>
      <c r="N10817" s="1">
        <v>40725</v>
      </c>
    </row>
    <row r="10818" spans="11:14" x14ac:dyDescent="0.3">
      <c r="K10818" s="1">
        <v>41091</v>
      </c>
      <c r="M10818" t="e">
        <v>#N/A</v>
      </c>
      <c r="N10818" s="1">
        <v>40725</v>
      </c>
    </row>
    <row r="10819" spans="11:14" x14ac:dyDescent="0.3">
      <c r="K10819" s="1">
        <v>41091</v>
      </c>
      <c r="M10819" t="e">
        <v>#N/A</v>
      </c>
      <c r="N10819" s="1">
        <v>40725</v>
      </c>
    </row>
    <row r="10820" spans="11:14" x14ac:dyDescent="0.3">
      <c r="K10820" s="1">
        <v>41091</v>
      </c>
      <c r="M10820" t="e">
        <v>#N/A</v>
      </c>
      <c r="N10820" s="1">
        <v>40725</v>
      </c>
    </row>
    <row r="10821" spans="11:14" x14ac:dyDescent="0.3">
      <c r="K10821" s="1">
        <v>41091</v>
      </c>
      <c r="M10821" t="e">
        <v>#N/A</v>
      </c>
      <c r="N10821" s="1">
        <v>40725</v>
      </c>
    </row>
    <row r="10822" spans="11:14" x14ac:dyDescent="0.3">
      <c r="K10822" s="1">
        <v>41091</v>
      </c>
      <c r="M10822" t="e">
        <v>#N/A</v>
      </c>
      <c r="N10822" s="1">
        <v>40725</v>
      </c>
    </row>
    <row r="10823" spans="11:14" x14ac:dyDescent="0.3">
      <c r="K10823" s="1">
        <v>41091</v>
      </c>
      <c r="M10823" t="e">
        <v>#N/A</v>
      </c>
      <c r="N10823" s="1">
        <v>40725</v>
      </c>
    </row>
    <row r="10824" spans="11:14" x14ac:dyDescent="0.3">
      <c r="K10824" s="1">
        <v>41091</v>
      </c>
      <c r="M10824" t="e">
        <v>#N/A</v>
      </c>
      <c r="N10824" s="1">
        <v>40725</v>
      </c>
    </row>
    <row r="10825" spans="11:14" x14ac:dyDescent="0.3">
      <c r="K10825" s="1">
        <v>41091</v>
      </c>
      <c r="M10825" t="e">
        <v>#N/A</v>
      </c>
      <c r="N10825" s="1">
        <v>40725</v>
      </c>
    </row>
    <row r="10826" spans="11:14" x14ac:dyDescent="0.3">
      <c r="K10826" s="1">
        <v>41091</v>
      </c>
      <c r="M10826" t="e">
        <v>#N/A</v>
      </c>
      <c r="N10826" s="1">
        <v>40725</v>
      </c>
    </row>
    <row r="10827" spans="11:14" x14ac:dyDescent="0.3">
      <c r="K10827" s="1">
        <v>41091</v>
      </c>
      <c r="M10827" t="e">
        <v>#N/A</v>
      </c>
      <c r="N10827" s="1">
        <v>40725</v>
      </c>
    </row>
    <row r="10828" spans="11:14" x14ac:dyDescent="0.3">
      <c r="K10828" s="1">
        <v>41091</v>
      </c>
      <c r="M10828" t="e">
        <v>#N/A</v>
      </c>
      <c r="N10828" s="1">
        <v>40725</v>
      </c>
    </row>
    <row r="10829" spans="11:14" x14ac:dyDescent="0.3">
      <c r="K10829" s="1">
        <v>41091</v>
      </c>
      <c r="M10829" t="e">
        <v>#N/A</v>
      </c>
      <c r="N10829" s="1">
        <v>40725</v>
      </c>
    </row>
    <row r="10830" spans="11:14" x14ac:dyDescent="0.3">
      <c r="K10830" s="1">
        <v>41091</v>
      </c>
      <c r="M10830" t="e">
        <v>#N/A</v>
      </c>
      <c r="N10830" s="1">
        <v>40725</v>
      </c>
    </row>
    <row r="10831" spans="11:14" x14ac:dyDescent="0.3">
      <c r="K10831" s="1">
        <v>41091</v>
      </c>
      <c r="M10831" t="e">
        <v>#N/A</v>
      </c>
      <c r="N10831" s="1">
        <v>40725</v>
      </c>
    </row>
    <row r="10832" spans="11:14" x14ac:dyDescent="0.3">
      <c r="K10832" s="1">
        <v>41091</v>
      </c>
      <c r="M10832" t="e">
        <v>#N/A</v>
      </c>
      <c r="N10832" s="1">
        <v>40725</v>
      </c>
    </row>
    <row r="10833" spans="11:14" x14ac:dyDescent="0.3">
      <c r="K10833" s="1">
        <v>41091</v>
      </c>
      <c r="M10833" t="e">
        <v>#N/A</v>
      </c>
      <c r="N10833" s="1">
        <v>40725</v>
      </c>
    </row>
    <row r="10834" spans="11:14" x14ac:dyDescent="0.3">
      <c r="K10834" s="1">
        <v>41091</v>
      </c>
      <c r="M10834" t="e">
        <v>#N/A</v>
      </c>
      <c r="N10834" s="1">
        <v>40725</v>
      </c>
    </row>
    <row r="10835" spans="11:14" x14ac:dyDescent="0.3">
      <c r="K10835" s="1">
        <v>41091</v>
      </c>
      <c r="M10835" t="e">
        <v>#N/A</v>
      </c>
      <c r="N10835" s="1">
        <v>40725</v>
      </c>
    </row>
    <row r="10836" spans="11:14" x14ac:dyDescent="0.3">
      <c r="K10836" s="1">
        <v>41091</v>
      </c>
      <c r="M10836" t="e">
        <v>#N/A</v>
      </c>
      <c r="N10836" s="1">
        <v>40725</v>
      </c>
    </row>
    <row r="10837" spans="11:14" x14ac:dyDescent="0.3">
      <c r="K10837" s="1">
        <v>41091</v>
      </c>
      <c r="M10837" t="e">
        <v>#N/A</v>
      </c>
      <c r="N10837" s="1">
        <v>40725</v>
      </c>
    </row>
    <row r="10838" spans="11:14" x14ac:dyDescent="0.3">
      <c r="K10838" s="1">
        <v>41091</v>
      </c>
      <c r="M10838" t="e">
        <v>#N/A</v>
      </c>
      <c r="N10838" s="1">
        <v>40725</v>
      </c>
    </row>
    <row r="10839" spans="11:14" x14ac:dyDescent="0.3">
      <c r="K10839" s="1">
        <v>41091</v>
      </c>
      <c r="M10839" t="e">
        <v>#N/A</v>
      </c>
      <c r="N10839" s="1">
        <v>40725</v>
      </c>
    </row>
    <row r="10840" spans="11:14" x14ac:dyDescent="0.3">
      <c r="K10840" s="1">
        <v>41091</v>
      </c>
      <c r="M10840" t="e">
        <v>#N/A</v>
      </c>
      <c r="N10840" s="1">
        <v>40725</v>
      </c>
    </row>
    <row r="10841" spans="11:14" x14ac:dyDescent="0.3">
      <c r="K10841" s="1">
        <v>41091</v>
      </c>
      <c r="M10841" t="e">
        <v>#N/A</v>
      </c>
      <c r="N10841" s="1">
        <v>40725</v>
      </c>
    </row>
    <row r="10842" spans="11:14" x14ac:dyDescent="0.3">
      <c r="K10842" s="1">
        <v>41091</v>
      </c>
      <c r="M10842" t="e">
        <v>#N/A</v>
      </c>
      <c r="N10842" s="1">
        <v>40725</v>
      </c>
    </row>
    <row r="10843" spans="11:14" x14ac:dyDescent="0.3">
      <c r="K10843" s="1">
        <v>41091</v>
      </c>
      <c r="M10843" t="e">
        <v>#N/A</v>
      </c>
      <c r="N10843" s="1">
        <v>40725</v>
      </c>
    </row>
    <row r="10844" spans="11:14" x14ac:dyDescent="0.3">
      <c r="K10844" s="1">
        <v>41091</v>
      </c>
      <c r="M10844" t="e">
        <v>#N/A</v>
      </c>
      <c r="N10844" s="1">
        <v>40725</v>
      </c>
    </row>
    <row r="10845" spans="11:14" x14ac:dyDescent="0.3">
      <c r="K10845" s="1">
        <v>41091</v>
      </c>
      <c r="M10845" t="e">
        <v>#N/A</v>
      </c>
      <c r="N10845" s="1">
        <v>40725</v>
      </c>
    </row>
    <row r="10846" spans="11:14" x14ac:dyDescent="0.3">
      <c r="K10846" s="1">
        <v>41091</v>
      </c>
      <c r="M10846" t="e">
        <v>#N/A</v>
      </c>
      <c r="N10846" s="1">
        <v>40725</v>
      </c>
    </row>
    <row r="10847" spans="11:14" x14ac:dyDescent="0.3">
      <c r="K10847" s="1">
        <v>41091</v>
      </c>
      <c r="M10847" t="e">
        <v>#N/A</v>
      </c>
      <c r="N10847" s="1">
        <v>40725</v>
      </c>
    </row>
    <row r="10848" spans="11:14" x14ac:dyDescent="0.3">
      <c r="K10848" s="1">
        <v>41091</v>
      </c>
      <c r="M10848" t="e">
        <v>#N/A</v>
      </c>
      <c r="N10848" s="1">
        <v>40725</v>
      </c>
    </row>
    <row r="10849" spans="11:14" x14ac:dyDescent="0.3">
      <c r="K10849" s="1">
        <v>41091</v>
      </c>
      <c r="M10849" t="e">
        <v>#N/A</v>
      </c>
      <c r="N10849" s="1">
        <v>40725</v>
      </c>
    </row>
    <row r="10850" spans="11:14" x14ac:dyDescent="0.3">
      <c r="K10850" s="1">
        <v>41091</v>
      </c>
      <c r="M10850" t="e">
        <v>#N/A</v>
      </c>
      <c r="N10850" s="1">
        <v>40725</v>
      </c>
    </row>
    <row r="10851" spans="11:14" x14ac:dyDescent="0.3">
      <c r="K10851" s="1">
        <v>41091</v>
      </c>
      <c r="M10851" t="e">
        <v>#N/A</v>
      </c>
      <c r="N10851" s="1">
        <v>40725</v>
      </c>
    </row>
    <row r="10852" spans="11:14" x14ac:dyDescent="0.3">
      <c r="K10852" s="1">
        <v>41091</v>
      </c>
      <c r="M10852" t="e">
        <v>#N/A</v>
      </c>
      <c r="N10852" s="1">
        <v>40725</v>
      </c>
    </row>
    <row r="10853" spans="11:14" x14ac:dyDescent="0.3">
      <c r="K10853" s="1">
        <v>41091</v>
      </c>
      <c r="M10853" t="e">
        <v>#N/A</v>
      </c>
      <c r="N10853" s="1">
        <v>40725</v>
      </c>
    </row>
    <row r="10854" spans="11:14" x14ac:dyDescent="0.3">
      <c r="K10854" s="1">
        <v>41091</v>
      </c>
      <c r="M10854" t="e">
        <v>#N/A</v>
      </c>
      <c r="N10854" s="1">
        <v>40725</v>
      </c>
    </row>
    <row r="10855" spans="11:14" x14ac:dyDescent="0.3">
      <c r="K10855" s="1">
        <v>41091</v>
      </c>
      <c r="M10855" t="e">
        <v>#N/A</v>
      </c>
      <c r="N10855" s="1">
        <v>40725</v>
      </c>
    </row>
    <row r="10856" spans="11:14" x14ac:dyDescent="0.3">
      <c r="K10856" s="1">
        <v>41091</v>
      </c>
      <c r="M10856" t="e">
        <v>#N/A</v>
      </c>
      <c r="N10856" s="1">
        <v>40725</v>
      </c>
    </row>
    <row r="10857" spans="11:14" x14ac:dyDescent="0.3">
      <c r="K10857" s="1">
        <v>41091</v>
      </c>
      <c r="M10857" t="e">
        <v>#N/A</v>
      </c>
      <c r="N10857" s="1">
        <v>40725</v>
      </c>
    </row>
    <row r="10858" spans="11:14" x14ac:dyDescent="0.3">
      <c r="K10858" s="1">
        <v>41091</v>
      </c>
      <c r="M10858" t="e">
        <v>#N/A</v>
      </c>
      <c r="N10858" s="1">
        <v>40725</v>
      </c>
    </row>
    <row r="10859" spans="11:14" x14ac:dyDescent="0.3">
      <c r="K10859" s="1">
        <v>41091</v>
      </c>
      <c r="M10859" t="e">
        <v>#N/A</v>
      </c>
      <c r="N10859" s="1">
        <v>40725</v>
      </c>
    </row>
    <row r="10860" spans="11:14" x14ac:dyDescent="0.3">
      <c r="K10860" s="1">
        <v>41091</v>
      </c>
      <c r="M10860" t="e">
        <v>#N/A</v>
      </c>
      <c r="N10860" s="1">
        <v>40725</v>
      </c>
    </row>
    <row r="10861" spans="11:14" x14ac:dyDescent="0.3">
      <c r="K10861" s="1">
        <v>41091</v>
      </c>
      <c r="M10861" t="e">
        <v>#N/A</v>
      </c>
      <c r="N10861" s="1">
        <v>40725</v>
      </c>
    </row>
    <row r="10862" spans="11:14" x14ac:dyDescent="0.3">
      <c r="K10862" s="1">
        <v>41091</v>
      </c>
      <c r="M10862" t="e">
        <v>#N/A</v>
      </c>
      <c r="N10862" s="1">
        <v>40725</v>
      </c>
    </row>
    <row r="10863" spans="11:14" x14ac:dyDescent="0.3">
      <c r="K10863" s="1">
        <v>41091</v>
      </c>
      <c r="M10863" t="e">
        <v>#N/A</v>
      </c>
      <c r="N10863" s="1">
        <v>40725</v>
      </c>
    </row>
    <row r="10864" spans="11:14" x14ac:dyDescent="0.3">
      <c r="K10864" s="1">
        <v>41091</v>
      </c>
      <c r="M10864" t="e">
        <v>#N/A</v>
      </c>
      <c r="N10864" s="1">
        <v>40725</v>
      </c>
    </row>
    <row r="10865" spans="11:14" x14ac:dyDescent="0.3">
      <c r="K10865" s="1">
        <v>41091</v>
      </c>
      <c r="M10865" t="e">
        <v>#N/A</v>
      </c>
      <c r="N10865" s="1">
        <v>40725</v>
      </c>
    </row>
    <row r="10866" spans="11:14" x14ac:dyDescent="0.3">
      <c r="K10866" s="1">
        <v>41091</v>
      </c>
      <c r="M10866" t="e">
        <v>#N/A</v>
      </c>
      <c r="N10866" s="1">
        <v>40725</v>
      </c>
    </row>
    <row r="10867" spans="11:14" x14ac:dyDescent="0.3">
      <c r="K10867" s="1">
        <v>41091</v>
      </c>
      <c r="M10867" t="e">
        <v>#N/A</v>
      </c>
      <c r="N10867" s="1">
        <v>40725</v>
      </c>
    </row>
    <row r="10868" spans="11:14" x14ac:dyDescent="0.3">
      <c r="K10868" s="1">
        <v>41091</v>
      </c>
      <c r="M10868" t="e">
        <v>#N/A</v>
      </c>
      <c r="N10868" s="1">
        <v>40725</v>
      </c>
    </row>
    <row r="10869" spans="11:14" x14ac:dyDescent="0.3">
      <c r="K10869" s="1">
        <v>41091</v>
      </c>
      <c r="M10869" t="e">
        <v>#N/A</v>
      </c>
      <c r="N10869" s="1">
        <v>40725</v>
      </c>
    </row>
    <row r="10870" spans="11:14" x14ac:dyDescent="0.3">
      <c r="K10870" s="1">
        <v>41091</v>
      </c>
      <c r="M10870" t="e">
        <v>#N/A</v>
      </c>
      <c r="N10870" s="1">
        <v>40725</v>
      </c>
    </row>
    <row r="10871" spans="11:14" x14ac:dyDescent="0.3">
      <c r="K10871" s="1">
        <v>41091</v>
      </c>
      <c r="M10871" t="e">
        <v>#N/A</v>
      </c>
      <c r="N10871" s="1">
        <v>40725</v>
      </c>
    </row>
    <row r="10872" spans="11:14" x14ac:dyDescent="0.3">
      <c r="K10872" s="1">
        <v>41091</v>
      </c>
      <c r="M10872" t="e">
        <v>#N/A</v>
      </c>
      <c r="N10872" s="1">
        <v>40725</v>
      </c>
    </row>
    <row r="10873" spans="11:14" x14ac:dyDescent="0.3">
      <c r="K10873" s="1">
        <v>41091</v>
      </c>
      <c r="M10873" t="e">
        <v>#N/A</v>
      </c>
      <c r="N10873" s="1">
        <v>40725</v>
      </c>
    </row>
    <row r="10874" spans="11:14" x14ac:dyDescent="0.3">
      <c r="K10874" s="1">
        <v>41091</v>
      </c>
      <c r="M10874" t="e">
        <v>#N/A</v>
      </c>
      <c r="N10874" s="1">
        <v>40725</v>
      </c>
    </row>
    <row r="10875" spans="11:14" x14ac:dyDescent="0.3">
      <c r="K10875" s="1">
        <v>41091</v>
      </c>
      <c r="M10875" t="e">
        <v>#N/A</v>
      </c>
      <c r="N10875" s="1">
        <v>40725</v>
      </c>
    </row>
    <row r="10876" spans="11:14" x14ac:dyDescent="0.3">
      <c r="K10876" s="1">
        <v>41091</v>
      </c>
      <c r="M10876" t="e">
        <v>#N/A</v>
      </c>
      <c r="N10876" s="1">
        <v>40725</v>
      </c>
    </row>
    <row r="10877" spans="11:14" x14ac:dyDescent="0.3">
      <c r="K10877" s="1">
        <v>41091</v>
      </c>
      <c r="M10877" t="e">
        <v>#N/A</v>
      </c>
      <c r="N10877" s="1">
        <v>40725</v>
      </c>
    </row>
    <row r="10878" spans="11:14" x14ac:dyDescent="0.3">
      <c r="K10878" s="1">
        <v>41091</v>
      </c>
      <c r="M10878" t="e">
        <v>#N/A</v>
      </c>
      <c r="N10878" s="1">
        <v>40725</v>
      </c>
    </row>
    <row r="10879" spans="11:14" x14ac:dyDescent="0.3">
      <c r="K10879" s="1">
        <v>41091</v>
      </c>
      <c r="M10879" t="e">
        <v>#N/A</v>
      </c>
      <c r="N10879" s="1">
        <v>40725</v>
      </c>
    </row>
    <row r="10880" spans="11:14" x14ac:dyDescent="0.3">
      <c r="K10880" s="1">
        <v>41091</v>
      </c>
      <c r="M10880" t="e">
        <v>#N/A</v>
      </c>
      <c r="N10880" s="1">
        <v>40725</v>
      </c>
    </row>
    <row r="10881" spans="11:14" x14ac:dyDescent="0.3">
      <c r="K10881" s="1">
        <v>41091</v>
      </c>
      <c r="M10881" t="e">
        <v>#N/A</v>
      </c>
      <c r="N10881" s="1">
        <v>40725</v>
      </c>
    </row>
    <row r="10882" spans="11:14" x14ac:dyDescent="0.3">
      <c r="K10882" s="1">
        <v>41091</v>
      </c>
      <c r="M10882" t="e">
        <v>#N/A</v>
      </c>
      <c r="N10882" s="1">
        <v>40725</v>
      </c>
    </row>
    <row r="10883" spans="11:14" x14ac:dyDescent="0.3">
      <c r="K10883" s="1">
        <v>41091</v>
      </c>
      <c r="M10883" t="e">
        <v>#N/A</v>
      </c>
      <c r="N10883" s="1">
        <v>40725</v>
      </c>
    </row>
    <row r="10884" spans="11:14" x14ac:dyDescent="0.3">
      <c r="K10884" s="1">
        <v>41091</v>
      </c>
      <c r="M10884" t="e">
        <v>#N/A</v>
      </c>
      <c r="N10884" s="1">
        <v>40725</v>
      </c>
    </row>
    <row r="10885" spans="11:14" x14ac:dyDescent="0.3">
      <c r="K10885" s="1">
        <v>41091</v>
      </c>
      <c r="M10885" t="e">
        <v>#N/A</v>
      </c>
      <c r="N10885" s="1">
        <v>40725</v>
      </c>
    </row>
    <row r="10886" spans="11:14" x14ac:dyDescent="0.3">
      <c r="K10886" s="1">
        <v>41091</v>
      </c>
      <c r="M10886" t="e">
        <v>#N/A</v>
      </c>
      <c r="N10886" s="1">
        <v>40725</v>
      </c>
    </row>
    <row r="10887" spans="11:14" x14ac:dyDescent="0.3">
      <c r="K10887" s="1">
        <v>41091</v>
      </c>
      <c r="M10887" t="e">
        <v>#N/A</v>
      </c>
      <c r="N10887" s="1">
        <v>40725</v>
      </c>
    </row>
    <row r="10888" spans="11:14" x14ac:dyDescent="0.3">
      <c r="K10888" s="1">
        <v>41091</v>
      </c>
      <c r="M10888" t="e">
        <v>#N/A</v>
      </c>
      <c r="N10888" s="1">
        <v>40725</v>
      </c>
    </row>
    <row r="10889" spans="11:14" x14ac:dyDescent="0.3">
      <c r="K10889" s="1">
        <v>41091</v>
      </c>
      <c r="M10889" t="e">
        <v>#N/A</v>
      </c>
      <c r="N10889" s="1">
        <v>40725</v>
      </c>
    </row>
    <row r="10890" spans="11:14" x14ac:dyDescent="0.3">
      <c r="K10890" s="1">
        <v>41091</v>
      </c>
      <c r="M10890" t="e">
        <v>#N/A</v>
      </c>
      <c r="N10890" s="1">
        <v>40725</v>
      </c>
    </row>
    <row r="10891" spans="11:14" x14ac:dyDescent="0.3">
      <c r="K10891" s="1">
        <v>41091</v>
      </c>
      <c r="M10891" t="e">
        <v>#N/A</v>
      </c>
      <c r="N10891" s="1">
        <v>40725</v>
      </c>
    </row>
    <row r="10892" spans="11:14" x14ac:dyDescent="0.3">
      <c r="K10892" s="1">
        <v>41091</v>
      </c>
      <c r="M10892" t="e">
        <v>#N/A</v>
      </c>
      <c r="N10892" s="1">
        <v>40725</v>
      </c>
    </row>
    <row r="10893" spans="11:14" x14ac:dyDescent="0.3">
      <c r="K10893" s="1">
        <v>41091</v>
      </c>
      <c r="M10893" t="e">
        <v>#N/A</v>
      </c>
      <c r="N10893" s="1">
        <v>40725</v>
      </c>
    </row>
    <row r="10894" spans="11:14" x14ac:dyDescent="0.3">
      <c r="K10894" s="1">
        <v>41091</v>
      </c>
      <c r="M10894" t="e">
        <v>#N/A</v>
      </c>
      <c r="N10894" s="1">
        <v>40725</v>
      </c>
    </row>
    <row r="10895" spans="11:14" x14ac:dyDescent="0.3">
      <c r="K10895" s="1">
        <v>41091</v>
      </c>
      <c r="M10895" t="e">
        <v>#N/A</v>
      </c>
      <c r="N10895" s="1">
        <v>40725</v>
      </c>
    </row>
    <row r="10896" spans="11:14" x14ac:dyDescent="0.3">
      <c r="K10896" s="1">
        <v>41091</v>
      </c>
      <c r="M10896" t="e">
        <v>#N/A</v>
      </c>
      <c r="N10896" s="1">
        <v>40725</v>
      </c>
    </row>
    <row r="10897" spans="11:14" x14ac:dyDescent="0.3">
      <c r="K10897" s="1">
        <v>41091</v>
      </c>
      <c r="M10897" t="e">
        <v>#N/A</v>
      </c>
      <c r="N10897" s="1">
        <v>40725</v>
      </c>
    </row>
    <row r="10898" spans="11:14" x14ac:dyDescent="0.3">
      <c r="K10898" s="1">
        <v>41091</v>
      </c>
      <c r="M10898" t="e">
        <v>#N/A</v>
      </c>
      <c r="N10898" s="1">
        <v>40725</v>
      </c>
    </row>
    <row r="10899" spans="11:14" x14ac:dyDescent="0.3">
      <c r="K10899" s="1">
        <v>41091</v>
      </c>
      <c r="M10899" t="e">
        <v>#N/A</v>
      </c>
      <c r="N10899" s="1">
        <v>40725</v>
      </c>
    </row>
    <row r="10900" spans="11:14" x14ac:dyDescent="0.3">
      <c r="K10900" s="1">
        <v>41091</v>
      </c>
      <c r="M10900" t="e">
        <v>#N/A</v>
      </c>
      <c r="N10900" s="1">
        <v>40725</v>
      </c>
    </row>
    <row r="10901" spans="11:14" x14ac:dyDescent="0.3">
      <c r="K10901" s="1">
        <v>41091</v>
      </c>
      <c r="M10901" t="e">
        <v>#N/A</v>
      </c>
      <c r="N10901" s="1">
        <v>40725</v>
      </c>
    </row>
    <row r="10902" spans="11:14" x14ac:dyDescent="0.3">
      <c r="K10902" s="1">
        <v>41091</v>
      </c>
      <c r="M10902" t="e">
        <v>#N/A</v>
      </c>
      <c r="N10902" s="1">
        <v>40725</v>
      </c>
    </row>
    <row r="10903" spans="11:14" x14ac:dyDescent="0.3">
      <c r="K10903" s="1">
        <v>41091</v>
      </c>
      <c r="M10903" t="e">
        <v>#N/A</v>
      </c>
      <c r="N10903" s="1">
        <v>40725</v>
      </c>
    </row>
    <row r="10904" spans="11:14" x14ac:dyDescent="0.3">
      <c r="K10904" s="1">
        <v>41091</v>
      </c>
      <c r="M10904" t="e">
        <v>#N/A</v>
      </c>
      <c r="N10904" s="1">
        <v>40725</v>
      </c>
    </row>
    <row r="10905" spans="11:14" x14ac:dyDescent="0.3">
      <c r="K10905" s="1">
        <v>41091</v>
      </c>
      <c r="M10905" t="e">
        <v>#N/A</v>
      </c>
      <c r="N10905" s="1">
        <v>40725</v>
      </c>
    </row>
    <row r="10906" spans="11:14" x14ac:dyDescent="0.3">
      <c r="K10906" s="1">
        <v>41091</v>
      </c>
      <c r="M10906" t="e">
        <v>#N/A</v>
      </c>
      <c r="N10906" s="1">
        <v>40725</v>
      </c>
    </row>
    <row r="10907" spans="11:14" x14ac:dyDescent="0.3">
      <c r="K10907" s="1">
        <v>41091</v>
      </c>
      <c r="M10907" t="e">
        <v>#N/A</v>
      </c>
      <c r="N10907" s="1">
        <v>40725</v>
      </c>
    </row>
    <row r="10908" spans="11:14" x14ac:dyDescent="0.3">
      <c r="K10908" s="1">
        <v>41091</v>
      </c>
      <c r="M10908" t="e">
        <v>#N/A</v>
      </c>
      <c r="N10908" s="1">
        <v>40725</v>
      </c>
    </row>
    <row r="10909" spans="11:14" x14ac:dyDescent="0.3">
      <c r="K10909" s="1">
        <v>41091</v>
      </c>
      <c r="M10909" t="e">
        <v>#N/A</v>
      </c>
      <c r="N10909" s="1">
        <v>40725</v>
      </c>
    </row>
    <row r="10910" spans="11:14" x14ac:dyDescent="0.3">
      <c r="K10910" s="1">
        <v>41091</v>
      </c>
      <c r="M10910" t="e">
        <v>#N/A</v>
      </c>
      <c r="N10910" s="1">
        <v>40725</v>
      </c>
    </row>
    <row r="10911" spans="11:14" x14ac:dyDescent="0.3">
      <c r="K10911" s="1">
        <v>41091</v>
      </c>
      <c r="M10911" t="e">
        <v>#N/A</v>
      </c>
      <c r="N10911" s="1">
        <v>40725</v>
      </c>
    </row>
    <row r="10912" spans="11:14" x14ac:dyDescent="0.3">
      <c r="K10912" s="1">
        <v>41091</v>
      </c>
      <c r="M10912" t="e">
        <v>#N/A</v>
      </c>
      <c r="N10912" s="1">
        <v>40725</v>
      </c>
    </row>
    <row r="10913" spans="11:14" x14ac:dyDescent="0.3">
      <c r="K10913" s="1">
        <v>41091</v>
      </c>
      <c r="M10913" t="e">
        <v>#N/A</v>
      </c>
      <c r="N10913" s="1">
        <v>40725</v>
      </c>
    </row>
    <row r="10914" spans="11:14" x14ac:dyDescent="0.3">
      <c r="K10914" s="1">
        <v>41091</v>
      </c>
      <c r="M10914" t="e">
        <v>#N/A</v>
      </c>
      <c r="N10914" s="1">
        <v>40725</v>
      </c>
    </row>
    <row r="10915" spans="11:14" x14ac:dyDescent="0.3">
      <c r="K10915" s="1">
        <v>41091</v>
      </c>
      <c r="M10915" t="e">
        <v>#N/A</v>
      </c>
      <c r="N10915" s="1">
        <v>40725</v>
      </c>
    </row>
    <row r="10916" spans="11:14" x14ac:dyDescent="0.3">
      <c r="K10916" s="1">
        <v>41091</v>
      </c>
      <c r="M10916" t="e">
        <v>#N/A</v>
      </c>
      <c r="N10916" s="1">
        <v>40725</v>
      </c>
    </row>
    <row r="10917" spans="11:14" x14ac:dyDescent="0.3">
      <c r="K10917" s="1">
        <v>41091</v>
      </c>
      <c r="M10917" t="e">
        <v>#N/A</v>
      </c>
      <c r="N10917" s="1">
        <v>40725</v>
      </c>
    </row>
    <row r="10918" spans="11:14" x14ac:dyDescent="0.3">
      <c r="K10918" s="1">
        <v>41091</v>
      </c>
      <c r="M10918" t="e">
        <v>#N/A</v>
      </c>
      <c r="N10918" s="1">
        <v>40725</v>
      </c>
    </row>
    <row r="10919" spans="11:14" x14ac:dyDescent="0.3">
      <c r="K10919" s="1">
        <v>41091</v>
      </c>
      <c r="M10919" t="e">
        <v>#N/A</v>
      </c>
      <c r="N10919" s="1">
        <v>40725</v>
      </c>
    </row>
    <row r="10920" spans="11:14" x14ac:dyDescent="0.3">
      <c r="K10920" s="1">
        <v>41091</v>
      </c>
      <c r="M10920" t="e">
        <v>#N/A</v>
      </c>
      <c r="N10920" s="1">
        <v>40725</v>
      </c>
    </row>
    <row r="10921" spans="11:14" x14ac:dyDescent="0.3">
      <c r="K10921" s="1">
        <v>41091</v>
      </c>
      <c r="M10921" t="e">
        <v>#N/A</v>
      </c>
      <c r="N10921" s="1">
        <v>40725</v>
      </c>
    </row>
    <row r="10922" spans="11:14" x14ac:dyDescent="0.3">
      <c r="K10922" s="1">
        <v>41091</v>
      </c>
      <c r="M10922" t="e">
        <v>#N/A</v>
      </c>
      <c r="N10922" s="1">
        <v>40725</v>
      </c>
    </row>
    <row r="10923" spans="11:14" x14ac:dyDescent="0.3">
      <c r="K10923" s="1">
        <v>41091</v>
      </c>
      <c r="M10923" t="e">
        <v>#N/A</v>
      </c>
      <c r="N10923" s="1">
        <v>40725</v>
      </c>
    </row>
    <row r="10924" spans="11:14" x14ac:dyDescent="0.3">
      <c r="K10924" s="1">
        <v>41091</v>
      </c>
      <c r="M10924" t="e">
        <v>#N/A</v>
      </c>
      <c r="N10924" s="1">
        <v>40725</v>
      </c>
    </row>
    <row r="10925" spans="11:14" x14ac:dyDescent="0.3">
      <c r="K10925" s="1">
        <v>41091</v>
      </c>
      <c r="M10925" t="e">
        <v>#N/A</v>
      </c>
      <c r="N10925" s="1">
        <v>40725</v>
      </c>
    </row>
    <row r="10926" spans="11:14" x14ac:dyDescent="0.3">
      <c r="K10926" s="1">
        <v>41091</v>
      </c>
      <c r="M10926" t="e">
        <v>#N/A</v>
      </c>
      <c r="N10926" s="1">
        <v>40725</v>
      </c>
    </row>
    <row r="10927" spans="11:14" x14ac:dyDescent="0.3">
      <c r="K10927" s="1">
        <v>41091</v>
      </c>
      <c r="M10927" t="e">
        <v>#N/A</v>
      </c>
      <c r="N10927" s="1">
        <v>40725</v>
      </c>
    </row>
    <row r="10928" spans="11:14" x14ac:dyDescent="0.3">
      <c r="K10928" s="1">
        <v>41091</v>
      </c>
      <c r="M10928" t="e">
        <v>#N/A</v>
      </c>
      <c r="N10928" s="1">
        <v>40725</v>
      </c>
    </row>
    <row r="10929" spans="11:14" x14ac:dyDescent="0.3">
      <c r="K10929" s="1">
        <v>41091</v>
      </c>
      <c r="M10929" t="e">
        <v>#N/A</v>
      </c>
      <c r="N10929" s="1">
        <v>40725</v>
      </c>
    </row>
    <row r="10930" spans="11:14" x14ac:dyDescent="0.3">
      <c r="K10930" s="1">
        <v>41091</v>
      </c>
      <c r="M10930" t="e">
        <v>#N/A</v>
      </c>
      <c r="N10930" s="1">
        <v>40725</v>
      </c>
    </row>
    <row r="10931" spans="11:14" x14ac:dyDescent="0.3">
      <c r="K10931" s="1">
        <v>41091</v>
      </c>
      <c r="M10931" t="e">
        <v>#N/A</v>
      </c>
      <c r="N10931" s="1">
        <v>40725</v>
      </c>
    </row>
    <row r="10932" spans="11:14" x14ac:dyDescent="0.3">
      <c r="K10932" s="1">
        <v>41091</v>
      </c>
      <c r="M10932" t="e">
        <v>#N/A</v>
      </c>
      <c r="N10932" s="1">
        <v>40725</v>
      </c>
    </row>
    <row r="10933" spans="11:14" x14ac:dyDescent="0.3">
      <c r="K10933" s="1">
        <v>41091</v>
      </c>
      <c r="M10933" t="e">
        <v>#N/A</v>
      </c>
      <c r="N10933" s="1">
        <v>40725</v>
      </c>
    </row>
    <row r="10934" spans="11:14" x14ac:dyDescent="0.3">
      <c r="K10934" s="1">
        <v>41091</v>
      </c>
      <c r="M10934" t="e">
        <v>#N/A</v>
      </c>
      <c r="N10934" s="1">
        <v>40725</v>
      </c>
    </row>
    <row r="10935" spans="11:14" x14ac:dyDescent="0.3">
      <c r="K10935" s="1">
        <v>41091</v>
      </c>
      <c r="M10935" t="e">
        <v>#N/A</v>
      </c>
      <c r="N10935" s="1">
        <v>40725</v>
      </c>
    </row>
    <row r="10936" spans="11:14" x14ac:dyDescent="0.3">
      <c r="K10936" s="1">
        <v>41091</v>
      </c>
      <c r="M10936" t="e">
        <v>#N/A</v>
      </c>
      <c r="N10936" s="1">
        <v>40725</v>
      </c>
    </row>
    <row r="10937" spans="11:14" x14ac:dyDescent="0.3">
      <c r="K10937" s="1">
        <v>41091</v>
      </c>
      <c r="M10937" t="e">
        <v>#N/A</v>
      </c>
      <c r="N10937" s="1">
        <v>40725</v>
      </c>
    </row>
    <row r="10938" spans="11:14" x14ac:dyDescent="0.3">
      <c r="K10938" s="1">
        <v>41091</v>
      </c>
      <c r="M10938" t="e">
        <v>#N/A</v>
      </c>
      <c r="N10938" s="1">
        <v>40725</v>
      </c>
    </row>
    <row r="10939" spans="11:14" x14ac:dyDescent="0.3">
      <c r="K10939" s="1">
        <v>41091</v>
      </c>
      <c r="M10939" t="e">
        <v>#N/A</v>
      </c>
      <c r="N10939" s="1">
        <v>40725</v>
      </c>
    </row>
    <row r="10940" spans="11:14" x14ac:dyDescent="0.3">
      <c r="K10940" s="1">
        <v>41091</v>
      </c>
      <c r="M10940" t="e">
        <v>#N/A</v>
      </c>
      <c r="N10940" s="1">
        <v>40725</v>
      </c>
    </row>
    <row r="10941" spans="11:14" x14ac:dyDescent="0.3">
      <c r="K10941" s="1">
        <v>41091</v>
      </c>
      <c r="M10941" t="e">
        <v>#N/A</v>
      </c>
      <c r="N10941" s="1">
        <v>40725</v>
      </c>
    </row>
    <row r="10942" spans="11:14" x14ac:dyDescent="0.3">
      <c r="K10942" s="1">
        <v>41091</v>
      </c>
      <c r="M10942" t="e">
        <v>#N/A</v>
      </c>
      <c r="N10942" s="1">
        <v>40725</v>
      </c>
    </row>
    <row r="10943" spans="11:14" x14ac:dyDescent="0.3">
      <c r="K10943" s="1">
        <v>41091</v>
      </c>
      <c r="M10943" t="e">
        <v>#N/A</v>
      </c>
      <c r="N10943" s="1">
        <v>40725</v>
      </c>
    </row>
    <row r="10944" spans="11:14" x14ac:dyDescent="0.3">
      <c r="K10944" s="1">
        <v>41091</v>
      </c>
      <c r="M10944" t="e">
        <v>#N/A</v>
      </c>
      <c r="N10944" s="1">
        <v>40725</v>
      </c>
    </row>
    <row r="10945" spans="11:14" x14ac:dyDescent="0.3">
      <c r="K10945" s="1">
        <v>41091</v>
      </c>
      <c r="M10945" t="e">
        <v>#N/A</v>
      </c>
      <c r="N10945" s="1">
        <v>40725</v>
      </c>
    </row>
    <row r="10946" spans="11:14" x14ac:dyDescent="0.3">
      <c r="K10946" s="1">
        <v>41091</v>
      </c>
      <c r="M10946" t="e">
        <v>#N/A</v>
      </c>
      <c r="N10946" s="1">
        <v>40725</v>
      </c>
    </row>
    <row r="10947" spans="11:14" x14ac:dyDescent="0.3">
      <c r="K10947" s="1">
        <v>41091</v>
      </c>
      <c r="M10947" t="e">
        <v>#N/A</v>
      </c>
      <c r="N10947" s="1">
        <v>40725</v>
      </c>
    </row>
    <row r="10948" spans="11:14" x14ac:dyDescent="0.3">
      <c r="K10948" s="1">
        <v>41091</v>
      </c>
      <c r="M10948" t="e">
        <v>#N/A</v>
      </c>
      <c r="N10948" s="1">
        <v>40725</v>
      </c>
    </row>
    <row r="10949" spans="11:14" x14ac:dyDescent="0.3">
      <c r="K10949" s="1">
        <v>41091</v>
      </c>
      <c r="M10949" t="e">
        <v>#N/A</v>
      </c>
      <c r="N10949" s="1">
        <v>40725</v>
      </c>
    </row>
    <row r="10950" spans="11:14" x14ac:dyDescent="0.3">
      <c r="K10950" s="1">
        <v>41091</v>
      </c>
      <c r="M10950" t="e">
        <v>#N/A</v>
      </c>
      <c r="N10950" s="1">
        <v>40725</v>
      </c>
    </row>
    <row r="10951" spans="11:14" x14ac:dyDescent="0.3">
      <c r="K10951" s="1">
        <v>41091</v>
      </c>
      <c r="M10951" t="e">
        <v>#N/A</v>
      </c>
      <c r="N10951" s="1">
        <v>40725</v>
      </c>
    </row>
    <row r="10952" spans="11:14" x14ac:dyDescent="0.3">
      <c r="K10952" s="1">
        <v>41091</v>
      </c>
      <c r="M10952" t="e">
        <v>#N/A</v>
      </c>
      <c r="N10952" s="1">
        <v>40725</v>
      </c>
    </row>
    <row r="10953" spans="11:14" x14ac:dyDescent="0.3">
      <c r="K10953" s="1">
        <v>41091</v>
      </c>
      <c r="M10953" t="e">
        <v>#N/A</v>
      </c>
      <c r="N10953" s="1">
        <v>40725</v>
      </c>
    </row>
    <row r="10954" spans="11:14" x14ac:dyDescent="0.3">
      <c r="K10954" s="1">
        <v>41091</v>
      </c>
      <c r="M10954" t="e">
        <v>#N/A</v>
      </c>
      <c r="N10954" s="1">
        <v>40725</v>
      </c>
    </row>
    <row r="10955" spans="11:14" x14ac:dyDescent="0.3">
      <c r="K10955" s="1">
        <v>41091</v>
      </c>
      <c r="M10955" t="e">
        <v>#N/A</v>
      </c>
      <c r="N10955" s="1">
        <v>40725</v>
      </c>
    </row>
    <row r="10956" spans="11:14" x14ac:dyDescent="0.3">
      <c r="K10956" s="1">
        <v>41091</v>
      </c>
      <c r="M10956" t="e">
        <v>#N/A</v>
      </c>
      <c r="N10956" s="1">
        <v>40725</v>
      </c>
    </row>
    <row r="10957" spans="11:14" x14ac:dyDescent="0.3">
      <c r="K10957" s="1">
        <v>41091</v>
      </c>
      <c r="M10957" t="e">
        <v>#N/A</v>
      </c>
      <c r="N10957" s="1">
        <v>40725</v>
      </c>
    </row>
    <row r="10958" spans="11:14" x14ac:dyDescent="0.3">
      <c r="K10958" s="1">
        <v>41091</v>
      </c>
      <c r="M10958" t="e">
        <v>#N/A</v>
      </c>
      <c r="N10958" s="1">
        <v>40725</v>
      </c>
    </row>
    <row r="10959" spans="11:14" x14ac:dyDescent="0.3">
      <c r="K10959" s="1">
        <v>41091</v>
      </c>
      <c r="M10959" t="e">
        <v>#N/A</v>
      </c>
      <c r="N10959" s="1">
        <v>40725</v>
      </c>
    </row>
    <row r="10960" spans="11:14" x14ac:dyDescent="0.3">
      <c r="K10960" s="1">
        <v>41091</v>
      </c>
      <c r="M10960" t="e">
        <v>#N/A</v>
      </c>
      <c r="N10960" s="1">
        <v>40725</v>
      </c>
    </row>
    <row r="10961" spans="11:14" x14ac:dyDescent="0.3">
      <c r="K10961" s="1">
        <v>41091</v>
      </c>
      <c r="M10961" t="e">
        <v>#N/A</v>
      </c>
      <c r="N10961" s="1">
        <v>40725</v>
      </c>
    </row>
    <row r="10962" spans="11:14" x14ac:dyDescent="0.3">
      <c r="K10962" s="1">
        <v>41091</v>
      </c>
      <c r="M10962" t="e">
        <v>#N/A</v>
      </c>
      <c r="N10962" s="1">
        <v>40725</v>
      </c>
    </row>
    <row r="10963" spans="11:14" x14ac:dyDescent="0.3">
      <c r="K10963" s="1">
        <v>41091</v>
      </c>
      <c r="M10963" t="e">
        <v>#N/A</v>
      </c>
      <c r="N10963" s="1">
        <v>40725</v>
      </c>
    </row>
    <row r="10964" spans="11:14" x14ac:dyDescent="0.3">
      <c r="K10964" s="1">
        <v>41091</v>
      </c>
      <c r="M10964" t="e">
        <v>#N/A</v>
      </c>
      <c r="N10964" s="1">
        <v>40725</v>
      </c>
    </row>
    <row r="10965" spans="11:14" x14ac:dyDescent="0.3">
      <c r="K10965" s="1">
        <v>41091</v>
      </c>
      <c r="M10965" t="e">
        <v>#N/A</v>
      </c>
      <c r="N10965" s="1">
        <v>40725</v>
      </c>
    </row>
    <row r="10966" spans="11:14" x14ac:dyDescent="0.3">
      <c r="K10966" s="1">
        <v>41091</v>
      </c>
      <c r="M10966" t="e">
        <v>#N/A</v>
      </c>
      <c r="N10966" s="1">
        <v>40725</v>
      </c>
    </row>
    <row r="10967" spans="11:14" x14ac:dyDescent="0.3">
      <c r="K10967" s="1">
        <v>41091</v>
      </c>
      <c r="M10967" t="e">
        <v>#N/A</v>
      </c>
      <c r="N10967" s="1">
        <v>40725</v>
      </c>
    </row>
    <row r="10968" spans="11:14" x14ac:dyDescent="0.3">
      <c r="K10968" s="1">
        <v>41091</v>
      </c>
      <c r="M10968" t="e">
        <v>#N/A</v>
      </c>
      <c r="N10968" s="1">
        <v>40725</v>
      </c>
    </row>
    <row r="10969" spans="11:14" x14ac:dyDescent="0.3">
      <c r="K10969" s="1">
        <v>41091</v>
      </c>
      <c r="M10969" t="e">
        <v>#N/A</v>
      </c>
      <c r="N10969" s="1">
        <v>40725</v>
      </c>
    </row>
    <row r="10970" spans="11:14" x14ac:dyDescent="0.3">
      <c r="K10970" s="1">
        <v>41091</v>
      </c>
      <c r="M10970" t="e">
        <v>#N/A</v>
      </c>
      <c r="N10970" s="1">
        <v>40725</v>
      </c>
    </row>
    <row r="10971" spans="11:14" x14ac:dyDescent="0.3">
      <c r="K10971" s="1">
        <v>41091</v>
      </c>
      <c r="M10971" t="e">
        <v>#N/A</v>
      </c>
      <c r="N10971" s="1">
        <v>40725</v>
      </c>
    </row>
    <row r="10972" spans="11:14" x14ac:dyDescent="0.3">
      <c r="K10972" s="1">
        <v>41091</v>
      </c>
      <c r="M10972" t="e">
        <v>#N/A</v>
      </c>
      <c r="N10972" s="1">
        <v>40725</v>
      </c>
    </row>
    <row r="10973" spans="11:14" x14ac:dyDescent="0.3">
      <c r="K10973" s="1">
        <v>41091</v>
      </c>
      <c r="M10973" t="e">
        <v>#N/A</v>
      </c>
      <c r="N10973" s="1">
        <v>40725</v>
      </c>
    </row>
    <row r="10974" spans="11:14" x14ac:dyDescent="0.3">
      <c r="K10974" s="1">
        <v>41091</v>
      </c>
      <c r="M10974" t="e">
        <v>#N/A</v>
      </c>
      <c r="N10974" s="1">
        <v>40725</v>
      </c>
    </row>
    <row r="10975" spans="11:14" x14ac:dyDescent="0.3">
      <c r="K10975" s="1">
        <v>41091</v>
      </c>
      <c r="M10975" t="e">
        <v>#N/A</v>
      </c>
      <c r="N10975" s="1">
        <v>40725</v>
      </c>
    </row>
    <row r="10976" spans="11:14" x14ac:dyDescent="0.3">
      <c r="K10976" s="1">
        <v>41091</v>
      </c>
      <c r="M10976" t="e">
        <v>#N/A</v>
      </c>
      <c r="N10976" s="1">
        <v>40725</v>
      </c>
    </row>
    <row r="10977" spans="11:14" x14ac:dyDescent="0.3">
      <c r="K10977" s="1">
        <v>41091</v>
      </c>
      <c r="M10977" t="e">
        <v>#N/A</v>
      </c>
      <c r="N10977" s="1">
        <v>40725</v>
      </c>
    </row>
    <row r="10978" spans="11:14" x14ac:dyDescent="0.3">
      <c r="K10978" s="1">
        <v>41091</v>
      </c>
      <c r="M10978" t="e">
        <v>#N/A</v>
      </c>
      <c r="N10978" s="1">
        <v>40725</v>
      </c>
    </row>
    <row r="10979" spans="11:14" x14ac:dyDescent="0.3">
      <c r="K10979" s="1">
        <v>41091</v>
      </c>
      <c r="M10979" t="e">
        <v>#N/A</v>
      </c>
      <c r="N10979" s="1">
        <v>40725</v>
      </c>
    </row>
    <row r="10980" spans="11:14" x14ac:dyDescent="0.3">
      <c r="K10980" s="1">
        <v>41091</v>
      </c>
      <c r="M10980" t="e">
        <v>#N/A</v>
      </c>
      <c r="N10980" s="1">
        <v>40725</v>
      </c>
    </row>
    <row r="10981" spans="11:14" x14ac:dyDescent="0.3">
      <c r="K10981" s="1">
        <v>41091</v>
      </c>
      <c r="M10981" t="e">
        <v>#N/A</v>
      </c>
      <c r="N10981" s="1">
        <v>40725</v>
      </c>
    </row>
    <row r="10982" spans="11:14" x14ac:dyDescent="0.3">
      <c r="K10982" s="1">
        <v>41091</v>
      </c>
      <c r="M10982" t="e">
        <v>#N/A</v>
      </c>
      <c r="N10982" s="1">
        <v>40725</v>
      </c>
    </row>
    <row r="10983" spans="11:14" x14ac:dyDescent="0.3">
      <c r="K10983" s="1">
        <v>41091</v>
      </c>
      <c r="M10983" t="e">
        <v>#N/A</v>
      </c>
      <c r="N10983" s="1">
        <v>40725</v>
      </c>
    </row>
    <row r="10984" spans="11:14" x14ac:dyDescent="0.3">
      <c r="K10984" s="1">
        <v>41091</v>
      </c>
      <c r="M10984" t="e">
        <v>#N/A</v>
      </c>
      <c r="N10984" s="1">
        <v>40725</v>
      </c>
    </row>
    <row r="10985" spans="11:14" x14ac:dyDescent="0.3">
      <c r="K10985" s="1">
        <v>41091</v>
      </c>
      <c r="M10985" t="e">
        <v>#N/A</v>
      </c>
      <c r="N10985" s="1">
        <v>40725</v>
      </c>
    </row>
    <row r="10986" spans="11:14" x14ac:dyDescent="0.3">
      <c r="K10986" s="1">
        <v>41183</v>
      </c>
      <c r="M10986" t="e">
        <v>#N/A</v>
      </c>
      <c r="N10986" s="1">
        <v>40725</v>
      </c>
    </row>
    <row r="10987" spans="11:14" x14ac:dyDescent="0.3">
      <c r="K10987" s="1">
        <v>41183</v>
      </c>
      <c r="M10987" t="e">
        <v>#N/A</v>
      </c>
      <c r="N10987" s="1">
        <v>40725</v>
      </c>
    </row>
    <row r="10988" spans="11:14" x14ac:dyDescent="0.3">
      <c r="K10988" s="1">
        <v>41183</v>
      </c>
      <c r="M10988" t="e">
        <v>#N/A</v>
      </c>
      <c r="N10988" s="1">
        <v>40725</v>
      </c>
    </row>
    <row r="10989" spans="11:14" x14ac:dyDescent="0.3">
      <c r="K10989" s="1">
        <v>41183</v>
      </c>
      <c r="M10989" t="e">
        <v>#N/A</v>
      </c>
      <c r="N10989" s="1">
        <v>40725</v>
      </c>
    </row>
    <row r="10990" spans="11:14" x14ac:dyDescent="0.3">
      <c r="K10990" s="1">
        <v>41183</v>
      </c>
      <c r="M10990" t="e">
        <v>#N/A</v>
      </c>
      <c r="N10990" s="1">
        <v>40725</v>
      </c>
    </row>
    <row r="10991" spans="11:14" x14ac:dyDescent="0.3">
      <c r="K10991" s="1">
        <v>41183</v>
      </c>
      <c r="M10991" t="e">
        <v>#N/A</v>
      </c>
      <c r="N10991" s="1">
        <v>40725</v>
      </c>
    </row>
    <row r="10992" spans="11:14" x14ac:dyDescent="0.3">
      <c r="K10992" s="1">
        <v>41183</v>
      </c>
      <c r="M10992" t="e">
        <v>#N/A</v>
      </c>
      <c r="N10992" s="1">
        <v>40725</v>
      </c>
    </row>
    <row r="10993" spans="11:14" x14ac:dyDescent="0.3">
      <c r="K10993" s="1">
        <v>41183</v>
      </c>
      <c r="M10993" t="e">
        <v>#N/A</v>
      </c>
      <c r="N10993" s="1">
        <v>40725</v>
      </c>
    </row>
    <row r="10994" spans="11:14" x14ac:dyDescent="0.3">
      <c r="K10994" s="1">
        <v>41183</v>
      </c>
      <c r="M10994" t="e">
        <v>#N/A</v>
      </c>
      <c r="N10994" s="1">
        <v>40725</v>
      </c>
    </row>
    <row r="10995" spans="11:14" x14ac:dyDescent="0.3">
      <c r="K10995" s="1">
        <v>41183</v>
      </c>
      <c r="M10995" t="e">
        <v>#N/A</v>
      </c>
      <c r="N10995" s="1">
        <v>40725</v>
      </c>
    </row>
    <row r="10996" spans="11:14" x14ac:dyDescent="0.3">
      <c r="K10996" s="1">
        <v>41183</v>
      </c>
      <c r="M10996" t="e">
        <v>#N/A</v>
      </c>
      <c r="N10996" s="1">
        <v>40725</v>
      </c>
    </row>
    <row r="10997" spans="11:14" x14ac:dyDescent="0.3">
      <c r="K10997" s="1">
        <v>41183</v>
      </c>
      <c r="M10997" t="e">
        <v>#N/A</v>
      </c>
      <c r="N10997" s="1">
        <v>40725</v>
      </c>
    </row>
    <row r="10998" spans="11:14" x14ac:dyDescent="0.3">
      <c r="K10998" s="1">
        <v>41183</v>
      </c>
      <c r="M10998" t="e">
        <v>#N/A</v>
      </c>
      <c r="N10998" s="1">
        <v>40725</v>
      </c>
    </row>
    <row r="10999" spans="11:14" x14ac:dyDescent="0.3">
      <c r="K10999" s="1">
        <v>41183</v>
      </c>
      <c r="M10999" t="e">
        <v>#N/A</v>
      </c>
      <c r="N10999" s="1">
        <v>40725</v>
      </c>
    </row>
    <row r="11000" spans="11:14" x14ac:dyDescent="0.3">
      <c r="K11000" s="1">
        <v>41183</v>
      </c>
      <c r="M11000" t="e">
        <v>#N/A</v>
      </c>
      <c r="N11000" s="1">
        <v>40725</v>
      </c>
    </row>
    <row r="11001" spans="11:14" x14ac:dyDescent="0.3">
      <c r="K11001" s="1">
        <v>41183</v>
      </c>
      <c r="M11001" t="e">
        <v>#N/A</v>
      </c>
      <c r="N11001" s="1">
        <v>40725</v>
      </c>
    </row>
    <row r="11002" spans="11:14" x14ac:dyDescent="0.3">
      <c r="K11002" s="1">
        <v>41183</v>
      </c>
      <c r="M11002" t="e">
        <v>#N/A</v>
      </c>
      <c r="N11002" s="1">
        <v>40725</v>
      </c>
    </row>
    <row r="11003" spans="11:14" x14ac:dyDescent="0.3">
      <c r="K11003" s="1">
        <v>41183</v>
      </c>
      <c r="M11003" t="e">
        <v>#N/A</v>
      </c>
      <c r="N11003" s="1">
        <v>40725</v>
      </c>
    </row>
    <row r="11004" spans="11:14" x14ac:dyDescent="0.3">
      <c r="K11004" s="1">
        <v>41183</v>
      </c>
      <c r="M11004" t="e">
        <v>#N/A</v>
      </c>
      <c r="N11004" s="1">
        <v>40725</v>
      </c>
    </row>
    <row r="11005" spans="11:14" x14ac:dyDescent="0.3">
      <c r="K11005" s="1">
        <v>41183</v>
      </c>
      <c r="M11005" t="e">
        <v>#N/A</v>
      </c>
      <c r="N11005" s="1">
        <v>40725</v>
      </c>
    </row>
    <row r="11006" spans="11:14" x14ac:dyDescent="0.3">
      <c r="K11006" s="1">
        <v>41183</v>
      </c>
      <c r="M11006" t="e">
        <v>#N/A</v>
      </c>
      <c r="N11006" s="1">
        <v>40725</v>
      </c>
    </row>
    <row r="11007" spans="11:14" x14ac:dyDescent="0.3">
      <c r="K11007" s="1">
        <v>41183</v>
      </c>
      <c r="M11007" t="e">
        <v>#N/A</v>
      </c>
      <c r="N11007" s="1">
        <v>40725</v>
      </c>
    </row>
    <row r="11008" spans="11:14" x14ac:dyDescent="0.3">
      <c r="K11008" s="1">
        <v>41183</v>
      </c>
      <c r="M11008" t="e">
        <v>#N/A</v>
      </c>
      <c r="N11008" s="1">
        <v>40725</v>
      </c>
    </row>
    <row r="11009" spans="11:14" x14ac:dyDescent="0.3">
      <c r="K11009" s="1">
        <v>41183</v>
      </c>
      <c r="M11009" t="e">
        <v>#N/A</v>
      </c>
      <c r="N11009" s="1">
        <v>40725</v>
      </c>
    </row>
    <row r="11010" spans="11:14" x14ac:dyDescent="0.3">
      <c r="K11010" s="1">
        <v>41183</v>
      </c>
      <c r="M11010" t="e">
        <v>#N/A</v>
      </c>
      <c r="N11010" s="1">
        <v>40725</v>
      </c>
    </row>
    <row r="11011" spans="11:14" x14ac:dyDescent="0.3">
      <c r="K11011" s="1">
        <v>41183</v>
      </c>
      <c r="M11011" t="e">
        <v>#N/A</v>
      </c>
      <c r="N11011" s="1">
        <v>40725</v>
      </c>
    </row>
    <row r="11012" spans="11:14" x14ac:dyDescent="0.3">
      <c r="K11012" s="1">
        <v>41183</v>
      </c>
      <c r="M11012" t="e">
        <v>#N/A</v>
      </c>
      <c r="N11012" s="1">
        <v>40725</v>
      </c>
    </row>
    <row r="11013" spans="11:14" x14ac:dyDescent="0.3">
      <c r="K11013" s="1">
        <v>41183</v>
      </c>
      <c r="M11013" t="e">
        <v>#N/A</v>
      </c>
      <c r="N11013" s="1">
        <v>40725</v>
      </c>
    </row>
    <row r="11014" spans="11:14" x14ac:dyDescent="0.3">
      <c r="K11014" s="1">
        <v>41183</v>
      </c>
      <c r="M11014" t="e">
        <v>#N/A</v>
      </c>
      <c r="N11014" s="1">
        <v>40725</v>
      </c>
    </row>
    <row r="11015" spans="11:14" x14ac:dyDescent="0.3">
      <c r="K11015" s="1">
        <v>41183</v>
      </c>
      <c r="M11015" t="e">
        <v>#N/A</v>
      </c>
      <c r="N11015" s="1">
        <v>40725</v>
      </c>
    </row>
    <row r="11016" spans="11:14" x14ac:dyDescent="0.3">
      <c r="K11016" s="1">
        <v>41183</v>
      </c>
      <c r="M11016" t="e">
        <v>#N/A</v>
      </c>
      <c r="N11016" s="1">
        <v>40725</v>
      </c>
    </row>
    <row r="11017" spans="11:14" x14ac:dyDescent="0.3">
      <c r="K11017" s="1">
        <v>41183</v>
      </c>
      <c r="M11017" t="e">
        <v>#N/A</v>
      </c>
      <c r="N11017" s="1">
        <v>40725</v>
      </c>
    </row>
    <row r="11018" spans="11:14" x14ac:dyDescent="0.3">
      <c r="K11018" s="1">
        <v>41183</v>
      </c>
      <c r="M11018" t="e">
        <v>#N/A</v>
      </c>
      <c r="N11018" s="1">
        <v>40725</v>
      </c>
    </row>
    <row r="11019" spans="11:14" x14ac:dyDescent="0.3">
      <c r="K11019" s="1">
        <v>41183</v>
      </c>
      <c r="M11019" t="e">
        <v>#N/A</v>
      </c>
      <c r="N11019" s="1">
        <v>40725</v>
      </c>
    </row>
    <row r="11020" spans="11:14" x14ac:dyDescent="0.3">
      <c r="K11020" s="1">
        <v>41183</v>
      </c>
      <c r="M11020" t="e">
        <v>#N/A</v>
      </c>
      <c r="N11020" s="1">
        <v>40725</v>
      </c>
    </row>
    <row r="11021" spans="11:14" x14ac:dyDescent="0.3">
      <c r="K11021" s="1">
        <v>41183</v>
      </c>
      <c r="M11021" t="e">
        <v>#N/A</v>
      </c>
      <c r="N11021" s="1">
        <v>40725</v>
      </c>
    </row>
    <row r="11022" spans="11:14" x14ac:dyDescent="0.3">
      <c r="K11022" s="1">
        <v>41183</v>
      </c>
      <c r="M11022" t="e">
        <v>#N/A</v>
      </c>
      <c r="N11022" s="1">
        <v>40725</v>
      </c>
    </row>
    <row r="11023" spans="11:14" x14ac:dyDescent="0.3">
      <c r="K11023" s="1">
        <v>41183</v>
      </c>
      <c r="M11023" t="e">
        <v>#N/A</v>
      </c>
      <c r="N11023" s="1">
        <v>40725</v>
      </c>
    </row>
    <row r="11024" spans="11:14" x14ac:dyDescent="0.3">
      <c r="K11024" s="1">
        <v>41183</v>
      </c>
      <c r="M11024" t="e">
        <v>#N/A</v>
      </c>
      <c r="N11024" s="1">
        <v>40725</v>
      </c>
    </row>
    <row r="11025" spans="11:14" x14ac:dyDescent="0.3">
      <c r="K11025" s="1">
        <v>41183</v>
      </c>
      <c r="M11025" t="e">
        <v>#N/A</v>
      </c>
      <c r="N11025" s="1">
        <v>40725</v>
      </c>
    </row>
    <row r="11026" spans="11:14" x14ac:dyDescent="0.3">
      <c r="K11026" s="1">
        <v>41183</v>
      </c>
      <c r="M11026" t="e">
        <v>#N/A</v>
      </c>
      <c r="N11026" s="1">
        <v>40725</v>
      </c>
    </row>
    <row r="11027" spans="11:14" x14ac:dyDescent="0.3">
      <c r="K11027" s="1">
        <v>41183</v>
      </c>
      <c r="M11027" t="e">
        <v>#N/A</v>
      </c>
      <c r="N11027" s="1">
        <v>40725</v>
      </c>
    </row>
    <row r="11028" spans="11:14" x14ac:dyDescent="0.3">
      <c r="K11028" s="1">
        <v>41183</v>
      </c>
      <c r="M11028" t="e">
        <v>#N/A</v>
      </c>
      <c r="N11028" s="1">
        <v>40725</v>
      </c>
    </row>
    <row r="11029" spans="11:14" x14ac:dyDescent="0.3">
      <c r="K11029" s="1">
        <v>41183</v>
      </c>
      <c r="M11029" t="e">
        <v>#N/A</v>
      </c>
      <c r="N11029" s="1">
        <v>40725</v>
      </c>
    </row>
    <row r="11030" spans="11:14" x14ac:dyDescent="0.3">
      <c r="K11030" s="1">
        <v>41183</v>
      </c>
      <c r="M11030" t="e">
        <v>#N/A</v>
      </c>
      <c r="N11030" s="1">
        <v>40725</v>
      </c>
    </row>
    <row r="11031" spans="11:14" x14ac:dyDescent="0.3">
      <c r="K11031" s="1">
        <v>41183</v>
      </c>
      <c r="M11031" t="e">
        <v>#N/A</v>
      </c>
      <c r="N11031" s="1">
        <v>40725</v>
      </c>
    </row>
    <row r="11032" spans="11:14" x14ac:dyDescent="0.3">
      <c r="K11032" s="1">
        <v>41183</v>
      </c>
      <c r="M11032" t="e">
        <v>#N/A</v>
      </c>
      <c r="N11032" s="1">
        <v>40725</v>
      </c>
    </row>
    <row r="11033" spans="11:14" x14ac:dyDescent="0.3">
      <c r="K11033" s="1">
        <v>41183</v>
      </c>
      <c r="M11033" t="e">
        <v>#N/A</v>
      </c>
      <c r="N11033" s="1">
        <v>40725</v>
      </c>
    </row>
    <row r="11034" spans="11:14" x14ac:dyDescent="0.3">
      <c r="K11034" s="1">
        <v>41183</v>
      </c>
      <c r="M11034" t="e">
        <v>#N/A</v>
      </c>
      <c r="N11034" s="1">
        <v>40725</v>
      </c>
    </row>
    <row r="11035" spans="11:14" x14ac:dyDescent="0.3">
      <c r="K11035" s="1">
        <v>41183</v>
      </c>
      <c r="M11035" t="e">
        <v>#N/A</v>
      </c>
      <c r="N11035" s="1">
        <v>40725</v>
      </c>
    </row>
    <row r="11036" spans="11:14" x14ac:dyDescent="0.3">
      <c r="K11036" s="1">
        <v>41183</v>
      </c>
      <c r="M11036" t="e">
        <v>#N/A</v>
      </c>
      <c r="N11036" s="1">
        <v>40725</v>
      </c>
    </row>
    <row r="11037" spans="11:14" x14ac:dyDescent="0.3">
      <c r="K11037" s="1">
        <v>41183</v>
      </c>
      <c r="M11037" t="e">
        <v>#N/A</v>
      </c>
      <c r="N11037" s="1">
        <v>40725</v>
      </c>
    </row>
    <row r="11038" spans="11:14" x14ac:dyDescent="0.3">
      <c r="K11038" s="1">
        <v>41183</v>
      </c>
      <c r="M11038" t="e">
        <v>#N/A</v>
      </c>
      <c r="N11038" s="1">
        <v>40725</v>
      </c>
    </row>
    <row r="11039" spans="11:14" x14ac:dyDescent="0.3">
      <c r="K11039" s="1">
        <v>41183</v>
      </c>
      <c r="M11039" t="e">
        <v>#N/A</v>
      </c>
      <c r="N11039" s="1">
        <v>40725</v>
      </c>
    </row>
    <row r="11040" spans="11:14" x14ac:dyDescent="0.3">
      <c r="K11040" s="1">
        <v>41183</v>
      </c>
      <c r="M11040" t="e">
        <v>#N/A</v>
      </c>
      <c r="N11040" s="1">
        <v>40725</v>
      </c>
    </row>
    <row r="11041" spans="11:14" x14ac:dyDescent="0.3">
      <c r="K11041" s="1">
        <v>41183</v>
      </c>
      <c r="M11041" t="e">
        <v>#N/A</v>
      </c>
      <c r="N11041" s="1">
        <v>40725</v>
      </c>
    </row>
    <row r="11042" spans="11:14" x14ac:dyDescent="0.3">
      <c r="K11042" s="1">
        <v>41183</v>
      </c>
      <c r="M11042" t="e">
        <v>#N/A</v>
      </c>
      <c r="N11042" s="1">
        <v>40725</v>
      </c>
    </row>
    <row r="11043" spans="11:14" x14ac:dyDescent="0.3">
      <c r="K11043" s="1">
        <v>41183</v>
      </c>
      <c r="M11043" t="e">
        <v>#N/A</v>
      </c>
      <c r="N11043" s="1">
        <v>40725</v>
      </c>
    </row>
    <row r="11044" spans="11:14" x14ac:dyDescent="0.3">
      <c r="K11044" s="1">
        <v>41183</v>
      </c>
      <c r="M11044" t="e">
        <v>#N/A</v>
      </c>
      <c r="N11044" s="1">
        <v>40725</v>
      </c>
    </row>
    <row r="11045" spans="11:14" x14ac:dyDescent="0.3">
      <c r="K11045" s="1">
        <v>41183</v>
      </c>
      <c r="M11045" t="e">
        <v>#N/A</v>
      </c>
      <c r="N11045" s="1">
        <v>40725</v>
      </c>
    </row>
    <row r="11046" spans="11:14" x14ac:dyDescent="0.3">
      <c r="K11046" s="1">
        <v>41183</v>
      </c>
      <c r="M11046" t="e">
        <v>#N/A</v>
      </c>
      <c r="N11046" s="1">
        <v>40725</v>
      </c>
    </row>
    <row r="11047" spans="11:14" x14ac:dyDescent="0.3">
      <c r="K11047" s="1">
        <v>41183</v>
      </c>
      <c r="M11047" t="e">
        <v>#N/A</v>
      </c>
      <c r="N11047" s="1">
        <v>40725</v>
      </c>
    </row>
    <row r="11048" spans="11:14" x14ac:dyDescent="0.3">
      <c r="K11048" s="1">
        <v>41183</v>
      </c>
      <c r="M11048" t="e">
        <v>#N/A</v>
      </c>
      <c r="N11048" s="1">
        <v>40725</v>
      </c>
    </row>
    <row r="11049" spans="11:14" x14ac:dyDescent="0.3">
      <c r="K11049" s="1">
        <v>41183</v>
      </c>
      <c r="M11049" t="e">
        <v>#N/A</v>
      </c>
      <c r="N11049" s="1">
        <v>40725</v>
      </c>
    </row>
    <row r="11050" spans="11:14" x14ac:dyDescent="0.3">
      <c r="K11050" s="1">
        <v>41183</v>
      </c>
      <c r="M11050" t="e">
        <v>#N/A</v>
      </c>
      <c r="N11050" s="1">
        <v>40725</v>
      </c>
    </row>
    <row r="11051" spans="11:14" x14ac:dyDescent="0.3">
      <c r="K11051" s="1">
        <v>41183</v>
      </c>
      <c r="M11051" t="e">
        <v>#N/A</v>
      </c>
      <c r="N11051" s="1">
        <v>40725</v>
      </c>
    </row>
    <row r="11052" spans="11:14" x14ac:dyDescent="0.3">
      <c r="K11052" s="1">
        <v>41183</v>
      </c>
      <c r="M11052" t="e">
        <v>#N/A</v>
      </c>
      <c r="N11052" s="1">
        <v>40725</v>
      </c>
    </row>
    <row r="11053" spans="11:14" x14ac:dyDescent="0.3">
      <c r="K11053" s="1">
        <v>41183</v>
      </c>
      <c r="M11053" t="e">
        <v>#N/A</v>
      </c>
      <c r="N11053" s="1">
        <v>40725</v>
      </c>
    </row>
    <row r="11054" spans="11:14" x14ac:dyDescent="0.3">
      <c r="K11054" s="1">
        <v>41183</v>
      </c>
      <c r="M11054" t="e">
        <v>#N/A</v>
      </c>
      <c r="N11054" s="1">
        <v>40725</v>
      </c>
    </row>
    <row r="11055" spans="11:14" x14ac:dyDescent="0.3">
      <c r="K11055" s="1">
        <v>41183</v>
      </c>
      <c r="M11055" t="e">
        <v>#N/A</v>
      </c>
      <c r="N11055" s="1">
        <v>40725</v>
      </c>
    </row>
    <row r="11056" spans="11:14" x14ac:dyDescent="0.3">
      <c r="K11056" s="1">
        <v>41183</v>
      </c>
      <c r="M11056" t="e">
        <v>#N/A</v>
      </c>
      <c r="N11056" s="1">
        <v>40725</v>
      </c>
    </row>
    <row r="11057" spans="11:14" x14ac:dyDescent="0.3">
      <c r="K11057" s="1">
        <v>41183</v>
      </c>
      <c r="M11057" t="e">
        <v>#N/A</v>
      </c>
      <c r="N11057" s="1">
        <v>40725</v>
      </c>
    </row>
    <row r="11058" spans="11:14" x14ac:dyDescent="0.3">
      <c r="K11058" s="1">
        <v>41183</v>
      </c>
      <c r="M11058" t="e">
        <v>#N/A</v>
      </c>
      <c r="N11058" s="1">
        <v>40725</v>
      </c>
    </row>
    <row r="11059" spans="11:14" x14ac:dyDescent="0.3">
      <c r="K11059" s="1">
        <v>41183</v>
      </c>
      <c r="M11059" t="e">
        <v>#N/A</v>
      </c>
      <c r="N11059" s="1">
        <v>40725</v>
      </c>
    </row>
    <row r="11060" spans="11:14" x14ac:dyDescent="0.3">
      <c r="K11060" s="1">
        <v>41183</v>
      </c>
      <c r="M11060" t="e">
        <v>#N/A</v>
      </c>
      <c r="N11060" s="1">
        <v>40725</v>
      </c>
    </row>
    <row r="11061" spans="11:14" x14ac:dyDescent="0.3">
      <c r="K11061" s="1">
        <v>41183</v>
      </c>
      <c r="M11061" t="e">
        <v>#N/A</v>
      </c>
      <c r="N11061" s="1">
        <v>40725</v>
      </c>
    </row>
    <row r="11062" spans="11:14" x14ac:dyDescent="0.3">
      <c r="K11062" s="1">
        <v>41183</v>
      </c>
      <c r="M11062" t="e">
        <v>#N/A</v>
      </c>
      <c r="N11062" s="1">
        <v>40725</v>
      </c>
    </row>
    <row r="11063" spans="11:14" x14ac:dyDescent="0.3">
      <c r="K11063" s="1">
        <v>41183</v>
      </c>
      <c r="M11063" t="e">
        <v>#N/A</v>
      </c>
      <c r="N11063" s="1">
        <v>40725</v>
      </c>
    </row>
    <row r="11064" spans="11:14" x14ac:dyDescent="0.3">
      <c r="K11064" s="1">
        <v>41183</v>
      </c>
      <c r="M11064" t="e">
        <v>#N/A</v>
      </c>
      <c r="N11064" s="1">
        <v>40725</v>
      </c>
    </row>
    <row r="11065" spans="11:14" x14ac:dyDescent="0.3">
      <c r="K11065" s="1">
        <v>41183</v>
      </c>
      <c r="M11065" t="e">
        <v>#N/A</v>
      </c>
      <c r="N11065" s="1">
        <v>40725</v>
      </c>
    </row>
    <row r="11066" spans="11:14" x14ac:dyDescent="0.3">
      <c r="K11066" s="1">
        <v>41183</v>
      </c>
      <c r="M11066" t="e">
        <v>#N/A</v>
      </c>
      <c r="N11066" s="1">
        <v>40725</v>
      </c>
    </row>
    <row r="11067" spans="11:14" x14ac:dyDescent="0.3">
      <c r="K11067" s="1">
        <v>41183</v>
      </c>
      <c r="M11067" t="e">
        <v>#N/A</v>
      </c>
      <c r="N11067" s="1">
        <v>40725</v>
      </c>
    </row>
    <row r="11068" spans="11:14" x14ac:dyDescent="0.3">
      <c r="K11068" s="1">
        <v>41183</v>
      </c>
      <c r="M11068" t="e">
        <v>#N/A</v>
      </c>
      <c r="N11068" s="1">
        <v>40725</v>
      </c>
    </row>
    <row r="11069" spans="11:14" x14ac:dyDescent="0.3">
      <c r="K11069" s="1">
        <v>41183</v>
      </c>
      <c r="M11069" t="e">
        <v>#N/A</v>
      </c>
      <c r="N11069" s="1">
        <v>40725</v>
      </c>
    </row>
    <row r="11070" spans="11:14" x14ac:dyDescent="0.3">
      <c r="K11070" s="1">
        <v>41183</v>
      </c>
      <c r="M11070" t="e">
        <v>#N/A</v>
      </c>
      <c r="N11070" s="1">
        <v>40725</v>
      </c>
    </row>
    <row r="11071" spans="11:14" x14ac:dyDescent="0.3">
      <c r="K11071" s="1">
        <v>41183</v>
      </c>
      <c r="M11071" t="e">
        <v>#N/A</v>
      </c>
      <c r="N11071" s="1">
        <v>40725</v>
      </c>
    </row>
    <row r="11072" spans="11:14" x14ac:dyDescent="0.3">
      <c r="K11072" s="1">
        <v>41183</v>
      </c>
      <c r="M11072" t="e">
        <v>#N/A</v>
      </c>
      <c r="N11072" s="1">
        <v>40725</v>
      </c>
    </row>
    <row r="11073" spans="11:14" x14ac:dyDescent="0.3">
      <c r="K11073" s="1">
        <v>41183</v>
      </c>
      <c r="M11073" t="e">
        <v>#N/A</v>
      </c>
      <c r="N11073" s="1">
        <v>40725</v>
      </c>
    </row>
    <row r="11074" spans="11:14" x14ac:dyDescent="0.3">
      <c r="K11074" s="1">
        <v>41183</v>
      </c>
      <c r="M11074" t="e">
        <v>#N/A</v>
      </c>
      <c r="N11074" s="1">
        <v>40725</v>
      </c>
    </row>
    <row r="11075" spans="11:14" x14ac:dyDescent="0.3">
      <c r="K11075" s="1">
        <v>41183</v>
      </c>
      <c r="M11075" t="e">
        <v>#N/A</v>
      </c>
      <c r="N11075" s="1">
        <v>40725</v>
      </c>
    </row>
    <row r="11076" spans="11:14" x14ac:dyDescent="0.3">
      <c r="K11076" s="1">
        <v>41183</v>
      </c>
      <c r="M11076" t="e">
        <v>#N/A</v>
      </c>
      <c r="N11076" s="1">
        <v>40817</v>
      </c>
    </row>
    <row r="11077" spans="11:14" x14ac:dyDescent="0.3">
      <c r="K11077" s="1">
        <v>41183</v>
      </c>
      <c r="M11077" t="e">
        <v>#N/A</v>
      </c>
      <c r="N11077" s="1">
        <v>40817</v>
      </c>
    </row>
    <row r="11078" spans="11:14" x14ac:dyDescent="0.3">
      <c r="K11078" s="1">
        <v>41183</v>
      </c>
      <c r="M11078" t="e">
        <v>#N/A</v>
      </c>
      <c r="N11078" s="1">
        <v>40817</v>
      </c>
    </row>
    <row r="11079" spans="11:14" x14ac:dyDescent="0.3">
      <c r="K11079" s="1">
        <v>41183</v>
      </c>
      <c r="M11079" t="e">
        <v>#N/A</v>
      </c>
      <c r="N11079" s="1">
        <v>40817</v>
      </c>
    </row>
    <row r="11080" spans="11:14" x14ac:dyDescent="0.3">
      <c r="K11080" s="1">
        <v>41183</v>
      </c>
      <c r="M11080" t="e">
        <v>#N/A</v>
      </c>
      <c r="N11080" s="1">
        <v>40817</v>
      </c>
    </row>
    <row r="11081" spans="11:14" x14ac:dyDescent="0.3">
      <c r="K11081" s="1">
        <v>41183</v>
      </c>
      <c r="M11081" t="e">
        <v>#N/A</v>
      </c>
      <c r="N11081" s="1">
        <v>40817</v>
      </c>
    </row>
    <row r="11082" spans="11:14" x14ac:dyDescent="0.3">
      <c r="K11082" s="1">
        <v>41183</v>
      </c>
      <c r="M11082" t="e">
        <v>#N/A</v>
      </c>
      <c r="N11082" s="1">
        <v>40817</v>
      </c>
    </row>
    <row r="11083" spans="11:14" x14ac:dyDescent="0.3">
      <c r="K11083" s="1">
        <v>41183</v>
      </c>
      <c r="M11083" t="e">
        <v>#N/A</v>
      </c>
      <c r="N11083" s="1">
        <v>40817</v>
      </c>
    </row>
    <row r="11084" spans="11:14" x14ac:dyDescent="0.3">
      <c r="K11084" s="1">
        <v>41183</v>
      </c>
      <c r="M11084" t="e">
        <v>#N/A</v>
      </c>
      <c r="N11084" s="1">
        <v>40817</v>
      </c>
    </row>
    <row r="11085" spans="11:14" x14ac:dyDescent="0.3">
      <c r="K11085" s="1">
        <v>41183</v>
      </c>
      <c r="M11085" t="e">
        <v>#N/A</v>
      </c>
      <c r="N11085" s="1">
        <v>40817</v>
      </c>
    </row>
    <row r="11086" spans="11:14" x14ac:dyDescent="0.3">
      <c r="K11086" s="1">
        <v>41183</v>
      </c>
      <c r="M11086" t="e">
        <v>#N/A</v>
      </c>
      <c r="N11086" s="1">
        <v>40817</v>
      </c>
    </row>
    <row r="11087" spans="11:14" x14ac:dyDescent="0.3">
      <c r="K11087" s="1">
        <v>41183</v>
      </c>
      <c r="M11087" t="e">
        <v>#N/A</v>
      </c>
      <c r="N11087" s="1">
        <v>40817</v>
      </c>
    </row>
    <row r="11088" spans="11:14" x14ac:dyDescent="0.3">
      <c r="K11088" s="1">
        <v>41183</v>
      </c>
      <c r="M11088" t="e">
        <v>#N/A</v>
      </c>
      <c r="N11088" s="1">
        <v>40817</v>
      </c>
    </row>
    <row r="11089" spans="11:14" x14ac:dyDescent="0.3">
      <c r="K11089" s="1">
        <v>41183</v>
      </c>
      <c r="M11089" t="e">
        <v>#N/A</v>
      </c>
      <c r="N11089" s="1">
        <v>40817</v>
      </c>
    </row>
    <row r="11090" spans="11:14" x14ac:dyDescent="0.3">
      <c r="K11090" s="1">
        <v>41183</v>
      </c>
      <c r="M11090" t="e">
        <v>#N/A</v>
      </c>
      <c r="N11090" s="1">
        <v>40817</v>
      </c>
    </row>
    <row r="11091" spans="11:14" x14ac:dyDescent="0.3">
      <c r="K11091" s="1">
        <v>41183</v>
      </c>
      <c r="M11091" t="e">
        <v>#N/A</v>
      </c>
      <c r="N11091" s="1">
        <v>40817</v>
      </c>
    </row>
    <row r="11092" spans="11:14" x14ac:dyDescent="0.3">
      <c r="K11092" s="1">
        <v>41183</v>
      </c>
      <c r="M11092" t="e">
        <v>#N/A</v>
      </c>
      <c r="N11092" s="1">
        <v>40817</v>
      </c>
    </row>
    <row r="11093" spans="11:14" x14ac:dyDescent="0.3">
      <c r="K11093" s="1">
        <v>41183</v>
      </c>
      <c r="M11093" t="e">
        <v>#N/A</v>
      </c>
      <c r="N11093" s="1">
        <v>40817</v>
      </c>
    </row>
    <row r="11094" spans="11:14" x14ac:dyDescent="0.3">
      <c r="K11094" s="1">
        <v>41183</v>
      </c>
      <c r="M11094" t="e">
        <v>#N/A</v>
      </c>
      <c r="N11094" s="1">
        <v>40817</v>
      </c>
    </row>
    <row r="11095" spans="11:14" x14ac:dyDescent="0.3">
      <c r="K11095" s="1">
        <v>41183</v>
      </c>
      <c r="M11095" t="e">
        <v>#N/A</v>
      </c>
      <c r="N11095" s="1">
        <v>40817</v>
      </c>
    </row>
    <row r="11096" spans="11:14" x14ac:dyDescent="0.3">
      <c r="K11096" s="1">
        <v>41183</v>
      </c>
      <c r="M11096" t="e">
        <v>#N/A</v>
      </c>
      <c r="N11096" s="1">
        <v>40817</v>
      </c>
    </row>
    <row r="11097" spans="11:14" x14ac:dyDescent="0.3">
      <c r="K11097" s="1">
        <v>41183</v>
      </c>
      <c r="M11097" t="e">
        <v>#N/A</v>
      </c>
      <c r="N11097" s="1">
        <v>40817</v>
      </c>
    </row>
    <row r="11098" spans="11:14" x14ac:dyDescent="0.3">
      <c r="K11098" s="1">
        <v>41183</v>
      </c>
      <c r="M11098" t="e">
        <v>#N/A</v>
      </c>
      <c r="N11098" s="1">
        <v>40817</v>
      </c>
    </row>
    <row r="11099" spans="11:14" x14ac:dyDescent="0.3">
      <c r="K11099" s="1">
        <v>41183</v>
      </c>
      <c r="M11099" t="e">
        <v>#N/A</v>
      </c>
      <c r="N11099" s="1">
        <v>40817</v>
      </c>
    </row>
    <row r="11100" spans="11:14" x14ac:dyDescent="0.3">
      <c r="K11100" s="1">
        <v>41183</v>
      </c>
      <c r="M11100" t="e">
        <v>#N/A</v>
      </c>
      <c r="N11100" s="1">
        <v>40817</v>
      </c>
    </row>
    <row r="11101" spans="11:14" x14ac:dyDescent="0.3">
      <c r="K11101" s="1">
        <v>41183</v>
      </c>
      <c r="M11101" t="e">
        <v>#N/A</v>
      </c>
      <c r="N11101" s="1">
        <v>40817</v>
      </c>
    </row>
    <row r="11102" spans="11:14" x14ac:dyDescent="0.3">
      <c r="K11102" s="1">
        <v>41183</v>
      </c>
      <c r="M11102" t="e">
        <v>#N/A</v>
      </c>
      <c r="N11102" s="1">
        <v>40817</v>
      </c>
    </row>
    <row r="11103" spans="11:14" x14ac:dyDescent="0.3">
      <c r="K11103" s="1">
        <v>41183</v>
      </c>
      <c r="M11103" t="e">
        <v>#N/A</v>
      </c>
      <c r="N11103" s="1">
        <v>40817</v>
      </c>
    </row>
    <row r="11104" spans="11:14" x14ac:dyDescent="0.3">
      <c r="K11104" s="1">
        <v>41183</v>
      </c>
      <c r="M11104" t="e">
        <v>#N/A</v>
      </c>
      <c r="N11104" s="1">
        <v>40817</v>
      </c>
    </row>
    <row r="11105" spans="11:14" x14ac:dyDescent="0.3">
      <c r="K11105" s="1">
        <v>41183</v>
      </c>
      <c r="M11105" t="e">
        <v>#N/A</v>
      </c>
      <c r="N11105" s="1">
        <v>40817</v>
      </c>
    </row>
    <row r="11106" spans="11:14" x14ac:dyDescent="0.3">
      <c r="K11106" s="1">
        <v>41183</v>
      </c>
      <c r="M11106" t="e">
        <v>#N/A</v>
      </c>
      <c r="N11106" s="1">
        <v>40817</v>
      </c>
    </row>
    <row r="11107" spans="11:14" x14ac:dyDescent="0.3">
      <c r="K11107" s="1">
        <v>41183</v>
      </c>
      <c r="M11107" t="e">
        <v>#N/A</v>
      </c>
      <c r="N11107" s="1">
        <v>40817</v>
      </c>
    </row>
    <row r="11108" spans="11:14" x14ac:dyDescent="0.3">
      <c r="K11108" s="1">
        <v>41183</v>
      </c>
      <c r="M11108" t="e">
        <v>#N/A</v>
      </c>
      <c r="N11108" s="1">
        <v>40817</v>
      </c>
    </row>
    <row r="11109" spans="11:14" x14ac:dyDescent="0.3">
      <c r="K11109" s="1">
        <v>41183</v>
      </c>
      <c r="M11109" t="e">
        <v>#N/A</v>
      </c>
      <c r="N11109" s="1">
        <v>40817</v>
      </c>
    </row>
    <row r="11110" spans="11:14" x14ac:dyDescent="0.3">
      <c r="K11110" s="1">
        <v>41183</v>
      </c>
      <c r="M11110" t="e">
        <v>#N/A</v>
      </c>
      <c r="N11110" s="1">
        <v>40817</v>
      </c>
    </row>
    <row r="11111" spans="11:14" x14ac:dyDescent="0.3">
      <c r="K11111" s="1">
        <v>41183</v>
      </c>
      <c r="M11111" t="e">
        <v>#N/A</v>
      </c>
      <c r="N11111" s="1">
        <v>40817</v>
      </c>
    </row>
    <row r="11112" spans="11:14" x14ac:dyDescent="0.3">
      <c r="K11112" s="1">
        <v>41183</v>
      </c>
      <c r="M11112" t="e">
        <v>#N/A</v>
      </c>
      <c r="N11112" s="1">
        <v>40817</v>
      </c>
    </row>
    <row r="11113" spans="11:14" x14ac:dyDescent="0.3">
      <c r="K11113" s="1">
        <v>41183</v>
      </c>
      <c r="M11113" t="e">
        <v>#N/A</v>
      </c>
      <c r="N11113" s="1">
        <v>40817</v>
      </c>
    </row>
    <row r="11114" spans="11:14" x14ac:dyDescent="0.3">
      <c r="K11114" s="1">
        <v>41183</v>
      </c>
      <c r="M11114" t="e">
        <v>#N/A</v>
      </c>
      <c r="N11114" s="1">
        <v>40817</v>
      </c>
    </row>
    <row r="11115" spans="11:14" x14ac:dyDescent="0.3">
      <c r="K11115" s="1">
        <v>41183</v>
      </c>
      <c r="M11115" t="e">
        <v>#N/A</v>
      </c>
      <c r="N11115" s="1">
        <v>40817</v>
      </c>
    </row>
    <row r="11116" spans="11:14" x14ac:dyDescent="0.3">
      <c r="K11116" s="1">
        <v>41183</v>
      </c>
      <c r="M11116" t="e">
        <v>#N/A</v>
      </c>
      <c r="N11116" s="1">
        <v>40817</v>
      </c>
    </row>
    <row r="11117" spans="11:14" x14ac:dyDescent="0.3">
      <c r="K11117" s="1">
        <v>41183</v>
      </c>
      <c r="M11117" t="e">
        <v>#N/A</v>
      </c>
      <c r="N11117" s="1">
        <v>40817</v>
      </c>
    </row>
    <row r="11118" spans="11:14" x14ac:dyDescent="0.3">
      <c r="K11118" s="1">
        <v>41183</v>
      </c>
      <c r="M11118" t="e">
        <v>#N/A</v>
      </c>
      <c r="N11118" s="1">
        <v>40817</v>
      </c>
    </row>
    <row r="11119" spans="11:14" x14ac:dyDescent="0.3">
      <c r="K11119" s="1">
        <v>41183</v>
      </c>
      <c r="M11119" t="e">
        <v>#N/A</v>
      </c>
      <c r="N11119" s="1">
        <v>40817</v>
      </c>
    </row>
    <row r="11120" spans="11:14" x14ac:dyDescent="0.3">
      <c r="K11120" s="1">
        <v>41183</v>
      </c>
      <c r="M11120" t="e">
        <v>#N/A</v>
      </c>
      <c r="N11120" s="1">
        <v>40817</v>
      </c>
    </row>
    <row r="11121" spans="11:14" x14ac:dyDescent="0.3">
      <c r="K11121" s="1">
        <v>41183</v>
      </c>
      <c r="M11121" t="e">
        <v>#N/A</v>
      </c>
      <c r="N11121" s="1">
        <v>40817</v>
      </c>
    </row>
    <row r="11122" spans="11:14" x14ac:dyDescent="0.3">
      <c r="K11122" s="1">
        <v>41183</v>
      </c>
      <c r="M11122" t="e">
        <v>#N/A</v>
      </c>
      <c r="N11122" s="1">
        <v>40817</v>
      </c>
    </row>
    <row r="11123" spans="11:14" x14ac:dyDescent="0.3">
      <c r="K11123" s="1">
        <v>41183</v>
      </c>
      <c r="M11123" t="e">
        <v>#N/A</v>
      </c>
      <c r="N11123" s="1">
        <v>40817</v>
      </c>
    </row>
    <row r="11124" spans="11:14" x14ac:dyDescent="0.3">
      <c r="K11124" s="1">
        <v>41183</v>
      </c>
      <c r="M11124" t="e">
        <v>#N/A</v>
      </c>
      <c r="N11124" s="1">
        <v>40817</v>
      </c>
    </row>
    <row r="11125" spans="11:14" x14ac:dyDescent="0.3">
      <c r="K11125" s="1">
        <v>41183</v>
      </c>
      <c r="M11125" t="e">
        <v>#N/A</v>
      </c>
      <c r="N11125" s="1">
        <v>40817</v>
      </c>
    </row>
    <row r="11126" spans="11:14" x14ac:dyDescent="0.3">
      <c r="K11126" s="1">
        <v>41183</v>
      </c>
      <c r="M11126" t="e">
        <v>#N/A</v>
      </c>
      <c r="N11126" s="1">
        <v>40817</v>
      </c>
    </row>
    <row r="11127" spans="11:14" x14ac:dyDescent="0.3">
      <c r="K11127" s="1">
        <v>41183</v>
      </c>
      <c r="M11127" t="e">
        <v>#N/A</v>
      </c>
      <c r="N11127" s="1">
        <v>40817</v>
      </c>
    </row>
    <row r="11128" spans="11:14" x14ac:dyDescent="0.3">
      <c r="K11128" s="1">
        <v>41183</v>
      </c>
      <c r="M11128" t="e">
        <v>#N/A</v>
      </c>
      <c r="N11128" s="1">
        <v>40817</v>
      </c>
    </row>
    <row r="11129" spans="11:14" x14ac:dyDescent="0.3">
      <c r="K11129" s="1">
        <v>41183</v>
      </c>
      <c r="M11129" t="e">
        <v>#N/A</v>
      </c>
      <c r="N11129" s="1">
        <v>40817</v>
      </c>
    </row>
    <row r="11130" spans="11:14" x14ac:dyDescent="0.3">
      <c r="K11130" s="1">
        <v>41183</v>
      </c>
      <c r="M11130" t="e">
        <v>#N/A</v>
      </c>
      <c r="N11130" s="1">
        <v>40817</v>
      </c>
    </row>
    <row r="11131" spans="11:14" x14ac:dyDescent="0.3">
      <c r="K11131" s="1">
        <v>41183</v>
      </c>
      <c r="M11131" t="e">
        <v>#N/A</v>
      </c>
      <c r="N11131" s="1">
        <v>40817</v>
      </c>
    </row>
    <row r="11132" spans="11:14" x14ac:dyDescent="0.3">
      <c r="K11132" s="1">
        <v>41183</v>
      </c>
      <c r="M11132" t="e">
        <v>#N/A</v>
      </c>
      <c r="N11132" s="1">
        <v>40817</v>
      </c>
    </row>
    <row r="11133" spans="11:14" x14ac:dyDescent="0.3">
      <c r="K11133" s="1">
        <v>41183</v>
      </c>
      <c r="M11133" t="e">
        <v>#N/A</v>
      </c>
      <c r="N11133" s="1">
        <v>40817</v>
      </c>
    </row>
    <row r="11134" spans="11:14" x14ac:dyDescent="0.3">
      <c r="K11134" s="1">
        <v>41183</v>
      </c>
      <c r="M11134" t="e">
        <v>#N/A</v>
      </c>
      <c r="N11134" s="1">
        <v>40817</v>
      </c>
    </row>
    <row r="11135" spans="11:14" x14ac:dyDescent="0.3">
      <c r="K11135" s="1">
        <v>41183</v>
      </c>
      <c r="M11135" t="e">
        <v>#N/A</v>
      </c>
      <c r="N11135" s="1">
        <v>40817</v>
      </c>
    </row>
    <row r="11136" spans="11:14" x14ac:dyDescent="0.3">
      <c r="K11136" s="1">
        <v>41183</v>
      </c>
      <c r="M11136" t="e">
        <v>#N/A</v>
      </c>
      <c r="N11136" s="1">
        <v>40817</v>
      </c>
    </row>
    <row r="11137" spans="11:14" x14ac:dyDescent="0.3">
      <c r="K11137" s="1">
        <v>41183</v>
      </c>
      <c r="M11137" t="e">
        <v>#N/A</v>
      </c>
      <c r="N11137" s="1">
        <v>40817</v>
      </c>
    </row>
    <row r="11138" spans="11:14" x14ac:dyDescent="0.3">
      <c r="K11138" s="1">
        <v>41183</v>
      </c>
      <c r="M11138" t="e">
        <v>#N/A</v>
      </c>
      <c r="N11138" s="1">
        <v>40817</v>
      </c>
    </row>
    <row r="11139" spans="11:14" x14ac:dyDescent="0.3">
      <c r="K11139" s="1">
        <v>41183</v>
      </c>
      <c r="M11139" t="e">
        <v>#N/A</v>
      </c>
      <c r="N11139" s="1">
        <v>40817</v>
      </c>
    </row>
    <row r="11140" spans="11:14" x14ac:dyDescent="0.3">
      <c r="K11140" s="1">
        <v>41183</v>
      </c>
      <c r="M11140" t="e">
        <v>#N/A</v>
      </c>
      <c r="N11140" s="1">
        <v>40817</v>
      </c>
    </row>
    <row r="11141" spans="11:14" x14ac:dyDescent="0.3">
      <c r="K11141" s="1">
        <v>41183</v>
      </c>
      <c r="M11141" t="e">
        <v>#N/A</v>
      </c>
      <c r="N11141" s="1">
        <v>40817</v>
      </c>
    </row>
    <row r="11142" spans="11:14" x14ac:dyDescent="0.3">
      <c r="K11142" s="1">
        <v>41183</v>
      </c>
      <c r="M11142" t="e">
        <v>#N/A</v>
      </c>
      <c r="N11142" s="1">
        <v>40817</v>
      </c>
    </row>
    <row r="11143" spans="11:14" x14ac:dyDescent="0.3">
      <c r="K11143" s="1">
        <v>41183</v>
      </c>
      <c r="M11143" t="e">
        <v>#N/A</v>
      </c>
      <c r="N11143" s="1">
        <v>40817</v>
      </c>
    </row>
    <row r="11144" spans="11:14" x14ac:dyDescent="0.3">
      <c r="K11144" s="1">
        <v>41183</v>
      </c>
      <c r="M11144" t="e">
        <v>#N/A</v>
      </c>
      <c r="N11144" s="1">
        <v>40817</v>
      </c>
    </row>
    <row r="11145" spans="11:14" x14ac:dyDescent="0.3">
      <c r="K11145" s="1">
        <v>41183</v>
      </c>
      <c r="M11145" t="e">
        <v>#N/A</v>
      </c>
      <c r="N11145" s="1">
        <v>40817</v>
      </c>
    </row>
    <row r="11146" spans="11:14" x14ac:dyDescent="0.3">
      <c r="K11146" s="1">
        <v>41183</v>
      </c>
      <c r="M11146" t="e">
        <v>#N/A</v>
      </c>
      <c r="N11146" s="1">
        <v>40817</v>
      </c>
    </row>
    <row r="11147" spans="11:14" x14ac:dyDescent="0.3">
      <c r="K11147" s="1">
        <v>41183</v>
      </c>
      <c r="M11147" t="e">
        <v>#N/A</v>
      </c>
      <c r="N11147" s="1">
        <v>40817</v>
      </c>
    </row>
    <row r="11148" spans="11:14" x14ac:dyDescent="0.3">
      <c r="K11148" s="1">
        <v>41183</v>
      </c>
      <c r="M11148" t="e">
        <v>#N/A</v>
      </c>
      <c r="N11148" s="1">
        <v>40817</v>
      </c>
    </row>
    <row r="11149" spans="11:14" x14ac:dyDescent="0.3">
      <c r="K11149" s="1">
        <v>41183</v>
      </c>
      <c r="M11149" t="e">
        <v>#N/A</v>
      </c>
      <c r="N11149" s="1">
        <v>40817</v>
      </c>
    </row>
    <row r="11150" spans="11:14" x14ac:dyDescent="0.3">
      <c r="K11150" s="1">
        <v>41183</v>
      </c>
      <c r="M11150" t="e">
        <v>#N/A</v>
      </c>
      <c r="N11150" s="1">
        <v>40817</v>
      </c>
    </row>
    <row r="11151" spans="11:14" x14ac:dyDescent="0.3">
      <c r="K11151" s="1">
        <v>41183</v>
      </c>
      <c r="M11151" t="e">
        <v>#N/A</v>
      </c>
      <c r="N11151" s="1">
        <v>40817</v>
      </c>
    </row>
    <row r="11152" spans="11:14" x14ac:dyDescent="0.3">
      <c r="K11152" s="1">
        <v>41183</v>
      </c>
      <c r="M11152" t="e">
        <v>#N/A</v>
      </c>
      <c r="N11152" s="1">
        <v>40817</v>
      </c>
    </row>
    <row r="11153" spans="11:14" x14ac:dyDescent="0.3">
      <c r="K11153" s="1">
        <v>41183</v>
      </c>
      <c r="M11153" t="e">
        <v>#N/A</v>
      </c>
      <c r="N11153" s="1">
        <v>40817</v>
      </c>
    </row>
    <row r="11154" spans="11:14" x14ac:dyDescent="0.3">
      <c r="K11154" s="1">
        <v>41183</v>
      </c>
      <c r="M11154" t="e">
        <v>#N/A</v>
      </c>
      <c r="N11154" s="1">
        <v>40817</v>
      </c>
    </row>
    <row r="11155" spans="11:14" x14ac:dyDescent="0.3">
      <c r="K11155" s="1">
        <v>41183</v>
      </c>
      <c r="M11155" t="e">
        <v>#N/A</v>
      </c>
      <c r="N11155" s="1">
        <v>40817</v>
      </c>
    </row>
    <row r="11156" spans="11:14" x14ac:dyDescent="0.3">
      <c r="K11156" s="1">
        <v>41183</v>
      </c>
      <c r="M11156" t="e">
        <v>#N/A</v>
      </c>
      <c r="N11156" s="1">
        <v>40817</v>
      </c>
    </row>
    <row r="11157" spans="11:14" x14ac:dyDescent="0.3">
      <c r="K11157" s="1">
        <v>41183</v>
      </c>
      <c r="M11157" t="e">
        <v>#N/A</v>
      </c>
      <c r="N11157" s="1">
        <v>40817</v>
      </c>
    </row>
    <row r="11158" spans="11:14" x14ac:dyDescent="0.3">
      <c r="K11158" s="1">
        <v>41183</v>
      </c>
      <c r="M11158" t="e">
        <v>#N/A</v>
      </c>
      <c r="N11158" s="1">
        <v>40817</v>
      </c>
    </row>
    <row r="11159" spans="11:14" x14ac:dyDescent="0.3">
      <c r="K11159" s="1">
        <v>41183</v>
      </c>
      <c r="M11159" t="e">
        <v>#N/A</v>
      </c>
      <c r="N11159" s="1">
        <v>40817</v>
      </c>
    </row>
    <row r="11160" spans="11:14" x14ac:dyDescent="0.3">
      <c r="K11160" s="1">
        <v>41183</v>
      </c>
      <c r="M11160" t="e">
        <v>#N/A</v>
      </c>
      <c r="N11160" s="1">
        <v>40817</v>
      </c>
    </row>
    <row r="11161" spans="11:14" x14ac:dyDescent="0.3">
      <c r="K11161" s="1">
        <v>41183</v>
      </c>
      <c r="M11161" t="e">
        <v>#N/A</v>
      </c>
      <c r="N11161" s="1">
        <v>40817</v>
      </c>
    </row>
    <row r="11162" spans="11:14" x14ac:dyDescent="0.3">
      <c r="K11162" s="1">
        <v>41183</v>
      </c>
      <c r="M11162" t="e">
        <v>#N/A</v>
      </c>
      <c r="N11162" s="1">
        <v>40817</v>
      </c>
    </row>
    <row r="11163" spans="11:14" x14ac:dyDescent="0.3">
      <c r="K11163" s="1">
        <v>41183</v>
      </c>
      <c r="M11163" t="e">
        <v>#N/A</v>
      </c>
      <c r="N11163" s="1">
        <v>40817</v>
      </c>
    </row>
    <row r="11164" spans="11:14" x14ac:dyDescent="0.3">
      <c r="K11164" s="1">
        <v>41183</v>
      </c>
      <c r="M11164" t="e">
        <v>#N/A</v>
      </c>
      <c r="N11164" s="1">
        <v>40817</v>
      </c>
    </row>
    <row r="11165" spans="11:14" x14ac:dyDescent="0.3">
      <c r="K11165" s="1">
        <v>41183</v>
      </c>
      <c r="M11165" t="e">
        <v>#N/A</v>
      </c>
      <c r="N11165" s="1">
        <v>40817</v>
      </c>
    </row>
    <row r="11166" spans="11:14" x14ac:dyDescent="0.3">
      <c r="K11166" s="1">
        <v>41183</v>
      </c>
      <c r="M11166" t="e">
        <v>#N/A</v>
      </c>
      <c r="N11166" s="1">
        <v>40817</v>
      </c>
    </row>
    <row r="11167" spans="11:14" x14ac:dyDescent="0.3">
      <c r="K11167" s="1">
        <v>41183</v>
      </c>
      <c r="M11167" t="e">
        <v>#N/A</v>
      </c>
      <c r="N11167" s="1">
        <v>40817</v>
      </c>
    </row>
    <row r="11168" spans="11:14" x14ac:dyDescent="0.3">
      <c r="K11168" s="1">
        <v>41183</v>
      </c>
      <c r="M11168" t="e">
        <v>#N/A</v>
      </c>
      <c r="N11168" s="1">
        <v>40817</v>
      </c>
    </row>
    <row r="11169" spans="11:14" x14ac:dyDescent="0.3">
      <c r="K11169" s="1">
        <v>41183</v>
      </c>
      <c r="M11169" t="e">
        <v>#N/A</v>
      </c>
      <c r="N11169" s="1">
        <v>40817</v>
      </c>
    </row>
    <row r="11170" spans="11:14" x14ac:dyDescent="0.3">
      <c r="K11170" s="1">
        <v>41183</v>
      </c>
      <c r="M11170" t="e">
        <v>#N/A</v>
      </c>
      <c r="N11170" s="1">
        <v>40817</v>
      </c>
    </row>
    <row r="11171" spans="11:14" x14ac:dyDescent="0.3">
      <c r="K11171" s="1">
        <v>41183</v>
      </c>
      <c r="M11171" t="e">
        <v>#N/A</v>
      </c>
      <c r="N11171" s="1">
        <v>40817</v>
      </c>
    </row>
    <row r="11172" spans="11:14" x14ac:dyDescent="0.3">
      <c r="K11172" s="1">
        <v>41183</v>
      </c>
      <c r="M11172" t="e">
        <v>#N/A</v>
      </c>
      <c r="N11172" s="1">
        <v>40817</v>
      </c>
    </row>
    <row r="11173" spans="11:14" x14ac:dyDescent="0.3">
      <c r="K11173" s="1">
        <v>41183</v>
      </c>
      <c r="M11173" t="e">
        <v>#N/A</v>
      </c>
      <c r="N11173" s="1">
        <v>40817</v>
      </c>
    </row>
    <row r="11174" spans="11:14" x14ac:dyDescent="0.3">
      <c r="K11174" s="1">
        <v>41183</v>
      </c>
      <c r="M11174" t="e">
        <v>#N/A</v>
      </c>
      <c r="N11174" s="1">
        <v>40817</v>
      </c>
    </row>
    <row r="11175" spans="11:14" x14ac:dyDescent="0.3">
      <c r="K11175" s="1">
        <v>41183</v>
      </c>
      <c r="M11175" t="e">
        <v>#N/A</v>
      </c>
      <c r="N11175" s="1">
        <v>40817</v>
      </c>
    </row>
    <row r="11176" spans="11:14" x14ac:dyDescent="0.3">
      <c r="K11176" s="1">
        <v>41183</v>
      </c>
      <c r="M11176" t="e">
        <v>#N/A</v>
      </c>
      <c r="N11176" s="1">
        <v>40817</v>
      </c>
    </row>
    <row r="11177" spans="11:14" x14ac:dyDescent="0.3">
      <c r="K11177" s="1">
        <v>41183</v>
      </c>
      <c r="M11177" t="e">
        <v>#N/A</v>
      </c>
      <c r="N11177" s="1">
        <v>40817</v>
      </c>
    </row>
    <row r="11178" spans="11:14" x14ac:dyDescent="0.3">
      <c r="K11178" s="1">
        <v>41183</v>
      </c>
      <c r="M11178" t="e">
        <v>#N/A</v>
      </c>
      <c r="N11178" s="1">
        <v>40817</v>
      </c>
    </row>
    <row r="11179" spans="11:14" x14ac:dyDescent="0.3">
      <c r="K11179" s="1">
        <v>41183</v>
      </c>
      <c r="M11179" t="e">
        <v>#N/A</v>
      </c>
      <c r="N11179" s="1">
        <v>40817</v>
      </c>
    </row>
    <row r="11180" spans="11:14" x14ac:dyDescent="0.3">
      <c r="K11180" s="1">
        <v>41183</v>
      </c>
      <c r="M11180" t="e">
        <v>#N/A</v>
      </c>
      <c r="N11180" s="1">
        <v>40817</v>
      </c>
    </row>
    <row r="11181" spans="11:14" x14ac:dyDescent="0.3">
      <c r="K11181" s="1">
        <v>41183</v>
      </c>
      <c r="M11181" t="e">
        <v>#N/A</v>
      </c>
      <c r="N11181" s="1">
        <v>40817</v>
      </c>
    </row>
    <row r="11182" spans="11:14" x14ac:dyDescent="0.3">
      <c r="K11182" s="1">
        <v>41183</v>
      </c>
      <c r="M11182" t="e">
        <v>#N/A</v>
      </c>
      <c r="N11182" s="1">
        <v>40817</v>
      </c>
    </row>
    <row r="11183" spans="11:14" x14ac:dyDescent="0.3">
      <c r="K11183" s="1">
        <v>41183</v>
      </c>
      <c r="M11183" t="e">
        <v>#N/A</v>
      </c>
      <c r="N11183" s="1">
        <v>40817</v>
      </c>
    </row>
    <row r="11184" spans="11:14" x14ac:dyDescent="0.3">
      <c r="K11184" s="1">
        <v>41183</v>
      </c>
      <c r="M11184" t="e">
        <v>#N/A</v>
      </c>
      <c r="N11184" s="1">
        <v>40817</v>
      </c>
    </row>
    <row r="11185" spans="11:14" x14ac:dyDescent="0.3">
      <c r="K11185" s="1">
        <v>41183</v>
      </c>
      <c r="M11185" t="e">
        <v>#N/A</v>
      </c>
      <c r="N11185" s="1">
        <v>40817</v>
      </c>
    </row>
    <row r="11186" spans="11:14" x14ac:dyDescent="0.3">
      <c r="K11186" s="1">
        <v>41183</v>
      </c>
      <c r="M11186" t="e">
        <v>#N/A</v>
      </c>
      <c r="N11186" s="1">
        <v>40817</v>
      </c>
    </row>
    <row r="11187" spans="11:14" x14ac:dyDescent="0.3">
      <c r="K11187" s="1">
        <v>41183</v>
      </c>
      <c r="M11187" t="e">
        <v>#N/A</v>
      </c>
      <c r="N11187" s="1">
        <v>40817</v>
      </c>
    </row>
    <row r="11188" spans="11:14" x14ac:dyDescent="0.3">
      <c r="K11188" s="1">
        <v>41183</v>
      </c>
      <c r="M11188" t="e">
        <v>#N/A</v>
      </c>
      <c r="N11188" s="1">
        <v>40817</v>
      </c>
    </row>
    <row r="11189" spans="11:14" x14ac:dyDescent="0.3">
      <c r="K11189" s="1">
        <v>41183</v>
      </c>
      <c r="M11189" t="e">
        <v>#N/A</v>
      </c>
      <c r="N11189" s="1">
        <v>40817</v>
      </c>
    </row>
    <row r="11190" spans="11:14" x14ac:dyDescent="0.3">
      <c r="K11190" s="1">
        <v>41183</v>
      </c>
      <c r="M11190" t="e">
        <v>#N/A</v>
      </c>
      <c r="N11190" s="1">
        <v>40817</v>
      </c>
    </row>
    <row r="11191" spans="11:14" x14ac:dyDescent="0.3">
      <c r="K11191" s="1">
        <v>41183</v>
      </c>
      <c r="M11191" t="e">
        <v>#N/A</v>
      </c>
      <c r="N11191" s="1">
        <v>40817</v>
      </c>
    </row>
    <row r="11192" spans="11:14" x14ac:dyDescent="0.3">
      <c r="K11192" s="1">
        <v>41183</v>
      </c>
      <c r="M11192" t="e">
        <v>#N/A</v>
      </c>
      <c r="N11192" s="1">
        <v>40817</v>
      </c>
    </row>
    <row r="11193" spans="11:14" x14ac:dyDescent="0.3">
      <c r="K11193" s="1">
        <v>41183</v>
      </c>
      <c r="M11193" t="e">
        <v>#N/A</v>
      </c>
      <c r="N11193" s="1">
        <v>40817</v>
      </c>
    </row>
    <row r="11194" spans="11:14" x14ac:dyDescent="0.3">
      <c r="K11194" s="1">
        <v>41183</v>
      </c>
      <c r="M11194" t="e">
        <v>#N/A</v>
      </c>
      <c r="N11194" s="1">
        <v>40817</v>
      </c>
    </row>
    <row r="11195" spans="11:14" x14ac:dyDescent="0.3">
      <c r="K11195" s="1">
        <v>41183</v>
      </c>
      <c r="M11195" t="e">
        <v>#N/A</v>
      </c>
      <c r="N11195" s="1">
        <v>40817</v>
      </c>
    </row>
    <row r="11196" spans="11:14" x14ac:dyDescent="0.3">
      <c r="K11196" s="1">
        <v>41183</v>
      </c>
      <c r="M11196" t="e">
        <v>#N/A</v>
      </c>
      <c r="N11196" s="1">
        <v>40817</v>
      </c>
    </row>
    <row r="11197" spans="11:14" x14ac:dyDescent="0.3">
      <c r="K11197" s="1">
        <v>41183</v>
      </c>
      <c r="M11197" t="e">
        <v>#N/A</v>
      </c>
      <c r="N11197" s="1">
        <v>40817</v>
      </c>
    </row>
    <row r="11198" spans="11:14" x14ac:dyDescent="0.3">
      <c r="K11198" s="1">
        <v>41183</v>
      </c>
      <c r="M11198" t="e">
        <v>#N/A</v>
      </c>
      <c r="N11198" s="1">
        <v>40817</v>
      </c>
    </row>
    <row r="11199" spans="11:14" x14ac:dyDescent="0.3">
      <c r="K11199" s="1">
        <v>41183</v>
      </c>
      <c r="M11199" t="e">
        <v>#N/A</v>
      </c>
      <c r="N11199" s="1">
        <v>40817</v>
      </c>
    </row>
    <row r="11200" spans="11:14" x14ac:dyDescent="0.3">
      <c r="K11200" s="1">
        <v>41183</v>
      </c>
      <c r="M11200" t="e">
        <v>#N/A</v>
      </c>
      <c r="N11200" s="1">
        <v>40817</v>
      </c>
    </row>
    <row r="11201" spans="11:14" x14ac:dyDescent="0.3">
      <c r="K11201" s="1">
        <v>41183</v>
      </c>
      <c r="M11201" t="e">
        <v>#N/A</v>
      </c>
      <c r="N11201" s="1">
        <v>40817</v>
      </c>
    </row>
    <row r="11202" spans="11:14" x14ac:dyDescent="0.3">
      <c r="K11202" s="1">
        <v>41183</v>
      </c>
      <c r="M11202" t="e">
        <v>#N/A</v>
      </c>
      <c r="N11202" s="1">
        <v>40817</v>
      </c>
    </row>
    <row r="11203" spans="11:14" x14ac:dyDescent="0.3">
      <c r="K11203" s="1">
        <v>41183</v>
      </c>
      <c r="M11203" t="e">
        <v>#N/A</v>
      </c>
      <c r="N11203" s="1">
        <v>40817</v>
      </c>
    </row>
    <row r="11204" spans="11:14" x14ac:dyDescent="0.3">
      <c r="K11204" s="1">
        <v>41183</v>
      </c>
      <c r="M11204" t="e">
        <v>#N/A</v>
      </c>
      <c r="N11204" s="1">
        <v>40817</v>
      </c>
    </row>
    <row r="11205" spans="11:14" x14ac:dyDescent="0.3">
      <c r="K11205" s="1">
        <v>41183</v>
      </c>
      <c r="M11205" t="e">
        <v>#N/A</v>
      </c>
      <c r="N11205" s="1">
        <v>40817</v>
      </c>
    </row>
    <row r="11206" spans="11:14" x14ac:dyDescent="0.3">
      <c r="K11206" s="1">
        <v>41183</v>
      </c>
      <c r="M11206" t="e">
        <v>#N/A</v>
      </c>
      <c r="N11206" s="1">
        <v>40817</v>
      </c>
    </row>
    <row r="11207" spans="11:14" x14ac:dyDescent="0.3">
      <c r="K11207" s="1">
        <v>41183</v>
      </c>
      <c r="M11207" t="e">
        <v>#N/A</v>
      </c>
      <c r="N11207" s="1">
        <v>40817</v>
      </c>
    </row>
    <row r="11208" spans="11:14" x14ac:dyDescent="0.3">
      <c r="K11208" s="1">
        <v>41183</v>
      </c>
      <c r="M11208" t="e">
        <v>#N/A</v>
      </c>
      <c r="N11208" s="1">
        <v>40817</v>
      </c>
    </row>
    <row r="11209" spans="11:14" x14ac:dyDescent="0.3">
      <c r="K11209" s="1">
        <v>41183</v>
      </c>
      <c r="M11209" t="e">
        <v>#N/A</v>
      </c>
      <c r="N11209" s="1">
        <v>40817</v>
      </c>
    </row>
    <row r="11210" spans="11:14" x14ac:dyDescent="0.3">
      <c r="K11210" s="1">
        <v>41183</v>
      </c>
      <c r="M11210" t="e">
        <v>#N/A</v>
      </c>
      <c r="N11210" s="1">
        <v>40817</v>
      </c>
    </row>
    <row r="11211" spans="11:14" x14ac:dyDescent="0.3">
      <c r="K11211" s="1">
        <v>41183</v>
      </c>
      <c r="M11211" t="e">
        <v>#N/A</v>
      </c>
      <c r="N11211" s="1">
        <v>40817</v>
      </c>
    </row>
    <row r="11212" spans="11:14" x14ac:dyDescent="0.3">
      <c r="K11212" s="1">
        <v>41183</v>
      </c>
      <c r="M11212" t="e">
        <v>#N/A</v>
      </c>
      <c r="N11212" s="1">
        <v>40817</v>
      </c>
    </row>
    <row r="11213" spans="11:14" x14ac:dyDescent="0.3">
      <c r="K11213" s="1">
        <v>41183</v>
      </c>
      <c r="M11213" t="e">
        <v>#N/A</v>
      </c>
      <c r="N11213" s="1">
        <v>40817</v>
      </c>
    </row>
    <row r="11214" spans="11:14" x14ac:dyDescent="0.3">
      <c r="K11214" s="1">
        <v>41183</v>
      </c>
      <c r="M11214" t="e">
        <v>#N/A</v>
      </c>
      <c r="N11214" s="1">
        <v>40817</v>
      </c>
    </row>
    <row r="11215" spans="11:14" x14ac:dyDescent="0.3">
      <c r="K11215" s="1">
        <v>41183</v>
      </c>
      <c r="M11215" t="e">
        <v>#N/A</v>
      </c>
      <c r="N11215" s="1">
        <v>40817</v>
      </c>
    </row>
    <row r="11216" spans="11:14" x14ac:dyDescent="0.3">
      <c r="K11216" s="1">
        <v>41183</v>
      </c>
      <c r="M11216" t="e">
        <v>#N/A</v>
      </c>
      <c r="N11216" s="1">
        <v>40817</v>
      </c>
    </row>
    <row r="11217" spans="11:14" x14ac:dyDescent="0.3">
      <c r="K11217" s="1">
        <v>41183</v>
      </c>
      <c r="M11217" t="e">
        <v>#N/A</v>
      </c>
      <c r="N11217" s="1">
        <v>40817</v>
      </c>
    </row>
    <row r="11218" spans="11:14" x14ac:dyDescent="0.3">
      <c r="K11218" s="1">
        <v>41183</v>
      </c>
      <c r="M11218" t="e">
        <v>#N/A</v>
      </c>
      <c r="N11218" s="1">
        <v>40817</v>
      </c>
    </row>
    <row r="11219" spans="11:14" x14ac:dyDescent="0.3">
      <c r="K11219" s="1">
        <v>41183</v>
      </c>
      <c r="M11219" t="e">
        <v>#N/A</v>
      </c>
      <c r="N11219" s="1">
        <v>40817</v>
      </c>
    </row>
    <row r="11220" spans="11:14" x14ac:dyDescent="0.3">
      <c r="K11220" s="1">
        <v>41183</v>
      </c>
      <c r="M11220" t="e">
        <v>#N/A</v>
      </c>
      <c r="N11220" s="1">
        <v>40817</v>
      </c>
    </row>
    <row r="11221" spans="11:14" x14ac:dyDescent="0.3">
      <c r="K11221" s="1">
        <v>41183</v>
      </c>
      <c r="M11221" t="e">
        <v>#N/A</v>
      </c>
      <c r="N11221" s="1">
        <v>40817</v>
      </c>
    </row>
    <row r="11222" spans="11:14" x14ac:dyDescent="0.3">
      <c r="K11222" s="1">
        <v>41183</v>
      </c>
      <c r="M11222" t="e">
        <v>#N/A</v>
      </c>
      <c r="N11222" s="1">
        <v>40817</v>
      </c>
    </row>
    <row r="11223" spans="11:14" x14ac:dyDescent="0.3">
      <c r="K11223" s="1">
        <v>41183</v>
      </c>
      <c r="M11223" t="e">
        <v>#N/A</v>
      </c>
      <c r="N11223" s="1">
        <v>40817</v>
      </c>
    </row>
    <row r="11224" spans="11:14" x14ac:dyDescent="0.3">
      <c r="K11224" s="1">
        <v>41183</v>
      </c>
      <c r="M11224" t="e">
        <v>#N/A</v>
      </c>
      <c r="N11224" s="1">
        <v>40817</v>
      </c>
    </row>
    <row r="11225" spans="11:14" x14ac:dyDescent="0.3">
      <c r="K11225" s="1">
        <v>41183</v>
      </c>
      <c r="M11225" t="e">
        <v>#N/A</v>
      </c>
      <c r="N11225" s="1">
        <v>40817</v>
      </c>
    </row>
    <row r="11226" spans="11:14" x14ac:dyDescent="0.3">
      <c r="K11226" s="1">
        <v>41183</v>
      </c>
      <c r="M11226" t="e">
        <v>#N/A</v>
      </c>
      <c r="N11226" s="1">
        <v>40817</v>
      </c>
    </row>
    <row r="11227" spans="11:14" x14ac:dyDescent="0.3">
      <c r="K11227" s="1">
        <v>41183</v>
      </c>
      <c r="M11227" t="e">
        <v>#N/A</v>
      </c>
      <c r="N11227" s="1">
        <v>40817</v>
      </c>
    </row>
    <row r="11228" spans="11:14" x14ac:dyDescent="0.3">
      <c r="K11228" s="1">
        <v>41183</v>
      </c>
      <c r="M11228" t="e">
        <v>#N/A</v>
      </c>
      <c r="N11228" s="1">
        <v>40817</v>
      </c>
    </row>
    <row r="11229" spans="11:14" x14ac:dyDescent="0.3">
      <c r="K11229" s="1">
        <v>41183</v>
      </c>
      <c r="M11229" t="e">
        <v>#N/A</v>
      </c>
      <c r="N11229" s="1">
        <v>40817</v>
      </c>
    </row>
    <row r="11230" spans="11:14" x14ac:dyDescent="0.3">
      <c r="K11230" s="1">
        <v>41183</v>
      </c>
      <c r="M11230" t="e">
        <v>#N/A</v>
      </c>
      <c r="N11230" s="1">
        <v>40817</v>
      </c>
    </row>
    <row r="11231" spans="11:14" x14ac:dyDescent="0.3">
      <c r="K11231" s="1">
        <v>41183</v>
      </c>
      <c r="M11231" t="e">
        <v>#N/A</v>
      </c>
      <c r="N11231" s="1">
        <v>40817</v>
      </c>
    </row>
    <row r="11232" spans="11:14" x14ac:dyDescent="0.3">
      <c r="K11232" s="1">
        <v>41183</v>
      </c>
      <c r="M11232" t="e">
        <v>#N/A</v>
      </c>
      <c r="N11232" s="1">
        <v>40817</v>
      </c>
    </row>
    <row r="11233" spans="11:14" x14ac:dyDescent="0.3">
      <c r="K11233" s="1">
        <v>41183</v>
      </c>
      <c r="M11233" t="e">
        <v>#N/A</v>
      </c>
      <c r="N11233" s="1">
        <v>40817</v>
      </c>
    </row>
    <row r="11234" spans="11:14" x14ac:dyDescent="0.3">
      <c r="K11234" s="1">
        <v>41183</v>
      </c>
      <c r="M11234" t="e">
        <v>#N/A</v>
      </c>
      <c r="N11234" s="1">
        <v>40817</v>
      </c>
    </row>
    <row r="11235" spans="11:14" x14ac:dyDescent="0.3">
      <c r="K11235" s="1">
        <v>41183</v>
      </c>
      <c r="M11235" t="e">
        <v>#N/A</v>
      </c>
      <c r="N11235" s="1">
        <v>40817</v>
      </c>
    </row>
    <row r="11236" spans="11:14" x14ac:dyDescent="0.3">
      <c r="K11236" s="1">
        <v>41183</v>
      </c>
      <c r="M11236" t="e">
        <v>#N/A</v>
      </c>
      <c r="N11236" s="1">
        <v>40817</v>
      </c>
    </row>
    <row r="11237" spans="11:14" x14ac:dyDescent="0.3">
      <c r="K11237" s="1">
        <v>41183</v>
      </c>
      <c r="M11237" t="e">
        <v>#N/A</v>
      </c>
      <c r="N11237" s="1">
        <v>40817</v>
      </c>
    </row>
    <row r="11238" spans="11:14" x14ac:dyDescent="0.3">
      <c r="K11238" s="1">
        <v>41183</v>
      </c>
      <c r="M11238" t="e">
        <v>#N/A</v>
      </c>
      <c r="N11238" s="1">
        <v>40817</v>
      </c>
    </row>
    <row r="11239" spans="11:14" x14ac:dyDescent="0.3">
      <c r="K11239" s="1">
        <v>41183</v>
      </c>
      <c r="M11239" t="e">
        <v>#N/A</v>
      </c>
      <c r="N11239" s="1">
        <v>40817</v>
      </c>
    </row>
    <row r="11240" spans="11:14" x14ac:dyDescent="0.3">
      <c r="K11240" s="1">
        <v>41183</v>
      </c>
      <c r="M11240" t="e">
        <v>#N/A</v>
      </c>
      <c r="N11240" s="1">
        <v>40817</v>
      </c>
    </row>
    <row r="11241" spans="11:14" x14ac:dyDescent="0.3">
      <c r="K11241" s="1">
        <v>41183</v>
      </c>
      <c r="M11241" t="e">
        <v>#N/A</v>
      </c>
      <c r="N11241" s="1">
        <v>40817</v>
      </c>
    </row>
    <row r="11242" spans="11:14" x14ac:dyDescent="0.3">
      <c r="K11242" s="1">
        <v>41183</v>
      </c>
      <c r="M11242" t="e">
        <v>#N/A</v>
      </c>
      <c r="N11242" s="1">
        <v>40817</v>
      </c>
    </row>
    <row r="11243" spans="11:14" x14ac:dyDescent="0.3">
      <c r="K11243" s="1">
        <v>41183</v>
      </c>
      <c r="M11243" t="e">
        <v>#N/A</v>
      </c>
      <c r="N11243" s="1">
        <v>40817</v>
      </c>
    </row>
    <row r="11244" spans="11:14" x14ac:dyDescent="0.3">
      <c r="K11244" s="1">
        <v>41183</v>
      </c>
      <c r="M11244" t="e">
        <v>#N/A</v>
      </c>
      <c r="N11244" s="1">
        <v>40817</v>
      </c>
    </row>
    <row r="11245" spans="11:14" x14ac:dyDescent="0.3">
      <c r="K11245" s="1">
        <v>41183</v>
      </c>
      <c r="M11245" t="e">
        <v>#N/A</v>
      </c>
      <c r="N11245" s="1">
        <v>40817</v>
      </c>
    </row>
    <row r="11246" spans="11:14" x14ac:dyDescent="0.3">
      <c r="K11246" s="1">
        <v>41183</v>
      </c>
      <c r="M11246" t="e">
        <v>#N/A</v>
      </c>
      <c r="N11246" s="1">
        <v>40817</v>
      </c>
    </row>
    <row r="11247" spans="11:14" x14ac:dyDescent="0.3">
      <c r="K11247" s="1">
        <v>41183</v>
      </c>
      <c r="M11247" t="e">
        <v>#N/A</v>
      </c>
      <c r="N11247" s="1">
        <v>40817</v>
      </c>
    </row>
    <row r="11248" spans="11:14" x14ac:dyDescent="0.3">
      <c r="K11248" s="1">
        <v>41183</v>
      </c>
      <c r="M11248" t="e">
        <v>#N/A</v>
      </c>
      <c r="N11248" s="1">
        <v>40817</v>
      </c>
    </row>
    <row r="11249" spans="11:14" x14ac:dyDescent="0.3">
      <c r="K11249" s="1">
        <v>41183</v>
      </c>
      <c r="M11249" t="e">
        <v>#N/A</v>
      </c>
      <c r="N11249" s="1">
        <v>40817</v>
      </c>
    </row>
    <row r="11250" spans="11:14" x14ac:dyDescent="0.3">
      <c r="K11250" s="1">
        <v>41183</v>
      </c>
      <c r="M11250" t="e">
        <v>#N/A</v>
      </c>
      <c r="N11250" s="1">
        <v>40817</v>
      </c>
    </row>
    <row r="11251" spans="11:14" x14ac:dyDescent="0.3">
      <c r="K11251" s="1">
        <v>41183</v>
      </c>
      <c r="M11251" t="e">
        <v>#N/A</v>
      </c>
      <c r="N11251" s="1">
        <v>40817</v>
      </c>
    </row>
    <row r="11252" spans="11:14" x14ac:dyDescent="0.3">
      <c r="K11252" s="1">
        <v>41183</v>
      </c>
      <c r="M11252" t="e">
        <v>#N/A</v>
      </c>
      <c r="N11252" s="1">
        <v>40817</v>
      </c>
    </row>
    <row r="11253" spans="11:14" x14ac:dyDescent="0.3">
      <c r="K11253" s="1">
        <v>41183</v>
      </c>
      <c r="M11253" t="e">
        <v>#N/A</v>
      </c>
      <c r="N11253" s="1">
        <v>40817</v>
      </c>
    </row>
    <row r="11254" spans="11:14" x14ac:dyDescent="0.3">
      <c r="K11254" s="1">
        <v>41183</v>
      </c>
      <c r="M11254" t="e">
        <v>#N/A</v>
      </c>
      <c r="N11254" s="1">
        <v>40817</v>
      </c>
    </row>
    <row r="11255" spans="11:14" x14ac:dyDescent="0.3">
      <c r="K11255" s="1">
        <v>41183</v>
      </c>
      <c r="M11255" t="e">
        <v>#N/A</v>
      </c>
      <c r="N11255" s="1">
        <v>40817</v>
      </c>
    </row>
    <row r="11256" spans="11:14" x14ac:dyDescent="0.3">
      <c r="K11256" s="1">
        <v>41183</v>
      </c>
      <c r="M11256" t="e">
        <v>#N/A</v>
      </c>
      <c r="N11256" s="1">
        <v>40817</v>
      </c>
    </row>
    <row r="11257" spans="11:14" x14ac:dyDescent="0.3">
      <c r="K11257" s="1">
        <v>41183</v>
      </c>
      <c r="M11257" t="e">
        <v>#N/A</v>
      </c>
      <c r="N11257" s="1">
        <v>40817</v>
      </c>
    </row>
    <row r="11258" spans="11:14" x14ac:dyDescent="0.3">
      <c r="K11258" s="1">
        <v>41183</v>
      </c>
      <c r="M11258" t="e">
        <v>#N/A</v>
      </c>
      <c r="N11258" s="1">
        <v>40817</v>
      </c>
    </row>
    <row r="11259" spans="11:14" x14ac:dyDescent="0.3">
      <c r="K11259" s="1">
        <v>41183</v>
      </c>
      <c r="M11259" t="e">
        <v>#N/A</v>
      </c>
      <c r="N11259" s="1">
        <v>40817</v>
      </c>
    </row>
    <row r="11260" spans="11:14" x14ac:dyDescent="0.3">
      <c r="K11260" s="1">
        <v>41183</v>
      </c>
      <c r="M11260" t="e">
        <v>#N/A</v>
      </c>
      <c r="N11260" s="1">
        <v>40817</v>
      </c>
    </row>
    <row r="11261" spans="11:14" x14ac:dyDescent="0.3">
      <c r="K11261" s="1">
        <v>41183</v>
      </c>
      <c r="M11261" t="e">
        <v>#N/A</v>
      </c>
      <c r="N11261" s="1">
        <v>40817</v>
      </c>
    </row>
    <row r="11262" spans="11:14" x14ac:dyDescent="0.3">
      <c r="K11262" s="1">
        <v>41183</v>
      </c>
      <c r="M11262" t="e">
        <v>#N/A</v>
      </c>
      <c r="N11262" s="1">
        <v>40817</v>
      </c>
    </row>
    <row r="11263" spans="11:14" x14ac:dyDescent="0.3">
      <c r="K11263" s="1">
        <v>41183</v>
      </c>
      <c r="M11263" t="e">
        <v>#N/A</v>
      </c>
      <c r="N11263" s="1">
        <v>40817</v>
      </c>
    </row>
    <row r="11264" spans="11:14" x14ac:dyDescent="0.3">
      <c r="K11264" s="1">
        <v>41183</v>
      </c>
      <c r="M11264" t="e">
        <v>#N/A</v>
      </c>
      <c r="N11264" s="1">
        <v>40817</v>
      </c>
    </row>
    <row r="11265" spans="11:14" x14ac:dyDescent="0.3">
      <c r="K11265" s="1">
        <v>41183</v>
      </c>
      <c r="M11265" t="e">
        <v>#N/A</v>
      </c>
      <c r="N11265" s="1">
        <v>40817</v>
      </c>
    </row>
    <row r="11266" spans="11:14" x14ac:dyDescent="0.3">
      <c r="K11266" s="1">
        <v>41183</v>
      </c>
      <c r="M11266" t="e">
        <v>#N/A</v>
      </c>
      <c r="N11266" s="1">
        <v>40817</v>
      </c>
    </row>
    <row r="11267" spans="11:14" x14ac:dyDescent="0.3">
      <c r="K11267" s="1">
        <v>41183</v>
      </c>
      <c r="M11267" t="e">
        <v>#N/A</v>
      </c>
      <c r="N11267" s="1">
        <v>40817</v>
      </c>
    </row>
    <row r="11268" spans="11:14" x14ac:dyDescent="0.3">
      <c r="K11268" s="1">
        <v>41183</v>
      </c>
      <c r="M11268" t="e">
        <v>#N/A</v>
      </c>
      <c r="N11268" s="1">
        <v>40817</v>
      </c>
    </row>
    <row r="11269" spans="11:14" x14ac:dyDescent="0.3">
      <c r="K11269" s="1">
        <v>41183</v>
      </c>
      <c r="M11269" t="e">
        <v>#N/A</v>
      </c>
      <c r="N11269" s="1">
        <v>40817</v>
      </c>
    </row>
    <row r="11270" spans="11:14" x14ac:dyDescent="0.3">
      <c r="K11270" s="1">
        <v>41183</v>
      </c>
      <c r="M11270" t="e">
        <v>#N/A</v>
      </c>
      <c r="N11270" s="1">
        <v>40817</v>
      </c>
    </row>
    <row r="11271" spans="11:14" x14ac:dyDescent="0.3">
      <c r="K11271" s="1">
        <v>41183</v>
      </c>
      <c r="M11271" t="e">
        <v>#N/A</v>
      </c>
      <c r="N11271" s="1">
        <v>40817</v>
      </c>
    </row>
    <row r="11272" spans="11:14" x14ac:dyDescent="0.3">
      <c r="K11272" s="1">
        <v>41183</v>
      </c>
      <c r="M11272" t="e">
        <v>#N/A</v>
      </c>
      <c r="N11272" s="1">
        <v>40817</v>
      </c>
    </row>
    <row r="11273" spans="11:14" x14ac:dyDescent="0.3">
      <c r="K11273" s="1">
        <v>41183</v>
      </c>
      <c r="M11273" t="e">
        <v>#N/A</v>
      </c>
      <c r="N11273" s="1">
        <v>40817</v>
      </c>
    </row>
    <row r="11274" spans="11:14" x14ac:dyDescent="0.3">
      <c r="K11274" s="1">
        <v>41183</v>
      </c>
      <c r="M11274" t="e">
        <v>#N/A</v>
      </c>
      <c r="N11274" s="1">
        <v>40817</v>
      </c>
    </row>
    <row r="11275" spans="11:14" x14ac:dyDescent="0.3">
      <c r="K11275" s="1">
        <v>41183</v>
      </c>
      <c r="M11275" t="e">
        <v>#N/A</v>
      </c>
      <c r="N11275" s="1">
        <v>40817</v>
      </c>
    </row>
    <row r="11276" spans="11:14" x14ac:dyDescent="0.3">
      <c r="K11276" s="1">
        <v>41183</v>
      </c>
      <c r="M11276" t="e">
        <v>#N/A</v>
      </c>
      <c r="N11276" s="1">
        <v>40817</v>
      </c>
    </row>
    <row r="11277" spans="11:14" x14ac:dyDescent="0.3">
      <c r="K11277" s="1">
        <v>41183</v>
      </c>
      <c r="M11277" t="e">
        <v>#N/A</v>
      </c>
      <c r="N11277" s="1">
        <v>40817</v>
      </c>
    </row>
    <row r="11278" spans="11:14" x14ac:dyDescent="0.3">
      <c r="K11278" s="1">
        <v>41183</v>
      </c>
      <c r="M11278" t="e">
        <v>#N/A</v>
      </c>
      <c r="N11278" s="1">
        <v>40817</v>
      </c>
    </row>
    <row r="11279" spans="11:14" x14ac:dyDescent="0.3">
      <c r="K11279" s="1">
        <v>41183</v>
      </c>
      <c r="M11279" t="e">
        <v>#N/A</v>
      </c>
      <c r="N11279" s="1">
        <v>40817</v>
      </c>
    </row>
    <row r="11280" spans="11:14" x14ac:dyDescent="0.3">
      <c r="K11280" s="1">
        <v>41183</v>
      </c>
      <c r="M11280" t="e">
        <v>#N/A</v>
      </c>
      <c r="N11280" s="1">
        <v>40817</v>
      </c>
    </row>
    <row r="11281" spans="11:14" x14ac:dyDescent="0.3">
      <c r="K11281" s="1">
        <v>41183</v>
      </c>
      <c r="M11281" t="e">
        <v>#N/A</v>
      </c>
      <c r="N11281" s="1">
        <v>40817</v>
      </c>
    </row>
    <row r="11282" spans="11:14" x14ac:dyDescent="0.3">
      <c r="K11282" s="1">
        <v>41183</v>
      </c>
      <c r="M11282" t="e">
        <v>#N/A</v>
      </c>
      <c r="N11282" s="1">
        <v>40817</v>
      </c>
    </row>
    <row r="11283" spans="11:14" x14ac:dyDescent="0.3">
      <c r="K11283" s="1">
        <v>41183</v>
      </c>
      <c r="M11283" t="e">
        <v>#N/A</v>
      </c>
      <c r="N11283" s="1">
        <v>40817</v>
      </c>
    </row>
    <row r="11284" spans="11:14" x14ac:dyDescent="0.3">
      <c r="K11284" s="1">
        <v>41183</v>
      </c>
      <c r="M11284" t="e">
        <v>#N/A</v>
      </c>
      <c r="N11284" s="1">
        <v>40817</v>
      </c>
    </row>
    <row r="11285" spans="11:14" x14ac:dyDescent="0.3">
      <c r="K11285" s="1">
        <v>41183</v>
      </c>
      <c r="M11285" t="e">
        <v>#N/A</v>
      </c>
      <c r="N11285" s="1">
        <v>40817</v>
      </c>
    </row>
    <row r="11286" spans="11:14" x14ac:dyDescent="0.3">
      <c r="K11286" s="1">
        <v>41183</v>
      </c>
      <c r="M11286" t="e">
        <v>#N/A</v>
      </c>
      <c r="N11286" s="1">
        <v>40817</v>
      </c>
    </row>
    <row r="11287" spans="11:14" x14ac:dyDescent="0.3">
      <c r="K11287" s="1">
        <v>41183</v>
      </c>
      <c r="M11287" t="e">
        <v>#N/A</v>
      </c>
      <c r="N11287" s="1">
        <v>40817</v>
      </c>
    </row>
    <row r="11288" spans="11:14" x14ac:dyDescent="0.3">
      <c r="K11288" s="1">
        <v>41183</v>
      </c>
      <c r="M11288" t="e">
        <v>#N/A</v>
      </c>
      <c r="N11288" s="1">
        <v>40817</v>
      </c>
    </row>
    <row r="11289" spans="11:14" x14ac:dyDescent="0.3">
      <c r="K11289" s="1">
        <v>41183</v>
      </c>
      <c r="M11289" t="e">
        <v>#N/A</v>
      </c>
      <c r="N11289" s="1">
        <v>40817</v>
      </c>
    </row>
    <row r="11290" spans="11:14" x14ac:dyDescent="0.3">
      <c r="K11290" s="1">
        <v>41183</v>
      </c>
      <c r="M11290" t="e">
        <v>#N/A</v>
      </c>
      <c r="N11290" s="1">
        <v>40817</v>
      </c>
    </row>
    <row r="11291" spans="11:14" x14ac:dyDescent="0.3">
      <c r="K11291" s="1">
        <v>41183</v>
      </c>
      <c r="M11291" t="e">
        <v>#N/A</v>
      </c>
      <c r="N11291" s="1">
        <v>40817</v>
      </c>
    </row>
    <row r="11292" spans="11:14" x14ac:dyDescent="0.3">
      <c r="K11292" s="1">
        <v>41183</v>
      </c>
      <c r="M11292" t="e">
        <v>#N/A</v>
      </c>
      <c r="N11292" s="1">
        <v>40817</v>
      </c>
    </row>
    <row r="11293" spans="11:14" x14ac:dyDescent="0.3">
      <c r="K11293" s="1">
        <v>41183</v>
      </c>
      <c r="M11293" t="e">
        <v>#N/A</v>
      </c>
      <c r="N11293" s="1">
        <v>40817</v>
      </c>
    </row>
    <row r="11294" spans="11:14" x14ac:dyDescent="0.3">
      <c r="K11294" s="1">
        <v>41183</v>
      </c>
      <c r="M11294" t="e">
        <v>#N/A</v>
      </c>
      <c r="N11294" s="1">
        <v>40817</v>
      </c>
    </row>
    <row r="11295" spans="11:14" x14ac:dyDescent="0.3">
      <c r="K11295" s="1">
        <v>41183</v>
      </c>
      <c r="M11295" t="e">
        <v>#N/A</v>
      </c>
      <c r="N11295" s="1">
        <v>40817</v>
      </c>
    </row>
    <row r="11296" spans="11:14" x14ac:dyDescent="0.3">
      <c r="K11296" s="1">
        <v>41183</v>
      </c>
      <c r="M11296" t="e">
        <v>#N/A</v>
      </c>
      <c r="N11296" s="1">
        <v>40817</v>
      </c>
    </row>
    <row r="11297" spans="11:14" x14ac:dyDescent="0.3">
      <c r="K11297" s="1">
        <v>41183</v>
      </c>
      <c r="M11297" t="e">
        <v>#N/A</v>
      </c>
      <c r="N11297" s="1">
        <v>40817</v>
      </c>
    </row>
    <row r="11298" spans="11:14" x14ac:dyDescent="0.3">
      <c r="K11298" s="1">
        <v>41183</v>
      </c>
      <c r="M11298" t="e">
        <v>#N/A</v>
      </c>
      <c r="N11298" s="1">
        <v>40817</v>
      </c>
    </row>
    <row r="11299" spans="11:14" x14ac:dyDescent="0.3">
      <c r="K11299" s="1">
        <v>41183</v>
      </c>
      <c r="M11299" t="e">
        <v>#N/A</v>
      </c>
      <c r="N11299" s="1">
        <v>40817</v>
      </c>
    </row>
    <row r="11300" spans="11:14" x14ac:dyDescent="0.3">
      <c r="K11300" s="1">
        <v>41183</v>
      </c>
      <c r="M11300" t="e">
        <v>#N/A</v>
      </c>
      <c r="N11300" s="1">
        <v>40817</v>
      </c>
    </row>
    <row r="11301" spans="11:14" x14ac:dyDescent="0.3">
      <c r="K11301" s="1">
        <v>41183</v>
      </c>
      <c r="M11301" t="e">
        <v>#N/A</v>
      </c>
      <c r="N11301" s="1">
        <v>40817</v>
      </c>
    </row>
    <row r="11302" spans="11:14" x14ac:dyDescent="0.3">
      <c r="K11302" s="1">
        <v>41183</v>
      </c>
      <c r="M11302" t="e">
        <v>#N/A</v>
      </c>
      <c r="N11302" s="1">
        <v>40817</v>
      </c>
    </row>
    <row r="11303" spans="11:14" x14ac:dyDescent="0.3">
      <c r="K11303" s="1">
        <v>41275</v>
      </c>
      <c r="M11303" t="e">
        <v>#N/A</v>
      </c>
      <c r="N11303" s="1">
        <v>40817</v>
      </c>
    </row>
    <row r="11304" spans="11:14" x14ac:dyDescent="0.3">
      <c r="K11304" s="1">
        <v>41275</v>
      </c>
      <c r="M11304" t="e">
        <v>#N/A</v>
      </c>
      <c r="N11304" s="1">
        <v>40817</v>
      </c>
    </row>
    <row r="11305" spans="11:14" x14ac:dyDescent="0.3">
      <c r="K11305" s="1">
        <v>41275</v>
      </c>
      <c r="M11305" t="e">
        <v>#N/A</v>
      </c>
      <c r="N11305" s="1">
        <v>40817</v>
      </c>
    </row>
    <row r="11306" spans="11:14" x14ac:dyDescent="0.3">
      <c r="K11306" s="1">
        <v>41275</v>
      </c>
      <c r="M11306" t="e">
        <v>#N/A</v>
      </c>
      <c r="N11306" s="1">
        <v>40817</v>
      </c>
    </row>
    <row r="11307" spans="11:14" x14ac:dyDescent="0.3">
      <c r="K11307" s="1">
        <v>41275</v>
      </c>
      <c r="M11307" t="e">
        <v>#N/A</v>
      </c>
      <c r="N11307" s="1">
        <v>40817</v>
      </c>
    </row>
    <row r="11308" spans="11:14" x14ac:dyDescent="0.3">
      <c r="K11308" s="1">
        <v>41275</v>
      </c>
      <c r="M11308" t="e">
        <v>#N/A</v>
      </c>
      <c r="N11308" s="1">
        <v>40817</v>
      </c>
    </row>
    <row r="11309" spans="11:14" x14ac:dyDescent="0.3">
      <c r="K11309" s="1">
        <v>41275</v>
      </c>
      <c r="M11309" t="e">
        <v>#N/A</v>
      </c>
      <c r="N11309" s="1">
        <v>40817</v>
      </c>
    </row>
    <row r="11310" spans="11:14" x14ac:dyDescent="0.3">
      <c r="K11310" s="1">
        <v>41275</v>
      </c>
      <c r="M11310" t="e">
        <v>#N/A</v>
      </c>
      <c r="N11310" s="1">
        <v>40817</v>
      </c>
    </row>
    <row r="11311" spans="11:14" x14ac:dyDescent="0.3">
      <c r="K11311" s="1">
        <v>41275</v>
      </c>
      <c r="M11311" t="e">
        <v>#N/A</v>
      </c>
      <c r="N11311" s="1">
        <v>40817</v>
      </c>
    </row>
    <row r="11312" spans="11:14" x14ac:dyDescent="0.3">
      <c r="K11312" s="1">
        <v>41275</v>
      </c>
      <c r="M11312" t="e">
        <v>#N/A</v>
      </c>
      <c r="N11312" s="1">
        <v>40817</v>
      </c>
    </row>
    <row r="11313" spans="11:14" x14ac:dyDescent="0.3">
      <c r="K11313" s="1">
        <v>41275</v>
      </c>
      <c r="M11313" t="e">
        <v>#N/A</v>
      </c>
      <c r="N11313" s="1">
        <v>40817</v>
      </c>
    </row>
    <row r="11314" spans="11:14" x14ac:dyDescent="0.3">
      <c r="K11314" s="1">
        <v>41275</v>
      </c>
      <c r="M11314" t="e">
        <v>#N/A</v>
      </c>
      <c r="N11314" s="1">
        <v>40817</v>
      </c>
    </row>
    <row r="11315" spans="11:14" x14ac:dyDescent="0.3">
      <c r="K11315" s="1">
        <v>41275</v>
      </c>
      <c r="M11315" t="e">
        <v>#N/A</v>
      </c>
      <c r="N11315" s="1">
        <v>40817</v>
      </c>
    </row>
    <row r="11316" spans="11:14" x14ac:dyDescent="0.3">
      <c r="K11316" s="1">
        <v>41275</v>
      </c>
      <c r="M11316" t="e">
        <v>#N/A</v>
      </c>
      <c r="N11316" s="1">
        <v>40817</v>
      </c>
    </row>
    <row r="11317" spans="11:14" x14ac:dyDescent="0.3">
      <c r="K11317" s="1">
        <v>41275</v>
      </c>
      <c r="M11317" t="e">
        <v>#N/A</v>
      </c>
      <c r="N11317" s="1">
        <v>40817</v>
      </c>
    </row>
    <row r="11318" spans="11:14" x14ac:dyDescent="0.3">
      <c r="K11318" s="1">
        <v>41275</v>
      </c>
      <c r="M11318" t="e">
        <v>#N/A</v>
      </c>
      <c r="N11318" s="1">
        <v>40817</v>
      </c>
    </row>
    <row r="11319" spans="11:14" x14ac:dyDescent="0.3">
      <c r="K11319" s="1">
        <v>41275</v>
      </c>
      <c r="M11319" t="e">
        <v>#N/A</v>
      </c>
      <c r="N11319" s="1">
        <v>40817</v>
      </c>
    </row>
    <row r="11320" spans="11:14" x14ac:dyDescent="0.3">
      <c r="K11320" s="1">
        <v>41275</v>
      </c>
      <c r="M11320" t="e">
        <v>#N/A</v>
      </c>
      <c r="N11320" s="1">
        <v>40817</v>
      </c>
    </row>
    <row r="11321" spans="11:14" x14ac:dyDescent="0.3">
      <c r="K11321" s="1">
        <v>41275</v>
      </c>
      <c r="M11321" t="e">
        <v>#N/A</v>
      </c>
      <c r="N11321" s="1">
        <v>40817</v>
      </c>
    </row>
    <row r="11322" spans="11:14" x14ac:dyDescent="0.3">
      <c r="K11322" s="1">
        <v>41275</v>
      </c>
      <c r="M11322" t="e">
        <v>#N/A</v>
      </c>
      <c r="N11322" s="1">
        <v>40817</v>
      </c>
    </row>
    <row r="11323" spans="11:14" x14ac:dyDescent="0.3">
      <c r="K11323" s="1">
        <v>41275</v>
      </c>
      <c r="M11323" t="e">
        <v>#N/A</v>
      </c>
      <c r="N11323" s="1">
        <v>40817</v>
      </c>
    </row>
    <row r="11324" spans="11:14" x14ac:dyDescent="0.3">
      <c r="K11324" s="1">
        <v>41275</v>
      </c>
      <c r="M11324" t="e">
        <v>#N/A</v>
      </c>
      <c r="N11324" s="1">
        <v>40817</v>
      </c>
    </row>
    <row r="11325" spans="11:14" x14ac:dyDescent="0.3">
      <c r="K11325" s="1">
        <v>41275</v>
      </c>
      <c r="M11325" t="e">
        <v>#N/A</v>
      </c>
      <c r="N11325" s="1">
        <v>40817</v>
      </c>
    </row>
    <row r="11326" spans="11:14" x14ac:dyDescent="0.3">
      <c r="K11326" s="1">
        <v>41275</v>
      </c>
      <c r="M11326" t="e">
        <v>#N/A</v>
      </c>
      <c r="N11326" s="1">
        <v>40817</v>
      </c>
    </row>
    <row r="11327" spans="11:14" x14ac:dyDescent="0.3">
      <c r="K11327" s="1">
        <v>41275</v>
      </c>
      <c r="M11327" t="e">
        <v>#N/A</v>
      </c>
      <c r="N11327" s="1">
        <v>40817</v>
      </c>
    </row>
    <row r="11328" spans="11:14" x14ac:dyDescent="0.3">
      <c r="K11328" s="1">
        <v>41275</v>
      </c>
      <c r="M11328" t="e">
        <v>#N/A</v>
      </c>
      <c r="N11328" s="1">
        <v>40817</v>
      </c>
    </row>
    <row r="11329" spans="11:14" x14ac:dyDescent="0.3">
      <c r="K11329" s="1">
        <v>41275</v>
      </c>
      <c r="M11329" t="e">
        <v>#N/A</v>
      </c>
      <c r="N11329" s="1">
        <v>40817</v>
      </c>
    </row>
    <row r="11330" spans="11:14" x14ac:dyDescent="0.3">
      <c r="K11330" s="1">
        <v>41275</v>
      </c>
      <c r="M11330" t="e">
        <v>#N/A</v>
      </c>
      <c r="N11330" s="1">
        <v>40817</v>
      </c>
    </row>
    <row r="11331" spans="11:14" x14ac:dyDescent="0.3">
      <c r="K11331" s="1">
        <v>41275</v>
      </c>
      <c r="M11331" t="e">
        <v>#N/A</v>
      </c>
      <c r="N11331" s="1">
        <v>40817</v>
      </c>
    </row>
    <row r="11332" spans="11:14" x14ac:dyDescent="0.3">
      <c r="K11332" s="1">
        <v>41275</v>
      </c>
      <c r="M11332" t="e">
        <v>#N/A</v>
      </c>
      <c r="N11332" s="1">
        <v>40817</v>
      </c>
    </row>
    <row r="11333" spans="11:14" x14ac:dyDescent="0.3">
      <c r="K11333" s="1">
        <v>41275</v>
      </c>
      <c r="M11333" t="e">
        <v>#N/A</v>
      </c>
      <c r="N11333" s="1">
        <v>40817</v>
      </c>
    </row>
    <row r="11334" spans="11:14" x14ac:dyDescent="0.3">
      <c r="K11334" s="1">
        <v>41275</v>
      </c>
      <c r="M11334" t="e">
        <v>#N/A</v>
      </c>
      <c r="N11334" s="1">
        <v>40817</v>
      </c>
    </row>
    <row r="11335" spans="11:14" x14ac:dyDescent="0.3">
      <c r="K11335" s="1">
        <v>41275</v>
      </c>
      <c r="M11335" t="e">
        <v>#N/A</v>
      </c>
      <c r="N11335" s="1">
        <v>40817</v>
      </c>
    </row>
    <row r="11336" spans="11:14" x14ac:dyDescent="0.3">
      <c r="K11336" s="1">
        <v>41275</v>
      </c>
      <c r="M11336" t="e">
        <v>#N/A</v>
      </c>
      <c r="N11336" s="1">
        <v>40817</v>
      </c>
    </row>
    <row r="11337" spans="11:14" x14ac:dyDescent="0.3">
      <c r="K11337" s="1">
        <v>41275</v>
      </c>
      <c r="M11337" t="e">
        <v>#N/A</v>
      </c>
      <c r="N11337" s="1">
        <v>40817</v>
      </c>
    </row>
    <row r="11338" spans="11:14" x14ac:dyDescent="0.3">
      <c r="K11338" s="1">
        <v>41275</v>
      </c>
      <c r="M11338" t="e">
        <v>#N/A</v>
      </c>
      <c r="N11338" s="1">
        <v>40817</v>
      </c>
    </row>
    <row r="11339" spans="11:14" x14ac:dyDescent="0.3">
      <c r="K11339" s="1">
        <v>41275</v>
      </c>
      <c r="M11339" t="e">
        <v>#N/A</v>
      </c>
      <c r="N11339" s="1">
        <v>40817</v>
      </c>
    </row>
    <row r="11340" spans="11:14" x14ac:dyDescent="0.3">
      <c r="K11340" s="1">
        <v>41275</v>
      </c>
      <c r="M11340" t="e">
        <v>#N/A</v>
      </c>
      <c r="N11340" s="1">
        <v>40817</v>
      </c>
    </row>
    <row r="11341" spans="11:14" x14ac:dyDescent="0.3">
      <c r="K11341" s="1">
        <v>41275</v>
      </c>
      <c r="M11341" t="e">
        <v>#N/A</v>
      </c>
      <c r="N11341" s="1">
        <v>40817</v>
      </c>
    </row>
    <row r="11342" spans="11:14" x14ac:dyDescent="0.3">
      <c r="K11342" s="1">
        <v>41275</v>
      </c>
      <c r="M11342" t="e">
        <v>#N/A</v>
      </c>
      <c r="N11342" s="1">
        <v>40817</v>
      </c>
    </row>
    <row r="11343" spans="11:14" x14ac:dyDescent="0.3">
      <c r="K11343" s="1">
        <v>41275</v>
      </c>
      <c r="M11343" t="e">
        <v>#N/A</v>
      </c>
      <c r="N11343" s="1">
        <v>40817</v>
      </c>
    </row>
    <row r="11344" spans="11:14" x14ac:dyDescent="0.3">
      <c r="K11344" s="1">
        <v>41275</v>
      </c>
      <c r="M11344" t="e">
        <v>#N/A</v>
      </c>
      <c r="N11344" s="1">
        <v>40817</v>
      </c>
    </row>
    <row r="11345" spans="11:14" x14ac:dyDescent="0.3">
      <c r="K11345" s="1">
        <v>41275</v>
      </c>
      <c r="M11345" t="e">
        <v>#N/A</v>
      </c>
      <c r="N11345" s="1">
        <v>40817</v>
      </c>
    </row>
    <row r="11346" spans="11:14" x14ac:dyDescent="0.3">
      <c r="K11346" s="1">
        <v>41275</v>
      </c>
      <c r="M11346" t="e">
        <v>#N/A</v>
      </c>
      <c r="N11346" s="1">
        <v>40817</v>
      </c>
    </row>
    <row r="11347" spans="11:14" x14ac:dyDescent="0.3">
      <c r="K11347" s="1">
        <v>41275</v>
      </c>
      <c r="M11347" t="e">
        <v>#N/A</v>
      </c>
      <c r="N11347" s="1">
        <v>40817</v>
      </c>
    </row>
    <row r="11348" spans="11:14" x14ac:dyDescent="0.3">
      <c r="K11348" s="1">
        <v>41275</v>
      </c>
      <c r="M11348" t="e">
        <v>#N/A</v>
      </c>
      <c r="N11348" s="1">
        <v>40817</v>
      </c>
    </row>
    <row r="11349" spans="11:14" x14ac:dyDescent="0.3">
      <c r="K11349" s="1">
        <v>41275</v>
      </c>
      <c r="M11349" t="e">
        <v>#N/A</v>
      </c>
      <c r="N11349" s="1">
        <v>40817</v>
      </c>
    </row>
    <row r="11350" spans="11:14" x14ac:dyDescent="0.3">
      <c r="K11350" s="1">
        <v>41275</v>
      </c>
      <c r="M11350" t="e">
        <v>#N/A</v>
      </c>
      <c r="N11350" s="1">
        <v>40817</v>
      </c>
    </row>
    <row r="11351" spans="11:14" x14ac:dyDescent="0.3">
      <c r="K11351" s="1">
        <v>41275</v>
      </c>
      <c r="M11351" t="e">
        <v>#N/A</v>
      </c>
      <c r="N11351" s="1">
        <v>40817</v>
      </c>
    </row>
    <row r="11352" spans="11:14" x14ac:dyDescent="0.3">
      <c r="K11352" s="1">
        <v>41275</v>
      </c>
      <c r="M11352" t="e">
        <v>#N/A</v>
      </c>
      <c r="N11352" s="1">
        <v>40817</v>
      </c>
    </row>
    <row r="11353" spans="11:14" x14ac:dyDescent="0.3">
      <c r="K11353" s="1">
        <v>41275</v>
      </c>
      <c r="M11353" t="e">
        <v>#N/A</v>
      </c>
      <c r="N11353" s="1">
        <v>40817</v>
      </c>
    </row>
    <row r="11354" spans="11:14" x14ac:dyDescent="0.3">
      <c r="K11354" s="1">
        <v>41275</v>
      </c>
      <c r="M11354" t="e">
        <v>#N/A</v>
      </c>
      <c r="N11354" s="1">
        <v>40817</v>
      </c>
    </row>
    <row r="11355" spans="11:14" x14ac:dyDescent="0.3">
      <c r="K11355" s="1">
        <v>41275</v>
      </c>
      <c r="M11355" t="e">
        <v>#N/A</v>
      </c>
      <c r="N11355" s="1">
        <v>40817</v>
      </c>
    </row>
    <row r="11356" spans="11:14" x14ac:dyDescent="0.3">
      <c r="K11356" s="1">
        <v>41275</v>
      </c>
      <c r="M11356" t="e">
        <v>#N/A</v>
      </c>
      <c r="N11356" s="1">
        <v>40817</v>
      </c>
    </row>
    <row r="11357" spans="11:14" x14ac:dyDescent="0.3">
      <c r="K11357" s="1">
        <v>41275</v>
      </c>
      <c r="M11357" t="e">
        <v>#N/A</v>
      </c>
      <c r="N11357" s="1">
        <v>40817</v>
      </c>
    </row>
    <row r="11358" spans="11:14" x14ac:dyDescent="0.3">
      <c r="K11358" s="1">
        <v>41275</v>
      </c>
      <c r="M11358" t="e">
        <v>#N/A</v>
      </c>
      <c r="N11358" s="1">
        <v>40817</v>
      </c>
    </row>
    <row r="11359" spans="11:14" x14ac:dyDescent="0.3">
      <c r="K11359" s="1">
        <v>41275</v>
      </c>
      <c r="M11359" t="e">
        <v>#N/A</v>
      </c>
      <c r="N11359" s="1">
        <v>40817</v>
      </c>
    </row>
    <row r="11360" spans="11:14" x14ac:dyDescent="0.3">
      <c r="K11360" s="1">
        <v>41275</v>
      </c>
      <c r="M11360" t="e">
        <v>#N/A</v>
      </c>
      <c r="N11360" s="1">
        <v>40817</v>
      </c>
    </row>
    <row r="11361" spans="11:14" x14ac:dyDescent="0.3">
      <c r="K11361" s="1">
        <v>41275</v>
      </c>
      <c r="M11361" t="e">
        <v>#N/A</v>
      </c>
      <c r="N11361" s="1">
        <v>40817</v>
      </c>
    </row>
    <row r="11362" spans="11:14" x14ac:dyDescent="0.3">
      <c r="K11362" s="1">
        <v>41275</v>
      </c>
      <c r="M11362" t="e">
        <v>#N/A</v>
      </c>
      <c r="N11362" s="1">
        <v>40817</v>
      </c>
    </row>
    <row r="11363" spans="11:14" x14ac:dyDescent="0.3">
      <c r="K11363" s="1">
        <v>41275</v>
      </c>
      <c r="M11363" t="e">
        <v>#N/A</v>
      </c>
      <c r="N11363" s="1">
        <v>40817</v>
      </c>
    </row>
    <row r="11364" spans="11:14" x14ac:dyDescent="0.3">
      <c r="K11364" s="1">
        <v>41275</v>
      </c>
      <c r="M11364" t="e">
        <v>#N/A</v>
      </c>
      <c r="N11364" s="1">
        <v>40817</v>
      </c>
    </row>
    <row r="11365" spans="11:14" x14ac:dyDescent="0.3">
      <c r="K11365" s="1">
        <v>41275</v>
      </c>
      <c r="M11365" t="e">
        <v>#N/A</v>
      </c>
      <c r="N11365" s="1">
        <v>40817</v>
      </c>
    </row>
    <row r="11366" spans="11:14" x14ac:dyDescent="0.3">
      <c r="K11366" s="1">
        <v>41275</v>
      </c>
      <c r="M11366" t="e">
        <v>#N/A</v>
      </c>
      <c r="N11366" s="1">
        <v>40817</v>
      </c>
    </row>
    <row r="11367" spans="11:14" x14ac:dyDescent="0.3">
      <c r="K11367" s="1">
        <v>41275</v>
      </c>
      <c r="M11367" t="e">
        <v>#N/A</v>
      </c>
      <c r="N11367" s="1">
        <v>40817</v>
      </c>
    </row>
    <row r="11368" spans="11:14" x14ac:dyDescent="0.3">
      <c r="K11368" s="1">
        <v>41275</v>
      </c>
      <c r="M11368" t="e">
        <v>#N/A</v>
      </c>
      <c r="N11368" s="1">
        <v>40817</v>
      </c>
    </row>
    <row r="11369" spans="11:14" x14ac:dyDescent="0.3">
      <c r="K11369" s="1">
        <v>41275</v>
      </c>
      <c r="M11369" t="e">
        <v>#N/A</v>
      </c>
      <c r="N11369" s="1">
        <v>40817</v>
      </c>
    </row>
    <row r="11370" spans="11:14" x14ac:dyDescent="0.3">
      <c r="K11370" s="1">
        <v>41275</v>
      </c>
      <c r="M11370" t="e">
        <v>#N/A</v>
      </c>
      <c r="N11370" s="1">
        <v>40817</v>
      </c>
    </row>
    <row r="11371" spans="11:14" x14ac:dyDescent="0.3">
      <c r="K11371" s="1">
        <v>41275</v>
      </c>
      <c r="M11371" t="e">
        <v>#N/A</v>
      </c>
      <c r="N11371" s="1">
        <v>40817</v>
      </c>
    </row>
    <row r="11372" spans="11:14" x14ac:dyDescent="0.3">
      <c r="K11372" s="1">
        <v>41275</v>
      </c>
      <c r="M11372" t="e">
        <v>#N/A</v>
      </c>
      <c r="N11372" s="1">
        <v>40817</v>
      </c>
    </row>
    <row r="11373" spans="11:14" x14ac:dyDescent="0.3">
      <c r="K11373" s="1">
        <v>41275</v>
      </c>
      <c r="M11373" t="e">
        <v>#N/A</v>
      </c>
      <c r="N11373" s="1">
        <v>40817</v>
      </c>
    </row>
    <row r="11374" spans="11:14" x14ac:dyDescent="0.3">
      <c r="K11374" s="1">
        <v>41275</v>
      </c>
      <c r="M11374" t="e">
        <v>#N/A</v>
      </c>
      <c r="N11374" s="1">
        <v>40817</v>
      </c>
    </row>
    <row r="11375" spans="11:14" x14ac:dyDescent="0.3">
      <c r="K11375" s="1">
        <v>41275</v>
      </c>
      <c r="M11375" t="e">
        <v>#N/A</v>
      </c>
      <c r="N11375" s="1">
        <v>40817</v>
      </c>
    </row>
    <row r="11376" spans="11:14" x14ac:dyDescent="0.3">
      <c r="K11376" s="1">
        <v>41275</v>
      </c>
      <c r="M11376" t="e">
        <v>#N/A</v>
      </c>
      <c r="N11376" s="1">
        <v>40817</v>
      </c>
    </row>
    <row r="11377" spans="11:14" x14ac:dyDescent="0.3">
      <c r="K11377" s="1">
        <v>41275</v>
      </c>
      <c r="M11377" t="e">
        <v>#N/A</v>
      </c>
      <c r="N11377" s="1">
        <v>40909</v>
      </c>
    </row>
    <row r="11378" spans="11:14" x14ac:dyDescent="0.3">
      <c r="K11378" s="1">
        <v>41275</v>
      </c>
      <c r="M11378" t="e">
        <v>#N/A</v>
      </c>
      <c r="N11378" s="1">
        <v>40909</v>
      </c>
    </row>
    <row r="11379" spans="11:14" x14ac:dyDescent="0.3">
      <c r="K11379" s="1">
        <v>41275</v>
      </c>
      <c r="M11379" t="e">
        <v>#N/A</v>
      </c>
      <c r="N11379" s="1">
        <v>40909</v>
      </c>
    </row>
    <row r="11380" spans="11:14" x14ac:dyDescent="0.3">
      <c r="K11380" s="1">
        <v>41275</v>
      </c>
      <c r="M11380" t="e">
        <v>#N/A</v>
      </c>
      <c r="N11380" s="1">
        <v>40909</v>
      </c>
    </row>
    <row r="11381" spans="11:14" x14ac:dyDescent="0.3">
      <c r="K11381" s="1">
        <v>41275</v>
      </c>
      <c r="M11381" t="e">
        <v>#N/A</v>
      </c>
      <c r="N11381" s="1">
        <v>40909</v>
      </c>
    </row>
    <row r="11382" spans="11:14" x14ac:dyDescent="0.3">
      <c r="K11382" s="1">
        <v>41275</v>
      </c>
      <c r="M11382" t="e">
        <v>#N/A</v>
      </c>
      <c r="N11382" s="1">
        <v>40909</v>
      </c>
    </row>
    <row r="11383" spans="11:14" x14ac:dyDescent="0.3">
      <c r="K11383" s="1">
        <v>41275</v>
      </c>
      <c r="M11383" t="e">
        <v>#N/A</v>
      </c>
      <c r="N11383" s="1">
        <v>40909</v>
      </c>
    </row>
    <row r="11384" spans="11:14" x14ac:dyDescent="0.3">
      <c r="K11384" s="1">
        <v>41275</v>
      </c>
      <c r="M11384" t="e">
        <v>#N/A</v>
      </c>
      <c r="N11384" s="1">
        <v>40909</v>
      </c>
    </row>
    <row r="11385" spans="11:14" x14ac:dyDescent="0.3">
      <c r="K11385" s="1">
        <v>41275</v>
      </c>
      <c r="M11385" t="e">
        <v>#N/A</v>
      </c>
      <c r="N11385" s="1">
        <v>40909</v>
      </c>
    </row>
    <row r="11386" spans="11:14" x14ac:dyDescent="0.3">
      <c r="K11386" s="1">
        <v>41275</v>
      </c>
      <c r="M11386" t="e">
        <v>#N/A</v>
      </c>
      <c r="N11386" s="1">
        <v>40909</v>
      </c>
    </row>
    <row r="11387" spans="11:14" x14ac:dyDescent="0.3">
      <c r="K11387" s="1">
        <v>41275</v>
      </c>
      <c r="M11387" t="e">
        <v>#N/A</v>
      </c>
      <c r="N11387" s="1">
        <v>40909</v>
      </c>
    </row>
    <row r="11388" spans="11:14" x14ac:dyDescent="0.3">
      <c r="K11388" s="1">
        <v>41275</v>
      </c>
      <c r="M11388" t="e">
        <v>#N/A</v>
      </c>
      <c r="N11388" s="1">
        <v>40909</v>
      </c>
    </row>
    <row r="11389" spans="11:14" x14ac:dyDescent="0.3">
      <c r="K11389" s="1">
        <v>41275</v>
      </c>
      <c r="M11389" t="e">
        <v>#N/A</v>
      </c>
      <c r="N11389" s="1">
        <v>40909</v>
      </c>
    </row>
    <row r="11390" spans="11:14" x14ac:dyDescent="0.3">
      <c r="K11390" s="1">
        <v>41275</v>
      </c>
      <c r="M11390" t="e">
        <v>#N/A</v>
      </c>
      <c r="N11390" s="1">
        <v>40909</v>
      </c>
    </row>
    <row r="11391" spans="11:14" x14ac:dyDescent="0.3">
      <c r="K11391" s="1">
        <v>41275</v>
      </c>
      <c r="M11391" t="e">
        <v>#N/A</v>
      </c>
      <c r="N11391" s="1">
        <v>40909</v>
      </c>
    </row>
    <row r="11392" spans="11:14" x14ac:dyDescent="0.3">
      <c r="K11392" s="1">
        <v>41275</v>
      </c>
      <c r="M11392" t="e">
        <v>#N/A</v>
      </c>
      <c r="N11392" s="1">
        <v>40909</v>
      </c>
    </row>
    <row r="11393" spans="11:14" x14ac:dyDescent="0.3">
      <c r="K11393" s="1">
        <v>41275</v>
      </c>
      <c r="M11393" t="e">
        <v>#N/A</v>
      </c>
      <c r="N11393" s="1">
        <v>40909</v>
      </c>
    </row>
    <row r="11394" spans="11:14" x14ac:dyDescent="0.3">
      <c r="K11394" s="1">
        <v>41275</v>
      </c>
      <c r="M11394" t="e">
        <v>#N/A</v>
      </c>
      <c r="N11394" s="1">
        <v>40909</v>
      </c>
    </row>
    <row r="11395" spans="11:14" x14ac:dyDescent="0.3">
      <c r="K11395" s="1">
        <v>41275</v>
      </c>
      <c r="M11395" t="e">
        <v>#N/A</v>
      </c>
      <c r="N11395" s="1">
        <v>40909</v>
      </c>
    </row>
    <row r="11396" spans="11:14" x14ac:dyDescent="0.3">
      <c r="K11396" s="1">
        <v>41275</v>
      </c>
      <c r="M11396" t="e">
        <v>#N/A</v>
      </c>
      <c r="N11396" s="1">
        <v>40909</v>
      </c>
    </row>
    <row r="11397" spans="11:14" x14ac:dyDescent="0.3">
      <c r="K11397" s="1">
        <v>41275</v>
      </c>
      <c r="M11397" t="e">
        <v>#N/A</v>
      </c>
      <c r="N11397" s="1">
        <v>40909</v>
      </c>
    </row>
    <row r="11398" spans="11:14" x14ac:dyDescent="0.3">
      <c r="K11398" s="1">
        <v>41275</v>
      </c>
      <c r="M11398" t="e">
        <v>#N/A</v>
      </c>
      <c r="N11398" s="1">
        <v>40909</v>
      </c>
    </row>
    <row r="11399" spans="11:14" x14ac:dyDescent="0.3">
      <c r="K11399" s="1">
        <v>41275</v>
      </c>
      <c r="M11399" t="e">
        <v>#N/A</v>
      </c>
      <c r="N11399" s="1">
        <v>40909</v>
      </c>
    </row>
    <row r="11400" spans="11:14" x14ac:dyDescent="0.3">
      <c r="K11400" s="1">
        <v>41275</v>
      </c>
      <c r="M11400" t="e">
        <v>#N/A</v>
      </c>
      <c r="N11400" s="1">
        <v>40909</v>
      </c>
    </row>
    <row r="11401" spans="11:14" x14ac:dyDescent="0.3">
      <c r="K11401" s="1">
        <v>41275</v>
      </c>
      <c r="M11401" t="e">
        <v>#N/A</v>
      </c>
      <c r="N11401" s="1">
        <v>40909</v>
      </c>
    </row>
    <row r="11402" spans="11:14" x14ac:dyDescent="0.3">
      <c r="K11402" s="1">
        <v>41275</v>
      </c>
      <c r="M11402" t="e">
        <v>#N/A</v>
      </c>
      <c r="N11402" s="1">
        <v>40909</v>
      </c>
    </row>
    <row r="11403" spans="11:14" x14ac:dyDescent="0.3">
      <c r="K11403" s="1">
        <v>41275</v>
      </c>
      <c r="M11403" t="e">
        <v>#N/A</v>
      </c>
      <c r="N11403" s="1">
        <v>40909</v>
      </c>
    </row>
    <row r="11404" spans="11:14" x14ac:dyDescent="0.3">
      <c r="K11404" s="1">
        <v>41275</v>
      </c>
      <c r="M11404" t="e">
        <v>#N/A</v>
      </c>
      <c r="N11404" s="1">
        <v>40909</v>
      </c>
    </row>
    <row r="11405" spans="11:14" x14ac:dyDescent="0.3">
      <c r="K11405" s="1">
        <v>41275</v>
      </c>
      <c r="M11405" t="e">
        <v>#N/A</v>
      </c>
      <c r="N11405" s="1">
        <v>40909</v>
      </c>
    </row>
    <row r="11406" spans="11:14" x14ac:dyDescent="0.3">
      <c r="K11406" s="1">
        <v>41275</v>
      </c>
      <c r="M11406" t="e">
        <v>#N/A</v>
      </c>
      <c r="N11406" s="1">
        <v>40909</v>
      </c>
    </row>
    <row r="11407" spans="11:14" x14ac:dyDescent="0.3">
      <c r="K11407" s="1">
        <v>41275</v>
      </c>
      <c r="M11407" t="e">
        <v>#N/A</v>
      </c>
      <c r="N11407" s="1">
        <v>40909</v>
      </c>
    </row>
    <row r="11408" spans="11:14" x14ac:dyDescent="0.3">
      <c r="K11408" s="1">
        <v>41275</v>
      </c>
      <c r="M11408" t="e">
        <v>#N/A</v>
      </c>
      <c r="N11408" s="1">
        <v>40909</v>
      </c>
    </row>
    <row r="11409" spans="11:14" x14ac:dyDescent="0.3">
      <c r="K11409" s="1">
        <v>41275</v>
      </c>
      <c r="M11409" t="e">
        <v>#N/A</v>
      </c>
      <c r="N11409" s="1">
        <v>40909</v>
      </c>
    </row>
    <row r="11410" spans="11:14" x14ac:dyDescent="0.3">
      <c r="K11410" s="1">
        <v>41275</v>
      </c>
      <c r="M11410" t="e">
        <v>#N/A</v>
      </c>
      <c r="N11410" s="1">
        <v>40909</v>
      </c>
    </row>
    <row r="11411" spans="11:14" x14ac:dyDescent="0.3">
      <c r="K11411" s="1">
        <v>41275</v>
      </c>
      <c r="M11411" t="e">
        <v>#N/A</v>
      </c>
      <c r="N11411" s="1">
        <v>40909</v>
      </c>
    </row>
    <row r="11412" spans="11:14" x14ac:dyDescent="0.3">
      <c r="K11412" s="1">
        <v>41275</v>
      </c>
      <c r="M11412" t="e">
        <v>#N/A</v>
      </c>
      <c r="N11412" s="1">
        <v>40909</v>
      </c>
    </row>
    <row r="11413" spans="11:14" x14ac:dyDescent="0.3">
      <c r="K11413" s="1">
        <v>41275</v>
      </c>
      <c r="M11413" t="e">
        <v>#N/A</v>
      </c>
      <c r="N11413" s="1">
        <v>40909</v>
      </c>
    </row>
    <row r="11414" spans="11:14" x14ac:dyDescent="0.3">
      <c r="K11414" s="1">
        <v>41275</v>
      </c>
      <c r="M11414" t="e">
        <v>#N/A</v>
      </c>
      <c r="N11414" s="1">
        <v>40909</v>
      </c>
    </row>
    <row r="11415" spans="11:14" x14ac:dyDescent="0.3">
      <c r="K11415" s="1">
        <v>41275</v>
      </c>
      <c r="M11415" t="e">
        <v>#N/A</v>
      </c>
      <c r="N11415" s="1">
        <v>40909</v>
      </c>
    </row>
    <row r="11416" spans="11:14" x14ac:dyDescent="0.3">
      <c r="K11416" s="1">
        <v>41275</v>
      </c>
      <c r="M11416" t="e">
        <v>#N/A</v>
      </c>
      <c r="N11416" s="1">
        <v>40909</v>
      </c>
    </row>
    <row r="11417" spans="11:14" x14ac:dyDescent="0.3">
      <c r="K11417" s="1">
        <v>41275</v>
      </c>
      <c r="M11417" t="e">
        <v>#N/A</v>
      </c>
      <c r="N11417" s="1">
        <v>40909</v>
      </c>
    </row>
    <row r="11418" spans="11:14" x14ac:dyDescent="0.3">
      <c r="K11418" s="1">
        <v>41275</v>
      </c>
      <c r="M11418" t="e">
        <v>#N/A</v>
      </c>
      <c r="N11418" s="1">
        <v>40909</v>
      </c>
    </row>
    <row r="11419" spans="11:14" x14ac:dyDescent="0.3">
      <c r="K11419" s="1">
        <v>41275</v>
      </c>
      <c r="M11419" t="e">
        <v>#N/A</v>
      </c>
      <c r="N11419" s="1">
        <v>40909</v>
      </c>
    </row>
    <row r="11420" spans="11:14" x14ac:dyDescent="0.3">
      <c r="K11420" s="1">
        <v>41275</v>
      </c>
      <c r="M11420" t="e">
        <v>#N/A</v>
      </c>
      <c r="N11420" s="1">
        <v>40909</v>
      </c>
    </row>
    <row r="11421" spans="11:14" x14ac:dyDescent="0.3">
      <c r="K11421" s="1">
        <v>41275</v>
      </c>
      <c r="M11421" t="e">
        <v>#N/A</v>
      </c>
      <c r="N11421" s="1">
        <v>40909</v>
      </c>
    </row>
    <row r="11422" spans="11:14" x14ac:dyDescent="0.3">
      <c r="K11422" s="1">
        <v>41275</v>
      </c>
      <c r="M11422" t="e">
        <v>#N/A</v>
      </c>
      <c r="N11422" s="1">
        <v>40909</v>
      </c>
    </row>
    <row r="11423" spans="11:14" x14ac:dyDescent="0.3">
      <c r="K11423" s="1">
        <v>41275</v>
      </c>
      <c r="M11423" t="e">
        <v>#N/A</v>
      </c>
      <c r="N11423" s="1">
        <v>40909</v>
      </c>
    </row>
    <row r="11424" spans="11:14" x14ac:dyDescent="0.3">
      <c r="K11424" s="1">
        <v>41275</v>
      </c>
      <c r="M11424" t="e">
        <v>#N/A</v>
      </c>
      <c r="N11424" s="1">
        <v>40909</v>
      </c>
    </row>
    <row r="11425" spans="11:14" x14ac:dyDescent="0.3">
      <c r="K11425" s="1">
        <v>41275</v>
      </c>
      <c r="M11425" t="e">
        <v>#N/A</v>
      </c>
      <c r="N11425" s="1">
        <v>40909</v>
      </c>
    </row>
    <row r="11426" spans="11:14" x14ac:dyDescent="0.3">
      <c r="K11426" s="1">
        <v>41275</v>
      </c>
      <c r="M11426" t="e">
        <v>#N/A</v>
      </c>
      <c r="N11426" s="1">
        <v>40909</v>
      </c>
    </row>
    <row r="11427" spans="11:14" x14ac:dyDescent="0.3">
      <c r="K11427" s="1">
        <v>41275</v>
      </c>
      <c r="M11427" t="e">
        <v>#N/A</v>
      </c>
      <c r="N11427" s="1">
        <v>40909</v>
      </c>
    </row>
    <row r="11428" spans="11:14" x14ac:dyDescent="0.3">
      <c r="K11428" s="1">
        <v>41275</v>
      </c>
      <c r="M11428" t="e">
        <v>#N/A</v>
      </c>
      <c r="N11428" s="1">
        <v>40909</v>
      </c>
    </row>
    <row r="11429" spans="11:14" x14ac:dyDescent="0.3">
      <c r="K11429" s="1">
        <v>41275</v>
      </c>
      <c r="M11429" t="e">
        <v>#N/A</v>
      </c>
      <c r="N11429" s="1">
        <v>40909</v>
      </c>
    </row>
    <row r="11430" spans="11:14" x14ac:dyDescent="0.3">
      <c r="K11430" s="1">
        <v>41275</v>
      </c>
      <c r="M11430" t="e">
        <v>#N/A</v>
      </c>
      <c r="N11430" s="1">
        <v>40909</v>
      </c>
    </row>
    <row r="11431" spans="11:14" x14ac:dyDescent="0.3">
      <c r="K11431" s="1">
        <v>41275</v>
      </c>
      <c r="M11431" t="e">
        <v>#N/A</v>
      </c>
      <c r="N11431" s="1">
        <v>40909</v>
      </c>
    </row>
    <row r="11432" spans="11:14" x14ac:dyDescent="0.3">
      <c r="K11432" s="1">
        <v>41275</v>
      </c>
      <c r="M11432" t="e">
        <v>#N/A</v>
      </c>
      <c r="N11432" s="1">
        <v>40909</v>
      </c>
    </row>
    <row r="11433" spans="11:14" x14ac:dyDescent="0.3">
      <c r="K11433" s="1">
        <v>41275</v>
      </c>
      <c r="M11433" t="e">
        <v>#N/A</v>
      </c>
      <c r="N11433" s="1">
        <v>40909</v>
      </c>
    </row>
    <row r="11434" spans="11:14" x14ac:dyDescent="0.3">
      <c r="K11434" s="1">
        <v>41275</v>
      </c>
      <c r="M11434" t="e">
        <v>#N/A</v>
      </c>
      <c r="N11434" s="1">
        <v>40909</v>
      </c>
    </row>
    <row r="11435" spans="11:14" x14ac:dyDescent="0.3">
      <c r="K11435" s="1">
        <v>41275</v>
      </c>
      <c r="M11435" t="e">
        <v>#N/A</v>
      </c>
      <c r="N11435" s="1">
        <v>40909</v>
      </c>
    </row>
    <row r="11436" spans="11:14" x14ac:dyDescent="0.3">
      <c r="K11436" s="1">
        <v>41275</v>
      </c>
      <c r="M11436" t="e">
        <v>#N/A</v>
      </c>
      <c r="N11436" s="1">
        <v>40909</v>
      </c>
    </row>
    <row r="11437" spans="11:14" x14ac:dyDescent="0.3">
      <c r="K11437" s="1">
        <v>41275</v>
      </c>
      <c r="M11437" t="e">
        <v>#N/A</v>
      </c>
      <c r="N11437" s="1">
        <v>40909</v>
      </c>
    </row>
    <row r="11438" spans="11:14" x14ac:dyDescent="0.3">
      <c r="K11438" s="1">
        <v>41275</v>
      </c>
      <c r="M11438" t="e">
        <v>#N/A</v>
      </c>
      <c r="N11438" s="1">
        <v>40909</v>
      </c>
    </row>
    <row r="11439" spans="11:14" x14ac:dyDescent="0.3">
      <c r="K11439" s="1">
        <v>41275</v>
      </c>
      <c r="M11439" t="e">
        <v>#N/A</v>
      </c>
      <c r="N11439" s="1">
        <v>40909</v>
      </c>
    </row>
    <row r="11440" spans="11:14" x14ac:dyDescent="0.3">
      <c r="K11440" s="1">
        <v>41275</v>
      </c>
      <c r="M11440" t="e">
        <v>#N/A</v>
      </c>
      <c r="N11440" s="1">
        <v>40909</v>
      </c>
    </row>
    <row r="11441" spans="11:14" x14ac:dyDescent="0.3">
      <c r="K11441" s="1">
        <v>41275</v>
      </c>
      <c r="M11441" t="e">
        <v>#N/A</v>
      </c>
      <c r="N11441" s="1">
        <v>40909</v>
      </c>
    </row>
    <row r="11442" spans="11:14" x14ac:dyDescent="0.3">
      <c r="K11442" s="1">
        <v>41275</v>
      </c>
      <c r="M11442" t="e">
        <v>#N/A</v>
      </c>
      <c r="N11442" s="1">
        <v>40909</v>
      </c>
    </row>
    <row r="11443" spans="11:14" x14ac:dyDescent="0.3">
      <c r="K11443" s="1">
        <v>41275</v>
      </c>
      <c r="M11443" t="e">
        <v>#N/A</v>
      </c>
      <c r="N11443" s="1">
        <v>40909</v>
      </c>
    </row>
    <row r="11444" spans="11:14" x14ac:dyDescent="0.3">
      <c r="K11444" s="1">
        <v>41275</v>
      </c>
      <c r="M11444" t="e">
        <v>#N/A</v>
      </c>
      <c r="N11444" s="1">
        <v>40909</v>
      </c>
    </row>
    <row r="11445" spans="11:14" x14ac:dyDescent="0.3">
      <c r="K11445" s="1">
        <v>41275</v>
      </c>
      <c r="M11445" t="e">
        <v>#N/A</v>
      </c>
      <c r="N11445" s="1">
        <v>40909</v>
      </c>
    </row>
    <row r="11446" spans="11:14" x14ac:dyDescent="0.3">
      <c r="K11446" s="1">
        <v>41275</v>
      </c>
      <c r="M11446" t="e">
        <v>#N/A</v>
      </c>
      <c r="N11446" s="1">
        <v>40909</v>
      </c>
    </row>
    <row r="11447" spans="11:14" x14ac:dyDescent="0.3">
      <c r="K11447" s="1">
        <v>41275</v>
      </c>
      <c r="M11447" t="e">
        <v>#N/A</v>
      </c>
      <c r="N11447" s="1">
        <v>40909</v>
      </c>
    </row>
    <row r="11448" spans="11:14" x14ac:dyDescent="0.3">
      <c r="K11448" s="1">
        <v>41275</v>
      </c>
      <c r="M11448" t="e">
        <v>#N/A</v>
      </c>
      <c r="N11448" s="1">
        <v>40909</v>
      </c>
    </row>
    <row r="11449" spans="11:14" x14ac:dyDescent="0.3">
      <c r="K11449" s="1">
        <v>41275</v>
      </c>
      <c r="M11449" t="e">
        <v>#N/A</v>
      </c>
      <c r="N11449" s="1">
        <v>40909</v>
      </c>
    </row>
    <row r="11450" spans="11:14" x14ac:dyDescent="0.3">
      <c r="K11450" s="1">
        <v>41275</v>
      </c>
      <c r="M11450" t="e">
        <v>#N/A</v>
      </c>
      <c r="N11450" s="1">
        <v>40909</v>
      </c>
    </row>
    <row r="11451" spans="11:14" x14ac:dyDescent="0.3">
      <c r="K11451" s="1">
        <v>41275</v>
      </c>
      <c r="M11451" t="e">
        <v>#N/A</v>
      </c>
      <c r="N11451" s="1">
        <v>40909</v>
      </c>
    </row>
    <row r="11452" spans="11:14" x14ac:dyDescent="0.3">
      <c r="K11452" s="1">
        <v>41275</v>
      </c>
      <c r="M11452" t="e">
        <v>#N/A</v>
      </c>
      <c r="N11452" s="1">
        <v>40909</v>
      </c>
    </row>
    <row r="11453" spans="11:14" x14ac:dyDescent="0.3">
      <c r="K11453" s="1">
        <v>41275</v>
      </c>
      <c r="M11453" t="e">
        <v>#N/A</v>
      </c>
      <c r="N11453" s="1">
        <v>40909</v>
      </c>
    </row>
    <row r="11454" spans="11:14" x14ac:dyDescent="0.3">
      <c r="K11454" s="1">
        <v>41275</v>
      </c>
      <c r="M11454" t="e">
        <v>#N/A</v>
      </c>
      <c r="N11454" s="1">
        <v>40909</v>
      </c>
    </row>
    <row r="11455" spans="11:14" x14ac:dyDescent="0.3">
      <c r="K11455" s="1">
        <v>41275</v>
      </c>
      <c r="M11455" t="e">
        <v>#N/A</v>
      </c>
      <c r="N11455" s="1">
        <v>40909</v>
      </c>
    </row>
    <row r="11456" spans="11:14" x14ac:dyDescent="0.3">
      <c r="K11456" s="1">
        <v>41275</v>
      </c>
      <c r="M11456" t="e">
        <v>#N/A</v>
      </c>
      <c r="N11456" s="1">
        <v>40909</v>
      </c>
    </row>
    <row r="11457" spans="11:14" x14ac:dyDescent="0.3">
      <c r="K11457" s="1">
        <v>41275</v>
      </c>
      <c r="M11457" t="e">
        <v>#N/A</v>
      </c>
      <c r="N11457" s="1">
        <v>40909</v>
      </c>
    </row>
    <row r="11458" spans="11:14" x14ac:dyDescent="0.3">
      <c r="K11458" s="1">
        <v>41275</v>
      </c>
      <c r="M11458" t="e">
        <v>#N/A</v>
      </c>
      <c r="N11458" s="1">
        <v>40909</v>
      </c>
    </row>
    <row r="11459" spans="11:14" x14ac:dyDescent="0.3">
      <c r="K11459" s="1">
        <v>41275</v>
      </c>
      <c r="M11459" t="e">
        <v>#N/A</v>
      </c>
      <c r="N11459" s="1">
        <v>40909</v>
      </c>
    </row>
    <row r="11460" spans="11:14" x14ac:dyDescent="0.3">
      <c r="K11460" s="1">
        <v>41275</v>
      </c>
      <c r="M11460" t="e">
        <v>#N/A</v>
      </c>
      <c r="N11460" s="1">
        <v>40909</v>
      </c>
    </row>
    <row r="11461" spans="11:14" x14ac:dyDescent="0.3">
      <c r="K11461" s="1">
        <v>41275</v>
      </c>
      <c r="M11461" t="e">
        <v>#N/A</v>
      </c>
      <c r="N11461" s="1">
        <v>40909</v>
      </c>
    </row>
    <row r="11462" spans="11:14" x14ac:dyDescent="0.3">
      <c r="K11462" s="1">
        <v>41275</v>
      </c>
      <c r="M11462" t="e">
        <v>#N/A</v>
      </c>
      <c r="N11462" s="1">
        <v>40909</v>
      </c>
    </row>
    <row r="11463" spans="11:14" x14ac:dyDescent="0.3">
      <c r="K11463" s="1">
        <v>41275</v>
      </c>
      <c r="M11463" t="e">
        <v>#N/A</v>
      </c>
      <c r="N11463" s="1">
        <v>40909</v>
      </c>
    </row>
    <row r="11464" spans="11:14" x14ac:dyDescent="0.3">
      <c r="K11464" s="1">
        <v>41275</v>
      </c>
      <c r="M11464" t="e">
        <v>#N/A</v>
      </c>
      <c r="N11464" s="1">
        <v>40909</v>
      </c>
    </row>
    <row r="11465" spans="11:14" x14ac:dyDescent="0.3">
      <c r="K11465" s="1">
        <v>41275</v>
      </c>
      <c r="M11465" t="e">
        <v>#N/A</v>
      </c>
      <c r="N11465" s="1">
        <v>40909</v>
      </c>
    </row>
    <row r="11466" spans="11:14" x14ac:dyDescent="0.3">
      <c r="K11466" s="1">
        <v>41275</v>
      </c>
      <c r="M11466" t="e">
        <v>#N/A</v>
      </c>
      <c r="N11466" s="1">
        <v>40909</v>
      </c>
    </row>
    <row r="11467" spans="11:14" x14ac:dyDescent="0.3">
      <c r="K11467" s="1">
        <v>41275</v>
      </c>
      <c r="M11467" t="e">
        <v>#N/A</v>
      </c>
      <c r="N11467" s="1">
        <v>40909</v>
      </c>
    </row>
    <row r="11468" spans="11:14" x14ac:dyDescent="0.3">
      <c r="K11468" s="1">
        <v>41275</v>
      </c>
      <c r="M11468" t="e">
        <v>#N/A</v>
      </c>
      <c r="N11468" s="1">
        <v>40909</v>
      </c>
    </row>
    <row r="11469" spans="11:14" x14ac:dyDescent="0.3">
      <c r="K11469" s="1">
        <v>41275</v>
      </c>
      <c r="M11469" t="e">
        <v>#N/A</v>
      </c>
      <c r="N11469" s="1">
        <v>40909</v>
      </c>
    </row>
    <row r="11470" spans="11:14" x14ac:dyDescent="0.3">
      <c r="K11470" s="1">
        <v>41275</v>
      </c>
      <c r="M11470" t="e">
        <v>#N/A</v>
      </c>
      <c r="N11470" s="1">
        <v>40909</v>
      </c>
    </row>
    <row r="11471" spans="11:14" x14ac:dyDescent="0.3">
      <c r="K11471" s="1">
        <v>41275</v>
      </c>
      <c r="M11471" t="e">
        <v>#N/A</v>
      </c>
      <c r="N11471" s="1">
        <v>40909</v>
      </c>
    </row>
    <row r="11472" spans="11:14" x14ac:dyDescent="0.3">
      <c r="K11472" s="1">
        <v>41275</v>
      </c>
      <c r="M11472" t="e">
        <v>#N/A</v>
      </c>
      <c r="N11472" s="1">
        <v>40909</v>
      </c>
    </row>
    <row r="11473" spans="11:14" x14ac:dyDescent="0.3">
      <c r="K11473" s="1">
        <v>41275</v>
      </c>
      <c r="M11473" t="e">
        <v>#N/A</v>
      </c>
      <c r="N11473" s="1">
        <v>40909</v>
      </c>
    </row>
    <row r="11474" spans="11:14" x14ac:dyDescent="0.3">
      <c r="K11474" s="1">
        <v>41275</v>
      </c>
      <c r="M11474" t="e">
        <v>#N/A</v>
      </c>
      <c r="N11474" s="1">
        <v>40909</v>
      </c>
    </row>
    <row r="11475" spans="11:14" x14ac:dyDescent="0.3">
      <c r="K11475" s="1">
        <v>41275</v>
      </c>
      <c r="M11475" t="e">
        <v>#N/A</v>
      </c>
      <c r="N11475" s="1">
        <v>40909</v>
      </c>
    </row>
    <row r="11476" spans="11:14" x14ac:dyDescent="0.3">
      <c r="K11476" s="1">
        <v>41275</v>
      </c>
      <c r="M11476" t="e">
        <v>#N/A</v>
      </c>
      <c r="N11476" s="1">
        <v>40909</v>
      </c>
    </row>
    <row r="11477" spans="11:14" x14ac:dyDescent="0.3">
      <c r="K11477" s="1">
        <v>41275</v>
      </c>
      <c r="M11477" t="e">
        <v>#N/A</v>
      </c>
      <c r="N11477" s="1">
        <v>40909</v>
      </c>
    </row>
    <row r="11478" spans="11:14" x14ac:dyDescent="0.3">
      <c r="K11478" s="1">
        <v>41275</v>
      </c>
      <c r="M11478" t="e">
        <v>#N/A</v>
      </c>
      <c r="N11478" s="1">
        <v>40909</v>
      </c>
    </row>
    <row r="11479" spans="11:14" x14ac:dyDescent="0.3">
      <c r="K11479" s="1">
        <v>41275</v>
      </c>
      <c r="M11479" t="e">
        <v>#N/A</v>
      </c>
      <c r="N11479" s="1">
        <v>40909</v>
      </c>
    </row>
    <row r="11480" spans="11:14" x14ac:dyDescent="0.3">
      <c r="K11480" s="1">
        <v>41275</v>
      </c>
      <c r="M11480" t="e">
        <v>#N/A</v>
      </c>
      <c r="N11480" s="1">
        <v>40909</v>
      </c>
    </row>
    <row r="11481" spans="11:14" x14ac:dyDescent="0.3">
      <c r="K11481" s="1">
        <v>41275</v>
      </c>
      <c r="M11481" t="e">
        <v>#N/A</v>
      </c>
      <c r="N11481" s="1">
        <v>40909</v>
      </c>
    </row>
    <row r="11482" spans="11:14" x14ac:dyDescent="0.3">
      <c r="K11482" s="1">
        <v>41275</v>
      </c>
      <c r="M11482" t="e">
        <v>#N/A</v>
      </c>
      <c r="N11482" s="1">
        <v>40909</v>
      </c>
    </row>
    <row r="11483" spans="11:14" x14ac:dyDescent="0.3">
      <c r="K11483" s="1">
        <v>41275</v>
      </c>
      <c r="M11483" t="e">
        <v>#N/A</v>
      </c>
      <c r="N11483" s="1">
        <v>40909</v>
      </c>
    </row>
    <row r="11484" spans="11:14" x14ac:dyDescent="0.3">
      <c r="K11484" s="1">
        <v>41275</v>
      </c>
      <c r="M11484" t="e">
        <v>#N/A</v>
      </c>
      <c r="N11484" s="1">
        <v>40909</v>
      </c>
    </row>
    <row r="11485" spans="11:14" x14ac:dyDescent="0.3">
      <c r="K11485" s="1">
        <v>41275</v>
      </c>
      <c r="M11485" t="e">
        <v>#N/A</v>
      </c>
      <c r="N11485" s="1">
        <v>40909</v>
      </c>
    </row>
    <row r="11486" spans="11:14" x14ac:dyDescent="0.3">
      <c r="K11486" s="1">
        <v>41275</v>
      </c>
      <c r="M11486" t="e">
        <v>#N/A</v>
      </c>
      <c r="N11486" s="1">
        <v>40909</v>
      </c>
    </row>
    <row r="11487" spans="11:14" x14ac:dyDescent="0.3">
      <c r="K11487" s="1">
        <v>41275</v>
      </c>
      <c r="M11487" t="e">
        <v>#N/A</v>
      </c>
      <c r="N11487" s="1">
        <v>40909</v>
      </c>
    </row>
    <row r="11488" spans="11:14" x14ac:dyDescent="0.3">
      <c r="K11488" s="1">
        <v>41275</v>
      </c>
      <c r="M11488" t="e">
        <v>#N/A</v>
      </c>
      <c r="N11488" s="1">
        <v>40909</v>
      </c>
    </row>
    <row r="11489" spans="11:14" x14ac:dyDescent="0.3">
      <c r="K11489" s="1">
        <v>41275</v>
      </c>
      <c r="M11489" t="e">
        <v>#N/A</v>
      </c>
      <c r="N11489" s="1">
        <v>40909</v>
      </c>
    </row>
    <row r="11490" spans="11:14" x14ac:dyDescent="0.3">
      <c r="K11490" s="1">
        <v>41275</v>
      </c>
      <c r="M11490" t="e">
        <v>#N/A</v>
      </c>
      <c r="N11490" s="1">
        <v>40909</v>
      </c>
    </row>
    <row r="11491" spans="11:14" x14ac:dyDescent="0.3">
      <c r="K11491" s="1">
        <v>41275</v>
      </c>
      <c r="M11491" t="e">
        <v>#N/A</v>
      </c>
      <c r="N11491" s="1">
        <v>40909</v>
      </c>
    </row>
    <row r="11492" spans="11:14" x14ac:dyDescent="0.3">
      <c r="K11492" s="1">
        <v>41275</v>
      </c>
      <c r="M11492" t="e">
        <v>#N/A</v>
      </c>
      <c r="N11492" s="1">
        <v>40909</v>
      </c>
    </row>
    <row r="11493" spans="11:14" x14ac:dyDescent="0.3">
      <c r="K11493" s="1">
        <v>41275</v>
      </c>
      <c r="M11493" t="e">
        <v>#N/A</v>
      </c>
      <c r="N11493" s="1">
        <v>40909</v>
      </c>
    </row>
    <row r="11494" spans="11:14" x14ac:dyDescent="0.3">
      <c r="K11494" s="1">
        <v>41275</v>
      </c>
      <c r="M11494" t="e">
        <v>#N/A</v>
      </c>
      <c r="N11494" s="1">
        <v>40909</v>
      </c>
    </row>
    <row r="11495" spans="11:14" x14ac:dyDescent="0.3">
      <c r="K11495" s="1">
        <v>41275</v>
      </c>
      <c r="M11495" t="e">
        <v>#N/A</v>
      </c>
      <c r="N11495" s="1">
        <v>40909</v>
      </c>
    </row>
    <row r="11496" spans="11:14" x14ac:dyDescent="0.3">
      <c r="K11496" s="1">
        <v>41275</v>
      </c>
      <c r="M11496" t="e">
        <v>#N/A</v>
      </c>
      <c r="N11496" s="1">
        <v>40909</v>
      </c>
    </row>
    <row r="11497" spans="11:14" x14ac:dyDescent="0.3">
      <c r="K11497" s="1">
        <v>41275</v>
      </c>
      <c r="M11497" t="e">
        <v>#N/A</v>
      </c>
      <c r="N11497" s="1">
        <v>40909</v>
      </c>
    </row>
    <row r="11498" spans="11:14" x14ac:dyDescent="0.3">
      <c r="K11498" s="1">
        <v>41275</v>
      </c>
      <c r="M11498" t="e">
        <v>#N/A</v>
      </c>
      <c r="N11498" s="1">
        <v>40909</v>
      </c>
    </row>
    <row r="11499" spans="11:14" x14ac:dyDescent="0.3">
      <c r="K11499" s="1">
        <v>41275</v>
      </c>
      <c r="M11499" t="e">
        <v>#N/A</v>
      </c>
      <c r="N11499" s="1">
        <v>40909</v>
      </c>
    </row>
    <row r="11500" spans="11:14" x14ac:dyDescent="0.3">
      <c r="K11500" s="1">
        <v>41275</v>
      </c>
      <c r="M11500" t="e">
        <v>#N/A</v>
      </c>
      <c r="N11500" s="1">
        <v>40909</v>
      </c>
    </row>
    <row r="11501" spans="11:14" x14ac:dyDescent="0.3">
      <c r="K11501" s="1">
        <v>41275</v>
      </c>
      <c r="M11501" t="e">
        <v>#N/A</v>
      </c>
      <c r="N11501" s="1">
        <v>40909</v>
      </c>
    </row>
    <row r="11502" spans="11:14" x14ac:dyDescent="0.3">
      <c r="K11502" s="1">
        <v>41275</v>
      </c>
      <c r="M11502" t="e">
        <v>#N/A</v>
      </c>
      <c r="N11502" s="1">
        <v>40909</v>
      </c>
    </row>
    <row r="11503" spans="11:14" x14ac:dyDescent="0.3">
      <c r="K11503" s="1">
        <v>41275</v>
      </c>
      <c r="M11503" t="e">
        <v>#N/A</v>
      </c>
      <c r="N11503" s="1">
        <v>40909</v>
      </c>
    </row>
    <row r="11504" spans="11:14" x14ac:dyDescent="0.3">
      <c r="K11504" s="1">
        <v>41275</v>
      </c>
      <c r="M11504" t="e">
        <v>#N/A</v>
      </c>
      <c r="N11504" s="1">
        <v>40909</v>
      </c>
    </row>
    <row r="11505" spans="11:14" x14ac:dyDescent="0.3">
      <c r="K11505" s="1">
        <v>41275</v>
      </c>
      <c r="M11505" t="e">
        <v>#N/A</v>
      </c>
      <c r="N11505" s="1">
        <v>40909</v>
      </c>
    </row>
    <row r="11506" spans="11:14" x14ac:dyDescent="0.3">
      <c r="K11506" s="1">
        <v>41275</v>
      </c>
      <c r="M11506" t="e">
        <v>#N/A</v>
      </c>
      <c r="N11506" s="1">
        <v>40909</v>
      </c>
    </row>
    <row r="11507" spans="11:14" x14ac:dyDescent="0.3">
      <c r="K11507" s="1">
        <v>41275</v>
      </c>
      <c r="M11507" t="e">
        <v>#N/A</v>
      </c>
      <c r="N11507" s="1">
        <v>40909</v>
      </c>
    </row>
    <row r="11508" spans="11:14" x14ac:dyDescent="0.3">
      <c r="K11508" s="1">
        <v>41275</v>
      </c>
      <c r="M11508" t="e">
        <v>#N/A</v>
      </c>
      <c r="N11508" s="1">
        <v>40909</v>
      </c>
    </row>
    <row r="11509" spans="11:14" x14ac:dyDescent="0.3">
      <c r="K11509" s="1">
        <v>41275</v>
      </c>
      <c r="M11509" t="e">
        <v>#N/A</v>
      </c>
      <c r="N11509" s="1">
        <v>40909</v>
      </c>
    </row>
    <row r="11510" spans="11:14" x14ac:dyDescent="0.3">
      <c r="K11510" s="1">
        <v>41275</v>
      </c>
      <c r="M11510" t="e">
        <v>#N/A</v>
      </c>
      <c r="N11510" s="1">
        <v>40909</v>
      </c>
    </row>
    <row r="11511" spans="11:14" x14ac:dyDescent="0.3">
      <c r="K11511" s="1">
        <v>41275</v>
      </c>
      <c r="M11511" t="e">
        <v>#N/A</v>
      </c>
      <c r="N11511" s="1">
        <v>40909</v>
      </c>
    </row>
    <row r="11512" spans="11:14" x14ac:dyDescent="0.3">
      <c r="K11512" s="1">
        <v>41275</v>
      </c>
      <c r="M11512" t="e">
        <v>#N/A</v>
      </c>
      <c r="N11512" s="1">
        <v>40909</v>
      </c>
    </row>
    <row r="11513" spans="11:14" x14ac:dyDescent="0.3">
      <c r="K11513" s="1">
        <v>41275</v>
      </c>
      <c r="M11513" t="e">
        <v>#N/A</v>
      </c>
      <c r="N11513" s="1">
        <v>40909</v>
      </c>
    </row>
    <row r="11514" spans="11:14" x14ac:dyDescent="0.3">
      <c r="K11514" s="1">
        <v>41275</v>
      </c>
      <c r="M11514" t="e">
        <v>#N/A</v>
      </c>
      <c r="N11514" s="1">
        <v>40909</v>
      </c>
    </row>
    <row r="11515" spans="11:14" x14ac:dyDescent="0.3">
      <c r="K11515" s="1">
        <v>41275</v>
      </c>
      <c r="M11515" t="e">
        <v>#N/A</v>
      </c>
      <c r="N11515" s="1">
        <v>40909</v>
      </c>
    </row>
    <row r="11516" spans="11:14" x14ac:dyDescent="0.3">
      <c r="K11516" s="1">
        <v>41275</v>
      </c>
      <c r="M11516" t="e">
        <v>#N/A</v>
      </c>
      <c r="N11516" s="1">
        <v>40909</v>
      </c>
    </row>
    <row r="11517" spans="11:14" x14ac:dyDescent="0.3">
      <c r="K11517" s="1">
        <v>41275</v>
      </c>
      <c r="M11517" t="e">
        <v>#N/A</v>
      </c>
      <c r="N11517" s="1">
        <v>40909</v>
      </c>
    </row>
    <row r="11518" spans="11:14" x14ac:dyDescent="0.3">
      <c r="K11518" s="1">
        <v>41275</v>
      </c>
      <c r="M11518" t="e">
        <v>#N/A</v>
      </c>
      <c r="N11518" s="1">
        <v>40909</v>
      </c>
    </row>
    <row r="11519" spans="11:14" x14ac:dyDescent="0.3">
      <c r="K11519" s="1">
        <v>41275</v>
      </c>
      <c r="M11519" t="e">
        <v>#N/A</v>
      </c>
      <c r="N11519" s="1">
        <v>40909</v>
      </c>
    </row>
    <row r="11520" spans="11:14" x14ac:dyDescent="0.3">
      <c r="K11520" s="1">
        <v>41275</v>
      </c>
      <c r="M11520" t="e">
        <v>#N/A</v>
      </c>
      <c r="N11520" s="1">
        <v>40909</v>
      </c>
    </row>
    <row r="11521" spans="11:14" x14ac:dyDescent="0.3">
      <c r="K11521" s="1">
        <v>41275</v>
      </c>
      <c r="M11521" t="e">
        <v>#N/A</v>
      </c>
      <c r="N11521" s="1">
        <v>40909</v>
      </c>
    </row>
    <row r="11522" spans="11:14" x14ac:dyDescent="0.3">
      <c r="K11522" s="1">
        <v>41275</v>
      </c>
      <c r="M11522" t="e">
        <v>#N/A</v>
      </c>
      <c r="N11522" s="1">
        <v>40909</v>
      </c>
    </row>
    <row r="11523" spans="11:14" x14ac:dyDescent="0.3">
      <c r="K11523" s="1">
        <v>41275</v>
      </c>
      <c r="M11523" t="e">
        <v>#N/A</v>
      </c>
      <c r="N11523" s="1">
        <v>40909</v>
      </c>
    </row>
    <row r="11524" spans="11:14" x14ac:dyDescent="0.3">
      <c r="K11524" s="1">
        <v>41275</v>
      </c>
      <c r="M11524" t="e">
        <v>#N/A</v>
      </c>
      <c r="N11524" s="1">
        <v>40909</v>
      </c>
    </row>
    <row r="11525" spans="11:14" x14ac:dyDescent="0.3">
      <c r="K11525" s="1">
        <v>41275</v>
      </c>
      <c r="M11525" t="e">
        <v>#N/A</v>
      </c>
      <c r="N11525" s="1">
        <v>40909</v>
      </c>
    </row>
    <row r="11526" spans="11:14" x14ac:dyDescent="0.3">
      <c r="K11526" s="1">
        <v>41275</v>
      </c>
      <c r="M11526" t="e">
        <v>#N/A</v>
      </c>
      <c r="N11526" s="1">
        <v>40909</v>
      </c>
    </row>
    <row r="11527" spans="11:14" x14ac:dyDescent="0.3">
      <c r="K11527" s="1">
        <v>41275</v>
      </c>
      <c r="M11527" t="e">
        <v>#N/A</v>
      </c>
      <c r="N11527" s="1">
        <v>40909</v>
      </c>
    </row>
    <row r="11528" spans="11:14" x14ac:dyDescent="0.3">
      <c r="K11528" s="1">
        <v>41275</v>
      </c>
      <c r="M11528" t="e">
        <v>#N/A</v>
      </c>
      <c r="N11528" s="1">
        <v>40909</v>
      </c>
    </row>
    <row r="11529" spans="11:14" x14ac:dyDescent="0.3">
      <c r="K11529" s="1">
        <v>41275</v>
      </c>
      <c r="M11529" t="e">
        <v>#N/A</v>
      </c>
      <c r="N11529" s="1">
        <v>40909</v>
      </c>
    </row>
    <row r="11530" spans="11:14" x14ac:dyDescent="0.3">
      <c r="K11530" s="1">
        <v>41275</v>
      </c>
      <c r="M11530" t="e">
        <v>#N/A</v>
      </c>
      <c r="N11530" s="1">
        <v>40909</v>
      </c>
    </row>
    <row r="11531" spans="11:14" x14ac:dyDescent="0.3">
      <c r="K11531" s="1">
        <v>41275</v>
      </c>
      <c r="M11531" t="e">
        <v>#N/A</v>
      </c>
      <c r="N11531" s="1">
        <v>40909</v>
      </c>
    </row>
    <row r="11532" spans="11:14" x14ac:dyDescent="0.3">
      <c r="K11532" s="1">
        <v>41275</v>
      </c>
      <c r="M11532" t="e">
        <v>#N/A</v>
      </c>
      <c r="N11532" s="1">
        <v>40909</v>
      </c>
    </row>
    <row r="11533" spans="11:14" x14ac:dyDescent="0.3">
      <c r="K11533" s="1">
        <v>41275</v>
      </c>
      <c r="M11533" t="e">
        <v>#N/A</v>
      </c>
      <c r="N11533" s="1">
        <v>40909</v>
      </c>
    </row>
    <row r="11534" spans="11:14" x14ac:dyDescent="0.3">
      <c r="K11534" s="1">
        <v>41275</v>
      </c>
      <c r="M11534" t="e">
        <v>#N/A</v>
      </c>
      <c r="N11534" s="1">
        <v>40909</v>
      </c>
    </row>
    <row r="11535" spans="11:14" x14ac:dyDescent="0.3">
      <c r="K11535" s="1">
        <v>41275</v>
      </c>
      <c r="M11535" t="e">
        <v>#N/A</v>
      </c>
      <c r="N11535" s="1">
        <v>40909</v>
      </c>
    </row>
    <row r="11536" spans="11:14" x14ac:dyDescent="0.3">
      <c r="K11536" s="1">
        <v>41275</v>
      </c>
      <c r="M11536" t="e">
        <v>#N/A</v>
      </c>
      <c r="N11536" s="1">
        <v>40909</v>
      </c>
    </row>
    <row r="11537" spans="11:14" x14ac:dyDescent="0.3">
      <c r="K11537" s="1">
        <v>41275</v>
      </c>
      <c r="M11537" t="e">
        <v>#N/A</v>
      </c>
      <c r="N11537" s="1">
        <v>40909</v>
      </c>
    </row>
    <row r="11538" spans="11:14" x14ac:dyDescent="0.3">
      <c r="K11538" s="1">
        <v>41275</v>
      </c>
      <c r="M11538" t="e">
        <v>#N/A</v>
      </c>
      <c r="N11538" s="1">
        <v>40909</v>
      </c>
    </row>
    <row r="11539" spans="11:14" x14ac:dyDescent="0.3">
      <c r="K11539" s="1">
        <v>41275</v>
      </c>
      <c r="M11539" t="e">
        <v>#N/A</v>
      </c>
      <c r="N11539" s="1">
        <v>40909</v>
      </c>
    </row>
    <row r="11540" spans="11:14" x14ac:dyDescent="0.3">
      <c r="K11540" s="1">
        <v>41275</v>
      </c>
      <c r="M11540" t="e">
        <v>#N/A</v>
      </c>
      <c r="N11540" s="1">
        <v>40909</v>
      </c>
    </row>
    <row r="11541" spans="11:14" x14ac:dyDescent="0.3">
      <c r="K11541" s="1">
        <v>41275</v>
      </c>
      <c r="M11541" t="e">
        <v>#N/A</v>
      </c>
      <c r="N11541" s="1">
        <v>40909</v>
      </c>
    </row>
    <row r="11542" spans="11:14" x14ac:dyDescent="0.3">
      <c r="K11542" s="1">
        <v>41275</v>
      </c>
      <c r="M11542" t="e">
        <v>#N/A</v>
      </c>
      <c r="N11542" s="1">
        <v>40909</v>
      </c>
    </row>
    <row r="11543" spans="11:14" x14ac:dyDescent="0.3">
      <c r="K11543" s="1">
        <v>41275</v>
      </c>
      <c r="M11543" t="e">
        <v>#N/A</v>
      </c>
      <c r="N11543" s="1">
        <v>40909</v>
      </c>
    </row>
    <row r="11544" spans="11:14" x14ac:dyDescent="0.3">
      <c r="K11544" s="1">
        <v>41275</v>
      </c>
      <c r="M11544" t="e">
        <v>#N/A</v>
      </c>
      <c r="N11544" s="1">
        <v>40909</v>
      </c>
    </row>
    <row r="11545" spans="11:14" x14ac:dyDescent="0.3">
      <c r="K11545" s="1">
        <v>41275</v>
      </c>
      <c r="M11545" t="e">
        <v>#N/A</v>
      </c>
      <c r="N11545" s="1">
        <v>40909</v>
      </c>
    </row>
    <row r="11546" spans="11:14" x14ac:dyDescent="0.3">
      <c r="K11546" s="1">
        <v>41275</v>
      </c>
      <c r="M11546" t="e">
        <v>#N/A</v>
      </c>
      <c r="N11546" s="1">
        <v>40909</v>
      </c>
    </row>
    <row r="11547" spans="11:14" x14ac:dyDescent="0.3">
      <c r="K11547" s="1">
        <v>41275</v>
      </c>
      <c r="M11547" t="e">
        <v>#N/A</v>
      </c>
      <c r="N11547" s="1">
        <v>40909</v>
      </c>
    </row>
    <row r="11548" spans="11:14" x14ac:dyDescent="0.3">
      <c r="K11548" s="1">
        <v>41275</v>
      </c>
      <c r="M11548" t="e">
        <v>#N/A</v>
      </c>
      <c r="N11548" s="1">
        <v>40909</v>
      </c>
    </row>
    <row r="11549" spans="11:14" x14ac:dyDescent="0.3">
      <c r="K11549" s="1">
        <v>41275</v>
      </c>
      <c r="M11549" t="e">
        <v>#N/A</v>
      </c>
      <c r="N11549" s="1">
        <v>40909</v>
      </c>
    </row>
    <row r="11550" spans="11:14" x14ac:dyDescent="0.3">
      <c r="K11550" s="1">
        <v>41275</v>
      </c>
      <c r="M11550" t="e">
        <v>#N/A</v>
      </c>
      <c r="N11550" s="1">
        <v>40909</v>
      </c>
    </row>
    <row r="11551" spans="11:14" x14ac:dyDescent="0.3">
      <c r="K11551" s="1">
        <v>41275</v>
      </c>
      <c r="M11551" t="e">
        <v>#N/A</v>
      </c>
      <c r="N11551" s="1">
        <v>40909</v>
      </c>
    </row>
    <row r="11552" spans="11:14" x14ac:dyDescent="0.3">
      <c r="K11552" s="1">
        <v>41275</v>
      </c>
      <c r="M11552" t="e">
        <v>#N/A</v>
      </c>
      <c r="N11552" s="1">
        <v>40909</v>
      </c>
    </row>
    <row r="11553" spans="11:14" x14ac:dyDescent="0.3">
      <c r="K11553" s="1">
        <v>41275</v>
      </c>
      <c r="M11553" t="e">
        <v>#N/A</v>
      </c>
      <c r="N11553" s="1">
        <v>40909</v>
      </c>
    </row>
    <row r="11554" spans="11:14" x14ac:dyDescent="0.3">
      <c r="K11554" s="1">
        <v>41275</v>
      </c>
      <c r="M11554" t="e">
        <v>#N/A</v>
      </c>
      <c r="N11554" s="1">
        <v>40909</v>
      </c>
    </row>
    <row r="11555" spans="11:14" x14ac:dyDescent="0.3">
      <c r="K11555" s="1">
        <v>41275</v>
      </c>
      <c r="M11555" t="e">
        <v>#N/A</v>
      </c>
      <c r="N11555" s="1">
        <v>40909</v>
      </c>
    </row>
    <row r="11556" spans="11:14" x14ac:dyDescent="0.3">
      <c r="K11556" s="1">
        <v>41275</v>
      </c>
      <c r="M11556" t="e">
        <v>#N/A</v>
      </c>
      <c r="N11556" s="1">
        <v>40909</v>
      </c>
    </row>
    <row r="11557" spans="11:14" x14ac:dyDescent="0.3">
      <c r="K11557" s="1">
        <v>41275</v>
      </c>
      <c r="M11557" t="e">
        <v>#N/A</v>
      </c>
      <c r="N11557" s="1">
        <v>40909</v>
      </c>
    </row>
    <row r="11558" spans="11:14" x14ac:dyDescent="0.3">
      <c r="K11558" s="1">
        <v>41275</v>
      </c>
      <c r="M11558" t="e">
        <v>#N/A</v>
      </c>
      <c r="N11558" s="1">
        <v>40909</v>
      </c>
    </row>
    <row r="11559" spans="11:14" x14ac:dyDescent="0.3">
      <c r="K11559" s="1">
        <v>41275</v>
      </c>
      <c r="M11559" t="e">
        <v>#N/A</v>
      </c>
      <c r="N11559" s="1">
        <v>40909</v>
      </c>
    </row>
    <row r="11560" spans="11:14" x14ac:dyDescent="0.3">
      <c r="K11560" s="1">
        <v>41275</v>
      </c>
      <c r="M11560" t="e">
        <v>#N/A</v>
      </c>
      <c r="N11560" s="1">
        <v>40909</v>
      </c>
    </row>
    <row r="11561" spans="11:14" x14ac:dyDescent="0.3">
      <c r="K11561" s="1">
        <v>41275</v>
      </c>
      <c r="M11561" t="e">
        <v>#N/A</v>
      </c>
      <c r="N11561" s="1">
        <v>40909</v>
      </c>
    </row>
    <row r="11562" spans="11:14" x14ac:dyDescent="0.3">
      <c r="K11562" s="1">
        <v>41275</v>
      </c>
      <c r="M11562" t="e">
        <v>#N/A</v>
      </c>
      <c r="N11562" s="1">
        <v>40909</v>
      </c>
    </row>
    <row r="11563" spans="11:14" x14ac:dyDescent="0.3">
      <c r="K11563" s="1">
        <v>41275</v>
      </c>
      <c r="M11563" t="e">
        <v>#N/A</v>
      </c>
      <c r="N11563" s="1">
        <v>40909</v>
      </c>
    </row>
    <row r="11564" spans="11:14" x14ac:dyDescent="0.3">
      <c r="K11564" s="1">
        <v>41275</v>
      </c>
      <c r="M11564" t="e">
        <v>#N/A</v>
      </c>
      <c r="N11564" s="1">
        <v>40909</v>
      </c>
    </row>
    <row r="11565" spans="11:14" x14ac:dyDescent="0.3">
      <c r="K11565" s="1">
        <v>41275</v>
      </c>
      <c r="M11565" t="e">
        <v>#N/A</v>
      </c>
      <c r="N11565" s="1">
        <v>40909</v>
      </c>
    </row>
    <row r="11566" spans="11:14" x14ac:dyDescent="0.3">
      <c r="K11566" s="1">
        <v>41275</v>
      </c>
      <c r="M11566" t="e">
        <v>#N/A</v>
      </c>
      <c r="N11566" s="1">
        <v>40909</v>
      </c>
    </row>
    <row r="11567" spans="11:14" x14ac:dyDescent="0.3">
      <c r="K11567" s="1">
        <v>41275</v>
      </c>
      <c r="M11567" t="e">
        <v>#N/A</v>
      </c>
      <c r="N11567" s="1">
        <v>40909</v>
      </c>
    </row>
    <row r="11568" spans="11:14" x14ac:dyDescent="0.3">
      <c r="K11568" s="1">
        <v>41275</v>
      </c>
      <c r="M11568" t="e">
        <v>#N/A</v>
      </c>
      <c r="N11568" s="1">
        <v>40909</v>
      </c>
    </row>
    <row r="11569" spans="11:14" x14ac:dyDescent="0.3">
      <c r="K11569" s="1">
        <v>41275</v>
      </c>
      <c r="M11569" t="e">
        <v>#N/A</v>
      </c>
      <c r="N11569" s="1">
        <v>40909</v>
      </c>
    </row>
    <row r="11570" spans="11:14" x14ac:dyDescent="0.3">
      <c r="K11570" s="1">
        <v>41275</v>
      </c>
      <c r="M11570" t="e">
        <v>#N/A</v>
      </c>
      <c r="N11570" s="1">
        <v>40909</v>
      </c>
    </row>
    <row r="11571" spans="11:14" x14ac:dyDescent="0.3">
      <c r="K11571" s="1">
        <v>41275</v>
      </c>
      <c r="M11571" t="e">
        <v>#N/A</v>
      </c>
      <c r="N11571" s="1">
        <v>40909</v>
      </c>
    </row>
    <row r="11572" spans="11:14" x14ac:dyDescent="0.3">
      <c r="K11572" s="1">
        <v>41275</v>
      </c>
      <c r="M11572" t="e">
        <v>#N/A</v>
      </c>
      <c r="N11572" s="1">
        <v>40909</v>
      </c>
    </row>
    <row r="11573" spans="11:14" x14ac:dyDescent="0.3">
      <c r="K11573" s="1">
        <v>41275</v>
      </c>
      <c r="M11573" t="e">
        <v>#N/A</v>
      </c>
      <c r="N11573" s="1">
        <v>40909</v>
      </c>
    </row>
    <row r="11574" spans="11:14" x14ac:dyDescent="0.3">
      <c r="K11574" s="1">
        <v>41275</v>
      </c>
      <c r="M11574" t="e">
        <v>#N/A</v>
      </c>
      <c r="N11574" s="1">
        <v>40909</v>
      </c>
    </row>
    <row r="11575" spans="11:14" x14ac:dyDescent="0.3">
      <c r="K11575" s="1">
        <v>41275</v>
      </c>
      <c r="M11575" t="e">
        <v>#N/A</v>
      </c>
      <c r="N11575" s="1">
        <v>40909</v>
      </c>
    </row>
    <row r="11576" spans="11:14" x14ac:dyDescent="0.3">
      <c r="K11576" s="1">
        <v>41275</v>
      </c>
      <c r="M11576" t="e">
        <v>#N/A</v>
      </c>
      <c r="N11576" s="1">
        <v>40909</v>
      </c>
    </row>
    <row r="11577" spans="11:14" x14ac:dyDescent="0.3">
      <c r="K11577" s="1">
        <v>41275</v>
      </c>
      <c r="M11577" t="e">
        <v>#N/A</v>
      </c>
      <c r="N11577" s="1">
        <v>40909</v>
      </c>
    </row>
    <row r="11578" spans="11:14" x14ac:dyDescent="0.3">
      <c r="K11578" s="1">
        <v>41275</v>
      </c>
      <c r="M11578" t="e">
        <v>#N/A</v>
      </c>
      <c r="N11578" s="1">
        <v>40909</v>
      </c>
    </row>
    <row r="11579" spans="11:14" x14ac:dyDescent="0.3">
      <c r="K11579" s="1">
        <v>41275</v>
      </c>
      <c r="M11579" t="e">
        <v>#N/A</v>
      </c>
      <c r="N11579" s="1">
        <v>40909</v>
      </c>
    </row>
    <row r="11580" spans="11:14" x14ac:dyDescent="0.3">
      <c r="K11580" s="1">
        <v>41275</v>
      </c>
      <c r="M11580" t="e">
        <v>#N/A</v>
      </c>
      <c r="N11580" s="1">
        <v>40909</v>
      </c>
    </row>
    <row r="11581" spans="11:14" x14ac:dyDescent="0.3">
      <c r="K11581" s="1">
        <v>41275</v>
      </c>
      <c r="M11581" t="e">
        <v>#N/A</v>
      </c>
      <c r="N11581" s="1">
        <v>40909</v>
      </c>
    </row>
    <row r="11582" spans="11:14" x14ac:dyDescent="0.3">
      <c r="K11582" s="1">
        <v>41275</v>
      </c>
      <c r="M11582" t="e">
        <v>#N/A</v>
      </c>
      <c r="N11582" s="1">
        <v>40909</v>
      </c>
    </row>
    <row r="11583" spans="11:14" x14ac:dyDescent="0.3">
      <c r="K11583" s="1">
        <v>41275</v>
      </c>
      <c r="M11583" t="e">
        <v>#N/A</v>
      </c>
      <c r="N11583" s="1">
        <v>40909</v>
      </c>
    </row>
    <row r="11584" spans="11:14" x14ac:dyDescent="0.3">
      <c r="K11584" s="1">
        <v>41275</v>
      </c>
      <c r="M11584" t="e">
        <v>#N/A</v>
      </c>
      <c r="N11584" s="1">
        <v>40909</v>
      </c>
    </row>
    <row r="11585" spans="11:14" x14ac:dyDescent="0.3">
      <c r="K11585" s="1">
        <v>41275</v>
      </c>
      <c r="M11585" t="e">
        <v>#N/A</v>
      </c>
      <c r="N11585" s="1">
        <v>40909</v>
      </c>
    </row>
    <row r="11586" spans="11:14" x14ac:dyDescent="0.3">
      <c r="K11586" s="1">
        <v>41275</v>
      </c>
      <c r="M11586" t="e">
        <v>#N/A</v>
      </c>
      <c r="N11586" s="1">
        <v>40909</v>
      </c>
    </row>
    <row r="11587" spans="11:14" x14ac:dyDescent="0.3">
      <c r="K11587" s="1">
        <v>41275</v>
      </c>
      <c r="M11587" t="e">
        <v>#N/A</v>
      </c>
      <c r="N11587" s="1">
        <v>40909</v>
      </c>
    </row>
    <row r="11588" spans="11:14" x14ac:dyDescent="0.3">
      <c r="K11588" s="1">
        <v>41275</v>
      </c>
      <c r="M11588" t="e">
        <v>#N/A</v>
      </c>
      <c r="N11588" s="1">
        <v>40909</v>
      </c>
    </row>
    <row r="11589" spans="11:14" x14ac:dyDescent="0.3">
      <c r="K11589" s="1">
        <v>41275</v>
      </c>
      <c r="M11589" t="e">
        <v>#N/A</v>
      </c>
      <c r="N11589" s="1">
        <v>40909</v>
      </c>
    </row>
    <row r="11590" spans="11:14" x14ac:dyDescent="0.3">
      <c r="K11590" s="1">
        <v>41275</v>
      </c>
      <c r="M11590" t="e">
        <v>#N/A</v>
      </c>
      <c r="N11590" s="1">
        <v>40909</v>
      </c>
    </row>
    <row r="11591" spans="11:14" x14ac:dyDescent="0.3">
      <c r="K11591" s="1">
        <v>41275</v>
      </c>
      <c r="M11591" t="e">
        <v>#N/A</v>
      </c>
      <c r="N11591" s="1">
        <v>40909</v>
      </c>
    </row>
    <row r="11592" spans="11:14" x14ac:dyDescent="0.3">
      <c r="K11592" s="1">
        <v>41275</v>
      </c>
      <c r="M11592" t="e">
        <v>#N/A</v>
      </c>
      <c r="N11592" s="1">
        <v>40909</v>
      </c>
    </row>
    <row r="11593" spans="11:14" x14ac:dyDescent="0.3">
      <c r="K11593" s="1">
        <v>41275</v>
      </c>
      <c r="M11593" t="e">
        <v>#N/A</v>
      </c>
      <c r="N11593" s="1">
        <v>40909</v>
      </c>
    </row>
    <row r="11594" spans="11:14" x14ac:dyDescent="0.3">
      <c r="K11594" s="1">
        <v>41275</v>
      </c>
      <c r="M11594" t="e">
        <v>#N/A</v>
      </c>
      <c r="N11594" s="1">
        <v>40909</v>
      </c>
    </row>
    <row r="11595" spans="11:14" x14ac:dyDescent="0.3">
      <c r="K11595" s="1">
        <v>41275</v>
      </c>
      <c r="M11595" t="e">
        <v>#N/A</v>
      </c>
      <c r="N11595" s="1">
        <v>40909</v>
      </c>
    </row>
    <row r="11596" spans="11:14" x14ac:dyDescent="0.3">
      <c r="K11596" s="1">
        <v>41275</v>
      </c>
      <c r="M11596" t="e">
        <v>#N/A</v>
      </c>
      <c r="N11596" s="1">
        <v>40909</v>
      </c>
    </row>
    <row r="11597" spans="11:14" x14ac:dyDescent="0.3">
      <c r="K11597" s="1">
        <v>41275</v>
      </c>
      <c r="M11597" t="e">
        <v>#N/A</v>
      </c>
      <c r="N11597" s="1">
        <v>40909</v>
      </c>
    </row>
    <row r="11598" spans="11:14" x14ac:dyDescent="0.3">
      <c r="K11598" s="1">
        <v>41275</v>
      </c>
      <c r="M11598" t="e">
        <v>#N/A</v>
      </c>
      <c r="N11598" s="1">
        <v>40909</v>
      </c>
    </row>
    <row r="11599" spans="11:14" x14ac:dyDescent="0.3">
      <c r="K11599" s="1">
        <v>41275</v>
      </c>
      <c r="M11599" t="e">
        <v>#N/A</v>
      </c>
      <c r="N11599" s="1">
        <v>40909</v>
      </c>
    </row>
    <row r="11600" spans="11:14" x14ac:dyDescent="0.3">
      <c r="K11600" s="1">
        <v>41365</v>
      </c>
      <c r="M11600" t="e">
        <v>#N/A</v>
      </c>
      <c r="N11600" s="1">
        <v>40909</v>
      </c>
    </row>
    <row r="11601" spans="11:14" x14ac:dyDescent="0.3">
      <c r="K11601" s="1">
        <v>41365</v>
      </c>
      <c r="M11601" t="e">
        <v>#N/A</v>
      </c>
      <c r="N11601" s="1">
        <v>40909</v>
      </c>
    </row>
    <row r="11602" spans="11:14" x14ac:dyDescent="0.3">
      <c r="K11602" s="1">
        <v>41365</v>
      </c>
      <c r="M11602" t="e">
        <v>#N/A</v>
      </c>
      <c r="N11602" s="1">
        <v>40909</v>
      </c>
    </row>
    <row r="11603" spans="11:14" x14ac:dyDescent="0.3">
      <c r="K11603" s="1">
        <v>41365</v>
      </c>
      <c r="M11603" t="e">
        <v>#N/A</v>
      </c>
      <c r="N11603" s="1">
        <v>40909</v>
      </c>
    </row>
    <row r="11604" spans="11:14" x14ac:dyDescent="0.3">
      <c r="K11604" s="1">
        <v>41365</v>
      </c>
      <c r="M11604" t="e">
        <v>#N/A</v>
      </c>
      <c r="N11604" s="1">
        <v>40909</v>
      </c>
    </row>
    <row r="11605" spans="11:14" x14ac:dyDescent="0.3">
      <c r="K11605" s="1">
        <v>41365</v>
      </c>
      <c r="M11605" t="e">
        <v>#N/A</v>
      </c>
      <c r="N11605" s="1">
        <v>40909</v>
      </c>
    </row>
    <row r="11606" spans="11:14" x14ac:dyDescent="0.3">
      <c r="K11606" s="1">
        <v>41365</v>
      </c>
      <c r="M11606" t="e">
        <v>#N/A</v>
      </c>
      <c r="N11606" s="1">
        <v>40909</v>
      </c>
    </row>
    <row r="11607" spans="11:14" x14ac:dyDescent="0.3">
      <c r="K11607" s="1">
        <v>41365</v>
      </c>
      <c r="M11607" t="e">
        <v>#N/A</v>
      </c>
      <c r="N11607" s="1">
        <v>40909</v>
      </c>
    </row>
    <row r="11608" spans="11:14" x14ac:dyDescent="0.3">
      <c r="K11608" s="1">
        <v>41365</v>
      </c>
      <c r="M11608" t="e">
        <v>#N/A</v>
      </c>
      <c r="N11608" s="1">
        <v>40909</v>
      </c>
    </row>
    <row r="11609" spans="11:14" x14ac:dyDescent="0.3">
      <c r="K11609" s="1">
        <v>41365</v>
      </c>
      <c r="M11609" t="e">
        <v>#N/A</v>
      </c>
      <c r="N11609" s="1">
        <v>40909</v>
      </c>
    </row>
    <row r="11610" spans="11:14" x14ac:dyDescent="0.3">
      <c r="K11610" s="1">
        <v>41365</v>
      </c>
      <c r="M11610" t="e">
        <v>#N/A</v>
      </c>
      <c r="N11610" s="1">
        <v>40909</v>
      </c>
    </row>
    <row r="11611" spans="11:14" x14ac:dyDescent="0.3">
      <c r="K11611" s="1">
        <v>41365</v>
      </c>
      <c r="M11611" t="e">
        <v>#N/A</v>
      </c>
      <c r="N11611" s="1">
        <v>40909</v>
      </c>
    </row>
    <row r="11612" spans="11:14" x14ac:dyDescent="0.3">
      <c r="K11612" s="1">
        <v>41365</v>
      </c>
      <c r="M11612" t="e">
        <v>#N/A</v>
      </c>
      <c r="N11612" s="1">
        <v>40909</v>
      </c>
    </row>
    <row r="11613" spans="11:14" x14ac:dyDescent="0.3">
      <c r="K11613" s="1">
        <v>41365</v>
      </c>
      <c r="M11613" t="e">
        <v>#N/A</v>
      </c>
      <c r="N11613" s="1">
        <v>40909</v>
      </c>
    </row>
    <row r="11614" spans="11:14" x14ac:dyDescent="0.3">
      <c r="K11614" s="1">
        <v>41365</v>
      </c>
      <c r="M11614" t="e">
        <v>#N/A</v>
      </c>
      <c r="N11614" s="1">
        <v>40909</v>
      </c>
    </row>
    <row r="11615" spans="11:14" x14ac:dyDescent="0.3">
      <c r="K11615" s="1">
        <v>41365</v>
      </c>
      <c r="M11615" t="e">
        <v>#N/A</v>
      </c>
      <c r="N11615" s="1">
        <v>40909</v>
      </c>
    </row>
    <row r="11616" spans="11:14" x14ac:dyDescent="0.3">
      <c r="K11616" s="1">
        <v>41365</v>
      </c>
      <c r="M11616" t="e">
        <v>#N/A</v>
      </c>
      <c r="N11616" s="1">
        <v>40909</v>
      </c>
    </row>
    <row r="11617" spans="11:14" x14ac:dyDescent="0.3">
      <c r="K11617" s="1">
        <v>41365</v>
      </c>
      <c r="M11617" t="e">
        <v>#N/A</v>
      </c>
      <c r="N11617" s="1">
        <v>40909</v>
      </c>
    </row>
    <row r="11618" spans="11:14" x14ac:dyDescent="0.3">
      <c r="K11618" s="1">
        <v>41365</v>
      </c>
      <c r="M11618" t="e">
        <v>#N/A</v>
      </c>
      <c r="N11618" s="1">
        <v>40909</v>
      </c>
    </row>
    <row r="11619" spans="11:14" x14ac:dyDescent="0.3">
      <c r="K11619" s="1">
        <v>41365</v>
      </c>
      <c r="M11619" t="e">
        <v>#N/A</v>
      </c>
      <c r="N11619" s="1">
        <v>40909</v>
      </c>
    </row>
    <row r="11620" spans="11:14" x14ac:dyDescent="0.3">
      <c r="K11620" s="1">
        <v>41365</v>
      </c>
      <c r="M11620" t="e">
        <v>#N/A</v>
      </c>
      <c r="N11620" s="1">
        <v>40909</v>
      </c>
    </row>
    <row r="11621" spans="11:14" x14ac:dyDescent="0.3">
      <c r="K11621" s="1">
        <v>41365</v>
      </c>
      <c r="M11621" t="e">
        <v>#N/A</v>
      </c>
      <c r="N11621" s="1">
        <v>40909</v>
      </c>
    </row>
    <row r="11622" spans="11:14" x14ac:dyDescent="0.3">
      <c r="K11622" s="1">
        <v>41365</v>
      </c>
      <c r="M11622" t="e">
        <v>#N/A</v>
      </c>
      <c r="N11622" s="1">
        <v>40909</v>
      </c>
    </row>
    <row r="11623" spans="11:14" x14ac:dyDescent="0.3">
      <c r="K11623" s="1">
        <v>41365</v>
      </c>
      <c r="M11623" t="e">
        <v>#N/A</v>
      </c>
      <c r="N11623" s="1">
        <v>40909</v>
      </c>
    </row>
    <row r="11624" spans="11:14" x14ac:dyDescent="0.3">
      <c r="K11624" s="1">
        <v>41365</v>
      </c>
      <c r="M11624" t="e">
        <v>#N/A</v>
      </c>
      <c r="N11624" s="1">
        <v>40909</v>
      </c>
    </row>
    <row r="11625" spans="11:14" x14ac:dyDescent="0.3">
      <c r="K11625" s="1">
        <v>41365</v>
      </c>
      <c r="M11625" t="e">
        <v>#N/A</v>
      </c>
      <c r="N11625" s="1">
        <v>40909</v>
      </c>
    </row>
    <row r="11626" spans="11:14" x14ac:dyDescent="0.3">
      <c r="K11626" s="1">
        <v>41365</v>
      </c>
      <c r="M11626" t="e">
        <v>#N/A</v>
      </c>
      <c r="N11626" s="1">
        <v>40909</v>
      </c>
    </row>
    <row r="11627" spans="11:14" x14ac:dyDescent="0.3">
      <c r="K11627" s="1">
        <v>41365</v>
      </c>
      <c r="M11627" t="e">
        <v>#N/A</v>
      </c>
      <c r="N11627" s="1">
        <v>40909</v>
      </c>
    </row>
    <row r="11628" spans="11:14" x14ac:dyDescent="0.3">
      <c r="K11628" s="1">
        <v>41365</v>
      </c>
      <c r="M11628" t="e">
        <v>#N/A</v>
      </c>
      <c r="N11628" s="1">
        <v>40909</v>
      </c>
    </row>
    <row r="11629" spans="11:14" x14ac:dyDescent="0.3">
      <c r="K11629" s="1">
        <v>41365</v>
      </c>
      <c r="M11629" t="e">
        <v>#N/A</v>
      </c>
      <c r="N11629" s="1">
        <v>40909</v>
      </c>
    </row>
    <row r="11630" spans="11:14" x14ac:dyDescent="0.3">
      <c r="K11630" s="1">
        <v>41365</v>
      </c>
      <c r="M11630" t="e">
        <v>#N/A</v>
      </c>
      <c r="N11630" s="1">
        <v>40909</v>
      </c>
    </row>
    <row r="11631" spans="11:14" x14ac:dyDescent="0.3">
      <c r="K11631" s="1">
        <v>41365</v>
      </c>
      <c r="M11631" t="e">
        <v>#N/A</v>
      </c>
      <c r="N11631" s="1">
        <v>40909</v>
      </c>
    </row>
    <row r="11632" spans="11:14" x14ac:dyDescent="0.3">
      <c r="K11632" s="1">
        <v>41365</v>
      </c>
      <c r="M11632" t="e">
        <v>#N/A</v>
      </c>
      <c r="N11632" s="1">
        <v>40909</v>
      </c>
    </row>
    <row r="11633" spans="11:14" x14ac:dyDescent="0.3">
      <c r="K11633" s="1">
        <v>41365</v>
      </c>
      <c r="M11633" t="e">
        <v>#N/A</v>
      </c>
      <c r="N11633" s="1">
        <v>40909</v>
      </c>
    </row>
    <row r="11634" spans="11:14" x14ac:dyDescent="0.3">
      <c r="K11634" s="1">
        <v>41365</v>
      </c>
      <c r="M11634" t="e">
        <v>#N/A</v>
      </c>
      <c r="N11634" s="1">
        <v>40909</v>
      </c>
    </row>
    <row r="11635" spans="11:14" x14ac:dyDescent="0.3">
      <c r="K11635" s="1">
        <v>41365</v>
      </c>
      <c r="M11635" t="e">
        <v>#N/A</v>
      </c>
      <c r="N11635" s="1">
        <v>40909</v>
      </c>
    </row>
    <row r="11636" spans="11:14" x14ac:dyDescent="0.3">
      <c r="K11636" s="1">
        <v>41365</v>
      </c>
      <c r="M11636" t="e">
        <v>#N/A</v>
      </c>
      <c r="N11636" s="1">
        <v>40909</v>
      </c>
    </row>
    <row r="11637" spans="11:14" x14ac:dyDescent="0.3">
      <c r="K11637" s="1">
        <v>41365</v>
      </c>
      <c r="M11637" t="e">
        <v>#N/A</v>
      </c>
      <c r="N11637" s="1">
        <v>40909</v>
      </c>
    </row>
    <row r="11638" spans="11:14" x14ac:dyDescent="0.3">
      <c r="K11638" s="1">
        <v>41365</v>
      </c>
      <c r="M11638" t="e">
        <v>#N/A</v>
      </c>
      <c r="N11638" s="1">
        <v>40909</v>
      </c>
    </row>
    <row r="11639" spans="11:14" x14ac:dyDescent="0.3">
      <c r="K11639" s="1">
        <v>41365</v>
      </c>
      <c r="M11639" t="e">
        <v>#N/A</v>
      </c>
      <c r="N11639" s="1">
        <v>40909</v>
      </c>
    </row>
    <row r="11640" spans="11:14" x14ac:dyDescent="0.3">
      <c r="K11640" s="1">
        <v>41365</v>
      </c>
      <c r="M11640" t="e">
        <v>#N/A</v>
      </c>
      <c r="N11640" s="1">
        <v>40909</v>
      </c>
    </row>
    <row r="11641" spans="11:14" x14ac:dyDescent="0.3">
      <c r="K11641" s="1">
        <v>41365</v>
      </c>
      <c r="M11641" t="e">
        <v>#N/A</v>
      </c>
      <c r="N11641" s="1">
        <v>40909</v>
      </c>
    </row>
    <row r="11642" spans="11:14" x14ac:dyDescent="0.3">
      <c r="K11642" s="1">
        <v>41365</v>
      </c>
      <c r="M11642" t="e">
        <v>#N/A</v>
      </c>
      <c r="N11642" s="1">
        <v>40909</v>
      </c>
    </row>
    <row r="11643" spans="11:14" x14ac:dyDescent="0.3">
      <c r="K11643" s="1">
        <v>41365</v>
      </c>
      <c r="M11643" t="e">
        <v>#N/A</v>
      </c>
      <c r="N11643" s="1">
        <v>40909</v>
      </c>
    </row>
    <row r="11644" spans="11:14" x14ac:dyDescent="0.3">
      <c r="K11644" s="1">
        <v>41365</v>
      </c>
      <c r="M11644" t="e">
        <v>#N/A</v>
      </c>
      <c r="N11644" s="1">
        <v>40909</v>
      </c>
    </row>
    <row r="11645" spans="11:14" x14ac:dyDescent="0.3">
      <c r="K11645" s="1">
        <v>41365</v>
      </c>
      <c r="M11645" t="e">
        <v>#N/A</v>
      </c>
      <c r="N11645" s="1">
        <v>40909</v>
      </c>
    </row>
    <row r="11646" spans="11:14" x14ac:dyDescent="0.3">
      <c r="K11646" s="1">
        <v>41365</v>
      </c>
      <c r="M11646" t="e">
        <v>#N/A</v>
      </c>
      <c r="N11646" s="1">
        <v>40909</v>
      </c>
    </row>
    <row r="11647" spans="11:14" x14ac:dyDescent="0.3">
      <c r="K11647" s="1">
        <v>41365</v>
      </c>
      <c r="M11647" t="e">
        <v>#N/A</v>
      </c>
      <c r="N11647" s="1">
        <v>40909</v>
      </c>
    </row>
    <row r="11648" spans="11:14" x14ac:dyDescent="0.3">
      <c r="K11648" s="1">
        <v>41365</v>
      </c>
      <c r="M11648" t="e">
        <v>#N/A</v>
      </c>
      <c r="N11648" s="1">
        <v>40909</v>
      </c>
    </row>
    <row r="11649" spans="11:14" x14ac:dyDescent="0.3">
      <c r="K11649" s="1">
        <v>41365</v>
      </c>
      <c r="M11649" t="e">
        <v>#N/A</v>
      </c>
      <c r="N11649" s="1">
        <v>40909</v>
      </c>
    </row>
    <row r="11650" spans="11:14" x14ac:dyDescent="0.3">
      <c r="K11650" s="1">
        <v>41365</v>
      </c>
      <c r="M11650" t="e">
        <v>#N/A</v>
      </c>
      <c r="N11650" s="1">
        <v>40909</v>
      </c>
    </row>
    <row r="11651" spans="11:14" x14ac:dyDescent="0.3">
      <c r="K11651" s="1">
        <v>41365</v>
      </c>
      <c r="M11651" t="e">
        <v>#N/A</v>
      </c>
      <c r="N11651" s="1">
        <v>40909</v>
      </c>
    </row>
    <row r="11652" spans="11:14" x14ac:dyDescent="0.3">
      <c r="K11652" s="1">
        <v>41365</v>
      </c>
      <c r="M11652" t="e">
        <v>#N/A</v>
      </c>
      <c r="N11652" s="1">
        <v>40909</v>
      </c>
    </row>
    <row r="11653" spans="11:14" x14ac:dyDescent="0.3">
      <c r="K11653" s="1">
        <v>41365</v>
      </c>
      <c r="M11653" t="e">
        <v>#N/A</v>
      </c>
      <c r="N11653" s="1">
        <v>40909</v>
      </c>
    </row>
    <row r="11654" spans="11:14" x14ac:dyDescent="0.3">
      <c r="K11654" s="1">
        <v>41365</v>
      </c>
      <c r="M11654" t="e">
        <v>#N/A</v>
      </c>
      <c r="N11654" s="1">
        <v>40909</v>
      </c>
    </row>
    <row r="11655" spans="11:14" x14ac:dyDescent="0.3">
      <c r="K11655" s="1">
        <v>41365</v>
      </c>
      <c r="M11655" t="e">
        <v>#N/A</v>
      </c>
      <c r="N11655" s="1">
        <v>40909</v>
      </c>
    </row>
    <row r="11656" spans="11:14" x14ac:dyDescent="0.3">
      <c r="K11656" s="1">
        <v>41365</v>
      </c>
      <c r="M11656" t="e">
        <v>#N/A</v>
      </c>
      <c r="N11656" s="1">
        <v>40909</v>
      </c>
    </row>
    <row r="11657" spans="11:14" x14ac:dyDescent="0.3">
      <c r="K11657" s="1">
        <v>41365</v>
      </c>
      <c r="M11657" t="e">
        <v>#N/A</v>
      </c>
      <c r="N11657" s="1">
        <v>40909</v>
      </c>
    </row>
    <row r="11658" spans="11:14" x14ac:dyDescent="0.3">
      <c r="K11658" s="1">
        <v>41365</v>
      </c>
      <c r="M11658" t="e">
        <v>#N/A</v>
      </c>
      <c r="N11658" s="1">
        <v>40909</v>
      </c>
    </row>
    <row r="11659" spans="11:14" x14ac:dyDescent="0.3">
      <c r="K11659" s="1">
        <v>41365</v>
      </c>
      <c r="M11659" t="e">
        <v>#N/A</v>
      </c>
      <c r="N11659" s="1">
        <v>40909</v>
      </c>
    </row>
    <row r="11660" spans="11:14" x14ac:dyDescent="0.3">
      <c r="K11660" s="1">
        <v>41365</v>
      </c>
      <c r="M11660" t="e">
        <v>#N/A</v>
      </c>
      <c r="N11660" s="1">
        <v>40909</v>
      </c>
    </row>
    <row r="11661" spans="11:14" x14ac:dyDescent="0.3">
      <c r="K11661" s="1">
        <v>41365</v>
      </c>
      <c r="M11661" t="e">
        <v>#N/A</v>
      </c>
      <c r="N11661" s="1">
        <v>40909</v>
      </c>
    </row>
    <row r="11662" spans="11:14" x14ac:dyDescent="0.3">
      <c r="K11662" s="1">
        <v>41365</v>
      </c>
      <c r="M11662" t="e">
        <v>#N/A</v>
      </c>
      <c r="N11662" s="1">
        <v>40909</v>
      </c>
    </row>
    <row r="11663" spans="11:14" x14ac:dyDescent="0.3">
      <c r="K11663" s="1">
        <v>41365</v>
      </c>
      <c r="M11663" t="e">
        <v>#N/A</v>
      </c>
      <c r="N11663" s="1">
        <v>40909</v>
      </c>
    </row>
    <row r="11664" spans="11:14" x14ac:dyDescent="0.3">
      <c r="K11664" s="1">
        <v>41365</v>
      </c>
      <c r="M11664" t="e">
        <v>#N/A</v>
      </c>
      <c r="N11664" s="1">
        <v>40909</v>
      </c>
    </row>
    <row r="11665" spans="11:14" x14ac:dyDescent="0.3">
      <c r="K11665" s="1">
        <v>41365</v>
      </c>
      <c r="M11665" t="e">
        <v>#N/A</v>
      </c>
      <c r="N11665" s="1">
        <v>40909</v>
      </c>
    </row>
    <row r="11666" spans="11:14" x14ac:dyDescent="0.3">
      <c r="K11666" s="1">
        <v>41365</v>
      </c>
      <c r="M11666" t="e">
        <v>#N/A</v>
      </c>
      <c r="N11666" s="1">
        <v>40909</v>
      </c>
    </row>
    <row r="11667" spans="11:14" x14ac:dyDescent="0.3">
      <c r="K11667" s="1">
        <v>41365</v>
      </c>
      <c r="M11667" t="e">
        <v>#N/A</v>
      </c>
      <c r="N11667" s="1">
        <v>40909</v>
      </c>
    </row>
    <row r="11668" spans="11:14" x14ac:dyDescent="0.3">
      <c r="K11668" s="1">
        <v>41365</v>
      </c>
      <c r="M11668" t="e">
        <v>#N/A</v>
      </c>
      <c r="N11668" s="1">
        <v>40909</v>
      </c>
    </row>
    <row r="11669" spans="11:14" x14ac:dyDescent="0.3">
      <c r="K11669" s="1">
        <v>41365</v>
      </c>
      <c r="M11669" t="e">
        <v>#N/A</v>
      </c>
      <c r="N11669" s="1">
        <v>40909</v>
      </c>
    </row>
    <row r="11670" spans="11:14" x14ac:dyDescent="0.3">
      <c r="K11670" s="1">
        <v>41365</v>
      </c>
      <c r="M11670" t="e">
        <v>#N/A</v>
      </c>
      <c r="N11670" s="1">
        <v>40909</v>
      </c>
    </row>
    <row r="11671" spans="11:14" x14ac:dyDescent="0.3">
      <c r="K11671" s="1">
        <v>41365</v>
      </c>
      <c r="M11671" t="e">
        <v>#N/A</v>
      </c>
      <c r="N11671" s="1">
        <v>40909</v>
      </c>
    </row>
    <row r="11672" spans="11:14" x14ac:dyDescent="0.3">
      <c r="K11672" s="1">
        <v>41365</v>
      </c>
      <c r="M11672" t="e">
        <v>#N/A</v>
      </c>
      <c r="N11672" s="1">
        <v>40909</v>
      </c>
    </row>
    <row r="11673" spans="11:14" x14ac:dyDescent="0.3">
      <c r="K11673" s="1">
        <v>41365</v>
      </c>
      <c r="M11673" t="e">
        <v>#N/A</v>
      </c>
      <c r="N11673" s="1">
        <v>40909</v>
      </c>
    </row>
    <row r="11674" spans="11:14" x14ac:dyDescent="0.3">
      <c r="K11674" s="1">
        <v>41365</v>
      </c>
      <c r="M11674" t="e">
        <v>#N/A</v>
      </c>
      <c r="N11674" s="1">
        <v>40909</v>
      </c>
    </row>
    <row r="11675" spans="11:14" x14ac:dyDescent="0.3">
      <c r="K11675" s="1">
        <v>41365</v>
      </c>
      <c r="M11675" t="e">
        <v>#N/A</v>
      </c>
      <c r="N11675" s="1">
        <v>40909</v>
      </c>
    </row>
    <row r="11676" spans="11:14" x14ac:dyDescent="0.3">
      <c r="K11676" s="1">
        <v>41365</v>
      </c>
      <c r="M11676" t="e">
        <v>#N/A</v>
      </c>
      <c r="N11676" s="1">
        <v>40909</v>
      </c>
    </row>
    <row r="11677" spans="11:14" x14ac:dyDescent="0.3">
      <c r="K11677" s="1">
        <v>41365</v>
      </c>
      <c r="M11677" t="e">
        <v>#N/A</v>
      </c>
      <c r="N11677" s="1">
        <v>40909</v>
      </c>
    </row>
    <row r="11678" spans="11:14" x14ac:dyDescent="0.3">
      <c r="K11678" s="1">
        <v>41365</v>
      </c>
      <c r="M11678" t="e">
        <v>#N/A</v>
      </c>
      <c r="N11678" s="1">
        <v>40909</v>
      </c>
    </row>
    <row r="11679" spans="11:14" x14ac:dyDescent="0.3">
      <c r="K11679" s="1">
        <v>41365</v>
      </c>
      <c r="M11679" t="e">
        <v>#N/A</v>
      </c>
      <c r="N11679" s="1">
        <v>40909</v>
      </c>
    </row>
    <row r="11680" spans="11:14" x14ac:dyDescent="0.3">
      <c r="K11680" s="1">
        <v>41365</v>
      </c>
      <c r="M11680" t="e">
        <v>#N/A</v>
      </c>
      <c r="N11680" s="1">
        <v>40909</v>
      </c>
    </row>
    <row r="11681" spans="11:14" x14ac:dyDescent="0.3">
      <c r="K11681" s="1">
        <v>41365</v>
      </c>
      <c r="M11681" t="e">
        <v>#N/A</v>
      </c>
      <c r="N11681" s="1">
        <v>40909</v>
      </c>
    </row>
    <row r="11682" spans="11:14" x14ac:dyDescent="0.3">
      <c r="K11682" s="1">
        <v>41365</v>
      </c>
      <c r="M11682" t="e">
        <v>#N/A</v>
      </c>
      <c r="N11682" s="1">
        <v>40909</v>
      </c>
    </row>
    <row r="11683" spans="11:14" x14ac:dyDescent="0.3">
      <c r="K11683" s="1">
        <v>41365</v>
      </c>
      <c r="M11683" t="e">
        <v>#N/A</v>
      </c>
      <c r="N11683" s="1">
        <v>40909</v>
      </c>
    </row>
    <row r="11684" spans="11:14" x14ac:dyDescent="0.3">
      <c r="K11684" s="1">
        <v>41365</v>
      </c>
      <c r="M11684" t="e">
        <v>#N/A</v>
      </c>
      <c r="N11684" s="1">
        <v>40909</v>
      </c>
    </row>
    <row r="11685" spans="11:14" x14ac:dyDescent="0.3">
      <c r="K11685" s="1">
        <v>41365</v>
      </c>
      <c r="M11685" t="e">
        <v>#N/A</v>
      </c>
      <c r="N11685" s="1">
        <v>40909</v>
      </c>
    </row>
    <row r="11686" spans="11:14" x14ac:dyDescent="0.3">
      <c r="K11686" s="1">
        <v>41365</v>
      </c>
      <c r="M11686" t="e">
        <v>#N/A</v>
      </c>
      <c r="N11686" s="1">
        <v>40909</v>
      </c>
    </row>
    <row r="11687" spans="11:14" x14ac:dyDescent="0.3">
      <c r="K11687" s="1">
        <v>41365</v>
      </c>
      <c r="M11687" t="e">
        <v>#N/A</v>
      </c>
      <c r="N11687" s="1">
        <v>40909</v>
      </c>
    </row>
    <row r="11688" spans="11:14" x14ac:dyDescent="0.3">
      <c r="K11688" s="1">
        <v>41365</v>
      </c>
      <c r="M11688" t="e">
        <v>#N/A</v>
      </c>
      <c r="N11688" s="1">
        <v>40909</v>
      </c>
    </row>
    <row r="11689" spans="11:14" x14ac:dyDescent="0.3">
      <c r="K11689" s="1">
        <v>41365</v>
      </c>
      <c r="M11689" t="e">
        <v>#N/A</v>
      </c>
      <c r="N11689" s="1">
        <v>40909</v>
      </c>
    </row>
    <row r="11690" spans="11:14" x14ac:dyDescent="0.3">
      <c r="K11690" s="1">
        <v>41365</v>
      </c>
      <c r="M11690" t="e">
        <v>#N/A</v>
      </c>
      <c r="N11690" s="1">
        <v>40909</v>
      </c>
    </row>
    <row r="11691" spans="11:14" x14ac:dyDescent="0.3">
      <c r="K11691" s="1">
        <v>41365</v>
      </c>
      <c r="M11691" t="e">
        <v>#N/A</v>
      </c>
      <c r="N11691" s="1">
        <v>40909</v>
      </c>
    </row>
    <row r="11692" spans="11:14" x14ac:dyDescent="0.3">
      <c r="K11692" s="1">
        <v>41365</v>
      </c>
      <c r="M11692" t="e">
        <v>#N/A</v>
      </c>
      <c r="N11692" s="1">
        <v>41000</v>
      </c>
    </row>
    <row r="11693" spans="11:14" x14ac:dyDescent="0.3">
      <c r="K11693" s="1">
        <v>41365</v>
      </c>
      <c r="M11693" t="e">
        <v>#N/A</v>
      </c>
      <c r="N11693" s="1">
        <v>41000</v>
      </c>
    </row>
    <row r="11694" spans="11:14" x14ac:dyDescent="0.3">
      <c r="K11694" s="1">
        <v>41365</v>
      </c>
      <c r="M11694" t="e">
        <v>#N/A</v>
      </c>
      <c r="N11694" s="1">
        <v>41000</v>
      </c>
    </row>
    <row r="11695" spans="11:14" x14ac:dyDescent="0.3">
      <c r="K11695" s="1">
        <v>41365</v>
      </c>
      <c r="M11695" t="e">
        <v>#N/A</v>
      </c>
      <c r="N11695" s="1">
        <v>41000</v>
      </c>
    </row>
    <row r="11696" spans="11:14" x14ac:dyDescent="0.3">
      <c r="K11696" s="1">
        <v>41365</v>
      </c>
      <c r="M11696" t="e">
        <v>#N/A</v>
      </c>
      <c r="N11696" s="1">
        <v>41000</v>
      </c>
    </row>
    <row r="11697" spans="11:14" x14ac:dyDescent="0.3">
      <c r="K11697" s="1">
        <v>41365</v>
      </c>
      <c r="M11697" t="e">
        <v>#N/A</v>
      </c>
      <c r="N11697" s="1">
        <v>41000</v>
      </c>
    </row>
    <row r="11698" spans="11:14" x14ac:dyDescent="0.3">
      <c r="K11698" s="1">
        <v>41365</v>
      </c>
      <c r="M11698" t="e">
        <v>#N/A</v>
      </c>
      <c r="N11698" s="1">
        <v>41000</v>
      </c>
    </row>
    <row r="11699" spans="11:14" x14ac:dyDescent="0.3">
      <c r="K11699" s="1">
        <v>41365</v>
      </c>
      <c r="M11699" t="e">
        <v>#N/A</v>
      </c>
      <c r="N11699" s="1">
        <v>41000</v>
      </c>
    </row>
    <row r="11700" spans="11:14" x14ac:dyDescent="0.3">
      <c r="K11700" s="1">
        <v>41365</v>
      </c>
      <c r="M11700" t="e">
        <v>#N/A</v>
      </c>
      <c r="N11700" s="1">
        <v>41000</v>
      </c>
    </row>
    <row r="11701" spans="11:14" x14ac:dyDescent="0.3">
      <c r="K11701" s="1">
        <v>41365</v>
      </c>
      <c r="M11701" t="e">
        <v>#N/A</v>
      </c>
      <c r="N11701" s="1">
        <v>41000</v>
      </c>
    </row>
    <row r="11702" spans="11:14" x14ac:dyDescent="0.3">
      <c r="K11702" s="1">
        <v>41365</v>
      </c>
      <c r="M11702" t="e">
        <v>#N/A</v>
      </c>
      <c r="N11702" s="1">
        <v>41000</v>
      </c>
    </row>
    <row r="11703" spans="11:14" x14ac:dyDescent="0.3">
      <c r="K11703" s="1">
        <v>41365</v>
      </c>
      <c r="M11703" t="e">
        <v>#N/A</v>
      </c>
      <c r="N11703" s="1">
        <v>41000</v>
      </c>
    </row>
    <row r="11704" spans="11:14" x14ac:dyDescent="0.3">
      <c r="K11704" s="1">
        <v>41365</v>
      </c>
      <c r="M11704" t="e">
        <v>#N/A</v>
      </c>
      <c r="N11704" s="1">
        <v>41000</v>
      </c>
    </row>
    <row r="11705" spans="11:14" x14ac:dyDescent="0.3">
      <c r="K11705" s="1">
        <v>41365</v>
      </c>
      <c r="M11705" t="e">
        <v>#N/A</v>
      </c>
      <c r="N11705" s="1">
        <v>41000</v>
      </c>
    </row>
    <row r="11706" spans="11:14" x14ac:dyDescent="0.3">
      <c r="K11706" s="1">
        <v>41365</v>
      </c>
      <c r="M11706" t="e">
        <v>#N/A</v>
      </c>
      <c r="N11706" s="1">
        <v>41000</v>
      </c>
    </row>
    <row r="11707" spans="11:14" x14ac:dyDescent="0.3">
      <c r="K11707" s="1">
        <v>41365</v>
      </c>
      <c r="M11707" t="e">
        <v>#N/A</v>
      </c>
      <c r="N11707" s="1">
        <v>41000</v>
      </c>
    </row>
    <row r="11708" spans="11:14" x14ac:dyDescent="0.3">
      <c r="K11708" s="1">
        <v>41365</v>
      </c>
      <c r="M11708" t="e">
        <v>#N/A</v>
      </c>
      <c r="N11708" s="1">
        <v>41000</v>
      </c>
    </row>
    <row r="11709" spans="11:14" x14ac:dyDescent="0.3">
      <c r="K11709" s="1">
        <v>41365</v>
      </c>
      <c r="M11709" t="e">
        <v>#N/A</v>
      </c>
      <c r="N11709" s="1">
        <v>41000</v>
      </c>
    </row>
    <row r="11710" spans="11:14" x14ac:dyDescent="0.3">
      <c r="K11710" s="1">
        <v>41365</v>
      </c>
      <c r="M11710" t="e">
        <v>#N/A</v>
      </c>
      <c r="N11710" s="1">
        <v>41000</v>
      </c>
    </row>
    <row r="11711" spans="11:14" x14ac:dyDescent="0.3">
      <c r="K11711" s="1">
        <v>41365</v>
      </c>
      <c r="M11711" t="e">
        <v>#N/A</v>
      </c>
      <c r="N11711" s="1">
        <v>41000</v>
      </c>
    </row>
    <row r="11712" spans="11:14" x14ac:dyDescent="0.3">
      <c r="K11712" s="1">
        <v>41365</v>
      </c>
      <c r="M11712" t="e">
        <v>#N/A</v>
      </c>
      <c r="N11712" s="1">
        <v>41000</v>
      </c>
    </row>
    <row r="11713" spans="11:14" x14ac:dyDescent="0.3">
      <c r="K11713" s="1">
        <v>41365</v>
      </c>
      <c r="M11713" t="e">
        <v>#N/A</v>
      </c>
      <c r="N11713" s="1">
        <v>41000</v>
      </c>
    </row>
    <row r="11714" spans="11:14" x14ac:dyDescent="0.3">
      <c r="K11714" s="1">
        <v>41365</v>
      </c>
      <c r="M11714" t="e">
        <v>#N/A</v>
      </c>
      <c r="N11714" s="1">
        <v>41000</v>
      </c>
    </row>
    <row r="11715" spans="11:14" x14ac:dyDescent="0.3">
      <c r="K11715" s="1">
        <v>41365</v>
      </c>
      <c r="M11715" t="e">
        <v>#N/A</v>
      </c>
      <c r="N11715" s="1">
        <v>41000</v>
      </c>
    </row>
    <row r="11716" spans="11:14" x14ac:dyDescent="0.3">
      <c r="K11716" s="1">
        <v>41365</v>
      </c>
      <c r="M11716" t="e">
        <v>#N/A</v>
      </c>
      <c r="N11716" s="1">
        <v>41000</v>
      </c>
    </row>
    <row r="11717" spans="11:14" x14ac:dyDescent="0.3">
      <c r="K11717" s="1">
        <v>41365</v>
      </c>
      <c r="M11717" t="e">
        <v>#N/A</v>
      </c>
      <c r="N11717" s="1">
        <v>41000</v>
      </c>
    </row>
    <row r="11718" spans="11:14" x14ac:dyDescent="0.3">
      <c r="K11718" s="1">
        <v>41365</v>
      </c>
      <c r="M11718" t="e">
        <v>#N/A</v>
      </c>
      <c r="N11718" s="1">
        <v>41000</v>
      </c>
    </row>
    <row r="11719" spans="11:14" x14ac:dyDescent="0.3">
      <c r="K11719" s="1">
        <v>41365</v>
      </c>
      <c r="M11719" t="e">
        <v>#N/A</v>
      </c>
      <c r="N11719" s="1">
        <v>41000</v>
      </c>
    </row>
    <row r="11720" spans="11:14" x14ac:dyDescent="0.3">
      <c r="K11720" s="1">
        <v>41365</v>
      </c>
      <c r="M11720" t="e">
        <v>#N/A</v>
      </c>
      <c r="N11720" s="1">
        <v>41000</v>
      </c>
    </row>
    <row r="11721" spans="11:14" x14ac:dyDescent="0.3">
      <c r="K11721" s="1">
        <v>41365</v>
      </c>
      <c r="M11721" t="e">
        <v>#N/A</v>
      </c>
      <c r="N11721" s="1">
        <v>41000</v>
      </c>
    </row>
    <row r="11722" spans="11:14" x14ac:dyDescent="0.3">
      <c r="K11722" s="1">
        <v>41365</v>
      </c>
      <c r="M11722" t="e">
        <v>#N/A</v>
      </c>
      <c r="N11722" s="1">
        <v>41000</v>
      </c>
    </row>
    <row r="11723" spans="11:14" x14ac:dyDescent="0.3">
      <c r="K11723" s="1">
        <v>41365</v>
      </c>
      <c r="M11723" t="e">
        <v>#N/A</v>
      </c>
      <c r="N11723" s="1">
        <v>41000</v>
      </c>
    </row>
    <row r="11724" spans="11:14" x14ac:dyDescent="0.3">
      <c r="K11724" s="1">
        <v>41365</v>
      </c>
      <c r="M11724" t="e">
        <v>#N/A</v>
      </c>
      <c r="N11724" s="1">
        <v>41000</v>
      </c>
    </row>
    <row r="11725" spans="11:14" x14ac:dyDescent="0.3">
      <c r="K11725" s="1">
        <v>41365</v>
      </c>
      <c r="M11725" t="e">
        <v>#N/A</v>
      </c>
      <c r="N11725" s="1">
        <v>41000</v>
      </c>
    </row>
    <row r="11726" spans="11:14" x14ac:dyDescent="0.3">
      <c r="K11726" s="1">
        <v>41365</v>
      </c>
      <c r="M11726" t="e">
        <v>#N/A</v>
      </c>
      <c r="N11726" s="1">
        <v>41000</v>
      </c>
    </row>
    <row r="11727" spans="11:14" x14ac:dyDescent="0.3">
      <c r="K11727" s="1">
        <v>41365</v>
      </c>
      <c r="M11727" t="e">
        <v>#N/A</v>
      </c>
      <c r="N11727" s="1">
        <v>41000</v>
      </c>
    </row>
    <row r="11728" spans="11:14" x14ac:dyDescent="0.3">
      <c r="K11728" s="1">
        <v>41365</v>
      </c>
      <c r="M11728" t="e">
        <v>#N/A</v>
      </c>
      <c r="N11728" s="1">
        <v>41000</v>
      </c>
    </row>
    <row r="11729" spans="11:14" x14ac:dyDescent="0.3">
      <c r="K11729" s="1">
        <v>41365</v>
      </c>
      <c r="M11729" t="e">
        <v>#N/A</v>
      </c>
      <c r="N11729" s="1">
        <v>41000</v>
      </c>
    </row>
    <row r="11730" spans="11:14" x14ac:dyDescent="0.3">
      <c r="K11730" s="1">
        <v>41365</v>
      </c>
      <c r="M11730" t="e">
        <v>#N/A</v>
      </c>
      <c r="N11730" s="1">
        <v>41000</v>
      </c>
    </row>
    <row r="11731" spans="11:14" x14ac:dyDescent="0.3">
      <c r="K11731" s="1">
        <v>41365</v>
      </c>
      <c r="M11731" t="e">
        <v>#N/A</v>
      </c>
      <c r="N11731" s="1">
        <v>41000</v>
      </c>
    </row>
    <row r="11732" spans="11:14" x14ac:dyDescent="0.3">
      <c r="K11732" s="1">
        <v>41365</v>
      </c>
      <c r="M11732" t="e">
        <v>#N/A</v>
      </c>
      <c r="N11732" s="1">
        <v>41000</v>
      </c>
    </row>
    <row r="11733" spans="11:14" x14ac:dyDescent="0.3">
      <c r="K11733" s="1">
        <v>41365</v>
      </c>
      <c r="M11733" t="e">
        <v>#N/A</v>
      </c>
      <c r="N11733" s="1">
        <v>41000</v>
      </c>
    </row>
    <row r="11734" spans="11:14" x14ac:dyDescent="0.3">
      <c r="K11734" s="1">
        <v>41365</v>
      </c>
      <c r="M11734" t="e">
        <v>#N/A</v>
      </c>
      <c r="N11734" s="1">
        <v>41000</v>
      </c>
    </row>
    <row r="11735" spans="11:14" x14ac:dyDescent="0.3">
      <c r="K11735" s="1">
        <v>41365</v>
      </c>
      <c r="M11735" t="e">
        <v>#N/A</v>
      </c>
      <c r="N11735" s="1">
        <v>41000</v>
      </c>
    </row>
    <row r="11736" spans="11:14" x14ac:dyDescent="0.3">
      <c r="K11736" s="1">
        <v>41365</v>
      </c>
      <c r="M11736" t="e">
        <v>#N/A</v>
      </c>
      <c r="N11736" s="1">
        <v>41000</v>
      </c>
    </row>
    <row r="11737" spans="11:14" x14ac:dyDescent="0.3">
      <c r="K11737" s="1">
        <v>41365</v>
      </c>
      <c r="M11737" t="e">
        <v>#N/A</v>
      </c>
      <c r="N11737" s="1">
        <v>41000</v>
      </c>
    </row>
    <row r="11738" spans="11:14" x14ac:dyDescent="0.3">
      <c r="K11738" s="1">
        <v>41365</v>
      </c>
      <c r="M11738" t="e">
        <v>#N/A</v>
      </c>
      <c r="N11738" s="1">
        <v>41000</v>
      </c>
    </row>
    <row r="11739" spans="11:14" x14ac:dyDescent="0.3">
      <c r="K11739" s="1">
        <v>41365</v>
      </c>
      <c r="M11739" t="e">
        <v>#N/A</v>
      </c>
      <c r="N11739" s="1">
        <v>41000</v>
      </c>
    </row>
    <row r="11740" spans="11:14" x14ac:dyDescent="0.3">
      <c r="K11740" s="1">
        <v>41365</v>
      </c>
      <c r="M11740" t="e">
        <v>#N/A</v>
      </c>
      <c r="N11740" s="1">
        <v>41000</v>
      </c>
    </row>
    <row r="11741" spans="11:14" x14ac:dyDescent="0.3">
      <c r="K11741" s="1">
        <v>41365</v>
      </c>
      <c r="M11741" t="e">
        <v>#N/A</v>
      </c>
      <c r="N11741" s="1">
        <v>41000</v>
      </c>
    </row>
    <row r="11742" spans="11:14" x14ac:dyDescent="0.3">
      <c r="K11742" s="1">
        <v>41365</v>
      </c>
      <c r="M11742" t="e">
        <v>#N/A</v>
      </c>
      <c r="N11742" s="1">
        <v>41000</v>
      </c>
    </row>
    <row r="11743" spans="11:14" x14ac:dyDescent="0.3">
      <c r="K11743" s="1">
        <v>41365</v>
      </c>
      <c r="M11743" t="e">
        <v>#N/A</v>
      </c>
      <c r="N11743" s="1">
        <v>41000</v>
      </c>
    </row>
    <row r="11744" spans="11:14" x14ac:dyDescent="0.3">
      <c r="K11744" s="1">
        <v>41365</v>
      </c>
      <c r="M11744" t="e">
        <v>#N/A</v>
      </c>
      <c r="N11744" s="1">
        <v>41000</v>
      </c>
    </row>
    <row r="11745" spans="11:14" x14ac:dyDescent="0.3">
      <c r="K11745" s="1">
        <v>41365</v>
      </c>
      <c r="M11745" t="e">
        <v>#N/A</v>
      </c>
      <c r="N11745" s="1">
        <v>41000</v>
      </c>
    </row>
    <row r="11746" spans="11:14" x14ac:dyDescent="0.3">
      <c r="K11746" s="1">
        <v>41365</v>
      </c>
      <c r="M11746" t="e">
        <v>#N/A</v>
      </c>
      <c r="N11746" s="1">
        <v>41000</v>
      </c>
    </row>
    <row r="11747" spans="11:14" x14ac:dyDescent="0.3">
      <c r="K11747" s="1">
        <v>41365</v>
      </c>
      <c r="M11747" t="e">
        <v>#N/A</v>
      </c>
      <c r="N11747" s="1">
        <v>41000</v>
      </c>
    </row>
    <row r="11748" spans="11:14" x14ac:dyDescent="0.3">
      <c r="K11748" s="1">
        <v>41365</v>
      </c>
      <c r="M11748" t="e">
        <v>#N/A</v>
      </c>
      <c r="N11748" s="1">
        <v>41000</v>
      </c>
    </row>
    <row r="11749" spans="11:14" x14ac:dyDescent="0.3">
      <c r="K11749" s="1">
        <v>41365</v>
      </c>
      <c r="M11749" t="e">
        <v>#N/A</v>
      </c>
      <c r="N11749" s="1">
        <v>41000</v>
      </c>
    </row>
    <row r="11750" spans="11:14" x14ac:dyDescent="0.3">
      <c r="K11750" s="1">
        <v>41365</v>
      </c>
      <c r="M11750" t="e">
        <v>#N/A</v>
      </c>
      <c r="N11750" s="1">
        <v>41000</v>
      </c>
    </row>
    <row r="11751" spans="11:14" x14ac:dyDescent="0.3">
      <c r="K11751" s="1">
        <v>41365</v>
      </c>
      <c r="M11751" t="e">
        <v>#N/A</v>
      </c>
      <c r="N11751" s="1">
        <v>41000</v>
      </c>
    </row>
    <row r="11752" spans="11:14" x14ac:dyDescent="0.3">
      <c r="K11752" s="1">
        <v>41365</v>
      </c>
      <c r="M11752" t="e">
        <v>#N/A</v>
      </c>
      <c r="N11752" s="1">
        <v>41000</v>
      </c>
    </row>
    <row r="11753" spans="11:14" x14ac:dyDescent="0.3">
      <c r="K11753" s="1">
        <v>41365</v>
      </c>
      <c r="M11753" t="e">
        <v>#N/A</v>
      </c>
      <c r="N11753" s="1">
        <v>41000</v>
      </c>
    </row>
    <row r="11754" spans="11:14" x14ac:dyDescent="0.3">
      <c r="K11754" s="1">
        <v>41365</v>
      </c>
      <c r="M11754" t="e">
        <v>#N/A</v>
      </c>
      <c r="N11754" s="1">
        <v>41000</v>
      </c>
    </row>
    <row r="11755" spans="11:14" x14ac:dyDescent="0.3">
      <c r="K11755" s="1">
        <v>41365</v>
      </c>
      <c r="M11755" t="e">
        <v>#N/A</v>
      </c>
      <c r="N11755" s="1">
        <v>41000</v>
      </c>
    </row>
    <row r="11756" spans="11:14" x14ac:dyDescent="0.3">
      <c r="K11756" s="1">
        <v>41365</v>
      </c>
      <c r="M11756" t="e">
        <v>#N/A</v>
      </c>
      <c r="N11756" s="1">
        <v>41000</v>
      </c>
    </row>
    <row r="11757" spans="11:14" x14ac:dyDescent="0.3">
      <c r="K11757" s="1">
        <v>41365</v>
      </c>
      <c r="M11757" t="e">
        <v>#N/A</v>
      </c>
      <c r="N11757" s="1">
        <v>41000</v>
      </c>
    </row>
    <row r="11758" spans="11:14" x14ac:dyDescent="0.3">
      <c r="K11758" s="1">
        <v>41365</v>
      </c>
      <c r="M11758" t="e">
        <v>#N/A</v>
      </c>
      <c r="N11758" s="1">
        <v>41000</v>
      </c>
    </row>
    <row r="11759" spans="11:14" x14ac:dyDescent="0.3">
      <c r="K11759" s="1">
        <v>41365</v>
      </c>
      <c r="M11759" t="e">
        <v>#N/A</v>
      </c>
      <c r="N11759" s="1">
        <v>41000</v>
      </c>
    </row>
    <row r="11760" spans="11:14" x14ac:dyDescent="0.3">
      <c r="K11760" s="1">
        <v>41365</v>
      </c>
      <c r="M11760" t="e">
        <v>#N/A</v>
      </c>
      <c r="N11760" s="1">
        <v>41000</v>
      </c>
    </row>
    <row r="11761" spans="11:14" x14ac:dyDescent="0.3">
      <c r="K11761" s="1">
        <v>41365</v>
      </c>
      <c r="M11761" t="e">
        <v>#N/A</v>
      </c>
      <c r="N11761" s="1">
        <v>41000</v>
      </c>
    </row>
    <row r="11762" spans="11:14" x14ac:dyDescent="0.3">
      <c r="K11762" s="1">
        <v>41365</v>
      </c>
      <c r="M11762" t="e">
        <v>#N/A</v>
      </c>
      <c r="N11762" s="1">
        <v>41000</v>
      </c>
    </row>
    <row r="11763" spans="11:14" x14ac:dyDescent="0.3">
      <c r="K11763" s="1">
        <v>41365</v>
      </c>
      <c r="M11763" t="e">
        <v>#N/A</v>
      </c>
      <c r="N11763" s="1">
        <v>41000</v>
      </c>
    </row>
    <row r="11764" spans="11:14" x14ac:dyDescent="0.3">
      <c r="K11764" s="1">
        <v>41365</v>
      </c>
      <c r="M11764" t="e">
        <v>#N/A</v>
      </c>
      <c r="N11764" s="1">
        <v>41000</v>
      </c>
    </row>
    <row r="11765" spans="11:14" x14ac:dyDescent="0.3">
      <c r="K11765" s="1">
        <v>41365</v>
      </c>
      <c r="M11765" t="e">
        <v>#N/A</v>
      </c>
      <c r="N11765" s="1">
        <v>41000</v>
      </c>
    </row>
    <row r="11766" spans="11:14" x14ac:dyDescent="0.3">
      <c r="K11766" s="1">
        <v>41365</v>
      </c>
      <c r="M11766" t="e">
        <v>#N/A</v>
      </c>
      <c r="N11766" s="1">
        <v>41000</v>
      </c>
    </row>
    <row r="11767" spans="11:14" x14ac:dyDescent="0.3">
      <c r="K11767" s="1">
        <v>41365</v>
      </c>
      <c r="M11767" t="e">
        <v>#N/A</v>
      </c>
      <c r="N11767" s="1">
        <v>41000</v>
      </c>
    </row>
    <row r="11768" spans="11:14" x14ac:dyDescent="0.3">
      <c r="K11768" s="1">
        <v>41365</v>
      </c>
      <c r="M11768" t="e">
        <v>#N/A</v>
      </c>
      <c r="N11768" s="1">
        <v>41000</v>
      </c>
    </row>
    <row r="11769" spans="11:14" x14ac:dyDescent="0.3">
      <c r="K11769" s="1">
        <v>41365</v>
      </c>
      <c r="M11769" t="e">
        <v>#N/A</v>
      </c>
      <c r="N11769" s="1">
        <v>41000</v>
      </c>
    </row>
    <row r="11770" spans="11:14" x14ac:dyDescent="0.3">
      <c r="K11770" s="1">
        <v>41365</v>
      </c>
      <c r="M11770" t="e">
        <v>#N/A</v>
      </c>
      <c r="N11770" s="1">
        <v>41000</v>
      </c>
    </row>
    <row r="11771" spans="11:14" x14ac:dyDescent="0.3">
      <c r="K11771" s="1">
        <v>41365</v>
      </c>
      <c r="M11771" t="e">
        <v>#N/A</v>
      </c>
      <c r="N11771" s="1">
        <v>41000</v>
      </c>
    </row>
    <row r="11772" spans="11:14" x14ac:dyDescent="0.3">
      <c r="K11772" s="1">
        <v>41365</v>
      </c>
      <c r="M11772" t="e">
        <v>#N/A</v>
      </c>
      <c r="N11772" s="1">
        <v>41000</v>
      </c>
    </row>
    <row r="11773" spans="11:14" x14ac:dyDescent="0.3">
      <c r="K11773" s="1">
        <v>41365</v>
      </c>
      <c r="M11773" t="e">
        <v>#N/A</v>
      </c>
      <c r="N11773" s="1">
        <v>41000</v>
      </c>
    </row>
    <row r="11774" spans="11:14" x14ac:dyDescent="0.3">
      <c r="K11774" s="1">
        <v>41365</v>
      </c>
      <c r="M11774" t="e">
        <v>#N/A</v>
      </c>
      <c r="N11774" s="1">
        <v>41000</v>
      </c>
    </row>
    <row r="11775" spans="11:14" x14ac:dyDescent="0.3">
      <c r="K11775" s="1">
        <v>41365</v>
      </c>
      <c r="M11775" t="e">
        <v>#N/A</v>
      </c>
      <c r="N11775" s="1">
        <v>41000</v>
      </c>
    </row>
    <row r="11776" spans="11:14" x14ac:dyDescent="0.3">
      <c r="K11776" s="1">
        <v>41365</v>
      </c>
      <c r="M11776" t="e">
        <v>#N/A</v>
      </c>
      <c r="N11776" s="1">
        <v>41000</v>
      </c>
    </row>
    <row r="11777" spans="11:14" x14ac:dyDescent="0.3">
      <c r="K11777" s="1">
        <v>41365</v>
      </c>
      <c r="M11777" t="e">
        <v>#N/A</v>
      </c>
      <c r="N11777" s="1">
        <v>41000</v>
      </c>
    </row>
    <row r="11778" spans="11:14" x14ac:dyDescent="0.3">
      <c r="K11778" s="1">
        <v>41365</v>
      </c>
      <c r="M11778" t="e">
        <v>#N/A</v>
      </c>
      <c r="N11778" s="1">
        <v>41000</v>
      </c>
    </row>
    <row r="11779" spans="11:14" x14ac:dyDescent="0.3">
      <c r="K11779" s="1">
        <v>41365</v>
      </c>
      <c r="M11779" t="e">
        <v>#N/A</v>
      </c>
      <c r="N11779" s="1">
        <v>41000</v>
      </c>
    </row>
    <row r="11780" spans="11:14" x14ac:dyDescent="0.3">
      <c r="K11780" s="1">
        <v>41365</v>
      </c>
      <c r="M11780" t="e">
        <v>#N/A</v>
      </c>
      <c r="N11780" s="1">
        <v>41000</v>
      </c>
    </row>
    <row r="11781" spans="11:14" x14ac:dyDescent="0.3">
      <c r="K11781" s="1">
        <v>41365</v>
      </c>
      <c r="M11781" t="e">
        <v>#N/A</v>
      </c>
      <c r="N11781" s="1">
        <v>41000</v>
      </c>
    </row>
    <row r="11782" spans="11:14" x14ac:dyDescent="0.3">
      <c r="K11782" s="1">
        <v>41365</v>
      </c>
      <c r="M11782" t="e">
        <v>#N/A</v>
      </c>
      <c r="N11782" s="1">
        <v>41000</v>
      </c>
    </row>
    <row r="11783" spans="11:14" x14ac:dyDescent="0.3">
      <c r="K11783" s="1">
        <v>41365</v>
      </c>
      <c r="M11783" t="e">
        <v>#N/A</v>
      </c>
      <c r="N11783" s="1">
        <v>41000</v>
      </c>
    </row>
    <row r="11784" spans="11:14" x14ac:dyDescent="0.3">
      <c r="K11784" s="1">
        <v>41365</v>
      </c>
      <c r="M11784" t="e">
        <v>#N/A</v>
      </c>
      <c r="N11784" s="1">
        <v>41000</v>
      </c>
    </row>
    <row r="11785" spans="11:14" x14ac:dyDescent="0.3">
      <c r="K11785" s="1">
        <v>41365</v>
      </c>
      <c r="M11785" t="e">
        <v>#N/A</v>
      </c>
      <c r="N11785" s="1">
        <v>41000</v>
      </c>
    </row>
    <row r="11786" spans="11:14" x14ac:dyDescent="0.3">
      <c r="K11786" s="1">
        <v>41365</v>
      </c>
      <c r="M11786" t="e">
        <v>#N/A</v>
      </c>
      <c r="N11786" s="1">
        <v>41000</v>
      </c>
    </row>
    <row r="11787" spans="11:14" x14ac:dyDescent="0.3">
      <c r="K11787" s="1">
        <v>41365</v>
      </c>
      <c r="M11787" t="e">
        <v>#N/A</v>
      </c>
      <c r="N11787" s="1">
        <v>41000</v>
      </c>
    </row>
    <row r="11788" spans="11:14" x14ac:dyDescent="0.3">
      <c r="K11788" s="1">
        <v>41365</v>
      </c>
      <c r="M11788" t="e">
        <v>#N/A</v>
      </c>
      <c r="N11788" s="1">
        <v>41000</v>
      </c>
    </row>
    <row r="11789" spans="11:14" x14ac:dyDescent="0.3">
      <c r="K11789" s="1">
        <v>41365</v>
      </c>
      <c r="M11789" t="e">
        <v>#N/A</v>
      </c>
      <c r="N11789" s="1">
        <v>41000</v>
      </c>
    </row>
    <row r="11790" spans="11:14" x14ac:dyDescent="0.3">
      <c r="K11790" s="1">
        <v>41365</v>
      </c>
      <c r="M11790" t="e">
        <v>#N/A</v>
      </c>
      <c r="N11790" s="1">
        <v>41000</v>
      </c>
    </row>
    <row r="11791" spans="11:14" x14ac:dyDescent="0.3">
      <c r="K11791" s="1">
        <v>41365</v>
      </c>
      <c r="M11791" t="e">
        <v>#N/A</v>
      </c>
      <c r="N11791" s="1">
        <v>41000</v>
      </c>
    </row>
    <row r="11792" spans="11:14" x14ac:dyDescent="0.3">
      <c r="K11792" s="1">
        <v>41365</v>
      </c>
      <c r="M11792" t="e">
        <v>#N/A</v>
      </c>
      <c r="N11792" s="1">
        <v>41000</v>
      </c>
    </row>
    <row r="11793" spans="11:14" x14ac:dyDescent="0.3">
      <c r="K11793" s="1">
        <v>41365</v>
      </c>
      <c r="M11793" t="e">
        <v>#N/A</v>
      </c>
      <c r="N11793" s="1">
        <v>41000</v>
      </c>
    </row>
    <row r="11794" spans="11:14" x14ac:dyDescent="0.3">
      <c r="K11794" s="1">
        <v>41365</v>
      </c>
      <c r="M11794" t="e">
        <v>#N/A</v>
      </c>
      <c r="N11794" s="1">
        <v>41000</v>
      </c>
    </row>
    <row r="11795" spans="11:14" x14ac:dyDescent="0.3">
      <c r="K11795" s="1">
        <v>41365</v>
      </c>
      <c r="M11795" t="e">
        <v>#N/A</v>
      </c>
      <c r="N11795" s="1">
        <v>41000</v>
      </c>
    </row>
    <row r="11796" spans="11:14" x14ac:dyDescent="0.3">
      <c r="K11796" s="1">
        <v>41365</v>
      </c>
      <c r="M11796" t="e">
        <v>#N/A</v>
      </c>
      <c r="N11796" s="1">
        <v>41000</v>
      </c>
    </row>
    <row r="11797" spans="11:14" x14ac:dyDescent="0.3">
      <c r="K11797" s="1">
        <v>41365</v>
      </c>
      <c r="M11797" t="e">
        <v>#N/A</v>
      </c>
      <c r="N11797" s="1">
        <v>41000</v>
      </c>
    </row>
    <row r="11798" spans="11:14" x14ac:dyDescent="0.3">
      <c r="K11798" s="1">
        <v>41365</v>
      </c>
      <c r="M11798" t="e">
        <v>#N/A</v>
      </c>
      <c r="N11798" s="1">
        <v>41000</v>
      </c>
    </row>
    <row r="11799" spans="11:14" x14ac:dyDescent="0.3">
      <c r="K11799" s="1">
        <v>41365</v>
      </c>
      <c r="M11799" t="e">
        <v>#N/A</v>
      </c>
      <c r="N11799" s="1">
        <v>41000</v>
      </c>
    </row>
    <row r="11800" spans="11:14" x14ac:dyDescent="0.3">
      <c r="K11800" s="1">
        <v>41365</v>
      </c>
      <c r="M11800" t="e">
        <v>#N/A</v>
      </c>
      <c r="N11800" s="1">
        <v>41000</v>
      </c>
    </row>
    <row r="11801" spans="11:14" x14ac:dyDescent="0.3">
      <c r="K11801" s="1">
        <v>41365</v>
      </c>
      <c r="M11801" t="e">
        <v>#N/A</v>
      </c>
      <c r="N11801" s="1">
        <v>41000</v>
      </c>
    </row>
    <row r="11802" spans="11:14" x14ac:dyDescent="0.3">
      <c r="K11802" s="1">
        <v>41365</v>
      </c>
      <c r="M11802" t="e">
        <v>#N/A</v>
      </c>
      <c r="N11802" s="1">
        <v>41000</v>
      </c>
    </row>
    <row r="11803" spans="11:14" x14ac:dyDescent="0.3">
      <c r="K11803" s="1">
        <v>41365</v>
      </c>
      <c r="M11803" t="e">
        <v>#N/A</v>
      </c>
      <c r="N11803" s="1">
        <v>41000</v>
      </c>
    </row>
    <row r="11804" spans="11:14" x14ac:dyDescent="0.3">
      <c r="K11804" s="1">
        <v>41365</v>
      </c>
      <c r="M11804" t="e">
        <v>#N/A</v>
      </c>
      <c r="N11804" s="1">
        <v>41000</v>
      </c>
    </row>
    <row r="11805" spans="11:14" x14ac:dyDescent="0.3">
      <c r="K11805" s="1">
        <v>41365</v>
      </c>
      <c r="M11805" t="e">
        <v>#N/A</v>
      </c>
      <c r="N11805" s="1">
        <v>41000</v>
      </c>
    </row>
    <row r="11806" spans="11:14" x14ac:dyDescent="0.3">
      <c r="K11806" s="1">
        <v>41365</v>
      </c>
      <c r="M11806" t="e">
        <v>#N/A</v>
      </c>
      <c r="N11806" s="1">
        <v>41000</v>
      </c>
    </row>
    <row r="11807" spans="11:14" x14ac:dyDescent="0.3">
      <c r="K11807" s="1">
        <v>41365</v>
      </c>
      <c r="M11807" t="e">
        <v>#N/A</v>
      </c>
      <c r="N11807" s="1">
        <v>41000</v>
      </c>
    </row>
    <row r="11808" spans="11:14" x14ac:dyDescent="0.3">
      <c r="K11808" s="1">
        <v>41365</v>
      </c>
      <c r="M11808" t="e">
        <v>#N/A</v>
      </c>
      <c r="N11808" s="1">
        <v>41000</v>
      </c>
    </row>
    <row r="11809" spans="11:14" x14ac:dyDescent="0.3">
      <c r="K11809" s="1">
        <v>41365</v>
      </c>
      <c r="M11809" t="e">
        <v>#N/A</v>
      </c>
      <c r="N11809" s="1">
        <v>41000</v>
      </c>
    </row>
    <row r="11810" spans="11:14" x14ac:dyDescent="0.3">
      <c r="K11810" s="1">
        <v>41365</v>
      </c>
      <c r="M11810" t="e">
        <v>#N/A</v>
      </c>
      <c r="N11810" s="1">
        <v>41000</v>
      </c>
    </row>
    <row r="11811" spans="11:14" x14ac:dyDescent="0.3">
      <c r="K11811" s="1">
        <v>41365</v>
      </c>
      <c r="M11811" t="e">
        <v>#N/A</v>
      </c>
      <c r="N11811" s="1">
        <v>41000</v>
      </c>
    </row>
    <row r="11812" spans="11:14" x14ac:dyDescent="0.3">
      <c r="K11812" s="1">
        <v>41365</v>
      </c>
      <c r="M11812" t="e">
        <v>#N/A</v>
      </c>
      <c r="N11812" s="1">
        <v>41000</v>
      </c>
    </row>
    <row r="11813" spans="11:14" x14ac:dyDescent="0.3">
      <c r="K11813" s="1">
        <v>41365</v>
      </c>
      <c r="M11813" t="e">
        <v>#N/A</v>
      </c>
      <c r="N11813" s="1">
        <v>41000</v>
      </c>
    </row>
    <row r="11814" spans="11:14" x14ac:dyDescent="0.3">
      <c r="K11814" s="1">
        <v>41365</v>
      </c>
      <c r="M11814" t="e">
        <v>#N/A</v>
      </c>
      <c r="N11814" s="1">
        <v>41000</v>
      </c>
    </row>
    <row r="11815" spans="11:14" x14ac:dyDescent="0.3">
      <c r="K11815" s="1">
        <v>41365</v>
      </c>
      <c r="M11815" t="e">
        <v>#N/A</v>
      </c>
      <c r="N11815" s="1">
        <v>41000</v>
      </c>
    </row>
    <row r="11816" spans="11:14" x14ac:dyDescent="0.3">
      <c r="K11816" s="1">
        <v>41365</v>
      </c>
      <c r="M11816" t="e">
        <v>#N/A</v>
      </c>
      <c r="N11816" s="1">
        <v>41000</v>
      </c>
    </row>
    <row r="11817" spans="11:14" x14ac:dyDescent="0.3">
      <c r="K11817" s="1">
        <v>41365</v>
      </c>
      <c r="M11817" t="e">
        <v>#N/A</v>
      </c>
      <c r="N11817" s="1">
        <v>41000</v>
      </c>
    </row>
    <row r="11818" spans="11:14" x14ac:dyDescent="0.3">
      <c r="K11818" s="1">
        <v>41365</v>
      </c>
      <c r="M11818" t="e">
        <v>#N/A</v>
      </c>
      <c r="N11818" s="1">
        <v>41000</v>
      </c>
    </row>
    <row r="11819" spans="11:14" x14ac:dyDescent="0.3">
      <c r="K11819" s="1">
        <v>41365</v>
      </c>
      <c r="M11819" t="e">
        <v>#N/A</v>
      </c>
      <c r="N11819" s="1">
        <v>41000</v>
      </c>
    </row>
    <row r="11820" spans="11:14" x14ac:dyDescent="0.3">
      <c r="K11820" s="1">
        <v>41365</v>
      </c>
      <c r="M11820" t="e">
        <v>#N/A</v>
      </c>
      <c r="N11820" s="1">
        <v>41000</v>
      </c>
    </row>
    <row r="11821" spans="11:14" x14ac:dyDescent="0.3">
      <c r="K11821" s="1">
        <v>41365</v>
      </c>
      <c r="M11821" t="e">
        <v>#N/A</v>
      </c>
      <c r="N11821" s="1">
        <v>41000</v>
      </c>
    </row>
    <row r="11822" spans="11:14" x14ac:dyDescent="0.3">
      <c r="K11822" s="1">
        <v>41365</v>
      </c>
      <c r="M11822" t="e">
        <v>#N/A</v>
      </c>
      <c r="N11822" s="1">
        <v>41000</v>
      </c>
    </row>
    <row r="11823" spans="11:14" x14ac:dyDescent="0.3">
      <c r="K11823" s="1">
        <v>41365</v>
      </c>
      <c r="M11823" t="e">
        <v>#N/A</v>
      </c>
      <c r="N11823" s="1">
        <v>41000</v>
      </c>
    </row>
    <row r="11824" spans="11:14" x14ac:dyDescent="0.3">
      <c r="K11824" s="1">
        <v>41365</v>
      </c>
      <c r="M11824" t="e">
        <v>#N/A</v>
      </c>
      <c r="N11824" s="1">
        <v>41000</v>
      </c>
    </row>
    <row r="11825" spans="11:14" x14ac:dyDescent="0.3">
      <c r="K11825" s="1">
        <v>41365</v>
      </c>
      <c r="M11825" t="e">
        <v>#N/A</v>
      </c>
      <c r="N11825" s="1">
        <v>41000</v>
      </c>
    </row>
    <row r="11826" spans="11:14" x14ac:dyDescent="0.3">
      <c r="K11826" s="1">
        <v>41365</v>
      </c>
      <c r="M11826" t="e">
        <v>#N/A</v>
      </c>
      <c r="N11826" s="1">
        <v>41000</v>
      </c>
    </row>
    <row r="11827" spans="11:14" x14ac:dyDescent="0.3">
      <c r="K11827" s="1">
        <v>41365</v>
      </c>
      <c r="M11827" t="e">
        <v>#N/A</v>
      </c>
      <c r="N11827" s="1">
        <v>41000</v>
      </c>
    </row>
    <row r="11828" spans="11:14" x14ac:dyDescent="0.3">
      <c r="K11828" s="1">
        <v>41365</v>
      </c>
      <c r="M11828" t="e">
        <v>#N/A</v>
      </c>
      <c r="N11828" s="1">
        <v>41000</v>
      </c>
    </row>
    <row r="11829" spans="11:14" x14ac:dyDescent="0.3">
      <c r="K11829" s="1">
        <v>41365</v>
      </c>
      <c r="M11829" t="e">
        <v>#N/A</v>
      </c>
      <c r="N11829" s="1">
        <v>41000</v>
      </c>
    </row>
    <row r="11830" spans="11:14" x14ac:dyDescent="0.3">
      <c r="K11830" s="1">
        <v>41365</v>
      </c>
      <c r="M11830" t="e">
        <v>#N/A</v>
      </c>
      <c r="N11830" s="1">
        <v>41000</v>
      </c>
    </row>
    <row r="11831" spans="11:14" x14ac:dyDescent="0.3">
      <c r="K11831" s="1">
        <v>41365</v>
      </c>
      <c r="M11831" t="e">
        <v>#N/A</v>
      </c>
      <c r="N11831" s="1">
        <v>41000</v>
      </c>
    </row>
    <row r="11832" spans="11:14" x14ac:dyDescent="0.3">
      <c r="K11832" s="1">
        <v>41365</v>
      </c>
      <c r="M11832" t="e">
        <v>#N/A</v>
      </c>
      <c r="N11832" s="1">
        <v>41000</v>
      </c>
    </row>
    <row r="11833" spans="11:14" x14ac:dyDescent="0.3">
      <c r="K11833" s="1">
        <v>41365</v>
      </c>
      <c r="M11833" t="e">
        <v>#N/A</v>
      </c>
      <c r="N11833" s="1">
        <v>41000</v>
      </c>
    </row>
    <row r="11834" spans="11:14" x14ac:dyDescent="0.3">
      <c r="K11834" s="1">
        <v>41365</v>
      </c>
      <c r="M11834" t="e">
        <v>#N/A</v>
      </c>
      <c r="N11834" s="1">
        <v>41000</v>
      </c>
    </row>
    <row r="11835" spans="11:14" x14ac:dyDescent="0.3">
      <c r="K11835" s="1">
        <v>41365</v>
      </c>
      <c r="M11835" t="e">
        <v>#N/A</v>
      </c>
      <c r="N11835" s="1">
        <v>41000</v>
      </c>
    </row>
    <row r="11836" spans="11:14" x14ac:dyDescent="0.3">
      <c r="K11836" s="1">
        <v>41365</v>
      </c>
      <c r="M11836" t="e">
        <v>#N/A</v>
      </c>
      <c r="N11836" s="1">
        <v>41000</v>
      </c>
    </row>
    <row r="11837" spans="11:14" x14ac:dyDescent="0.3">
      <c r="K11837" s="1">
        <v>41365</v>
      </c>
      <c r="M11837" t="e">
        <v>#N/A</v>
      </c>
      <c r="N11837" s="1">
        <v>41000</v>
      </c>
    </row>
    <row r="11838" spans="11:14" x14ac:dyDescent="0.3">
      <c r="K11838" s="1">
        <v>41365</v>
      </c>
      <c r="M11838" t="e">
        <v>#N/A</v>
      </c>
      <c r="N11838" s="1">
        <v>41000</v>
      </c>
    </row>
    <row r="11839" spans="11:14" x14ac:dyDescent="0.3">
      <c r="K11839" s="1">
        <v>41365</v>
      </c>
      <c r="M11839" t="e">
        <v>#N/A</v>
      </c>
      <c r="N11839" s="1">
        <v>41000</v>
      </c>
    </row>
    <row r="11840" spans="11:14" x14ac:dyDescent="0.3">
      <c r="K11840" s="1">
        <v>41365</v>
      </c>
      <c r="M11840" t="e">
        <v>#N/A</v>
      </c>
      <c r="N11840" s="1">
        <v>41000</v>
      </c>
    </row>
    <row r="11841" spans="11:14" x14ac:dyDescent="0.3">
      <c r="K11841" s="1">
        <v>41365</v>
      </c>
      <c r="M11841" t="e">
        <v>#N/A</v>
      </c>
      <c r="N11841" s="1">
        <v>41000</v>
      </c>
    </row>
    <row r="11842" spans="11:14" x14ac:dyDescent="0.3">
      <c r="K11842" s="1">
        <v>41365</v>
      </c>
      <c r="M11842" t="e">
        <v>#N/A</v>
      </c>
      <c r="N11842" s="1">
        <v>41000</v>
      </c>
    </row>
    <row r="11843" spans="11:14" x14ac:dyDescent="0.3">
      <c r="K11843" s="1">
        <v>41365</v>
      </c>
      <c r="M11843" t="e">
        <v>#N/A</v>
      </c>
      <c r="N11843" s="1">
        <v>41000</v>
      </c>
    </row>
    <row r="11844" spans="11:14" x14ac:dyDescent="0.3">
      <c r="K11844" s="1">
        <v>41365</v>
      </c>
      <c r="M11844" t="e">
        <v>#N/A</v>
      </c>
      <c r="N11844" s="1">
        <v>41000</v>
      </c>
    </row>
    <row r="11845" spans="11:14" x14ac:dyDescent="0.3">
      <c r="K11845" s="1">
        <v>41365</v>
      </c>
      <c r="M11845" t="e">
        <v>#N/A</v>
      </c>
      <c r="N11845" s="1">
        <v>41000</v>
      </c>
    </row>
    <row r="11846" spans="11:14" x14ac:dyDescent="0.3">
      <c r="K11846" s="1">
        <v>41365</v>
      </c>
      <c r="M11846" t="e">
        <v>#N/A</v>
      </c>
      <c r="N11846" s="1">
        <v>41000</v>
      </c>
    </row>
    <row r="11847" spans="11:14" x14ac:dyDescent="0.3">
      <c r="K11847" s="1">
        <v>41365</v>
      </c>
      <c r="M11847" t="e">
        <v>#N/A</v>
      </c>
      <c r="N11847" s="1">
        <v>41000</v>
      </c>
    </row>
    <row r="11848" spans="11:14" x14ac:dyDescent="0.3">
      <c r="K11848" s="1">
        <v>41365</v>
      </c>
      <c r="M11848" t="e">
        <v>#N/A</v>
      </c>
      <c r="N11848" s="1">
        <v>41000</v>
      </c>
    </row>
    <row r="11849" spans="11:14" x14ac:dyDescent="0.3">
      <c r="K11849" s="1">
        <v>41365</v>
      </c>
      <c r="M11849" t="e">
        <v>#N/A</v>
      </c>
      <c r="N11849" s="1">
        <v>41000</v>
      </c>
    </row>
    <row r="11850" spans="11:14" x14ac:dyDescent="0.3">
      <c r="K11850" s="1">
        <v>41365</v>
      </c>
      <c r="M11850" t="e">
        <v>#N/A</v>
      </c>
      <c r="N11850" s="1">
        <v>41000</v>
      </c>
    </row>
    <row r="11851" spans="11:14" x14ac:dyDescent="0.3">
      <c r="K11851" s="1">
        <v>41365</v>
      </c>
      <c r="M11851" t="e">
        <v>#N/A</v>
      </c>
      <c r="N11851" s="1">
        <v>41000</v>
      </c>
    </row>
    <row r="11852" spans="11:14" x14ac:dyDescent="0.3">
      <c r="K11852" s="1">
        <v>41365</v>
      </c>
      <c r="M11852" t="e">
        <v>#N/A</v>
      </c>
      <c r="N11852" s="1">
        <v>41000</v>
      </c>
    </row>
    <row r="11853" spans="11:14" x14ac:dyDescent="0.3">
      <c r="K11853" s="1">
        <v>41365</v>
      </c>
      <c r="M11853" t="e">
        <v>#N/A</v>
      </c>
      <c r="N11853" s="1">
        <v>41000</v>
      </c>
    </row>
    <row r="11854" spans="11:14" x14ac:dyDescent="0.3">
      <c r="K11854" s="1">
        <v>41365</v>
      </c>
      <c r="M11854" t="e">
        <v>#N/A</v>
      </c>
      <c r="N11854" s="1">
        <v>41000</v>
      </c>
    </row>
    <row r="11855" spans="11:14" x14ac:dyDescent="0.3">
      <c r="K11855" s="1">
        <v>41365</v>
      </c>
      <c r="M11855" t="e">
        <v>#N/A</v>
      </c>
      <c r="N11855" s="1">
        <v>41000</v>
      </c>
    </row>
    <row r="11856" spans="11:14" x14ac:dyDescent="0.3">
      <c r="K11856" s="1">
        <v>41365</v>
      </c>
      <c r="M11856" t="e">
        <v>#N/A</v>
      </c>
      <c r="N11856" s="1">
        <v>41000</v>
      </c>
    </row>
    <row r="11857" spans="11:14" x14ac:dyDescent="0.3">
      <c r="K11857" s="1">
        <v>41365</v>
      </c>
      <c r="M11857" t="e">
        <v>#N/A</v>
      </c>
      <c r="N11857" s="1">
        <v>41000</v>
      </c>
    </row>
    <row r="11858" spans="11:14" x14ac:dyDescent="0.3">
      <c r="K11858" s="1">
        <v>41365</v>
      </c>
      <c r="M11858" t="e">
        <v>#N/A</v>
      </c>
      <c r="N11858" s="1">
        <v>41000</v>
      </c>
    </row>
    <row r="11859" spans="11:14" x14ac:dyDescent="0.3">
      <c r="K11859" s="1">
        <v>41365</v>
      </c>
      <c r="M11859" t="e">
        <v>#N/A</v>
      </c>
      <c r="N11859" s="1">
        <v>41000</v>
      </c>
    </row>
    <row r="11860" spans="11:14" x14ac:dyDescent="0.3">
      <c r="K11860" s="1">
        <v>41365</v>
      </c>
      <c r="M11860" t="e">
        <v>#N/A</v>
      </c>
      <c r="N11860" s="1">
        <v>41000</v>
      </c>
    </row>
    <row r="11861" spans="11:14" x14ac:dyDescent="0.3">
      <c r="K11861" s="1">
        <v>41365</v>
      </c>
      <c r="M11861" t="e">
        <v>#N/A</v>
      </c>
      <c r="N11861" s="1">
        <v>41000</v>
      </c>
    </row>
    <row r="11862" spans="11:14" x14ac:dyDescent="0.3">
      <c r="K11862" s="1">
        <v>41365</v>
      </c>
      <c r="M11862" t="e">
        <v>#N/A</v>
      </c>
      <c r="N11862" s="1">
        <v>41000</v>
      </c>
    </row>
    <row r="11863" spans="11:14" x14ac:dyDescent="0.3">
      <c r="K11863" s="1">
        <v>41365</v>
      </c>
      <c r="M11863" t="e">
        <v>#N/A</v>
      </c>
      <c r="N11863" s="1">
        <v>41000</v>
      </c>
    </row>
    <row r="11864" spans="11:14" x14ac:dyDescent="0.3">
      <c r="K11864" s="1">
        <v>41365</v>
      </c>
      <c r="M11864" t="e">
        <v>#N/A</v>
      </c>
      <c r="N11864" s="1">
        <v>41000</v>
      </c>
    </row>
    <row r="11865" spans="11:14" x14ac:dyDescent="0.3">
      <c r="K11865" s="1">
        <v>41365</v>
      </c>
      <c r="M11865" t="e">
        <v>#N/A</v>
      </c>
      <c r="N11865" s="1">
        <v>41000</v>
      </c>
    </row>
    <row r="11866" spans="11:14" x14ac:dyDescent="0.3">
      <c r="K11866" s="1">
        <v>41365</v>
      </c>
      <c r="M11866" t="e">
        <v>#N/A</v>
      </c>
      <c r="N11866" s="1">
        <v>41000</v>
      </c>
    </row>
    <row r="11867" spans="11:14" x14ac:dyDescent="0.3">
      <c r="K11867" s="1">
        <v>41365</v>
      </c>
      <c r="M11867" t="e">
        <v>#N/A</v>
      </c>
      <c r="N11867" s="1">
        <v>41000</v>
      </c>
    </row>
    <row r="11868" spans="11:14" x14ac:dyDescent="0.3">
      <c r="K11868" s="1">
        <v>41365</v>
      </c>
      <c r="M11868" t="e">
        <v>#N/A</v>
      </c>
      <c r="N11868" s="1">
        <v>41000</v>
      </c>
    </row>
    <row r="11869" spans="11:14" x14ac:dyDescent="0.3">
      <c r="K11869" s="1">
        <v>41365</v>
      </c>
      <c r="M11869" t="e">
        <v>#N/A</v>
      </c>
      <c r="N11869" s="1">
        <v>41000</v>
      </c>
    </row>
    <row r="11870" spans="11:14" x14ac:dyDescent="0.3">
      <c r="K11870" s="1">
        <v>41365</v>
      </c>
      <c r="M11870" t="e">
        <v>#N/A</v>
      </c>
      <c r="N11870" s="1">
        <v>41000</v>
      </c>
    </row>
    <row r="11871" spans="11:14" x14ac:dyDescent="0.3">
      <c r="K11871" s="1">
        <v>41365</v>
      </c>
      <c r="M11871" t="e">
        <v>#N/A</v>
      </c>
      <c r="N11871" s="1">
        <v>41000</v>
      </c>
    </row>
    <row r="11872" spans="11:14" x14ac:dyDescent="0.3">
      <c r="K11872" s="1">
        <v>41365</v>
      </c>
      <c r="M11872" t="e">
        <v>#N/A</v>
      </c>
      <c r="N11872" s="1">
        <v>41000</v>
      </c>
    </row>
    <row r="11873" spans="11:14" x14ac:dyDescent="0.3">
      <c r="K11873" s="1">
        <v>41365</v>
      </c>
      <c r="M11873" t="e">
        <v>#N/A</v>
      </c>
      <c r="N11873" s="1">
        <v>41000</v>
      </c>
    </row>
    <row r="11874" spans="11:14" x14ac:dyDescent="0.3">
      <c r="K11874" s="1">
        <v>41365</v>
      </c>
      <c r="M11874" t="e">
        <v>#N/A</v>
      </c>
      <c r="N11874" s="1">
        <v>41000</v>
      </c>
    </row>
    <row r="11875" spans="11:14" x14ac:dyDescent="0.3">
      <c r="K11875" s="1">
        <v>41365</v>
      </c>
      <c r="M11875" t="e">
        <v>#N/A</v>
      </c>
      <c r="N11875" s="1">
        <v>41000</v>
      </c>
    </row>
    <row r="11876" spans="11:14" x14ac:dyDescent="0.3">
      <c r="K11876" s="1">
        <v>41365</v>
      </c>
      <c r="M11876" t="e">
        <v>#N/A</v>
      </c>
      <c r="N11876" s="1">
        <v>41000</v>
      </c>
    </row>
    <row r="11877" spans="11:14" x14ac:dyDescent="0.3">
      <c r="K11877" s="1">
        <v>41365</v>
      </c>
      <c r="M11877" t="e">
        <v>#N/A</v>
      </c>
      <c r="N11877" s="1">
        <v>41000</v>
      </c>
    </row>
    <row r="11878" spans="11:14" x14ac:dyDescent="0.3">
      <c r="K11878" s="1">
        <v>41365</v>
      </c>
      <c r="M11878" t="e">
        <v>#N/A</v>
      </c>
      <c r="N11878" s="1">
        <v>41000</v>
      </c>
    </row>
    <row r="11879" spans="11:14" x14ac:dyDescent="0.3">
      <c r="K11879" s="1">
        <v>41365</v>
      </c>
      <c r="M11879" t="e">
        <v>#N/A</v>
      </c>
      <c r="N11879" s="1">
        <v>41000</v>
      </c>
    </row>
    <row r="11880" spans="11:14" x14ac:dyDescent="0.3">
      <c r="K11880" s="1">
        <v>41365</v>
      </c>
      <c r="M11880" t="e">
        <v>#N/A</v>
      </c>
      <c r="N11880" s="1">
        <v>41000</v>
      </c>
    </row>
    <row r="11881" spans="11:14" x14ac:dyDescent="0.3">
      <c r="K11881" s="1">
        <v>41365</v>
      </c>
      <c r="M11881" t="e">
        <v>#N/A</v>
      </c>
      <c r="N11881" s="1">
        <v>41000</v>
      </c>
    </row>
    <row r="11882" spans="11:14" x14ac:dyDescent="0.3">
      <c r="K11882" s="1">
        <v>41365</v>
      </c>
      <c r="M11882" t="e">
        <v>#N/A</v>
      </c>
      <c r="N11882" s="1">
        <v>41000</v>
      </c>
    </row>
    <row r="11883" spans="11:14" x14ac:dyDescent="0.3">
      <c r="K11883" s="1">
        <v>41365</v>
      </c>
      <c r="M11883" t="e">
        <v>#N/A</v>
      </c>
      <c r="N11883" s="1">
        <v>41000</v>
      </c>
    </row>
    <row r="11884" spans="11:14" x14ac:dyDescent="0.3">
      <c r="K11884" s="1">
        <v>41365</v>
      </c>
      <c r="M11884" t="e">
        <v>#N/A</v>
      </c>
      <c r="N11884" s="1">
        <v>41000</v>
      </c>
    </row>
    <row r="11885" spans="11:14" x14ac:dyDescent="0.3">
      <c r="K11885" s="1">
        <v>41365</v>
      </c>
      <c r="M11885" t="e">
        <v>#N/A</v>
      </c>
      <c r="N11885" s="1">
        <v>41000</v>
      </c>
    </row>
    <row r="11886" spans="11:14" x14ac:dyDescent="0.3">
      <c r="K11886" s="1">
        <v>41365</v>
      </c>
      <c r="M11886" t="e">
        <v>#N/A</v>
      </c>
      <c r="N11886" s="1">
        <v>41000</v>
      </c>
    </row>
    <row r="11887" spans="11:14" x14ac:dyDescent="0.3">
      <c r="K11887" s="1">
        <v>41365</v>
      </c>
      <c r="M11887" t="e">
        <v>#N/A</v>
      </c>
      <c r="N11887" s="1">
        <v>41000</v>
      </c>
    </row>
    <row r="11888" spans="11:14" x14ac:dyDescent="0.3">
      <c r="K11888" s="1">
        <v>41365</v>
      </c>
      <c r="M11888" t="e">
        <v>#N/A</v>
      </c>
      <c r="N11888" s="1">
        <v>41000</v>
      </c>
    </row>
    <row r="11889" spans="11:14" x14ac:dyDescent="0.3">
      <c r="K11889" s="1">
        <v>41365</v>
      </c>
      <c r="M11889" t="e">
        <v>#N/A</v>
      </c>
      <c r="N11889" s="1">
        <v>41000</v>
      </c>
    </row>
    <row r="11890" spans="11:14" x14ac:dyDescent="0.3">
      <c r="K11890" s="1">
        <v>41365</v>
      </c>
      <c r="M11890" t="e">
        <v>#N/A</v>
      </c>
      <c r="N11890" s="1">
        <v>41000</v>
      </c>
    </row>
    <row r="11891" spans="11:14" x14ac:dyDescent="0.3">
      <c r="K11891" s="1">
        <v>41365</v>
      </c>
      <c r="M11891" t="e">
        <v>#N/A</v>
      </c>
      <c r="N11891" s="1">
        <v>41000</v>
      </c>
    </row>
    <row r="11892" spans="11:14" x14ac:dyDescent="0.3">
      <c r="K11892" s="1">
        <v>41365</v>
      </c>
      <c r="M11892" t="e">
        <v>#N/A</v>
      </c>
      <c r="N11892" s="1">
        <v>41000</v>
      </c>
    </row>
    <row r="11893" spans="11:14" x14ac:dyDescent="0.3">
      <c r="K11893" s="1">
        <v>41365</v>
      </c>
      <c r="M11893" t="e">
        <v>#N/A</v>
      </c>
      <c r="N11893" s="1">
        <v>41000</v>
      </c>
    </row>
    <row r="11894" spans="11:14" x14ac:dyDescent="0.3">
      <c r="K11894" s="1">
        <v>41365</v>
      </c>
      <c r="M11894" t="e">
        <v>#N/A</v>
      </c>
      <c r="N11894" s="1">
        <v>41000</v>
      </c>
    </row>
    <row r="11895" spans="11:14" x14ac:dyDescent="0.3">
      <c r="K11895" s="1">
        <v>41365</v>
      </c>
      <c r="M11895" t="e">
        <v>#N/A</v>
      </c>
      <c r="N11895" s="1">
        <v>41000</v>
      </c>
    </row>
    <row r="11896" spans="11:14" x14ac:dyDescent="0.3">
      <c r="K11896" s="1">
        <v>41365</v>
      </c>
      <c r="M11896" t="e">
        <v>#N/A</v>
      </c>
      <c r="N11896" s="1">
        <v>41000</v>
      </c>
    </row>
    <row r="11897" spans="11:14" x14ac:dyDescent="0.3">
      <c r="K11897" s="1">
        <v>41365</v>
      </c>
      <c r="M11897" t="e">
        <v>#N/A</v>
      </c>
      <c r="N11897" s="1">
        <v>41000</v>
      </c>
    </row>
    <row r="11898" spans="11:14" x14ac:dyDescent="0.3">
      <c r="K11898" s="1">
        <v>41365</v>
      </c>
      <c r="M11898" t="e">
        <v>#N/A</v>
      </c>
      <c r="N11898" s="1">
        <v>41000</v>
      </c>
    </row>
    <row r="11899" spans="11:14" x14ac:dyDescent="0.3">
      <c r="K11899" s="1">
        <v>41365</v>
      </c>
      <c r="M11899" t="e">
        <v>#N/A</v>
      </c>
      <c r="N11899" s="1">
        <v>41000</v>
      </c>
    </row>
    <row r="11900" spans="11:14" x14ac:dyDescent="0.3">
      <c r="K11900" s="1">
        <v>41365</v>
      </c>
      <c r="M11900" t="e">
        <v>#N/A</v>
      </c>
      <c r="N11900" s="1">
        <v>41000</v>
      </c>
    </row>
    <row r="11901" spans="11:14" x14ac:dyDescent="0.3">
      <c r="K11901" s="1">
        <v>41365</v>
      </c>
      <c r="M11901" t="e">
        <v>#N/A</v>
      </c>
      <c r="N11901" s="1">
        <v>41000</v>
      </c>
    </row>
    <row r="11902" spans="11:14" x14ac:dyDescent="0.3">
      <c r="K11902" s="1">
        <v>41365</v>
      </c>
      <c r="M11902" t="e">
        <v>#N/A</v>
      </c>
      <c r="N11902" s="1">
        <v>41000</v>
      </c>
    </row>
    <row r="11903" spans="11:14" x14ac:dyDescent="0.3">
      <c r="K11903" s="1">
        <v>41365</v>
      </c>
      <c r="M11903" t="e">
        <v>#N/A</v>
      </c>
      <c r="N11903" s="1">
        <v>41000</v>
      </c>
    </row>
    <row r="11904" spans="11:14" x14ac:dyDescent="0.3">
      <c r="K11904" s="1">
        <v>41365</v>
      </c>
      <c r="M11904" t="e">
        <v>#N/A</v>
      </c>
      <c r="N11904" s="1">
        <v>41000</v>
      </c>
    </row>
    <row r="11905" spans="11:14" x14ac:dyDescent="0.3">
      <c r="K11905" s="1">
        <v>41365</v>
      </c>
      <c r="M11905" t="e">
        <v>#N/A</v>
      </c>
      <c r="N11905" s="1">
        <v>41000</v>
      </c>
    </row>
    <row r="11906" spans="11:14" x14ac:dyDescent="0.3">
      <c r="K11906" s="1">
        <v>41365</v>
      </c>
      <c r="M11906" t="e">
        <v>#N/A</v>
      </c>
      <c r="N11906" s="1">
        <v>41000</v>
      </c>
    </row>
    <row r="11907" spans="11:14" x14ac:dyDescent="0.3">
      <c r="K11907" s="1">
        <v>41365</v>
      </c>
      <c r="M11907" t="e">
        <v>#N/A</v>
      </c>
      <c r="N11907" s="1">
        <v>41000</v>
      </c>
    </row>
    <row r="11908" spans="11:14" x14ac:dyDescent="0.3">
      <c r="K11908" s="1">
        <v>41365</v>
      </c>
      <c r="M11908" t="e">
        <v>#N/A</v>
      </c>
      <c r="N11908" s="1">
        <v>41000</v>
      </c>
    </row>
    <row r="11909" spans="11:14" x14ac:dyDescent="0.3">
      <c r="K11909" s="1">
        <v>41365</v>
      </c>
      <c r="M11909" t="e">
        <v>#N/A</v>
      </c>
      <c r="N11909" s="1">
        <v>41000</v>
      </c>
    </row>
    <row r="11910" spans="11:14" x14ac:dyDescent="0.3">
      <c r="K11910" s="1">
        <v>41365</v>
      </c>
      <c r="M11910" t="e">
        <v>#N/A</v>
      </c>
      <c r="N11910" s="1">
        <v>41000</v>
      </c>
    </row>
    <row r="11911" spans="11:14" x14ac:dyDescent="0.3">
      <c r="K11911" s="1">
        <v>41365</v>
      </c>
      <c r="M11911" t="e">
        <v>#N/A</v>
      </c>
      <c r="N11911" s="1">
        <v>41000</v>
      </c>
    </row>
    <row r="11912" spans="11:14" x14ac:dyDescent="0.3">
      <c r="K11912" s="1">
        <v>41365</v>
      </c>
      <c r="M11912" t="e">
        <v>#N/A</v>
      </c>
      <c r="N11912" s="1">
        <v>41000</v>
      </c>
    </row>
    <row r="11913" spans="11:14" x14ac:dyDescent="0.3">
      <c r="K11913" s="1">
        <v>41365</v>
      </c>
      <c r="M11913" t="e">
        <v>#N/A</v>
      </c>
      <c r="N11913" s="1">
        <v>41000</v>
      </c>
    </row>
    <row r="11914" spans="11:14" x14ac:dyDescent="0.3">
      <c r="K11914" s="1">
        <v>41365</v>
      </c>
      <c r="M11914" t="e">
        <v>#N/A</v>
      </c>
      <c r="N11914" s="1">
        <v>41000</v>
      </c>
    </row>
    <row r="11915" spans="11:14" x14ac:dyDescent="0.3">
      <c r="K11915" s="1">
        <v>41365</v>
      </c>
      <c r="M11915" t="e">
        <v>#N/A</v>
      </c>
      <c r="N11915" s="1">
        <v>41000</v>
      </c>
    </row>
    <row r="11916" spans="11:14" x14ac:dyDescent="0.3">
      <c r="K11916" s="1">
        <v>41365</v>
      </c>
      <c r="M11916" t="e">
        <v>#N/A</v>
      </c>
      <c r="N11916" s="1">
        <v>41000</v>
      </c>
    </row>
    <row r="11917" spans="11:14" x14ac:dyDescent="0.3">
      <c r="K11917" s="1">
        <v>41365</v>
      </c>
      <c r="M11917" t="e">
        <v>#N/A</v>
      </c>
      <c r="N11917" s="1">
        <v>41000</v>
      </c>
    </row>
    <row r="11918" spans="11:14" x14ac:dyDescent="0.3">
      <c r="K11918" s="1">
        <v>41365</v>
      </c>
      <c r="M11918" t="e">
        <v>#N/A</v>
      </c>
      <c r="N11918" s="1">
        <v>41000</v>
      </c>
    </row>
    <row r="11919" spans="11:14" x14ac:dyDescent="0.3">
      <c r="K11919" s="1">
        <v>41365</v>
      </c>
      <c r="M11919" t="e">
        <v>#N/A</v>
      </c>
      <c r="N11919" s="1">
        <v>41000</v>
      </c>
    </row>
    <row r="11920" spans="11:14" x14ac:dyDescent="0.3">
      <c r="K11920" s="1">
        <v>41365</v>
      </c>
      <c r="M11920" t="e">
        <v>#N/A</v>
      </c>
      <c r="N11920" s="1">
        <v>41000</v>
      </c>
    </row>
    <row r="11921" spans="11:14" x14ac:dyDescent="0.3">
      <c r="K11921" s="1">
        <v>41365</v>
      </c>
      <c r="M11921" t="e">
        <v>#N/A</v>
      </c>
      <c r="N11921" s="1">
        <v>41000</v>
      </c>
    </row>
    <row r="11922" spans="11:14" x14ac:dyDescent="0.3">
      <c r="K11922" s="1">
        <v>41456</v>
      </c>
      <c r="M11922" t="e">
        <v>#N/A</v>
      </c>
      <c r="N11922" s="1">
        <v>41000</v>
      </c>
    </row>
    <row r="11923" spans="11:14" x14ac:dyDescent="0.3">
      <c r="K11923" s="1">
        <v>41456</v>
      </c>
      <c r="M11923" t="e">
        <v>#N/A</v>
      </c>
      <c r="N11923" s="1">
        <v>41000</v>
      </c>
    </row>
    <row r="11924" spans="11:14" x14ac:dyDescent="0.3">
      <c r="K11924" s="1">
        <v>41456</v>
      </c>
      <c r="M11924" t="e">
        <v>#N/A</v>
      </c>
      <c r="N11924" s="1">
        <v>41000</v>
      </c>
    </row>
    <row r="11925" spans="11:14" x14ac:dyDescent="0.3">
      <c r="K11925" s="1">
        <v>41456</v>
      </c>
      <c r="M11925" t="e">
        <v>#N/A</v>
      </c>
      <c r="N11925" s="1">
        <v>41000</v>
      </c>
    </row>
    <row r="11926" spans="11:14" x14ac:dyDescent="0.3">
      <c r="K11926" s="1">
        <v>41456</v>
      </c>
      <c r="M11926" t="e">
        <v>#N/A</v>
      </c>
      <c r="N11926" s="1">
        <v>41000</v>
      </c>
    </row>
    <row r="11927" spans="11:14" x14ac:dyDescent="0.3">
      <c r="K11927" s="1">
        <v>41456</v>
      </c>
      <c r="M11927" t="e">
        <v>#N/A</v>
      </c>
      <c r="N11927" s="1">
        <v>41000</v>
      </c>
    </row>
    <row r="11928" spans="11:14" x14ac:dyDescent="0.3">
      <c r="K11928" s="1">
        <v>41456</v>
      </c>
      <c r="M11928" t="e">
        <v>#N/A</v>
      </c>
      <c r="N11928" s="1">
        <v>41000</v>
      </c>
    </row>
    <row r="11929" spans="11:14" x14ac:dyDescent="0.3">
      <c r="K11929" s="1">
        <v>41456</v>
      </c>
      <c r="M11929" t="e">
        <v>#N/A</v>
      </c>
      <c r="N11929" s="1">
        <v>41000</v>
      </c>
    </row>
    <row r="11930" spans="11:14" x14ac:dyDescent="0.3">
      <c r="K11930" s="1">
        <v>41456</v>
      </c>
      <c r="M11930" t="e">
        <v>#N/A</v>
      </c>
      <c r="N11930" s="1">
        <v>41000</v>
      </c>
    </row>
    <row r="11931" spans="11:14" x14ac:dyDescent="0.3">
      <c r="K11931" s="1">
        <v>41456</v>
      </c>
      <c r="M11931" t="e">
        <v>#N/A</v>
      </c>
      <c r="N11931" s="1">
        <v>41000</v>
      </c>
    </row>
    <row r="11932" spans="11:14" x14ac:dyDescent="0.3">
      <c r="K11932" s="1">
        <v>41456</v>
      </c>
      <c r="M11932" t="e">
        <v>#N/A</v>
      </c>
      <c r="N11932" s="1">
        <v>41000</v>
      </c>
    </row>
    <row r="11933" spans="11:14" x14ac:dyDescent="0.3">
      <c r="K11933" s="1">
        <v>41456</v>
      </c>
      <c r="M11933" t="e">
        <v>#N/A</v>
      </c>
      <c r="N11933" s="1">
        <v>41000</v>
      </c>
    </row>
    <row r="11934" spans="11:14" x14ac:dyDescent="0.3">
      <c r="K11934" s="1">
        <v>41456</v>
      </c>
      <c r="M11934" t="e">
        <v>#N/A</v>
      </c>
      <c r="N11934" s="1">
        <v>41000</v>
      </c>
    </row>
    <row r="11935" spans="11:14" x14ac:dyDescent="0.3">
      <c r="K11935" s="1">
        <v>41456</v>
      </c>
      <c r="M11935" t="e">
        <v>#N/A</v>
      </c>
      <c r="N11935" s="1">
        <v>41000</v>
      </c>
    </row>
    <row r="11936" spans="11:14" x14ac:dyDescent="0.3">
      <c r="K11936" s="1">
        <v>41456</v>
      </c>
      <c r="M11936" t="e">
        <v>#N/A</v>
      </c>
      <c r="N11936" s="1">
        <v>41000</v>
      </c>
    </row>
    <row r="11937" spans="11:14" x14ac:dyDescent="0.3">
      <c r="K11937" s="1">
        <v>41456</v>
      </c>
      <c r="M11937" t="e">
        <v>#N/A</v>
      </c>
      <c r="N11937" s="1">
        <v>41000</v>
      </c>
    </row>
    <row r="11938" spans="11:14" x14ac:dyDescent="0.3">
      <c r="K11938" s="1">
        <v>41456</v>
      </c>
      <c r="M11938" t="e">
        <v>#N/A</v>
      </c>
      <c r="N11938" s="1">
        <v>41000</v>
      </c>
    </row>
    <row r="11939" spans="11:14" x14ac:dyDescent="0.3">
      <c r="K11939" s="1">
        <v>41456</v>
      </c>
      <c r="M11939" t="e">
        <v>#N/A</v>
      </c>
      <c r="N11939" s="1">
        <v>41000</v>
      </c>
    </row>
    <row r="11940" spans="11:14" x14ac:dyDescent="0.3">
      <c r="K11940" s="1">
        <v>41456</v>
      </c>
      <c r="M11940" t="e">
        <v>#N/A</v>
      </c>
      <c r="N11940" s="1">
        <v>41000</v>
      </c>
    </row>
    <row r="11941" spans="11:14" x14ac:dyDescent="0.3">
      <c r="K11941" s="1">
        <v>41456</v>
      </c>
      <c r="M11941" t="e">
        <v>#N/A</v>
      </c>
      <c r="N11941" s="1">
        <v>41000</v>
      </c>
    </row>
    <row r="11942" spans="11:14" x14ac:dyDescent="0.3">
      <c r="K11942" s="1">
        <v>41456</v>
      </c>
      <c r="M11942" t="e">
        <v>#N/A</v>
      </c>
      <c r="N11942" s="1">
        <v>41000</v>
      </c>
    </row>
    <row r="11943" spans="11:14" x14ac:dyDescent="0.3">
      <c r="K11943" s="1">
        <v>41456</v>
      </c>
      <c r="M11943" t="e">
        <v>#N/A</v>
      </c>
      <c r="N11943" s="1">
        <v>41000</v>
      </c>
    </row>
    <row r="11944" spans="11:14" x14ac:dyDescent="0.3">
      <c r="K11944" s="1">
        <v>41456</v>
      </c>
      <c r="M11944" t="e">
        <v>#N/A</v>
      </c>
      <c r="N11944" s="1">
        <v>41000</v>
      </c>
    </row>
    <row r="11945" spans="11:14" x14ac:dyDescent="0.3">
      <c r="K11945" s="1">
        <v>41456</v>
      </c>
      <c r="M11945" t="e">
        <v>#N/A</v>
      </c>
      <c r="N11945" s="1">
        <v>41000</v>
      </c>
    </row>
    <row r="11946" spans="11:14" x14ac:dyDescent="0.3">
      <c r="K11946" s="1">
        <v>41456</v>
      </c>
      <c r="M11946" t="e">
        <v>#N/A</v>
      </c>
      <c r="N11946" s="1">
        <v>41000</v>
      </c>
    </row>
    <row r="11947" spans="11:14" x14ac:dyDescent="0.3">
      <c r="K11947" s="1">
        <v>41456</v>
      </c>
      <c r="M11947" t="e">
        <v>#N/A</v>
      </c>
      <c r="N11947" s="1">
        <v>41000</v>
      </c>
    </row>
    <row r="11948" spans="11:14" x14ac:dyDescent="0.3">
      <c r="K11948" s="1">
        <v>41456</v>
      </c>
      <c r="M11948" t="e">
        <v>#N/A</v>
      </c>
      <c r="N11948" s="1">
        <v>41000</v>
      </c>
    </row>
    <row r="11949" spans="11:14" x14ac:dyDescent="0.3">
      <c r="K11949" s="1">
        <v>41456</v>
      </c>
      <c r="M11949" t="e">
        <v>#N/A</v>
      </c>
      <c r="N11949" s="1">
        <v>41000</v>
      </c>
    </row>
    <row r="11950" spans="11:14" x14ac:dyDescent="0.3">
      <c r="K11950" s="1">
        <v>41456</v>
      </c>
      <c r="M11950" t="e">
        <v>#N/A</v>
      </c>
      <c r="N11950" s="1">
        <v>41000</v>
      </c>
    </row>
    <row r="11951" spans="11:14" x14ac:dyDescent="0.3">
      <c r="K11951" s="1">
        <v>41456</v>
      </c>
      <c r="M11951" t="e">
        <v>#N/A</v>
      </c>
      <c r="N11951" s="1">
        <v>41000</v>
      </c>
    </row>
    <row r="11952" spans="11:14" x14ac:dyDescent="0.3">
      <c r="K11952" s="1">
        <v>41456</v>
      </c>
      <c r="M11952" t="e">
        <v>#N/A</v>
      </c>
      <c r="N11952" s="1">
        <v>41000</v>
      </c>
    </row>
    <row r="11953" spans="11:14" x14ac:dyDescent="0.3">
      <c r="K11953" s="1">
        <v>41456</v>
      </c>
      <c r="M11953" t="e">
        <v>#N/A</v>
      </c>
      <c r="N11953" s="1">
        <v>41000</v>
      </c>
    </row>
    <row r="11954" spans="11:14" x14ac:dyDescent="0.3">
      <c r="K11954" s="1">
        <v>41456</v>
      </c>
      <c r="M11954" t="e">
        <v>#N/A</v>
      </c>
      <c r="N11954" s="1">
        <v>41000</v>
      </c>
    </row>
    <row r="11955" spans="11:14" x14ac:dyDescent="0.3">
      <c r="K11955" s="1">
        <v>41456</v>
      </c>
      <c r="M11955" t="e">
        <v>#N/A</v>
      </c>
      <c r="N11955" s="1">
        <v>41000</v>
      </c>
    </row>
    <row r="11956" spans="11:14" x14ac:dyDescent="0.3">
      <c r="K11956" s="1">
        <v>41456</v>
      </c>
      <c r="M11956" t="e">
        <v>#N/A</v>
      </c>
      <c r="N11956" s="1">
        <v>41000</v>
      </c>
    </row>
    <row r="11957" spans="11:14" x14ac:dyDescent="0.3">
      <c r="K11957" s="1">
        <v>41456</v>
      </c>
      <c r="M11957" t="e">
        <v>#N/A</v>
      </c>
      <c r="N11957" s="1">
        <v>41000</v>
      </c>
    </row>
    <row r="11958" spans="11:14" x14ac:dyDescent="0.3">
      <c r="K11958" s="1">
        <v>41456</v>
      </c>
      <c r="M11958" t="e">
        <v>#N/A</v>
      </c>
      <c r="N11958" s="1">
        <v>41000</v>
      </c>
    </row>
    <row r="11959" spans="11:14" x14ac:dyDescent="0.3">
      <c r="K11959" s="1">
        <v>41456</v>
      </c>
      <c r="M11959" t="e">
        <v>#N/A</v>
      </c>
      <c r="N11959" s="1">
        <v>41000</v>
      </c>
    </row>
    <row r="11960" spans="11:14" x14ac:dyDescent="0.3">
      <c r="K11960" s="1">
        <v>41456</v>
      </c>
      <c r="M11960" t="e">
        <v>#N/A</v>
      </c>
      <c r="N11960" s="1">
        <v>41000</v>
      </c>
    </row>
    <row r="11961" spans="11:14" x14ac:dyDescent="0.3">
      <c r="K11961" s="1">
        <v>41456</v>
      </c>
      <c r="M11961" t="e">
        <v>#N/A</v>
      </c>
      <c r="N11961" s="1">
        <v>41000</v>
      </c>
    </row>
    <row r="11962" spans="11:14" x14ac:dyDescent="0.3">
      <c r="K11962" s="1">
        <v>41456</v>
      </c>
      <c r="M11962" t="e">
        <v>#N/A</v>
      </c>
      <c r="N11962" s="1">
        <v>41000</v>
      </c>
    </row>
    <row r="11963" spans="11:14" x14ac:dyDescent="0.3">
      <c r="K11963" s="1">
        <v>41456</v>
      </c>
      <c r="M11963" t="e">
        <v>#N/A</v>
      </c>
      <c r="N11963" s="1">
        <v>41000</v>
      </c>
    </row>
    <row r="11964" spans="11:14" x14ac:dyDescent="0.3">
      <c r="K11964" s="1">
        <v>41456</v>
      </c>
      <c r="M11964" t="e">
        <v>#N/A</v>
      </c>
      <c r="N11964" s="1">
        <v>41000</v>
      </c>
    </row>
    <row r="11965" spans="11:14" x14ac:dyDescent="0.3">
      <c r="K11965" s="1">
        <v>41456</v>
      </c>
      <c r="M11965" t="e">
        <v>#N/A</v>
      </c>
      <c r="N11965" s="1">
        <v>41000</v>
      </c>
    </row>
    <row r="11966" spans="11:14" x14ac:dyDescent="0.3">
      <c r="K11966" s="1">
        <v>41456</v>
      </c>
      <c r="M11966" t="e">
        <v>#N/A</v>
      </c>
      <c r="N11966" s="1">
        <v>41000</v>
      </c>
    </row>
    <row r="11967" spans="11:14" x14ac:dyDescent="0.3">
      <c r="K11967" s="1">
        <v>41456</v>
      </c>
      <c r="M11967" t="e">
        <v>#N/A</v>
      </c>
      <c r="N11967" s="1">
        <v>41000</v>
      </c>
    </row>
    <row r="11968" spans="11:14" x14ac:dyDescent="0.3">
      <c r="K11968" s="1">
        <v>41456</v>
      </c>
      <c r="M11968" t="e">
        <v>#N/A</v>
      </c>
      <c r="N11968" s="1">
        <v>41000</v>
      </c>
    </row>
    <row r="11969" spans="11:14" x14ac:dyDescent="0.3">
      <c r="K11969" s="1">
        <v>41456</v>
      </c>
      <c r="M11969" t="e">
        <v>#N/A</v>
      </c>
      <c r="N11969" s="1">
        <v>41000</v>
      </c>
    </row>
    <row r="11970" spans="11:14" x14ac:dyDescent="0.3">
      <c r="K11970" s="1">
        <v>41456</v>
      </c>
      <c r="M11970" t="e">
        <v>#N/A</v>
      </c>
      <c r="N11970" s="1">
        <v>41000</v>
      </c>
    </row>
    <row r="11971" spans="11:14" x14ac:dyDescent="0.3">
      <c r="K11971" s="1">
        <v>41456</v>
      </c>
      <c r="M11971" t="e">
        <v>#N/A</v>
      </c>
      <c r="N11971" s="1">
        <v>41000</v>
      </c>
    </row>
    <row r="11972" spans="11:14" x14ac:dyDescent="0.3">
      <c r="K11972" s="1">
        <v>41456</v>
      </c>
      <c r="M11972" t="e">
        <v>#N/A</v>
      </c>
      <c r="N11972" s="1">
        <v>41000</v>
      </c>
    </row>
    <row r="11973" spans="11:14" x14ac:dyDescent="0.3">
      <c r="K11973" s="1">
        <v>41456</v>
      </c>
      <c r="M11973" t="e">
        <v>#N/A</v>
      </c>
      <c r="N11973" s="1">
        <v>41000</v>
      </c>
    </row>
    <row r="11974" spans="11:14" x14ac:dyDescent="0.3">
      <c r="K11974" s="1">
        <v>41456</v>
      </c>
      <c r="M11974" t="e">
        <v>#N/A</v>
      </c>
      <c r="N11974" s="1">
        <v>41000</v>
      </c>
    </row>
    <row r="11975" spans="11:14" x14ac:dyDescent="0.3">
      <c r="K11975" s="1">
        <v>41456</v>
      </c>
      <c r="M11975" t="e">
        <v>#N/A</v>
      </c>
      <c r="N11975" s="1">
        <v>41000</v>
      </c>
    </row>
    <row r="11976" spans="11:14" x14ac:dyDescent="0.3">
      <c r="K11976" s="1">
        <v>41456</v>
      </c>
      <c r="M11976" t="e">
        <v>#N/A</v>
      </c>
      <c r="N11976" s="1">
        <v>41000</v>
      </c>
    </row>
    <row r="11977" spans="11:14" x14ac:dyDescent="0.3">
      <c r="K11977" s="1">
        <v>41456</v>
      </c>
      <c r="M11977" t="e">
        <v>#N/A</v>
      </c>
      <c r="N11977" s="1">
        <v>41000</v>
      </c>
    </row>
    <row r="11978" spans="11:14" x14ac:dyDescent="0.3">
      <c r="K11978" s="1">
        <v>41456</v>
      </c>
      <c r="M11978" t="e">
        <v>#N/A</v>
      </c>
      <c r="N11978" s="1">
        <v>41000</v>
      </c>
    </row>
    <row r="11979" spans="11:14" x14ac:dyDescent="0.3">
      <c r="K11979" s="1">
        <v>41456</v>
      </c>
      <c r="M11979" t="e">
        <v>#N/A</v>
      </c>
      <c r="N11979" s="1">
        <v>41000</v>
      </c>
    </row>
    <row r="11980" spans="11:14" x14ac:dyDescent="0.3">
      <c r="K11980" s="1">
        <v>41456</v>
      </c>
      <c r="M11980" t="e">
        <v>#N/A</v>
      </c>
      <c r="N11980" s="1">
        <v>41000</v>
      </c>
    </row>
    <row r="11981" spans="11:14" x14ac:dyDescent="0.3">
      <c r="K11981" s="1">
        <v>41456</v>
      </c>
      <c r="M11981" t="e">
        <v>#N/A</v>
      </c>
      <c r="N11981" s="1">
        <v>41000</v>
      </c>
    </row>
    <row r="11982" spans="11:14" x14ac:dyDescent="0.3">
      <c r="K11982" s="1">
        <v>41456</v>
      </c>
      <c r="M11982" t="e">
        <v>#N/A</v>
      </c>
      <c r="N11982" s="1">
        <v>41000</v>
      </c>
    </row>
    <row r="11983" spans="11:14" x14ac:dyDescent="0.3">
      <c r="K11983" s="1">
        <v>41456</v>
      </c>
      <c r="M11983" t="e">
        <v>#N/A</v>
      </c>
      <c r="N11983" s="1">
        <v>41000</v>
      </c>
    </row>
    <row r="11984" spans="11:14" x14ac:dyDescent="0.3">
      <c r="K11984" s="1">
        <v>41456</v>
      </c>
      <c r="M11984" t="e">
        <v>#N/A</v>
      </c>
      <c r="N11984" s="1">
        <v>41000</v>
      </c>
    </row>
    <row r="11985" spans="11:14" x14ac:dyDescent="0.3">
      <c r="K11985" s="1">
        <v>41456</v>
      </c>
      <c r="M11985" t="e">
        <v>#N/A</v>
      </c>
      <c r="N11985" s="1">
        <v>41000</v>
      </c>
    </row>
    <row r="11986" spans="11:14" x14ac:dyDescent="0.3">
      <c r="K11986" s="1">
        <v>41456</v>
      </c>
      <c r="M11986" t="e">
        <v>#N/A</v>
      </c>
      <c r="N11986" s="1">
        <v>41000</v>
      </c>
    </row>
    <row r="11987" spans="11:14" x14ac:dyDescent="0.3">
      <c r="K11987" s="1">
        <v>41456</v>
      </c>
      <c r="M11987" t="e">
        <v>#N/A</v>
      </c>
      <c r="N11987" s="1">
        <v>41000</v>
      </c>
    </row>
    <row r="11988" spans="11:14" x14ac:dyDescent="0.3">
      <c r="K11988" s="1">
        <v>41456</v>
      </c>
      <c r="M11988" t="e">
        <v>#N/A</v>
      </c>
      <c r="N11988" s="1">
        <v>41000</v>
      </c>
    </row>
    <row r="11989" spans="11:14" x14ac:dyDescent="0.3">
      <c r="K11989" s="1">
        <v>41456</v>
      </c>
      <c r="M11989" t="e">
        <v>#N/A</v>
      </c>
      <c r="N11989" s="1">
        <v>41000</v>
      </c>
    </row>
    <row r="11990" spans="11:14" x14ac:dyDescent="0.3">
      <c r="K11990" s="1">
        <v>41456</v>
      </c>
      <c r="M11990" t="e">
        <v>#N/A</v>
      </c>
      <c r="N11990" s="1">
        <v>41000</v>
      </c>
    </row>
    <row r="11991" spans="11:14" x14ac:dyDescent="0.3">
      <c r="K11991" s="1">
        <v>41456</v>
      </c>
      <c r="M11991" t="e">
        <v>#N/A</v>
      </c>
      <c r="N11991" s="1">
        <v>41000</v>
      </c>
    </row>
    <row r="11992" spans="11:14" x14ac:dyDescent="0.3">
      <c r="K11992" s="1">
        <v>41456</v>
      </c>
      <c r="M11992" t="e">
        <v>#N/A</v>
      </c>
      <c r="N11992" s="1">
        <v>41000</v>
      </c>
    </row>
    <row r="11993" spans="11:14" x14ac:dyDescent="0.3">
      <c r="K11993" s="1">
        <v>41456</v>
      </c>
      <c r="M11993" t="e">
        <v>#N/A</v>
      </c>
      <c r="N11993" s="1">
        <v>41000</v>
      </c>
    </row>
    <row r="11994" spans="11:14" x14ac:dyDescent="0.3">
      <c r="K11994" s="1">
        <v>41456</v>
      </c>
      <c r="M11994" t="e">
        <v>#N/A</v>
      </c>
      <c r="N11994" s="1">
        <v>41000</v>
      </c>
    </row>
    <row r="11995" spans="11:14" x14ac:dyDescent="0.3">
      <c r="K11995" s="1">
        <v>41456</v>
      </c>
      <c r="M11995" t="e">
        <v>#N/A</v>
      </c>
      <c r="N11995" s="1">
        <v>41000</v>
      </c>
    </row>
    <row r="11996" spans="11:14" x14ac:dyDescent="0.3">
      <c r="K11996" s="1">
        <v>41456</v>
      </c>
      <c r="M11996" t="e">
        <v>#N/A</v>
      </c>
      <c r="N11996" s="1">
        <v>41000</v>
      </c>
    </row>
    <row r="11997" spans="11:14" x14ac:dyDescent="0.3">
      <c r="K11997" s="1">
        <v>41456</v>
      </c>
      <c r="M11997" t="e">
        <v>#N/A</v>
      </c>
      <c r="N11997" s="1">
        <v>41000</v>
      </c>
    </row>
    <row r="11998" spans="11:14" x14ac:dyDescent="0.3">
      <c r="K11998" s="1">
        <v>41456</v>
      </c>
      <c r="M11998" t="e">
        <v>#N/A</v>
      </c>
      <c r="N11998" s="1">
        <v>41000</v>
      </c>
    </row>
    <row r="11999" spans="11:14" x14ac:dyDescent="0.3">
      <c r="K11999" s="1">
        <v>41456</v>
      </c>
      <c r="M11999" t="e">
        <v>#N/A</v>
      </c>
      <c r="N11999" s="1">
        <v>41000</v>
      </c>
    </row>
    <row r="12000" spans="11:14" x14ac:dyDescent="0.3">
      <c r="K12000" s="1">
        <v>41456</v>
      </c>
      <c r="M12000" t="e">
        <v>#N/A</v>
      </c>
      <c r="N12000" s="1">
        <v>41000</v>
      </c>
    </row>
    <row r="12001" spans="11:14" x14ac:dyDescent="0.3">
      <c r="K12001" s="1">
        <v>41456</v>
      </c>
      <c r="M12001" t="e">
        <v>#N/A</v>
      </c>
      <c r="N12001" s="1">
        <v>41000</v>
      </c>
    </row>
    <row r="12002" spans="11:14" x14ac:dyDescent="0.3">
      <c r="K12002" s="1">
        <v>41456</v>
      </c>
      <c r="M12002" t="e">
        <v>#N/A</v>
      </c>
      <c r="N12002" s="1">
        <v>41000</v>
      </c>
    </row>
    <row r="12003" spans="11:14" x14ac:dyDescent="0.3">
      <c r="K12003" s="1">
        <v>41456</v>
      </c>
      <c r="M12003" t="e">
        <v>#N/A</v>
      </c>
      <c r="N12003" s="1">
        <v>41000</v>
      </c>
    </row>
    <row r="12004" spans="11:14" x14ac:dyDescent="0.3">
      <c r="K12004" s="1">
        <v>41456</v>
      </c>
      <c r="M12004" t="e">
        <v>#N/A</v>
      </c>
      <c r="N12004" s="1">
        <v>41000</v>
      </c>
    </row>
    <row r="12005" spans="11:14" x14ac:dyDescent="0.3">
      <c r="K12005" s="1">
        <v>41456</v>
      </c>
      <c r="M12005" t="e">
        <v>#N/A</v>
      </c>
      <c r="N12005" s="1">
        <v>41091</v>
      </c>
    </row>
    <row r="12006" spans="11:14" x14ac:dyDescent="0.3">
      <c r="K12006" s="1">
        <v>41456</v>
      </c>
      <c r="M12006" t="e">
        <v>#N/A</v>
      </c>
      <c r="N12006" s="1">
        <v>41091</v>
      </c>
    </row>
    <row r="12007" spans="11:14" x14ac:dyDescent="0.3">
      <c r="K12007" s="1">
        <v>41456</v>
      </c>
      <c r="M12007" t="e">
        <v>#N/A</v>
      </c>
      <c r="N12007" s="1">
        <v>41091</v>
      </c>
    </row>
    <row r="12008" spans="11:14" x14ac:dyDescent="0.3">
      <c r="K12008" s="1">
        <v>41456</v>
      </c>
      <c r="M12008" t="e">
        <v>#N/A</v>
      </c>
      <c r="N12008" s="1">
        <v>41091</v>
      </c>
    </row>
    <row r="12009" spans="11:14" x14ac:dyDescent="0.3">
      <c r="K12009" s="1">
        <v>41456</v>
      </c>
      <c r="M12009" t="e">
        <v>#N/A</v>
      </c>
      <c r="N12009" s="1">
        <v>41091</v>
      </c>
    </row>
    <row r="12010" spans="11:14" x14ac:dyDescent="0.3">
      <c r="K12010" s="1">
        <v>41456</v>
      </c>
      <c r="M12010" t="e">
        <v>#N/A</v>
      </c>
      <c r="N12010" s="1">
        <v>41091</v>
      </c>
    </row>
    <row r="12011" spans="11:14" x14ac:dyDescent="0.3">
      <c r="K12011" s="1">
        <v>41456</v>
      </c>
      <c r="M12011" t="e">
        <v>#N/A</v>
      </c>
      <c r="N12011" s="1">
        <v>41091</v>
      </c>
    </row>
    <row r="12012" spans="11:14" x14ac:dyDescent="0.3">
      <c r="K12012" s="1">
        <v>41456</v>
      </c>
      <c r="M12012" t="e">
        <v>#N/A</v>
      </c>
      <c r="N12012" s="1">
        <v>41091</v>
      </c>
    </row>
    <row r="12013" spans="11:14" x14ac:dyDescent="0.3">
      <c r="K12013" s="1">
        <v>41456</v>
      </c>
      <c r="M12013" t="e">
        <v>#N/A</v>
      </c>
      <c r="N12013" s="1">
        <v>41091</v>
      </c>
    </row>
    <row r="12014" spans="11:14" x14ac:dyDescent="0.3">
      <c r="K12014" s="1">
        <v>41456</v>
      </c>
      <c r="M12014" t="e">
        <v>#N/A</v>
      </c>
      <c r="N12014" s="1">
        <v>41091</v>
      </c>
    </row>
    <row r="12015" spans="11:14" x14ac:dyDescent="0.3">
      <c r="K12015" s="1">
        <v>41456</v>
      </c>
      <c r="M12015" t="e">
        <v>#N/A</v>
      </c>
      <c r="N12015" s="1">
        <v>41091</v>
      </c>
    </row>
    <row r="12016" spans="11:14" x14ac:dyDescent="0.3">
      <c r="K12016" s="1">
        <v>41456</v>
      </c>
      <c r="M12016" t="e">
        <v>#N/A</v>
      </c>
      <c r="N12016" s="1">
        <v>41091</v>
      </c>
    </row>
    <row r="12017" spans="11:14" x14ac:dyDescent="0.3">
      <c r="K12017" s="1">
        <v>41456</v>
      </c>
      <c r="M12017" t="e">
        <v>#N/A</v>
      </c>
      <c r="N12017" s="1">
        <v>41091</v>
      </c>
    </row>
    <row r="12018" spans="11:14" x14ac:dyDescent="0.3">
      <c r="K12018" s="1">
        <v>41456</v>
      </c>
      <c r="M12018" t="e">
        <v>#N/A</v>
      </c>
      <c r="N12018" s="1">
        <v>41091</v>
      </c>
    </row>
    <row r="12019" spans="11:14" x14ac:dyDescent="0.3">
      <c r="K12019" s="1">
        <v>41456</v>
      </c>
      <c r="M12019" t="e">
        <v>#N/A</v>
      </c>
      <c r="N12019" s="1">
        <v>41091</v>
      </c>
    </row>
    <row r="12020" spans="11:14" x14ac:dyDescent="0.3">
      <c r="K12020" s="1">
        <v>41456</v>
      </c>
      <c r="M12020" t="e">
        <v>#N/A</v>
      </c>
      <c r="N12020" s="1">
        <v>41091</v>
      </c>
    </row>
    <row r="12021" spans="11:14" x14ac:dyDescent="0.3">
      <c r="K12021" s="1">
        <v>41456</v>
      </c>
      <c r="M12021" t="e">
        <v>#N/A</v>
      </c>
      <c r="N12021" s="1">
        <v>41091</v>
      </c>
    </row>
    <row r="12022" spans="11:14" x14ac:dyDescent="0.3">
      <c r="K12022" s="1">
        <v>41456</v>
      </c>
      <c r="M12022" t="e">
        <v>#N/A</v>
      </c>
      <c r="N12022" s="1">
        <v>41091</v>
      </c>
    </row>
    <row r="12023" spans="11:14" x14ac:dyDescent="0.3">
      <c r="K12023" s="1">
        <v>41456</v>
      </c>
      <c r="M12023" t="e">
        <v>#N/A</v>
      </c>
      <c r="N12023" s="1">
        <v>41091</v>
      </c>
    </row>
    <row r="12024" spans="11:14" x14ac:dyDescent="0.3">
      <c r="K12024" s="1">
        <v>41456</v>
      </c>
      <c r="M12024" t="e">
        <v>#N/A</v>
      </c>
      <c r="N12024" s="1">
        <v>41091</v>
      </c>
    </row>
    <row r="12025" spans="11:14" x14ac:dyDescent="0.3">
      <c r="K12025" s="1">
        <v>41456</v>
      </c>
      <c r="M12025" t="e">
        <v>#N/A</v>
      </c>
      <c r="N12025" s="1">
        <v>41091</v>
      </c>
    </row>
    <row r="12026" spans="11:14" x14ac:dyDescent="0.3">
      <c r="K12026" s="1">
        <v>41456</v>
      </c>
      <c r="M12026" t="e">
        <v>#N/A</v>
      </c>
      <c r="N12026" s="1">
        <v>41091</v>
      </c>
    </row>
    <row r="12027" spans="11:14" x14ac:dyDescent="0.3">
      <c r="K12027" s="1">
        <v>41456</v>
      </c>
      <c r="M12027" t="e">
        <v>#N/A</v>
      </c>
      <c r="N12027" s="1">
        <v>41091</v>
      </c>
    </row>
    <row r="12028" spans="11:14" x14ac:dyDescent="0.3">
      <c r="K12028" s="1">
        <v>41456</v>
      </c>
      <c r="M12028" t="e">
        <v>#N/A</v>
      </c>
      <c r="N12028" s="1">
        <v>41091</v>
      </c>
    </row>
    <row r="12029" spans="11:14" x14ac:dyDescent="0.3">
      <c r="K12029" s="1">
        <v>41456</v>
      </c>
      <c r="M12029" t="e">
        <v>#N/A</v>
      </c>
      <c r="N12029" s="1">
        <v>41091</v>
      </c>
    </row>
    <row r="12030" spans="11:14" x14ac:dyDescent="0.3">
      <c r="K12030" s="1">
        <v>41456</v>
      </c>
      <c r="M12030" t="e">
        <v>#N/A</v>
      </c>
      <c r="N12030" s="1">
        <v>41091</v>
      </c>
    </row>
    <row r="12031" spans="11:14" x14ac:dyDescent="0.3">
      <c r="K12031" s="1">
        <v>41456</v>
      </c>
      <c r="M12031" t="e">
        <v>#N/A</v>
      </c>
      <c r="N12031" s="1">
        <v>41091</v>
      </c>
    </row>
    <row r="12032" spans="11:14" x14ac:dyDescent="0.3">
      <c r="K12032" s="1">
        <v>41456</v>
      </c>
      <c r="M12032" t="e">
        <v>#N/A</v>
      </c>
      <c r="N12032" s="1">
        <v>41091</v>
      </c>
    </row>
    <row r="12033" spans="11:14" x14ac:dyDescent="0.3">
      <c r="K12033" s="1">
        <v>41456</v>
      </c>
      <c r="M12033" t="e">
        <v>#N/A</v>
      </c>
      <c r="N12033" s="1">
        <v>41091</v>
      </c>
    </row>
    <row r="12034" spans="11:14" x14ac:dyDescent="0.3">
      <c r="K12034" s="1">
        <v>41456</v>
      </c>
      <c r="M12034" t="e">
        <v>#N/A</v>
      </c>
      <c r="N12034" s="1">
        <v>41091</v>
      </c>
    </row>
    <row r="12035" spans="11:14" x14ac:dyDescent="0.3">
      <c r="K12035" s="1">
        <v>41456</v>
      </c>
      <c r="M12035" t="e">
        <v>#N/A</v>
      </c>
      <c r="N12035" s="1">
        <v>41091</v>
      </c>
    </row>
    <row r="12036" spans="11:14" x14ac:dyDescent="0.3">
      <c r="K12036" s="1">
        <v>41456</v>
      </c>
      <c r="M12036" t="e">
        <v>#N/A</v>
      </c>
      <c r="N12036" s="1">
        <v>41091</v>
      </c>
    </row>
    <row r="12037" spans="11:14" x14ac:dyDescent="0.3">
      <c r="K12037" s="1">
        <v>41456</v>
      </c>
      <c r="M12037" t="e">
        <v>#N/A</v>
      </c>
      <c r="N12037" s="1">
        <v>41091</v>
      </c>
    </row>
    <row r="12038" spans="11:14" x14ac:dyDescent="0.3">
      <c r="K12038" s="1">
        <v>41456</v>
      </c>
      <c r="M12038" t="e">
        <v>#N/A</v>
      </c>
      <c r="N12038" s="1">
        <v>41091</v>
      </c>
    </row>
    <row r="12039" spans="11:14" x14ac:dyDescent="0.3">
      <c r="K12039" s="1">
        <v>41456</v>
      </c>
      <c r="M12039" t="e">
        <v>#N/A</v>
      </c>
      <c r="N12039" s="1">
        <v>41091</v>
      </c>
    </row>
    <row r="12040" spans="11:14" x14ac:dyDescent="0.3">
      <c r="K12040" s="1">
        <v>41456</v>
      </c>
      <c r="M12040" t="e">
        <v>#N/A</v>
      </c>
      <c r="N12040" s="1">
        <v>41091</v>
      </c>
    </row>
    <row r="12041" spans="11:14" x14ac:dyDescent="0.3">
      <c r="K12041" s="1">
        <v>41456</v>
      </c>
      <c r="M12041" t="e">
        <v>#N/A</v>
      </c>
      <c r="N12041" s="1">
        <v>41091</v>
      </c>
    </row>
    <row r="12042" spans="11:14" x14ac:dyDescent="0.3">
      <c r="K12042" s="1">
        <v>41456</v>
      </c>
      <c r="M12042" t="e">
        <v>#N/A</v>
      </c>
      <c r="N12042" s="1">
        <v>41091</v>
      </c>
    </row>
    <row r="12043" spans="11:14" x14ac:dyDescent="0.3">
      <c r="K12043" s="1">
        <v>41456</v>
      </c>
      <c r="M12043" t="e">
        <v>#N/A</v>
      </c>
      <c r="N12043" s="1">
        <v>41091</v>
      </c>
    </row>
    <row r="12044" spans="11:14" x14ac:dyDescent="0.3">
      <c r="K12044" s="1">
        <v>41456</v>
      </c>
      <c r="M12044" t="e">
        <v>#N/A</v>
      </c>
      <c r="N12044" s="1">
        <v>41091</v>
      </c>
    </row>
    <row r="12045" spans="11:14" x14ac:dyDescent="0.3">
      <c r="K12045" s="1">
        <v>41456</v>
      </c>
      <c r="M12045" t="e">
        <v>#N/A</v>
      </c>
      <c r="N12045" s="1">
        <v>41091</v>
      </c>
    </row>
    <row r="12046" spans="11:14" x14ac:dyDescent="0.3">
      <c r="K12046" s="1">
        <v>41456</v>
      </c>
      <c r="M12046" t="e">
        <v>#N/A</v>
      </c>
      <c r="N12046" s="1">
        <v>41091</v>
      </c>
    </row>
    <row r="12047" spans="11:14" x14ac:dyDescent="0.3">
      <c r="K12047" s="1">
        <v>41456</v>
      </c>
      <c r="M12047" t="e">
        <v>#N/A</v>
      </c>
      <c r="N12047" s="1">
        <v>41091</v>
      </c>
    </row>
    <row r="12048" spans="11:14" x14ac:dyDescent="0.3">
      <c r="K12048" s="1">
        <v>41456</v>
      </c>
      <c r="M12048" t="e">
        <v>#N/A</v>
      </c>
      <c r="N12048" s="1">
        <v>41091</v>
      </c>
    </row>
    <row r="12049" spans="11:14" x14ac:dyDescent="0.3">
      <c r="K12049" s="1">
        <v>41456</v>
      </c>
      <c r="M12049" t="e">
        <v>#N/A</v>
      </c>
      <c r="N12049" s="1">
        <v>41091</v>
      </c>
    </row>
    <row r="12050" spans="11:14" x14ac:dyDescent="0.3">
      <c r="K12050" s="1">
        <v>41456</v>
      </c>
      <c r="M12050" t="e">
        <v>#N/A</v>
      </c>
      <c r="N12050" s="1">
        <v>41091</v>
      </c>
    </row>
    <row r="12051" spans="11:14" x14ac:dyDescent="0.3">
      <c r="K12051" s="1">
        <v>41456</v>
      </c>
      <c r="M12051" t="e">
        <v>#N/A</v>
      </c>
      <c r="N12051" s="1">
        <v>41091</v>
      </c>
    </row>
    <row r="12052" spans="11:14" x14ac:dyDescent="0.3">
      <c r="K12052" s="1">
        <v>41456</v>
      </c>
      <c r="M12052" t="e">
        <v>#N/A</v>
      </c>
      <c r="N12052" s="1">
        <v>41091</v>
      </c>
    </row>
    <row r="12053" spans="11:14" x14ac:dyDescent="0.3">
      <c r="K12053" s="1">
        <v>41456</v>
      </c>
      <c r="M12053" t="e">
        <v>#N/A</v>
      </c>
      <c r="N12053" s="1">
        <v>41091</v>
      </c>
    </row>
    <row r="12054" spans="11:14" x14ac:dyDescent="0.3">
      <c r="K12054" s="1">
        <v>41456</v>
      </c>
      <c r="M12054" t="e">
        <v>#N/A</v>
      </c>
      <c r="N12054" s="1">
        <v>41091</v>
      </c>
    </row>
    <row r="12055" spans="11:14" x14ac:dyDescent="0.3">
      <c r="K12055" s="1">
        <v>41456</v>
      </c>
      <c r="M12055" t="e">
        <v>#N/A</v>
      </c>
      <c r="N12055" s="1">
        <v>41091</v>
      </c>
    </row>
    <row r="12056" spans="11:14" x14ac:dyDescent="0.3">
      <c r="K12056" s="1">
        <v>41456</v>
      </c>
      <c r="M12056" t="e">
        <v>#N/A</v>
      </c>
      <c r="N12056" s="1">
        <v>41091</v>
      </c>
    </row>
    <row r="12057" spans="11:14" x14ac:dyDescent="0.3">
      <c r="K12057" s="1">
        <v>41456</v>
      </c>
      <c r="M12057" t="e">
        <v>#N/A</v>
      </c>
      <c r="N12057" s="1">
        <v>41091</v>
      </c>
    </row>
    <row r="12058" spans="11:14" x14ac:dyDescent="0.3">
      <c r="K12058" s="1">
        <v>41456</v>
      </c>
      <c r="M12058" t="e">
        <v>#N/A</v>
      </c>
      <c r="N12058" s="1">
        <v>41091</v>
      </c>
    </row>
    <row r="12059" spans="11:14" x14ac:dyDescent="0.3">
      <c r="K12059" s="1">
        <v>41456</v>
      </c>
      <c r="M12059" t="e">
        <v>#N/A</v>
      </c>
      <c r="N12059" s="1">
        <v>41091</v>
      </c>
    </row>
    <row r="12060" spans="11:14" x14ac:dyDescent="0.3">
      <c r="K12060" s="1">
        <v>41456</v>
      </c>
      <c r="M12060" t="e">
        <v>#N/A</v>
      </c>
      <c r="N12060" s="1">
        <v>41091</v>
      </c>
    </row>
    <row r="12061" spans="11:14" x14ac:dyDescent="0.3">
      <c r="K12061" s="1">
        <v>41456</v>
      </c>
      <c r="M12061" t="e">
        <v>#N/A</v>
      </c>
      <c r="N12061" s="1">
        <v>41091</v>
      </c>
    </row>
    <row r="12062" spans="11:14" x14ac:dyDescent="0.3">
      <c r="K12062" s="1">
        <v>41456</v>
      </c>
      <c r="M12062" t="e">
        <v>#N/A</v>
      </c>
      <c r="N12062" s="1">
        <v>41091</v>
      </c>
    </row>
    <row r="12063" spans="11:14" x14ac:dyDescent="0.3">
      <c r="K12063" s="1">
        <v>41456</v>
      </c>
      <c r="M12063" t="e">
        <v>#N/A</v>
      </c>
      <c r="N12063" s="1">
        <v>41091</v>
      </c>
    </row>
    <row r="12064" spans="11:14" x14ac:dyDescent="0.3">
      <c r="K12064" s="1">
        <v>41456</v>
      </c>
      <c r="M12064" t="e">
        <v>#N/A</v>
      </c>
      <c r="N12064" s="1">
        <v>41091</v>
      </c>
    </row>
    <row r="12065" spans="11:14" x14ac:dyDescent="0.3">
      <c r="K12065" s="1">
        <v>41456</v>
      </c>
      <c r="M12065" t="e">
        <v>#N/A</v>
      </c>
      <c r="N12065" s="1">
        <v>41091</v>
      </c>
    </row>
    <row r="12066" spans="11:14" x14ac:dyDescent="0.3">
      <c r="K12066" s="1">
        <v>41456</v>
      </c>
      <c r="M12066" t="e">
        <v>#N/A</v>
      </c>
      <c r="N12066" s="1">
        <v>41091</v>
      </c>
    </row>
    <row r="12067" spans="11:14" x14ac:dyDescent="0.3">
      <c r="K12067" s="1">
        <v>41456</v>
      </c>
      <c r="M12067" t="e">
        <v>#N/A</v>
      </c>
      <c r="N12067" s="1">
        <v>41091</v>
      </c>
    </row>
    <row r="12068" spans="11:14" x14ac:dyDescent="0.3">
      <c r="K12068" s="1">
        <v>41456</v>
      </c>
      <c r="M12068" t="e">
        <v>#N/A</v>
      </c>
      <c r="N12068" s="1">
        <v>41091</v>
      </c>
    </row>
    <row r="12069" spans="11:14" x14ac:dyDescent="0.3">
      <c r="K12069" s="1">
        <v>41456</v>
      </c>
      <c r="M12069" t="e">
        <v>#N/A</v>
      </c>
      <c r="N12069" s="1">
        <v>41091</v>
      </c>
    </row>
    <row r="12070" spans="11:14" x14ac:dyDescent="0.3">
      <c r="K12070" s="1">
        <v>41456</v>
      </c>
      <c r="M12070" t="e">
        <v>#N/A</v>
      </c>
      <c r="N12070" s="1">
        <v>41091</v>
      </c>
    </row>
    <row r="12071" spans="11:14" x14ac:dyDescent="0.3">
      <c r="K12071" s="1">
        <v>41456</v>
      </c>
      <c r="M12071" t="e">
        <v>#N/A</v>
      </c>
      <c r="N12071" s="1">
        <v>41091</v>
      </c>
    </row>
    <row r="12072" spans="11:14" x14ac:dyDescent="0.3">
      <c r="K12072" s="1">
        <v>41456</v>
      </c>
      <c r="M12072" t="e">
        <v>#N/A</v>
      </c>
      <c r="N12072" s="1">
        <v>41091</v>
      </c>
    </row>
    <row r="12073" spans="11:14" x14ac:dyDescent="0.3">
      <c r="K12073" s="1">
        <v>41456</v>
      </c>
      <c r="M12073" t="e">
        <v>#N/A</v>
      </c>
      <c r="N12073" s="1">
        <v>41091</v>
      </c>
    </row>
    <row r="12074" spans="11:14" x14ac:dyDescent="0.3">
      <c r="K12074" s="1">
        <v>41456</v>
      </c>
      <c r="M12074" t="e">
        <v>#N/A</v>
      </c>
      <c r="N12074" s="1">
        <v>41091</v>
      </c>
    </row>
    <row r="12075" spans="11:14" x14ac:dyDescent="0.3">
      <c r="K12075" s="1">
        <v>41456</v>
      </c>
      <c r="M12075" t="e">
        <v>#N/A</v>
      </c>
      <c r="N12075" s="1">
        <v>41091</v>
      </c>
    </row>
    <row r="12076" spans="11:14" x14ac:dyDescent="0.3">
      <c r="K12076" s="1">
        <v>41456</v>
      </c>
      <c r="M12076" t="e">
        <v>#N/A</v>
      </c>
      <c r="N12076" s="1">
        <v>41091</v>
      </c>
    </row>
    <row r="12077" spans="11:14" x14ac:dyDescent="0.3">
      <c r="K12077" s="1">
        <v>41456</v>
      </c>
      <c r="M12077" t="e">
        <v>#N/A</v>
      </c>
      <c r="N12077" s="1">
        <v>41091</v>
      </c>
    </row>
    <row r="12078" spans="11:14" x14ac:dyDescent="0.3">
      <c r="K12078" s="1">
        <v>41456</v>
      </c>
      <c r="M12078" t="e">
        <v>#N/A</v>
      </c>
      <c r="N12078" s="1">
        <v>41091</v>
      </c>
    </row>
    <row r="12079" spans="11:14" x14ac:dyDescent="0.3">
      <c r="K12079" s="1">
        <v>41456</v>
      </c>
      <c r="M12079" t="e">
        <v>#N/A</v>
      </c>
      <c r="N12079" s="1">
        <v>41091</v>
      </c>
    </row>
    <row r="12080" spans="11:14" x14ac:dyDescent="0.3">
      <c r="K12080" s="1">
        <v>41456</v>
      </c>
      <c r="M12080" t="e">
        <v>#N/A</v>
      </c>
      <c r="N12080" s="1">
        <v>41091</v>
      </c>
    </row>
    <row r="12081" spans="11:14" x14ac:dyDescent="0.3">
      <c r="K12081" s="1">
        <v>41456</v>
      </c>
      <c r="M12081" t="e">
        <v>#N/A</v>
      </c>
      <c r="N12081" s="1">
        <v>41091</v>
      </c>
    </row>
    <row r="12082" spans="11:14" x14ac:dyDescent="0.3">
      <c r="K12082" s="1">
        <v>41456</v>
      </c>
      <c r="M12082" t="e">
        <v>#N/A</v>
      </c>
      <c r="N12082" s="1">
        <v>41091</v>
      </c>
    </row>
    <row r="12083" spans="11:14" x14ac:dyDescent="0.3">
      <c r="K12083" s="1">
        <v>41456</v>
      </c>
      <c r="M12083" t="e">
        <v>#N/A</v>
      </c>
      <c r="N12083" s="1">
        <v>41091</v>
      </c>
    </row>
    <row r="12084" spans="11:14" x14ac:dyDescent="0.3">
      <c r="K12084" s="1">
        <v>41456</v>
      </c>
      <c r="M12084" t="e">
        <v>#N/A</v>
      </c>
      <c r="N12084" s="1">
        <v>41091</v>
      </c>
    </row>
    <row r="12085" spans="11:14" x14ac:dyDescent="0.3">
      <c r="K12085" s="1">
        <v>41456</v>
      </c>
      <c r="M12085" t="e">
        <v>#N/A</v>
      </c>
      <c r="N12085" s="1">
        <v>41091</v>
      </c>
    </row>
    <row r="12086" spans="11:14" x14ac:dyDescent="0.3">
      <c r="K12086" s="1">
        <v>41456</v>
      </c>
      <c r="M12086" t="e">
        <v>#N/A</v>
      </c>
      <c r="N12086" s="1">
        <v>41091</v>
      </c>
    </row>
    <row r="12087" spans="11:14" x14ac:dyDescent="0.3">
      <c r="K12087" s="1">
        <v>41456</v>
      </c>
      <c r="M12087" t="e">
        <v>#N/A</v>
      </c>
      <c r="N12087" s="1">
        <v>41091</v>
      </c>
    </row>
    <row r="12088" spans="11:14" x14ac:dyDescent="0.3">
      <c r="K12088" s="1">
        <v>41456</v>
      </c>
      <c r="M12088" t="e">
        <v>#N/A</v>
      </c>
      <c r="N12088" s="1">
        <v>41091</v>
      </c>
    </row>
    <row r="12089" spans="11:14" x14ac:dyDescent="0.3">
      <c r="K12089" s="1">
        <v>41456</v>
      </c>
      <c r="M12089" t="e">
        <v>#N/A</v>
      </c>
      <c r="N12089" s="1">
        <v>41091</v>
      </c>
    </row>
    <row r="12090" spans="11:14" x14ac:dyDescent="0.3">
      <c r="K12090" s="1">
        <v>41456</v>
      </c>
      <c r="M12090" t="e">
        <v>#N/A</v>
      </c>
      <c r="N12090" s="1">
        <v>41091</v>
      </c>
    </row>
    <row r="12091" spans="11:14" x14ac:dyDescent="0.3">
      <c r="K12091" s="1">
        <v>41456</v>
      </c>
      <c r="M12091" t="e">
        <v>#N/A</v>
      </c>
      <c r="N12091" s="1">
        <v>41091</v>
      </c>
    </row>
    <row r="12092" spans="11:14" x14ac:dyDescent="0.3">
      <c r="K12092" s="1">
        <v>41456</v>
      </c>
      <c r="M12092" t="e">
        <v>#N/A</v>
      </c>
      <c r="N12092" s="1">
        <v>41091</v>
      </c>
    </row>
    <row r="12093" spans="11:14" x14ac:dyDescent="0.3">
      <c r="K12093" s="1">
        <v>41456</v>
      </c>
      <c r="M12093" t="e">
        <v>#N/A</v>
      </c>
      <c r="N12093" s="1">
        <v>41091</v>
      </c>
    </row>
    <row r="12094" spans="11:14" x14ac:dyDescent="0.3">
      <c r="K12094" s="1">
        <v>41456</v>
      </c>
      <c r="M12094" t="e">
        <v>#N/A</v>
      </c>
      <c r="N12094" s="1">
        <v>41091</v>
      </c>
    </row>
    <row r="12095" spans="11:14" x14ac:dyDescent="0.3">
      <c r="K12095" s="1">
        <v>41456</v>
      </c>
      <c r="M12095" t="e">
        <v>#N/A</v>
      </c>
      <c r="N12095" s="1">
        <v>41091</v>
      </c>
    </row>
    <row r="12096" spans="11:14" x14ac:dyDescent="0.3">
      <c r="K12096" s="1">
        <v>41456</v>
      </c>
      <c r="M12096" t="e">
        <v>#N/A</v>
      </c>
      <c r="N12096" s="1">
        <v>41091</v>
      </c>
    </row>
    <row r="12097" spans="11:14" x14ac:dyDescent="0.3">
      <c r="K12097" s="1">
        <v>41456</v>
      </c>
      <c r="M12097" t="e">
        <v>#N/A</v>
      </c>
      <c r="N12097" s="1">
        <v>41091</v>
      </c>
    </row>
    <row r="12098" spans="11:14" x14ac:dyDescent="0.3">
      <c r="K12098" s="1">
        <v>41456</v>
      </c>
      <c r="M12098" t="e">
        <v>#N/A</v>
      </c>
      <c r="N12098" s="1">
        <v>41091</v>
      </c>
    </row>
    <row r="12099" spans="11:14" x14ac:dyDescent="0.3">
      <c r="K12099" s="1">
        <v>41456</v>
      </c>
      <c r="M12099" t="e">
        <v>#N/A</v>
      </c>
      <c r="N12099" s="1">
        <v>41091</v>
      </c>
    </row>
    <row r="12100" spans="11:14" x14ac:dyDescent="0.3">
      <c r="K12100" s="1">
        <v>41456</v>
      </c>
      <c r="M12100" t="e">
        <v>#N/A</v>
      </c>
      <c r="N12100" s="1">
        <v>41091</v>
      </c>
    </row>
    <row r="12101" spans="11:14" x14ac:dyDescent="0.3">
      <c r="K12101" s="1">
        <v>41456</v>
      </c>
      <c r="M12101" t="e">
        <v>#N/A</v>
      </c>
      <c r="N12101" s="1">
        <v>41091</v>
      </c>
    </row>
    <row r="12102" spans="11:14" x14ac:dyDescent="0.3">
      <c r="K12102" s="1">
        <v>41456</v>
      </c>
      <c r="M12102" t="e">
        <v>#N/A</v>
      </c>
      <c r="N12102" s="1">
        <v>41091</v>
      </c>
    </row>
    <row r="12103" spans="11:14" x14ac:dyDescent="0.3">
      <c r="K12103" s="1">
        <v>41456</v>
      </c>
      <c r="M12103" t="e">
        <v>#N/A</v>
      </c>
      <c r="N12103" s="1">
        <v>41091</v>
      </c>
    </row>
    <row r="12104" spans="11:14" x14ac:dyDescent="0.3">
      <c r="K12104" s="1">
        <v>41456</v>
      </c>
      <c r="M12104" t="e">
        <v>#N/A</v>
      </c>
      <c r="N12104" s="1">
        <v>41091</v>
      </c>
    </row>
    <row r="12105" spans="11:14" x14ac:dyDescent="0.3">
      <c r="K12105" s="1">
        <v>41456</v>
      </c>
      <c r="M12105" t="e">
        <v>#N/A</v>
      </c>
      <c r="N12105" s="1">
        <v>41091</v>
      </c>
    </row>
    <row r="12106" spans="11:14" x14ac:dyDescent="0.3">
      <c r="K12106" s="1">
        <v>41456</v>
      </c>
      <c r="M12106" t="e">
        <v>#N/A</v>
      </c>
      <c r="N12106" s="1">
        <v>41091</v>
      </c>
    </row>
    <row r="12107" spans="11:14" x14ac:dyDescent="0.3">
      <c r="K12107" s="1">
        <v>41456</v>
      </c>
      <c r="M12107" t="e">
        <v>#N/A</v>
      </c>
      <c r="N12107" s="1">
        <v>41091</v>
      </c>
    </row>
    <row r="12108" spans="11:14" x14ac:dyDescent="0.3">
      <c r="K12108" s="1">
        <v>41456</v>
      </c>
      <c r="M12108" t="e">
        <v>#N/A</v>
      </c>
      <c r="N12108" s="1">
        <v>41091</v>
      </c>
    </row>
    <row r="12109" spans="11:14" x14ac:dyDescent="0.3">
      <c r="K12109" s="1">
        <v>41456</v>
      </c>
      <c r="M12109" t="e">
        <v>#N/A</v>
      </c>
      <c r="N12109" s="1">
        <v>41091</v>
      </c>
    </row>
    <row r="12110" spans="11:14" x14ac:dyDescent="0.3">
      <c r="K12110" s="1">
        <v>41456</v>
      </c>
      <c r="M12110" t="e">
        <v>#N/A</v>
      </c>
      <c r="N12110" s="1">
        <v>41091</v>
      </c>
    </row>
    <row r="12111" spans="11:14" x14ac:dyDescent="0.3">
      <c r="K12111" s="1">
        <v>41456</v>
      </c>
      <c r="M12111" t="e">
        <v>#N/A</v>
      </c>
      <c r="N12111" s="1">
        <v>41091</v>
      </c>
    </row>
    <row r="12112" spans="11:14" x14ac:dyDescent="0.3">
      <c r="K12112" s="1">
        <v>41456</v>
      </c>
      <c r="M12112" t="e">
        <v>#N/A</v>
      </c>
      <c r="N12112" s="1">
        <v>41091</v>
      </c>
    </row>
    <row r="12113" spans="11:14" x14ac:dyDescent="0.3">
      <c r="K12113" s="1">
        <v>41456</v>
      </c>
      <c r="M12113" t="e">
        <v>#N/A</v>
      </c>
      <c r="N12113" s="1">
        <v>41091</v>
      </c>
    </row>
    <row r="12114" spans="11:14" x14ac:dyDescent="0.3">
      <c r="K12114" s="1">
        <v>41456</v>
      </c>
      <c r="M12114" t="e">
        <v>#N/A</v>
      </c>
      <c r="N12114" s="1">
        <v>41091</v>
      </c>
    </row>
    <row r="12115" spans="11:14" x14ac:dyDescent="0.3">
      <c r="K12115" s="1">
        <v>41456</v>
      </c>
      <c r="M12115" t="e">
        <v>#N/A</v>
      </c>
      <c r="N12115" s="1">
        <v>41091</v>
      </c>
    </row>
    <row r="12116" spans="11:14" x14ac:dyDescent="0.3">
      <c r="K12116" s="1">
        <v>41456</v>
      </c>
      <c r="M12116" t="e">
        <v>#N/A</v>
      </c>
      <c r="N12116" s="1">
        <v>41091</v>
      </c>
    </row>
    <row r="12117" spans="11:14" x14ac:dyDescent="0.3">
      <c r="K12117" s="1">
        <v>41456</v>
      </c>
      <c r="M12117" t="e">
        <v>#N/A</v>
      </c>
      <c r="N12117" s="1">
        <v>41091</v>
      </c>
    </row>
    <row r="12118" spans="11:14" x14ac:dyDescent="0.3">
      <c r="K12118" s="1">
        <v>41456</v>
      </c>
      <c r="M12118" t="e">
        <v>#N/A</v>
      </c>
      <c r="N12118" s="1">
        <v>41091</v>
      </c>
    </row>
    <row r="12119" spans="11:14" x14ac:dyDescent="0.3">
      <c r="K12119" s="1">
        <v>41456</v>
      </c>
      <c r="M12119" t="e">
        <v>#N/A</v>
      </c>
      <c r="N12119" s="1">
        <v>41091</v>
      </c>
    </row>
    <row r="12120" spans="11:14" x14ac:dyDescent="0.3">
      <c r="K12120" s="1">
        <v>41456</v>
      </c>
      <c r="M12120" t="e">
        <v>#N/A</v>
      </c>
      <c r="N12120" s="1">
        <v>41091</v>
      </c>
    </row>
    <row r="12121" spans="11:14" x14ac:dyDescent="0.3">
      <c r="K12121" s="1">
        <v>41456</v>
      </c>
      <c r="M12121" t="e">
        <v>#N/A</v>
      </c>
      <c r="N12121" s="1">
        <v>41091</v>
      </c>
    </row>
    <row r="12122" spans="11:14" x14ac:dyDescent="0.3">
      <c r="K12122" s="1">
        <v>41456</v>
      </c>
      <c r="M12122" t="e">
        <v>#N/A</v>
      </c>
      <c r="N12122" s="1">
        <v>41091</v>
      </c>
    </row>
    <row r="12123" spans="11:14" x14ac:dyDescent="0.3">
      <c r="K12123" s="1">
        <v>41456</v>
      </c>
      <c r="M12123" t="e">
        <v>#N/A</v>
      </c>
      <c r="N12123" s="1">
        <v>41091</v>
      </c>
    </row>
    <row r="12124" spans="11:14" x14ac:dyDescent="0.3">
      <c r="K12124" s="1">
        <v>41456</v>
      </c>
      <c r="M12124" t="e">
        <v>#N/A</v>
      </c>
      <c r="N12124" s="1">
        <v>41091</v>
      </c>
    </row>
    <row r="12125" spans="11:14" x14ac:dyDescent="0.3">
      <c r="K12125" s="1">
        <v>41456</v>
      </c>
      <c r="M12125" t="e">
        <v>#N/A</v>
      </c>
      <c r="N12125" s="1">
        <v>41091</v>
      </c>
    </row>
    <row r="12126" spans="11:14" x14ac:dyDescent="0.3">
      <c r="K12126" s="1">
        <v>41456</v>
      </c>
      <c r="M12126" t="e">
        <v>#N/A</v>
      </c>
      <c r="N12126" s="1">
        <v>41091</v>
      </c>
    </row>
    <row r="12127" spans="11:14" x14ac:dyDescent="0.3">
      <c r="K12127" s="1">
        <v>41456</v>
      </c>
      <c r="M12127" t="e">
        <v>#N/A</v>
      </c>
      <c r="N12127" s="1">
        <v>41091</v>
      </c>
    </row>
    <row r="12128" spans="11:14" x14ac:dyDescent="0.3">
      <c r="K12128" s="1">
        <v>41456</v>
      </c>
      <c r="M12128" t="e">
        <v>#N/A</v>
      </c>
      <c r="N12128" s="1">
        <v>41091</v>
      </c>
    </row>
    <row r="12129" spans="11:14" x14ac:dyDescent="0.3">
      <c r="K12129" s="1">
        <v>41456</v>
      </c>
      <c r="M12129" t="e">
        <v>#N/A</v>
      </c>
      <c r="N12129" s="1">
        <v>41091</v>
      </c>
    </row>
    <row r="12130" spans="11:14" x14ac:dyDescent="0.3">
      <c r="K12130" s="1">
        <v>41456</v>
      </c>
      <c r="M12130" t="e">
        <v>#N/A</v>
      </c>
      <c r="N12130" s="1">
        <v>41091</v>
      </c>
    </row>
    <row r="12131" spans="11:14" x14ac:dyDescent="0.3">
      <c r="K12131" s="1">
        <v>41456</v>
      </c>
      <c r="M12131" t="e">
        <v>#N/A</v>
      </c>
      <c r="N12131" s="1">
        <v>41091</v>
      </c>
    </row>
    <row r="12132" spans="11:14" x14ac:dyDescent="0.3">
      <c r="K12132" s="1">
        <v>41456</v>
      </c>
      <c r="M12132" t="e">
        <v>#N/A</v>
      </c>
      <c r="N12132" s="1">
        <v>41091</v>
      </c>
    </row>
    <row r="12133" spans="11:14" x14ac:dyDescent="0.3">
      <c r="K12133" s="1">
        <v>41456</v>
      </c>
      <c r="M12133" t="e">
        <v>#N/A</v>
      </c>
      <c r="N12133" s="1">
        <v>41091</v>
      </c>
    </row>
    <row r="12134" spans="11:14" x14ac:dyDescent="0.3">
      <c r="K12134" s="1">
        <v>41456</v>
      </c>
      <c r="M12134" t="e">
        <v>#N/A</v>
      </c>
      <c r="N12134" s="1">
        <v>41091</v>
      </c>
    </row>
    <row r="12135" spans="11:14" x14ac:dyDescent="0.3">
      <c r="K12135" s="1">
        <v>41456</v>
      </c>
      <c r="M12135" t="e">
        <v>#N/A</v>
      </c>
      <c r="N12135" s="1">
        <v>41091</v>
      </c>
    </row>
    <row r="12136" spans="11:14" x14ac:dyDescent="0.3">
      <c r="K12136" s="1">
        <v>41456</v>
      </c>
      <c r="M12136" t="e">
        <v>#N/A</v>
      </c>
      <c r="N12136" s="1">
        <v>41091</v>
      </c>
    </row>
    <row r="12137" spans="11:14" x14ac:dyDescent="0.3">
      <c r="K12137" s="1">
        <v>41456</v>
      </c>
      <c r="M12137" t="e">
        <v>#N/A</v>
      </c>
      <c r="N12137" s="1">
        <v>41091</v>
      </c>
    </row>
    <row r="12138" spans="11:14" x14ac:dyDescent="0.3">
      <c r="K12138" s="1">
        <v>41456</v>
      </c>
      <c r="M12138" t="e">
        <v>#N/A</v>
      </c>
      <c r="N12138" s="1">
        <v>41091</v>
      </c>
    </row>
    <row r="12139" spans="11:14" x14ac:dyDescent="0.3">
      <c r="K12139" s="1">
        <v>41456</v>
      </c>
      <c r="M12139" t="e">
        <v>#N/A</v>
      </c>
      <c r="N12139" s="1">
        <v>41091</v>
      </c>
    </row>
    <row r="12140" spans="11:14" x14ac:dyDescent="0.3">
      <c r="K12140" s="1">
        <v>41456</v>
      </c>
      <c r="M12140" t="e">
        <v>#N/A</v>
      </c>
      <c r="N12140" s="1">
        <v>41091</v>
      </c>
    </row>
    <row r="12141" spans="11:14" x14ac:dyDescent="0.3">
      <c r="K12141" s="1">
        <v>41456</v>
      </c>
      <c r="M12141" t="e">
        <v>#N/A</v>
      </c>
      <c r="N12141" s="1">
        <v>41091</v>
      </c>
    </row>
    <row r="12142" spans="11:14" x14ac:dyDescent="0.3">
      <c r="K12142" s="1">
        <v>41456</v>
      </c>
      <c r="M12142" t="e">
        <v>#N/A</v>
      </c>
      <c r="N12142" s="1">
        <v>41091</v>
      </c>
    </row>
    <row r="12143" spans="11:14" x14ac:dyDescent="0.3">
      <c r="K12143" s="1">
        <v>41456</v>
      </c>
      <c r="M12143" t="e">
        <v>#N/A</v>
      </c>
      <c r="N12143" s="1">
        <v>41091</v>
      </c>
    </row>
    <row r="12144" spans="11:14" x14ac:dyDescent="0.3">
      <c r="K12144" s="1">
        <v>41456</v>
      </c>
      <c r="M12144" t="e">
        <v>#N/A</v>
      </c>
      <c r="N12144" s="1">
        <v>41091</v>
      </c>
    </row>
    <row r="12145" spans="11:14" x14ac:dyDescent="0.3">
      <c r="K12145" s="1">
        <v>41456</v>
      </c>
      <c r="M12145" t="e">
        <v>#N/A</v>
      </c>
      <c r="N12145" s="1">
        <v>41091</v>
      </c>
    </row>
    <row r="12146" spans="11:14" x14ac:dyDescent="0.3">
      <c r="K12146" s="1">
        <v>41456</v>
      </c>
      <c r="M12146" t="e">
        <v>#N/A</v>
      </c>
      <c r="N12146" s="1">
        <v>41091</v>
      </c>
    </row>
    <row r="12147" spans="11:14" x14ac:dyDescent="0.3">
      <c r="K12147" s="1">
        <v>41456</v>
      </c>
      <c r="M12147" t="e">
        <v>#N/A</v>
      </c>
      <c r="N12147" s="1">
        <v>41091</v>
      </c>
    </row>
    <row r="12148" spans="11:14" x14ac:dyDescent="0.3">
      <c r="K12148" s="1">
        <v>41456</v>
      </c>
      <c r="M12148" t="e">
        <v>#N/A</v>
      </c>
      <c r="N12148" s="1">
        <v>41091</v>
      </c>
    </row>
    <row r="12149" spans="11:14" x14ac:dyDescent="0.3">
      <c r="K12149" s="1">
        <v>41456</v>
      </c>
      <c r="M12149" t="e">
        <v>#N/A</v>
      </c>
      <c r="N12149" s="1">
        <v>41091</v>
      </c>
    </row>
    <row r="12150" spans="11:14" x14ac:dyDescent="0.3">
      <c r="K12150" s="1">
        <v>41456</v>
      </c>
      <c r="M12150" t="e">
        <v>#N/A</v>
      </c>
      <c r="N12150" s="1">
        <v>41091</v>
      </c>
    </row>
    <row r="12151" spans="11:14" x14ac:dyDescent="0.3">
      <c r="K12151" s="1">
        <v>41456</v>
      </c>
      <c r="M12151" t="e">
        <v>#N/A</v>
      </c>
      <c r="N12151" s="1">
        <v>41091</v>
      </c>
    </row>
    <row r="12152" spans="11:14" x14ac:dyDescent="0.3">
      <c r="K12152" s="1">
        <v>41456</v>
      </c>
      <c r="M12152" t="e">
        <v>#N/A</v>
      </c>
      <c r="N12152" s="1">
        <v>41091</v>
      </c>
    </row>
    <row r="12153" spans="11:14" x14ac:dyDescent="0.3">
      <c r="K12153" s="1">
        <v>41456</v>
      </c>
      <c r="M12153" t="e">
        <v>#N/A</v>
      </c>
      <c r="N12153" s="1">
        <v>41091</v>
      </c>
    </row>
    <row r="12154" spans="11:14" x14ac:dyDescent="0.3">
      <c r="K12154" s="1">
        <v>41456</v>
      </c>
      <c r="M12154" t="e">
        <v>#N/A</v>
      </c>
      <c r="N12154" s="1">
        <v>41091</v>
      </c>
    </row>
    <row r="12155" spans="11:14" x14ac:dyDescent="0.3">
      <c r="K12155" s="1">
        <v>41456</v>
      </c>
      <c r="M12155" t="e">
        <v>#N/A</v>
      </c>
      <c r="N12155" s="1">
        <v>41091</v>
      </c>
    </row>
    <row r="12156" spans="11:14" x14ac:dyDescent="0.3">
      <c r="K12156" s="1">
        <v>41456</v>
      </c>
      <c r="M12156" t="e">
        <v>#N/A</v>
      </c>
      <c r="N12156" s="1">
        <v>41091</v>
      </c>
    </row>
    <row r="12157" spans="11:14" x14ac:dyDescent="0.3">
      <c r="K12157" s="1">
        <v>41456</v>
      </c>
      <c r="M12157" t="e">
        <v>#N/A</v>
      </c>
      <c r="N12157" s="1">
        <v>41091</v>
      </c>
    </row>
    <row r="12158" spans="11:14" x14ac:dyDescent="0.3">
      <c r="K12158" s="1">
        <v>41456</v>
      </c>
      <c r="M12158" t="e">
        <v>#N/A</v>
      </c>
      <c r="N12158" s="1">
        <v>41091</v>
      </c>
    </row>
    <row r="12159" spans="11:14" x14ac:dyDescent="0.3">
      <c r="K12159" s="1">
        <v>41456</v>
      </c>
      <c r="M12159" t="e">
        <v>#N/A</v>
      </c>
      <c r="N12159" s="1">
        <v>41091</v>
      </c>
    </row>
    <row r="12160" spans="11:14" x14ac:dyDescent="0.3">
      <c r="K12160" s="1">
        <v>41456</v>
      </c>
      <c r="M12160" t="e">
        <v>#N/A</v>
      </c>
      <c r="N12160" s="1">
        <v>41091</v>
      </c>
    </row>
    <row r="12161" spans="11:14" x14ac:dyDescent="0.3">
      <c r="K12161" s="1">
        <v>41456</v>
      </c>
      <c r="M12161" t="e">
        <v>#N/A</v>
      </c>
      <c r="N12161" s="1">
        <v>41091</v>
      </c>
    </row>
    <row r="12162" spans="11:14" x14ac:dyDescent="0.3">
      <c r="K12162" s="1">
        <v>41456</v>
      </c>
      <c r="M12162" t="e">
        <v>#N/A</v>
      </c>
      <c r="N12162" s="1">
        <v>41091</v>
      </c>
    </row>
    <row r="12163" spans="11:14" x14ac:dyDescent="0.3">
      <c r="K12163" s="1">
        <v>41456</v>
      </c>
      <c r="M12163" t="e">
        <v>#N/A</v>
      </c>
      <c r="N12163" s="1">
        <v>41091</v>
      </c>
    </row>
    <row r="12164" spans="11:14" x14ac:dyDescent="0.3">
      <c r="K12164" s="1">
        <v>41456</v>
      </c>
      <c r="M12164" t="e">
        <v>#N/A</v>
      </c>
      <c r="N12164" s="1">
        <v>41091</v>
      </c>
    </row>
    <row r="12165" spans="11:14" x14ac:dyDescent="0.3">
      <c r="K12165" s="1">
        <v>41456</v>
      </c>
      <c r="M12165" t="e">
        <v>#N/A</v>
      </c>
      <c r="N12165" s="1">
        <v>41091</v>
      </c>
    </row>
    <row r="12166" spans="11:14" x14ac:dyDescent="0.3">
      <c r="K12166" s="1">
        <v>41456</v>
      </c>
      <c r="M12166" t="e">
        <v>#N/A</v>
      </c>
      <c r="N12166" s="1">
        <v>41091</v>
      </c>
    </row>
    <row r="12167" spans="11:14" x14ac:dyDescent="0.3">
      <c r="K12167" s="1">
        <v>41456</v>
      </c>
      <c r="M12167" t="e">
        <v>#N/A</v>
      </c>
      <c r="N12167" s="1">
        <v>41091</v>
      </c>
    </row>
    <row r="12168" spans="11:14" x14ac:dyDescent="0.3">
      <c r="K12168" s="1">
        <v>41456</v>
      </c>
      <c r="M12168" t="e">
        <v>#N/A</v>
      </c>
      <c r="N12168" s="1">
        <v>41091</v>
      </c>
    </row>
    <row r="12169" spans="11:14" x14ac:dyDescent="0.3">
      <c r="K12169" s="1">
        <v>41456</v>
      </c>
      <c r="M12169" t="e">
        <v>#N/A</v>
      </c>
      <c r="N12169" s="1">
        <v>41091</v>
      </c>
    </row>
    <row r="12170" spans="11:14" x14ac:dyDescent="0.3">
      <c r="K12170" s="1">
        <v>41456</v>
      </c>
      <c r="M12170" t="e">
        <v>#N/A</v>
      </c>
      <c r="N12170" s="1">
        <v>41091</v>
      </c>
    </row>
    <row r="12171" spans="11:14" x14ac:dyDescent="0.3">
      <c r="K12171" s="1">
        <v>41456</v>
      </c>
      <c r="M12171" t="e">
        <v>#N/A</v>
      </c>
      <c r="N12171" s="1">
        <v>41091</v>
      </c>
    </row>
    <row r="12172" spans="11:14" x14ac:dyDescent="0.3">
      <c r="K12172" s="1">
        <v>41456</v>
      </c>
      <c r="M12172" t="e">
        <v>#N/A</v>
      </c>
      <c r="N12172" s="1">
        <v>41091</v>
      </c>
    </row>
    <row r="12173" spans="11:14" x14ac:dyDescent="0.3">
      <c r="K12173" s="1">
        <v>41456</v>
      </c>
      <c r="M12173" t="e">
        <v>#N/A</v>
      </c>
      <c r="N12173" s="1">
        <v>41091</v>
      </c>
    </row>
    <row r="12174" spans="11:14" x14ac:dyDescent="0.3">
      <c r="K12174" s="1">
        <v>41456</v>
      </c>
      <c r="M12174" t="e">
        <v>#N/A</v>
      </c>
      <c r="N12174" s="1">
        <v>41091</v>
      </c>
    </row>
    <row r="12175" spans="11:14" x14ac:dyDescent="0.3">
      <c r="K12175" s="1">
        <v>41456</v>
      </c>
      <c r="M12175" t="e">
        <v>#N/A</v>
      </c>
      <c r="N12175" s="1">
        <v>41091</v>
      </c>
    </row>
    <row r="12176" spans="11:14" x14ac:dyDescent="0.3">
      <c r="K12176" s="1">
        <v>41456</v>
      </c>
      <c r="M12176" t="e">
        <v>#N/A</v>
      </c>
      <c r="N12176" s="1">
        <v>41091</v>
      </c>
    </row>
    <row r="12177" spans="11:14" x14ac:dyDescent="0.3">
      <c r="K12177" s="1">
        <v>41456</v>
      </c>
      <c r="M12177" t="e">
        <v>#N/A</v>
      </c>
      <c r="N12177" s="1">
        <v>41091</v>
      </c>
    </row>
    <row r="12178" spans="11:14" x14ac:dyDescent="0.3">
      <c r="K12178" s="1">
        <v>41456</v>
      </c>
      <c r="M12178" t="e">
        <v>#N/A</v>
      </c>
      <c r="N12178" s="1">
        <v>41091</v>
      </c>
    </row>
    <row r="12179" spans="11:14" x14ac:dyDescent="0.3">
      <c r="K12179" s="1">
        <v>41456</v>
      </c>
      <c r="M12179" t="e">
        <v>#N/A</v>
      </c>
      <c r="N12179" s="1">
        <v>41091</v>
      </c>
    </row>
    <row r="12180" spans="11:14" x14ac:dyDescent="0.3">
      <c r="K12180" s="1">
        <v>41456</v>
      </c>
      <c r="M12180" t="e">
        <v>#N/A</v>
      </c>
      <c r="N12180" s="1">
        <v>41091</v>
      </c>
    </row>
    <row r="12181" spans="11:14" x14ac:dyDescent="0.3">
      <c r="K12181" s="1">
        <v>41456</v>
      </c>
      <c r="M12181" t="e">
        <v>#N/A</v>
      </c>
      <c r="N12181" s="1">
        <v>41091</v>
      </c>
    </row>
    <row r="12182" spans="11:14" x14ac:dyDescent="0.3">
      <c r="K12182" s="1">
        <v>41456</v>
      </c>
      <c r="M12182" t="e">
        <v>#N/A</v>
      </c>
      <c r="N12182" s="1">
        <v>41091</v>
      </c>
    </row>
    <row r="12183" spans="11:14" x14ac:dyDescent="0.3">
      <c r="K12183" s="1">
        <v>41456</v>
      </c>
      <c r="M12183" t="e">
        <v>#N/A</v>
      </c>
      <c r="N12183" s="1">
        <v>41091</v>
      </c>
    </row>
    <row r="12184" spans="11:14" x14ac:dyDescent="0.3">
      <c r="K12184" s="1">
        <v>41456</v>
      </c>
      <c r="M12184" t="e">
        <v>#N/A</v>
      </c>
      <c r="N12184" s="1">
        <v>41091</v>
      </c>
    </row>
    <row r="12185" spans="11:14" x14ac:dyDescent="0.3">
      <c r="K12185" s="1">
        <v>41456</v>
      </c>
      <c r="M12185" t="e">
        <v>#N/A</v>
      </c>
      <c r="N12185" s="1">
        <v>41091</v>
      </c>
    </row>
    <row r="12186" spans="11:14" x14ac:dyDescent="0.3">
      <c r="K12186" s="1">
        <v>41456</v>
      </c>
      <c r="M12186" t="e">
        <v>#N/A</v>
      </c>
      <c r="N12186" s="1">
        <v>41091</v>
      </c>
    </row>
    <row r="12187" spans="11:14" x14ac:dyDescent="0.3">
      <c r="K12187" s="1">
        <v>41456</v>
      </c>
      <c r="M12187" t="e">
        <v>#N/A</v>
      </c>
      <c r="N12187" s="1">
        <v>41091</v>
      </c>
    </row>
    <row r="12188" spans="11:14" x14ac:dyDescent="0.3">
      <c r="K12188" s="1">
        <v>41456</v>
      </c>
      <c r="M12188" t="e">
        <v>#N/A</v>
      </c>
      <c r="N12188" s="1">
        <v>41091</v>
      </c>
    </row>
    <row r="12189" spans="11:14" x14ac:dyDescent="0.3">
      <c r="K12189" s="1">
        <v>41456</v>
      </c>
      <c r="M12189" t="e">
        <v>#N/A</v>
      </c>
      <c r="N12189" s="1">
        <v>41091</v>
      </c>
    </row>
    <row r="12190" spans="11:14" x14ac:dyDescent="0.3">
      <c r="K12190" s="1">
        <v>41456</v>
      </c>
      <c r="M12190" t="e">
        <v>#N/A</v>
      </c>
      <c r="N12190" s="1">
        <v>41091</v>
      </c>
    </row>
    <row r="12191" spans="11:14" x14ac:dyDescent="0.3">
      <c r="K12191" s="1">
        <v>41456</v>
      </c>
      <c r="M12191" t="e">
        <v>#N/A</v>
      </c>
      <c r="N12191" s="1">
        <v>41091</v>
      </c>
    </row>
    <row r="12192" spans="11:14" x14ac:dyDescent="0.3">
      <c r="K12192" s="1">
        <v>41456</v>
      </c>
      <c r="M12192" t="e">
        <v>#N/A</v>
      </c>
      <c r="N12192" s="1">
        <v>41091</v>
      </c>
    </row>
    <row r="12193" spans="11:14" x14ac:dyDescent="0.3">
      <c r="K12193" s="1">
        <v>41456</v>
      </c>
      <c r="M12193" t="e">
        <v>#N/A</v>
      </c>
      <c r="N12193" s="1">
        <v>41091</v>
      </c>
    </row>
    <row r="12194" spans="11:14" x14ac:dyDescent="0.3">
      <c r="K12194" s="1">
        <v>41456</v>
      </c>
      <c r="M12194" t="e">
        <v>#N/A</v>
      </c>
      <c r="N12194" s="1">
        <v>41091</v>
      </c>
    </row>
    <row r="12195" spans="11:14" x14ac:dyDescent="0.3">
      <c r="K12195" s="1">
        <v>41456</v>
      </c>
      <c r="M12195" t="e">
        <v>#N/A</v>
      </c>
      <c r="N12195" s="1">
        <v>41091</v>
      </c>
    </row>
    <row r="12196" spans="11:14" x14ac:dyDescent="0.3">
      <c r="K12196" s="1">
        <v>41456</v>
      </c>
      <c r="M12196" t="e">
        <v>#N/A</v>
      </c>
      <c r="N12196" s="1">
        <v>41091</v>
      </c>
    </row>
    <row r="12197" spans="11:14" x14ac:dyDescent="0.3">
      <c r="K12197" s="1">
        <v>41456</v>
      </c>
      <c r="M12197" t="e">
        <v>#N/A</v>
      </c>
      <c r="N12197" s="1">
        <v>41091</v>
      </c>
    </row>
    <row r="12198" spans="11:14" x14ac:dyDescent="0.3">
      <c r="K12198" s="1">
        <v>41456</v>
      </c>
      <c r="M12198" t="e">
        <v>#N/A</v>
      </c>
      <c r="N12198" s="1">
        <v>41091</v>
      </c>
    </row>
    <row r="12199" spans="11:14" x14ac:dyDescent="0.3">
      <c r="K12199" s="1">
        <v>41456</v>
      </c>
      <c r="M12199" t="e">
        <v>#N/A</v>
      </c>
      <c r="N12199" s="1">
        <v>41091</v>
      </c>
    </row>
    <row r="12200" spans="11:14" x14ac:dyDescent="0.3">
      <c r="K12200" s="1">
        <v>41456</v>
      </c>
      <c r="M12200" t="e">
        <v>#N/A</v>
      </c>
      <c r="N12200" s="1">
        <v>41091</v>
      </c>
    </row>
    <row r="12201" spans="11:14" x14ac:dyDescent="0.3">
      <c r="K12201" s="1">
        <v>41456</v>
      </c>
      <c r="M12201" t="e">
        <v>#N/A</v>
      </c>
      <c r="N12201" s="1">
        <v>41091</v>
      </c>
    </row>
    <row r="12202" spans="11:14" x14ac:dyDescent="0.3">
      <c r="K12202" s="1">
        <v>41456</v>
      </c>
      <c r="M12202" t="e">
        <v>#N/A</v>
      </c>
      <c r="N12202" s="1">
        <v>41091</v>
      </c>
    </row>
    <row r="12203" spans="11:14" x14ac:dyDescent="0.3">
      <c r="K12203" s="1">
        <v>41456</v>
      </c>
      <c r="M12203" t="e">
        <v>#N/A</v>
      </c>
      <c r="N12203" s="1">
        <v>41091</v>
      </c>
    </row>
    <row r="12204" spans="11:14" x14ac:dyDescent="0.3">
      <c r="K12204" s="1">
        <v>41456</v>
      </c>
      <c r="M12204" t="e">
        <v>#N/A</v>
      </c>
      <c r="N12204" s="1">
        <v>41091</v>
      </c>
    </row>
    <row r="12205" spans="11:14" x14ac:dyDescent="0.3">
      <c r="K12205" s="1">
        <v>41456</v>
      </c>
      <c r="M12205" t="e">
        <v>#N/A</v>
      </c>
      <c r="N12205" s="1">
        <v>41091</v>
      </c>
    </row>
    <row r="12206" spans="11:14" x14ac:dyDescent="0.3">
      <c r="K12206" s="1">
        <v>41456</v>
      </c>
      <c r="M12206" t="e">
        <v>#N/A</v>
      </c>
      <c r="N12206" s="1">
        <v>41091</v>
      </c>
    </row>
    <row r="12207" spans="11:14" x14ac:dyDescent="0.3">
      <c r="K12207" s="1">
        <v>41456</v>
      </c>
      <c r="M12207" t="e">
        <v>#N/A</v>
      </c>
      <c r="N12207" s="1">
        <v>41091</v>
      </c>
    </row>
    <row r="12208" spans="11:14" x14ac:dyDescent="0.3">
      <c r="K12208" s="1">
        <v>41456</v>
      </c>
      <c r="M12208" t="e">
        <v>#N/A</v>
      </c>
      <c r="N12208" s="1">
        <v>41091</v>
      </c>
    </row>
    <row r="12209" spans="11:14" x14ac:dyDescent="0.3">
      <c r="K12209" s="1">
        <v>41456</v>
      </c>
      <c r="M12209" t="e">
        <v>#N/A</v>
      </c>
      <c r="N12209" s="1">
        <v>41091</v>
      </c>
    </row>
    <row r="12210" spans="11:14" x14ac:dyDescent="0.3">
      <c r="K12210" s="1">
        <v>41456</v>
      </c>
      <c r="M12210" t="e">
        <v>#N/A</v>
      </c>
      <c r="N12210" s="1">
        <v>41091</v>
      </c>
    </row>
    <row r="12211" spans="11:14" x14ac:dyDescent="0.3">
      <c r="K12211" s="1">
        <v>41456</v>
      </c>
      <c r="M12211" t="e">
        <v>#N/A</v>
      </c>
      <c r="N12211" s="1">
        <v>41091</v>
      </c>
    </row>
    <row r="12212" spans="11:14" x14ac:dyDescent="0.3">
      <c r="K12212" s="1">
        <v>41456</v>
      </c>
      <c r="M12212" t="e">
        <v>#N/A</v>
      </c>
      <c r="N12212" s="1">
        <v>41091</v>
      </c>
    </row>
    <row r="12213" spans="11:14" x14ac:dyDescent="0.3">
      <c r="K12213" s="1">
        <v>41456</v>
      </c>
      <c r="M12213" t="e">
        <v>#N/A</v>
      </c>
      <c r="N12213" s="1">
        <v>41091</v>
      </c>
    </row>
    <row r="12214" spans="11:14" x14ac:dyDescent="0.3">
      <c r="K12214" s="1">
        <v>41456</v>
      </c>
      <c r="M12214" t="e">
        <v>#N/A</v>
      </c>
      <c r="N12214" s="1">
        <v>41091</v>
      </c>
    </row>
    <row r="12215" spans="11:14" x14ac:dyDescent="0.3">
      <c r="K12215" s="1">
        <v>41456</v>
      </c>
      <c r="M12215" t="e">
        <v>#N/A</v>
      </c>
      <c r="N12215" s="1">
        <v>41091</v>
      </c>
    </row>
    <row r="12216" spans="11:14" x14ac:dyDescent="0.3">
      <c r="K12216" s="1">
        <v>41456</v>
      </c>
      <c r="M12216" t="e">
        <v>#N/A</v>
      </c>
      <c r="N12216" s="1">
        <v>41091</v>
      </c>
    </row>
    <row r="12217" spans="11:14" x14ac:dyDescent="0.3">
      <c r="K12217" s="1">
        <v>41456</v>
      </c>
      <c r="M12217" t="e">
        <v>#N/A</v>
      </c>
      <c r="N12217" s="1">
        <v>41091</v>
      </c>
    </row>
    <row r="12218" spans="11:14" x14ac:dyDescent="0.3">
      <c r="K12218" s="1">
        <v>41456</v>
      </c>
      <c r="M12218" t="e">
        <v>#N/A</v>
      </c>
      <c r="N12218" s="1">
        <v>41091</v>
      </c>
    </row>
    <row r="12219" spans="11:14" x14ac:dyDescent="0.3">
      <c r="K12219" s="1">
        <v>41456</v>
      </c>
      <c r="M12219" t="e">
        <v>#N/A</v>
      </c>
      <c r="N12219" s="1">
        <v>41091</v>
      </c>
    </row>
    <row r="12220" spans="11:14" x14ac:dyDescent="0.3">
      <c r="K12220" s="1">
        <v>41456</v>
      </c>
      <c r="M12220" t="e">
        <v>#N/A</v>
      </c>
      <c r="N12220" s="1">
        <v>41091</v>
      </c>
    </row>
    <row r="12221" spans="11:14" x14ac:dyDescent="0.3">
      <c r="K12221" s="1">
        <v>41456</v>
      </c>
      <c r="M12221" t="e">
        <v>#N/A</v>
      </c>
      <c r="N12221" s="1">
        <v>41091</v>
      </c>
    </row>
    <row r="12222" spans="11:14" x14ac:dyDescent="0.3">
      <c r="K12222" s="1">
        <v>41456</v>
      </c>
      <c r="M12222" t="e">
        <v>#N/A</v>
      </c>
      <c r="N12222" s="1">
        <v>41091</v>
      </c>
    </row>
    <row r="12223" spans="11:14" x14ac:dyDescent="0.3">
      <c r="K12223" s="1">
        <v>41456</v>
      </c>
      <c r="M12223" t="e">
        <v>#N/A</v>
      </c>
      <c r="N12223" s="1">
        <v>41091</v>
      </c>
    </row>
    <row r="12224" spans="11:14" x14ac:dyDescent="0.3">
      <c r="K12224" s="1">
        <v>41456</v>
      </c>
      <c r="M12224" t="e">
        <v>#N/A</v>
      </c>
      <c r="N12224" s="1">
        <v>41091</v>
      </c>
    </row>
    <row r="12225" spans="11:14" x14ac:dyDescent="0.3">
      <c r="K12225" s="1">
        <v>41456</v>
      </c>
      <c r="M12225" t="e">
        <v>#N/A</v>
      </c>
      <c r="N12225" s="1">
        <v>41091</v>
      </c>
    </row>
    <row r="12226" spans="11:14" x14ac:dyDescent="0.3">
      <c r="K12226" s="1">
        <v>41456</v>
      </c>
      <c r="M12226" t="e">
        <v>#N/A</v>
      </c>
      <c r="N12226" s="1">
        <v>41091</v>
      </c>
    </row>
    <row r="12227" spans="11:14" x14ac:dyDescent="0.3">
      <c r="K12227" s="1">
        <v>41456</v>
      </c>
      <c r="M12227" t="e">
        <v>#N/A</v>
      </c>
      <c r="N12227" s="1">
        <v>41091</v>
      </c>
    </row>
    <row r="12228" spans="11:14" x14ac:dyDescent="0.3">
      <c r="K12228" s="1">
        <v>41456</v>
      </c>
      <c r="M12228" t="e">
        <v>#N/A</v>
      </c>
      <c r="N12228" s="1">
        <v>41091</v>
      </c>
    </row>
    <row r="12229" spans="11:14" x14ac:dyDescent="0.3">
      <c r="K12229" s="1">
        <v>41456</v>
      </c>
      <c r="M12229" t="e">
        <v>#N/A</v>
      </c>
      <c r="N12229" s="1">
        <v>41091</v>
      </c>
    </row>
    <row r="12230" spans="11:14" x14ac:dyDescent="0.3">
      <c r="K12230" s="1">
        <v>41456</v>
      </c>
      <c r="M12230" t="e">
        <v>#N/A</v>
      </c>
      <c r="N12230" s="1">
        <v>41091</v>
      </c>
    </row>
    <row r="12231" spans="11:14" x14ac:dyDescent="0.3">
      <c r="K12231" s="1">
        <v>41456</v>
      </c>
      <c r="M12231" t="e">
        <v>#N/A</v>
      </c>
      <c r="N12231" s="1">
        <v>41091</v>
      </c>
    </row>
    <row r="12232" spans="11:14" x14ac:dyDescent="0.3">
      <c r="K12232" s="1">
        <v>41456</v>
      </c>
      <c r="M12232" t="e">
        <v>#N/A</v>
      </c>
      <c r="N12232" s="1">
        <v>41091</v>
      </c>
    </row>
    <row r="12233" spans="11:14" x14ac:dyDescent="0.3">
      <c r="K12233" s="1">
        <v>41456</v>
      </c>
      <c r="M12233" t="e">
        <v>#N/A</v>
      </c>
      <c r="N12233" s="1">
        <v>41091</v>
      </c>
    </row>
    <row r="12234" spans="11:14" x14ac:dyDescent="0.3">
      <c r="K12234" s="1">
        <v>41456</v>
      </c>
      <c r="M12234" t="e">
        <v>#N/A</v>
      </c>
      <c r="N12234" s="1">
        <v>41091</v>
      </c>
    </row>
    <row r="12235" spans="11:14" x14ac:dyDescent="0.3">
      <c r="K12235" s="1">
        <v>41456</v>
      </c>
      <c r="M12235" t="e">
        <v>#N/A</v>
      </c>
      <c r="N12235" s="1">
        <v>41091</v>
      </c>
    </row>
    <row r="12236" spans="11:14" x14ac:dyDescent="0.3">
      <c r="K12236" s="1">
        <v>41456</v>
      </c>
      <c r="M12236" t="e">
        <v>#N/A</v>
      </c>
      <c r="N12236" s="1">
        <v>41091</v>
      </c>
    </row>
    <row r="12237" spans="11:14" x14ac:dyDescent="0.3">
      <c r="K12237" s="1">
        <v>41456</v>
      </c>
      <c r="M12237" t="e">
        <v>#N/A</v>
      </c>
      <c r="N12237" s="1">
        <v>41091</v>
      </c>
    </row>
    <row r="12238" spans="11:14" x14ac:dyDescent="0.3">
      <c r="K12238" s="1">
        <v>41456</v>
      </c>
      <c r="M12238" t="e">
        <v>#N/A</v>
      </c>
      <c r="N12238" s="1">
        <v>41091</v>
      </c>
    </row>
    <row r="12239" spans="11:14" x14ac:dyDescent="0.3">
      <c r="K12239" s="1">
        <v>41456</v>
      </c>
      <c r="M12239" t="e">
        <v>#N/A</v>
      </c>
      <c r="N12239" s="1">
        <v>41091</v>
      </c>
    </row>
    <row r="12240" spans="11:14" x14ac:dyDescent="0.3">
      <c r="K12240" s="1">
        <v>41456</v>
      </c>
      <c r="M12240" t="e">
        <v>#N/A</v>
      </c>
      <c r="N12240" s="1">
        <v>41091</v>
      </c>
    </row>
    <row r="12241" spans="11:14" x14ac:dyDescent="0.3">
      <c r="K12241" s="1">
        <v>41456</v>
      </c>
      <c r="M12241" t="e">
        <v>#N/A</v>
      </c>
      <c r="N12241" s="1">
        <v>41091</v>
      </c>
    </row>
    <row r="12242" spans="11:14" x14ac:dyDescent="0.3">
      <c r="K12242" s="1">
        <v>41456</v>
      </c>
      <c r="M12242" t="e">
        <v>#N/A</v>
      </c>
      <c r="N12242" s="1">
        <v>41091</v>
      </c>
    </row>
    <row r="12243" spans="11:14" x14ac:dyDescent="0.3">
      <c r="K12243" s="1">
        <v>41456</v>
      </c>
      <c r="M12243" t="e">
        <v>#N/A</v>
      </c>
      <c r="N12243" s="1">
        <v>41091</v>
      </c>
    </row>
    <row r="12244" spans="11:14" x14ac:dyDescent="0.3">
      <c r="K12244" s="1">
        <v>41548</v>
      </c>
      <c r="M12244" t="e">
        <v>#N/A</v>
      </c>
      <c r="N12244" s="1">
        <v>41091</v>
      </c>
    </row>
    <row r="12245" spans="11:14" x14ac:dyDescent="0.3">
      <c r="K12245" s="1">
        <v>41548</v>
      </c>
      <c r="M12245" t="e">
        <v>#N/A</v>
      </c>
      <c r="N12245" s="1">
        <v>41091</v>
      </c>
    </row>
    <row r="12246" spans="11:14" x14ac:dyDescent="0.3">
      <c r="K12246" s="1">
        <v>41548</v>
      </c>
      <c r="M12246" t="e">
        <v>#N/A</v>
      </c>
      <c r="N12246" s="1">
        <v>41091</v>
      </c>
    </row>
    <row r="12247" spans="11:14" x14ac:dyDescent="0.3">
      <c r="K12247" s="1">
        <v>41548</v>
      </c>
      <c r="M12247" t="e">
        <v>#N/A</v>
      </c>
      <c r="N12247" s="1">
        <v>41091</v>
      </c>
    </row>
    <row r="12248" spans="11:14" x14ac:dyDescent="0.3">
      <c r="K12248" s="1">
        <v>41548</v>
      </c>
      <c r="M12248" t="e">
        <v>#N/A</v>
      </c>
      <c r="N12248" s="1">
        <v>41091</v>
      </c>
    </row>
    <row r="12249" spans="11:14" x14ac:dyDescent="0.3">
      <c r="K12249" s="1">
        <v>41548</v>
      </c>
      <c r="M12249" t="e">
        <v>#N/A</v>
      </c>
      <c r="N12249" s="1">
        <v>41091</v>
      </c>
    </row>
    <row r="12250" spans="11:14" x14ac:dyDescent="0.3">
      <c r="K12250" s="1">
        <v>41548</v>
      </c>
      <c r="M12250" t="e">
        <v>#N/A</v>
      </c>
      <c r="N12250" s="1">
        <v>41091</v>
      </c>
    </row>
    <row r="12251" spans="11:14" x14ac:dyDescent="0.3">
      <c r="K12251" s="1">
        <v>41548</v>
      </c>
      <c r="M12251" t="e">
        <v>#N/A</v>
      </c>
      <c r="N12251" s="1">
        <v>41091</v>
      </c>
    </row>
    <row r="12252" spans="11:14" x14ac:dyDescent="0.3">
      <c r="K12252" s="1">
        <v>41548</v>
      </c>
      <c r="M12252" t="e">
        <v>#N/A</v>
      </c>
      <c r="N12252" s="1">
        <v>41091</v>
      </c>
    </row>
    <row r="12253" spans="11:14" x14ac:dyDescent="0.3">
      <c r="K12253" s="1">
        <v>41548</v>
      </c>
      <c r="M12253" t="e">
        <v>#N/A</v>
      </c>
      <c r="N12253" s="1">
        <v>41091</v>
      </c>
    </row>
    <row r="12254" spans="11:14" x14ac:dyDescent="0.3">
      <c r="K12254" s="1">
        <v>41548</v>
      </c>
      <c r="M12254" t="e">
        <v>#N/A</v>
      </c>
      <c r="N12254" s="1">
        <v>41091</v>
      </c>
    </row>
    <row r="12255" spans="11:14" x14ac:dyDescent="0.3">
      <c r="K12255" s="1">
        <v>41548</v>
      </c>
      <c r="M12255" t="e">
        <v>#N/A</v>
      </c>
      <c r="N12255" s="1">
        <v>41091</v>
      </c>
    </row>
    <row r="12256" spans="11:14" x14ac:dyDescent="0.3">
      <c r="K12256" s="1">
        <v>41548</v>
      </c>
      <c r="M12256" t="e">
        <v>#N/A</v>
      </c>
      <c r="N12256" s="1">
        <v>41091</v>
      </c>
    </row>
    <row r="12257" spans="11:14" x14ac:dyDescent="0.3">
      <c r="K12257" s="1">
        <v>41548</v>
      </c>
      <c r="M12257" t="e">
        <v>#N/A</v>
      </c>
      <c r="N12257" s="1">
        <v>41091</v>
      </c>
    </row>
    <row r="12258" spans="11:14" x14ac:dyDescent="0.3">
      <c r="K12258" s="1">
        <v>41548</v>
      </c>
      <c r="M12258" t="e">
        <v>#N/A</v>
      </c>
      <c r="N12258" s="1">
        <v>41091</v>
      </c>
    </row>
    <row r="12259" spans="11:14" x14ac:dyDescent="0.3">
      <c r="K12259" s="1">
        <v>41548</v>
      </c>
      <c r="M12259" t="e">
        <v>#N/A</v>
      </c>
      <c r="N12259" s="1">
        <v>41091</v>
      </c>
    </row>
    <row r="12260" spans="11:14" x14ac:dyDescent="0.3">
      <c r="K12260" s="1">
        <v>41548</v>
      </c>
      <c r="M12260" t="e">
        <v>#N/A</v>
      </c>
      <c r="N12260" s="1">
        <v>41091</v>
      </c>
    </row>
    <row r="12261" spans="11:14" x14ac:dyDescent="0.3">
      <c r="K12261" s="1">
        <v>41548</v>
      </c>
      <c r="M12261" t="e">
        <v>#N/A</v>
      </c>
      <c r="N12261" s="1">
        <v>41091</v>
      </c>
    </row>
    <row r="12262" spans="11:14" x14ac:dyDescent="0.3">
      <c r="K12262" s="1">
        <v>41548</v>
      </c>
      <c r="M12262" t="e">
        <v>#N/A</v>
      </c>
      <c r="N12262" s="1">
        <v>41091</v>
      </c>
    </row>
    <row r="12263" spans="11:14" x14ac:dyDescent="0.3">
      <c r="K12263" s="1">
        <v>41548</v>
      </c>
      <c r="M12263" t="e">
        <v>#N/A</v>
      </c>
      <c r="N12263" s="1">
        <v>41091</v>
      </c>
    </row>
    <row r="12264" spans="11:14" x14ac:dyDescent="0.3">
      <c r="K12264" s="1">
        <v>41548</v>
      </c>
      <c r="M12264" t="e">
        <v>#N/A</v>
      </c>
      <c r="N12264" s="1">
        <v>41091</v>
      </c>
    </row>
    <row r="12265" spans="11:14" x14ac:dyDescent="0.3">
      <c r="K12265" s="1">
        <v>41548</v>
      </c>
      <c r="M12265" t="e">
        <v>#N/A</v>
      </c>
      <c r="N12265" s="1">
        <v>41091</v>
      </c>
    </row>
    <row r="12266" spans="11:14" x14ac:dyDescent="0.3">
      <c r="K12266" s="1">
        <v>41548</v>
      </c>
      <c r="M12266" t="e">
        <v>#N/A</v>
      </c>
      <c r="N12266" s="1">
        <v>41091</v>
      </c>
    </row>
    <row r="12267" spans="11:14" x14ac:dyDescent="0.3">
      <c r="K12267" s="1">
        <v>41548</v>
      </c>
      <c r="M12267" t="e">
        <v>#N/A</v>
      </c>
      <c r="N12267" s="1">
        <v>41091</v>
      </c>
    </row>
    <row r="12268" spans="11:14" x14ac:dyDescent="0.3">
      <c r="K12268" s="1">
        <v>41548</v>
      </c>
      <c r="M12268" t="e">
        <v>#N/A</v>
      </c>
      <c r="N12268" s="1">
        <v>41091</v>
      </c>
    </row>
    <row r="12269" spans="11:14" x14ac:dyDescent="0.3">
      <c r="K12269" s="1">
        <v>41548</v>
      </c>
      <c r="M12269" t="e">
        <v>#N/A</v>
      </c>
      <c r="N12269" s="1">
        <v>41091</v>
      </c>
    </row>
    <row r="12270" spans="11:14" x14ac:dyDescent="0.3">
      <c r="K12270" s="1">
        <v>41548</v>
      </c>
      <c r="M12270" t="e">
        <v>#N/A</v>
      </c>
      <c r="N12270" s="1">
        <v>41091</v>
      </c>
    </row>
    <row r="12271" spans="11:14" x14ac:dyDescent="0.3">
      <c r="K12271" s="1">
        <v>41548</v>
      </c>
      <c r="M12271" t="e">
        <v>#N/A</v>
      </c>
      <c r="N12271" s="1">
        <v>41091</v>
      </c>
    </row>
    <row r="12272" spans="11:14" x14ac:dyDescent="0.3">
      <c r="K12272" s="1">
        <v>41548</v>
      </c>
      <c r="M12272" t="e">
        <v>#N/A</v>
      </c>
      <c r="N12272" s="1">
        <v>41091</v>
      </c>
    </row>
    <row r="12273" spans="11:14" x14ac:dyDescent="0.3">
      <c r="K12273" s="1">
        <v>41548</v>
      </c>
      <c r="M12273" t="e">
        <v>#N/A</v>
      </c>
      <c r="N12273" s="1">
        <v>41091</v>
      </c>
    </row>
    <row r="12274" spans="11:14" x14ac:dyDescent="0.3">
      <c r="K12274" s="1">
        <v>41548</v>
      </c>
      <c r="M12274" t="e">
        <v>#N/A</v>
      </c>
      <c r="N12274" s="1">
        <v>41091</v>
      </c>
    </row>
    <row r="12275" spans="11:14" x14ac:dyDescent="0.3">
      <c r="K12275" s="1">
        <v>41548</v>
      </c>
      <c r="M12275" t="e">
        <v>#N/A</v>
      </c>
      <c r="N12275" s="1">
        <v>41091</v>
      </c>
    </row>
    <row r="12276" spans="11:14" x14ac:dyDescent="0.3">
      <c r="K12276" s="1">
        <v>41548</v>
      </c>
      <c r="M12276" t="e">
        <v>#N/A</v>
      </c>
      <c r="N12276" s="1">
        <v>41091</v>
      </c>
    </row>
    <row r="12277" spans="11:14" x14ac:dyDescent="0.3">
      <c r="K12277" s="1">
        <v>41548</v>
      </c>
      <c r="M12277" t="e">
        <v>#N/A</v>
      </c>
      <c r="N12277" s="1">
        <v>41091</v>
      </c>
    </row>
    <row r="12278" spans="11:14" x14ac:dyDescent="0.3">
      <c r="K12278" s="1">
        <v>41548</v>
      </c>
      <c r="M12278" t="e">
        <v>#N/A</v>
      </c>
      <c r="N12278" s="1">
        <v>41091</v>
      </c>
    </row>
    <row r="12279" spans="11:14" x14ac:dyDescent="0.3">
      <c r="K12279" s="1">
        <v>41548</v>
      </c>
      <c r="M12279" t="e">
        <v>#N/A</v>
      </c>
      <c r="N12279" s="1">
        <v>41091</v>
      </c>
    </row>
    <row r="12280" spans="11:14" x14ac:dyDescent="0.3">
      <c r="K12280" s="1">
        <v>41548</v>
      </c>
      <c r="M12280" t="e">
        <v>#N/A</v>
      </c>
      <c r="N12280" s="1">
        <v>41091</v>
      </c>
    </row>
    <row r="12281" spans="11:14" x14ac:dyDescent="0.3">
      <c r="K12281" s="1">
        <v>41548</v>
      </c>
      <c r="M12281" t="e">
        <v>#N/A</v>
      </c>
      <c r="N12281" s="1">
        <v>41091</v>
      </c>
    </row>
    <row r="12282" spans="11:14" x14ac:dyDescent="0.3">
      <c r="K12282" s="1">
        <v>41548</v>
      </c>
      <c r="M12282" t="e">
        <v>#N/A</v>
      </c>
      <c r="N12282" s="1">
        <v>41091</v>
      </c>
    </row>
    <row r="12283" spans="11:14" x14ac:dyDescent="0.3">
      <c r="K12283" s="1">
        <v>41548</v>
      </c>
      <c r="M12283" t="e">
        <v>#N/A</v>
      </c>
      <c r="N12283" s="1">
        <v>41091</v>
      </c>
    </row>
    <row r="12284" spans="11:14" x14ac:dyDescent="0.3">
      <c r="K12284" s="1">
        <v>41548</v>
      </c>
      <c r="M12284" t="e">
        <v>#N/A</v>
      </c>
      <c r="N12284" s="1">
        <v>41091</v>
      </c>
    </row>
    <row r="12285" spans="11:14" x14ac:dyDescent="0.3">
      <c r="K12285" s="1">
        <v>41548</v>
      </c>
      <c r="M12285" t="e">
        <v>#N/A</v>
      </c>
      <c r="N12285" s="1">
        <v>41091</v>
      </c>
    </row>
    <row r="12286" spans="11:14" x14ac:dyDescent="0.3">
      <c r="K12286" s="1">
        <v>41548</v>
      </c>
      <c r="M12286" t="e">
        <v>#N/A</v>
      </c>
      <c r="N12286" s="1">
        <v>41091</v>
      </c>
    </row>
    <row r="12287" spans="11:14" x14ac:dyDescent="0.3">
      <c r="K12287" s="1">
        <v>41548</v>
      </c>
      <c r="M12287" t="e">
        <v>#N/A</v>
      </c>
      <c r="N12287" s="1">
        <v>41091</v>
      </c>
    </row>
    <row r="12288" spans="11:14" x14ac:dyDescent="0.3">
      <c r="K12288" s="1">
        <v>41548</v>
      </c>
      <c r="M12288" t="e">
        <v>#N/A</v>
      </c>
      <c r="N12288" s="1">
        <v>41091</v>
      </c>
    </row>
    <row r="12289" spans="11:14" x14ac:dyDescent="0.3">
      <c r="K12289" s="1">
        <v>41548</v>
      </c>
      <c r="M12289" t="e">
        <v>#N/A</v>
      </c>
      <c r="N12289" s="1">
        <v>41091</v>
      </c>
    </row>
    <row r="12290" spans="11:14" x14ac:dyDescent="0.3">
      <c r="K12290" s="1">
        <v>41548</v>
      </c>
      <c r="M12290" t="e">
        <v>#N/A</v>
      </c>
      <c r="N12290" s="1">
        <v>41091</v>
      </c>
    </row>
    <row r="12291" spans="11:14" x14ac:dyDescent="0.3">
      <c r="K12291" s="1">
        <v>41548</v>
      </c>
      <c r="M12291" t="e">
        <v>#N/A</v>
      </c>
      <c r="N12291" s="1">
        <v>41091</v>
      </c>
    </row>
    <row r="12292" spans="11:14" x14ac:dyDescent="0.3">
      <c r="K12292" s="1">
        <v>41548</v>
      </c>
      <c r="M12292" t="e">
        <v>#N/A</v>
      </c>
      <c r="N12292" s="1">
        <v>41091</v>
      </c>
    </row>
    <row r="12293" spans="11:14" x14ac:dyDescent="0.3">
      <c r="K12293" s="1">
        <v>41548</v>
      </c>
      <c r="M12293" t="e">
        <v>#N/A</v>
      </c>
      <c r="N12293" s="1">
        <v>41091</v>
      </c>
    </row>
    <row r="12294" spans="11:14" x14ac:dyDescent="0.3">
      <c r="K12294" s="1">
        <v>41548</v>
      </c>
      <c r="M12294" t="e">
        <v>#N/A</v>
      </c>
      <c r="N12294" s="1">
        <v>41091</v>
      </c>
    </row>
    <row r="12295" spans="11:14" x14ac:dyDescent="0.3">
      <c r="K12295" s="1">
        <v>41548</v>
      </c>
      <c r="M12295" t="e">
        <v>#N/A</v>
      </c>
      <c r="N12295" s="1">
        <v>41091</v>
      </c>
    </row>
    <row r="12296" spans="11:14" x14ac:dyDescent="0.3">
      <c r="K12296" s="1">
        <v>41548</v>
      </c>
      <c r="M12296" t="e">
        <v>#N/A</v>
      </c>
      <c r="N12296" s="1">
        <v>41091</v>
      </c>
    </row>
    <row r="12297" spans="11:14" x14ac:dyDescent="0.3">
      <c r="K12297" s="1">
        <v>41548</v>
      </c>
      <c r="M12297" t="e">
        <v>#N/A</v>
      </c>
      <c r="N12297" s="1">
        <v>41091</v>
      </c>
    </row>
    <row r="12298" spans="11:14" x14ac:dyDescent="0.3">
      <c r="K12298" s="1">
        <v>41548</v>
      </c>
      <c r="M12298" t="e">
        <v>#N/A</v>
      </c>
      <c r="N12298" s="1">
        <v>41091</v>
      </c>
    </row>
    <row r="12299" spans="11:14" x14ac:dyDescent="0.3">
      <c r="K12299" s="1">
        <v>41548</v>
      </c>
      <c r="M12299" t="e">
        <v>#N/A</v>
      </c>
      <c r="N12299" s="1">
        <v>41091</v>
      </c>
    </row>
    <row r="12300" spans="11:14" x14ac:dyDescent="0.3">
      <c r="K12300" s="1">
        <v>41548</v>
      </c>
      <c r="M12300" t="e">
        <v>#N/A</v>
      </c>
      <c r="N12300" s="1">
        <v>41091</v>
      </c>
    </row>
    <row r="12301" spans="11:14" x14ac:dyDescent="0.3">
      <c r="K12301" s="1">
        <v>41548</v>
      </c>
      <c r="M12301" t="e">
        <v>#N/A</v>
      </c>
      <c r="N12301" s="1">
        <v>41091</v>
      </c>
    </row>
    <row r="12302" spans="11:14" x14ac:dyDescent="0.3">
      <c r="K12302" s="1">
        <v>41548</v>
      </c>
      <c r="M12302" t="e">
        <v>#N/A</v>
      </c>
      <c r="N12302" s="1">
        <v>41091</v>
      </c>
    </row>
    <row r="12303" spans="11:14" x14ac:dyDescent="0.3">
      <c r="K12303" s="1">
        <v>41548</v>
      </c>
      <c r="M12303" t="e">
        <v>#N/A</v>
      </c>
      <c r="N12303" s="1">
        <v>41091</v>
      </c>
    </row>
    <row r="12304" spans="11:14" x14ac:dyDescent="0.3">
      <c r="K12304" s="1">
        <v>41548</v>
      </c>
      <c r="M12304" t="e">
        <v>#N/A</v>
      </c>
      <c r="N12304" s="1">
        <v>41091</v>
      </c>
    </row>
    <row r="12305" spans="11:14" x14ac:dyDescent="0.3">
      <c r="K12305" s="1">
        <v>41548</v>
      </c>
      <c r="M12305" t="e">
        <v>#N/A</v>
      </c>
      <c r="N12305" s="1">
        <v>41091</v>
      </c>
    </row>
    <row r="12306" spans="11:14" x14ac:dyDescent="0.3">
      <c r="K12306" s="1">
        <v>41548</v>
      </c>
      <c r="M12306" t="e">
        <v>#N/A</v>
      </c>
      <c r="N12306" s="1">
        <v>41091</v>
      </c>
    </row>
    <row r="12307" spans="11:14" x14ac:dyDescent="0.3">
      <c r="K12307" s="1">
        <v>41548</v>
      </c>
      <c r="M12307" t="e">
        <v>#N/A</v>
      </c>
      <c r="N12307" s="1">
        <v>41091</v>
      </c>
    </row>
    <row r="12308" spans="11:14" x14ac:dyDescent="0.3">
      <c r="K12308" s="1">
        <v>41548</v>
      </c>
      <c r="M12308" t="e">
        <v>#N/A</v>
      </c>
      <c r="N12308" s="1">
        <v>41091</v>
      </c>
    </row>
    <row r="12309" spans="11:14" x14ac:dyDescent="0.3">
      <c r="K12309" s="1">
        <v>41548</v>
      </c>
      <c r="M12309" t="e">
        <v>#N/A</v>
      </c>
      <c r="N12309" s="1">
        <v>41091</v>
      </c>
    </row>
    <row r="12310" spans="11:14" x14ac:dyDescent="0.3">
      <c r="K12310" s="1">
        <v>41548</v>
      </c>
      <c r="M12310" t="e">
        <v>#N/A</v>
      </c>
      <c r="N12310" s="1">
        <v>41091</v>
      </c>
    </row>
    <row r="12311" spans="11:14" x14ac:dyDescent="0.3">
      <c r="K12311" s="1">
        <v>41548</v>
      </c>
      <c r="M12311" t="e">
        <v>#N/A</v>
      </c>
      <c r="N12311" s="1">
        <v>41091</v>
      </c>
    </row>
    <row r="12312" spans="11:14" x14ac:dyDescent="0.3">
      <c r="K12312" s="1">
        <v>41548</v>
      </c>
      <c r="M12312" t="e">
        <v>#N/A</v>
      </c>
      <c r="N12312" s="1">
        <v>41091</v>
      </c>
    </row>
    <row r="12313" spans="11:14" x14ac:dyDescent="0.3">
      <c r="K12313" s="1">
        <v>41548</v>
      </c>
      <c r="M12313" t="e">
        <v>#N/A</v>
      </c>
      <c r="N12313" s="1">
        <v>41091</v>
      </c>
    </row>
    <row r="12314" spans="11:14" x14ac:dyDescent="0.3">
      <c r="K12314" s="1">
        <v>41548</v>
      </c>
      <c r="M12314" t="e">
        <v>#N/A</v>
      </c>
      <c r="N12314" s="1">
        <v>41091</v>
      </c>
    </row>
    <row r="12315" spans="11:14" x14ac:dyDescent="0.3">
      <c r="K12315" s="1">
        <v>41548</v>
      </c>
      <c r="M12315" t="e">
        <v>#N/A</v>
      </c>
      <c r="N12315" s="1">
        <v>41091</v>
      </c>
    </row>
    <row r="12316" spans="11:14" x14ac:dyDescent="0.3">
      <c r="K12316" s="1">
        <v>41548</v>
      </c>
      <c r="M12316" t="e">
        <v>#N/A</v>
      </c>
      <c r="N12316" s="1">
        <v>41091</v>
      </c>
    </row>
    <row r="12317" spans="11:14" x14ac:dyDescent="0.3">
      <c r="K12317" s="1">
        <v>41548</v>
      </c>
      <c r="M12317" t="e">
        <v>#N/A</v>
      </c>
      <c r="N12317" s="1">
        <v>41091</v>
      </c>
    </row>
    <row r="12318" spans="11:14" x14ac:dyDescent="0.3">
      <c r="K12318" s="1">
        <v>41548</v>
      </c>
      <c r="M12318" t="e">
        <v>#N/A</v>
      </c>
      <c r="N12318" s="1">
        <v>41183</v>
      </c>
    </row>
    <row r="12319" spans="11:14" x14ac:dyDescent="0.3">
      <c r="K12319" s="1">
        <v>41548</v>
      </c>
      <c r="M12319" t="e">
        <v>#N/A</v>
      </c>
      <c r="N12319" s="1">
        <v>41183</v>
      </c>
    </row>
    <row r="12320" spans="11:14" x14ac:dyDescent="0.3">
      <c r="K12320" s="1">
        <v>41548</v>
      </c>
      <c r="M12320" t="e">
        <v>#N/A</v>
      </c>
      <c r="N12320" s="1">
        <v>41183</v>
      </c>
    </row>
    <row r="12321" spans="11:14" x14ac:dyDescent="0.3">
      <c r="K12321" s="1">
        <v>41548</v>
      </c>
      <c r="M12321" t="e">
        <v>#N/A</v>
      </c>
      <c r="N12321" s="1">
        <v>41183</v>
      </c>
    </row>
    <row r="12322" spans="11:14" x14ac:dyDescent="0.3">
      <c r="K12322" s="1">
        <v>41548</v>
      </c>
      <c r="M12322" t="e">
        <v>#N/A</v>
      </c>
      <c r="N12322" s="1">
        <v>41183</v>
      </c>
    </row>
    <row r="12323" spans="11:14" x14ac:dyDescent="0.3">
      <c r="K12323" s="1">
        <v>41548</v>
      </c>
      <c r="M12323" t="e">
        <v>#N/A</v>
      </c>
      <c r="N12323" s="1">
        <v>41183</v>
      </c>
    </row>
    <row r="12324" spans="11:14" x14ac:dyDescent="0.3">
      <c r="K12324" s="1">
        <v>41548</v>
      </c>
      <c r="M12324" t="e">
        <v>#N/A</v>
      </c>
      <c r="N12324" s="1">
        <v>41183</v>
      </c>
    </row>
    <row r="12325" spans="11:14" x14ac:dyDescent="0.3">
      <c r="K12325" s="1">
        <v>41548</v>
      </c>
      <c r="M12325" t="e">
        <v>#N/A</v>
      </c>
      <c r="N12325" s="1">
        <v>41183</v>
      </c>
    </row>
    <row r="12326" spans="11:14" x14ac:dyDescent="0.3">
      <c r="K12326" s="1">
        <v>41548</v>
      </c>
      <c r="M12326" t="e">
        <v>#N/A</v>
      </c>
      <c r="N12326" s="1">
        <v>41183</v>
      </c>
    </row>
    <row r="12327" spans="11:14" x14ac:dyDescent="0.3">
      <c r="K12327" s="1">
        <v>41548</v>
      </c>
      <c r="M12327" t="e">
        <v>#N/A</v>
      </c>
      <c r="N12327" s="1">
        <v>41183</v>
      </c>
    </row>
    <row r="12328" spans="11:14" x14ac:dyDescent="0.3">
      <c r="K12328" s="1">
        <v>41548</v>
      </c>
      <c r="M12328" t="e">
        <v>#N/A</v>
      </c>
      <c r="N12328" s="1">
        <v>41183</v>
      </c>
    </row>
    <row r="12329" spans="11:14" x14ac:dyDescent="0.3">
      <c r="K12329" s="1">
        <v>41548</v>
      </c>
      <c r="M12329" t="e">
        <v>#N/A</v>
      </c>
      <c r="N12329" s="1">
        <v>41183</v>
      </c>
    </row>
    <row r="12330" spans="11:14" x14ac:dyDescent="0.3">
      <c r="K12330" s="1">
        <v>41548</v>
      </c>
      <c r="M12330" t="e">
        <v>#N/A</v>
      </c>
      <c r="N12330" s="1">
        <v>41183</v>
      </c>
    </row>
    <row r="12331" spans="11:14" x14ac:dyDescent="0.3">
      <c r="K12331" s="1">
        <v>41548</v>
      </c>
      <c r="M12331" t="e">
        <v>#N/A</v>
      </c>
      <c r="N12331" s="1">
        <v>41183</v>
      </c>
    </row>
    <row r="12332" spans="11:14" x14ac:dyDescent="0.3">
      <c r="K12332" s="1">
        <v>41548</v>
      </c>
      <c r="M12332" t="e">
        <v>#N/A</v>
      </c>
      <c r="N12332" s="1">
        <v>41183</v>
      </c>
    </row>
    <row r="12333" spans="11:14" x14ac:dyDescent="0.3">
      <c r="K12333" s="1">
        <v>41548</v>
      </c>
      <c r="M12333" t="e">
        <v>#N/A</v>
      </c>
      <c r="N12333" s="1">
        <v>41183</v>
      </c>
    </row>
    <row r="12334" spans="11:14" x14ac:dyDescent="0.3">
      <c r="K12334" s="1">
        <v>41548</v>
      </c>
      <c r="M12334" t="e">
        <v>#N/A</v>
      </c>
      <c r="N12334" s="1">
        <v>41183</v>
      </c>
    </row>
    <row r="12335" spans="11:14" x14ac:dyDescent="0.3">
      <c r="K12335" s="1">
        <v>41548</v>
      </c>
      <c r="M12335" t="e">
        <v>#N/A</v>
      </c>
      <c r="N12335" s="1">
        <v>41183</v>
      </c>
    </row>
    <row r="12336" spans="11:14" x14ac:dyDescent="0.3">
      <c r="K12336" s="1">
        <v>41548</v>
      </c>
      <c r="M12336" t="e">
        <v>#N/A</v>
      </c>
      <c r="N12336" s="1">
        <v>41183</v>
      </c>
    </row>
    <row r="12337" spans="11:14" x14ac:dyDescent="0.3">
      <c r="K12337" s="1">
        <v>41548</v>
      </c>
      <c r="M12337" t="e">
        <v>#N/A</v>
      </c>
      <c r="N12337" s="1">
        <v>41183</v>
      </c>
    </row>
    <row r="12338" spans="11:14" x14ac:dyDescent="0.3">
      <c r="K12338" s="1">
        <v>41548</v>
      </c>
      <c r="M12338" t="e">
        <v>#N/A</v>
      </c>
      <c r="N12338" s="1">
        <v>41183</v>
      </c>
    </row>
    <row r="12339" spans="11:14" x14ac:dyDescent="0.3">
      <c r="K12339" s="1">
        <v>41548</v>
      </c>
      <c r="M12339" t="e">
        <v>#N/A</v>
      </c>
      <c r="N12339" s="1">
        <v>41183</v>
      </c>
    </row>
    <row r="12340" spans="11:14" x14ac:dyDescent="0.3">
      <c r="K12340" s="1">
        <v>41548</v>
      </c>
      <c r="M12340" t="e">
        <v>#N/A</v>
      </c>
      <c r="N12340" s="1">
        <v>41183</v>
      </c>
    </row>
    <row r="12341" spans="11:14" x14ac:dyDescent="0.3">
      <c r="K12341" s="1">
        <v>41548</v>
      </c>
      <c r="M12341" t="e">
        <v>#N/A</v>
      </c>
      <c r="N12341" s="1">
        <v>41183</v>
      </c>
    </row>
    <row r="12342" spans="11:14" x14ac:dyDescent="0.3">
      <c r="K12342" s="1">
        <v>41548</v>
      </c>
      <c r="M12342" t="e">
        <v>#N/A</v>
      </c>
      <c r="N12342" s="1">
        <v>41183</v>
      </c>
    </row>
    <row r="12343" spans="11:14" x14ac:dyDescent="0.3">
      <c r="K12343" s="1">
        <v>41548</v>
      </c>
      <c r="M12343" t="e">
        <v>#N/A</v>
      </c>
      <c r="N12343" s="1">
        <v>41183</v>
      </c>
    </row>
    <row r="12344" spans="11:14" x14ac:dyDescent="0.3">
      <c r="K12344" s="1">
        <v>41548</v>
      </c>
      <c r="M12344" t="e">
        <v>#N/A</v>
      </c>
      <c r="N12344" s="1">
        <v>41183</v>
      </c>
    </row>
    <row r="12345" spans="11:14" x14ac:dyDescent="0.3">
      <c r="K12345" s="1">
        <v>41548</v>
      </c>
      <c r="M12345" t="e">
        <v>#N/A</v>
      </c>
      <c r="N12345" s="1">
        <v>41183</v>
      </c>
    </row>
    <row r="12346" spans="11:14" x14ac:dyDescent="0.3">
      <c r="K12346" s="1">
        <v>41548</v>
      </c>
      <c r="M12346" t="e">
        <v>#N/A</v>
      </c>
      <c r="N12346" s="1">
        <v>41183</v>
      </c>
    </row>
    <row r="12347" spans="11:14" x14ac:dyDescent="0.3">
      <c r="K12347" s="1">
        <v>41548</v>
      </c>
      <c r="M12347" t="e">
        <v>#N/A</v>
      </c>
      <c r="N12347" s="1">
        <v>41183</v>
      </c>
    </row>
    <row r="12348" spans="11:14" x14ac:dyDescent="0.3">
      <c r="K12348" s="1">
        <v>41548</v>
      </c>
      <c r="M12348" t="e">
        <v>#N/A</v>
      </c>
      <c r="N12348" s="1">
        <v>41183</v>
      </c>
    </row>
    <row r="12349" spans="11:14" x14ac:dyDescent="0.3">
      <c r="K12349" s="1">
        <v>41548</v>
      </c>
      <c r="M12349" t="e">
        <v>#N/A</v>
      </c>
      <c r="N12349" s="1">
        <v>41183</v>
      </c>
    </row>
    <row r="12350" spans="11:14" x14ac:dyDescent="0.3">
      <c r="K12350" s="1">
        <v>41548</v>
      </c>
      <c r="M12350" t="e">
        <v>#N/A</v>
      </c>
      <c r="N12350" s="1">
        <v>41183</v>
      </c>
    </row>
    <row r="12351" spans="11:14" x14ac:dyDescent="0.3">
      <c r="K12351" s="1">
        <v>41548</v>
      </c>
      <c r="M12351" t="e">
        <v>#N/A</v>
      </c>
      <c r="N12351" s="1">
        <v>41183</v>
      </c>
    </row>
    <row r="12352" spans="11:14" x14ac:dyDescent="0.3">
      <c r="K12352" s="1">
        <v>41548</v>
      </c>
      <c r="M12352" t="e">
        <v>#N/A</v>
      </c>
      <c r="N12352" s="1">
        <v>41183</v>
      </c>
    </row>
    <row r="12353" spans="11:14" x14ac:dyDescent="0.3">
      <c r="K12353" s="1">
        <v>41548</v>
      </c>
      <c r="M12353" t="e">
        <v>#N/A</v>
      </c>
      <c r="N12353" s="1">
        <v>41183</v>
      </c>
    </row>
    <row r="12354" spans="11:14" x14ac:dyDescent="0.3">
      <c r="K12354" s="1">
        <v>41548</v>
      </c>
      <c r="M12354" t="e">
        <v>#N/A</v>
      </c>
      <c r="N12354" s="1">
        <v>41183</v>
      </c>
    </row>
    <row r="12355" spans="11:14" x14ac:dyDescent="0.3">
      <c r="K12355" s="1">
        <v>41548</v>
      </c>
      <c r="M12355" t="e">
        <v>#N/A</v>
      </c>
      <c r="N12355" s="1">
        <v>41183</v>
      </c>
    </row>
    <row r="12356" spans="11:14" x14ac:dyDescent="0.3">
      <c r="K12356" s="1">
        <v>41548</v>
      </c>
      <c r="M12356" t="e">
        <v>#N/A</v>
      </c>
      <c r="N12356" s="1">
        <v>41183</v>
      </c>
    </row>
    <row r="12357" spans="11:14" x14ac:dyDescent="0.3">
      <c r="K12357" s="1">
        <v>41548</v>
      </c>
      <c r="M12357" t="e">
        <v>#N/A</v>
      </c>
      <c r="N12357" s="1">
        <v>41183</v>
      </c>
    </row>
    <row r="12358" spans="11:14" x14ac:dyDescent="0.3">
      <c r="K12358" s="1">
        <v>41548</v>
      </c>
      <c r="M12358" t="e">
        <v>#N/A</v>
      </c>
      <c r="N12358" s="1">
        <v>41183</v>
      </c>
    </row>
    <row r="12359" spans="11:14" x14ac:dyDescent="0.3">
      <c r="K12359" s="1">
        <v>41548</v>
      </c>
      <c r="M12359" t="e">
        <v>#N/A</v>
      </c>
      <c r="N12359" s="1">
        <v>41183</v>
      </c>
    </row>
    <row r="12360" spans="11:14" x14ac:dyDescent="0.3">
      <c r="K12360" s="1">
        <v>41548</v>
      </c>
      <c r="M12360" t="e">
        <v>#N/A</v>
      </c>
      <c r="N12360" s="1">
        <v>41183</v>
      </c>
    </row>
    <row r="12361" spans="11:14" x14ac:dyDescent="0.3">
      <c r="K12361" s="1">
        <v>41548</v>
      </c>
      <c r="M12361" t="e">
        <v>#N/A</v>
      </c>
      <c r="N12361" s="1">
        <v>41183</v>
      </c>
    </row>
    <row r="12362" spans="11:14" x14ac:dyDescent="0.3">
      <c r="K12362" s="1">
        <v>41548</v>
      </c>
      <c r="M12362" t="e">
        <v>#N/A</v>
      </c>
      <c r="N12362" s="1">
        <v>41183</v>
      </c>
    </row>
    <row r="12363" spans="11:14" x14ac:dyDescent="0.3">
      <c r="K12363" s="1">
        <v>41548</v>
      </c>
      <c r="M12363" t="e">
        <v>#N/A</v>
      </c>
      <c r="N12363" s="1">
        <v>41183</v>
      </c>
    </row>
    <row r="12364" spans="11:14" x14ac:dyDescent="0.3">
      <c r="K12364" s="1">
        <v>41548</v>
      </c>
      <c r="M12364" t="e">
        <v>#N/A</v>
      </c>
      <c r="N12364" s="1">
        <v>41183</v>
      </c>
    </row>
    <row r="12365" spans="11:14" x14ac:dyDescent="0.3">
      <c r="K12365" s="1">
        <v>41548</v>
      </c>
      <c r="M12365" t="e">
        <v>#N/A</v>
      </c>
      <c r="N12365" s="1">
        <v>41183</v>
      </c>
    </row>
    <row r="12366" spans="11:14" x14ac:dyDescent="0.3">
      <c r="K12366" s="1">
        <v>41548</v>
      </c>
      <c r="M12366" t="e">
        <v>#N/A</v>
      </c>
      <c r="N12366" s="1">
        <v>41183</v>
      </c>
    </row>
    <row r="12367" spans="11:14" x14ac:dyDescent="0.3">
      <c r="K12367" s="1">
        <v>41548</v>
      </c>
      <c r="M12367" t="e">
        <v>#N/A</v>
      </c>
      <c r="N12367" s="1">
        <v>41183</v>
      </c>
    </row>
    <row r="12368" spans="11:14" x14ac:dyDescent="0.3">
      <c r="K12368" s="1">
        <v>41548</v>
      </c>
      <c r="M12368" t="e">
        <v>#N/A</v>
      </c>
      <c r="N12368" s="1">
        <v>41183</v>
      </c>
    </row>
    <row r="12369" spans="11:14" x14ac:dyDescent="0.3">
      <c r="K12369" s="1">
        <v>41548</v>
      </c>
      <c r="M12369" t="e">
        <v>#N/A</v>
      </c>
      <c r="N12369" s="1">
        <v>41183</v>
      </c>
    </row>
    <row r="12370" spans="11:14" x14ac:dyDescent="0.3">
      <c r="K12370" s="1">
        <v>41548</v>
      </c>
      <c r="M12370" t="e">
        <v>#N/A</v>
      </c>
      <c r="N12370" s="1">
        <v>41183</v>
      </c>
    </row>
    <row r="12371" spans="11:14" x14ac:dyDescent="0.3">
      <c r="K12371" s="1">
        <v>41548</v>
      </c>
      <c r="M12371" t="e">
        <v>#N/A</v>
      </c>
      <c r="N12371" s="1">
        <v>41183</v>
      </c>
    </row>
    <row r="12372" spans="11:14" x14ac:dyDescent="0.3">
      <c r="K12372" s="1">
        <v>41548</v>
      </c>
      <c r="M12372" t="e">
        <v>#N/A</v>
      </c>
      <c r="N12372" s="1">
        <v>41183</v>
      </c>
    </row>
    <row r="12373" spans="11:14" x14ac:dyDescent="0.3">
      <c r="K12373" s="1">
        <v>41548</v>
      </c>
      <c r="M12373" t="e">
        <v>#N/A</v>
      </c>
      <c r="N12373" s="1">
        <v>41183</v>
      </c>
    </row>
    <row r="12374" spans="11:14" x14ac:dyDescent="0.3">
      <c r="K12374" s="1">
        <v>41548</v>
      </c>
      <c r="M12374" t="e">
        <v>#N/A</v>
      </c>
      <c r="N12374" s="1">
        <v>41183</v>
      </c>
    </row>
    <row r="12375" spans="11:14" x14ac:dyDescent="0.3">
      <c r="K12375" s="1">
        <v>41548</v>
      </c>
      <c r="M12375" t="e">
        <v>#N/A</v>
      </c>
      <c r="N12375" s="1">
        <v>41183</v>
      </c>
    </row>
    <row r="12376" spans="11:14" x14ac:dyDescent="0.3">
      <c r="K12376" s="1">
        <v>41548</v>
      </c>
      <c r="M12376" t="e">
        <v>#N/A</v>
      </c>
      <c r="N12376" s="1">
        <v>41183</v>
      </c>
    </row>
    <row r="12377" spans="11:14" x14ac:dyDescent="0.3">
      <c r="K12377" s="1">
        <v>41548</v>
      </c>
      <c r="M12377" t="e">
        <v>#N/A</v>
      </c>
      <c r="N12377" s="1">
        <v>41183</v>
      </c>
    </row>
    <row r="12378" spans="11:14" x14ac:dyDescent="0.3">
      <c r="K12378" s="1">
        <v>41548</v>
      </c>
      <c r="M12378" t="e">
        <v>#N/A</v>
      </c>
      <c r="N12378" s="1">
        <v>41183</v>
      </c>
    </row>
    <row r="12379" spans="11:14" x14ac:dyDescent="0.3">
      <c r="K12379" s="1">
        <v>41548</v>
      </c>
      <c r="M12379" t="e">
        <v>#N/A</v>
      </c>
      <c r="N12379" s="1">
        <v>41183</v>
      </c>
    </row>
    <row r="12380" spans="11:14" x14ac:dyDescent="0.3">
      <c r="K12380" s="1">
        <v>41548</v>
      </c>
      <c r="M12380" t="e">
        <v>#N/A</v>
      </c>
      <c r="N12380" s="1">
        <v>41183</v>
      </c>
    </row>
    <row r="12381" spans="11:14" x14ac:dyDescent="0.3">
      <c r="K12381" s="1">
        <v>41548</v>
      </c>
      <c r="M12381" t="e">
        <v>#N/A</v>
      </c>
      <c r="N12381" s="1">
        <v>41183</v>
      </c>
    </row>
    <row r="12382" spans="11:14" x14ac:dyDescent="0.3">
      <c r="K12382" s="1">
        <v>41548</v>
      </c>
      <c r="M12382" t="e">
        <v>#N/A</v>
      </c>
      <c r="N12382" s="1">
        <v>41183</v>
      </c>
    </row>
    <row r="12383" spans="11:14" x14ac:dyDescent="0.3">
      <c r="K12383" s="1">
        <v>41548</v>
      </c>
      <c r="M12383" t="e">
        <v>#N/A</v>
      </c>
      <c r="N12383" s="1">
        <v>41183</v>
      </c>
    </row>
    <row r="12384" spans="11:14" x14ac:dyDescent="0.3">
      <c r="K12384" s="1">
        <v>41548</v>
      </c>
      <c r="M12384" t="e">
        <v>#N/A</v>
      </c>
      <c r="N12384" s="1">
        <v>41183</v>
      </c>
    </row>
    <row r="12385" spans="11:14" x14ac:dyDescent="0.3">
      <c r="K12385" s="1">
        <v>41548</v>
      </c>
      <c r="M12385" t="e">
        <v>#N/A</v>
      </c>
      <c r="N12385" s="1">
        <v>41183</v>
      </c>
    </row>
    <row r="12386" spans="11:14" x14ac:dyDescent="0.3">
      <c r="K12386" s="1">
        <v>41548</v>
      </c>
      <c r="M12386" t="e">
        <v>#N/A</v>
      </c>
      <c r="N12386" s="1">
        <v>41183</v>
      </c>
    </row>
    <row r="12387" spans="11:14" x14ac:dyDescent="0.3">
      <c r="K12387" s="1">
        <v>41548</v>
      </c>
      <c r="M12387" t="e">
        <v>#N/A</v>
      </c>
      <c r="N12387" s="1">
        <v>41183</v>
      </c>
    </row>
    <row r="12388" spans="11:14" x14ac:dyDescent="0.3">
      <c r="K12388" s="1">
        <v>41548</v>
      </c>
      <c r="M12388" t="e">
        <v>#N/A</v>
      </c>
      <c r="N12388" s="1">
        <v>41183</v>
      </c>
    </row>
    <row r="12389" spans="11:14" x14ac:dyDescent="0.3">
      <c r="K12389" s="1">
        <v>41548</v>
      </c>
      <c r="M12389" t="e">
        <v>#N/A</v>
      </c>
      <c r="N12389" s="1">
        <v>41183</v>
      </c>
    </row>
    <row r="12390" spans="11:14" x14ac:dyDescent="0.3">
      <c r="K12390" s="1">
        <v>41548</v>
      </c>
      <c r="M12390" t="e">
        <v>#N/A</v>
      </c>
      <c r="N12390" s="1">
        <v>41183</v>
      </c>
    </row>
    <row r="12391" spans="11:14" x14ac:dyDescent="0.3">
      <c r="K12391" s="1">
        <v>41548</v>
      </c>
      <c r="M12391" t="e">
        <v>#N/A</v>
      </c>
      <c r="N12391" s="1">
        <v>41183</v>
      </c>
    </row>
    <row r="12392" spans="11:14" x14ac:dyDescent="0.3">
      <c r="K12392" s="1">
        <v>41548</v>
      </c>
      <c r="M12392" t="e">
        <v>#N/A</v>
      </c>
      <c r="N12392" s="1">
        <v>41183</v>
      </c>
    </row>
    <row r="12393" spans="11:14" x14ac:dyDescent="0.3">
      <c r="K12393" s="1">
        <v>41548</v>
      </c>
      <c r="M12393" t="e">
        <v>#N/A</v>
      </c>
      <c r="N12393" s="1">
        <v>41183</v>
      </c>
    </row>
    <row r="12394" spans="11:14" x14ac:dyDescent="0.3">
      <c r="K12394" s="1">
        <v>41548</v>
      </c>
      <c r="M12394" t="e">
        <v>#N/A</v>
      </c>
      <c r="N12394" s="1">
        <v>41183</v>
      </c>
    </row>
    <row r="12395" spans="11:14" x14ac:dyDescent="0.3">
      <c r="K12395" s="1">
        <v>41548</v>
      </c>
      <c r="M12395" t="e">
        <v>#N/A</v>
      </c>
      <c r="N12395" s="1">
        <v>41183</v>
      </c>
    </row>
    <row r="12396" spans="11:14" x14ac:dyDescent="0.3">
      <c r="K12396" s="1">
        <v>41548</v>
      </c>
      <c r="M12396" t="e">
        <v>#N/A</v>
      </c>
      <c r="N12396" s="1">
        <v>41183</v>
      </c>
    </row>
    <row r="12397" spans="11:14" x14ac:dyDescent="0.3">
      <c r="K12397" s="1">
        <v>41548</v>
      </c>
      <c r="M12397" t="e">
        <v>#N/A</v>
      </c>
      <c r="N12397" s="1">
        <v>41183</v>
      </c>
    </row>
    <row r="12398" spans="11:14" x14ac:dyDescent="0.3">
      <c r="K12398" s="1">
        <v>41548</v>
      </c>
      <c r="M12398" t="e">
        <v>#N/A</v>
      </c>
      <c r="N12398" s="1">
        <v>41183</v>
      </c>
    </row>
    <row r="12399" spans="11:14" x14ac:dyDescent="0.3">
      <c r="K12399" s="1">
        <v>41548</v>
      </c>
      <c r="M12399" t="e">
        <v>#N/A</v>
      </c>
      <c r="N12399" s="1">
        <v>41183</v>
      </c>
    </row>
    <row r="12400" spans="11:14" x14ac:dyDescent="0.3">
      <c r="K12400" s="1">
        <v>41548</v>
      </c>
      <c r="M12400" t="e">
        <v>#N/A</v>
      </c>
      <c r="N12400" s="1">
        <v>41183</v>
      </c>
    </row>
    <row r="12401" spans="11:14" x14ac:dyDescent="0.3">
      <c r="K12401" s="1">
        <v>41548</v>
      </c>
      <c r="M12401" t="e">
        <v>#N/A</v>
      </c>
      <c r="N12401" s="1">
        <v>41183</v>
      </c>
    </row>
    <row r="12402" spans="11:14" x14ac:dyDescent="0.3">
      <c r="K12402" s="1">
        <v>41548</v>
      </c>
      <c r="M12402" t="e">
        <v>#N/A</v>
      </c>
      <c r="N12402" s="1">
        <v>41183</v>
      </c>
    </row>
    <row r="12403" spans="11:14" x14ac:dyDescent="0.3">
      <c r="K12403" s="1">
        <v>41548</v>
      </c>
      <c r="M12403" t="e">
        <v>#N/A</v>
      </c>
      <c r="N12403" s="1">
        <v>41183</v>
      </c>
    </row>
    <row r="12404" spans="11:14" x14ac:dyDescent="0.3">
      <c r="K12404" s="1">
        <v>41548</v>
      </c>
      <c r="M12404" t="e">
        <v>#N/A</v>
      </c>
      <c r="N12404" s="1">
        <v>41183</v>
      </c>
    </row>
    <row r="12405" spans="11:14" x14ac:dyDescent="0.3">
      <c r="K12405" s="1">
        <v>41548</v>
      </c>
      <c r="M12405" t="e">
        <v>#N/A</v>
      </c>
      <c r="N12405" s="1">
        <v>41183</v>
      </c>
    </row>
    <row r="12406" spans="11:14" x14ac:dyDescent="0.3">
      <c r="K12406" s="1">
        <v>41548</v>
      </c>
      <c r="M12406" t="e">
        <v>#N/A</v>
      </c>
      <c r="N12406" s="1">
        <v>41183</v>
      </c>
    </row>
    <row r="12407" spans="11:14" x14ac:dyDescent="0.3">
      <c r="K12407" s="1">
        <v>41548</v>
      </c>
      <c r="M12407" t="e">
        <v>#N/A</v>
      </c>
      <c r="N12407" s="1">
        <v>41183</v>
      </c>
    </row>
    <row r="12408" spans="11:14" x14ac:dyDescent="0.3">
      <c r="K12408" s="1">
        <v>41548</v>
      </c>
      <c r="M12408" t="e">
        <v>#N/A</v>
      </c>
      <c r="N12408" s="1">
        <v>41183</v>
      </c>
    </row>
    <row r="12409" spans="11:14" x14ac:dyDescent="0.3">
      <c r="K12409" s="1">
        <v>41548</v>
      </c>
      <c r="M12409" t="e">
        <v>#N/A</v>
      </c>
      <c r="N12409" s="1">
        <v>41183</v>
      </c>
    </row>
    <row r="12410" spans="11:14" x14ac:dyDescent="0.3">
      <c r="K12410" s="1">
        <v>41548</v>
      </c>
      <c r="M12410" t="e">
        <v>#N/A</v>
      </c>
      <c r="N12410" s="1">
        <v>41183</v>
      </c>
    </row>
    <row r="12411" spans="11:14" x14ac:dyDescent="0.3">
      <c r="K12411" s="1">
        <v>41548</v>
      </c>
      <c r="M12411" t="e">
        <v>#N/A</v>
      </c>
      <c r="N12411" s="1">
        <v>41183</v>
      </c>
    </row>
    <row r="12412" spans="11:14" x14ac:dyDescent="0.3">
      <c r="K12412" s="1">
        <v>41548</v>
      </c>
      <c r="M12412" t="e">
        <v>#N/A</v>
      </c>
      <c r="N12412" s="1">
        <v>41183</v>
      </c>
    </row>
    <row r="12413" spans="11:14" x14ac:dyDescent="0.3">
      <c r="K12413" s="1">
        <v>41548</v>
      </c>
      <c r="M12413" t="e">
        <v>#N/A</v>
      </c>
      <c r="N12413" s="1">
        <v>41183</v>
      </c>
    </row>
    <row r="12414" spans="11:14" x14ac:dyDescent="0.3">
      <c r="K12414" s="1">
        <v>41548</v>
      </c>
      <c r="M12414" t="e">
        <v>#N/A</v>
      </c>
      <c r="N12414" s="1">
        <v>41183</v>
      </c>
    </row>
    <row r="12415" spans="11:14" x14ac:dyDescent="0.3">
      <c r="K12415" s="1">
        <v>41548</v>
      </c>
      <c r="M12415" t="e">
        <v>#N/A</v>
      </c>
      <c r="N12415" s="1">
        <v>41183</v>
      </c>
    </row>
    <row r="12416" spans="11:14" x14ac:dyDescent="0.3">
      <c r="K12416" s="1">
        <v>41548</v>
      </c>
      <c r="M12416" t="e">
        <v>#N/A</v>
      </c>
      <c r="N12416" s="1">
        <v>41183</v>
      </c>
    </row>
    <row r="12417" spans="11:14" x14ac:dyDescent="0.3">
      <c r="K12417" s="1">
        <v>41548</v>
      </c>
      <c r="M12417" t="e">
        <v>#N/A</v>
      </c>
      <c r="N12417" s="1">
        <v>41183</v>
      </c>
    </row>
    <row r="12418" spans="11:14" x14ac:dyDescent="0.3">
      <c r="K12418" s="1">
        <v>41548</v>
      </c>
      <c r="M12418" t="e">
        <v>#N/A</v>
      </c>
      <c r="N12418" s="1">
        <v>41183</v>
      </c>
    </row>
    <row r="12419" spans="11:14" x14ac:dyDescent="0.3">
      <c r="K12419" s="1">
        <v>41548</v>
      </c>
      <c r="M12419" t="e">
        <v>#N/A</v>
      </c>
      <c r="N12419" s="1">
        <v>41183</v>
      </c>
    </row>
    <row r="12420" spans="11:14" x14ac:dyDescent="0.3">
      <c r="K12420" s="1">
        <v>41548</v>
      </c>
      <c r="M12420" t="e">
        <v>#N/A</v>
      </c>
      <c r="N12420" s="1">
        <v>41183</v>
      </c>
    </row>
    <row r="12421" spans="11:14" x14ac:dyDescent="0.3">
      <c r="K12421" s="1">
        <v>41548</v>
      </c>
      <c r="M12421" t="e">
        <v>#N/A</v>
      </c>
      <c r="N12421" s="1">
        <v>41183</v>
      </c>
    </row>
    <row r="12422" spans="11:14" x14ac:dyDescent="0.3">
      <c r="K12422" s="1">
        <v>41548</v>
      </c>
      <c r="M12422" t="e">
        <v>#N/A</v>
      </c>
      <c r="N12422" s="1">
        <v>41183</v>
      </c>
    </row>
    <row r="12423" spans="11:14" x14ac:dyDescent="0.3">
      <c r="K12423" s="1">
        <v>41548</v>
      </c>
      <c r="M12423" t="e">
        <v>#N/A</v>
      </c>
      <c r="N12423" s="1">
        <v>41183</v>
      </c>
    </row>
    <row r="12424" spans="11:14" x14ac:dyDescent="0.3">
      <c r="K12424" s="1">
        <v>41548</v>
      </c>
      <c r="M12424" t="e">
        <v>#N/A</v>
      </c>
      <c r="N12424" s="1">
        <v>41183</v>
      </c>
    </row>
    <row r="12425" spans="11:14" x14ac:dyDescent="0.3">
      <c r="K12425" s="1">
        <v>41548</v>
      </c>
      <c r="M12425" t="e">
        <v>#N/A</v>
      </c>
      <c r="N12425" s="1">
        <v>41183</v>
      </c>
    </row>
    <row r="12426" spans="11:14" x14ac:dyDescent="0.3">
      <c r="K12426" s="1">
        <v>41548</v>
      </c>
      <c r="M12426" t="e">
        <v>#N/A</v>
      </c>
      <c r="N12426" s="1">
        <v>41183</v>
      </c>
    </row>
    <row r="12427" spans="11:14" x14ac:dyDescent="0.3">
      <c r="K12427" s="1">
        <v>41548</v>
      </c>
      <c r="M12427" t="e">
        <v>#N/A</v>
      </c>
      <c r="N12427" s="1">
        <v>41183</v>
      </c>
    </row>
    <row r="12428" spans="11:14" x14ac:dyDescent="0.3">
      <c r="K12428" s="1">
        <v>41548</v>
      </c>
      <c r="M12428" t="e">
        <v>#N/A</v>
      </c>
      <c r="N12428" s="1">
        <v>41183</v>
      </c>
    </row>
    <row r="12429" spans="11:14" x14ac:dyDescent="0.3">
      <c r="K12429" s="1">
        <v>41548</v>
      </c>
      <c r="M12429" t="e">
        <v>#N/A</v>
      </c>
      <c r="N12429" s="1">
        <v>41183</v>
      </c>
    </row>
    <row r="12430" spans="11:14" x14ac:dyDescent="0.3">
      <c r="K12430" s="1">
        <v>41548</v>
      </c>
      <c r="M12430" t="e">
        <v>#N/A</v>
      </c>
      <c r="N12430" s="1">
        <v>41183</v>
      </c>
    </row>
    <row r="12431" spans="11:14" x14ac:dyDescent="0.3">
      <c r="K12431" s="1">
        <v>41548</v>
      </c>
      <c r="M12431" t="e">
        <v>#N/A</v>
      </c>
      <c r="N12431" s="1">
        <v>41183</v>
      </c>
    </row>
    <row r="12432" spans="11:14" x14ac:dyDescent="0.3">
      <c r="K12432" s="1">
        <v>41548</v>
      </c>
      <c r="M12432" t="e">
        <v>#N/A</v>
      </c>
      <c r="N12432" s="1">
        <v>41183</v>
      </c>
    </row>
    <row r="12433" spans="11:14" x14ac:dyDescent="0.3">
      <c r="K12433" s="1">
        <v>41548</v>
      </c>
      <c r="M12433" t="e">
        <v>#N/A</v>
      </c>
      <c r="N12433" s="1">
        <v>41183</v>
      </c>
    </row>
    <row r="12434" spans="11:14" x14ac:dyDescent="0.3">
      <c r="K12434" s="1">
        <v>41548</v>
      </c>
      <c r="M12434" t="e">
        <v>#N/A</v>
      </c>
      <c r="N12434" s="1">
        <v>41183</v>
      </c>
    </row>
    <row r="12435" spans="11:14" x14ac:dyDescent="0.3">
      <c r="K12435" s="1">
        <v>41548</v>
      </c>
      <c r="M12435" t="e">
        <v>#N/A</v>
      </c>
      <c r="N12435" s="1">
        <v>41183</v>
      </c>
    </row>
    <row r="12436" spans="11:14" x14ac:dyDescent="0.3">
      <c r="K12436" s="1">
        <v>41548</v>
      </c>
      <c r="M12436" t="e">
        <v>#N/A</v>
      </c>
      <c r="N12436" s="1">
        <v>41183</v>
      </c>
    </row>
    <row r="12437" spans="11:14" x14ac:dyDescent="0.3">
      <c r="K12437" s="1">
        <v>41548</v>
      </c>
      <c r="M12437" t="e">
        <v>#N/A</v>
      </c>
      <c r="N12437" s="1">
        <v>41183</v>
      </c>
    </row>
    <row r="12438" spans="11:14" x14ac:dyDescent="0.3">
      <c r="K12438" s="1">
        <v>41548</v>
      </c>
      <c r="M12438" t="e">
        <v>#N/A</v>
      </c>
      <c r="N12438" s="1">
        <v>41183</v>
      </c>
    </row>
    <row r="12439" spans="11:14" x14ac:dyDescent="0.3">
      <c r="K12439" s="1">
        <v>41548</v>
      </c>
      <c r="M12439" t="e">
        <v>#N/A</v>
      </c>
      <c r="N12439" s="1">
        <v>41183</v>
      </c>
    </row>
    <row r="12440" spans="11:14" x14ac:dyDescent="0.3">
      <c r="K12440" s="1">
        <v>41548</v>
      </c>
      <c r="M12440" t="e">
        <v>#N/A</v>
      </c>
      <c r="N12440" s="1">
        <v>41183</v>
      </c>
    </row>
    <row r="12441" spans="11:14" x14ac:dyDescent="0.3">
      <c r="K12441" s="1">
        <v>41548</v>
      </c>
      <c r="M12441" t="e">
        <v>#N/A</v>
      </c>
      <c r="N12441" s="1">
        <v>41183</v>
      </c>
    </row>
    <row r="12442" spans="11:14" x14ac:dyDescent="0.3">
      <c r="K12442" s="1">
        <v>41548</v>
      </c>
      <c r="M12442" t="e">
        <v>#N/A</v>
      </c>
      <c r="N12442" s="1">
        <v>41183</v>
      </c>
    </row>
    <row r="12443" spans="11:14" x14ac:dyDescent="0.3">
      <c r="K12443" s="1">
        <v>41548</v>
      </c>
      <c r="M12443" t="e">
        <v>#N/A</v>
      </c>
      <c r="N12443" s="1">
        <v>41183</v>
      </c>
    </row>
    <row r="12444" spans="11:14" x14ac:dyDescent="0.3">
      <c r="K12444" s="1">
        <v>41548</v>
      </c>
      <c r="M12444" t="e">
        <v>#N/A</v>
      </c>
      <c r="N12444" s="1">
        <v>41183</v>
      </c>
    </row>
    <row r="12445" spans="11:14" x14ac:dyDescent="0.3">
      <c r="K12445" s="1">
        <v>41548</v>
      </c>
      <c r="M12445" t="e">
        <v>#N/A</v>
      </c>
      <c r="N12445" s="1">
        <v>41183</v>
      </c>
    </row>
    <row r="12446" spans="11:14" x14ac:dyDescent="0.3">
      <c r="K12446" s="1">
        <v>41548</v>
      </c>
      <c r="M12446" t="e">
        <v>#N/A</v>
      </c>
      <c r="N12446" s="1">
        <v>41183</v>
      </c>
    </row>
    <row r="12447" spans="11:14" x14ac:dyDescent="0.3">
      <c r="K12447" s="1">
        <v>41548</v>
      </c>
      <c r="M12447" t="e">
        <v>#N/A</v>
      </c>
      <c r="N12447" s="1">
        <v>41183</v>
      </c>
    </row>
    <row r="12448" spans="11:14" x14ac:dyDescent="0.3">
      <c r="K12448" s="1">
        <v>41548</v>
      </c>
      <c r="M12448" t="e">
        <v>#N/A</v>
      </c>
      <c r="N12448" s="1">
        <v>41183</v>
      </c>
    </row>
    <row r="12449" spans="11:14" x14ac:dyDescent="0.3">
      <c r="K12449" s="1">
        <v>41548</v>
      </c>
      <c r="M12449" t="e">
        <v>#N/A</v>
      </c>
      <c r="N12449" s="1">
        <v>41183</v>
      </c>
    </row>
    <row r="12450" spans="11:14" x14ac:dyDescent="0.3">
      <c r="K12450" s="1">
        <v>41548</v>
      </c>
      <c r="M12450" t="e">
        <v>#N/A</v>
      </c>
      <c r="N12450" s="1">
        <v>41183</v>
      </c>
    </row>
    <row r="12451" spans="11:14" x14ac:dyDescent="0.3">
      <c r="K12451" s="1">
        <v>41548</v>
      </c>
      <c r="M12451" t="e">
        <v>#N/A</v>
      </c>
      <c r="N12451" s="1">
        <v>41183</v>
      </c>
    </row>
    <row r="12452" spans="11:14" x14ac:dyDescent="0.3">
      <c r="K12452" s="1">
        <v>41548</v>
      </c>
      <c r="M12452" t="e">
        <v>#N/A</v>
      </c>
      <c r="N12452" s="1">
        <v>41183</v>
      </c>
    </row>
    <row r="12453" spans="11:14" x14ac:dyDescent="0.3">
      <c r="K12453" s="1">
        <v>41548</v>
      </c>
      <c r="M12453" t="e">
        <v>#N/A</v>
      </c>
      <c r="N12453" s="1">
        <v>41183</v>
      </c>
    </row>
    <row r="12454" spans="11:14" x14ac:dyDescent="0.3">
      <c r="K12454" s="1">
        <v>41548</v>
      </c>
      <c r="M12454" t="e">
        <v>#N/A</v>
      </c>
      <c r="N12454" s="1">
        <v>41183</v>
      </c>
    </row>
    <row r="12455" spans="11:14" x14ac:dyDescent="0.3">
      <c r="K12455" s="1">
        <v>41548</v>
      </c>
      <c r="M12455" t="e">
        <v>#N/A</v>
      </c>
      <c r="N12455" s="1">
        <v>41183</v>
      </c>
    </row>
    <row r="12456" spans="11:14" x14ac:dyDescent="0.3">
      <c r="K12456" s="1">
        <v>41548</v>
      </c>
      <c r="M12456" t="e">
        <v>#N/A</v>
      </c>
      <c r="N12456" s="1">
        <v>41183</v>
      </c>
    </row>
    <row r="12457" spans="11:14" x14ac:dyDescent="0.3">
      <c r="K12457" s="1">
        <v>41548</v>
      </c>
      <c r="M12457" t="e">
        <v>#N/A</v>
      </c>
      <c r="N12457" s="1">
        <v>41183</v>
      </c>
    </row>
    <row r="12458" spans="11:14" x14ac:dyDescent="0.3">
      <c r="K12458" s="1">
        <v>41548</v>
      </c>
      <c r="M12458" t="e">
        <v>#N/A</v>
      </c>
      <c r="N12458" s="1">
        <v>41183</v>
      </c>
    </row>
    <row r="12459" spans="11:14" x14ac:dyDescent="0.3">
      <c r="K12459" s="1">
        <v>41548</v>
      </c>
      <c r="M12459" t="e">
        <v>#N/A</v>
      </c>
      <c r="N12459" s="1">
        <v>41183</v>
      </c>
    </row>
    <row r="12460" spans="11:14" x14ac:dyDescent="0.3">
      <c r="K12460" s="1">
        <v>41548</v>
      </c>
      <c r="M12460" t="e">
        <v>#N/A</v>
      </c>
      <c r="N12460" s="1">
        <v>41183</v>
      </c>
    </row>
    <row r="12461" spans="11:14" x14ac:dyDescent="0.3">
      <c r="K12461" s="1">
        <v>41548</v>
      </c>
      <c r="M12461" t="e">
        <v>#N/A</v>
      </c>
      <c r="N12461" s="1">
        <v>41183</v>
      </c>
    </row>
    <row r="12462" spans="11:14" x14ac:dyDescent="0.3">
      <c r="K12462" s="1">
        <v>41548</v>
      </c>
      <c r="M12462" t="e">
        <v>#N/A</v>
      </c>
      <c r="N12462" s="1">
        <v>41183</v>
      </c>
    </row>
    <row r="12463" spans="11:14" x14ac:dyDescent="0.3">
      <c r="K12463" s="1">
        <v>41548</v>
      </c>
      <c r="M12463" t="e">
        <v>#N/A</v>
      </c>
      <c r="N12463" s="1">
        <v>41183</v>
      </c>
    </row>
    <row r="12464" spans="11:14" x14ac:dyDescent="0.3">
      <c r="K12464" s="1">
        <v>41548</v>
      </c>
      <c r="M12464" t="e">
        <v>#N/A</v>
      </c>
      <c r="N12464" s="1">
        <v>41183</v>
      </c>
    </row>
    <row r="12465" spans="11:14" x14ac:dyDescent="0.3">
      <c r="K12465" s="1">
        <v>41548</v>
      </c>
      <c r="M12465" t="e">
        <v>#N/A</v>
      </c>
      <c r="N12465" s="1">
        <v>41183</v>
      </c>
    </row>
    <row r="12466" spans="11:14" x14ac:dyDescent="0.3">
      <c r="K12466" s="1">
        <v>41548</v>
      </c>
      <c r="M12466" t="e">
        <v>#N/A</v>
      </c>
      <c r="N12466" s="1">
        <v>41183</v>
      </c>
    </row>
    <row r="12467" spans="11:14" x14ac:dyDescent="0.3">
      <c r="K12467" s="1">
        <v>41548</v>
      </c>
      <c r="M12467" t="e">
        <v>#N/A</v>
      </c>
      <c r="N12467" s="1">
        <v>41183</v>
      </c>
    </row>
    <row r="12468" spans="11:14" x14ac:dyDescent="0.3">
      <c r="K12468" s="1">
        <v>41548</v>
      </c>
      <c r="M12468" t="e">
        <v>#N/A</v>
      </c>
      <c r="N12468" s="1">
        <v>41183</v>
      </c>
    </row>
    <row r="12469" spans="11:14" x14ac:dyDescent="0.3">
      <c r="K12469" s="1">
        <v>41548</v>
      </c>
      <c r="M12469" t="e">
        <v>#N/A</v>
      </c>
      <c r="N12469" s="1">
        <v>41183</v>
      </c>
    </row>
    <row r="12470" spans="11:14" x14ac:dyDescent="0.3">
      <c r="K12470" s="1">
        <v>41548</v>
      </c>
      <c r="M12470" t="e">
        <v>#N/A</v>
      </c>
      <c r="N12470" s="1">
        <v>41183</v>
      </c>
    </row>
    <row r="12471" spans="11:14" x14ac:dyDescent="0.3">
      <c r="K12471" s="1">
        <v>41548</v>
      </c>
      <c r="M12471" t="e">
        <v>#N/A</v>
      </c>
      <c r="N12471" s="1">
        <v>41183</v>
      </c>
    </row>
    <row r="12472" spans="11:14" x14ac:dyDescent="0.3">
      <c r="K12472" s="1">
        <v>41548</v>
      </c>
      <c r="M12472" t="e">
        <v>#N/A</v>
      </c>
      <c r="N12472" s="1">
        <v>41183</v>
      </c>
    </row>
    <row r="12473" spans="11:14" x14ac:dyDescent="0.3">
      <c r="K12473" s="1">
        <v>41548</v>
      </c>
      <c r="M12473" t="e">
        <v>#N/A</v>
      </c>
      <c r="N12473" s="1">
        <v>41183</v>
      </c>
    </row>
    <row r="12474" spans="11:14" x14ac:dyDescent="0.3">
      <c r="K12474" s="1">
        <v>41548</v>
      </c>
      <c r="M12474" t="e">
        <v>#N/A</v>
      </c>
      <c r="N12474" s="1">
        <v>41183</v>
      </c>
    </row>
    <row r="12475" spans="11:14" x14ac:dyDescent="0.3">
      <c r="K12475" s="1">
        <v>41548</v>
      </c>
      <c r="M12475" t="e">
        <v>#N/A</v>
      </c>
      <c r="N12475" s="1">
        <v>41183</v>
      </c>
    </row>
    <row r="12476" spans="11:14" x14ac:dyDescent="0.3">
      <c r="K12476" s="1">
        <v>41548</v>
      </c>
      <c r="M12476" t="e">
        <v>#N/A</v>
      </c>
      <c r="N12476" s="1">
        <v>41183</v>
      </c>
    </row>
    <row r="12477" spans="11:14" x14ac:dyDescent="0.3">
      <c r="K12477" s="1">
        <v>41548</v>
      </c>
      <c r="M12477" t="e">
        <v>#N/A</v>
      </c>
      <c r="N12477" s="1">
        <v>41183</v>
      </c>
    </row>
    <row r="12478" spans="11:14" x14ac:dyDescent="0.3">
      <c r="K12478" s="1">
        <v>41548</v>
      </c>
      <c r="M12478" t="e">
        <v>#N/A</v>
      </c>
      <c r="N12478" s="1">
        <v>41183</v>
      </c>
    </row>
    <row r="12479" spans="11:14" x14ac:dyDescent="0.3">
      <c r="K12479" s="1">
        <v>41548</v>
      </c>
      <c r="M12479" t="e">
        <v>#N/A</v>
      </c>
      <c r="N12479" s="1">
        <v>41183</v>
      </c>
    </row>
    <row r="12480" spans="11:14" x14ac:dyDescent="0.3">
      <c r="K12480" s="1">
        <v>41548</v>
      </c>
      <c r="M12480" t="e">
        <v>#N/A</v>
      </c>
      <c r="N12480" s="1">
        <v>41183</v>
      </c>
    </row>
    <row r="12481" spans="11:14" x14ac:dyDescent="0.3">
      <c r="K12481" s="1">
        <v>41548</v>
      </c>
      <c r="M12481" t="e">
        <v>#N/A</v>
      </c>
      <c r="N12481" s="1">
        <v>41183</v>
      </c>
    </row>
    <row r="12482" spans="11:14" x14ac:dyDescent="0.3">
      <c r="K12482" s="1">
        <v>41548</v>
      </c>
      <c r="M12482" t="e">
        <v>#N/A</v>
      </c>
      <c r="N12482" s="1">
        <v>41183</v>
      </c>
    </row>
    <row r="12483" spans="11:14" x14ac:dyDescent="0.3">
      <c r="K12483" s="1">
        <v>41548</v>
      </c>
      <c r="M12483" t="e">
        <v>#N/A</v>
      </c>
      <c r="N12483" s="1">
        <v>41183</v>
      </c>
    </row>
    <row r="12484" spans="11:14" x14ac:dyDescent="0.3">
      <c r="K12484" s="1">
        <v>41548</v>
      </c>
      <c r="M12484" t="e">
        <v>#N/A</v>
      </c>
      <c r="N12484" s="1">
        <v>41183</v>
      </c>
    </row>
    <row r="12485" spans="11:14" x14ac:dyDescent="0.3">
      <c r="K12485" s="1">
        <v>41548</v>
      </c>
      <c r="M12485" t="e">
        <v>#N/A</v>
      </c>
      <c r="N12485" s="1">
        <v>41183</v>
      </c>
    </row>
    <row r="12486" spans="11:14" x14ac:dyDescent="0.3">
      <c r="K12486" s="1">
        <v>41548</v>
      </c>
      <c r="M12486" t="e">
        <v>#N/A</v>
      </c>
      <c r="N12486" s="1">
        <v>41183</v>
      </c>
    </row>
    <row r="12487" spans="11:14" x14ac:dyDescent="0.3">
      <c r="K12487" s="1">
        <v>41548</v>
      </c>
      <c r="M12487" t="e">
        <v>#N/A</v>
      </c>
      <c r="N12487" s="1">
        <v>41183</v>
      </c>
    </row>
    <row r="12488" spans="11:14" x14ac:dyDescent="0.3">
      <c r="K12488" s="1">
        <v>41548</v>
      </c>
      <c r="M12488" t="e">
        <v>#N/A</v>
      </c>
      <c r="N12488" s="1">
        <v>41183</v>
      </c>
    </row>
    <row r="12489" spans="11:14" x14ac:dyDescent="0.3">
      <c r="K12489" s="1">
        <v>41548</v>
      </c>
      <c r="M12489" t="e">
        <v>#N/A</v>
      </c>
      <c r="N12489" s="1">
        <v>41183</v>
      </c>
    </row>
    <row r="12490" spans="11:14" x14ac:dyDescent="0.3">
      <c r="K12490" s="1">
        <v>41548</v>
      </c>
      <c r="M12490" t="e">
        <v>#N/A</v>
      </c>
      <c r="N12490" s="1">
        <v>41183</v>
      </c>
    </row>
    <row r="12491" spans="11:14" x14ac:dyDescent="0.3">
      <c r="K12491" s="1">
        <v>41548</v>
      </c>
      <c r="M12491" t="e">
        <v>#N/A</v>
      </c>
      <c r="N12491" s="1">
        <v>41183</v>
      </c>
    </row>
    <row r="12492" spans="11:14" x14ac:dyDescent="0.3">
      <c r="K12492" s="1">
        <v>41548</v>
      </c>
      <c r="M12492" t="e">
        <v>#N/A</v>
      </c>
      <c r="N12492" s="1">
        <v>41183</v>
      </c>
    </row>
    <row r="12493" spans="11:14" x14ac:dyDescent="0.3">
      <c r="K12493" s="1">
        <v>41548</v>
      </c>
      <c r="M12493" t="e">
        <v>#N/A</v>
      </c>
      <c r="N12493" s="1">
        <v>41183</v>
      </c>
    </row>
    <row r="12494" spans="11:14" x14ac:dyDescent="0.3">
      <c r="K12494" s="1">
        <v>41548</v>
      </c>
      <c r="M12494" t="e">
        <v>#N/A</v>
      </c>
      <c r="N12494" s="1">
        <v>41183</v>
      </c>
    </row>
    <row r="12495" spans="11:14" x14ac:dyDescent="0.3">
      <c r="K12495" s="1">
        <v>41548</v>
      </c>
      <c r="M12495" t="e">
        <v>#N/A</v>
      </c>
      <c r="N12495" s="1">
        <v>41183</v>
      </c>
    </row>
    <row r="12496" spans="11:14" x14ac:dyDescent="0.3">
      <c r="K12496" s="1">
        <v>41548</v>
      </c>
      <c r="M12496" t="e">
        <v>#N/A</v>
      </c>
      <c r="N12496" s="1">
        <v>41183</v>
      </c>
    </row>
    <row r="12497" spans="11:14" x14ac:dyDescent="0.3">
      <c r="K12497" s="1">
        <v>41548</v>
      </c>
      <c r="M12497" t="e">
        <v>#N/A</v>
      </c>
      <c r="N12497" s="1">
        <v>41183</v>
      </c>
    </row>
    <row r="12498" spans="11:14" x14ac:dyDescent="0.3">
      <c r="K12498" s="1">
        <v>41548</v>
      </c>
      <c r="M12498" t="e">
        <v>#N/A</v>
      </c>
      <c r="N12498" s="1">
        <v>41183</v>
      </c>
    </row>
    <row r="12499" spans="11:14" x14ac:dyDescent="0.3">
      <c r="K12499" s="1">
        <v>41548</v>
      </c>
      <c r="M12499" t="e">
        <v>#N/A</v>
      </c>
      <c r="N12499" s="1">
        <v>41183</v>
      </c>
    </row>
    <row r="12500" spans="11:14" x14ac:dyDescent="0.3">
      <c r="K12500" s="1">
        <v>41548</v>
      </c>
      <c r="M12500" t="e">
        <v>#N/A</v>
      </c>
      <c r="N12500" s="1">
        <v>41183</v>
      </c>
    </row>
    <row r="12501" spans="11:14" x14ac:dyDescent="0.3">
      <c r="K12501" s="1">
        <v>41548</v>
      </c>
      <c r="M12501" t="e">
        <v>#N/A</v>
      </c>
      <c r="N12501" s="1">
        <v>41183</v>
      </c>
    </row>
    <row r="12502" spans="11:14" x14ac:dyDescent="0.3">
      <c r="K12502" s="1">
        <v>41548</v>
      </c>
      <c r="M12502" t="e">
        <v>#N/A</v>
      </c>
      <c r="N12502" s="1">
        <v>41183</v>
      </c>
    </row>
    <row r="12503" spans="11:14" x14ac:dyDescent="0.3">
      <c r="K12503" s="1">
        <v>41548</v>
      </c>
      <c r="M12503" t="e">
        <v>#N/A</v>
      </c>
      <c r="N12503" s="1">
        <v>41183</v>
      </c>
    </row>
    <row r="12504" spans="11:14" x14ac:dyDescent="0.3">
      <c r="K12504" s="1">
        <v>41548</v>
      </c>
      <c r="M12504" t="e">
        <v>#N/A</v>
      </c>
      <c r="N12504" s="1">
        <v>41183</v>
      </c>
    </row>
    <row r="12505" spans="11:14" x14ac:dyDescent="0.3">
      <c r="K12505" s="1">
        <v>41548</v>
      </c>
      <c r="M12505" t="e">
        <v>#N/A</v>
      </c>
      <c r="N12505" s="1">
        <v>41183</v>
      </c>
    </row>
    <row r="12506" spans="11:14" x14ac:dyDescent="0.3">
      <c r="K12506" s="1">
        <v>41548</v>
      </c>
      <c r="M12506" t="e">
        <v>#N/A</v>
      </c>
      <c r="N12506" s="1">
        <v>41183</v>
      </c>
    </row>
    <row r="12507" spans="11:14" x14ac:dyDescent="0.3">
      <c r="K12507" s="1">
        <v>41548</v>
      </c>
      <c r="M12507" t="e">
        <v>#N/A</v>
      </c>
      <c r="N12507" s="1">
        <v>41183</v>
      </c>
    </row>
    <row r="12508" spans="11:14" x14ac:dyDescent="0.3">
      <c r="K12508" s="1">
        <v>41548</v>
      </c>
      <c r="M12508" t="e">
        <v>#N/A</v>
      </c>
      <c r="N12508" s="1">
        <v>41183</v>
      </c>
    </row>
    <row r="12509" spans="11:14" x14ac:dyDescent="0.3">
      <c r="K12509" s="1">
        <v>41548</v>
      </c>
      <c r="M12509" t="e">
        <v>#N/A</v>
      </c>
      <c r="N12509" s="1">
        <v>41183</v>
      </c>
    </row>
    <row r="12510" spans="11:14" x14ac:dyDescent="0.3">
      <c r="K12510" s="1">
        <v>41548</v>
      </c>
      <c r="M12510" t="e">
        <v>#N/A</v>
      </c>
      <c r="N12510" s="1">
        <v>41183</v>
      </c>
    </row>
    <row r="12511" spans="11:14" x14ac:dyDescent="0.3">
      <c r="K12511" s="1">
        <v>41548</v>
      </c>
      <c r="M12511" t="e">
        <v>#N/A</v>
      </c>
      <c r="N12511" s="1">
        <v>41183</v>
      </c>
    </row>
    <row r="12512" spans="11:14" x14ac:dyDescent="0.3">
      <c r="K12512" s="1">
        <v>41548</v>
      </c>
      <c r="M12512" t="e">
        <v>#N/A</v>
      </c>
      <c r="N12512" s="1">
        <v>41183</v>
      </c>
    </row>
    <row r="12513" spans="11:14" x14ac:dyDescent="0.3">
      <c r="K12513" s="1">
        <v>41548</v>
      </c>
      <c r="M12513" t="e">
        <v>#N/A</v>
      </c>
      <c r="N12513" s="1">
        <v>41183</v>
      </c>
    </row>
    <row r="12514" spans="11:14" x14ac:dyDescent="0.3">
      <c r="K12514" s="1">
        <v>41548</v>
      </c>
      <c r="M12514" t="e">
        <v>#N/A</v>
      </c>
      <c r="N12514" s="1">
        <v>41183</v>
      </c>
    </row>
    <row r="12515" spans="11:14" x14ac:dyDescent="0.3">
      <c r="K12515" s="1">
        <v>41548</v>
      </c>
      <c r="M12515" t="e">
        <v>#N/A</v>
      </c>
      <c r="N12515" s="1">
        <v>41183</v>
      </c>
    </row>
    <row r="12516" spans="11:14" x14ac:dyDescent="0.3">
      <c r="K12516" s="1">
        <v>41548</v>
      </c>
      <c r="M12516" t="e">
        <v>#N/A</v>
      </c>
      <c r="N12516" s="1">
        <v>41183</v>
      </c>
    </row>
    <row r="12517" spans="11:14" x14ac:dyDescent="0.3">
      <c r="K12517" s="1">
        <v>41548</v>
      </c>
      <c r="M12517" t="e">
        <v>#N/A</v>
      </c>
      <c r="N12517" s="1">
        <v>41183</v>
      </c>
    </row>
    <row r="12518" spans="11:14" x14ac:dyDescent="0.3">
      <c r="K12518" s="1">
        <v>41548</v>
      </c>
      <c r="M12518" t="e">
        <v>#N/A</v>
      </c>
      <c r="N12518" s="1">
        <v>41183</v>
      </c>
    </row>
    <row r="12519" spans="11:14" x14ac:dyDescent="0.3">
      <c r="K12519" s="1">
        <v>41548</v>
      </c>
      <c r="M12519" t="e">
        <v>#N/A</v>
      </c>
      <c r="N12519" s="1">
        <v>41183</v>
      </c>
    </row>
    <row r="12520" spans="11:14" x14ac:dyDescent="0.3">
      <c r="K12520" s="1">
        <v>41548</v>
      </c>
      <c r="M12520" t="e">
        <v>#N/A</v>
      </c>
      <c r="N12520" s="1">
        <v>41183</v>
      </c>
    </row>
    <row r="12521" spans="11:14" x14ac:dyDescent="0.3">
      <c r="K12521" s="1">
        <v>41548</v>
      </c>
      <c r="M12521" t="e">
        <v>#N/A</v>
      </c>
      <c r="N12521" s="1">
        <v>41183</v>
      </c>
    </row>
    <row r="12522" spans="11:14" x14ac:dyDescent="0.3">
      <c r="K12522" s="1">
        <v>41548</v>
      </c>
      <c r="M12522" t="e">
        <v>#N/A</v>
      </c>
      <c r="N12522" s="1">
        <v>41183</v>
      </c>
    </row>
    <row r="12523" spans="11:14" x14ac:dyDescent="0.3">
      <c r="K12523" s="1">
        <v>41548</v>
      </c>
      <c r="M12523" t="e">
        <v>#N/A</v>
      </c>
      <c r="N12523" s="1">
        <v>41183</v>
      </c>
    </row>
    <row r="12524" spans="11:14" x14ac:dyDescent="0.3">
      <c r="K12524" s="1">
        <v>41548</v>
      </c>
      <c r="M12524" t="e">
        <v>#N/A</v>
      </c>
      <c r="N12524" s="1">
        <v>41183</v>
      </c>
    </row>
    <row r="12525" spans="11:14" x14ac:dyDescent="0.3">
      <c r="K12525" s="1">
        <v>41548</v>
      </c>
      <c r="M12525" t="e">
        <v>#N/A</v>
      </c>
      <c r="N12525" s="1">
        <v>41183</v>
      </c>
    </row>
    <row r="12526" spans="11:14" x14ac:dyDescent="0.3">
      <c r="K12526" s="1">
        <v>41548</v>
      </c>
      <c r="M12526" t="e">
        <v>#N/A</v>
      </c>
      <c r="N12526" s="1">
        <v>41183</v>
      </c>
    </row>
    <row r="12527" spans="11:14" x14ac:dyDescent="0.3">
      <c r="K12527" s="1">
        <v>41548</v>
      </c>
      <c r="M12527" t="e">
        <v>#N/A</v>
      </c>
      <c r="N12527" s="1">
        <v>41183</v>
      </c>
    </row>
    <row r="12528" spans="11:14" x14ac:dyDescent="0.3">
      <c r="K12528" s="1">
        <v>41548</v>
      </c>
      <c r="M12528" t="e">
        <v>#N/A</v>
      </c>
      <c r="N12528" s="1">
        <v>41183</v>
      </c>
    </row>
    <row r="12529" spans="11:14" x14ac:dyDescent="0.3">
      <c r="K12529" s="1">
        <v>41548</v>
      </c>
      <c r="M12529" t="e">
        <v>#N/A</v>
      </c>
      <c r="N12529" s="1">
        <v>41183</v>
      </c>
    </row>
    <row r="12530" spans="11:14" x14ac:dyDescent="0.3">
      <c r="K12530" s="1">
        <v>41548</v>
      </c>
      <c r="M12530" t="e">
        <v>#N/A</v>
      </c>
      <c r="N12530" s="1">
        <v>41183</v>
      </c>
    </row>
    <row r="12531" spans="11:14" x14ac:dyDescent="0.3">
      <c r="K12531" s="1">
        <v>41548</v>
      </c>
      <c r="M12531" t="e">
        <v>#N/A</v>
      </c>
      <c r="N12531" s="1">
        <v>41183</v>
      </c>
    </row>
    <row r="12532" spans="11:14" x14ac:dyDescent="0.3">
      <c r="K12532" s="1">
        <v>41548</v>
      </c>
      <c r="M12532" t="e">
        <v>#N/A</v>
      </c>
      <c r="N12532" s="1">
        <v>41183</v>
      </c>
    </row>
    <row r="12533" spans="11:14" x14ac:dyDescent="0.3">
      <c r="K12533" s="1">
        <v>41548</v>
      </c>
      <c r="M12533" t="e">
        <v>#N/A</v>
      </c>
      <c r="N12533" s="1">
        <v>41183</v>
      </c>
    </row>
    <row r="12534" spans="11:14" x14ac:dyDescent="0.3">
      <c r="K12534" s="1">
        <v>41548</v>
      </c>
      <c r="M12534" t="e">
        <v>#N/A</v>
      </c>
      <c r="N12534" s="1">
        <v>41183</v>
      </c>
    </row>
    <row r="12535" spans="11:14" x14ac:dyDescent="0.3">
      <c r="K12535" s="1">
        <v>41548</v>
      </c>
      <c r="M12535" t="e">
        <v>#N/A</v>
      </c>
      <c r="N12535" s="1">
        <v>41183</v>
      </c>
    </row>
    <row r="12536" spans="11:14" x14ac:dyDescent="0.3">
      <c r="K12536" s="1">
        <v>41548</v>
      </c>
      <c r="M12536" t="e">
        <v>#N/A</v>
      </c>
      <c r="N12536" s="1">
        <v>41183</v>
      </c>
    </row>
    <row r="12537" spans="11:14" x14ac:dyDescent="0.3">
      <c r="K12537" s="1">
        <v>41548</v>
      </c>
      <c r="M12537" t="e">
        <v>#N/A</v>
      </c>
      <c r="N12537" s="1">
        <v>41183</v>
      </c>
    </row>
    <row r="12538" spans="11:14" x14ac:dyDescent="0.3">
      <c r="K12538" s="1">
        <v>41548</v>
      </c>
      <c r="M12538" t="e">
        <v>#N/A</v>
      </c>
      <c r="N12538" s="1">
        <v>41183</v>
      </c>
    </row>
    <row r="12539" spans="11:14" x14ac:dyDescent="0.3">
      <c r="K12539" s="1">
        <v>41548</v>
      </c>
      <c r="M12539" t="e">
        <v>#N/A</v>
      </c>
      <c r="N12539" s="1">
        <v>41183</v>
      </c>
    </row>
    <row r="12540" spans="11:14" x14ac:dyDescent="0.3">
      <c r="K12540" s="1">
        <v>41548</v>
      </c>
      <c r="M12540" t="e">
        <v>#N/A</v>
      </c>
      <c r="N12540" s="1">
        <v>41183</v>
      </c>
    </row>
    <row r="12541" spans="11:14" x14ac:dyDescent="0.3">
      <c r="K12541" s="1">
        <v>41548</v>
      </c>
      <c r="M12541" t="e">
        <v>#N/A</v>
      </c>
      <c r="N12541" s="1">
        <v>41183</v>
      </c>
    </row>
    <row r="12542" spans="11:14" x14ac:dyDescent="0.3">
      <c r="K12542" s="1">
        <v>41548</v>
      </c>
      <c r="M12542" t="e">
        <v>#N/A</v>
      </c>
      <c r="N12542" s="1">
        <v>41183</v>
      </c>
    </row>
    <row r="12543" spans="11:14" x14ac:dyDescent="0.3">
      <c r="K12543" s="1">
        <v>41548</v>
      </c>
      <c r="M12543" t="e">
        <v>#N/A</v>
      </c>
      <c r="N12543" s="1">
        <v>41183</v>
      </c>
    </row>
    <row r="12544" spans="11:14" x14ac:dyDescent="0.3">
      <c r="K12544" s="1">
        <v>41548</v>
      </c>
      <c r="M12544" t="e">
        <v>#N/A</v>
      </c>
      <c r="N12544" s="1">
        <v>41183</v>
      </c>
    </row>
    <row r="12545" spans="11:14" x14ac:dyDescent="0.3">
      <c r="K12545" s="1">
        <v>41640</v>
      </c>
      <c r="M12545" t="e">
        <v>#N/A</v>
      </c>
      <c r="N12545" s="1">
        <v>41183</v>
      </c>
    </row>
    <row r="12546" spans="11:14" x14ac:dyDescent="0.3">
      <c r="K12546" s="1">
        <v>41640</v>
      </c>
      <c r="M12546" t="e">
        <v>#N/A</v>
      </c>
      <c r="N12546" s="1">
        <v>41183</v>
      </c>
    </row>
    <row r="12547" spans="11:14" x14ac:dyDescent="0.3">
      <c r="K12547" s="1">
        <v>41640</v>
      </c>
      <c r="M12547" t="e">
        <v>#N/A</v>
      </c>
      <c r="N12547" s="1">
        <v>41183</v>
      </c>
    </row>
    <row r="12548" spans="11:14" x14ac:dyDescent="0.3">
      <c r="K12548" s="1">
        <v>41640</v>
      </c>
      <c r="M12548" t="e">
        <v>#N/A</v>
      </c>
      <c r="N12548" s="1">
        <v>41183</v>
      </c>
    </row>
    <row r="12549" spans="11:14" x14ac:dyDescent="0.3">
      <c r="K12549" s="1">
        <v>41640</v>
      </c>
      <c r="M12549" t="e">
        <v>#N/A</v>
      </c>
      <c r="N12549" s="1">
        <v>41183</v>
      </c>
    </row>
    <row r="12550" spans="11:14" x14ac:dyDescent="0.3">
      <c r="K12550" s="1">
        <v>41640</v>
      </c>
      <c r="M12550" t="e">
        <v>#N/A</v>
      </c>
      <c r="N12550" s="1">
        <v>41183</v>
      </c>
    </row>
    <row r="12551" spans="11:14" x14ac:dyDescent="0.3">
      <c r="K12551" s="1">
        <v>41640</v>
      </c>
      <c r="M12551" t="e">
        <v>#N/A</v>
      </c>
      <c r="N12551" s="1">
        <v>41183</v>
      </c>
    </row>
    <row r="12552" spans="11:14" x14ac:dyDescent="0.3">
      <c r="K12552" s="1">
        <v>41640</v>
      </c>
      <c r="M12552" t="e">
        <v>#N/A</v>
      </c>
      <c r="N12552" s="1">
        <v>41183</v>
      </c>
    </row>
    <row r="12553" spans="11:14" x14ac:dyDescent="0.3">
      <c r="K12553" s="1">
        <v>41640</v>
      </c>
      <c r="M12553" t="e">
        <v>#N/A</v>
      </c>
      <c r="N12553" s="1">
        <v>41183</v>
      </c>
    </row>
    <row r="12554" spans="11:14" x14ac:dyDescent="0.3">
      <c r="K12554" s="1">
        <v>41640</v>
      </c>
      <c r="M12554" t="e">
        <v>#N/A</v>
      </c>
      <c r="N12554" s="1">
        <v>41183</v>
      </c>
    </row>
    <row r="12555" spans="11:14" x14ac:dyDescent="0.3">
      <c r="K12555" s="1">
        <v>41640</v>
      </c>
      <c r="M12555" t="e">
        <v>#N/A</v>
      </c>
      <c r="N12555" s="1">
        <v>41183</v>
      </c>
    </row>
    <row r="12556" spans="11:14" x14ac:dyDescent="0.3">
      <c r="K12556" s="1">
        <v>41640</v>
      </c>
      <c r="M12556" t="e">
        <v>#N/A</v>
      </c>
      <c r="N12556" s="1">
        <v>41183</v>
      </c>
    </row>
    <row r="12557" spans="11:14" x14ac:dyDescent="0.3">
      <c r="K12557" s="1">
        <v>41640</v>
      </c>
      <c r="M12557" t="e">
        <v>#N/A</v>
      </c>
      <c r="N12557" s="1">
        <v>41183</v>
      </c>
    </row>
    <row r="12558" spans="11:14" x14ac:dyDescent="0.3">
      <c r="K12558" s="1">
        <v>41640</v>
      </c>
      <c r="M12558" t="e">
        <v>#N/A</v>
      </c>
      <c r="N12558" s="1">
        <v>41183</v>
      </c>
    </row>
    <row r="12559" spans="11:14" x14ac:dyDescent="0.3">
      <c r="K12559" s="1">
        <v>41640</v>
      </c>
      <c r="M12559" t="e">
        <v>#N/A</v>
      </c>
      <c r="N12559" s="1">
        <v>41183</v>
      </c>
    </row>
    <row r="12560" spans="11:14" x14ac:dyDescent="0.3">
      <c r="K12560" s="1">
        <v>41640</v>
      </c>
      <c r="M12560" t="e">
        <v>#N/A</v>
      </c>
      <c r="N12560" s="1">
        <v>41183</v>
      </c>
    </row>
    <row r="12561" spans="11:14" x14ac:dyDescent="0.3">
      <c r="K12561" s="1">
        <v>41640</v>
      </c>
      <c r="M12561" t="e">
        <v>#N/A</v>
      </c>
      <c r="N12561" s="1">
        <v>41183</v>
      </c>
    </row>
    <row r="12562" spans="11:14" x14ac:dyDescent="0.3">
      <c r="K12562" s="1">
        <v>41640</v>
      </c>
      <c r="M12562" t="e">
        <v>#N/A</v>
      </c>
      <c r="N12562" s="1">
        <v>41183</v>
      </c>
    </row>
    <row r="12563" spans="11:14" x14ac:dyDescent="0.3">
      <c r="K12563" s="1">
        <v>41640</v>
      </c>
      <c r="M12563" t="e">
        <v>#N/A</v>
      </c>
      <c r="N12563" s="1">
        <v>41183</v>
      </c>
    </row>
    <row r="12564" spans="11:14" x14ac:dyDescent="0.3">
      <c r="K12564" s="1">
        <v>41640</v>
      </c>
      <c r="M12564" t="e">
        <v>#N/A</v>
      </c>
      <c r="N12564" s="1">
        <v>41183</v>
      </c>
    </row>
    <row r="12565" spans="11:14" x14ac:dyDescent="0.3">
      <c r="K12565" s="1">
        <v>41640</v>
      </c>
      <c r="M12565" t="e">
        <v>#N/A</v>
      </c>
      <c r="N12565" s="1">
        <v>41183</v>
      </c>
    </row>
    <row r="12566" spans="11:14" x14ac:dyDescent="0.3">
      <c r="K12566" s="1">
        <v>41640</v>
      </c>
      <c r="M12566" t="e">
        <v>#N/A</v>
      </c>
      <c r="N12566" s="1">
        <v>41183</v>
      </c>
    </row>
    <row r="12567" spans="11:14" x14ac:dyDescent="0.3">
      <c r="K12567" s="1">
        <v>41640</v>
      </c>
      <c r="M12567" t="e">
        <v>#N/A</v>
      </c>
      <c r="N12567" s="1">
        <v>41183</v>
      </c>
    </row>
    <row r="12568" spans="11:14" x14ac:dyDescent="0.3">
      <c r="K12568" s="1">
        <v>41640</v>
      </c>
      <c r="M12568" t="e">
        <v>#N/A</v>
      </c>
      <c r="N12568" s="1">
        <v>41183</v>
      </c>
    </row>
    <row r="12569" spans="11:14" x14ac:dyDescent="0.3">
      <c r="K12569" s="1">
        <v>41640</v>
      </c>
      <c r="M12569" t="e">
        <v>#N/A</v>
      </c>
      <c r="N12569" s="1">
        <v>41183</v>
      </c>
    </row>
    <row r="12570" spans="11:14" x14ac:dyDescent="0.3">
      <c r="K12570" s="1">
        <v>41640</v>
      </c>
      <c r="M12570" t="e">
        <v>#N/A</v>
      </c>
      <c r="N12570" s="1">
        <v>41183</v>
      </c>
    </row>
    <row r="12571" spans="11:14" x14ac:dyDescent="0.3">
      <c r="K12571" s="1">
        <v>41640</v>
      </c>
      <c r="M12571" t="e">
        <v>#N/A</v>
      </c>
      <c r="N12571" s="1">
        <v>41183</v>
      </c>
    </row>
    <row r="12572" spans="11:14" x14ac:dyDescent="0.3">
      <c r="K12572" s="1">
        <v>41640</v>
      </c>
      <c r="M12572" t="e">
        <v>#N/A</v>
      </c>
      <c r="N12572" s="1">
        <v>41183</v>
      </c>
    </row>
    <row r="12573" spans="11:14" x14ac:dyDescent="0.3">
      <c r="K12573" s="1">
        <v>41640</v>
      </c>
      <c r="M12573" t="e">
        <v>#N/A</v>
      </c>
      <c r="N12573" s="1">
        <v>41183</v>
      </c>
    </row>
    <row r="12574" spans="11:14" x14ac:dyDescent="0.3">
      <c r="K12574" s="1">
        <v>41640</v>
      </c>
      <c r="M12574" t="e">
        <v>#N/A</v>
      </c>
      <c r="N12574" s="1">
        <v>41183</v>
      </c>
    </row>
    <row r="12575" spans="11:14" x14ac:dyDescent="0.3">
      <c r="K12575" s="1">
        <v>41640</v>
      </c>
      <c r="M12575" t="e">
        <v>#N/A</v>
      </c>
      <c r="N12575" s="1">
        <v>41183</v>
      </c>
    </row>
    <row r="12576" spans="11:14" x14ac:dyDescent="0.3">
      <c r="K12576" s="1">
        <v>41640</v>
      </c>
      <c r="M12576" t="e">
        <v>#N/A</v>
      </c>
      <c r="N12576" s="1">
        <v>41183</v>
      </c>
    </row>
    <row r="12577" spans="11:14" x14ac:dyDescent="0.3">
      <c r="K12577" s="1">
        <v>41640</v>
      </c>
      <c r="M12577" t="e">
        <v>#N/A</v>
      </c>
      <c r="N12577" s="1">
        <v>41183</v>
      </c>
    </row>
    <row r="12578" spans="11:14" x14ac:dyDescent="0.3">
      <c r="K12578" s="1">
        <v>41640</v>
      </c>
      <c r="M12578" t="e">
        <v>#N/A</v>
      </c>
      <c r="N12578" s="1">
        <v>41183</v>
      </c>
    </row>
    <row r="12579" spans="11:14" x14ac:dyDescent="0.3">
      <c r="K12579" s="1">
        <v>41640</v>
      </c>
      <c r="M12579" t="e">
        <v>#N/A</v>
      </c>
      <c r="N12579" s="1">
        <v>41183</v>
      </c>
    </row>
    <row r="12580" spans="11:14" x14ac:dyDescent="0.3">
      <c r="K12580" s="1">
        <v>41640</v>
      </c>
      <c r="M12580" t="e">
        <v>#N/A</v>
      </c>
      <c r="N12580" s="1">
        <v>41183</v>
      </c>
    </row>
    <row r="12581" spans="11:14" x14ac:dyDescent="0.3">
      <c r="K12581" s="1">
        <v>41640</v>
      </c>
      <c r="M12581" t="e">
        <v>#N/A</v>
      </c>
      <c r="N12581" s="1">
        <v>41183</v>
      </c>
    </row>
    <row r="12582" spans="11:14" x14ac:dyDescent="0.3">
      <c r="K12582" s="1">
        <v>41640</v>
      </c>
      <c r="M12582" t="e">
        <v>#N/A</v>
      </c>
      <c r="N12582" s="1">
        <v>41183</v>
      </c>
    </row>
    <row r="12583" spans="11:14" x14ac:dyDescent="0.3">
      <c r="K12583" s="1">
        <v>41640</v>
      </c>
      <c r="M12583" t="e">
        <v>#N/A</v>
      </c>
      <c r="N12583" s="1">
        <v>41183</v>
      </c>
    </row>
    <row r="12584" spans="11:14" x14ac:dyDescent="0.3">
      <c r="K12584" s="1">
        <v>41640</v>
      </c>
      <c r="M12584" t="e">
        <v>#N/A</v>
      </c>
      <c r="N12584" s="1">
        <v>41183</v>
      </c>
    </row>
    <row r="12585" spans="11:14" x14ac:dyDescent="0.3">
      <c r="K12585" s="1">
        <v>41640</v>
      </c>
      <c r="M12585" t="e">
        <v>#N/A</v>
      </c>
      <c r="N12585" s="1">
        <v>41183</v>
      </c>
    </row>
    <row r="12586" spans="11:14" x14ac:dyDescent="0.3">
      <c r="K12586" s="1">
        <v>41640</v>
      </c>
      <c r="M12586" t="e">
        <v>#N/A</v>
      </c>
      <c r="N12586" s="1">
        <v>41183</v>
      </c>
    </row>
    <row r="12587" spans="11:14" x14ac:dyDescent="0.3">
      <c r="K12587" s="1">
        <v>41640</v>
      </c>
      <c r="M12587" t="e">
        <v>#N/A</v>
      </c>
      <c r="N12587" s="1">
        <v>41183</v>
      </c>
    </row>
    <row r="12588" spans="11:14" x14ac:dyDescent="0.3">
      <c r="K12588" s="1">
        <v>41640</v>
      </c>
      <c r="M12588" t="e">
        <v>#N/A</v>
      </c>
      <c r="N12588" s="1">
        <v>41183</v>
      </c>
    </row>
    <row r="12589" spans="11:14" x14ac:dyDescent="0.3">
      <c r="K12589" s="1">
        <v>41640</v>
      </c>
      <c r="M12589" t="e">
        <v>#N/A</v>
      </c>
      <c r="N12589" s="1">
        <v>41183</v>
      </c>
    </row>
    <row r="12590" spans="11:14" x14ac:dyDescent="0.3">
      <c r="K12590" s="1">
        <v>41640</v>
      </c>
      <c r="M12590" t="e">
        <v>#N/A</v>
      </c>
      <c r="N12590" s="1">
        <v>41183</v>
      </c>
    </row>
    <row r="12591" spans="11:14" x14ac:dyDescent="0.3">
      <c r="K12591" s="1">
        <v>41640</v>
      </c>
      <c r="M12591" t="e">
        <v>#N/A</v>
      </c>
      <c r="N12591" s="1">
        <v>41183</v>
      </c>
    </row>
    <row r="12592" spans="11:14" x14ac:dyDescent="0.3">
      <c r="K12592" s="1">
        <v>41640</v>
      </c>
      <c r="M12592" t="e">
        <v>#N/A</v>
      </c>
      <c r="N12592" s="1">
        <v>41183</v>
      </c>
    </row>
    <row r="12593" spans="11:14" x14ac:dyDescent="0.3">
      <c r="K12593" s="1">
        <v>41640</v>
      </c>
      <c r="M12593" t="e">
        <v>#N/A</v>
      </c>
      <c r="N12593" s="1">
        <v>41183</v>
      </c>
    </row>
    <row r="12594" spans="11:14" x14ac:dyDescent="0.3">
      <c r="K12594" s="1">
        <v>41640</v>
      </c>
      <c r="M12594" t="e">
        <v>#N/A</v>
      </c>
      <c r="N12594" s="1">
        <v>41183</v>
      </c>
    </row>
    <row r="12595" spans="11:14" x14ac:dyDescent="0.3">
      <c r="K12595" s="1">
        <v>41640</v>
      </c>
      <c r="M12595" t="e">
        <v>#N/A</v>
      </c>
      <c r="N12595" s="1">
        <v>41183</v>
      </c>
    </row>
    <row r="12596" spans="11:14" x14ac:dyDescent="0.3">
      <c r="K12596" s="1">
        <v>41640</v>
      </c>
      <c r="M12596" t="e">
        <v>#N/A</v>
      </c>
      <c r="N12596" s="1">
        <v>41183</v>
      </c>
    </row>
    <row r="12597" spans="11:14" x14ac:dyDescent="0.3">
      <c r="K12597" s="1">
        <v>41640</v>
      </c>
      <c r="M12597" t="e">
        <v>#N/A</v>
      </c>
      <c r="N12597" s="1">
        <v>41183</v>
      </c>
    </row>
    <row r="12598" spans="11:14" x14ac:dyDescent="0.3">
      <c r="K12598" s="1">
        <v>41640</v>
      </c>
      <c r="M12598" t="e">
        <v>#N/A</v>
      </c>
      <c r="N12598" s="1">
        <v>41183</v>
      </c>
    </row>
    <row r="12599" spans="11:14" x14ac:dyDescent="0.3">
      <c r="K12599" s="1">
        <v>41640</v>
      </c>
      <c r="M12599" t="e">
        <v>#N/A</v>
      </c>
      <c r="N12599" s="1">
        <v>41183</v>
      </c>
    </row>
    <row r="12600" spans="11:14" x14ac:dyDescent="0.3">
      <c r="K12600" s="1">
        <v>41640</v>
      </c>
      <c r="M12600" t="e">
        <v>#N/A</v>
      </c>
      <c r="N12600" s="1">
        <v>41183</v>
      </c>
    </row>
    <row r="12601" spans="11:14" x14ac:dyDescent="0.3">
      <c r="K12601" s="1">
        <v>41640</v>
      </c>
      <c r="M12601" t="e">
        <v>#N/A</v>
      </c>
      <c r="N12601" s="1">
        <v>41183</v>
      </c>
    </row>
    <row r="12602" spans="11:14" x14ac:dyDescent="0.3">
      <c r="K12602" s="1">
        <v>41640</v>
      </c>
      <c r="M12602" t="e">
        <v>#N/A</v>
      </c>
      <c r="N12602" s="1">
        <v>41183</v>
      </c>
    </row>
    <row r="12603" spans="11:14" x14ac:dyDescent="0.3">
      <c r="K12603" s="1">
        <v>41640</v>
      </c>
      <c r="M12603" t="e">
        <v>#N/A</v>
      </c>
      <c r="N12603" s="1">
        <v>41183</v>
      </c>
    </row>
    <row r="12604" spans="11:14" x14ac:dyDescent="0.3">
      <c r="K12604" s="1">
        <v>41640</v>
      </c>
      <c r="M12604" t="e">
        <v>#N/A</v>
      </c>
      <c r="N12604" s="1">
        <v>41183</v>
      </c>
    </row>
    <row r="12605" spans="11:14" x14ac:dyDescent="0.3">
      <c r="K12605" s="1">
        <v>41640</v>
      </c>
      <c r="M12605" t="e">
        <v>#N/A</v>
      </c>
      <c r="N12605" s="1">
        <v>41183</v>
      </c>
    </row>
    <row r="12606" spans="11:14" x14ac:dyDescent="0.3">
      <c r="K12606" s="1">
        <v>41640</v>
      </c>
      <c r="M12606" t="e">
        <v>#N/A</v>
      </c>
      <c r="N12606" s="1">
        <v>41183</v>
      </c>
    </row>
    <row r="12607" spans="11:14" x14ac:dyDescent="0.3">
      <c r="K12607" s="1">
        <v>41640</v>
      </c>
      <c r="M12607" t="e">
        <v>#N/A</v>
      </c>
      <c r="N12607" s="1">
        <v>41183</v>
      </c>
    </row>
    <row r="12608" spans="11:14" x14ac:dyDescent="0.3">
      <c r="K12608" s="1">
        <v>41640</v>
      </c>
      <c r="M12608" t="e">
        <v>#N/A</v>
      </c>
      <c r="N12608" s="1">
        <v>41183</v>
      </c>
    </row>
    <row r="12609" spans="11:14" x14ac:dyDescent="0.3">
      <c r="K12609" s="1">
        <v>41640</v>
      </c>
      <c r="M12609" t="e">
        <v>#N/A</v>
      </c>
      <c r="N12609" s="1">
        <v>41183</v>
      </c>
    </row>
    <row r="12610" spans="11:14" x14ac:dyDescent="0.3">
      <c r="K12610" s="1">
        <v>41640</v>
      </c>
      <c r="M12610" t="e">
        <v>#N/A</v>
      </c>
      <c r="N12610" s="1">
        <v>41183</v>
      </c>
    </row>
    <row r="12611" spans="11:14" x14ac:dyDescent="0.3">
      <c r="K12611" s="1">
        <v>41640</v>
      </c>
      <c r="M12611" t="e">
        <v>#N/A</v>
      </c>
      <c r="N12611" s="1">
        <v>41183</v>
      </c>
    </row>
    <row r="12612" spans="11:14" x14ac:dyDescent="0.3">
      <c r="K12612" s="1">
        <v>41640</v>
      </c>
      <c r="M12612" t="e">
        <v>#N/A</v>
      </c>
      <c r="N12612" s="1">
        <v>41183</v>
      </c>
    </row>
    <row r="12613" spans="11:14" x14ac:dyDescent="0.3">
      <c r="K12613" s="1">
        <v>41640</v>
      </c>
      <c r="M12613" t="e">
        <v>#N/A</v>
      </c>
      <c r="N12613" s="1">
        <v>41183</v>
      </c>
    </row>
    <row r="12614" spans="11:14" x14ac:dyDescent="0.3">
      <c r="K12614" s="1">
        <v>41640</v>
      </c>
      <c r="M12614" t="e">
        <v>#N/A</v>
      </c>
      <c r="N12614" s="1">
        <v>41183</v>
      </c>
    </row>
    <row r="12615" spans="11:14" x14ac:dyDescent="0.3">
      <c r="K12615" s="1">
        <v>41640</v>
      </c>
      <c r="M12615" t="e">
        <v>#N/A</v>
      </c>
      <c r="N12615" s="1">
        <v>41183</v>
      </c>
    </row>
    <row r="12616" spans="11:14" x14ac:dyDescent="0.3">
      <c r="K12616" s="1">
        <v>41640</v>
      </c>
      <c r="M12616" t="e">
        <v>#N/A</v>
      </c>
      <c r="N12616" s="1">
        <v>41183</v>
      </c>
    </row>
    <row r="12617" spans="11:14" x14ac:dyDescent="0.3">
      <c r="K12617" s="1">
        <v>41640</v>
      </c>
      <c r="M12617" t="e">
        <v>#N/A</v>
      </c>
      <c r="N12617" s="1">
        <v>41183</v>
      </c>
    </row>
    <row r="12618" spans="11:14" x14ac:dyDescent="0.3">
      <c r="K12618" s="1">
        <v>41640</v>
      </c>
      <c r="M12618" t="e">
        <v>#N/A</v>
      </c>
      <c r="N12618" s="1">
        <v>41183</v>
      </c>
    </row>
    <row r="12619" spans="11:14" x14ac:dyDescent="0.3">
      <c r="K12619" s="1">
        <v>41640</v>
      </c>
      <c r="M12619" t="e">
        <v>#N/A</v>
      </c>
      <c r="N12619" s="1">
        <v>41183</v>
      </c>
    </row>
    <row r="12620" spans="11:14" x14ac:dyDescent="0.3">
      <c r="K12620" s="1">
        <v>41640</v>
      </c>
      <c r="M12620" t="e">
        <v>#N/A</v>
      </c>
      <c r="N12620" s="1">
        <v>41183</v>
      </c>
    </row>
    <row r="12621" spans="11:14" x14ac:dyDescent="0.3">
      <c r="K12621" s="1">
        <v>41640</v>
      </c>
      <c r="M12621" t="e">
        <v>#N/A</v>
      </c>
      <c r="N12621" s="1">
        <v>41183</v>
      </c>
    </row>
    <row r="12622" spans="11:14" x14ac:dyDescent="0.3">
      <c r="K12622" s="1">
        <v>41640</v>
      </c>
      <c r="M12622" t="e">
        <v>#N/A</v>
      </c>
      <c r="N12622" s="1">
        <v>41183</v>
      </c>
    </row>
    <row r="12623" spans="11:14" x14ac:dyDescent="0.3">
      <c r="K12623" s="1">
        <v>41640</v>
      </c>
      <c r="M12623" t="e">
        <v>#N/A</v>
      </c>
      <c r="N12623" s="1">
        <v>41183</v>
      </c>
    </row>
    <row r="12624" spans="11:14" x14ac:dyDescent="0.3">
      <c r="K12624" s="1">
        <v>41640</v>
      </c>
      <c r="M12624" t="e">
        <v>#N/A</v>
      </c>
      <c r="N12624" s="1">
        <v>41183</v>
      </c>
    </row>
    <row r="12625" spans="11:14" x14ac:dyDescent="0.3">
      <c r="K12625" s="1">
        <v>41640</v>
      </c>
      <c r="M12625" t="e">
        <v>#N/A</v>
      </c>
      <c r="N12625" s="1">
        <v>41183</v>
      </c>
    </row>
    <row r="12626" spans="11:14" x14ac:dyDescent="0.3">
      <c r="K12626" s="1">
        <v>41640</v>
      </c>
      <c r="M12626" t="e">
        <v>#N/A</v>
      </c>
      <c r="N12626" s="1">
        <v>41183</v>
      </c>
    </row>
    <row r="12627" spans="11:14" x14ac:dyDescent="0.3">
      <c r="K12627" s="1">
        <v>41640</v>
      </c>
      <c r="M12627" t="e">
        <v>#N/A</v>
      </c>
      <c r="N12627" s="1">
        <v>41183</v>
      </c>
    </row>
    <row r="12628" spans="11:14" x14ac:dyDescent="0.3">
      <c r="K12628" s="1">
        <v>41640</v>
      </c>
      <c r="M12628" t="e">
        <v>#N/A</v>
      </c>
      <c r="N12628" s="1">
        <v>41183</v>
      </c>
    </row>
    <row r="12629" spans="11:14" x14ac:dyDescent="0.3">
      <c r="K12629" s="1">
        <v>41640</v>
      </c>
      <c r="M12629" t="e">
        <v>#N/A</v>
      </c>
      <c r="N12629" s="1">
        <v>41183</v>
      </c>
    </row>
    <row r="12630" spans="11:14" x14ac:dyDescent="0.3">
      <c r="K12630" s="1">
        <v>41640</v>
      </c>
      <c r="M12630" t="e">
        <v>#N/A</v>
      </c>
      <c r="N12630" s="1">
        <v>41183</v>
      </c>
    </row>
    <row r="12631" spans="11:14" x14ac:dyDescent="0.3">
      <c r="K12631" s="1">
        <v>41640</v>
      </c>
      <c r="M12631" t="e">
        <v>#N/A</v>
      </c>
      <c r="N12631" s="1">
        <v>41183</v>
      </c>
    </row>
    <row r="12632" spans="11:14" x14ac:dyDescent="0.3">
      <c r="K12632" s="1">
        <v>41640</v>
      </c>
      <c r="M12632" t="e">
        <v>#N/A</v>
      </c>
      <c r="N12632" s="1">
        <v>41183</v>
      </c>
    </row>
    <row r="12633" spans="11:14" x14ac:dyDescent="0.3">
      <c r="K12633" s="1">
        <v>41640</v>
      </c>
      <c r="M12633" t="e">
        <v>#N/A</v>
      </c>
      <c r="N12633" s="1">
        <v>41183</v>
      </c>
    </row>
    <row r="12634" spans="11:14" x14ac:dyDescent="0.3">
      <c r="K12634" s="1">
        <v>41640</v>
      </c>
      <c r="M12634" t="e">
        <v>#N/A</v>
      </c>
      <c r="N12634" s="1">
        <v>41183</v>
      </c>
    </row>
    <row r="12635" spans="11:14" x14ac:dyDescent="0.3">
      <c r="K12635" s="1">
        <v>41640</v>
      </c>
      <c r="M12635" t="e">
        <v>#N/A</v>
      </c>
      <c r="N12635" s="1">
        <v>41275</v>
      </c>
    </row>
    <row r="12636" spans="11:14" x14ac:dyDescent="0.3">
      <c r="K12636" s="1">
        <v>41640</v>
      </c>
      <c r="M12636" t="e">
        <v>#N/A</v>
      </c>
      <c r="N12636" s="1">
        <v>41275</v>
      </c>
    </row>
    <row r="12637" spans="11:14" x14ac:dyDescent="0.3">
      <c r="K12637" s="1">
        <v>41640</v>
      </c>
      <c r="M12637" t="e">
        <v>#N/A</v>
      </c>
      <c r="N12637" s="1">
        <v>41275</v>
      </c>
    </row>
    <row r="12638" spans="11:14" x14ac:dyDescent="0.3">
      <c r="K12638" s="1">
        <v>41640</v>
      </c>
      <c r="M12638" t="e">
        <v>#N/A</v>
      </c>
      <c r="N12638" s="1">
        <v>41275</v>
      </c>
    </row>
    <row r="12639" spans="11:14" x14ac:dyDescent="0.3">
      <c r="K12639" s="1">
        <v>41640</v>
      </c>
      <c r="M12639" t="e">
        <v>#N/A</v>
      </c>
      <c r="N12639" s="1">
        <v>41275</v>
      </c>
    </row>
    <row r="12640" spans="11:14" x14ac:dyDescent="0.3">
      <c r="K12640" s="1">
        <v>41640</v>
      </c>
      <c r="M12640" t="e">
        <v>#N/A</v>
      </c>
      <c r="N12640" s="1">
        <v>41275</v>
      </c>
    </row>
    <row r="12641" spans="11:14" x14ac:dyDescent="0.3">
      <c r="K12641" s="1">
        <v>41640</v>
      </c>
      <c r="M12641" t="e">
        <v>#N/A</v>
      </c>
      <c r="N12641" s="1">
        <v>41275</v>
      </c>
    </row>
    <row r="12642" spans="11:14" x14ac:dyDescent="0.3">
      <c r="K12642" s="1">
        <v>41640</v>
      </c>
      <c r="M12642" t="e">
        <v>#N/A</v>
      </c>
      <c r="N12642" s="1">
        <v>41275</v>
      </c>
    </row>
    <row r="12643" spans="11:14" x14ac:dyDescent="0.3">
      <c r="K12643" s="1">
        <v>41640</v>
      </c>
      <c r="M12643" t="e">
        <v>#N/A</v>
      </c>
      <c r="N12643" s="1">
        <v>41275</v>
      </c>
    </row>
    <row r="12644" spans="11:14" x14ac:dyDescent="0.3">
      <c r="K12644" s="1">
        <v>41640</v>
      </c>
      <c r="M12644" t="e">
        <v>#N/A</v>
      </c>
      <c r="N12644" s="1">
        <v>41275</v>
      </c>
    </row>
    <row r="12645" spans="11:14" x14ac:dyDescent="0.3">
      <c r="K12645" s="1">
        <v>41640</v>
      </c>
      <c r="M12645" t="e">
        <v>#N/A</v>
      </c>
      <c r="N12645" s="1">
        <v>41275</v>
      </c>
    </row>
    <row r="12646" spans="11:14" x14ac:dyDescent="0.3">
      <c r="K12646" s="1">
        <v>41640</v>
      </c>
      <c r="M12646" t="e">
        <v>#N/A</v>
      </c>
      <c r="N12646" s="1">
        <v>41275</v>
      </c>
    </row>
    <row r="12647" spans="11:14" x14ac:dyDescent="0.3">
      <c r="K12647" s="1">
        <v>41640</v>
      </c>
      <c r="M12647" t="e">
        <v>#N/A</v>
      </c>
      <c r="N12647" s="1">
        <v>41275</v>
      </c>
    </row>
    <row r="12648" spans="11:14" x14ac:dyDescent="0.3">
      <c r="K12648" s="1">
        <v>41640</v>
      </c>
      <c r="M12648" t="e">
        <v>#N/A</v>
      </c>
      <c r="N12648" s="1">
        <v>41275</v>
      </c>
    </row>
    <row r="12649" spans="11:14" x14ac:dyDescent="0.3">
      <c r="K12649" s="1">
        <v>41640</v>
      </c>
      <c r="M12649" t="e">
        <v>#N/A</v>
      </c>
      <c r="N12649" s="1">
        <v>41275</v>
      </c>
    </row>
    <row r="12650" spans="11:14" x14ac:dyDescent="0.3">
      <c r="K12650" s="1">
        <v>41640</v>
      </c>
      <c r="M12650" t="e">
        <v>#N/A</v>
      </c>
      <c r="N12650" s="1">
        <v>41275</v>
      </c>
    </row>
    <row r="12651" spans="11:14" x14ac:dyDescent="0.3">
      <c r="K12651" s="1">
        <v>41640</v>
      </c>
      <c r="M12651" t="e">
        <v>#N/A</v>
      </c>
      <c r="N12651" s="1">
        <v>41275</v>
      </c>
    </row>
    <row r="12652" spans="11:14" x14ac:dyDescent="0.3">
      <c r="K12652" s="1">
        <v>41640</v>
      </c>
      <c r="M12652" t="e">
        <v>#N/A</v>
      </c>
      <c r="N12652" s="1">
        <v>41275</v>
      </c>
    </row>
    <row r="12653" spans="11:14" x14ac:dyDescent="0.3">
      <c r="K12653" s="1">
        <v>41640</v>
      </c>
      <c r="M12653" t="e">
        <v>#N/A</v>
      </c>
      <c r="N12653" s="1">
        <v>41275</v>
      </c>
    </row>
    <row r="12654" spans="11:14" x14ac:dyDescent="0.3">
      <c r="K12654" s="1">
        <v>41640</v>
      </c>
      <c r="M12654" t="e">
        <v>#N/A</v>
      </c>
      <c r="N12654" s="1">
        <v>41275</v>
      </c>
    </row>
    <row r="12655" spans="11:14" x14ac:dyDescent="0.3">
      <c r="K12655" s="1">
        <v>41640</v>
      </c>
      <c r="M12655" t="e">
        <v>#N/A</v>
      </c>
      <c r="N12655" s="1">
        <v>41275</v>
      </c>
    </row>
    <row r="12656" spans="11:14" x14ac:dyDescent="0.3">
      <c r="K12656" s="1">
        <v>41640</v>
      </c>
      <c r="M12656" t="e">
        <v>#N/A</v>
      </c>
      <c r="N12656" s="1">
        <v>41275</v>
      </c>
    </row>
    <row r="12657" spans="11:14" x14ac:dyDescent="0.3">
      <c r="K12657" s="1">
        <v>41640</v>
      </c>
      <c r="M12657" t="e">
        <v>#N/A</v>
      </c>
      <c r="N12657" s="1">
        <v>41275</v>
      </c>
    </row>
    <row r="12658" spans="11:14" x14ac:dyDescent="0.3">
      <c r="K12658" s="1">
        <v>41640</v>
      </c>
      <c r="M12658" t="e">
        <v>#N/A</v>
      </c>
      <c r="N12658" s="1">
        <v>41275</v>
      </c>
    </row>
    <row r="12659" spans="11:14" x14ac:dyDescent="0.3">
      <c r="K12659" s="1">
        <v>41640</v>
      </c>
      <c r="M12659" t="e">
        <v>#N/A</v>
      </c>
      <c r="N12659" s="1">
        <v>41275</v>
      </c>
    </row>
    <row r="12660" spans="11:14" x14ac:dyDescent="0.3">
      <c r="K12660" s="1">
        <v>41640</v>
      </c>
      <c r="M12660" t="e">
        <v>#N/A</v>
      </c>
      <c r="N12660" s="1">
        <v>41275</v>
      </c>
    </row>
    <row r="12661" spans="11:14" x14ac:dyDescent="0.3">
      <c r="K12661" s="1">
        <v>41640</v>
      </c>
      <c r="M12661" t="e">
        <v>#N/A</v>
      </c>
      <c r="N12661" s="1">
        <v>41275</v>
      </c>
    </row>
    <row r="12662" spans="11:14" x14ac:dyDescent="0.3">
      <c r="K12662" s="1">
        <v>41640</v>
      </c>
      <c r="M12662" t="e">
        <v>#N/A</v>
      </c>
      <c r="N12662" s="1">
        <v>41275</v>
      </c>
    </row>
    <row r="12663" spans="11:14" x14ac:dyDescent="0.3">
      <c r="K12663" s="1">
        <v>41640</v>
      </c>
      <c r="M12663" t="e">
        <v>#N/A</v>
      </c>
      <c r="N12663" s="1">
        <v>41275</v>
      </c>
    </row>
    <row r="12664" spans="11:14" x14ac:dyDescent="0.3">
      <c r="K12664" s="1">
        <v>41640</v>
      </c>
      <c r="M12664" t="e">
        <v>#N/A</v>
      </c>
      <c r="N12664" s="1">
        <v>41275</v>
      </c>
    </row>
    <row r="12665" spans="11:14" x14ac:dyDescent="0.3">
      <c r="K12665" s="1">
        <v>41640</v>
      </c>
      <c r="M12665" t="e">
        <v>#N/A</v>
      </c>
      <c r="N12665" s="1">
        <v>41275</v>
      </c>
    </row>
    <row r="12666" spans="11:14" x14ac:dyDescent="0.3">
      <c r="K12666" s="1">
        <v>41640</v>
      </c>
      <c r="M12666" t="e">
        <v>#N/A</v>
      </c>
      <c r="N12666" s="1">
        <v>41275</v>
      </c>
    </row>
    <row r="12667" spans="11:14" x14ac:dyDescent="0.3">
      <c r="K12667" s="1">
        <v>41640</v>
      </c>
      <c r="M12667" t="e">
        <v>#N/A</v>
      </c>
      <c r="N12667" s="1">
        <v>41275</v>
      </c>
    </row>
    <row r="12668" spans="11:14" x14ac:dyDescent="0.3">
      <c r="K12668" s="1">
        <v>41640</v>
      </c>
      <c r="M12668" t="e">
        <v>#N/A</v>
      </c>
      <c r="N12668" s="1">
        <v>41275</v>
      </c>
    </row>
    <row r="12669" spans="11:14" x14ac:dyDescent="0.3">
      <c r="K12669" s="1">
        <v>41640</v>
      </c>
      <c r="M12669" t="e">
        <v>#N/A</v>
      </c>
      <c r="N12669" s="1">
        <v>41275</v>
      </c>
    </row>
    <row r="12670" spans="11:14" x14ac:dyDescent="0.3">
      <c r="K12670" s="1">
        <v>41640</v>
      </c>
      <c r="M12670" t="e">
        <v>#N/A</v>
      </c>
      <c r="N12670" s="1">
        <v>41275</v>
      </c>
    </row>
    <row r="12671" spans="11:14" x14ac:dyDescent="0.3">
      <c r="K12671" s="1">
        <v>41640</v>
      </c>
      <c r="M12671" t="e">
        <v>#N/A</v>
      </c>
      <c r="N12671" s="1">
        <v>41275</v>
      </c>
    </row>
    <row r="12672" spans="11:14" x14ac:dyDescent="0.3">
      <c r="K12672" s="1">
        <v>41640</v>
      </c>
      <c r="M12672" t="e">
        <v>#N/A</v>
      </c>
      <c r="N12672" s="1">
        <v>41275</v>
      </c>
    </row>
    <row r="12673" spans="11:14" x14ac:dyDescent="0.3">
      <c r="K12673" s="1">
        <v>41640</v>
      </c>
      <c r="M12673" t="e">
        <v>#N/A</v>
      </c>
      <c r="N12673" s="1">
        <v>41275</v>
      </c>
    </row>
    <row r="12674" spans="11:14" x14ac:dyDescent="0.3">
      <c r="K12674" s="1">
        <v>41640</v>
      </c>
      <c r="M12674" t="e">
        <v>#N/A</v>
      </c>
      <c r="N12674" s="1">
        <v>41275</v>
      </c>
    </row>
    <row r="12675" spans="11:14" x14ac:dyDescent="0.3">
      <c r="K12675" s="1">
        <v>41640</v>
      </c>
      <c r="M12675" t="e">
        <v>#N/A</v>
      </c>
      <c r="N12675" s="1">
        <v>41275</v>
      </c>
    </row>
    <row r="12676" spans="11:14" x14ac:dyDescent="0.3">
      <c r="K12676" s="1">
        <v>41640</v>
      </c>
      <c r="M12676" t="e">
        <v>#N/A</v>
      </c>
      <c r="N12676" s="1">
        <v>41275</v>
      </c>
    </row>
    <row r="12677" spans="11:14" x14ac:dyDescent="0.3">
      <c r="K12677" s="1">
        <v>41640</v>
      </c>
      <c r="M12677" t="e">
        <v>#N/A</v>
      </c>
      <c r="N12677" s="1">
        <v>41275</v>
      </c>
    </row>
    <row r="12678" spans="11:14" x14ac:dyDescent="0.3">
      <c r="K12678" s="1">
        <v>41640</v>
      </c>
      <c r="M12678" t="e">
        <v>#N/A</v>
      </c>
      <c r="N12678" s="1">
        <v>41275</v>
      </c>
    </row>
    <row r="12679" spans="11:14" x14ac:dyDescent="0.3">
      <c r="K12679" s="1">
        <v>41640</v>
      </c>
      <c r="M12679" t="e">
        <v>#N/A</v>
      </c>
      <c r="N12679" s="1">
        <v>41275</v>
      </c>
    </row>
    <row r="12680" spans="11:14" x14ac:dyDescent="0.3">
      <c r="K12680" s="1">
        <v>41640</v>
      </c>
      <c r="M12680" t="e">
        <v>#N/A</v>
      </c>
      <c r="N12680" s="1">
        <v>41275</v>
      </c>
    </row>
    <row r="12681" spans="11:14" x14ac:dyDescent="0.3">
      <c r="K12681" s="1">
        <v>41640</v>
      </c>
      <c r="M12681" t="e">
        <v>#N/A</v>
      </c>
      <c r="N12681" s="1">
        <v>41275</v>
      </c>
    </row>
    <row r="12682" spans="11:14" x14ac:dyDescent="0.3">
      <c r="K12682" s="1">
        <v>41640</v>
      </c>
      <c r="M12682" t="e">
        <v>#N/A</v>
      </c>
      <c r="N12682" s="1">
        <v>41275</v>
      </c>
    </row>
    <row r="12683" spans="11:14" x14ac:dyDescent="0.3">
      <c r="K12683" s="1">
        <v>41640</v>
      </c>
      <c r="M12683" t="e">
        <v>#N/A</v>
      </c>
      <c r="N12683" s="1">
        <v>41275</v>
      </c>
    </row>
    <row r="12684" spans="11:14" x14ac:dyDescent="0.3">
      <c r="K12684" s="1">
        <v>41640</v>
      </c>
      <c r="M12684" t="e">
        <v>#N/A</v>
      </c>
      <c r="N12684" s="1">
        <v>41275</v>
      </c>
    </row>
    <row r="12685" spans="11:14" x14ac:dyDescent="0.3">
      <c r="K12685" s="1">
        <v>41640</v>
      </c>
      <c r="M12685" t="e">
        <v>#N/A</v>
      </c>
      <c r="N12685" s="1">
        <v>41275</v>
      </c>
    </row>
    <row r="12686" spans="11:14" x14ac:dyDescent="0.3">
      <c r="K12686" s="1">
        <v>41640</v>
      </c>
      <c r="M12686" t="e">
        <v>#N/A</v>
      </c>
      <c r="N12686" s="1">
        <v>41275</v>
      </c>
    </row>
    <row r="12687" spans="11:14" x14ac:dyDescent="0.3">
      <c r="K12687" s="1">
        <v>41640</v>
      </c>
      <c r="M12687" t="e">
        <v>#N/A</v>
      </c>
      <c r="N12687" s="1">
        <v>41275</v>
      </c>
    </row>
    <row r="12688" spans="11:14" x14ac:dyDescent="0.3">
      <c r="K12688" s="1">
        <v>41640</v>
      </c>
      <c r="M12688" t="e">
        <v>#N/A</v>
      </c>
      <c r="N12688" s="1">
        <v>41275</v>
      </c>
    </row>
    <row r="12689" spans="11:14" x14ac:dyDescent="0.3">
      <c r="K12689" s="1">
        <v>41640</v>
      </c>
      <c r="M12689" t="e">
        <v>#N/A</v>
      </c>
      <c r="N12689" s="1">
        <v>41275</v>
      </c>
    </row>
    <row r="12690" spans="11:14" x14ac:dyDescent="0.3">
      <c r="K12690" s="1">
        <v>41640</v>
      </c>
      <c r="M12690" t="e">
        <v>#N/A</v>
      </c>
      <c r="N12690" s="1">
        <v>41275</v>
      </c>
    </row>
    <row r="12691" spans="11:14" x14ac:dyDescent="0.3">
      <c r="K12691" s="1">
        <v>41640</v>
      </c>
      <c r="M12691" t="e">
        <v>#N/A</v>
      </c>
      <c r="N12691" s="1">
        <v>41275</v>
      </c>
    </row>
    <row r="12692" spans="11:14" x14ac:dyDescent="0.3">
      <c r="K12692" s="1">
        <v>41640</v>
      </c>
      <c r="M12692" t="e">
        <v>#N/A</v>
      </c>
      <c r="N12692" s="1">
        <v>41275</v>
      </c>
    </row>
    <row r="12693" spans="11:14" x14ac:dyDescent="0.3">
      <c r="K12693" s="1">
        <v>41640</v>
      </c>
      <c r="M12693" t="e">
        <v>#N/A</v>
      </c>
      <c r="N12693" s="1">
        <v>41275</v>
      </c>
    </row>
    <row r="12694" spans="11:14" x14ac:dyDescent="0.3">
      <c r="K12694" s="1">
        <v>41640</v>
      </c>
      <c r="M12694" t="e">
        <v>#N/A</v>
      </c>
      <c r="N12694" s="1">
        <v>41275</v>
      </c>
    </row>
    <row r="12695" spans="11:14" x14ac:dyDescent="0.3">
      <c r="K12695" s="1">
        <v>41640</v>
      </c>
      <c r="M12695" t="e">
        <v>#N/A</v>
      </c>
      <c r="N12695" s="1">
        <v>41275</v>
      </c>
    </row>
    <row r="12696" spans="11:14" x14ac:dyDescent="0.3">
      <c r="K12696" s="1">
        <v>41640</v>
      </c>
      <c r="M12696" t="e">
        <v>#N/A</v>
      </c>
      <c r="N12696" s="1">
        <v>41275</v>
      </c>
    </row>
    <row r="12697" spans="11:14" x14ac:dyDescent="0.3">
      <c r="K12697" s="1">
        <v>41640</v>
      </c>
      <c r="M12697" t="e">
        <v>#N/A</v>
      </c>
      <c r="N12697" s="1">
        <v>41275</v>
      </c>
    </row>
    <row r="12698" spans="11:14" x14ac:dyDescent="0.3">
      <c r="K12698" s="1">
        <v>41640</v>
      </c>
      <c r="M12698" t="e">
        <v>#N/A</v>
      </c>
      <c r="N12698" s="1">
        <v>41275</v>
      </c>
    </row>
    <row r="12699" spans="11:14" x14ac:dyDescent="0.3">
      <c r="K12699" s="1">
        <v>41640</v>
      </c>
      <c r="M12699" t="e">
        <v>#N/A</v>
      </c>
      <c r="N12699" s="1">
        <v>41275</v>
      </c>
    </row>
    <row r="12700" spans="11:14" x14ac:dyDescent="0.3">
      <c r="K12700" s="1">
        <v>41640</v>
      </c>
      <c r="M12700" t="e">
        <v>#N/A</v>
      </c>
      <c r="N12700" s="1">
        <v>41275</v>
      </c>
    </row>
    <row r="12701" spans="11:14" x14ac:dyDescent="0.3">
      <c r="K12701" s="1">
        <v>41640</v>
      </c>
      <c r="M12701" t="e">
        <v>#N/A</v>
      </c>
      <c r="N12701" s="1">
        <v>41275</v>
      </c>
    </row>
    <row r="12702" spans="11:14" x14ac:dyDescent="0.3">
      <c r="K12702" s="1">
        <v>41640</v>
      </c>
      <c r="M12702" t="e">
        <v>#N/A</v>
      </c>
      <c r="N12702" s="1">
        <v>41275</v>
      </c>
    </row>
    <row r="12703" spans="11:14" x14ac:dyDescent="0.3">
      <c r="K12703" s="1">
        <v>41640</v>
      </c>
      <c r="M12703" t="e">
        <v>#N/A</v>
      </c>
      <c r="N12703" s="1">
        <v>41275</v>
      </c>
    </row>
    <row r="12704" spans="11:14" x14ac:dyDescent="0.3">
      <c r="K12704" s="1">
        <v>41640</v>
      </c>
      <c r="M12704" t="e">
        <v>#N/A</v>
      </c>
      <c r="N12704" s="1">
        <v>41275</v>
      </c>
    </row>
    <row r="12705" spans="11:14" x14ac:dyDescent="0.3">
      <c r="K12705" s="1">
        <v>41640</v>
      </c>
      <c r="M12705" t="e">
        <v>#N/A</v>
      </c>
      <c r="N12705" s="1">
        <v>41275</v>
      </c>
    </row>
    <row r="12706" spans="11:14" x14ac:dyDescent="0.3">
      <c r="K12706" s="1">
        <v>41640</v>
      </c>
      <c r="M12706" t="e">
        <v>#N/A</v>
      </c>
      <c r="N12706" s="1">
        <v>41275</v>
      </c>
    </row>
    <row r="12707" spans="11:14" x14ac:dyDescent="0.3">
      <c r="K12707" s="1">
        <v>41640</v>
      </c>
      <c r="M12707" t="e">
        <v>#N/A</v>
      </c>
      <c r="N12707" s="1">
        <v>41275</v>
      </c>
    </row>
    <row r="12708" spans="11:14" x14ac:dyDescent="0.3">
      <c r="K12708" s="1">
        <v>41640</v>
      </c>
      <c r="M12708" t="e">
        <v>#N/A</v>
      </c>
      <c r="N12708" s="1">
        <v>41275</v>
      </c>
    </row>
    <row r="12709" spans="11:14" x14ac:dyDescent="0.3">
      <c r="K12709" s="1">
        <v>41640</v>
      </c>
      <c r="M12709" t="e">
        <v>#N/A</v>
      </c>
      <c r="N12709" s="1">
        <v>41275</v>
      </c>
    </row>
    <row r="12710" spans="11:14" x14ac:dyDescent="0.3">
      <c r="K12710" s="1">
        <v>41640</v>
      </c>
      <c r="M12710" t="e">
        <v>#N/A</v>
      </c>
      <c r="N12710" s="1">
        <v>41275</v>
      </c>
    </row>
    <row r="12711" spans="11:14" x14ac:dyDescent="0.3">
      <c r="K12711" s="1">
        <v>41640</v>
      </c>
      <c r="M12711" t="e">
        <v>#N/A</v>
      </c>
      <c r="N12711" s="1">
        <v>41275</v>
      </c>
    </row>
    <row r="12712" spans="11:14" x14ac:dyDescent="0.3">
      <c r="K12712" s="1">
        <v>41640</v>
      </c>
      <c r="M12712" t="e">
        <v>#N/A</v>
      </c>
      <c r="N12712" s="1">
        <v>41275</v>
      </c>
    </row>
    <row r="12713" spans="11:14" x14ac:dyDescent="0.3">
      <c r="K12713" s="1">
        <v>41640</v>
      </c>
      <c r="M12713" t="e">
        <v>#N/A</v>
      </c>
      <c r="N12713" s="1">
        <v>41275</v>
      </c>
    </row>
    <row r="12714" spans="11:14" x14ac:dyDescent="0.3">
      <c r="K12714" s="1">
        <v>41640</v>
      </c>
      <c r="M12714" t="e">
        <v>#N/A</v>
      </c>
      <c r="N12714" s="1">
        <v>41275</v>
      </c>
    </row>
    <row r="12715" spans="11:14" x14ac:dyDescent="0.3">
      <c r="K12715" s="1">
        <v>41640</v>
      </c>
      <c r="M12715" t="e">
        <v>#N/A</v>
      </c>
      <c r="N12715" s="1">
        <v>41275</v>
      </c>
    </row>
    <row r="12716" spans="11:14" x14ac:dyDescent="0.3">
      <c r="K12716" s="1">
        <v>41640</v>
      </c>
      <c r="M12716" t="e">
        <v>#N/A</v>
      </c>
      <c r="N12716" s="1">
        <v>41275</v>
      </c>
    </row>
    <row r="12717" spans="11:14" x14ac:dyDescent="0.3">
      <c r="K12717" s="1">
        <v>41640</v>
      </c>
      <c r="M12717" t="e">
        <v>#N/A</v>
      </c>
      <c r="N12717" s="1">
        <v>41275</v>
      </c>
    </row>
    <row r="12718" spans="11:14" x14ac:dyDescent="0.3">
      <c r="K12718" s="1">
        <v>41640</v>
      </c>
      <c r="M12718" t="e">
        <v>#N/A</v>
      </c>
      <c r="N12718" s="1">
        <v>41275</v>
      </c>
    </row>
    <row r="12719" spans="11:14" x14ac:dyDescent="0.3">
      <c r="K12719" s="1">
        <v>41640</v>
      </c>
      <c r="M12719" t="e">
        <v>#N/A</v>
      </c>
      <c r="N12719" s="1">
        <v>41275</v>
      </c>
    </row>
    <row r="12720" spans="11:14" x14ac:dyDescent="0.3">
      <c r="K12720" s="1">
        <v>41640</v>
      </c>
      <c r="M12720" t="e">
        <v>#N/A</v>
      </c>
      <c r="N12720" s="1">
        <v>41275</v>
      </c>
    </row>
    <row r="12721" spans="11:14" x14ac:dyDescent="0.3">
      <c r="K12721" s="1">
        <v>41640</v>
      </c>
      <c r="M12721" t="e">
        <v>#N/A</v>
      </c>
      <c r="N12721" s="1">
        <v>41275</v>
      </c>
    </row>
    <row r="12722" spans="11:14" x14ac:dyDescent="0.3">
      <c r="K12722" s="1">
        <v>41640</v>
      </c>
      <c r="M12722" t="e">
        <v>#N/A</v>
      </c>
      <c r="N12722" s="1">
        <v>41275</v>
      </c>
    </row>
    <row r="12723" spans="11:14" x14ac:dyDescent="0.3">
      <c r="K12723" s="1">
        <v>41640</v>
      </c>
      <c r="M12723" t="e">
        <v>#N/A</v>
      </c>
      <c r="N12723" s="1">
        <v>41275</v>
      </c>
    </row>
    <row r="12724" spans="11:14" x14ac:dyDescent="0.3">
      <c r="K12724" s="1">
        <v>41640</v>
      </c>
      <c r="M12724" t="e">
        <v>#N/A</v>
      </c>
      <c r="N12724" s="1">
        <v>41275</v>
      </c>
    </row>
    <row r="12725" spans="11:14" x14ac:dyDescent="0.3">
      <c r="K12725" s="1">
        <v>41640</v>
      </c>
      <c r="M12725" t="e">
        <v>#N/A</v>
      </c>
      <c r="N12725" s="1">
        <v>41275</v>
      </c>
    </row>
    <row r="12726" spans="11:14" x14ac:dyDescent="0.3">
      <c r="K12726" s="1">
        <v>41640</v>
      </c>
      <c r="M12726" t="e">
        <v>#N/A</v>
      </c>
      <c r="N12726" s="1">
        <v>41275</v>
      </c>
    </row>
    <row r="12727" spans="11:14" x14ac:dyDescent="0.3">
      <c r="K12727" s="1">
        <v>41640</v>
      </c>
      <c r="M12727" t="e">
        <v>#N/A</v>
      </c>
      <c r="N12727" s="1">
        <v>41275</v>
      </c>
    </row>
    <row r="12728" spans="11:14" x14ac:dyDescent="0.3">
      <c r="K12728" s="1">
        <v>41640</v>
      </c>
      <c r="M12728" t="e">
        <v>#N/A</v>
      </c>
      <c r="N12728" s="1">
        <v>41275</v>
      </c>
    </row>
    <row r="12729" spans="11:14" x14ac:dyDescent="0.3">
      <c r="K12729" s="1">
        <v>41640</v>
      </c>
      <c r="M12729" t="e">
        <v>#N/A</v>
      </c>
      <c r="N12729" s="1">
        <v>41275</v>
      </c>
    </row>
    <row r="12730" spans="11:14" x14ac:dyDescent="0.3">
      <c r="K12730" s="1">
        <v>41640</v>
      </c>
      <c r="M12730" t="e">
        <v>#N/A</v>
      </c>
      <c r="N12730" s="1">
        <v>41275</v>
      </c>
    </row>
    <row r="12731" spans="11:14" x14ac:dyDescent="0.3">
      <c r="K12731" s="1">
        <v>41640</v>
      </c>
      <c r="M12731" t="e">
        <v>#N/A</v>
      </c>
      <c r="N12731" s="1">
        <v>41275</v>
      </c>
    </row>
    <row r="12732" spans="11:14" x14ac:dyDescent="0.3">
      <c r="K12732" s="1">
        <v>41640</v>
      </c>
      <c r="M12732" t="e">
        <v>#N/A</v>
      </c>
      <c r="N12732" s="1">
        <v>41275</v>
      </c>
    </row>
    <row r="12733" spans="11:14" x14ac:dyDescent="0.3">
      <c r="K12733" s="1">
        <v>41640</v>
      </c>
      <c r="M12733" t="e">
        <v>#N/A</v>
      </c>
      <c r="N12733" s="1">
        <v>41275</v>
      </c>
    </row>
    <row r="12734" spans="11:14" x14ac:dyDescent="0.3">
      <c r="K12734" s="1">
        <v>41640</v>
      </c>
      <c r="M12734" t="e">
        <v>#N/A</v>
      </c>
      <c r="N12734" s="1">
        <v>41275</v>
      </c>
    </row>
    <row r="12735" spans="11:14" x14ac:dyDescent="0.3">
      <c r="K12735" s="1">
        <v>41640</v>
      </c>
      <c r="M12735" t="e">
        <v>#N/A</v>
      </c>
      <c r="N12735" s="1">
        <v>41275</v>
      </c>
    </row>
    <row r="12736" spans="11:14" x14ac:dyDescent="0.3">
      <c r="K12736" s="1">
        <v>41640</v>
      </c>
      <c r="M12736" t="e">
        <v>#N/A</v>
      </c>
      <c r="N12736" s="1">
        <v>41275</v>
      </c>
    </row>
    <row r="12737" spans="11:14" x14ac:dyDescent="0.3">
      <c r="K12737" s="1">
        <v>41640</v>
      </c>
      <c r="M12737" t="e">
        <v>#N/A</v>
      </c>
      <c r="N12737" s="1">
        <v>41275</v>
      </c>
    </row>
    <row r="12738" spans="11:14" x14ac:dyDescent="0.3">
      <c r="K12738" s="1">
        <v>41640</v>
      </c>
      <c r="M12738" t="e">
        <v>#N/A</v>
      </c>
      <c r="N12738" s="1">
        <v>41275</v>
      </c>
    </row>
    <row r="12739" spans="11:14" x14ac:dyDescent="0.3">
      <c r="K12739" s="1">
        <v>41640</v>
      </c>
      <c r="M12739" t="e">
        <v>#N/A</v>
      </c>
      <c r="N12739" s="1">
        <v>41275</v>
      </c>
    </row>
    <row r="12740" spans="11:14" x14ac:dyDescent="0.3">
      <c r="K12740" s="1">
        <v>41640</v>
      </c>
      <c r="M12740" t="e">
        <v>#N/A</v>
      </c>
      <c r="N12740" s="1">
        <v>41275</v>
      </c>
    </row>
    <row r="12741" spans="11:14" x14ac:dyDescent="0.3">
      <c r="K12741" s="1">
        <v>41640</v>
      </c>
      <c r="M12741" t="e">
        <v>#N/A</v>
      </c>
      <c r="N12741" s="1">
        <v>41275</v>
      </c>
    </row>
    <row r="12742" spans="11:14" x14ac:dyDescent="0.3">
      <c r="K12742" s="1">
        <v>41640</v>
      </c>
      <c r="M12742" t="e">
        <v>#N/A</v>
      </c>
      <c r="N12742" s="1">
        <v>41275</v>
      </c>
    </row>
    <row r="12743" spans="11:14" x14ac:dyDescent="0.3">
      <c r="K12743" s="1">
        <v>41640</v>
      </c>
      <c r="M12743" t="e">
        <v>#N/A</v>
      </c>
      <c r="N12743" s="1">
        <v>41275</v>
      </c>
    </row>
    <row r="12744" spans="11:14" x14ac:dyDescent="0.3">
      <c r="K12744" s="1">
        <v>41640</v>
      </c>
      <c r="M12744" t="e">
        <v>#N/A</v>
      </c>
      <c r="N12744" s="1">
        <v>41275</v>
      </c>
    </row>
    <row r="12745" spans="11:14" x14ac:dyDescent="0.3">
      <c r="K12745" s="1">
        <v>41640</v>
      </c>
      <c r="M12745" t="e">
        <v>#N/A</v>
      </c>
      <c r="N12745" s="1">
        <v>41275</v>
      </c>
    </row>
    <row r="12746" spans="11:14" x14ac:dyDescent="0.3">
      <c r="K12746" s="1">
        <v>41640</v>
      </c>
      <c r="M12746" t="e">
        <v>#N/A</v>
      </c>
      <c r="N12746" s="1">
        <v>41275</v>
      </c>
    </row>
    <row r="12747" spans="11:14" x14ac:dyDescent="0.3">
      <c r="K12747" s="1">
        <v>41640</v>
      </c>
      <c r="M12747" t="e">
        <v>#N/A</v>
      </c>
      <c r="N12747" s="1">
        <v>41275</v>
      </c>
    </row>
    <row r="12748" spans="11:14" x14ac:dyDescent="0.3">
      <c r="K12748" s="1">
        <v>41640</v>
      </c>
      <c r="M12748" t="e">
        <v>#N/A</v>
      </c>
      <c r="N12748" s="1">
        <v>41275</v>
      </c>
    </row>
    <row r="12749" spans="11:14" x14ac:dyDescent="0.3">
      <c r="K12749" s="1">
        <v>41640</v>
      </c>
      <c r="M12749" t="e">
        <v>#N/A</v>
      </c>
      <c r="N12749" s="1">
        <v>41275</v>
      </c>
    </row>
    <row r="12750" spans="11:14" x14ac:dyDescent="0.3">
      <c r="K12750" s="1">
        <v>41640</v>
      </c>
      <c r="M12750" t="e">
        <v>#N/A</v>
      </c>
      <c r="N12750" s="1">
        <v>41275</v>
      </c>
    </row>
    <row r="12751" spans="11:14" x14ac:dyDescent="0.3">
      <c r="K12751" s="1">
        <v>41640</v>
      </c>
      <c r="M12751" t="e">
        <v>#N/A</v>
      </c>
      <c r="N12751" s="1">
        <v>41275</v>
      </c>
    </row>
    <row r="12752" spans="11:14" x14ac:dyDescent="0.3">
      <c r="K12752" s="1">
        <v>41640</v>
      </c>
      <c r="M12752" t="e">
        <v>#N/A</v>
      </c>
      <c r="N12752" s="1">
        <v>41275</v>
      </c>
    </row>
    <row r="12753" spans="11:14" x14ac:dyDescent="0.3">
      <c r="K12753" s="1">
        <v>41640</v>
      </c>
      <c r="M12753" t="e">
        <v>#N/A</v>
      </c>
      <c r="N12753" s="1">
        <v>41275</v>
      </c>
    </row>
    <row r="12754" spans="11:14" x14ac:dyDescent="0.3">
      <c r="K12754" s="1">
        <v>41640</v>
      </c>
      <c r="M12754" t="e">
        <v>#N/A</v>
      </c>
      <c r="N12754" s="1">
        <v>41275</v>
      </c>
    </row>
    <row r="12755" spans="11:14" x14ac:dyDescent="0.3">
      <c r="K12755" s="1">
        <v>41640</v>
      </c>
      <c r="M12755" t="e">
        <v>#N/A</v>
      </c>
      <c r="N12755" s="1">
        <v>41275</v>
      </c>
    </row>
    <row r="12756" spans="11:14" x14ac:dyDescent="0.3">
      <c r="K12756" s="1">
        <v>41640</v>
      </c>
      <c r="M12756" t="e">
        <v>#N/A</v>
      </c>
      <c r="N12756" s="1">
        <v>41275</v>
      </c>
    </row>
    <row r="12757" spans="11:14" x14ac:dyDescent="0.3">
      <c r="K12757" s="1">
        <v>41640</v>
      </c>
      <c r="M12757" t="e">
        <v>#N/A</v>
      </c>
      <c r="N12757" s="1">
        <v>41275</v>
      </c>
    </row>
    <row r="12758" spans="11:14" x14ac:dyDescent="0.3">
      <c r="K12758" s="1">
        <v>41640</v>
      </c>
      <c r="M12758" t="e">
        <v>#N/A</v>
      </c>
      <c r="N12758" s="1">
        <v>41275</v>
      </c>
    </row>
    <row r="12759" spans="11:14" x14ac:dyDescent="0.3">
      <c r="K12759" s="1">
        <v>41640</v>
      </c>
      <c r="M12759" t="e">
        <v>#N/A</v>
      </c>
      <c r="N12759" s="1">
        <v>41275</v>
      </c>
    </row>
    <row r="12760" spans="11:14" x14ac:dyDescent="0.3">
      <c r="K12760" s="1">
        <v>41640</v>
      </c>
      <c r="M12760" t="e">
        <v>#N/A</v>
      </c>
      <c r="N12760" s="1">
        <v>41275</v>
      </c>
    </row>
    <row r="12761" spans="11:14" x14ac:dyDescent="0.3">
      <c r="K12761" s="1">
        <v>41640</v>
      </c>
      <c r="M12761" t="e">
        <v>#N/A</v>
      </c>
      <c r="N12761" s="1">
        <v>41275</v>
      </c>
    </row>
    <row r="12762" spans="11:14" x14ac:dyDescent="0.3">
      <c r="K12762" s="1">
        <v>41640</v>
      </c>
      <c r="M12762" t="e">
        <v>#N/A</v>
      </c>
      <c r="N12762" s="1">
        <v>41275</v>
      </c>
    </row>
    <row r="12763" spans="11:14" x14ac:dyDescent="0.3">
      <c r="K12763" s="1">
        <v>41640</v>
      </c>
      <c r="M12763" t="e">
        <v>#N/A</v>
      </c>
      <c r="N12763" s="1">
        <v>41275</v>
      </c>
    </row>
    <row r="12764" spans="11:14" x14ac:dyDescent="0.3">
      <c r="K12764" s="1">
        <v>41640</v>
      </c>
      <c r="M12764" t="e">
        <v>#N/A</v>
      </c>
      <c r="N12764" s="1">
        <v>41275</v>
      </c>
    </row>
    <row r="12765" spans="11:14" x14ac:dyDescent="0.3">
      <c r="K12765" s="1">
        <v>41640</v>
      </c>
      <c r="M12765" t="e">
        <v>#N/A</v>
      </c>
      <c r="N12765" s="1">
        <v>41275</v>
      </c>
    </row>
    <row r="12766" spans="11:14" x14ac:dyDescent="0.3">
      <c r="K12766" s="1">
        <v>41640</v>
      </c>
      <c r="M12766" t="e">
        <v>#N/A</v>
      </c>
      <c r="N12766" s="1">
        <v>41275</v>
      </c>
    </row>
    <row r="12767" spans="11:14" x14ac:dyDescent="0.3">
      <c r="K12767" s="1">
        <v>41640</v>
      </c>
      <c r="M12767" t="e">
        <v>#N/A</v>
      </c>
      <c r="N12767" s="1">
        <v>41275</v>
      </c>
    </row>
    <row r="12768" spans="11:14" x14ac:dyDescent="0.3">
      <c r="K12768" s="1">
        <v>41640</v>
      </c>
      <c r="M12768" t="e">
        <v>#N/A</v>
      </c>
      <c r="N12768" s="1">
        <v>41275</v>
      </c>
    </row>
    <row r="12769" spans="11:14" x14ac:dyDescent="0.3">
      <c r="K12769" s="1">
        <v>41640</v>
      </c>
      <c r="M12769" t="e">
        <v>#N/A</v>
      </c>
      <c r="N12769" s="1">
        <v>41275</v>
      </c>
    </row>
    <row r="12770" spans="11:14" x14ac:dyDescent="0.3">
      <c r="K12770" s="1">
        <v>41640</v>
      </c>
      <c r="M12770" t="e">
        <v>#N/A</v>
      </c>
      <c r="N12770" s="1">
        <v>41275</v>
      </c>
    </row>
    <row r="12771" spans="11:14" x14ac:dyDescent="0.3">
      <c r="K12771" s="1">
        <v>41640</v>
      </c>
      <c r="M12771" t="e">
        <v>#N/A</v>
      </c>
      <c r="N12771" s="1">
        <v>41275</v>
      </c>
    </row>
    <row r="12772" spans="11:14" x14ac:dyDescent="0.3">
      <c r="K12772" s="1">
        <v>41640</v>
      </c>
      <c r="M12772" t="e">
        <v>#N/A</v>
      </c>
      <c r="N12772" s="1">
        <v>41275</v>
      </c>
    </row>
    <row r="12773" spans="11:14" x14ac:dyDescent="0.3">
      <c r="K12773" s="1">
        <v>41640</v>
      </c>
      <c r="M12773" t="e">
        <v>#N/A</v>
      </c>
      <c r="N12773" s="1">
        <v>41275</v>
      </c>
    </row>
    <row r="12774" spans="11:14" x14ac:dyDescent="0.3">
      <c r="K12774" s="1">
        <v>41640</v>
      </c>
      <c r="M12774" t="e">
        <v>#N/A</v>
      </c>
      <c r="N12774" s="1">
        <v>41275</v>
      </c>
    </row>
    <row r="12775" spans="11:14" x14ac:dyDescent="0.3">
      <c r="K12775" s="1">
        <v>41640</v>
      </c>
      <c r="M12775" t="e">
        <v>#N/A</v>
      </c>
      <c r="N12775" s="1">
        <v>41275</v>
      </c>
    </row>
    <row r="12776" spans="11:14" x14ac:dyDescent="0.3">
      <c r="K12776" s="1">
        <v>41640</v>
      </c>
      <c r="M12776" t="e">
        <v>#N/A</v>
      </c>
      <c r="N12776" s="1">
        <v>41275</v>
      </c>
    </row>
    <row r="12777" spans="11:14" x14ac:dyDescent="0.3">
      <c r="K12777" s="1">
        <v>41640</v>
      </c>
      <c r="M12777" t="e">
        <v>#N/A</v>
      </c>
      <c r="N12777" s="1">
        <v>41275</v>
      </c>
    </row>
    <row r="12778" spans="11:14" x14ac:dyDescent="0.3">
      <c r="K12778" s="1">
        <v>41640</v>
      </c>
      <c r="M12778" t="e">
        <v>#N/A</v>
      </c>
      <c r="N12778" s="1">
        <v>41275</v>
      </c>
    </row>
    <row r="12779" spans="11:14" x14ac:dyDescent="0.3">
      <c r="K12779" s="1">
        <v>41640</v>
      </c>
      <c r="M12779" t="e">
        <v>#N/A</v>
      </c>
      <c r="N12779" s="1">
        <v>41275</v>
      </c>
    </row>
    <row r="12780" spans="11:14" x14ac:dyDescent="0.3">
      <c r="K12780" s="1">
        <v>41640</v>
      </c>
      <c r="M12780" t="e">
        <v>#N/A</v>
      </c>
      <c r="N12780" s="1">
        <v>41275</v>
      </c>
    </row>
    <row r="12781" spans="11:14" x14ac:dyDescent="0.3">
      <c r="K12781" s="1">
        <v>41640</v>
      </c>
      <c r="M12781" t="e">
        <v>#N/A</v>
      </c>
      <c r="N12781" s="1">
        <v>41275</v>
      </c>
    </row>
    <row r="12782" spans="11:14" x14ac:dyDescent="0.3">
      <c r="K12782" s="1">
        <v>41640</v>
      </c>
      <c r="M12782" t="e">
        <v>#N/A</v>
      </c>
      <c r="N12782" s="1">
        <v>41275</v>
      </c>
    </row>
    <row r="12783" spans="11:14" x14ac:dyDescent="0.3">
      <c r="K12783" s="1">
        <v>41640</v>
      </c>
      <c r="M12783" t="e">
        <v>#N/A</v>
      </c>
      <c r="N12783" s="1">
        <v>41275</v>
      </c>
    </row>
    <row r="12784" spans="11:14" x14ac:dyDescent="0.3">
      <c r="K12784" s="1">
        <v>41640</v>
      </c>
      <c r="M12784" t="e">
        <v>#N/A</v>
      </c>
      <c r="N12784" s="1">
        <v>41275</v>
      </c>
    </row>
    <row r="12785" spans="11:14" x14ac:dyDescent="0.3">
      <c r="K12785" s="1">
        <v>41640</v>
      </c>
      <c r="M12785" t="e">
        <v>#N/A</v>
      </c>
      <c r="N12785" s="1">
        <v>41275</v>
      </c>
    </row>
    <row r="12786" spans="11:14" x14ac:dyDescent="0.3">
      <c r="K12786" s="1">
        <v>41640</v>
      </c>
      <c r="M12786" t="e">
        <v>#N/A</v>
      </c>
      <c r="N12786" s="1">
        <v>41275</v>
      </c>
    </row>
    <row r="12787" spans="11:14" x14ac:dyDescent="0.3">
      <c r="K12787" s="1">
        <v>41640</v>
      </c>
      <c r="M12787" t="e">
        <v>#N/A</v>
      </c>
      <c r="N12787" s="1">
        <v>41275</v>
      </c>
    </row>
    <row r="12788" spans="11:14" x14ac:dyDescent="0.3">
      <c r="K12788" s="1">
        <v>41640</v>
      </c>
      <c r="M12788" t="e">
        <v>#N/A</v>
      </c>
      <c r="N12788" s="1">
        <v>41275</v>
      </c>
    </row>
    <row r="12789" spans="11:14" x14ac:dyDescent="0.3">
      <c r="K12789" s="1">
        <v>41640</v>
      </c>
      <c r="M12789" t="e">
        <v>#N/A</v>
      </c>
      <c r="N12789" s="1">
        <v>41275</v>
      </c>
    </row>
    <row r="12790" spans="11:14" x14ac:dyDescent="0.3">
      <c r="K12790" s="1">
        <v>41640</v>
      </c>
      <c r="M12790" t="e">
        <v>#N/A</v>
      </c>
      <c r="N12790" s="1">
        <v>41275</v>
      </c>
    </row>
    <row r="12791" spans="11:14" x14ac:dyDescent="0.3">
      <c r="K12791" s="1">
        <v>41640</v>
      </c>
      <c r="M12791" t="e">
        <v>#N/A</v>
      </c>
      <c r="N12791" s="1">
        <v>41275</v>
      </c>
    </row>
    <row r="12792" spans="11:14" x14ac:dyDescent="0.3">
      <c r="K12792" s="1">
        <v>41640</v>
      </c>
      <c r="M12792" t="e">
        <v>#N/A</v>
      </c>
      <c r="N12792" s="1">
        <v>41275</v>
      </c>
    </row>
    <row r="12793" spans="11:14" x14ac:dyDescent="0.3">
      <c r="K12793" s="1">
        <v>41640</v>
      </c>
      <c r="M12793" t="e">
        <v>#N/A</v>
      </c>
      <c r="N12793" s="1">
        <v>41275</v>
      </c>
    </row>
    <row r="12794" spans="11:14" x14ac:dyDescent="0.3">
      <c r="K12794" s="1">
        <v>41640</v>
      </c>
      <c r="M12794" t="e">
        <v>#N/A</v>
      </c>
      <c r="N12794" s="1">
        <v>41275</v>
      </c>
    </row>
    <row r="12795" spans="11:14" x14ac:dyDescent="0.3">
      <c r="K12795" s="1">
        <v>41640</v>
      </c>
      <c r="M12795" t="e">
        <v>#N/A</v>
      </c>
      <c r="N12795" s="1">
        <v>41275</v>
      </c>
    </row>
    <row r="12796" spans="11:14" x14ac:dyDescent="0.3">
      <c r="K12796" s="1">
        <v>41640</v>
      </c>
      <c r="M12796" t="e">
        <v>#N/A</v>
      </c>
      <c r="N12796" s="1">
        <v>41275</v>
      </c>
    </row>
    <row r="12797" spans="11:14" x14ac:dyDescent="0.3">
      <c r="K12797" s="1">
        <v>41640</v>
      </c>
      <c r="M12797" t="e">
        <v>#N/A</v>
      </c>
      <c r="N12797" s="1">
        <v>41275</v>
      </c>
    </row>
    <row r="12798" spans="11:14" x14ac:dyDescent="0.3">
      <c r="K12798" s="1">
        <v>41640</v>
      </c>
      <c r="M12798" t="e">
        <v>#N/A</v>
      </c>
      <c r="N12798" s="1">
        <v>41275</v>
      </c>
    </row>
    <row r="12799" spans="11:14" x14ac:dyDescent="0.3">
      <c r="K12799" s="1">
        <v>41640</v>
      </c>
      <c r="M12799" t="e">
        <v>#N/A</v>
      </c>
      <c r="N12799" s="1">
        <v>41275</v>
      </c>
    </row>
    <row r="12800" spans="11:14" x14ac:dyDescent="0.3">
      <c r="K12800" s="1">
        <v>41640</v>
      </c>
      <c r="M12800" t="e">
        <v>#N/A</v>
      </c>
      <c r="N12800" s="1">
        <v>41275</v>
      </c>
    </row>
    <row r="12801" spans="11:14" x14ac:dyDescent="0.3">
      <c r="K12801" s="1">
        <v>41640</v>
      </c>
      <c r="M12801" t="e">
        <v>#N/A</v>
      </c>
      <c r="N12801" s="1">
        <v>41275</v>
      </c>
    </row>
    <row r="12802" spans="11:14" x14ac:dyDescent="0.3">
      <c r="K12802" s="1">
        <v>41640</v>
      </c>
      <c r="M12802" t="e">
        <v>#N/A</v>
      </c>
      <c r="N12802" s="1">
        <v>41275</v>
      </c>
    </row>
    <row r="12803" spans="11:14" x14ac:dyDescent="0.3">
      <c r="K12803" s="1">
        <v>41640</v>
      </c>
      <c r="M12803" t="e">
        <v>#N/A</v>
      </c>
      <c r="N12803" s="1">
        <v>41275</v>
      </c>
    </row>
    <row r="12804" spans="11:14" x14ac:dyDescent="0.3">
      <c r="K12804" s="1">
        <v>41640</v>
      </c>
      <c r="M12804" t="e">
        <v>#N/A</v>
      </c>
      <c r="N12804" s="1">
        <v>41275</v>
      </c>
    </row>
    <row r="12805" spans="11:14" x14ac:dyDescent="0.3">
      <c r="K12805" s="1">
        <v>41640</v>
      </c>
      <c r="M12805" t="e">
        <v>#N/A</v>
      </c>
      <c r="N12805" s="1">
        <v>41275</v>
      </c>
    </row>
    <row r="12806" spans="11:14" x14ac:dyDescent="0.3">
      <c r="K12806" s="1">
        <v>41640</v>
      </c>
      <c r="M12806" t="e">
        <v>#N/A</v>
      </c>
      <c r="N12806" s="1">
        <v>41275</v>
      </c>
    </row>
    <row r="12807" spans="11:14" x14ac:dyDescent="0.3">
      <c r="K12807" s="1">
        <v>41640</v>
      </c>
      <c r="M12807" t="e">
        <v>#N/A</v>
      </c>
      <c r="N12807" s="1">
        <v>41275</v>
      </c>
    </row>
    <row r="12808" spans="11:14" x14ac:dyDescent="0.3">
      <c r="K12808" s="1">
        <v>41640</v>
      </c>
      <c r="M12808" t="e">
        <v>#N/A</v>
      </c>
      <c r="N12808" s="1">
        <v>41275</v>
      </c>
    </row>
    <row r="12809" spans="11:14" x14ac:dyDescent="0.3">
      <c r="K12809" s="1">
        <v>41640</v>
      </c>
      <c r="M12809" t="e">
        <v>#N/A</v>
      </c>
      <c r="N12809" s="1">
        <v>41275</v>
      </c>
    </row>
    <row r="12810" spans="11:14" x14ac:dyDescent="0.3">
      <c r="K12810" s="1">
        <v>41640</v>
      </c>
      <c r="M12810" t="e">
        <v>#N/A</v>
      </c>
      <c r="N12810" s="1">
        <v>41275</v>
      </c>
    </row>
    <row r="12811" spans="11:14" x14ac:dyDescent="0.3">
      <c r="K12811" s="1">
        <v>41640</v>
      </c>
      <c r="M12811" t="e">
        <v>#N/A</v>
      </c>
      <c r="N12811" s="1">
        <v>41275</v>
      </c>
    </row>
    <row r="12812" spans="11:14" x14ac:dyDescent="0.3">
      <c r="K12812" s="1">
        <v>41640</v>
      </c>
      <c r="M12812" t="e">
        <v>#N/A</v>
      </c>
      <c r="N12812" s="1">
        <v>41275</v>
      </c>
    </row>
    <row r="12813" spans="11:14" x14ac:dyDescent="0.3">
      <c r="K12813" s="1">
        <v>41640</v>
      </c>
      <c r="M12813" t="e">
        <v>#N/A</v>
      </c>
      <c r="N12813" s="1">
        <v>41275</v>
      </c>
    </row>
    <row r="12814" spans="11:14" x14ac:dyDescent="0.3">
      <c r="K12814" s="1">
        <v>41640</v>
      </c>
      <c r="M12814" t="e">
        <v>#N/A</v>
      </c>
      <c r="N12814" s="1">
        <v>41275</v>
      </c>
    </row>
    <row r="12815" spans="11:14" x14ac:dyDescent="0.3">
      <c r="K12815" s="1">
        <v>41640</v>
      </c>
      <c r="M12815" t="e">
        <v>#N/A</v>
      </c>
      <c r="N12815" s="1">
        <v>41275</v>
      </c>
    </row>
    <row r="12816" spans="11:14" x14ac:dyDescent="0.3">
      <c r="K12816" s="1">
        <v>41640</v>
      </c>
      <c r="M12816" t="e">
        <v>#N/A</v>
      </c>
      <c r="N12816" s="1">
        <v>41275</v>
      </c>
    </row>
    <row r="12817" spans="11:14" x14ac:dyDescent="0.3">
      <c r="K12817" s="1">
        <v>41640</v>
      </c>
      <c r="M12817" t="e">
        <v>#N/A</v>
      </c>
      <c r="N12817" s="1">
        <v>41275</v>
      </c>
    </row>
    <row r="12818" spans="11:14" x14ac:dyDescent="0.3">
      <c r="K12818" s="1">
        <v>41640</v>
      </c>
      <c r="M12818" t="e">
        <v>#N/A</v>
      </c>
      <c r="N12818" s="1">
        <v>41275</v>
      </c>
    </row>
    <row r="12819" spans="11:14" x14ac:dyDescent="0.3">
      <c r="K12819" s="1">
        <v>41640</v>
      </c>
      <c r="M12819" t="e">
        <v>#N/A</v>
      </c>
      <c r="N12819" s="1">
        <v>41275</v>
      </c>
    </row>
    <row r="12820" spans="11:14" x14ac:dyDescent="0.3">
      <c r="K12820" s="1">
        <v>41640</v>
      </c>
      <c r="M12820" t="e">
        <v>#N/A</v>
      </c>
      <c r="N12820" s="1">
        <v>41275</v>
      </c>
    </row>
    <row r="12821" spans="11:14" x14ac:dyDescent="0.3">
      <c r="K12821" s="1">
        <v>41640</v>
      </c>
      <c r="M12821" t="e">
        <v>#N/A</v>
      </c>
      <c r="N12821" s="1">
        <v>41275</v>
      </c>
    </row>
    <row r="12822" spans="11:14" x14ac:dyDescent="0.3">
      <c r="K12822" s="1">
        <v>41640</v>
      </c>
      <c r="M12822" t="e">
        <v>#N/A</v>
      </c>
      <c r="N12822" s="1">
        <v>41275</v>
      </c>
    </row>
    <row r="12823" spans="11:14" x14ac:dyDescent="0.3">
      <c r="K12823" s="1">
        <v>41640</v>
      </c>
      <c r="M12823" t="e">
        <v>#N/A</v>
      </c>
      <c r="N12823" s="1">
        <v>41275</v>
      </c>
    </row>
    <row r="12824" spans="11:14" x14ac:dyDescent="0.3">
      <c r="K12824" s="1">
        <v>41640</v>
      </c>
      <c r="M12824" t="e">
        <v>#N/A</v>
      </c>
      <c r="N12824" s="1">
        <v>41275</v>
      </c>
    </row>
    <row r="12825" spans="11:14" x14ac:dyDescent="0.3">
      <c r="K12825" s="1">
        <v>41640</v>
      </c>
      <c r="M12825" t="e">
        <v>#N/A</v>
      </c>
      <c r="N12825" s="1">
        <v>41275</v>
      </c>
    </row>
    <row r="12826" spans="11:14" x14ac:dyDescent="0.3">
      <c r="K12826" s="1">
        <v>41640</v>
      </c>
      <c r="M12826" t="e">
        <v>#N/A</v>
      </c>
      <c r="N12826" s="1">
        <v>41275</v>
      </c>
    </row>
    <row r="12827" spans="11:14" x14ac:dyDescent="0.3">
      <c r="K12827" s="1">
        <v>41640</v>
      </c>
      <c r="M12827" t="e">
        <v>#N/A</v>
      </c>
      <c r="N12827" s="1">
        <v>41275</v>
      </c>
    </row>
    <row r="12828" spans="11:14" x14ac:dyDescent="0.3">
      <c r="K12828" s="1">
        <v>41640</v>
      </c>
      <c r="M12828" t="e">
        <v>#N/A</v>
      </c>
      <c r="N12828" s="1">
        <v>41275</v>
      </c>
    </row>
    <row r="12829" spans="11:14" x14ac:dyDescent="0.3">
      <c r="K12829" s="1">
        <v>41640</v>
      </c>
      <c r="M12829" t="e">
        <v>#N/A</v>
      </c>
      <c r="N12829" s="1">
        <v>41275</v>
      </c>
    </row>
    <row r="12830" spans="11:14" x14ac:dyDescent="0.3">
      <c r="K12830" s="1">
        <v>41640</v>
      </c>
      <c r="M12830" t="e">
        <v>#N/A</v>
      </c>
      <c r="N12830" s="1">
        <v>41275</v>
      </c>
    </row>
    <row r="12831" spans="11:14" x14ac:dyDescent="0.3">
      <c r="K12831" s="1">
        <v>41640</v>
      </c>
      <c r="M12831" t="e">
        <v>#N/A</v>
      </c>
      <c r="N12831" s="1">
        <v>41275</v>
      </c>
    </row>
    <row r="12832" spans="11:14" x14ac:dyDescent="0.3">
      <c r="K12832" s="1">
        <v>41640</v>
      </c>
      <c r="M12832" t="e">
        <v>#N/A</v>
      </c>
      <c r="N12832" s="1">
        <v>41275</v>
      </c>
    </row>
    <row r="12833" spans="11:14" x14ac:dyDescent="0.3">
      <c r="K12833" s="1">
        <v>41640</v>
      </c>
      <c r="M12833" t="e">
        <v>#N/A</v>
      </c>
      <c r="N12833" s="1">
        <v>41275</v>
      </c>
    </row>
    <row r="12834" spans="11:14" x14ac:dyDescent="0.3">
      <c r="K12834" s="1">
        <v>41640</v>
      </c>
      <c r="M12834" t="e">
        <v>#N/A</v>
      </c>
      <c r="N12834" s="1">
        <v>41275</v>
      </c>
    </row>
    <row r="12835" spans="11:14" x14ac:dyDescent="0.3">
      <c r="K12835" s="1">
        <v>41640</v>
      </c>
      <c r="M12835" t="e">
        <v>#N/A</v>
      </c>
      <c r="N12835" s="1">
        <v>41275</v>
      </c>
    </row>
    <row r="12836" spans="11:14" x14ac:dyDescent="0.3">
      <c r="K12836" s="1">
        <v>41640</v>
      </c>
      <c r="M12836" t="e">
        <v>#N/A</v>
      </c>
      <c r="N12836" s="1">
        <v>41275</v>
      </c>
    </row>
    <row r="12837" spans="11:14" x14ac:dyDescent="0.3">
      <c r="K12837" s="1">
        <v>41640</v>
      </c>
      <c r="M12837" t="e">
        <v>#N/A</v>
      </c>
      <c r="N12837" s="1">
        <v>41275</v>
      </c>
    </row>
    <row r="12838" spans="11:14" x14ac:dyDescent="0.3">
      <c r="K12838" s="1">
        <v>41640</v>
      </c>
      <c r="M12838" t="e">
        <v>#N/A</v>
      </c>
      <c r="N12838" s="1">
        <v>41275</v>
      </c>
    </row>
    <row r="12839" spans="11:14" x14ac:dyDescent="0.3">
      <c r="K12839" s="1">
        <v>41640</v>
      </c>
      <c r="M12839" t="e">
        <v>#N/A</v>
      </c>
      <c r="N12839" s="1">
        <v>41275</v>
      </c>
    </row>
    <row r="12840" spans="11:14" x14ac:dyDescent="0.3">
      <c r="K12840" s="1">
        <v>41640</v>
      </c>
      <c r="M12840" t="e">
        <v>#N/A</v>
      </c>
      <c r="N12840" s="1">
        <v>41275</v>
      </c>
    </row>
    <row r="12841" spans="11:14" x14ac:dyDescent="0.3">
      <c r="K12841" s="1">
        <v>41640</v>
      </c>
      <c r="M12841" t="e">
        <v>#N/A</v>
      </c>
      <c r="N12841" s="1">
        <v>41275</v>
      </c>
    </row>
    <row r="12842" spans="11:14" x14ac:dyDescent="0.3">
      <c r="K12842" s="1">
        <v>41640</v>
      </c>
      <c r="M12842" t="e">
        <v>#N/A</v>
      </c>
      <c r="N12842" s="1">
        <v>41275</v>
      </c>
    </row>
    <row r="12843" spans="11:14" x14ac:dyDescent="0.3">
      <c r="K12843" s="1">
        <v>41640</v>
      </c>
      <c r="M12843" t="e">
        <v>#N/A</v>
      </c>
      <c r="N12843" s="1">
        <v>41275</v>
      </c>
    </row>
    <row r="12844" spans="11:14" x14ac:dyDescent="0.3">
      <c r="K12844" s="1">
        <v>41640</v>
      </c>
      <c r="M12844" t="e">
        <v>#N/A</v>
      </c>
      <c r="N12844" s="1">
        <v>41275</v>
      </c>
    </row>
    <row r="12845" spans="11:14" x14ac:dyDescent="0.3">
      <c r="K12845" s="1">
        <v>41640</v>
      </c>
      <c r="M12845" t="e">
        <v>#N/A</v>
      </c>
      <c r="N12845" s="1">
        <v>41275</v>
      </c>
    </row>
    <row r="12846" spans="11:14" x14ac:dyDescent="0.3">
      <c r="K12846" s="1">
        <v>41640</v>
      </c>
      <c r="M12846" t="e">
        <v>#N/A</v>
      </c>
      <c r="N12846" s="1">
        <v>41275</v>
      </c>
    </row>
    <row r="12847" spans="11:14" x14ac:dyDescent="0.3">
      <c r="K12847" s="1">
        <v>41640</v>
      </c>
      <c r="M12847" t="e">
        <v>#N/A</v>
      </c>
      <c r="N12847" s="1">
        <v>41275</v>
      </c>
    </row>
    <row r="12848" spans="11:14" x14ac:dyDescent="0.3">
      <c r="K12848" s="1">
        <v>41640</v>
      </c>
      <c r="M12848" t="e">
        <v>#N/A</v>
      </c>
      <c r="N12848" s="1">
        <v>41275</v>
      </c>
    </row>
    <row r="12849" spans="11:14" x14ac:dyDescent="0.3">
      <c r="K12849" s="1">
        <v>41640</v>
      </c>
      <c r="M12849" t="e">
        <v>#N/A</v>
      </c>
      <c r="N12849" s="1">
        <v>41275</v>
      </c>
    </row>
    <row r="12850" spans="11:14" x14ac:dyDescent="0.3">
      <c r="K12850" s="1">
        <v>41640</v>
      </c>
      <c r="M12850" t="e">
        <v>#N/A</v>
      </c>
      <c r="N12850" s="1">
        <v>41275</v>
      </c>
    </row>
    <row r="12851" spans="11:14" x14ac:dyDescent="0.3">
      <c r="K12851" s="1">
        <v>41640</v>
      </c>
      <c r="M12851" t="e">
        <v>#N/A</v>
      </c>
      <c r="N12851" s="1">
        <v>41275</v>
      </c>
    </row>
    <row r="12852" spans="11:14" x14ac:dyDescent="0.3">
      <c r="K12852" s="1">
        <v>41640</v>
      </c>
      <c r="M12852" t="e">
        <v>#N/A</v>
      </c>
      <c r="N12852" s="1">
        <v>41275</v>
      </c>
    </row>
    <row r="12853" spans="11:14" x14ac:dyDescent="0.3">
      <c r="K12853" s="1">
        <v>41640</v>
      </c>
      <c r="M12853" t="e">
        <v>#N/A</v>
      </c>
      <c r="N12853" s="1">
        <v>41275</v>
      </c>
    </row>
    <row r="12854" spans="11:14" x14ac:dyDescent="0.3">
      <c r="K12854" s="1">
        <v>41730</v>
      </c>
      <c r="M12854" t="e">
        <v>#N/A</v>
      </c>
      <c r="N12854" s="1">
        <v>41275</v>
      </c>
    </row>
    <row r="12855" spans="11:14" x14ac:dyDescent="0.3">
      <c r="K12855" s="1">
        <v>41730</v>
      </c>
      <c r="M12855" t="e">
        <v>#N/A</v>
      </c>
      <c r="N12855" s="1">
        <v>41275</v>
      </c>
    </row>
    <row r="12856" spans="11:14" x14ac:dyDescent="0.3">
      <c r="K12856" s="1">
        <v>41730</v>
      </c>
      <c r="M12856" t="e">
        <v>#N/A</v>
      </c>
      <c r="N12856" s="1">
        <v>41275</v>
      </c>
    </row>
    <row r="12857" spans="11:14" x14ac:dyDescent="0.3">
      <c r="K12857" s="1">
        <v>41730</v>
      </c>
      <c r="M12857" t="e">
        <v>#N/A</v>
      </c>
      <c r="N12857" s="1">
        <v>41275</v>
      </c>
    </row>
    <row r="12858" spans="11:14" x14ac:dyDescent="0.3">
      <c r="K12858" s="1">
        <v>41730</v>
      </c>
      <c r="M12858" t="e">
        <v>#N/A</v>
      </c>
      <c r="N12858" s="1">
        <v>41275</v>
      </c>
    </row>
    <row r="12859" spans="11:14" x14ac:dyDescent="0.3">
      <c r="K12859" s="1">
        <v>41730</v>
      </c>
      <c r="M12859" t="e">
        <v>#N/A</v>
      </c>
      <c r="N12859" s="1">
        <v>41275</v>
      </c>
    </row>
    <row r="12860" spans="11:14" x14ac:dyDescent="0.3">
      <c r="K12860" s="1">
        <v>41730</v>
      </c>
      <c r="M12860" t="e">
        <v>#N/A</v>
      </c>
      <c r="N12860" s="1">
        <v>41275</v>
      </c>
    </row>
    <row r="12861" spans="11:14" x14ac:dyDescent="0.3">
      <c r="K12861" s="1">
        <v>41730</v>
      </c>
      <c r="M12861" t="e">
        <v>#N/A</v>
      </c>
      <c r="N12861" s="1">
        <v>41275</v>
      </c>
    </row>
    <row r="12862" spans="11:14" x14ac:dyDescent="0.3">
      <c r="K12862" s="1">
        <v>41730</v>
      </c>
      <c r="M12862" t="e">
        <v>#N/A</v>
      </c>
      <c r="N12862" s="1">
        <v>41275</v>
      </c>
    </row>
    <row r="12863" spans="11:14" x14ac:dyDescent="0.3">
      <c r="K12863" s="1">
        <v>41730</v>
      </c>
      <c r="M12863" t="e">
        <v>#N/A</v>
      </c>
      <c r="N12863" s="1">
        <v>41275</v>
      </c>
    </row>
    <row r="12864" spans="11:14" x14ac:dyDescent="0.3">
      <c r="K12864" s="1">
        <v>41730</v>
      </c>
      <c r="M12864" t="e">
        <v>#N/A</v>
      </c>
      <c r="N12864" s="1">
        <v>41275</v>
      </c>
    </row>
    <row r="12865" spans="11:14" x14ac:dyDescent="0.3">
      <c r="K12865" s="1">
        <v>41730</v>
      </c>
      <c r="M12865" t="e">
        <v>#N/A</v>
      </c>
      <c r="N12865" s="1">
        <v>41275</v>
      </c>
    </row>
    <row r="12866" spans="11:14" x14ac:dyDescent="0.3">
      <c r="K12866" s="1">
        <v>41730</v>
      </c>
      <c r="M12866" t="e">
        <v>#N/A</v>
      </c>
      <c r="N12866" s="1">
        <v>41275</v>
      </c>
    </row>
    <row r="12867" spans="11:14" x14ac:dyDescent="0.3">
      <c r="K12867" s="1">
        <v>41730</v>
      </c>
      <c r="M12867" t="e">
        <v>#N/A</v>
      </c>
      <c r="N12867" s="1">
        <v>41275</v>
      </c>
    </row>
    <row r="12868" spans="11:14" x14ac:dyDescent="0.3">
      <c r="K12868" s="1">
        <v>41730</v>
      </c>
      <c r="M12868" t="e">
        <v>#N/A</v>
      </c>
      <c r="N12868" s="1">
        <v>41275</v>
      </c>
    </row>
    <row r="12869" spans="11:14" x14ac:dyDescent="0.3">
      <c r="K12869" s="1">
        <v>41730</v>
      </c>
      <c r="M12869" t="e">
        <v>#N/A</v>
      </c>
      <c r="N12869" s="1">
        <v>41275</v>
      </c>
    </row>
    <row r="12870" spans="11:14" x14ac:dyDescent="0.3">
      <c r="K12870" s="1">
        <v>41730</v>
      </c>
      <c r="M12870" t="e">
        <v>#N/A</v>
      </c>
      <c r="N12870" s="1">
        <v>41275</v>
      </c>
    </row>
    <row r="12871" spans="11:14" x14ac:dyDescent="0.3">
      <c r="K12871" s="1">
        <v>41730</v>
      </c>
      <c r="M12871" t="e">
        <v>#N/A</v>
      </c>
      <c r="N12871" s="1">
        <v>41275</v>
      </c>
    </row>
    <row r="12872" spans="11:14" x14ac:dyDescent="0.3">
      <c r="K12872" s="1">
        <v>41730</v>
      </c>
      <c r="M12872" t="e">
        <v>#N/A</v>
      </c>
      <c r="N12872" s="1">
        <v>41275</v>
      </c>
    </row>
    <row r="12873" spans="11:14" x14ac:dyDescent="0.3">
      <c r="K12873" s="1">
        <v>41730</v>
      </c>
      <c r="M12873" t="e">
        <v>#N/A</v>
      </c>
      <c r="N12873" s="1">
        <v>41275</v>
      </c>
    </row>
    <row r="12874" spans="11:14" x14ac:dyDescent="0.3">
      <c r="K12874" s="1">
        <v>41730</v>
      </c>
      <c r="M12874" t="e">
        <v>#N/A</v>
      </c>
      <c r="N12874" s="1">
        <v>41275</v>
      </c>
    </row>
    <row r="12875" spans="11:14" x14ac:dyDescent="0.3">
      <c r="K12875" s="1">
        <v>41730</v>
      </c>
      <c r="M12875" t="e">
        <v>#N/A</v>
      </c>
      <c r="N12875" s="1">
        <v>41275</v>
      </c>
    </row>
    <row r="12876" spans="11:14" x14ac:dyDescent="0.3">
      <c r="K12876" s="1">
        <v>41730</v>
      </c>
      <c r="M12876" t="e">
        <v>#N/A</v>
      </c>
      <c r="N12876" s="1">
        <v>41275</v>
      </c>
    </row>
    <row r="12877" spans="11:14" x14ac:dyDescent="0.3">
      <c r="K12877" s="1">
        <v>41730</v>
      </c>
      <c r="M12877" t="e">
        <v>#N/A</v>
      </c>
      <c r="N12877" s="1">
        <v>41275</v>
      </c>
    </row>
    <row r="12878" spans="11:14" x14ac:dyDescent="0.3">
      <c r="K12878" s="1">
        <v>41730</v>
      </c>
      <c r="M12878" t="e">
        <v>#N/A</v>
      </c>
      <c r="N12878" s="1">
        <v>41275</v>
      </c>
    </row>
    <row r="12879" spans="11:14" x14ac:dyDescent="0.3">
      <c r="K12879" s="1">
        <v>41730</v>
      </c>
      <c r="M12879" t="e">
        <v>#N/A</v>
      </c>
      <c r="N12879" s="1">
        <v>41275</v>
      </c>
    </row>
    <row r="12880" spans="11:14" x14ac:dyDescent="0.3">
      <c r="K12880" s="1">
        <v>41730</v>
      </c>
      <c r="M12880" t="e">
        <v>#N/A</v>
      </c>
      <c r="N12880" s="1">
        <v>41275</v>
      </c>
    </row>
    <row r="12881" spans="11:14" x14ac:dyDescent="0.3">
      <c r="K12881" s="1">
        <v>41730</v>
      </c>
      <c r="M12881" t="e">
        <v>#N/A</v>
      </c>
      <c r="N12881" s="1">
        <v>41275</v>
      </c>
    </row>
    <row r="12882" spans="11:14" x14ac:dyDescent="0.3">
      <c r="K12882" s="1">
        <v>41730</v>
      </c>
      <c r="M12882" t="e">
        <v>#N/A</v>
      </c>
      <c r="N12882" s="1">
        <v>41275</v>
      </c>
    </row>
    <row r="12883" spans="11:14" x14ac:dyDescent="0.3">
      <c r="K12883" s="1">
        <v>41730</v>
      </c>
      <c r="M12883" t="e">
        <v>#N/A</v>
      </c>
      <c r="N12883" s="1">
        <v>41275</v>
      </c>
    </row>
    <row r="12884" spans="11:14" x14ac:dyDescent="0.3">
      <c r="K12884" s="1">
        <v>41730</v>
      </c>
      <c r="M12884" t="e">
        <v>#N/A</v>
      </c>
      <c r="N12884" s="1">
        <v>41275</v>
      </c>
    </row>
    <row r="12885" spans="11:14" x14ac:dyDescent="0.3">
      <c r="K12885" s="1">
        <v>41730</v>
      </c>
      <c r="M12885" t="e">
        <v>#N/A</v>
      </c>
      <c r="N12885" s="1">
        <v>41275</v>
      </c>
    </row>
    <row r="12886" spans="11:14" x14ac:dyDescent="0.3">
      <c r="K12886" s="1">
        <v>41730</v>
      </c>
      <c r="M12886" t="e">
        <v>#N/A</v>
      </c>
      <c r="N12886" s="1">
        <v>41275</v>
      </c>
    </row>
    <row r="12887" spans="11:14" x14ac:dyDescent="0.3">
      <c r="K12887" s="1">
        <v>41730</v>
      </c>
      <c r="M12887" t="e">
        <v>#N/A</v>
      </c>
      <c r="N12887" s="1">
        <v>41275</v>
      </c>
    </row>
    <row r="12888" spans="11:14" x14ac:dyDescent="0.3">
      <c r="K12888" s="1">
        <v>41730</v>
      </c>
      <c r="M12888" t="e">
        <v>#N/A</v>
      </c>
      <c r="N12888" s="1">
        <v>41275</v>
      </c>
    </row>
    <row r="12889" spans="11:14" x14ac:dyDescent="0.3">
      <c r="K12889" s="1">
        <v>41730</v>
      </c>
      <c r="M12889" t="e">
        <v>#N/A</v>
      </c>
      <c r="N12889" s="1">
        <v>41275</v>
      </c>
    </row>
    <row r="12890" spans="11:14" x14ac:dyDescent="0.3">
      <c r="K12890" s="1">
        <v>41730</v>
      </c>
      <c r="M12890" t="e">
        <v>#N/A</v>
      </c>
      <c r="N12890" s="1">
        <v>41275</v>
      </c>
    </row>
    <row r="12891" spans="11:14" x14ac:dyDescent="0.3">
      <c r="K12891" s="1">
        <v>41730</v>
      </c>
      <c r="M12891" t="e">
        <v>#N/A</v>
      </c>
      <c r="N12891" s="1">
        <v>41275</v>
      </c>
    </row>
    <row r="12892" spans="11:14" x14ac:dyDescent="0.3">
      <c r="K12892" s="1">
        <v>41730</v>
      </c>
      <c r="M12892" t="e">
        <v>#N/A</v>
      </c>
      <c r="N12892" s="1">
        <v>41275</v>
      </c>
    </row>
    <row r="12893" spans="11:14" x14ac:dyDescent="0.3">
      <c r="K12893" s="1">
        <v>41730</v>
      </c>
      <c r="M12893" t="e">
        <v>#N/A</v>
      </c>
      <c r="N12893" s="1">
        <v>41275</v>
      </c>
    </row>
    <row r="12894" spans="11:14" x14ac:dyDescent="0.3">
      <c r="K12894" s="1">
        <v>41730</v>
      </c>
      <c r="M12894" t="e">
        <v>#N/A</v>
      </c>
      <c r="N12894" s="1">
        <v>41275</v>
      </c>
    </row>
    <row r="12895" spans="11:14" x14ac:dyDescent="0.3">
      <c r="K12895" s="1">
        <v>41730</v>
      </c>
      <c r="M12895" t="e">
        <v>#N/A</v>
      </c>
      <c r="N12895" s="1">
        <v>41275</v>
      </c>
    </row>
    <row r="12896" spans="11:14" x14ac:dyDescent="0.3">
      <c r="K12896" s="1">
        <v>41730</v>
      </c>
      <c r="M12896" t="e">
        <v>#N/A</v>
      </c>
      <c r="N12896" s="1">
        <v>41275</v>
      </c>
    </row>
    <row r="12897" spans="11:14" x14ac:dyDescent="0.3">
      <c r="K12897" s="1">
        <v>41730</v>
      </c>
      <c r="M12897" t="e">
        <v>#N/A</v>
      </c>
      <c r="N12897" s="1">
        <v>41275</v>
      </c>
    </row>
    <row r="12898" spans="11:14" x14ac:dyDescent="0.3">
      <c r="K12898" s="1">
        <v>41730</v>
      </c>
      <c r="M12898" t="e">
        <v>#N/A</v>
      </c>
      <c r="N12898" s="1">
        <v>41275</v>
      </c>
    </row>
    <row r="12899" spans="11:14" x14ac:dyDescent="0.3">
      <c r="K12899" s="1">
        <v>41730</v>
      </c>
      <c r="M12899" t="e">
        <v>#N/A</v>
      </c>
      <c r="N12899" s="1">
        <v>41275</v>
      </c>
    </row>
    <row r="12900" spans="11:14" x14ac:dyDescent="0.3">
      <c r="K12900" s="1">
        <v>41730</v>
      </c>
      <c r="M12900" t="e">
        <v>#N/A</v>
      </c>
      <c r="N12900" s="1">
        <v>41275</v>
      </c>
    </row>
    <row r="12901" spans="11:14" x14ac:dyDescent="0.3">
      <c r="K12901" s="1">
        <v>41730</v>
      </c>
      <c r="M12901" t="e">
        <v>#N/A</v>
      </c>
      <c r="N12901" s="1">
        <v>41275</v>
      </c>
    </row>
    <row r="12902" spans="11:14" x14ac:dyDescent="0.3">
      <c r="K12902" s="1">
        <v>41730</v>
      </c>
      <c r="M12902" t="e">
        <v>#N/A</v>
      </c>
      <c r="N12902" s="1">
        <v>41275</v>
      </c>
    </row>
    <row r="12903" spans="11:14" x14ac:dyDescent="0.3">
      <c r="K12903" s="1">
        <v>41730</v>
      </c>
      <c r="M12903" t="e">
        <v>#N/A</v>
      </c>
      <c r="N12903" s="1">
        <v>41275</v>
      </c>
    </row>
    <row r="12904" spans="11:14" x14ac:dyDescent="0.3">
      <c r="K12904" s="1">
        <v>41730</v>
      </c>
      <c r="M12904" t="e">
        <v>#N/A</v>
      </c>
      <c r="N12904" s="1">
        <v>41275</v>
      </c>
    </row>
    <row r="12905" spans="11:14" x14ac:dyDescent="0.3">
      <c r="K12905" s="1">
        <v>41730</v>
      </c>
      <c r="M12905" t="e">
        <v>#N/A</v>
      </c>
      <c r="N12905" s="1">
        <v>41275</v>
      </c>
    </row>
    <row r="12906" spans="11:14" x14ac:dyDescent="0.3">
      <c r="K12906" s="1">
        <v>41730</v>
      </c>
      <c r="M12906" t="e">
        <v>#N/A</v>
      </c>
      <c r="N12906" s="1">
        <v>41275</v>
      </c>
    </row>
    <row r="12907" spans="11:14" x14ac:dyDescent="0.3">
      <c r="K12907" s="1">
        <v>41730</v>
      </c>
      <c r="M12907" t="e">
        <v>#N/A</v>
      </c>
      <c r="N12907" s="1">
        <v>41275</v>
      </c>
    </row>
    <row r="12908" spans="11:14" x14ac:dyDescent="0.3">
      <c r="K12908" s="1">
        <v>41730</v>
      </c>
      <c r="M12908" t="e">
        <v>#N/A</v>
      </c>
      <c r="N12908" s="1">
        <v>41275</v>
      </c>
    </row>
    <row r="12909" spans="11:14" x14ac:dyDescent="0.3">
      <c r="K12909" s="1">
        <v>41730</v>
      </c>
      <c r="M12909" t="e">
        <v>#N/A</v>
      </c>
      <c r="N12909" s="1">
        <v>41275</v>
      </c>
    </row>
    <row r="12910" spans="11:14" x14ac:dyDescent="0.3">
      <c r="K12910" s="1">
        <v>41730</v>
      </c>
      <c r="M12910" t="e">
        <v>#N/A</v>
      </c>
      <c r="N12910" s="1">
        <v>41275</v>
      </c>
    </row>
    <row r="12911" spans="11:14" x14ac:dyDescent="0.3">
      <c r="K12911" s="1">
        <v>41730</v>
      </c>
      <c r="M12911" t="e">
        <v>#N/A</v>
      </c>
      <c r="N12911" s="1">
        <v>41275</v>
      </c>
    </row>
    <row r="12912" spans="11:14" x14ac:dyDescent="0.3">
      <c r="K12912" s="1">
        <v>41730</v>
      </c>
      <c r="M12912" t="e">
        <v>#N/A</v>
      </c>
      <c r="N12912" s="1">
        <v>41275</v>
      </c>
    </row>
    <row r="12913" spans="11:14" x14ac:dyDescent="0.3">
      <c r="K12913" s="1">
        <v>41730</v>
      </c>
      <c r="M12913" t="e">
        <v>#N/A</v>
      </c>
      <c r="N12913" s="1">
        <v>41275</v>
      </c>
    </row>
    <row r="12914" spans="11:14" x14ac:dyDescent="0.3">
      <c r="K12914" s="1">
        <v>41730</v>
      </c>
      <c r="M12914" t="e">
        <v>#N/A</v>
      </c>
      <c r="N12914" s="1">
        <v>41275</v>
      </c>
    </row>
    <row r="12915" spans="11:14" x14ac:dyDescent="0.3">
      <c r="K12915" s="1">
        <v>41730</v>
      </c>
      <c r="M12915" t="e">
        <v>#N/A</v>
      </c>
      <c r="N12915" s="1">
        <v>41275</v>
      </c>
    </row>
    <row r="12916" spans="11:14" x14ac:dyDescent="0.3">
      <c r="K12916" s="1">
        <v>41730</v>
      </c>
      <c r="M12916" t="e">
        <v>#N/A</v>
      </c>
      <c r="N12916" s="1">
        <v>41275</v>
      </c>
    </row>
    <row r="12917" spans="11:14" x14ac:dyDescent="0.3">
      <c r="K12917" s="1">
        <v>41730</v>
      </c>
      <c r="M12917" t="e">
        <v>#N/A</v>
      </c>
      <c r="N12917" s="1">
        <v>41275</v>
      </c>
    </row>
    <row r="12918" spans="11:14" x14ac:dyDescent="0.3">
      <c r="K12918" s="1">
        <v>41730</v>
      </c>
      <c r="M12918" t="e">
        <v>#N/A</v>
      </c>
      <c r="N12918" s="1">
        <v>41275</v>
      </c>
    </row>
    <row r="12919" spans="11:14" x14ac:dyDescent="0.3">
      <c r="K12919" s="1">
        <v>41730</v>
      </c>
      <c r="M12919" t="e">
        <v>#N/A</v>
      </c>
      <c r="N12919" s="1">
        <v>41275</v>
      </c>
    </row>
    <row r="12920" spans="11:14" x14ac:dyDescent="0.3">
      <c r="K12920" s="1">
        <v>41730</v>
      </c>
      <c r="M12920" t="e">
        <v>#N/A</v>
      </c>
      <c r="N12920" s="1">
        <v>41275</v>
      </c>
    </row>
    <row r="12921" spans="11:14" x14ac:dyDescent="0.3">
      <c r="K12921" s="1">
        <v>41730</v>
      </c>
      <c r="M12921" t="e">
        <v>#N/A</v>
      </c>
      <c r="N12921" s="1">
        <v>41275</v>
      </c>
    </row>
    <row r="12922" spans="11:14" x14ac:dyDescent="0.3">
      <c r="K12922" s="1">
        <v>41730</v>
      </c>
      <c r="M12922" t="e">
        <v>#N/A</v>
      </c>
      <c r="N12922" s="1">
        <v>41275</v>
      </c>
    </row>
    <row r="12923" spans="11:14" x14ac:dyDescent="0.3">
      <c r="K12923" s="1">
        <v>41730</v>
      </c>
      <c r="M12923" t="e">
        <v>#N/A</v>
      </c>
      <c r="N12923" s="1">
        <v>41275</v>
      </c>
    </row>
    <row r="12924" spans="11:14" x14ac:dyDescent="0.3">
      <c r="K12924" s="1">
        <v>41730</v>
      </c>
      <c r="M12924" t="e">
        <v>#N/A</v>
      </c>
      <c r="N12924" s="1">
        <v>41275</v>
      </c>
    </row>
    <row r="12925" spans="11:14" x14ac:dyDescent="0.3">
      <c r="K12925" s="1">
        <v>41730</v>
      </c>
      <c r="M12925" t="e">
        <v>#N/A</v>
      </c>
      <c r="N12925" s="1">
        <v>41275</v>
      </c>
    </row>
    <row r="12926" spans="11:14" x14ac:dyDescent="0.3">
      <c r="K12926" s="1">
        <v>41730</v>
      </c>
      <c r="M12926" t="e">
        <v>#N/A</v>
      </c>
      <c r="N12926" s="1">
        <v>41275</v>
      </c>
    </row>
    <row r="12927" spans="11:14" x14ac:dyDescent="0.3">
      <c r="K12927" s="1">
        <v>41730</v>
      </c>
      <c r="M12927" t="e">
        <v>#N/A</v>
      </c>
      <c r="N12927" s="1">
        <v>41275</v>
      </c>
    </row>
    <row r="12928" spans="11:14" x14ac:dyDescent="0.3">
      <c r="K12928" s="1">
        <v>41730</v>
      </c>
      <c r="M12928" t="e">
        <v>#N/A</v>
      </c>
      <c r="N12928" s="1">
        <v>41275</v>
      </c>
    </row>
    <row r="12929" spans="11:14" x14ac:dyDescent="0.3">
      <c r="K12929" s="1">
        <v>41730</v>
      </c>
      <c r="M12929" t="e">
        <v>#N/A</v>
      </c>
      <c r="N12929" s="1">
        <v>41275</v>
      </c>
    </row>
    <row r="12930" spans="11:14" x14ac:dyDescent="0.3">
      <c r="K12930" s="1">
        <v>41730</v>
      </c>
      <c r="M12930" t="e">
        <v>#N/A</v>
      </c>
      <c r="N12930" s="1">
        <v>41275</v>
      </c>
    </row>
    <row r="12931" spans="11:14" x14ac:dyDescent="0.3">
      <c r="K12931" s="1">
        <v>41730</v>
      </c>
      <c r="M12931" t="e">
        <v>#N/A</v>
      </c>
      <c r="N12931" s="1">
        <v>41275</v>
      </c>
    </row>
    <row r="12932" spans="11:14" x14ac:dyDescent="0.3">
      <c r="K12932" s="1">
        <v>41730</v>
      </c>
      <c r="M12932" t="e">
        <v>#N/A</v>
      </c>
      <c r="N12932" s="1">
        <v>41365</v>
      </c>
    </row>
    <row r="12933" spans="11:14" x14ac:dyDescent="0.3">
      <c r="K12933" s="1">
        <v>41730</v>
      </c>
      <c r="M12933" t="e">
        <v>#N/A</v>
      </c>
      <c r="N12933" s="1">
        <v>41365</v>
      </c>
    </row>
    <row r="12934" spans="11:14" x14ac:dyDescent="0.3">
      <c r="K12934" s="1">
        <v>41730</v>
      </c>
      <c r="M12934" t="e">
        <v>#N/A</v>
      </c>
      <c r="N12934" s="1">
        <v>41365</v>
      </c>
    </row>
    <row r="12935" spans="11:14" x14ac:dyDescent="0.3">
      <c r="K12935" s="1">
        <v>41730</v>
      </c>
      <c r="M12935" t="e">
        <v>#N/A</v>
      </c>
      <c r="N12935" s="1">
        <v>41365</v>
      </c>
    </row>
    <row r="12936" spans="11:14" x14ac:dyDescent="0.3">
      <c r="K12936" s="1">
        <v>41730</v>
      </c>
      <c r="M12936" t="e">
        <v>#N/A</v>
      </c>
      <c r="N12936" s="1">
        <v>41365</v>
      </c>
    </row>
    <row r="12937" spans="11:14" x14ac:dyDescent="0.3">
      <c r="K12937" s="1">
        <v>41730</v>
      </c>
      <c r="M12937" t="e">
        <v>#N/A</v>
      </c>
      <c r="N12937" s="1">
        <v>41365</v>
      </c>
    </row>
    <row r="12938" spans="11:14" x14ac:dyDescent="0.3">
      <c r="K12938" s="1">
        <v>41730</v>
      </c>
      <c r="M12938" t="e">
        <v>#N/A</v>
      </c>
      <c r="N12938" s="1">
        <v>41365</v>
      </c>
    </row>
    <row r="12939" spans="11:14" x14ac:dyDescent="0.3">
      <c r="K12939" s="1">
        <v>41730</v>
      </c>
      <c r="M12939" t="e">
        <v>#N/A</v>
      </c>
      <c r="N12939" s="1">
        <v>41365</v>
      </c>
    </row>
    <row r="12940" spans="11:14" x14ac:dyDescent="0.3">
      <c r="K12940" s="1">
        <v>41730</v>
      </c>
      <c r="M12940" t="e">
        <v>#N/A</v>
      </c>
      <c r="N12940" s="1">
        <v>41365</v>
      </c>
    </row>
    <row r="12941" spans="11:14" x14ac:dyDescent="0.3">
      <c r="K12941" s="1">
        <v>41730</v>
      </c>
      <c r="M12941" t="e">
        <v>#N/A</v>
      </c>
      <c r="N12941" s="1">
        <v>41365</v>
      </c>
    </row>
    <row r="12942" spans="11:14" x14ac:dyDescent="0.3">
      <c r="K12942" s="1">
        <v>41730</v>
      </c>
      <c r="M12942" t="e">
        <v>#N/A</v>
      </c>
      <c r="N12942" s="1">
        <v>41365</v>
      </c>
    </row>
    <row r="12943" spans="11:14" x14ac:dyDescent="0.3">
      <c r="K12943" s="1">
        <v>41730</v>
      </c>
      <c r="M12943" t="e">
        <v>#N/A</v>
      </c>
      <c r="N12943" s="1">
        <v>41365</v>
      </c>
    </row>
    <row r="12944" spans="11:14" x14ac:dyDescent="0.3">
      <c r="K12944" s="1">
        <v>41730</v>
      </c>
      <c r="M12944" t="e">
        <v>#N/A</v>
      </c>
      <c r="N12944" s="1">
        <v>41365</v>
      </c>
    </row>
    <row r="12945" spans="11:14" x14ac:dyDescent="0.3">
      <c r="K12945" s="1">
        <v>41730</v>
      </c>
      <c r="M12945" t="e">
        <v>#N/A</v>
      </c>
      <c r="N12945" s="1">
        <v>41365</v>
      </c>
    </row>
    <row r="12946" spans="11:14" x14ac:dyDescent="0.3">
      <c r="K12946" s="1">
        <v>41730</v>
      </c>
      <c r="M12946" t="e">
        <v>#N/A</v>
      </c>
      <c r="N12946" s="1">
        <v>41365</v>
      </c>
    </row>
    <row r="12947" spans="11:14" x14ac:dyDescent="0.3">
      <c r="K12947" s="1">
        <v>41730</v>
      </c>
      <c r="M12947" t="e">
        <v>#N/A</v>
      </c>
      <c r="N12947" s="1">
        <v>41365</v>
      </c>
    </row>
    <row r="12948" spans="11:14" x14ac:dyDescent="0.3">
      <c r="K12948" s="1">
        <v>41730</v>
      </c>
      <c r="M12948" t="e">
        <v>#N/A</v>
      </c>
      <c r="N12948" s="1">
        <v>41365</v>
      </c>
    </row>
    <row r="12949" spans="11:14" x14ac:dyDescent="0.3">
      <c r="K12949" s="1">
        <v>41730</v>
      </c>
      <c r="M12949" t="e">
        <v>#N/A</v>
      </c>
      <c r="N12949" s="1">
        <v>41365</v>
      </c>
    </row>
    <row r="12950" spans="11:14" x14ac:dyDescent="0.3">
      <c r="K12950" s="1">
        <v>41730</v>
      </c>
      <c r="M12950" t="e">
        <v>#N/A</v>
      </c>
      <c r="N12950" s="1">
        <v>41365</v>
      </c>
    </row>
    <row r="12951" spans="11:14" x14ac:dyDescent="0.3">
      <c r="K12951" s="1">
        <v>41730</v>
      </c>
      <c r="M12951" t="e">
        <v>#N/A</v>
      </c>
      <c r="N12951" s="1">
        <v>41365</v>
      </c>
    </row>
    <row r="12952" spans="11:14" x14ac:dyDescent="0.3">
      <c r="K12952" s="1">
        <v>41730</v>
      </c>
      <c r="M12952" t="e">
        <v>#N/A</v>
      </c>
      <c r="N12952" s="1">
        <v>41365</v>
      </c>
    </row>
    <row r="12953" spans="11:14" x14ac:dyDescent="0.3">
      <c r="K12953" s="1">
        <v>41730</v>
      </c>
      <c r="M12953" t="e">
        <v>#N/A</v>
      </c>
      <c r="N12953" s="1">
        <v>41365</v>
      </c>
    </row>
    <row r="12954" spans="11:14" x14ac:dyDescent="0.3">
      <c r="K12954" s="1">
        <v>41730</v>
      </c>
      <c r="M12954" t="e">
        <v>#N/A</v>
      </c>
      <c r="N12954" s="1">
        <v>41365</v>
      </c>
    </row>
    <row r="12955" spans="11:14" x14ac:dyDescent="0.3">
      <c r="K12955" s="1">
        <v>41730</v>
      </c>
      <c r="M12955" t="e">
        <v>#N/A</v>
      </c>
      <c r="N12955" s="1">
        <v>41365</v>
      </c>
    </row>
    <row r="12956" spans="11:14" x14ac:dyDescent="0.3">
      <c r="K12956" s="1">
        <v>41730</v>
      </c>
      <c r="M12956" t="e">
        <v>#N/A</v>
      </c>
      <c r="N12956" s="1">
        <v>41365</v>
      </c>
    </row>
    <row r="12957" spans="11:14" x14ac:dyDescent="0.3">
      <c r="K12957" s="1">
        <v>41730</v>
      </c>
      <c r="M12957" t="e">
        <v>#N/A</v>
      </c>
      <c r="N12957" s="1">
        <v>41365</v>
      </c>
    </row>
    <row r="12958" spans="11:14" x14ac:dyDescent="0.3">
      <c r="K12958" s="1">
        <v>41730</v>
      </c>
      <c r="M12958" t="e">
        <v>#N/A</v>
      </c>
      <c r="N12958" s="1">
        <v>41365</v>
      </c>
    </row>
    <row r="12959" spans="11:14" x14ac:dyDescent="0.3">
      <c r="K12959" s="1">
        <v>41730</v>
      </c>
      <c r="M12959" t="e">
        <v>#N/A</v>
      </c>
      <c r="N12959" s="1">
        <v>41365</v>
      </c>
    </row>
    <row r="12960" spans="11:14" x14ac:dyDescent="0.3">
      <c r="K12960" s="1">
        <v>41730</v>
      </c>
      <c r="M12960" t="e">
        <v>#N/A</v>
      </c>
      <c r="N12960" s="1">
        <v>41365</v>
      </c>
    </row>
    <row r="12961" spans="11:14" x14ac:dyDescent="0.3">
      <c r="K12961" s="1">
        <v>41730</v>
      </c>
      <c r="M12961" t="e">
        <v>#N/A</v>
      </c>
      <c r="N12961" s="1">
        <v>41365</v>
      </c>
    </row>
    <row r="12962" spans="11:14" x14ac:dyDescent="0.3">
      <c r="K12962" s="1">
        <v>41730</v>
      </c>
      <c r="M12962" t="e">
        <v>#N/A</v>
      </c>
      <c r="N12962" s="1">
        <v>41365</v>
      </c>
    </row>
    <row r="12963" spans="11:14" x14ac:dyDescent="0.3">
      <c r="K12963" s="1">
        <v>41730</v>
      </c>
      <c r="M12963" t="e">
        <v>#N/A</v>
      </c>
      <c r="N12963" s="1">
        <v>41365</v>
      </c>
    </row>
    <row r="12964" spans="11:14" x14ac:dyDescent="0.3">
      <c r="K12964" s="1">
        <v>41730</v>
      </c>
      <c r="M12964" t="e">
        <v>#N/A</v>
      </c>
      <c r="N12964" s="1">
        <v>41365</v>
      </c>
    </row>
    <row r="12965" spans="11:14" x14ac:dyDescent="0.3">
      <c r="K12965" s="1">
        <v>41730</v>
      </c>
      <c r="M12965" t="e">
        <v>#N/A</v>
      </c>
      <c r="N12965" s="1">
        <v>41365</v>
      </c>
    </row>
    <row r="12966" spans="11:14" x14ac:dyDescent="0.3">
      <c r="K12966" s="1">
        <v>41730</v>
      </c>
      <c r="M12966" t="e">
        <v>#N/A</v>
      </c>
      <c r="N12966" s="1">
        <v>41365</v>
      </c>
    </row>
    <row r="12967" spans="11:14" x14ac:dyDescent="0.3">
      <c r="K12967" s="1">
        <v>41730</v>
      </c>
      <c r="M12967" t="e">
        <v>#N/A</v>
      </c>
      <c r="N12967" s="1">
        <v>41365</v>
      </c>
    </row>
    <row r="12968" spans="11:14" x14ac:dyDescent="0.3">
      <c r="K12968" s="1">
        <v>41730</v>
      </c>
      <c r="M12968" t="e">
        <v>#N/A</v>
      </c>
      <c r="N12968" s="1">
        <v>41365</v>
      </c>
    </row>
    <row r="12969" spans="11:14" x14ac:dyDescent="0.3">
      <c r="K12969" s="1">
        <v>41730</v>
      </c>
      <c r="M12969" t="e">
        <v>#N/A</v>
      </c>
      <c r="N12969" s="1">
        <v>41365</v>
      </c>
    </row>
    <row r="12970" spans="11:14" x14ac:dyDescent="0.3">
      <c r="K12970" s="1">
        <v>41730</v>
      </c>
      <c r="M12970" t="e">
        <v>#N/A</v>
      </c>
      <c r="N12970" s="1">
        <v>41365</v>
      </c>
    </row>
    <row r="12971" spans="11:14" x14ac:dyDescent="0.3">
      <c r="K12971" s="1">
        <v>41730</v>
      </c>
      <c r="M12971" t="e">
        <v>#N/A</v>
      </c>
      <c r="N12971" s="1">
        <v>41365</v>
      </c>
    </row>
    <row r="12972" spans="11:14" x14ac:dyDescent="0.3">
      <c r="K12972" s="1">
        <v>41730</v>
      </c>
      <c r="M12972" t="e">
        <v>#N/A</v>
      </c>
      <c r="N12972" s="1">
        <v>41365</v>
      </c>
    </row>
    <row r="12973" spans="11:14" x14ac:dyDescent="0.3">
      <c r="K12973" s="1">
        <v>41730</v>
      </c>
      <c r="M12973" t="e">
        <v>#N/A</v>
      </c>
      <c r="N12973" s="1">
        <v>41365</v>
      </c>
    </row>
    <row r="12974" spans="11:14" x14ac:dyDescent="0.3">
      <c r="K12974" s="1">
        <v>41730</v>
      </c>
      <c r="M12974" t="e">
        <v>#N/A</v>
      </c>
      <c r="N12974" s="1">
        <v>41365</v>
      </c>
    </row>
    <row r="12975" spans="11:14" x14ac:dyDescent="0.3">
      <c r="K12975" s="1">
        <v>41730</v>
      </c>
      <c r="M12975" t="e">
        <v>#N/A</v>
      </c>
      <c r="N12975" s="1">
        <v>41365</v>
      </c>
    </row>
    <row r="12976" spans="11:14" x14ac:dyDescent="0.3">
      <c r="K12976" s="1">
        <v>41730</v>
      </c>
      <c r="M12976" t="e">
        <v>#N/A</v>
      </c>
      <c r="N12976" s="1">
        <v>41365</v>
      </c>
    </row>
    <row r="12977" spans="11:14" x14ac:dyDescent="0.3">
      <c r="K12977" s="1">
        <v>41730</v>
      </c>
      <c r="M12977" t="e">
        <v>#N/A</v>
      </c>
      <c r="N12977" s="1">
        <v>41365</v>
      </c>
    </row>
    <row r="12978" spans="11:14" x14ac:dyDescent="0.3">
      <c r="K12978" s="1">
        <v>41730</v>
      </c>
      <c r="M12978" t="e">
        <v>#N/A</v>
      </c>
      <c r="N12978" s="1">
        <v>41365</v>
      </c>
    </row>
    <row r="12979" spans="11:14" x14ac:dyDescent="0.3">
      <c r="K12979" s="1">
        <v>41730</v>
      </c>
      <c r="M12979" t="e">
        <v>#N/A</v>
      </c>
      <c r="N12979" s="1">
        <v>41365</v>
      </c>
    </row>
    <row r="12980" spans="11:14" x14ac:dyDescent="0.3">
      <c r="K12980" s="1">
        <v>41730</v>
      </c>
      <c r="M12980" t="e">
        <v>#N/A</v>
      </c>
      <c r="N12980" s="1">
        <v>41365</v>
      </c>
    </row>
    <row r="12981" spans="11:14" x14ac:dyDescent="0.3">
      <c r="K12981" s="1">
        <v>41730</v>
      </c>
      <c r="M12981" t="e">
        <v>#N/A</v>
      </c>
      <c r="N12981" s="1">
        <v>41365</v>
      </c>
    </row>
    <row r="12982" spans="11:14" x14ac:dyDescent="0.3">
      <c r="K12982" s="1">
        <v>41730</v>
      </c>
      <c r="M12982" t="e">
        <v>#N/A</v>
      </c>
      <c r="N12982" s="1">
        <v>41365</v>
      </c>
    </row>
    <row r="12983" spans="11:14" x14ac:dyDescent="0.3">
      <c r="K12983" s="1">
        <v>41730</v>
      </c>
      <c r="M12983" t="e">
        <v>#N/A</v>
      </c>
      <c r="N12983" s="1">
        <v>41365</v>
      </c>
    </row>
    <row r="12984" spans="11:14" x14ac:dyDescent="0.3">
      <c r="K12984" s="1">
        <v>41730</v>
      </c>
      <c r="M12984" t="e">
        <v>#N/A</v>
      </c>
      <c r="N12984" s="1">
        <v>41365</v>
      </c>
    </row>
    <row r="12985" spans="11:14" x14ac:dyDescent="0.3">
      <c r="K12985" s="1">
        <v>41730</v>
      </c>
      <c r="M12985" t="e">
        <v>#N/A</v>
      </c>
      <c r="N12985" s="1">
        <v>41365</v>
      </c>
    </row>
    <row r="12986" spans="11:14" x14ac:dyDescent="0.3">
      <c r="K12986" s="1">
        <v>41730</v>
      </c>
      <c r="M12986" t="e">
        <v>#N/A</v>
      </c>
      <c r="N12986" s="1">
        <v>41365</v>
      </c>
    </row>
    <row r="12987" spans="11:14" x14ac:dyDescent="0.3">
      <c r="K12987" s="1">
        <v>41730</v>
      </c>
      <c r="M12987" t="e">
        <v>#N/A</v>
      </c>
      <c r="N12987" s="1">
        <v>41365</v>
      </c>
    </row>
    <row r="12988" spans="11:14" x14ac:dyDescent="0.3">
      <c r="K12988" s="1">
        <v>41730</v>
      </c>
      <c r="M12988" t="e">
        <v>#N/A</v>
      </c>
      <c r="N12988" s="1">
        <v>41365</v>
      </c>
    </row>
    <row r="12989" spans="11:14" x14ac:dyDescent="0.3">
      <c r="K12989" s="1">
        <v>41730</v>
      </c>
      <c r="M12989" t="e">
        <v>#N/A</v>
      </c>
      <c r="N12989" s="1">
        <v>41365</v>
      </c>
    </row>
    <row r="12990" spans="11:14" x14ac:dyDescent="0.3">
      <c r="K12990" s="1">
        <v>41730</v>
      </c>
      <c r="M12990" t="e">
        <v>#N/A</v>
      </c>
      <c r="N12990" s="1">
        <v>41365</v>
      </c>
    </row>
    <row r="12991" spans="11:14" x14ac:dyDescent="0.3">
      <c r="K12991" s="1">
        <v>41730</v>
      </c>
      <c r="M12991" t="e">
        <v>#N/A</v>
      </c>
      <c r="N12991" s="1">
        <v>41365</v>
      </c>
    </row>
    <row r="12992" spans="11:14" x14ac:dyDescent="0.3">
      <c r="K12992" s="1">
        <v>41730</v>
      </c>
      <c r="M12992" t="e">
        <v>#N/A</v>
      </c>
      <c r="N12992" s="1">
        <v>41365</v>
      </c>
    </row>
    <row r="12993" spans="11:14" x14ac:dyDescent="0.3">
      <c r="K12993" s="1">
        <v>41730</v>
      </c>
      <c r="M12993" t="e">
        <v>#N/A</v>
      </c>
      <c r="N12993" s="1">
        <v>41365</v>
      </c>
    </row>
    <row r="12994" spans="11:14" x14ac:dyDescent="0.3">
      <c r="K12994" s="1">
        <v>41730</v>
      </c>
      <c r="M12994" t="e">
        <v>#N/A</v>
      </c>
      <c r="N12994" s="1">
        <v>41365</v>
      </c>
    </row>
    <row r="12995" spans="11:14" x14ac:dyDescent="0.3">
      <c r="K12995" s="1">
        <v>41730</v>
      </c>
      <c r="M12995" t="e">
        <v>#N/A</v>
      </c>
      <c r="N12995" s="1">
        <v>41365</v>
      </c>
    </row>
    <row r="12996" spans="11:14" x14ac:dyDescent="0.3">
      <c r="K12996" s="1">
        <v>41730</v>
      </c>
      <c r="M12996" t="e">
        <v>#N/A</v>
      </c>
      <c r="N12996" s="1">
        <v>41365</v>
      </c>
    </row>
    <row r="12997" spans="11:14" x14ac:dyDescent="0.3">
      <c r="K12997" s="1">
        <v>41730</v>
      </c>
      <c r="M12997" t="e">
        <v>#N/A</v>
      </c>
      <c r="N12997" s="1">
        <v>41365</v>
      </c>
    </row>
    <row r="12998" spans="11:14" x14ac:dyDescent="0.3">
      <c r="K12998" s="1">
        <v>41730</v>
      </c>
      <c r="M12998" t="e">
        <v>#N/A</v>
      </c>
      <c r="N12998" s="1">
        <v>41365</v>
      </c>
    </row>
    <row r="12999" spans="11:14" x14ac:dyDescent="0.3">
      <c r="K12999" s="1">
        <v>41730</v>
      </c>
      <c r="M12999" t="e">
        <v>#N/A</v>
      </c>
      <c r="N12999" s="1">
        <v>41365</v>
      </c>
    </row>
    <row r="13000" spans="11:14" x14ac:dyDescent="0.3">
      <c r="K13000" s="1">
        <v>41730</v>
      </c>
      <c r="M13000" t="e">
        <v>#N/A</v>
      </c>
      <c r="N13000" s="1">
        <v>41365</v>
      </c>
    </row>
    <row r="13001" spans="11:14" x14ac:dyDescent="0.3">
      <c r="K13001" s="1">
        <v>41730</v>
      </c>
      <c r="M13001" t="e">
        <v>#N/A</v>
      </c>
      <c r="N13001" s="1">
        <v>41365</v>
      </c>
    </row>
    <row r="13002" spans="11:14" x14ac:dyDescent="0.3">
      <c r="K13002" s="1">
        <v>41730</v>
      </c>
      <c r="M13002" t="e">
        <v>#N/A</v>
      </c>
      <c r="N13002" s="1">
        <v>41365</v>
      </c>
    </row>
    <row r="13003" spans="11:14" x14ac:dyDescent="0.3">
      <c r="K13003" s="1">
        <v>41730</v>
      </c>
      <c r="M13003" t="e">
        <v>#N/A</v>
      </c>
      <c r="N13003" s="1">
        <v>41365</v>
      </c>
    </row>
    <row r="13004" spans="11:14" x14ac:dyDescent="0.3">
      <c r="K13004" s="1">
        <v>41730</v>
      </c>
      <c r="M13004" t="e">
        <v>#N/A</v>
      </c>
      <c r="N13004" s="1">
        <v>41365</v>
      </c>
    </row>
    <row r="13005" spans="11:14" x14ac:dyDescent="0.3">
      <c r="K13005" s="1">
        <v>41730</v>
      </c>
      <c r="M13005" t="e">
        <v>#N/A</v>
      </c>
      <c r="N13005" s="1">
        <v>41365</v>
      </c>
    </row>
    <row r="13006" spans="11:14" x14ac:dyDescent="0.3">
      <c r="K13006" s="1">
        <v>41730</v>
      </c>
      <c r="M13006" t="e">
        <v>#N/A</v>
      </c>
      <c r="N13006" s="1">
        <v>41365</v>
      </c>
    </row>
    <row r="13007" spans="11:14" x14ac:dyDescent="0.3">
      <c r="K13007" s="1">
        <v>41730</v>
      </c>
      <c r="M13007" t="e">
        <v>#N/A</v>
      </c>
      <c r="N13007" s="1">
        <v>41365</v>
      </c>
    </row>
    <row r="13008" spans="11:14" x14ac:dyDescent="0.3">
      <c r="K13008" s="1">
        <v>41730</v>
      </c>
      <c r="M13008" t="e">
        <v>#N/A</v>
      </c>
      <c r="N13008" s="1">
        <v>41365</v>
      </c>
    </row>
    <row r="13009" spans="11:14" x14ac:dyDescent="0.3">
      <c r="K13009" s="1">
        <v>41730</v>
      </c>
      <c r="M13009" t="e">
        <v>#N/A</v>
      </c>
      <c r="N13009" s="1">
        <v>41365</v>
      </c>
    </row>
    <row r="13010" spans="11:14" x14ac:dyDescent="0.3">
      <c r="K13010" s="1">
        <v>41730</v>
      </c>
      <c r="M13010" t="e">
        <v>#N/A</v>
      </c>
      <c r="N13010" s="1">
        <v>41365</v>
      </c>
    </row>
    <row r="13011" spans="11:14" x14ac:dyDescent="0.3">
      <c r="K13011" s="1">
        <v>41730</v>
      </c>
      <c r="M13011" t="e">
        <v>#N/A</v>
      </c>
      <c r="N13011" s="1">
        <v>41365</v>
      </c>
    </row>
    <row r="13012" spans="11:14" x14ac:dyDescent="0.3">
      <c r="K13012" s="1">
        <v>41730</v>
      </c>
      <c r="M13012" t="e">
        <v>#N/A</v>
      </c>
      <c r="N13012" s="1">
        <v>41365</v>
      </c>
    </row>
    <row r="13013" spans="11:14" x14ac:dyDescent="0.3">
      <c r="K13013" s="1">
        <v>41730</v>
      </c>
      <c r="M13013" t="e">
        <v>#N/A</v>
      </c>
      <c r="N13013" s="1">
        <v>41365</v>
      </c>
    </row>
    <row r="13014" spans="11:14" x14ac:dyDescent="0.3">
      <c r="K13014" s="1">
        <v>41730</v>
      </c>
      <c r="M13014" t="e">
        <v>#N/A</v>
      </c>
      <c r="N13014" s="1">
        <v>41365</v>
      </c>
    </row>
    <row r="13015" spans="11:14" x14ac:dyDescent="0.3">
      <c r="K13015" s="1">
        <v>41730</v>
      </c>
      <c r="M13015" t="e">
        <v>#N/A</v>
      </c>
      <c r="N13015" s="1">
        <v>41365</v>
      </c>
    </row>
    <row r="13016" spans="11:14" x14ac:dyDescent="0.3">
      <c r="K13016" s="1">
        <v>41730</v>
      </c>
      <c r="M13016" t="e">
        <v>#N/A</v>
      </c>
      <c r="N13016" s="1">
        <v>41365</v>
      </c>
    </row>
    <row r="13017" spans="11:14" x14ac:dyDescent="0.3">
      <c r="K13017" s="1">
        <v>41730</v>
      </c>
      <c r="M13017" t="e">
        <v>#N/A</v>
      </c>
      <c r="N13017" s="1">
        <v>41365</v>
      </c>
    </row>
    <row r="13018" spans="11:14" x14ac:dyDescent="0.3">
      <c r="K13018" s="1">
        <v>41730</v>
      </c>
      <c r="M13018" t="e">
        <v>#N/A</v>
      </c>
      <c r="N13018" s="1">
        <v>41365</v>
      </c>
    </row>
    <row r="13019" spans="11:14" x14ac:dyDescent="0.3">
      <c r="K13019" s="1">
        <v>41730</v>
      </c>
      <c r="M13019" t="e">
        <v>#N/A</v>
      </c>
      <c r="N13019" s="1">
        <v>41365</v>
      </c>
    </row>
    <row r="13020" spans="11:14" x14ac:dyDescent="0.3">
      <c r="K13020" s="1">
        <v>41730</v>
      </c>
      <c r="M13020" t="e">
        <v>#N/A</v>
      </c>
      <c r="N13020" s="1">
        <v>41365</v>
      </c>
    </row>
    <row r="13021" spans="11:14" x14ac:dyDescent="0.3">
      <c r="K13021" s="1">
        <v>41730</v>
      </c>
      <c r="M13021" t="e">
        <v>#N/A</v>
      </c>
      <c r="N13021" s="1">
        <v>41365</v>
      </c>
    </row>
    <row r="13022" spans="11:14" x14ac:dyDescent="0.3">
      <c r="K13022" s="1">
        <v>41730</v>
      </c>
      <c r="M13022" t="e">
        <v>#N/A</v>
      </c>
      <c r="N13022" s="1">
        <v>41365</v>
      </c>
    </row>
    <row r="13023" spans="11:14" x14ac:dyDescent="0.3">
      <c r="K13023" s="1">
        <v>41730</v>
      </c>
      <c r="M13023" t="e">
        <v>#N/A</v>
      </c>
      <c r="N13023" s="1">
        <v>41365</v>
      </c>
    </row>
    <row r="13024" spans="11:14" x14ac:dyDescent="0.3">
      <c r="K13024" s="1">
        <v>41730</v>
      </c>
      <c r="M13024" t="e">
        <v>#N/A</v>
      </c>
      <c r="N13024" s="1">
        <v>41365</v>
      </c>
    </row>
    <row r="13025" spans="11:14" x14ac:dyDescent="0.3">
      <c r="K13025" s="1">
        <v>41730</v>
      </c>
      <c r="M13025" t="e">
        <v>#N/A</v>
      </c>
      <c r="N13025" s="1">
        <v>41365</v>
      </c>
    </row>
    <row r="13026" spans="11:14" x14ac:dyDescent="0.3">
      <c r="K13026" s="1">
        <v>41730</v>
      </c>
      <c r="M13026" t="e">
        <v>#N/A</v>
      </c>
      <c r="N13026" s="1">
        <v>41365</v>
      </c>
    </row>
    <row r="13027" spans="11:14" x14ac:dyDescent="0.3">
      <c r="K13027" s="1">
        <v>41730</v>
      </c>
      <c r="M13027" t="e">
        <v>#N/A</v>
      </c>
      <c r="N13027" s="1">
        <v>41365</v>
      </c>
    </row>
    <row r="13028" spans="11:14" x14ac:dyDescent="0.3">
      <c r="K13028" s="1">
        <v>41730</v>
      </c>
      <c r="M13028" t="e">
        <v>#N/A</v>
      </c>
      <c r="N13028" s="1">
        <v>41365</v>
      </c>
    </row>
    <row r="13029" spans="11:14" x14ac:dyDescent="0.3">
      <c r="K13029" s="1">
        <v>41730</v>
      </c>
      <c r="M13029" t="e">
        <v>#N/A</v>
      </c>
      <c r="N13029" s="1">
        <v>41365</v>
      </c>
    </row>
    <row r="13030" spans="11:14" x14ac:dyDescent="0.3">
      <c r="K13030" s="1">
        <v>41730</v>
      </c>
      <c r="M13030" t="e">
        <v>#N/A</v>
      </c>
      <c r="N13030" s="1">
        <v>41365</v>
      </c>
    </row>
    <row r="13031" spans="11:14" x14ac:dyDescent="0.3">
      <c r="K13031" s="1">
        <v>41730</v>
      </c>
      <c r="M13031" t="e">
        <v>#N/A</v>
      </c>
      <c r="N13031" s="1">
        <v>41365</v>
      </c>
    </row>
    <row r="13032" spans="11:14" x14ac:dyDescent="0.3">
      <c r="K13032" s="1">
        <v>41730</v>
      </c>
      <c r="M13032" t="e">
        <v>#N/A</v>
      </c>
      <c r="N13032" s="1">
        <v>41365</v>
      </c>
    </row>
    <row r="13033" spans="11:14" x14ac:dyDescent="0.3">
      <c r="K13033" s="1">
        <v>41730</v>
      </c>
      <c r="M13033" t="e">
        <v>#N/A</v>
      </c>
      <c r="N13033" s="1">
        <v>41365</v>
      </c>
    </row>
    <row r="13034" spans="11:14" x14ac:dyDescent="0.3">
      <c r="K13034" s="1">
        <v>41730</v>
      </c>
      <c r="M13034" t="e">
        <v>#N/A</v>
      </c>
      <c r="N13034" s="1">
        <v>41365</v>
      </c>
    </row>
    <row r="13035" spans="11:14" x14ac:dyDescent="0.3">
      <c r="K13035" s="1">
        <v>41730</v>
      </c>
      <c r="M13035" t="e">
        <v>#N/A</v>
      </c>
      <c r="N13035" s="1">
        <v>41365</v>
      </c>
    </row>
    <row r="13036" spans="11:14" x14ac:dyDescent="0.3">
      <c r="K13036" s="1">
        <v>41730</v>
      </c>
      <c r="M13036" t="e">
        <v>#N/A</v>
      </c>
      <c r="N13036" s="1">
        <v>41365</v>
      </c>
    </row>
    <row r="13037" spans="11:14" x14ac:dyDescent="0.3">
      <c r="K13037" s="1">
        <v>41730</v>
      </c>
      <c r="M13037" t="e">
        <v>#N/A</v>
      </c>
      <c r="N13037" s="1">
        <v>41365</v>
      </c>
    </row>
    <row r="13038" spans="11:14" x14ac:dyDescent="0.3">
      <c r="K13038" s="1">
        <v>41730</v>
      </c>
      <c r="M13038" t="e">
        <v>#N/A</v>
      </c>
      <c r="N13038" s="1">
        <v>41365</v>
      </c>
    </row>
    <row r="13039" spans="11:14" x14ac:dyDescent="0.3">
      <c r="K13039" s="1">
        <v>41730</v>
      </c>
      <c r="M13039" t="e">
        <v>#N/A</v>
      </c>
      <c r="N13039" s="1">
        <v>41365</v>
      </c>
    </row>
    <row r="13040" spans="11:14" x14ac:dyDescent="0.3">
      <c r="K13040" s="1">
        <v>41730</v>
      </c>
      <c r="M13040" t="e">
        <v>#N/A</v>
      </c>
      <c r="N13040" s="1">
        <v>41365</v>
      </c>
    </row>
    <row r="13041" spans="11:14" x14ac:dyDescent="0.3">
      <c r="K13041" s="1">
        <v>41730</v>
      </c>
      <c r="M13041" t="e">
        <v>#N/A</v>
      </c>
      <c r="N13041" s="1">
        <v>41365</v>
      </c>
    </row>
    <row r="13042" spans="11:14" x14ac:dyDescent="0.3">
      <c r="K13042" s="1">
        <v>41730</v>
      </c>
      <c r="M13042" t="e">
        <v>#N/A</v>
      </c>
      <c r="N13042" s="1">
        <v>41365</v>
      </c>
    </row>
    <row r="13043" spans="11:14" x14ac:dyDescent="0.3">
      <c r="K13043" s="1">
        <v>41730</v>
      </c>
      <c r="M13043" t="e">
        <v>#N/A</v>
      </c>
      <c r="N13043" s="1">
        <v>41365</v>
      </c>
    </row>
    <row r="13044" spans="11:14" x14ac:dyDescent="0.3">
      <c r="K13044" s="1">
        <v>41730</v>
      </c>
      <c r="M13044" t="e">
        <v>#N/A</v>
      </c>
      <c r="N13044" s="1">
        <v>41365</v>
      </c>
    </row>
    <row r="13045" spans="11:14" x14ac:dyDescent="0.3">
      <c r="K13045" s="1">
        <v>41730</v>
      </c>
      <c r="M13045" t="e">
        <v>#N/A</v>
      </c>
      <c r="N13045" s="1">
        <v>41365</v>
      </c>
    </row>
    <row r="13046" spans="11:14" x14ac:dyDescent="0.3">
      <c r="K13046" s="1">
        <v>41730</v>
      </c>
      <c r="M13046" t="e">
        <v>#N/A</v>
      </c>
      <c r="N13046" s="1">
        <v>41365</v>
      </c>
    </row>
    <row r="13047" spans="11:14" x14ac:dyDescent="0.3">
      <c r="K13047" s="1">
        <v>41730</v>
      </c>
      <c r="M13047" t="e">
        <v>#N/A</v>
      </c>
      <c r="N13047" s="1">
        <v>41365</v>
      </c>
    </row>
    <row r="13048" spans="11:14" x14ac:dyDescent="0.3">
      <c r="K13048" s="1">
        <v>41730</v>
      </c>
      <c r="M13048" t="e">
        <v>#N/A</v>
      </c>
      <c r="N13048" s="1">
        <v>41365</v>
      </c>
    </row>
    <row r="13049" spans="11:14" x14ac:dyDescent="0.3">
      <c r="K13049" s="1">
        <v>41730</v>
      </c>
      <c r="M13049" t="e">
        <v>#N/A</v>
      </c>
      <c r="N13049" s="1">
        <v>41365</v>
      </c>
    </row>
    <row r="13050" spans="11:14" x14ac:dyDescent="0.3">
      <c r="K13050" s="1">
        <v>41730</v>
      </c>
      <c r="M13050" t="e">
        <v>#N/A</v>
      </c>
      <c r="N13050" s="1">
        <v>41365</v>
      </c>
    </row>
    <row r="13051" spans="11:14" x14ac:dyDescent="0.3">
      <c r="K13051" s="1">
        <v>41730</v>
      </c>
      <c r="M13051" t="e">
        <v>#N/A</v>
      </c>
      <c r="N13051" s="1">
        <v>41365</v>
      </c>
    </row>
    <row r="13052" spans="11:14" x14ac:dyDescent="0.3">
      <c r="K13052" s="1">
        <v>41730</v>
      </c>
      <c r="M13052" t="e">
        <v>#N/A</v>
      </c>
      <c r="N13052" s="1">
        <v>41365</v>
      </c>
    </row>
    <row r="13053" spans="11:14" x14ac:dyDescent="0.3">
      <c r="K13053" s="1">
        <v>41730</v>
      </c>
      <c r="M13053" t="e">
        <v>#N/A</v>
      </c>
      <c r="N13053" s="1">
        <v>41365</v>
      </c>
    </row>
    <row r="13054" spans="11:14" x14ac:dyDescent="0.3">
      <c r="K13054" s="1">
        <v>41730</v>
      </c>
      <c r="M13054" t="e">
        <v>#N/A</v>
      </c>
      <c r="N13054" s="1">
        <v>41365</v>
      </c>
    </row>
    <row r="13055" spans="11:14" x14ac:dyDescent="0.3">
      <c r="K13055" s="1">
        <v>41730</v>
      </c>
      <c r="M13055" t="e">
        <v>#N/A</v>
      </c>
      <c r="N13055" s="1">
        <v>41365</v>
      </c>
    </row>
    <row r="13056" spans="11:14" x14ac:dyDescent="0.3">
      <c r="K13056" s="1">
        <v>41730</v>
      </c>
      <c r="M13056" t="e">
        <v>#N/A</v>
      </c>
      <c r="N13056" s="1">
        <v>41365</v>
      </c>
    </row>
    <row r="13057" spans="11:14" x14ac:dyDescent="0.3">
      <c r="K13057" s="1">
        <v>41730</v>
      </c>
      <c r="M13057" t="e">
        <v>#N/A</v>
      </c>
      <c r="N13057" s="1">
        <v>41365</v>
      </c>
    </row>
    <row r="13058" spans="11:14" x14ac:dyDescent="0.3">
      <c r="K13058" s="1">
        <v>41730</v>
      </c>
      <c r="M13058" t="e">
        <v>#N/A</v>
      </c>
      <c r="N13058" s="1">
        <v>41365</v>
      </c>
    </row>
    <row r="13059" spans="11:14" x14ac:dyDescent="0.3">
      <c r="K13059" s="1">
        <v>41730</v>
      </c>
      <c r="M13059" t="e">
        <v>#N/A</v>
      </c>
      <c r="N13059" s="1">
        <v>41365</v>
      </c>
    </row>
    <row r="13060" spans="11:14" x14ac:dyDescent="0.3">
      <c r="K13060" s="1">
        <v>41730</v>
      </c>
      <c r="M13060" t="e">
        <v>#N/A</v>
      </c>
      <c r="N13060" s="1">
        <v>41365</v>
      </c>
    </row>
    <row r="13061" spans="11:14" x14ac:dyDescent="0.3">
      <c r="K13061" s="1">
        <v>41730</v>
      </c>
      <c r="M13061" t="e">
        <v>#N/A</v>
      </c>
      <c r="N13061" s="1">
        <v>41365</v>
      </c>
    </row>
    <row r="13062" spans="11:14" x14ac:dyDescent="0.3">
      <c r="K13062" s="1">
        <v>41730</v>
      </c>
      <c r="M13062" t="e">
        <v>#N/A</v>
      </c>
      <c r="N13062" s="1">
        <v>41365</v>
      </c>
    </row>
    <row r="13063" spans="11:14" x14ac:dyDescent="0.3">
      <c r="K13063" s="1">
        <v>41730</v>
      </c>
      <c r="M13063" t="e">
        <v>#N/A</v>
      </c>
      <c r="N13063" s="1">
        <v>41365</v>
      </c>
    </row>
    <row r="13064" spans="11:14" x14ac:dyDescent="0.3">
      <c r="K13064" s="1">
        <v>41730</v>
      </c>
      <c r="M13064" t="e">
        <v>#N/A</v>
      </c>
      <c r="N13064" s="1">
        <v>41365</v>
      </c>
    </row>
    <row r="13065" spans="11:14" x14ac:dyDescent="0.3">
      <c r="K13065" s="1">
        <v>41730</v>
      </c>
      <c r="M13065" t="e">
        <v>#N/A</v>
      </c>
      <c r="N13065" s="1">
        <v>41365</v>
      </c>
    </row>
    <row r="13066" spans="11:14" x14ac:dyDescent="0.3">
      <c r="K13066" s="1">
        <v>41730</v>
      </c>
      <c r="M13066" t="e">
        <v>#N/A</v>
      </c>
      <c r="N13066" s="1">
        <v>41365</v>
      </c>
    </row>
    <row r="13067" spans="11:14" x14ac:dyDescent="0.3">
      <c r="K13067" s="1">
        <v>41730</v>
      </c>
      <c r="M13067" t="e">
        <v>#N/A</v>
      </c>
      <c r="N13067" s="1">
        <v>41365</v>
      </c>
    </row>
    <row r="13068" spans="11:14" x14ac:dyDescent="0.3">
      <c r="K13068" s="1">
        <v>41730</v>
      </c>
      <c r="M13068" t="e">
        <v>#N/A</v>
      </c>
      <c r="N13068" s="1">
        <v>41365</v>
      </c>
    </row>
    <row r="13069" spans="11:14" x14ac:dyDescent="0.3">
      <c r="K13069" s="1">
        <v>41730</v>
      </c>
      <c r="M13069" t="e">
        <v>#N/A</v>
      </c>
      <c r="N13069" s="1">
        <v>41365</v>
      </c>
    </row>
    <row r="13070" spans="11:14" x14ac:dyDescent="0.3">
      <c r="K13070" s="1">
        <v>41730</v>
      </c>
      <c r="M13070" t="e">
        <v>#N/A</v>
      </c>
      <c r="N13070" s="1">
        <v>41365</v>
      </c>
    </row>
    <row r="13071" spans="11:14" x14ac:dyDescent="0.3">
      <c r="K13071" s="1">
        <v>41730</v>
      </c>
      <c r="M13071" t="e">
        <v>#N/A</v>
      </c>
      <c r="N13071" s="1">
        <v>41365</v>
      </c>
    </row>
    <row r="13072" spans="11:14" x14ac:dyDescent="0.3">
      <c r="K13072" s="1">
        <v>41730</v>
      </c>
      <c r="M13072" t="e">
        <v>#N/A</v>
      </c>
      <c r="N13072" s="1">
        <v>41365</v>
      </c>
    </row>
    <row r="13073" spans="11:14" x14ac:dyDescent="0.3">
      <c r="K13073" s="1">
        <v>41730</v>
      </c>
      <c r="M13073" t="e">
        <v>#N/A</v>
      </c>
      <c r="N13073" s="1">
        <v>41365</v>
      </c>
    </row>
    <row r="13074" spans="11:14" x14ac:dyDescent="0.3">
      <c r="K13074" s="1">
        <v>41730</v>
      </c>
      <c r="M13074" t="e">
        <v>#N/A</v>
      </c>
      <c r="N13074" s="1">
        <v>41365</v>
      </c>
    </row>
    <row r="13075" spans="11:14" x14ac:dyDescent="0.3">
      <c r="K13075" s="1">
        <v>41730</v>
      </c>
      <c r="M13075" t="e">
        <v>#N/A</v>
      </c>
      <c r="N13075" s="1">
        <v>41365</v>
      </c>
    </row>
    <row r="13076" spans="11:14" x14ac:dyDescent="0.3">
      <c r="K13076" s="1">
        <v>41730</v>
      </c>
      <c r="M13076" t="e">
        <v>#N/A</v>
      </c>
      <c r="N13076" s="1">
        <v>41365</v>
      </c>
    </row>
    <row r="13077" spans="11:14" x14ac:dyDescent="0.3">
      <c r="K13077" s="1">
        <v>41730</v>
      </c>
      <c r="M13077" t="e">
        <v>#N/A</v>
      </c>
      <c r="N13077" s="1">
        <v>41365</v>
      </c>
    </row>
    <row r="13078" spans="11:14" x14ac:dyDescent="0.3">
      <c r="K13078" s="1">
        <v>41730</v>
      </c>
      <c r="M13078" t="e">
        <v>#N/A</v>
      </c>
      <c r="N13078" s="1">
        <v>41365</v>
      </c>
    </row>
    <row r="13079" spans="11:14" x14ac:dyDescent="0.3">
      <c r="K13079" s="1">
        <v>41730</v>
      </c>
      <c r="M13079" t="e">
        <v>#N/A</v>
      </c>
      <c r="N13079" s="1">
        <v>41365</v>
      </c>
    </row>
    <row r="13080" spans="11:14" x14ac:dyDescent="0.3">
      <c r="K13080" s="1">
        <v>41730</v>
      </c>
      <c r="M13080" t="e">
        <v>#N/A</v>
      </c>
      <c r="N13080" s="1">
        <v>41365</v>
      </c>
    </row>
    <row r="13081" spans="11:14" x14ac:dyDescent="0.3">
      <c r="K13081" s="1">
        <v>41730</v>
      </c>
      <c r="M13081" t="e">
        <v>#N/A</v>
      </c>
      <c r="N13081" s="1">
        <v>41365</v>
      </c>
    </row>
    <row r="13082" spans="11:14" x14ac:dyDescent="0.3">
      <c r="K13082" s="1">
        <v>41730</v>
      </c>
      <c r="M13082" t="e">
        <v>#N/A</v>
      </c>
      <c r="N13082" s="1">
        <v>41365</v>
      </c>
    </row>
    <row r="13083" spans="11:14" x14ac:dyDescent="0.3">
      <c r="K13083" s="1">
        <v>41730</v>
      </c>
      <c r="M13083" t="e">
        <v>#N/A</v>
      </c>
      <c r="N13083" s="1">
        <v>41365</v>
      </c>
    </row>
    <row r="13084" spans="11:14" x14ac:dyDescent="0.3">
      <c r="K13084" s="1">
        <v>41730</v>
      </c>
      <c r="M13084" t="e">
        <v>#N/A</v>
      </c>
      <c r="N13084" s="1">
        <v>41365</v>
      </c>
    </row>
    <row r="13085" spans="11:14" x14ac:dyDescent="0.3">
      <c r="K13085" s="1">
        <v>41730</v>
      </c>
      <c r="M13085" t="e">
        <v>#N/A</v>
      </c>
      <c r="N13085" s="1">
        <v>41365</v>
      </c>
    </row>
    <row r="13086" spans="11:14" x14ac:dyDescent="0.3">
      <c r="K13086" s="1">
        <v>41730</v>
      </c>
      <c r="M13086" t="e">
        <v>#N/A</v>
      </c>
      <c r="N13086" s="1">
        <v>41365</v>
      </c>
    </row>
    <row r="13087" spans="11:14" x14ac:dyDescent="0.3">
      <c r="K13087" s="1">
        <v>41730</v>
      </c>
      <c r="M13087" t="e">
        <v>#N/A</v>
      </c>
      <c r="N13087" s="1">
        <v>41365</v>
      </c>
    </row>
    <row r="13088" spans="11:14" x14ac:dyDescent="0.3">
      <c r="K13088" s="1">
        <v>41730</v>
      </c>
      <c r="M13088" t="e">
        <v>#N/A</v>
      </c>
      <c r="N13088" s="1">
        <v>41365</v>
      </c>
    </row>
    <row r="13089" spans="11:14" x14ac:dyDescent="0.3">
      <c r="K13089" s="1">
        <v>41730</v>
      </c>
      <c r="M13089" t="e">
        <v>#N/A</v>
      </c>
      <c r="N13089" s="1">
        <v>41365</v>
      </c>
    </row>
    <row r="13090" spans="11:14" x14ac:dyDescent="0.3">
      <c r="K13090" s="1">
        <v>41730</v>
      </c>
      <c r="M13090" t="e">
        <v>#N/A</v>
      </c>
      <c r="N13090" s="1">
        <v>41365</v>
      </c>
    </row>
    <row r="13091" spans="11:14" x14ac:dyDescent="0.3">
      <c r="K13091" s="1">
        <v>41730</v>
      </c>
      <c r="M13091" t="e">
        <v>#N/A</v>
      </c>
      <c r="N13091" s="1">
        <v>41365</v>
      </c>
    </row>
    <row r="13092" spans="11:14" x14ac:dyDescent="0.3">
      <c r="K13092" s="1">
        <v>41730</v>
      </c>
      <c r="M13092" t="e">
        <v>#N/A</v>
      </c>
      <c r="N13092" s="1">
        <v>41365</v>
      </c>
    </row>
    <row r="13093" spans="11:14" x14ac:dyDescent="0.3">
      <c r="K13093" s="1">
        <v>41730</v>
      </c>
      <c r="M13093" t="e">
        <v>#N/A</v>
      </c>
      <c r="N13093" s="1">
        <v>41365</v>
      </c>
    </row>
    <row r="13094" spans="11:14" x14ac:dyDescent="0.3">
      <c r="K13094" s="1">
        <v>41730</v>
      </c>
      <c r="M13094" t="e">
        <v>#N/A</v>
      </c>
      <c r="N13094" s="1">
        <v>41365</v>
      </c>
    </row>
    <row r="13095" spans="11:14" x14ac:dyDescent="0.3">
      <c r="K13095" s="1">
        <v>41730</v>
      </c>
      <c r="M13095" t="e">
        <v>#N/A</v>
      </c>
      <c r="N13095" s="1">
        <v>41365</v>
      </c>
    </row>
    <row r="13096" spans="11:14" x14ac:dyDescent="0.3">
      <c r="K13096" s="1">
        <v>41730</v>
      </c>
      <c r="M13096" t="e">
        <v>#N/A</v>
      </c>
      <c r="N13096" s="1">
        <v>41365</v>
      </c>
    </row>
    <row r="13097" spans="11:14" x14ac:dyDescent="0.3">
      <c r="K13097" s="1">
        <v>41730</v>
      </c>
      <c r="M13097" t="e">
        <v>#N/A</v>
      </c>
      <c r="N13097" s="1">
        <v>41365</v>
      </c>
    </row>
    <row r="13098" spans="11:14" x14ac:dyDescent="0.3">
      <c r="K13098" s="1">
        <v>41730</v>
      </c>
      <c r="M13098" t="e">
        <v>#N/A</v>
      </c>
      <c r="N13098" s="1">
        <v>41365</v>
      </c>
    </row>
    <row r="13099" spans="11:14" x14ac:dyDescent="0.3">
      <c r="K13099" s="1">
        <v>41730</v>
      </c>
      <c r="M13099" t="e">
        <v>#N/A</v>
      </c>
      <c r="N13099" s="1">
        <v>41365</v>
      </c>
    </row>
    <row r="13100" spans="11:14" x14ac:dyDescent="0.3">
      <c r="K13100" s="1">
        <v>41730</v>
      </c>
      <c r="M13100" t="e">
        <v>#N/A</v>
      </c>
      <c r="N13100" s="1">
        <v>41365</v>
      </c>
    </row>
    <row r="13101" spans="11:14" x14ac:dyDescent="0.3">
      <c r="K13101" s="1">
        <v>41730</v>
      </c>
      <c r="M13101" t="e">
        <v>#N/A</v>
      </c>
      <c r="N13101" s="1">
        <v>41365</v>
      </c>
    </row>
    <row r="13102" spans="11:14" x14ac:dyDescent="0.3">
      <c r="K13102" s="1">
        <v>41730</v>
      </c>
      <c r="M13102" t="e">
        <v>#N/A</v>
      </c>
      <c r="N13102" s="1">
        <v>41365</v>
      </c>
    </row>
    <row r="13103" spans="11:14" x14ac:dyDescent="0.3">
      <c r="K13103" s="1">
        <v>41730</v>
      </c>
      <c r="M13103" t="e">
        <v>#N/A</v>
      </c>
      <c r="N13103" s="1">
        <v>41365</v>
      </c>
    </row>
    <row r="13104" spans="11:14" x14ac:dyDescent="0.3">
      <c r="K13104" s="1">
        <v>41730</v>
      </c>
      <c r="M13104" t="e">
        <v>#N/A</v>
      </c>
      <c r="N13104" s="1">
        <v>41365</v>
      </c>
    </row>
    <row r="13105" spans="11:14" x14ac:dyDescent="0.3">
      <c r="K13105" s="1">
        <v>41730</v>
      </c>
      <c r="M13105" t="e">
        <v>#N/A</v>
      </c>
      <c r="N13105" s="1">
        <v>41365</v>
      </c>
    </row>
    <row r="13106" spans="11:14" x14ac:dyDescent="0.3">
      <c r="K13106" s="1">
        <v>41730</v>
      </c>
      <c r="M13106" t="e">
        <v>#N/A</v>
      </c>
      <c r="N13106" s="1">
        <v>41365</v>
      </c>
    </row>
    <row r="13107" spans="11:14" x14ac:dyDescent="0.3">
      <c r="K13107" s="1">
        <v>41730</v>
      </c>
      <c r="M13107" t="e">
        <v>#N/A</v>
      </c>
      <c r="N13107" s="1">
        <v>41365</v>
      </c>
    </row>
    <row r="13108" spans="11:14" x14ac:dyDescent="0.3">
      <c r="K13108" s="1">
        <v>41730</v>
      </c>
      <c r="M13108" t="e">
        <v>#N/A</v>
      </c>
      <c r="N13108" s="1">
        <v>41365</v>
      </c>
    </row>
    <row r="13109" spans="11:14" x14ac:dyDescent="0.3">
      <c r="K13109" s="1">
        <v>41730</v>
      </c>
      <c r="M13109" t="e">
        <v>#N/A</v>
      </c>
      <c r="N13109" s="1">
        <v>41365</v>
      </c>
    </row>
    <row r="13110" spans="11:14" x14ac:dyDescent="0.3">
      <c r="K13110" s="1">
        <v>41730</v>
      </c>
      <c r="M13110" t="e">
        <v>#N/A</v>
      </c>
      <c r="N13110" s="1">
        <v>41365</v>
      </c>
    </row>
    <row r="13111" spans="11:14" x14ac:dyDescent="0.3">
      <c r="K13111" s="1">
        <v>41730</v>
      </c>
      <c r="M13111" t="e">
        <v>#N/A</v>
      </c>
      <c r="N13111" s="1">
        <v>41365</v>
      </c>
    </row>
    <row r="13112" spans="11:14" x14ac:dyDescent="0.3">
      <c r="K13112" s="1">
        <v>41730</v>
      </c>
      <c r="M13112" t="e">
        <v>#N/A</v>
      </c>
      <c r="N13112" s="1">
        <v>41365</v>
      </c>
    </row>
    <row r="13113" spans="11:14" x14ac:dyDescent="0.3">
      <c r="K13113" s="1">
        <v>41730</v>
      </c>
      <c r="M13113" t="e">
        <v>#N/A</v>
      </c>
      <c r="N13113" s="1">
        <v>41365</v>
      </c>
    </row>
    <row r="13114" spans="11:14" x14ac:dyDescent="0.3">
      <c r="K13114" s="1">
        <v>41730</v>
      </c>
      <c r="M13114" t="e">
        <v>#N/A</v>
      </c>
      <c r="N13114" s="1">
        <v>41365</v>
      </c>
    </row>
    <row r="13115" spans="11:14" x14ac:dyDescent="0.3">
      <c r="K13115" s="1">
        <v>41730</v>
      </c>
      <c r="M13115" t="e">
        <v>#N/A</v>
      </c>
      <c r="N13115" s="1">
        <v>41365</v>
      </c>
    </row>
    <row r="13116" spans="11:14" x14ac:dyDescent="0.3">
      <c r="K13116" s="1">
        <v>41730</v>
      </c>
      <c r="M13116" t="e">
        <v>#N/A</v>
      </c>
      <c r="N13116" s="1">
        <v>41365</v>
      </c>
    </row>
    <row r="13117" spans="11:14" x14ac:dyDescent="0.3">
      <c r="K13117" s="1">
        <v>41730</v>
      </c>
      <c r="M13117" t="e">
        <v>#N/A</v>
      </c>
      <c r="N13117" s="1">
        <v>41365</v>
      </c>
    </row>
    <row r="13118" spans="11:14" x14ac:dyDescent="0.3">
      <c r="K13118" s="1">
        <v>41730</v>
      </c>
      <c r="M13118" t="e">
        <v>#N/A</v>
      </c>
      <c r="N13118" s="1">
        <v>41365</v>
      </c>
    </row>
    <row r="13119" spans="11:14" x14ac:dyDescent="0.3">
      <c r="K13119" s="1">
        <v>41730</v>
      </c>
      <c r="M13119" t="e">
        <v>#N/A</v>
      </c>
      <c r="N13119" s="1">
        <v>41365</v>
      </c>
    </row>
    <row r="13120" spans="11:14" x14ac:dyDescent="0.3">
      <c r="K13120" s="1">
        <v>41730</v>
      </c>
      <c r="M13120" t="e">
        <v>#N/A</v>
      </c>
      <c r="N13120" s="1">
        <v>41365</v>
      </c>
    </row>
    <row r="13121" spans="11:14" x14ac:dyDescent="0.3">
      <c r="K13121" s="1">
        <v>41730</v>
      </c>
      <c r="M13121" t="e">
        <v>#N/A</v>
      </c>
      <c r="N13121" s="1">
        <v>41365</v>
      </c>
    </row>
    <row r="13122" spans="11:14" x14ac:dyDescent="0.3">
      <c r="K13122" s="1">
        <v>41730</v>
      </c>
      <c r="M13122" t="e">
        <v>#N/A</v>
      </c>
      <c r="N13122" s="1">
        <v>41365</v>
      </c>
    </row>
    <row r="13123" spans="11:14" x14ac:dyDescent="0.3">
      <c r="K13123" s="1">
        <v>41730</v>
      </c>
      <c r="M13123" t="e">
        <v>#N/A</v>
      </c>
      <c r="N13123" s="1">
        <v>41365</v>
      </c>
    </row>
    <row r="13124" spans="11:14" x14ac:dyDescent="0.3">
      <c r="K13124" s="1">
        <v>41730</v>
      </c>
      <c r="M13124" t="e">
        <v>#N/A</v>
      </c>
      <c r="N13124" s="1">
        <v>41365</v>
      </c>
    </row>
    <row r="13125" spans="11:14" x14ac:dyDescent="0.3">
      <c r="K13125" s="1">
        <v>41730</v>
      </c>
      <c r="M13125" t="e">
        <v>#N/A</v>
      </c>
      <c r="N13125" s="1">
        <v>41365</v>
      </c>
    </row>
    <row r="13126" spans="11:14" x14ac:dyDescent="0.3">
      <c r="K13126" s="1">
        <v>41730</v>
      </c>
      <c r="M13126" t="e">
        <v>#N/A</v>
      </c>
      <c r="N13126" s="1">
        <v>41365</v>
      </c>
    </row>
    <row r="13127" spans="11:14" x14ac:dyDescent="0.3">
      <c r="K13127" s="1">
        <v>41730</v>
      </c>
      <c r="M13127" t="e">
        <v>#N/A</v>
      </c>
      <c r="N13127" s="1">
        <v>41365</v>
      </c>
    </row>
    <row r="13128" spans="11:14" x14ac:dyDescent="0.3">
      <c r="K13128" s="1">
        <v>41730</v>
      </c>
      <c r="M13128" t="e">
        <v>#N/A</v>
      </c>
      <c r="N13128" s="1">
        <v>41365</v>
      </c>
    </row>
    <row r="13129" spans="11:14" x14ac:dyDescent="0.3">
      <c r="K13129" s="1">
        <v>41730</v>
      </c>
      <c r="M13129" t="e">
        <v>#N/A</v>
      </c>
      <c r="N13129" s="1">
        <v>41365</v>
      </c>
    </row>
    <row r="13130" spans="11:14" x14ac:dyDescent="0.3">
      <c r="K13130" s="1">
        <v>41730</v>
      </c>
      <c r="M13130" t="e">
        <v>#N/A</v>
      </c>
      <c r="N13130" s="1">
        <v>41365</v>
      </c>
    </row>
    <row r="13131" spans="11:14" x14ac:dyDescent="0.3">
      <c r="K13131" s="1">
        <v>41730</v>
      </c>
      <c r="M13131" t="e">
        <v>#N/A</v>
      </c>
      <c r="N13131" s="1">
        <v>41365</v>
      </c>
    </row>
    <row r="13132" spans="11:14" x14ac:dyDescent="0.3">
      <c r="K13132" s="1">
        <v>41730</v>
      </c>
      <c r="M13132" t="e">
        <v>#N/A</v>
      </c>
      <c r="N13132" s="1">
        <v>41365</v>
      </c>
    </row>
    <row r="13133" spans="11:14" x14ac:dyDescent="0.3">
      <c r="K13133" s="1">
        <v>41730</v>
      </c>
      <c r="M13133" t="e">
        <v>#N/A</v>
      </c>
      <c r="N13133" s="1">
        <v>41365</v>
      </c>
    </row>
    <row r="13134" spans="11:14" x14ac:dyDescent="0.3">
      <c r="K13134" s="1">
        <v>41730</v>
      </c>
      <c r="M13134" t="e">
        <v>#N/A</v>
      </c>
      <c r="N13134" s="1">
        <v>41365</v>
      </c>
    </row>
    <row r="13135" spans="11:14" x14ac:dyDescent="0.3">
      <c r="K13135" s="1">
        <v>41730</v>
      </c>
      <c r="M13135" t="e">
        <v>#N/A</v>
      </c>
      <c r="N13135" s="1">
        <v>41365</v>
      </c>
    </row>
    <row r="13136" spans="11:14" x14ac:dyDescent="0.3">
      <c r="K13136" s="1">
        <v>41730</v>
      </c>
      <c r="M13136" t="e">
        <v>#N/A</v>
      </c>
      <c r="N13136" s="1">
        <v>41365</v>
      </c>
    </row>
    <row r="13137" spans="11:14" x14ac:dyDescent="0.3">
      <c r="K13137" s="1">
        <v>41730</v>
      </c>
      <c r="M13137" t="e">
        <v>#N/A</v>
      </c>
      <c r="N13137" s="1">
        <v>41365</v>
      </c>
    </row>
    <row r="13138" spans="11:14" x14ac:dyDescent="0.3">
      <c r="K13138" s="1">
        <v>41730</v>
      </c>
      <c r="M13138" t="e">
        <v>#N/A</v>
      </c>
      <c r="N13138" s="1">
        <v>41365</v>
      </c>
    </row>
    <row r="13139" spans="11:14" x14ac:dyDescent="0.3">
      <c r="K13139" s="1">
        <v>41730</v>
      </c>
      <c r="M13139" t="e">
        <v>#N/A</v>
      </c>
      <c r="N13139" s="1">
        <v>41365</v>
      </c>
    </row>
    <row r="13140" spans="11:14" x14ac:dyDescent="0.3">
      <c r="K13140" s="1">
        <v>41730</v>
      </c>
      <c r="M13140" t="e">
        <v>#N/A</v>
      </c>
      <c r="N13140" s="1">
        <v>41365</v>
      </c>
    </row>
    <row r="13141" spans="11:14" x14ac:dyDescent="0.3">
      <c r="K13141" s="1">
        <v>41730</v>
      </c>
      <c r="M13141" t="e">
        <v>#N/A</v>
      </c>
      <c r="N13141" s="1">
        <v>41365</v>
      </c>
    </row>
    <row r="13142" spans="11:14" x14ac:dyDescent="0.3">
      <c r="K13142" s="1">
        <v>41730</v>
      </c>
      <c r="M13142" t="e">
        <v>#N/A</v>
      </c>
      <c r="N13142" s="1">
        <v>41365</v>
      </c>
    </row>
    <row r="13143" spans="11:14" x14ac:dyDescent="0.3">
      <c r="K13143" s="1">
        <v>41730</v>
      </c>
      <c r="M13143" t="e">
        <v>#N/A</v>
      </c>
      <c r="N13143" s="1">
        <v>41365</v>
      </c>
    </row>
    <row r="13144" spans="11:14" x14ac:dyDescent="0.3">
      <c r="K13144" s="1">
        <v>41730</v>
      </c>
      <c r="M13144" t="e">
        <v>#N/A</v>
      </c>
      <c r="N13144" s="1">
        <v>41365</v>
      </c>
    </row>
    <row r="13145" spans="11:14" x14ac:dyDescent="0.3">
      <c r="K13145" s="1">
        <v>41730</v>
      </c>
      <c r="M13145" t="e">
        <v>#N/A</v>
      </c>
      <c r="N13145" s="1">
        <v>41365</v>
      </c>
    </row>
    <row r="13146" spans="11:14" x14ac:dyDescent="0.3">
      <c r="K13146" s="1">
        <v>41730</v>
      </c>
      <c r="M13146" t="e">
        <v>#N/A</v>
      </c>
      <c r="N13146" s="1">
        <v>41365</v>
      </c>
    </row>
    <row r="13147" spans="11:14" x14ac:dyDescent="0.3">
      <c r="K13147" s="1">
        <v>41730</v>
      </c>
      <c r="M13147" t="e">
        <v>#N/A</v>
      </c>
      <c r="N13147" s="1">
        <v>41365</v>
      </c>
    </row>
    <row r="13148" spans="11:14" x14ac:dyDescent="0.3">
      <c r="K13148" s="1">
        <v>41730</v>
      </c>
      <c r="M13148" t="e">
        <v>#N/A</v>
      </c>
      <c r="N13148" s="1">
        <v>41365</v>
      </c>
    </row>
    <row r="13149" spans="11:14" x14ac:dyDescent="0.3">
      <c r="K13149" s="1">
        <v>41730</v>
      </c>
      <c r="M13149" t="e">
        <v>#N/A</v>
      </c>
      <c r="N13149" s="1">
        <v>41365</v>
      </c>
    </row>
    <row r="13150" spans="11:14" x14ac:dyDescent="0.3">
      <c r="K13150" s="1">
        <v>41730</v>
      </c>
      <c r="M13150" t="e">
        <v>#N/A</v>
      </c>
      <c r="N13150" s="1">
        <v>41365</v>
      </c>
    </row>
    <row r="13151" spans="11:14" x14ac:dyDescent="0.3">
      <c r="K13151" s="1">
        <v>41730</v>
      </c>
      <c r="M13151" t="e">
        <v>#N/A</v>
      </c>
      <c r="N13151" s="1">
        <v>41365</v>
      </c>
    </row>
    <row r="13152" spans="11:14" x14ac:dyDescent="0.3">
      <c r="K13152" s="1">
        <v>41730</v>
      </c>
      <c r="M13152" t="e">
        <v>#N/A</v>
      </c>
      <c r="N13152" s="1">
        <v>41365</v>
      </c>
    </row>
    <row r="13153" spans="11:14" x14ac:dyDescent="0.3">
      <c r="K13153" s="1">
        <v>41730</v>
      </c>
      <c r="M13153" t="e">
        <v>#N/A</v>
      </c>
      <c r="N13153" s="1">
        <v>41365</v>
      </c>
    </row>
    <row r="13154" spans="11:14" x14ac:dyDescent="0.3">
      <c r="K13154" s="1">
        <v>41730</v>
      </c>
      <c r="M13154" t="e">
        <v>#N/A</v>
      </c>
      <c r="N13154" s="1">
        <v>41365</v>
      </c>
    </row>
    <row r="13155" spans="11:14" x14ac:dyDescent="0.3">
      <c r="K13155" s="1">
        <v>41730</v>
      </c>
      <c r="M13155" t="e">
        <v>#N/A</v>
      </c>
      <c r="N13155" s="1">
        <v>41365</v>
      </c>
    </row>
    <row r="13156" spans="11:14" x14ac:dyDescent="0.3">
      <c r="K13156" s="1">
        <v>41730</v>
      </c>
      <c r="M13156" t="e">
        <v>#N/A</v>
      </c>
      <c r="N13156" s="1">
        <v>41365</v>
      </c>
    </row>
    <row r="13157" spans="11:14" x14ac:dyDescent="0.3">
      <c r="K13157" s="1">
        <v>41730</v>
      </c>
      <c r="M13157" t="e">
        <v>#N/A</v>
      </c>
      <c r="N13157" s="1">
        <v>41365</v>
      </c>
    </row>
    <row r="13158" spans="11:14" x14ac:dyDescent="0.3">
      <c r="K13158" s="1">
        <v>41730</v>
      </c>
      <c r="M13158" t="e">
        <v>#N/A</v>
      </c>
      <c r="N13158" s="1">
        <v>41365</v>
      </c>
    </row>
    <row r="13159" spans="11:14" x14ac:dyDescent="0.3">
      <c r="K13159" s="1">
        <v>41730</v>
      </c>
      <c r="M13159" t="e">
        <v>#N/A</v>
      </c>
      <c r="N13159" s="1">
        <v>41365</v>
      </c>
    </row>
    <row r="13160" spans="11:14" x14ac:dyDescent="0.3">
      <c r="K13160" s="1">
        <v>41730</v>
      </c>
      <c r="M13160" t="e">
        <v>#N/A</v>
      </c>
      <c r="N13160" s="1">
        <v>41365</v>
      </c>
    </row>
    <row r="13161" spans="11:14" x14ac:dyDescent="0.3">
      <c r="K13161" s="1">
        <v>41730</v>
      </c>
      <c r="M13161" t="e">
        <v>#N/A</v>
      </c>
      <c r="N13161" s="1">
        <v>41365</v>
      </c>
    </row>
    <row r="13162" spans="11:14" x14ac:dyDescent="0.3">
      <c r="K13162" s="1">
        <v>41730</v>
      </c>
      <c r="M13162" t="e">
        <v>#N/A</v>
      </c>
      <c r="N13162" s="1">
        <v>41365</v>
      </c>
    </row>
    <row r="13163" spans="11:14" x14ac:dyDescent="0.3">
      <c r="K13163" s="1">
        <v>41730</v>
      </c>
      <c r="M13163" t="e">
        <v>#N/A</v>
      </c>
      <c r="N13163" s="1">
        <v>41365</v>
      </c>
    </row>
    <row r="13164" spans="11:14" x14ac:dyDescent="0.3">
      <c r="K13164" s="1">
        <v>41730</v>
      </c>
      <c r="M13164" t="e">
        <v>#N/A</v>
      </c>
      <c r="N13164" s="1">
        <v>41365</v>
      </c>
    </row>
    <row r="13165" spans="11:14" x14ac:dyDescent="0.3">
      <c r="K13165" s="1">
        <v>41730</v>
      </c>
      <c r="M13165" t="e">
        <v>#N/A</v>
      </c>
      <c r="N13165" s="1">
        <v>41365</v>
      </c>
    </row>
    <row r="13166" spans="11:14" x14ac:dyDescent="0.3">
      <c r="K13166" s="1">
        <v>41730</v>
      </c>
      <c r="M13166" t="e">
        <v>#N/A</v>
      </c>
      <c r="N13166" s="1">
        <v>41365</v>
      </c>
    </row>
    <row r="13167" spans="11:14" x14ac:dyDescent="0.3">
      <c r="K13167" s="1">
        <v>41730</v>
      </c>
      <c r="M13167" t="e">
        <v>#N/A</v>
      </c>
      <c r="N13167" s="1">
        <v>41365</v>
      </c>
    </row>
    <row r="13168" spans="11:14" x14ac:dyDescent="0.3">
      <c r="K13168" s="1">
        <v>41730</v>
      </c>
      <c r="M13168" t="e">
        <v>#N/A</v>
      </c>
      <c r="N13168" s="1">
        <v>41365</v>
      </c>
    </row>
    <row r="13169" spans="11:14" x14ac:dyDescent="0.3">
      <c r="K13169" s="1">
        <v>41730</v>
      </c>
      <c r="M13169" t="e">
        <v>#N/A</v>
      </c>
      <c r="N13169" s="1">
        <v>41365</v>
      </c>
    </row>
    <row r="13170" spans="11:14" x14ac:dyDescent="0.3">
      <c r="K13170" s="1">
        <v>41730</v>
      </c>
      <c r="M13170" t="e">
        <v>#N/A</v>
      </c>
      <c r="N13170" s="1">
        <v>41365</v>
      </c>
    </row>
    <row r="13171" spans="11:14" x14ac:dyDescent="0.3">
      <c r="K13171" s="1">
        <v>41730</v>
      </c>
      <c r="M13171" t="e">
        <v>#N/A</v>
      </c>
      <c r="N13171" s="1">
        <v>41365</v>
      </c>
    </row>
    <row r="13172" spans="11:14" x14ac:dyDescent="0.3">
      <c r="K13172" s="1">
        <v>41730</v>
      </c>
      <c r="M13172" t="e">
        <v>#N/A</v>
      </c>
      <c r="N13172" s="1">
        <v>41365</v>
      </c>
    </row>
    <row r="13173" spans="11:14" x14ac:dyDescent="0.3">
      <c r="K13173" s="1">
        <v>41730</v>
      </c>
      <c r="M13173" t="e">
        <v>#N/A</v>
      </c>
      <c r="N13173" s="1">
        <v>41365</v>
      </c>
    </row>
    <row r="13174" spans="11:14" x14ac:dyDescent="0.3">
      <c r="K13174" s="1">
        <v>41730</v>
      </c>
      <c r="M13174" t="e">
        <v>#N/A</v>
      </c>
      <c r="N13174" s="1">
        <v>41365</v>
      </c>
    </row>
    <row r="13175" spans="11:14" x14ac:dyDescent="0.3">
      <c r="K13175" s="1">
        <v>41730</v>
      </c>
      <c r="M13175" t="e">
        <v>#N/A</v>
      </c>
      <c r="N13175" s="1">
        <v>41365</v>
      </c>
    </row>
    <row r="13176" spans="11:14" x14ac:dyDescent="0.3">
      <c r="K13176" s="1">
        <v>41730</v>
      </c>
      <c r="M13176" t="e">
        <v>#N/A</v>
      </c>
      <c r="N13176" s="1">
        <v>41365</v>
      </c>
    </row>
    <row r="13177" spans="11:14" x14ac:dyDescent="0.3">
      <c r="K13177" s="1">
        <v>41730</v>
      </c>
      <c r="M13177" t="e">
        <v>#N/A</v>
      </c>
      <c r="N13177" s="1">
        <v>41365</v>
      </c>
    </row>
    <row r="13178" spans="11:14" x14ac:dyDescent="0.3">
      <c r="K13178" s="1">
        <v>41821</v>
      </c>
      <c r="M13178" t="e">
        <v>#N/A</v>
      </c>
      <c r="N13178" s="1">
        <v>41365</v>
      </c>
    </row>
    <row r="13179" spans="11:14" x14ac:dyDescent="0.3">
      <c r="K13179" s="1">
        <v>41821</v>
      </c>
      <c r="M13179" t="e">
        <v>#N/A</v>
      </c>
      <c r="N13179" s="1">
        <v>41365</v>
      </c>
    </row>
    <row r="13180" spans="11:14" x14ac:dyDescent="0.3">
      <c r="K13180" s="1">
        <v>41821</v>
      </c>
      <c r="M13180" t="e">
        <v>#N/A</v>
      </c>
      <c r="N13180" s="1">
        <v>41365</v>
      </c>
    </row>
    <row r="13181" spans="11:14" x14ac:dyDescent="0.3">
      <c r="K13181" s="1">
        <v>41821</v>
      </c>
      <c r="M13181" t="e">
        <v>#N/A</v>
      </c>
      <c r="N13181" s="1">
        <v>41365</v>
      </c>
    </row>
    <row r="13182" spans="11:14" x14ac:dyDescent="0.3">
      <c r="K13182" s="1">
        <v>41821</v>
      </c>
      <c r="M13182" t="e">
        <v>#N/A</v>
      </c>
      <c r="N13182" s="1">
        <v>41365</v>
      </c>
    </row>
    <row r="13183" spans="11:14" x14ac:dyDescent="0.3">
      <c r="K13183" s="1">
        <v>41821</v>
      </c>
      <c r="M13183" t="e">
        <v>#N/A</v>
      </c>
      <c r="N13183" s="1">
        <v>41365</v>
      </c>
    </row>
    <row r="13184" spans="11:14" x14ac:dyDescent="0.3">
      <c r="K13184" s="1">
        <v>41821</v>
      </c>
      <c r="M13184" t="e">
        <v>#N/A</v>
      </c>
      <c r="N13184" s="1">
        <v>41365</v>
      </c>
    </row>
    <row r="13185" spans="11:14" x14ac:dyDescent="0.3">
      <c r="K13185" s="1">
        <v>41821</v>
      </c>
      <c r="M13185" t="e">
        <v>#N/A</v>
      </c>
      <c r="N13185" s="1">
        <v>41365</v>
      </c>
    </row>
    <row r="13186" spans="11:14" x14ac:dyDescent="0.3">
      <c r="K13186" s="1">
        <v>41821</v>
      </c>
      <c r="M13186" t="e">
        <v>#N/A</v>
      </c>
      <c r="N13186" s="1">
        <v>41365</v>
      </c>
    </row>
    <row r="13187" spans="11:14" x14ac:dyDescent="0.3">
      <c r="K13187" s="1">
        <v>41821</v>
      </c>
      <c r="M13187" t="e">
        <v>#N/A</v>
      </c>
      <c r="N13187" s="1">
        <v>41365</v>
      </c>
    </row>
    <row r="13188" spans="11:14" x14ac:dyDescent="0.3">
      <c r="K13188" s="1">
        <v>41821</v>
      </c>
      <c r="M13188" t="e">
        <v>#N/A</v>
      </c>
      <c r="N13188" s="1">
        <v>41365</v>
      </c>
    </row>
    <row r="13189" spans="11:14" x14ac:dyDescent="0.3">
      <c r="K13189" s="1">
        <v>41821</v>
      </c>
      <c r="M13189" t="e">
        <v>#N/A</v>
      </c>
      <c r="N13189" s="1">
        <v>41365</v>
      </c>
    </row>
    <row r="13190" spans="11:14" x14ac:dyDescent="0.3">
      <c r="K13190" s="1">
        <v>41821</v>
      </c>
      <c r="M13190" t="e">
        <v>#N/A</v>
      </c>
      <c r="N13190" s="1">
        <v>41365</v>
      </c>
    </row>
    <row r="13191" spans="11:14" x14ac:dyDescent="0.3">
      <c r="K13191" s="1">
        <v>41821</v>
      </c>
      <c r="M13191" t="e">
        <v>#N/A</v>
      </c>
      <c r="N13191" s="1">
        <v>41365</v>
      </c>
    </row>
    <row r="13192" spans="11:14" x14ac:dyDescent="0.3">
      <c r="K13192" s="1">
        <v>41821</v>
      </c>
      <c r="M13192" t="e">
        <v>#N/A</v>
      </c>
      <c r="N13192" s="1">
        <v>41365</v>
      </c>
    </row>
    <row r="13193" spans="11:14" x14ac:dyDescent="0.3">
      <c r="K13193" s="1">
        <v>41821</v>
      </c>
      <c r="M13193" t="e">
        <v>#N/A</v>
      </c>
      <c r="N13193" s="1">
        <v>41365</v>
      </c>
    </row>
    <row r="13194" spans="11:14" x14ac:dyDescent="0.3">
      <c r="K13194" s="1">
        <v>41821</v>
      </c>
      <c r="M13194" t="e">
        <v>#N/A</v>
      </c>
      <c r="N13194" s="1">
        <v>41365</v>
      </c>
    </row>
    <row r="13195" spans="11:14" x14ac:dyDescent="0.3">
      <c r="K13195" s="1">
        <v>41821</v>
      </c>
      <c r="M13195" t="e">
        <v>#N/A</v>
      </c>
      <c r="N13195" s="1">
        <v>41365</v>
      </c>
    </row>
    <row r="13196" spans="11:14" x14ac:dyDescent="0.3">
      <c r="K13196" s="1">
        <v>41821</v>
      </c>
      <c r="M13196" t="e">
        <v>#N/A</v>
      </c>
      <c r="N13196" s="1">
        <v>41365</v>
      </c>
    </row>
    <row r="13197" spans="11:14" x14ac:dyDescent="0.3">
      <c r="K13197" s="1">
        <v>41821</v>
      </c>
      <c r="M13197" t="e">
        <v>#N/A</v>
      </c>
      <c r="N13197" s="1">
        <v>41365</v>
      </c>
    </row>
    <row r="13198" spans="11:14" x14ac:dyDescent="0.3">
      <c r="K13198" s="1">
        <v>41821</v>
      </c>
      <c r="M13198" t="e">
        <v>#N/A</v>
      </c>
      <c r="N13198" s="1">
        <v>41365</v>
      </c>
    </row>
    <row r="13199" spans="11:14" x14ac:dyDescent="0.3">
      <c r="K13199" s="1">
        <v>41821</v>
      </c>
      <c r="M13199" t="e">
        <v>#N/A</v>
      </c>
      <c r="N13199" s="1">
        <v>41365</v>
      </c>
    </row>
    <row r="13200" spans="11:14" x14ac:dyDescent="0.3">
      <c r="K13200" s="1">
        <v>41821</v>
      </c>
      <c r="M13200" t="e">
        <v>#N/A</v>
      </c>
      <c r="N13200" s="1">
        <v>41365</v>
      </c>
    </row>
    <row r="13201" spans="11:14" x14ac:dyDescent="0.3">
      <c r="K13201" s="1">
        <v>41821</v>
      </c>
      <c r="M13201" t="e">
        <v>#N/A</v>
      </c>
      <c r="N13201" s="1">
        <v>41365</v>
      </c>
    </row>
    <row r="13202" spans="11:14" x14ac:dyDescent="0.3">
      <c r="K13202" s="1">
        <v>41821</v>
      </c>
      <c r="M13202" t="e">
        <v>#N/A</v>
      </c>
      <c r="N13202" s="1">
        <v>41365</v>
      </c>
    </row>
    <row r="13203" spans="11:14" x14ac:dyDescent="0.3">
      <c r="K13203" s="1">
        <v>41821</v>
      </c>
      <c r="M13203" t="e">
        <v>#N/A</v>
      </c>
      <c r="N13203" s="1">
        <v>41365</v>
      </c>
    </row>
    <row r="13204" spans="11:14" x14ac:dyDescent="0.3">
      <c r="K13204" s="1">
        <v>41821</v>
      </c>
      <c r="M13204" t="e">
        <v>#N/A</v>
      </c>
      <c r="N13204" s="1">
        <v>41365</v>
      </c>
    </row>
    <row r="13205" spans="11:14" x14ac:dyDescent="0.3">
      <c r="K13205" s="1">
        <v>41821</v>
      </c>
      <c r="M13205" t="e">
        <v>#N/A</v>
      </c>
      <c r="N13205" s="1">
        <v>41365</v>
      </c>
    </row>
    <row r="13206" spans="11:14" x14ac:dyDescent="0.3">
      <c r="K13206" s="1">
        <v>41821</v>
      </c>
      <c r="M13206" t="e">
        <v>#N/A</v>
      </c>
      <c r="N13206" s="1">
        <v>41365</v>
      </c>
    </row>
    <row r="13207" spans="11:14" x14ac:dyDescent="0.3">
      <c r="K13207" s="1">
        <v>41821</v>
      </c>
      <c r="M13207" t="e">
        <v>#N/A</v>
      </c>
      <c r="N13207" s="1">
        <v>41365</v>
      </c>
    </row>
    <row r="13208" spans="11:14" x14ac:dyDescent="0.3">
      <c r="K13208" s="1">
        <v>41821</v>
      </c>
      <c r="M13208" t="e">
        <v>#N/A</v>
      </c>
      <c r="N13208" s="1">
        <v>41365</v>
      </c>
    </row>
    <row r="13209" spans="11:14" x14ac:dyDescent="0.3">
      <c r="K13209" s="1">
        <v>41821</v>
      </c>
      <c r="M13209" t="e">
        <v>#N/A</v>
      </c>
      <c r="N13209" s="1">
        <v>41365</v>
      </c>
    </row>
    <row r="13210" spans="11:14" x14ac:dyDescent="0.3">
      <c r="K13210" s="1">
        <v>41821</v>
      </c>
      <c r="M13210" t="e">
        <v>#N/A</v>
      </c>
      <c r="N13210" s="1">
        <v>41365</v>
      </c>
    </row>
    <row r="13211" spans="11:14" x14ac:dyDescent="0.3">
      <c r="K13211" s="1">
        <v>41821</v>
      </c>
      <c r="M13211" t="e">
        <v>#N/A</v>
      </c>
      <c r="N13211" s="1">
        <v>41365</v>
      </c>
    </row>
    <row r="13212" spans="11:14" x14ac:dyDescent="0.3">
      <c r="K13212" s="1">
        <v>41821</v>
      </c>
      <c r="M13212" t="e">
        <v>#N/A</v>
      </c>
      <c r="N13212" s="1">
        <v>41365</v>
      </c>
    </row>
    <row r="13213" spans="11:14" x14ac:dyDescent="0.3">
      <c r="K13213" s="1">
        <v>41821</v>
      </c>
      <c r="M13213" t="e">
        <v>#N/A</v>
      </c>
      <c r="N13213" s="1">
        <v>41365</v>
      </c>
    </row>
    <row r="13214" spans="11:14" x14ac:dyDescent="0.3">
      <c r="K13214" s="1">
        <v>41821</v>
      </c>
      <c r="M13214" t="e">
        <v>#N/A</v>
      </c>
      <c r="N13214" s="1">
        <v>41365</v>
      </c>
    </row>
    <row r="13215" spans="11:14" x14ac:dyDescent="0.3">
      <c r="K13215" s="1">
        <v>41821</v>
      </c>
      <c r="M13215" t="e">
        <v>#N/A</v>
      </c>
      <c r="N13215" s="1">
        <v>41365</v>
      </c>
    </row>
    <row r="13216" spans="11:14" x14ac:dyDescent="0.3">
      <c r="K13216" s="1">
        <v>41821</v>
      </c>
      <c r="M13216" t="e">
        <v>#N/A</v>
      </c>
      <c r="N13216" s="1">
        <v>41365</v>
      </c>
    </row>
    <row r="13217" spans="11:14" x14ac:dyDescent="0.3">
      <c r="K13217" s="1">
        <v>41821</v>
      </c>
      <c r="M13217" t="e">
        <v>#N/A</v>
      </c>
      <c r="N13217" s="1">
        <v>41365</v>
      </c>
    </row>
    <row r="13218" spans="11:14" x14ac:dyDescent="0.3">
      <c r="K13218" s="1">
        <v>41821</v>
      </c>
      <c r="M13218" t="e">
        <v>#N/A</v>
      </c>
      <c r="N13218" s="1">
        <v>41365</v>
      </c>
    </row>
    <row r="13219" spans="11:14" x14ac:dyDescent="0.3">
      <c r="K13219" s="1">
        <v>41821</v>
      </c>
      <c r="M13219" t="e">
        <v>#N/A</v>
      </c>
      <c r="N13219" s="1">
        <v>41365</v>
      </c>
    </row>
    <row r="13220" spans="11:14" x14ac:dyDescent="0.3">
      <c r="K13220" s="1">
        <v>41821</v>
      </c>
      <c r="M13220" t="e">
        <v>#N/A</v>
      </c>
      <c r="N13220" s="1">
        <v>41365</v>
      </c>
    </row>
    <row r="13221" spans="11:14" x14ac:dyDescent="0.3">
      <c r="K13221" s="1">
        <v>41821</v>
      </c>
      <c r="M13221" t="e">
        <v>#N/A</v>
      </c>
      <c r="N13221" s="1">
        <v>41365</v>
      </c>
    </row>
    <row r="13222" spans="11:14" x14ac:dyDescent="0.3">
      <c r="K13222" s="1">
        <v>41821</v>
      </c>
      <c r="M13222" t="e">
        <v>#N/A</v>
      </c>
      <c r="N13222" s="1">
        <v>41365</v>
      </c>
    </row>
    <row r="13223" spans="11:14" x14ac:dyDescent="0.3">
      <c r="K13223" s="1">
        <v>41821</v>
      </c>
      <c r="M13223" t="e">
        <v>#N/A</v>
      </c>
      <c r="N13223" s="1">
        <v>41365</v>
      </c>
    </row>
    <row r="13224" spans="11:14" x14ac:dyDescent="0.3">
      <c r="K13224" s="1">
        <v>41821</v>
      </c>
      <c r="M13224" t="e">
        <v>#N/A</v>
      </c>
      <c r="N13224" s="1">
        <v>41365</v>
      </c>
    </row>
    <row r="13225" spans="11:14" x14ac:dyDescent="0.3">
      <c r="K13225" s="1">
        <v>41821</v>
      </c>
      <c r="M13225" t="e">
        <v>#N/A</v>
      </c>
      <c r="N13225" s="1">
        <v>41365</v>
      </c>
    </row>
    <row r="13226" spans="11:14" x14ac:dyDescent="0.3">
      <c r="K13226" s="1">
        <v>41821</v>
      </c>
      <c r="M13226" t="e">
        <v>#N/A</v>
      </c>
      <c r="N13226" s="1">
        <v>41365</v>
      </c>
    </row>
    <row r="13227" spans="11:14" x14ac:dyDescent="0.3">
      <c r="K13227" s="1">
        <v>41821</v>
      </c>
      <c r="M13227" t="e">
        <v>#N/A</v>
      </c>
      <c r="N13227" s="1">
        <v>41365</v>
      </c>
    </row>
    <row r="13228" spans="11:14" x14ac:dyDescent="0.3">
      <c r="K13228" s="1">
        <v>41821</v>
      </c>
      <c r="M13228" t="e">
        <v>#N/A</v>
      </c>
      <c r="N13228" s="1">
        <v>41365</v>
      </c>
    </row>
    <row r="13229" spans="11:14" x14ac:dyDescent="0.3">
      <c r="K13229" s="1">
        <v>41821</v>
      </c>
      <c r="M13229" t="e">
        <v>#N/A</v>
      </c>
      <c r="N13229" s="1">
        <v>41365</v>
      </c>
    </row>
    <row r="13230" spans="11:14" x14ac:dyDescent="0.3">
      <c r="K13230" s="1">
        <v>41821</v>
      </c>
      <c r="M13230" t="e">
        <v>#N/A</v>
      </c>
      <c r="N13230" s="1">
        <v>41365</v>
      </c>
    </row>
    <row r="13231" spans="11:14" x14ac:dyDescent="0.3">
      <c r="K13231" s="1">
        <v>41821</v>
      </c>
      <c r="M13231" t="e">
        <v>#N/A</v>
      </c>
      <c r="N13231" s="1">
        <v>41365</v>
      </c>
    </row>
    <row r="13232" spans="11:14" x14ac:dyDescent="0.3">
      <c r="K13232" s="1">
        <v>41821</v>
      </c>
      <c r="M13232" t="e">
        <v>#N/A</v>
      </c>
      <c r="N13232" s="1">
        <v>41365</v>
      </c>
    </row>
    <row r="13233" spans="11:14" x14ac:dyDescent="0.3">
      <c r="K13233" s="1">
        <v>41821</v>
      </c>
      <c r="M13233" t="e">
        <v>#N/A</v>
      </c>
      <c r="N13233" s="1">
        <v>41365</v>
      </c>
    </row>
    <row r="13234" spans="11:14" x14ac:dyDescent="0.3">
      <c r="K13234" s="1">
        <v>41821</v>
      </c>
      <c r="M13234" t="e">
        <v>#N/A</v>
      </c>
      <c r="N13234" s="1">
        <v>41365</v>
      </c>
    </row>
    <row r="13235" spans="11:14" x14ac:dyDescent="0.3">
      <c r="K13235" s="1">
        <v>41821</v>
      </c>
      <c r="M13235" t="e">
        <v>#N/A</v>
      </c>
      <c r="N13235" s="1">
        <v>41365</v>
      </c>
    </row>
    <row r="13236" spans="11:14" x14ac:dyDescent="0.3">
      <c r="K13236" s="1">
        <v>41821</v>
      </c>
      <c r="M13236" t="e">
        <v>#N/A</v>
      </c>
      <c r="N13236" s="1">
        <v>41365</v>
      </c>
    </row>
    <row r="13237" spans="11:14" x14ac:dyDescent="0.3">
      <c r="K13237" s="1">
        <v>41821</v>
      </c>
      <c r="M13237" t="e">
        <v>#N/A</v>
      </c>
      <c r="N13237" s="1">
        <v>41365</v>
      </c>
    </row>
    <row r="13238" spans="11:14" x14ac:dyDescent="0.3">
      <c r="K13238" s="1">
        <v>41821</v>
      </c>
      <c r="M13238" t="e">
        <v>#N/A</v>
      </c>
      <c r="N13238" s="1">
        <v>41365</v>
      </c>
    </row>
    <row r="13239" spans="11:14" x14ac:dyDescent="0.3">
      <c r="K13239" s="1">
        <v>41821</v>
      </c>
      <c r="M13239" t="e">
        <v>#N/A</v>
      </c>
      <c r="N13239" s="1">
        <v>41365</v>
      </c>
    </row>
    <row r="13240" spans="11:14" x14ac:dyDescent="0.3">
      <c r="K13240" s="1">
        <v>41821</v>
      </c>
      <c r="M13240" t="e">
        <v>#N/A</v>
      </c>
      <c r="N13240" s="1">
        <v>41365</v>
      </c>
    </row>
    <row r="13241" spans="11:14" x14ac:dyDescent="0.3">
      <c r="K13241" s="1">
        <v>41821</v>
      </c>
      <c r="M13241" t="e">
        <v>#N/A</v>
      </c>
      <c r="N13241" s="1">
        <v>41365</v>
      </c>
    </row>
    <row r="13242" spans="11:14" x14ac:dyDescent="0.3">
      <c r="K13242" s="1">
        <v>41821</v>
      </c>
      <c r="M13242" t="e">
        <v>#N/A</v>
      </c>
      <c r="N13242" s="1">
        <v>41365</v>
      </c>
    </row>
    <row r="13243" spans="11:14" x14ac:dyDescent="0.3">
      <c r="K13243" s="1">
        <v>41821</v>
      </c>
      <c r="M13243" t="e">
        <v>#N/A</v>
      </c>
      <c r="N13243" s="1">
        <v>41365</v>
      </c>
    </row>
    <row r="13244" spans="11:14" x14ac:dyDescent="0.3">
      <c r="K13244" s="1">
        <v>41821</v>
      </c>
      <c r="M13244" t="e">
        <v>#N/A</v>
      </c>
      <c r="N13244" s="1">
        <v>41365</v>
      </c>
    </row>
    <row r="13245" spans="11:14" x14ac:dyDescent="0.3">
      <c r="K13245" s="1">
        <v>41821</v>
      </c>
      <c r="M13245" t="e">
        <v>#N/A</v>
      </c>
      <c r="N13245" s="1">
        <v>41365</v>
      </c>
    </row>
    <row r="13246" spans="11:14" x14ac:dyDescent="0.3">
      <c r="K13246" s="1">
        <v>41821</v>
      </c>
      <c r="M13246" t="e">
        <v>#N/A</v>
      </c>
      <c r="N13246" s="1">
        <v>41365</v>
      </c>
    </row>
    <row r="13247" spans="11:14" x14ac:dyDescent="0.3">
      <c r="K13247" s="1">
        <v>41821</v>
      </c>
      <c r="M13247" t="e">
        <v>#N/A</v>
      </c>
      <c r="N13247" s="1">
        <v>41365</v>
      </c>
    </row>
    <row r="13248" spans="11:14" x14ac:dyDescent="0.3">
      <c r="K13248" s="1">
        <v>41821</v>
      </c>
      <c r="M13248" t="e">
        <v>#N/A</v>
      </c>
      <c r="N13248" s="1">
        <v>41365</v>
      </c>
    </row>
    <row r="13249" spans="11:14" x14ac:dyDescent="0.3">
      <c r="K13249" s="1">
        <v>41821</v>
      </c>
      <c r="M13249" t="e">
        <v>#N/A</v>
      </c>
      <c r="N13249" s="1">
        <v>41365</v>
      </c>
    </row>
    <row r="13250" spans="11:14" x14ac:dyDescent="0.3">
      <c r="K13250" s="1">
        <v>41821</v>
      </c>
      <c r="M13250" t="e">
        <v>#N/A</v>
      </c>
      <c r="N13250" s="1">
        <v>41365</v>
      </c>
    </row>
    <row r="13251" spans="11:14" x14ac:dyDescent="0.3">
      <c r="K13251" s="1">
        <v>41821</v>
      </c>
      <c r="M13251" t="e">
        <v>#N/A</v>
      </c>
      <c r="N13251" s="1">
        <v>41365</v>
      </c>
    </row>
    <row r="13252" spans="11:14" x14ac:dyDescent="0.3">
      <c r="K13252" s="1">
        <v>41821</v>
      </c>
      <c r="M13252" t="e">
        <v>#N/A</v>
      </c>
      <c r="N13252" s="1">
        <v>41365</v>
      </c>
    </row>
    <row r="13253" spans="11:14" x14ac:dyDescent="0.3">
      <c r="K13253" s="1">
        <v>41821</v>
      </c>
      <c r="M13253" t="e">
        <v>#N/A</v>
      </c>
      <c r="N13253" s="1">
        <v>41365</v>
      </c>
    </row>
    <row r="13254" spans="11:14" x14ac:dyDescent="0.3">
      <c r="K13254" s="1">
        <v>41821</v>
      </c>
      <c r="M13254" t="e">
        <v>#N/A</v>
      </c>
      <c r="N13254" s="1">
        <v>41456</v>
      </c>
    </row>
    <row r="13255" spans="11:14" x14ac:dyDescent="0.3">
      <c r="K13255" s="1">
        <v>41821</v>
      </c>
      <c r="M13255" t="e">
        <v>#N/A</v>
      </c>
      <c r="N13255" s="1">
        <v>41456</v>
      </c>
    </row>
    <row r="13256" spans="11:14" x14ac:dyDescent="0.3">
      <c r="K13256" s="1">
        <v>41821</v>
      </c>
      <c r="M13256" t="e">
        <v>#N/A</v>
      </c>
      <c r="N13256" s="1">
        <v>41456</v>
      </c>
    </row>
    <row r="13257" spans="11:14" x14ac:dyDescent="0.3">
      <c r="K13257" s="1">
        <v>41821</v>
      </c>
      <c r="M13257" t="e">
        <v>#N/A</v>
      </c>
      <c r="N13257" s="1">
        <v>41456</v>
      </c>
    </row>
    <row r="13258" spans="11:14" x14ac:dyDescent="0.3">
      <c r="K13258" s="1">
        <v>41821</v>
      </c>
      <c r="M13258" t="e">
        <v>#N/A</v>
      </c>
      <c r="N13258" s="1">
        <v>41456</v>
      </c>
    </row>
    <row r="13259" spans="11:14" x14ac:dyDescent="0.3">
      <c r="K13259" s="1">
        <v>41821</v>
      </c>
      <c r="M13259" t="e">
        <v>#N/A</v>
      </c>
      <c r="N13259" s="1">
        <v>41456</v>
      </c>
    </row>
    <row r="13260" spans="11:14" x14ac:dyDescent="0.3">
      <c r="K13260" s="1">
        <v>41821</v>
      </c>
      <c r="M13260" t="e">
        <v>#N/A</v>
      </c>
      <c r="N13260" s="1">
        <v>41456</v>
      </c>
    </row>
    <row r="13261" spans="11:14" x14ac:dyDescent="0.3">
      <c r="K13261" s="1">
        <v>41821</v>
      </c>
      <c r="M13261" t="e">
        <v>#N/A</v>
      </c>
      <c r="N13261" s="1">
        <v>41456</v>
      </c>
    </row>
    <row r="13262" spans="11:14" x14ac:dyDescent="0.3">
      <c r="K13262" s="1">
        <v>41821</v>
      </c>
      <c r="M13262" t="e">
        <v>#N/A</v>
      </c>
      <c r="N13262" s="1">
        <v>41456</v>
      </c>
    </row>
    <row r="13263" spans="11:14" x14ac:dyDescent="0.3">
      <c r="K13263" s="1">
        <v>41821</v>
      </c>
      <c r="M13263" t="e">
        <v>#N/A</v>
      </c>
      <c r="N13263" s="1">
        <v>41456</v>
      </c>
    </row>
    <row r="13264" spans="11:14" x14ac:dyDescent="0.3">
      <c r="K13264" s="1">
        <v>41821</v>
      </c>
      <c r="M13264" t="e">
        <v>#N/A</v>
      </c>
      <c r="N13264" s="1">
        <v>41456</v>
      </c>
    </row>
    <row r="13265" spans="11:14" x14ac:dyDescent="0.3">
      <c r="K13265" s="1">
        <v>41821</v>
      </c>
      <c r="M13265" t="e">
        <v>#N/A</v>
      </c>
      <c r="N13265" s="1">
        <v>41456</v>
      </c>
    </row>
    <row r="13266" spans="11:14" x14ac:dyDescent="0.3">
      <c r="K13266" s="1">
        <v>41821</v>
      </c>
      <c r="M13266" t="e">
        <v>#N/A</v>
      </c>
      <c r="N13266" s="1">
        <v>41456</v>
      </c>
    </row>
    <row r="13267" spans="11:14" x14ac:dyDescent="0.3">
      <c r="K13267" s="1">
        <v>41821</v>
      </c>
      <c r="M13267" t="e">
        <v>#N/A</v>
      </c>
      <c r="N13267" s="1">
        <v>41456</v>
      </c>
    </row>
    <row r="13268" spans="11:14" x14ac:dyDescent="0.3">
      <c r="K13268" s="1">
        <v>41821</v>
      </c>
      <c r="M13268" t="e">
        <v>#N/A</v>
      </c>
      <c r="N13268" s="1">
        <v>41456</v>
      </c>
    </row>
    <row r="13269" spans="11:14" x14ac:dyDescent="0.3">
      <c r="K13269" s="1">
        <v>41821</v>
      </c>
      <c r="M13269" t="e">
        <v>#N/A</v>
      </c>
      <c r="N13269" s="1">
        <v>41456</v>
      </c>
    </row>
    <row r="13270" spans="11:14" x14ac:dyDescent="0.3">
      <c r="K13270" s="1">
        <v>41821</v>
      </c>
      <c r="M13270" t="e">
        <v>#N/A</v>
      </c>
      <c r="N13270" s="1">
        <v>41456</v>
      </c>
    </row>
    <row r="13271" spans="11:14" x14ac:dyDescent="0.3">
      <c r="K13271" s="1">
        <v>41821</v>
      </c>
      <c r="M13271" t="e">
        <v>#N/A</v>
      </c>
      <c r="N13271" s="1">
        <v>41456</v>
      </c>
    </row>
    <row r="13272" spans="11:14" x14ac:dyDescent="0.3">
      <c r="K13272" s="1">
        <v>41821</v>
      </c>
      <c r="M13272" t="e">
        <v>#N/A</v>
      </c>
      <c r="N13272" s="1">
        <v>41456</v>
      </c>
    </row>
    <row r="13273" spans="11:14" x14ac:dyDescent="0.3">
      <c r="K13273" s="1">
        <v>41821</v>
      </c>
      <c r="M13273" t="e">
        <v>#N/A</v>
      </c>
      <c r="N13273" s="1">
        <v>41456</v>
      </c>
    </row>
    <row r="13274" spans="11:14" x14ac:dyDescent="0.3">
      <c r="K13274" s="1">
        <v>41821</v>
      </c>
      <c r="M13274" t="e">
        <v>#N/A</v>
      </c>
      <c r="N13274" s="1">
        <v>41456</v>
      </c>
    </row>
    <row r="13275" spans="11:14" x14ac:dyDescent="0.3">
      <c r="K13275" s="1">
        <v>41821</v>
      </c>
      <c r="M13275" t="e">
        <v>#N/A</v>
      </c>
      <c r="N13275" s="1">
        <v>41456</v>
      </c>
    </row>
    <row r="13276" spans="11:14" x14ac:dyDescent="0.3">
      <c r="K13276" s="1">
        <v>41821</v>
      </c>
      <c r="M13276" t="e">
        <v>#N/A</v>
      </c>
      <c r="N13276" s="1">
        <v>41456</v>
      </c>
    </row>
    <row r="13277" spans="11:14" x14ac:dyDescent="0.3">
      <c r="K13277" s="1">
        <v>41821</v>
      </c>
      <c r="M13277" t="e">
        <v>#N/A</v>
      </c>
      <c r="N13277" s="1">
        <v>41456</v>
      </c>
    </row>
    <row r="13278" spans="11:14" x14ac:dyDescent="0.3">
      <c r="K13278" s="1">
        <v>41821</v>
      </c>
      <c r="M13278" t="e">
        <v>#N/A</v>
      </c>
      <c r="N13278" s="1">
        <v>41456</v>
      </c>
    </row>
    <row r="13279" spans="11:14" x14ac:dyDescent="0.3">
      <c r="K13279" s="1">
        <v>41821</v>
      </c>
      <c r="M13279" t="e">
        <v>#N/A</v>
      </c>
      <c r="N13279" s="1">
        <v>41456</v>
      </c>
    </row>
    <row r="13280" spans="11:14" x14ac:dyDescent="0.3">
      <c r="K13280" s="1">
        <v>41821</v>
      </c>
      <c r="M13280" t="e">
        <v>#N/A</v>
      </c>
      <c r="N13280" s="1">
        <v>41456</v>
      </c>
    </row>
    <row r="13281" spans="11:14" x14ac:dyDescent="0.3">
      <c r="K13281" s="1">
        <v>41821</v>
      </c>
      <c r="M13281" t="e">
        <v>#N/A</v>
      </c>
      <c r="N13281" s="1">
        <v>41456</v>
      </c>
    </row>
    <row r="13282" spans="11:14" x14ac:dyDescent="0.3">
      <c r="K13282" s="1">
        <v>41821</v>
      </c>
      <c r="M13282" t="e">
        <v>#N/A</v>
      </c>
      <c r="N13282" s="1">
        <v>41456</v>
      </c>
    </row>
    <row r="13283" spans="11:14" x14ac:dyDescent="0.3">
      <c r="K13283" s="1">
        <v>41821</v>
      </c>
      <c r="M13283" t="e">
        <v>#N/A</v>
      </c>
      <c r="N13283" s="1">
        <v>41456</v>
      </c>
    </row>
    <row r="13284" spans="11:14" x14ac:dyDescent="0.3">
      <c r="K13284" s="1">
        <v>41821</v>
      </c>
      <c r="M13284" t="e">
        <v>#N/A</v>
      </c>
      <c r="N13284" s="1">
        <v>41456</v>
      </c>
    </row>
    <row r="13285" spans="11:14" x14ac:dyDescent="0.3">
      <c r="K13285" s="1">
        <v>41821</v>
      </c>
      <c r="M13285" t="e">
        <v>#N/A</v>
      </c>
      <c r="N13285" s="1">
        <v>41456</v>
      </c>
    </row>
    <row r="13286" spans="11:14" x14ac:dyDescent="0.3">
      <c r="K13286" s="1">
        <v>41821</v>
      </c>
      <c r="M13286" t="e">
        <v>#N/A</v>
      </c>
      <c r="N13286" s="1">
        <v>41456</v>
      </c>
    </row>
    <row r="13287" spans="11:14" x14ac:dyDescent="0.3">
      <c r="K13287" s="1">
        <v>41821</v>
      </c>
      <c r="M13287" t="e">
        <v>#N/A</v>
      </c>
      <c r="N13287" s="1">
        <v>41456</v>
      </c>
    </row>
    <row r="13288" spans="11:14" x14ac:dyDescent="0.3">
      <c r="K13288" s="1">
        <v>41821</v>
      </c>
      <c r="M13288" t="e">
        <v>#N/A</v>
      </c>
      <c r="N13288" s="1">
        <v>41456</v>
      </c>
    </row>
    <row r="13289" spans="11:14" x14ac:dyDescent="0.3">
      <c r="K13289" s="1">
        <v>41821</v>
      </c>
      <c r="M13289" t="e">
        <v>#N/A</v>
      </c>
      <c r="N13289" s="1">
        <v>41456</v>
      </c>
    </row>
    <row r="13290" spans="11:14" x14ac:dyDescent="0.3">
      <c r="K13290" s="1">
        <v>41821</v>
      </c>
      <c r="M13290" t="e">
        <v>#N/A</v>
      </c>
      <c r="N13290" s="1">
        <v>41456</v>
      </c>
    </row>
    <row r="13291" spans="11:14" x14ac:dyDescent="0.3">
      <c r="K13291" s="1">
        <v>41821</v>
      </c>
      <c r="M13291" t="e">
        <v>#N/A</v>
      </c>
      <c r="N13291" s="1">
        <v>41456</v>
      </c>
    </row>
    <row r="13292" spans="11:14" x14ac:dyDescent="0.3">
      <c r="K13292" s="1">
        <v>41821</v>
      </c>
      <c r="M13292" t="e">
        <v>#N/A</v>
      </c>
      <c r="N13292" s="1">
        <v>41456</v>
      </c>
    </row>
    <row r="13293" spans="11:14" x14ac:dyDescent="0.3">
      <c r="K13293" s="1">
        <v>41821</v>
      </c>
      <c r="M13293" t="e">
        <v>#N/A</v>
      </c>
      <c r="N13293" s="1">
        <v>41456</v>
      </c>
    </row>
    <row r="13294" spans="11:14" x14ac:dyDescent="0.3">
      <c r="K13294" s="1">
        <v>41821</v>
      </c>
      <c r="M13294" t="e">
        <v>#N/A</v>
      </c>
      <c r="N13294" s="1">
        <v>41456</v>
      </c>
    </row>
    <row r="13295" spans="11:14" x14ac:dyDescent="0.3">
      <c r="K13295" s="1">
        <v>41821</v>
      </c>
      <c r="M13295" t="e">
        <v>#N/A</v>
      </c>
      <c r="N13295" s="1">
        <v>41456</v>
      </c>
    </row>
    <row r="13296" spans="11:14" x14ac:dyDescent="0.3">
      <c r="K13296" s="1">
        <v>41821</v>
      </c>
      <c r="M13296" t="e">
        <v>#N/A</v>
      </c>
      <c r="N13296" s="1">
        <v>41456</v>
      </c>
    </row>
    <row r="13297" spans="11:14" x14ac:dyDescent="0.3">
      <c r="K13297" s="1">
        <v>41821</v>
      </c>
      <c r="M13297" t="e">
        <v>#N/A</v>
      </c>
      <c r="N13297" s="1">
        <v>41456</v>
      </c>
    </row>
    <row r="13298" spans="11:14" x14ac:dyDescent="0.3">
      <c r="K13298" s="1">
        <v>41821</v>
      </c>
      <c r="M13298" t="e">
        <v>#N/A</v>
      </c>
      <c r="N13298" s="1">
        <v>41456</v>
      </c>
    </row>
    <row r="13299" spans="11:14" x14ac:dyDescent="0.3">
      <c r="K13299" s="1">
        <v>41821</v>
      </c>
      <c r="M13299" t="e">
        <v>#N/A</v>
      </c>
      <c r="N13299" s="1">
        <v>41456</v>
      </c>
    </row>
    <row r="13300" spans="11:14" x14ac:dyDescent="0.3">
      <c r="K13300" s="1">
        <v>41821</v>
      </c>
      <c r="M13300" t="e">
        <v>#N/A</v>
      </c>
      <c r="N13300" s="1">
        <v>41456</v>
      </c>
    </row>
    <row r="13301" spans="11:14" x14ac:dyDescent="0.3">
      <c r="K13301" s="1">
        <v>41821</v>
      </c>
      <c r="M13301" t="e">
        <v>#N/A</v>
      </c>
      <c r="N13301" s="1">
        <v>41456</v>
      </c>
    </row>
    <row r="13302" spans="11:14" x14ac:dyDescent="0.3">
      <c r="K13302" s="1">
        <v>41821</v>
      </c>
      <c r="M13302" t="e">
        <v>#N/A</v>
      </c>
      <c r="N13302" s="1">
        <v>41456</v>
      </c>
    </row>
    <row r="13303" spans="11:14" x14ac:dyDescent="0.3">
      <c r="K13303" s="1">
        <v>41821</v>
      </c>
      <c r="M13303" t="e">
        <v>#N/A</v>
      </c>
      <c r="N13303" s="1">
        <v>41456</v>
      </c>
    </row>
    <row r="13304" spans="11:14" x14ac:dyDescent="0.3">
      <c r="K13304" s="1">
        <v>41821</v>
      </c>
      <c r="M13304" t="e">
        <v>#N/A</v>
      </c>
      <c r="N13304" s="1">
        <v>41456</v>
      </c>
    </row>
    <row r="13305" spans="11:14" x14ac:dyDescent="0.3">
      <c r="K13305" s="1">
        <v>41821</v>
      </c>
      <c r="M13305" t="e">
        <v>#N/A</v>
      </c>
      <c r="N13305" s="1">
        <v>41456</v>
      </c>
    </row>
    <row r="13306" spans="11:14" x14ac:dyDescent="0.3">
      <c r="K13306" s="1">
        <v>41821</v>
      </c>
      <c r="M13306" t="e">
        <v>#N/A</v>
      </c>
      <c r="N13306" s="1">
        <v>41456</v>
      </c>
    </row>
    <row r="13307" spans="11:14" x14ac:dyDescent="0.3">
      <c r="K13307" s="1">
        <v>41821</v>
      </c>
      <c r="M13307" t="e">
        <v>#N/A</v>
      </c>
      <c r="N13307" s="1">
        <v>41456</v>
      </c>
    </row>
    <row r="13308" spans="11:14" x14ac:dyDescent="0.3">
      <c r="K13308" s="1">
        <v>41821</v>
      </c>
      <c r="M13308" t="e">
        <v>#N/A</v>
      </c>
      <c r="N13308" s="1">
        <v>41456</v>
      </c>
    </row>
    <row r="13309" spans="11:14" x14ac:dyDescent="0.3">
      <c r="K13309" s="1">
        <v>41821</v>
      </c>
      <c r="M13309" t="e">
        <v>#N/A</v>
      </c>
      <c r="N13309" s="1">
        <v>41456</v>
      </c>
    </row>
    <row r="13310" spans="11:14" x14ac:dyDescent="0.3">
      <c r="K13310" s="1">
        <v>41821</v>
      </c>
      <c r="M13310" t="e">
        <v>#N/A</v>
      </c>
      <c r="N13310" s="1">
        <v>41456</v>
      </c>
    </row>
    <row r="13311" spans="11:14" x14ac:dyDescent="0.3">
      <c r="K13311" s="1">
        <v>41821</v>
      </c>
      <c r="M13311" t="e">
        <v>#N/A</v>
      </c>
      <c r="N13311" s="1">
        <v>41456</v>
      </c>
    </row>
    <row r="13312" spans="11:14" x14ac:dyDescent="0.3">
      <c r="K13312" s="1">
        <v>41821</v>
      </c>
      <c r="M13312" t="e">
        <v>#N/A</v>
      </c>
      <c r="N13312" s="1">
        <v>41456</v>
      </c>
    </row>
    <row r="13313" spans="11:14" x14ac:dyDescent="0.3">
      <c r="K13313" s="1">
        <v>41821</v>
      </c>
      <c r="M13313" t="e">
        <v>#N/A</v>
      </c>
      <c r="N13313" s="1">
        <v>41456</v>
      </c>
    </row>
    <row r="13314" spans="11:14" x14ac:dyDescent="0.3">
      <c r="K13314" s="1">
        <v>41821</v>
      </c>
      <c r="M13314" t="e">
        <v>#N/A</v>
      </c>
      <c r="N13314" s="1">
        <v>41456</v>
      </c>
    </row>
    <row r="13315" spans="11:14" x14ac:dyDescent="0.3">
      <c r="K13315" s="1">
        <v>41821</v>
      </c>
      <c r="M13315" t="e">
        <v>#N/A</v>
      </c>
      <c r="N13315" s="1">
        <v>41456</v>
      </c>
    </row>
    <row r="13316" spans="11:14" x14ac:dyDescent="0.3">
      <c r="K13316" s="1">
        <v>41821</v>
      </c>
      <c r="M13316" t="e">
        <v>#N/A</v>
      </c>
      <c r="N13316" s="1">
        <v>41456</v>
      </c>
    </row>
    <row r="13317" spans="11:14" x14ac:dyDescent="0.3">
      <c r="K13317" s="1">
        <v>41821</v>
      </c>
      <c r="M13317" t="e">
        <v>#N/A</v>
      </c>
      <c r="N13317" s="1">
        <v>41456</v>
      </c>
    </row>
    <row r="13318" spans="11:14" x14ac:dyDescent="0.3">
      <c r="K13318" s="1">
        <v>41821</v>
      </c>
      <c r="M13318" t="e">
        <v>#N/A</v>
      </c>
      <c r="N13318" s="1">
        <v>41456</v>
      </c>
    </row>
    <row r="13319" spans="11:14" x14ac:dyDescent="0.3">
      <c r="K13319" s="1">
        <v>41821</v>
      </c>
      <c r="M13319" t="e">
        <v>#N/A</v>
      </c>
      <c r="N13319" s="1">
        <v>41456</v>
      </c>
    </row>
    <row r="13320" spans="11:14" x14ac:dyDescent="0.3">
      <c r="K13320" s="1">
        <v>41821</v>
      </c>
      <c r="M13320" t="e">
        <v>#N/A</v>
      </c>
      <c r="N13320" s="1">
        <v>41456</v>
      </c>
    </row>
    <row r="13321" spans="11:14" x14ac:dyDescent="0.3">
      <c r="K13321" s="1">
        <v>41821</v>
      </c>
      <c r="M13321" t="e">
        <v>#N/A</v>
      </c>
      <c r="N13321" s="1">
        <v>41456</v>
      </c>
    </row>
    <row r="13322" spans="11:14" x14ac:dyDescent="0.3">
      <c r="K13322" s="1">
        <v>41821</v>
      </c>
      <c r="M13322" t="e">
        <v>#N/A</v>
      </c>
      <c r="N13322" s="1">
        <v>41456</v>
      </c>
    </row>
    <row r="13323" spans="11:14" x14ac:dyDescent="0.3">
      <c r="K13323" s="1">
        <v>41821</v>
      </c>
      <c r="M13323" t="e">
        <v>#N/A</v>
      </c>
      <c r="N13323" s="1">
        <v>41456</v>
      </c>
    </row>
    <row r="13324" spans="11:14" x14ac:dyDescent="0.3">
      <c r="K13324" s="1">
        <v>41821</v>
      </c>
      <c r="M13324" t="e">
        <v>#N/A</v>
      </c>
      <c r="N13324" s="1">
        <v>41456</v>
      </c>
    </row>
    <row r="13325" spans="11:14" x14ac:dyDescent="0.3">
      <c r="K13325" s="1">
        <v>41821</v>
      </c>
      <c r="M13325" t="e">
        <v>#N/A</v>
      </c>
      <c r="N13325" s="1">
        <v>41456</v>
      </c>
    </row>
    <row r="13326" spans="11:14" x14ac:dyDescent="0.3">
      <c r="K13326" s="1">
        <v>41821</v>
      </c>
      <c r="M13326" t="e">
        <v>#N/A</v>
      </c>
      <c r="N13326" s="1">
        <v>41456</v>
      </c>
    </row>
    <row r="13327" spans="11:14" x14ac:dyDescent="0.3">
      <c r="K13327" s="1">
        <v>41821</v>
      </c>
      <c r="M13327" t="e">
        <v>#N/A</v>
      </c>
      <c r="N13327" s="1">
        <v>41456</v>
      </c>
    </row>
    <row r="13328" spans="11:14" x14ac:dyDescent="0.3">
      <c r="K13328" s="1">
        <v>41821</v>
      </c>
      <c r="M13328" t="e">
        <v>#N/A</v>
      </c>
      <c r="N13328" s="1">
        <v>41456</v>
      </c>
    </row>
    <row r="13329" spans="11:14" x14ac:dyDescent="0.3">
      <c r="K13329" s="1">
        <v>41821</v>
      </c>
      <c r="M13329" t="e">
        <v>#N/A</v>
      </c>
      <c r="N13329" s="1">
        <v>41456</v>
      </c>
    </row>
    <row r="13330" spans="11:14" x14ac:dyDescent="0.3">
      <c r="K13330" s="1">
        <v>41821</v>
      </c>
      <c r="M13330" t="e">
        <v>#N/A</v>
      </c>
      <c r="N13330" s="1">
        <v>41456</v>
      </c>
    </row>
    <row r="13331" spans="11:14" x14ac:dyDescent="0.3">
      <c r="K13331" s="1">
        <v>41821</v>
      </c>
      <c r="M13331" t="e">
        <v>#N/A</v>
      </c>
      <c r="N13331" s="1">
        <v>41456</v>
      </c>
    </row>
    <row r="13332" spans="11:14" x14ac:dyDescent="0.3">
      <c r="K13332" s="1">
        <v>41821</v>
      </c>
      <c r="M13332" t="e">
        <v>#N/A</v>
      </c>
      <c r="N13332" s="1">
        <v>41456</v>
      </c>
    </row>
    <row r="13333" spans="11:14" x14ac:dyDescent="0.3">
      <c r="K13333" s="1">
        <v>41821</v>
      </c>
      <c r="M13333" t="e">
        <v>#N/A</v>
      </c>
      <c r="N13333" s="1">
        <v>41456</v>
      </c>
    </row>
    <row r="13334" spans="11:14" x14ac:dyDescent="0.3">
      <c r="K13334" s="1">
        <v>41821</v>
      </c>
      <c r="M13334" t="e">
        <v>#N/A</v>
      </c>
      <c r="N13334" s="1">
        <v>41456</v>
      </c>
    </row>
    <row r="13335" spans="11:14" x14ac:dyDescent="0.3">
      <c r="K13335" s="1">
        <v>41821</v>
      </c>
      <c r="M13335" t="e">
        <v>#N/A</v>
      </c>
      <c r="N13335" s="1">
        <v>41456</v>
      </c>
    </row>
    <row r="13336" spans="11:14" x14ac:dyDescent="0.3">
      <c r="K13336" s="1">
        <v>41821</v>
      </c>
      <c r="M13336" t="e">
        <v>#N/A</v>
      </c>
      <c r="N13336" s="1">
        <v>41456</v>
      </c>
    </row>
    <row r="13337" spans="11:14" x14ac:dyDescent="0.3">
      <c r="K13337" s="1">
        <v>41821</v>
      </c>
      <c r="M13337" t="e">
        <v>#N/A</v>
      </c>
      <c r="N13337" s="1">
        <v>41456</v>
      </c>
    </row>
    <row r="13338" spans="11:14" x14ac:dyDescent="0.3">
      <c r="K13338" s="1">
        <v>41821</v>
      </c>
      <c r="M13338" t="e">
        <v>#N/A</v>
      </c>
      <c r="N13338" s="1">
        <v>41456</v>
      </c>
    </row>
    <row r="13339" spans="11:14" x14ac:dyDescent="0.3">
      <c r="K13339" s="1">
        <v>41821</v>
      </c>
      <c r="M13339" t="e">
        <v>#N/A</v>
      </c>
      <c r="N13339" s="1">
        <v>41456</v>
      </c>
    </row>
    <row r="13340" spans="11:14" x14ac:dyDescent="0.3">
      <c r="K13340" s="1">
        <v>41821</v>
      </c>
      <c r="M13340" t="e">
        <v>#N/A</v>
      </c>
      <c r="N13340" s="1">
        <v>41456</v>
      </c>
    </row>
    <row r="13341" spans="11:14" x14ac:dyDescent="0.3">
      <c r="K13341" s="1">
        <v>41821</v>
      </c>
      <c r="M13341" t="e">
        <v>#N/A</v>
      </c>
      <c r="N13341" s="1">
        <v>41456</v>
      </c>
    </row>
    <row r="13342" spans="11:14" x14ac:dyDescent="0.3">
      <c r="K13342" s="1">
        <v>41821</v>
      </c>
      <c r="M13342" t="e">
        <v>#N/A</v>
      </c>
      <c r="N13342" s="1">
        <v>41456</v>
      </c>
    </row>
    <row r="13343" spans="11:14" x14ac:dyDescent="0.3">
      <c r="K13343" s="1">
        <v>41821</v>
      </c>
      <c r="M13343" t="e">
        <v>#N/A</v>
      </c>
      <c r="N13343" s="1">
        <v>41456</v>
      </c>
    </row>
    <row r="13344" spans="11:14" x14ac:dyDescent="0.3">
      <c r="K13344" s="1">
        <v>41821</v>
      </c>
      <c r="M13344" t="e">
        <v>#N/A</v>
      </c>
      <c r="N13344" s="1">
        <v>41456</v>
      </c>
    </row>
    <row r="13345" spans="11:14" x14ac:dyDescent="0.3">
      <c r="K13345" s="1">
        <v>41821</v>
      </c>
      <c r="M13345" t="e">
        <v>#N/A</v>
      </c>
      <c r="N13345" s="1">
        <v>41456</v>
      </c>
    </row>
    <row r="13346" spans="11:14" x14ac:dyDescent="0.3">
      <c r="K13346" s="1">
        <v>41821</v>
      </c>
      <c r="M13346" t="e">
        <v>#N/A</v>
      </c>
      <c r="N13346" s="1">
        <v>41456</v>
      </c>
    </row>
    <row r="13347" spans="11:14" x14ac:dyDescent="0.3">
      <c r="K13347" s="1">
        <v>41821</v>
      </c>
      <c r="M13347" t="e">
        <v>#N/A</v>
      </c>
      <c r="N13347" s="1">
        <v>41456</v>
      </c>
    </row>
    <row r="13348" spans="11:14" x14ac:dyDescent="0.3">
      <c r="K13348" s="1">
        <v>41821</v>
      </c>
      <c r="M13348" t="e">
        <v>#N/A</v>
      </c>
      <c r="N13348" s="1">
        <v>41456</v>
      </c>
    </row>
    <row r="13349" spans="11:14" x14ac:dyDescent="0.3">
      <c r="K13349" s="1">
        <v>41821</v>
      </c>
      <c r="M13349" t="e">
        <v>#N/A</v>
      </c>
      <c r="N13349" s="1">
        <v>41456</v>
      </c>
    </row>
    <row r="13350" spans="11:14" x14ac:dyDescent="0.3">
      <c r="K13350" s="1">
        <v>41821</v>
      </c>
      <c r="M13350" t="e">
        <v>#N/A</v>
      </c>
      <c r="N13350" s="1">
        <v>41456</v>
      </c>
    </row>
    <row r="13351" spans="11:14" x14ac:dyDescent="0.3">
      <c r="K13351" s="1">
        <v>41821</v>
      </c>
      <c r="M13351" t="e">
        <v>#N/A</v>
      </c>
      <c r="N13351" s="1">
        <v>41456</v>
      </c>
    </row>
    <row r="13352" spans="11:14" x14ac:dyDescent="0.3">
      <c r="K13352" s="1">
        <v>41821</v>
      </c>
      <c r="M13352" t="e">
        <v>#N/A</v>
      </c>
      <c r="N13352" s="1">
        <v>41456</v>
      </c>
    </row>
    <row r="13353" spans="11:14" x14ac:dyDescent="0.3">
      <c r="K13353" s="1">
        <v>41821</v>
      </c>
      <c r="M13353" t="e">
        <v>#N/A</v>
      </c>
      <c r="N13353" s="1">
        <v>41456</v>
      </c>
    </row>
    <row r="13354" spans="11:14" x14ac:dyDescent="0.3">
      <c r="K13354" s="1">
        <v>41821</v>
      </c>
      <c r="M13354" t="e">
        <v>#N/A</v>
      </c>
      <c r="N13354" s="1">
        <v>41456</v>
      </c>
    </row>
    <row r="13355" spans="11:14" x14ac:dyDescent="0.3">
      <c r="K13355" s="1">
        <v>41821</v>
      </c>
      <c r="M13355" t="e">
        <v>#N/A</v>
      </c>
      <c r="N13355" s="1">
        <v>41456</v>
      </c>
    </row>
    <row r="13356" spans="11:14" x14ac:dyDescent="0.3">
      <c r="K13356" s="1">
        <v>41821</v>
      </c>
      <c r="M13356" t="e">
        <v>#N/A</v>
      </c>
      <c r="N13356" s="1">
        <v>41456</v>
      </c>
    </row>
    <row r="13357" spans="11:14" x14ac:dyDescent="0.3">
      <c r="K13357" s="1">
        <v>41821</v>
      </c>
      <c r="M13357" t="e">
        <v>#N/A</v>
      </c>
      <c r="N13357" s="1">
        <v>41456</v>
      </c>
    </row>
    <row r="13358" spans="11:14" x14ac:dyDescent="0.3">
      <c r="K13358" s="1">
        <v>41821</v>
      </c>
      <c r="M13358" t="e">
        <v>#N/A</v>
      </c>
      <c r="N13358" s="1">
        <v>41456</v>
      </c>
    </row>
    <row r="13359" spans="11:14" x14ac:dyDescent="0.3">
      <c r="K13359" s="1">
        <v>41821</v>
      </c>
      <c r="M13359" t="e">
        <v>#N/A</v>
      </c>
      <c r="N13359" s="1">
        <v>41456</v>
      </c>
    </row>
    <row r="13360" spans="11:14" x14ac:dyDescent="0.3">
      <c r="K13360" s="1">
        <v>41821</v>
      </c>
      <c r="M13360" t="e">
        <v>#N/A</v>
      </c>
      <c r="N13360" s="1">
        <v>41456</v>
      </c>
    </row>
    <row r="13361" spans="11:14" x14ac:dyDescent="0.3">
      <c r="K13361" s="1">
        <v>41821</v>
      </c>
      <c r="M13361" t="e">
        <v>#N/A</v>
      </c>
      <c r="N13361" s="1">
        <v>41456</v>
      </c>
    </row>
    <row r="13362" spans="11:14" x14ac:dyDescent="0.3">
      <c r="K13362" s="1">
        <v>41821</v>
      </c>
      <c r="M13362" t="e">
        <v>#N/A</v>
      </c>
      <c r="N13362" s="1">
        <v>41456</v>
      </c>
    </row>
    <row r="13363" spans="11:14" x14ac:dyDescent="0.3">
      <c r="K13363" s="1">
        <v>41821</v>
      </c>
      <c r="M13363" t="e">
        <v>#N/A</v>
      </c>
      <c r="N13363" s="1">
        <v>41456</v>
      </c>
    </row>
    <row r="13364" spans="11:14" x14ac:dyDescent="0.3">
      <c r="K13364" s="1">
        <v>41821</v>
      </c>
      <c r="M13364" t="e">
        <v>#N/A</v>
      </c>
      <c r="N13364" s="1">
        <v>41456</v>
      </c>
    </row>
    <row r="13365" spans="11:14" x14ac:dyDescent="0.3">
      <c r="K13365" s="1">
        <v>41821</v>
      </c>
      <c r="M13365" t="e">
        <v>#N/A</v>
      </c>
      <c r="N13365" s="1">
        <v>41456</v>
      </c>
    </row>
    <row r="13366" spans="11:14" x14ac:dyDescent="0.3">
      <c r="K13366" s="1">
        <v>41821</v>
      </c>
      <c r="M13366" t="e">
        <v>#N/A</v>
      </c>
      <c r="N13366" s="1">
        <v>41456</v>
      </c>
    </row>
    <row r="13367" spans="11:14" x14ac:dyDescent="0.3">
      <c r="K13367" s="1">
        <v>41821</v>
      </c>
      <c r="M13367" t="e">
        <v>#N/A</v>
      </c>
      <c r="N13367" s="1">
        <v>41456</v>
      </c>
    </row>
    <row r="13368" spans="11:14" x14ac:dyDescent="0.3">
      <c r="K13368" s="1">
        <v>41821</v>
      </c>
      <c r="M13368" t="e">
        <v>#N/A</v>
      </c>
      <c r="N13368" s="1">
        <v>41456</v>
      </c>
    </row>
    <row r="13369" spans="11:14" x14ac:dyDescent="0.3">
      <c r="K13369" s="1">
        <v>41821</v>
      </c>
      <c r="M13369" t="e">
        <v>#N/A</v>
      </c>
      <c r="N13369" s="1">
        <v>41456</v>
      </c>
    </row>
    <row r="13370" spans="11:14" x14ac:dyDescent="0.3">
      <c r="K13370" s="1">
        <v>41821</v>
      </c>
      <c r="M13370" t="e">
        <v>#N/A</v>
      </c>
      <c r="N13370" s="1">
        <v>41456</v>
      </c>
    </row>
    <row r="13371" spans="11:14" x14ac:dyDescent="0.3">
      <c r="K13371" s="1">
        <v>41821</v>
      </c>
      <c r="M13371" t="e">
        <v>#N/A</v>
      </c>
      <c r="N13371" s="1">
        <v>41456</v>
      </c>
    </row>
    <row r="13372" spans="11:14" x14ac:dyDescent="0.3">
      <c r="K13372" s="1">
        <v>41821</v>
      </c>
      <c r="M13372" t="e">
        <v>#N/A</v>
      </c>
      <c r="N13372" s="1">
        <v>41456</v>
      </c>
    </row>
    <row r="13373" spans="11:14" x14ac:dyDescent="0.3">
      <c r="K13373" s="1">
        <v>41821</v>
      </c>
      <c r="M13373" t="e">
        <v>#N/A</v>
      </c>
      <c r="N13373" s="1">
        <v>41456</v>
      </c>
    </row>
    <row r="13374" spans="11:14" x14ac:dyDescent="0.3">
      <c r="K13374" s="1">
        <v>41821</v>
      </c>
      <c r="M13374" t="e">
        <v>#N/A</v>
      </c>
      <c r="N13374" s="1">
        <v>41456</v>
      </c>
    </row>
    <row r="13375" spans="11:14" x14ac:dyDescent="0.3">
      <c r="K13375" s="1">
        <v>41821</v>
      </c>
      <c r="M13375" t="e">
        <v>#N/A</v>
      </c>
      <c r="N13375" s="1">
        <v>41456</v>
      </c>
    </row>
    <row r="13376" spans="11:14" x14ac:dyDescent="0.3">
      <c r="K13376" s="1">
        <v>41821</v>
      </c>
      <c r="M13376" t="e">
        <v>#N/A</v>
      </c>
      <c r="N13376" s="1">
        <v>41456</v>
      </c>
    </row>
    <row r="13377" spans="11:14" x14ac:dyDescent="0.3">
      <c r="K13377" s="1">
        <v>41821</v>
      </c>
      <c r="M13377" t="e">
        <v>#N/A</v>
      </c>
      <c r="N13377" s="1">
        <v>41456</v>
      </c>
    </row>
    <row r="13378" spans="11:14" x14ac:dyDescent="0.3">
      <c r="K13378" s="1">
        <v>41821</v>
      </c>
      <c r="M13378" t="e">
        <v>#N/A</v>
      </c>
      <c r="N13378" s="1">
        <v>41456</v>
      </c>
    </row>
    <row r="13379" spans="11:14" x14ac:dyDescent="0.3">
      <c r="K13379" s="1">
        <v>41821</v>
      </c>
      <c r="M13379" t="e">
        <v>#N/A</v>
      </c>
      <c r="N13379" s="1">
        <v>41456</v>
      </c>
    </row>
    <row r="13380" spans="11:14" x14ac:dyDescent="0.3">
      <c r="K13380" s="1">
        <v>41821</v>
      </c>
      <c r="M13380" t="e">
        <v>#N/A</v>
      </c>
      <c r="N13380" s="1">
        <v>41456</v>
      </c>
    </row>
    <row r="13381" spans="11:14" x14ac:dyDescent="0.3">
      <c r="K13381" s="1">
        <v>41821</v>
      </c>
      <c r="M13381" t="e">
        <v>#N/A</v>
      </c>
      <c r="N13381" s="1">
        <v>41456</v>
      </c>
    </row>
    <row r="13382" spans="11:14" x14ac:dyDescent="0.3">
      <c r="K13382" s="1">
        <v>41821</v>
      </c>
      <c r="M13382" t="e">
        <v>#N/A</v>
      </c>
      <c r="N13382" s="1">
        <v>41456</v>
      </c>
    </row>
    <row r="13383" spans="11:14" x14ac:dyDescent="0.3">
      <c r="K13383" s="1">
        <v>41821</v>
      </c>
      <c r="M13383" t="e">
        <v>#N/A</v>
      </c>
      <c r="N13383" s="1">
        <v>41456</v>
      </c>
    </row>
    <row r="13384" spans="11:14" x14ac:dyDescent="0.3">
      <c r="K13384" s="1">
        <v>41821</v>
      </c>
      <c r="M13384" t="e">
        <v>#N/A</v>
      </c>
      <c r="N13384" s="1">
        <v>41456</v>
      </c>
    </row>
    <row r="13385" spans="11:14" x14ac:dyDescent="0.3">
      <c r="K13385" s="1">
        <v>41821</v>
      </c>
      <c r="M13385" t="e">
        <v>#N/A</v>
      </c>
      <c r="N13385" s="1">
        <v>41456</v>
      </c>
    </row>
    <row r="13386" spans="11:14" x14ac:dyDescent="0.3">
      <c r="K13386" s="1">
        <v>41821</v>
      </c>
      <c r="M13386" t="e">
        <v>#N/A</v>
      </c>
      <c r="N13386" s="1">
        <v>41456</v>
      </c>
    </row>
    <row r="13387" spans="11:14" x14ac:dyDescent="0.3">
      <c r="K13387" s="1">
        <v>41821</v>
      </c>
      <c r="M13387" t="e">
        <v>#N/A</v>
      </c>
      <c r="N13387" s="1">
        <v>41456</v>
      </c>
    </row>
    <row r="13388" spans="11:14" x14ac:dyDescent="0.3">
      <c r="K13388" s="1">
        <v>41821</v>
      </c>
      <c r="M13388" t="e">
        <v>#N/A</v>
      </c>
      <c r="N13388" s="1">
        <v>41456</v>
      </c>
    </row>
    <row r="13389" spans="11:14" x14ac:dyDescent="0.3">
      <c r="K13389" s="1">
        <v>41821</v>
      </c>
      <c r="M13389" t="e">
        <v>#N/A</v>
      </c>
      <c r="N13389" s="1">
        <v>41456</v>
      </c>
    </row>
    <row r="13390" spans="11:14" x14ac:dyDescent="0.3">
      <c r="K13390" s="1">
        <v>41821</v>
      </c>
      <c r="M13390" t="e">
        <v>#N/A</v>
      </c>
      <c r="N13390" s="1">
        <v>41456</v>
      </c>
    </row>
    <row r="13391" spans="11:14" x14ac:dyDescent="0.3">
      <c r="K13391" s="1">
        <v>41821</v>
      </c>
      <c r="M13391" t="e">
        <v>#N/A</v>
      </c>
      <c r="N13391" s="1">
        <v>41456</v>
      </c>
    </row>
    <row r="13392" spans="11:14" x14ac:dyDescent="0.3">
      <c r="K13392" s="1">
        <v>41821</v>
      </c>
      <c r="M13392" t="e">
        <v>#N/A</v>
      </c>
      <c r="N13392" s="1">
        <v>41456</v>
      </c>
    </row>
    <row r="13393" spans="11:14" x14ac:dyDescent="0.3">
      <c r="K13393" s="1">
        <v>41821</v>
      </c>
      <c r="M13393" t="e">
        <v>#N/A</v>
      </c>
      <c r="N13393" s="1">
        <v>41456</v>
      </c>
    </row>
    <row r="13394" spans="11:14" x14ac:dyDescent="0.3">
      <c r="K13394" s="1">
        <v>41821</v>
      </c>
      <c r="M13394" t="e">
        <v>#N/A</v>
      </c>
      <c r="N13394" s="1">
        <v>41456</v>
      </c>
    </row>
    <row r="13395" spans="11:14" x14ac:dyDescent="0.3">
      <c r="K13395" s="1">
        <v>41821</v>
      </c>
      <c r="M13395" t="e">
        <v>#N/A</v>
      </c>
      <c r="N13395" s="1">
        <v>41456</v>
      </c>
    </row>
    <row r="13396" spans="11:14" x14ac:dyDescent="0.3">
      <c r="K13396" s="1">
        <v>41821</v>
      </c>
      <c r="M13396" t="e">
        <v>#N/A</v>
      </c>
      <c r="N13396" s="1">
        <v>41456</v>
      </c>
    </row>
    <row r="13397" spans="11:14" x14ac:dyDescent="0.3">
      <c r="K13397" s="1">
        <v>41821</v>
      </c>
      <c r="M13397" t="e">
        <v>#N/A</v>
      </c>
      <c r="N13397" s="1">
        <v>41456</v>
      </c>
    </row>
    <row r="13398" spans="11:14" x14ac:dyDescent="0.3">
      <c r="K13398" s="1">
        <v>41821</v>
      </c>
      <c r="M13398" t="e">
        <v>#N/A</v>
      </c>
      <c r="N13398" s="1">
        <v>41456</v>
      </c>
    </row>
    <row r="13399" spans="11:14" x14ac:dyDescent="0.3">
      <c r="K13399" s="1">
        <v>41821</v>
      </c>
      <c r="M13399" t="e">
        <v>#N/A</v>
      </c>
      <c r="N13399" s="1">
        <v>41456</v>
      </c>
    </row>
    <row r="13400" spans="11:14" x14ac:dyDescent="0.3">
      <c r="K13400" s="1">
        <v>41821</v>
      </c>
      <c r="M13400" t="e">
        <v>#N/A</v>
      </c>
      <c r="N13400" s="1">
        <v>41456</v>
      </c>
    </row>
    <row r="13401" spans="11:14" x14ac:dyDescent="0.3">
      <c r="K13401" s="1">
        <v>41821</v>
      </c>
      <c r="M13401" t="e">
        <v>#N/A</v>
      </c>
      <c r="N13401" s="1">
        <v>41456</v>
      </c>
    </row>
    <row r="13402" spans="11:14" x14ac:dyDescent="0.3">
      <c r="K13402" s="1">
        <v>41821</v>
      </c>
      <c r="M13402" t="e">
        <v>#N/A</v>
      </c>
      <c r="N13402" s="1">
        <v>41456</v>
      </c>
    </row>
    <row r="13403" spans="11:14" x14ac:dyDescent="0.3">
      <c r="K13403" s="1">
        <v>41821</v>
      </c>
      <c r="M13403" t="e">
        <v>#N/A</v>
      </c>
      <c r="N13403" s="1">
        <v>41456</v>
      </c>
    </row>
    <row r="13404" spans="11:14" x14ac:dyDescent="0.3">
      <c r="K13404" s="1">
        <v>41821</v>
      </c>
      <c r="M13404" t="e">
        <v>#N/A</v>
      </c>
      <c r="N13404" s="1">
        <v>41456</v>
      </c>
    </row>
    <row r="13405" spans="11:14" x14ac:dyDescent="0.3">
      <c r="K13405" s="1">
        <v>41821</v>
      </c>
      <c r="M13405" t="e">
        <v>#N/A</v>
      </c>
      <c r="N13405" s="1">
        <v>41456</v>
      </c>
    </row>
    <row r="13406" spans="11:14" x14ac:dyDescent="0.3">
      <c r="K13406" s="1">
        <v>41821</v>
      </c>
      <c r="M13406" t="e">
        <v>#N/A</v>
      </c>
      <c r="N13406" s="1">
        <v>41456</v>
      </c>
    </row>
    <row r="13407" spans="11:14" x14ac:dyDescent="0.3">
      <c r="K13407" s="1">
        <v>41821</v>
      </c>
      <c r="M13407" t="e">
        <v>#N/A</v>
      </c>
      <c r="N13407" s="1">
        <v>41456</v>
      </c>
    </row>
    <row r="13408" spans="11:14" x14ac:dyDescent="0.3">
      <c r="K13408" s="1">
        <v>41821</v>
      </c>
      <c r="M13408" t="e">
        <v>#N/A</v>
      </c>
      <c r="N13408" s="1">
        <v>41456</v>
      </c>
    </row>
    <row r="13409" spans="11:14" x14ac:dyDescent="0.3">
      <c r="K13409" s="1">
        <v>41821</v>
      </c>
      <c r="M13409" t="e">
        <v>#N/A</v>
      </c>
      <c r="N13409" s="1">
        <v>41456</v>
      </c>
    </row>
    <row r="13410" spans="11:14" x14ac:dyDescent="0.3">
      <c r="K13410" s="1">
        <v>41821</v>
      </c>
      <c r="M13410" t="e">
        <v>#N/A</v>
      </c>
      <c r="N13410" s="1">
        <v>41456</v>
      </c>
    </row>
    <row r="13411" spans="11:14" x14ac:dyDescent="0.3">
      <c r="K13411" s="1">
        <v>41821</v>
      </c>
      <c r="M13411" t="e">
        <v>#N/A</v>
      </c>
      <c r="N13411" s="1">
        <v>41456</v>
      </c>
    </row>
    <row r="13412" spans="11:14" x14ac:dyDescent="0.3">
      <c r="K13412" s="1">
        <v>41821</v>
      </c>
      <c r="M13412" t="e">
        <v>#N/A</v>
      </c>
      <c r="N13412" s="1">
        <v>41456</v>
      </c>
    </row>
    <row r="13413" spans="11:14" x14ac:dyDescent="0.3">
      <c r="K13413" s="1">
        <v>41821</v>
      </c>
      <c r="M13413" t="e">
        <v>#N/A</v>
      </c>
      <c r="N13413" s="1">
        <v>41456</v>
      </c>
    </row>
    <row r="13414" spans="11:14" x14ac:dyDescent="0.3">
      <c r="K13414" s="1">
        <v>41821</v>
      </c>
      <c r="M13414" t="e">
        <v>#N/A</v>
      </c>
      <c r="N13414" s="1">
        <v>41456</v>
      </c>
    </row>
    <row r="13415" spans="11:14" x14ac:dyDescent="0.3">
      <c r="K13415" s="1">
        <v>41821</v>
      </c>
      <c r="M13415" t="e">
        <v>#N/A</v>
      </c>
      <c r="N13415" s="1">
        <v>41456</v>
      </c>
    </row>
    <row r="13416" spans="11:14" x14ac:dyDescent="0.3">
      <c r="K13416" s="1">
        <v>41821</v>
      </c>
      <c r="M13416" t="e">
        <v>#N/A</v>
      </c>
      <c r="N13416" s="1">
        <v>41456</v>
      </c>
    </row>
    <row r="13417" spans="11:14" x14ac:dyDescent="0.3">
      <c r="K13417" s="1">
        <v>41821</v>
      </c>
      <c r="M13417" t="e">
        <v>#N/A</v>
      </c>
      <c r="N13417" s="1">
        <v>41456</v>
      </c>
    </row>
    <row r="13418" spans="11:14" x14ac:dyDescent="0.3">
      <c r="K13418" s="1">
        <v>41821</v>
      </c>
      <c r="M13418" t="e">
        <v>#N/A</v>
      </c>
      <c r="N13418" s="1">
        <v>41456</v>
      </c>
    </row>
    <row r="13419" spans="11:14" x14ac:dyDescent="0.3">
      <c r="K13419" s="1">
        <v>41821</v>
      </c>
      <c r="M13419" t="e">
        <v>#N/A</v>
      </c>
      <c r="N13419" s="1">
        <v>41456</v>
      </c>
    </row>
    <row r="13420" spans="11:14" x14ac:dyDescent="0.3">
      <c r="K13420" s="1">
        <v>41821</v>
      </c>
      <c r="M13420" t="e">
        <v>#N/A</v>
      </c>
      <c r="N13420" s="1">
        <v>41456</v>
      </c>
    </row>
    <row r="13421" spans="11:14" x14ac:dyDescent="0.3">
      <c r="K13421" s="1">
        <v>41821</v>
      </c>
      <c r="M13421" t="e">
        <v>#N/A</v>
      </c>
      <c r="N13421" s="1">
        <v>41456</v>
      </c>
    </row>
    <row r="13422" spans="11:14" x14ac:dyDescent="0.3">
      <c r="K13422" s="1">
        <v>41821</v>
      </c>
      <c r="M13422" t="e">
        <v>#N/A</v>
      </c>
      <c r="N13422" s="1">
        <v>41456</v>
      </c>
    </row>
    <row r="13423" spans="11:14" x14ac:dyDescent="0.3">
      <c r="K13423" s="1">
        <v>41821</v>
      </c>
      <c r="M13423" t="e">
        <v>#N/A</v>
      </c>
      <c r="N13423" s="1">
        <v>41456</v>
      </c>
    </row>
    <row r="13424" spans="11:14" x14ac:dyDescent="0.3">
      <c r="K13424" s="1">
        <v>41821</v>
      </c>
      <c r="M13424" t="e">
        <v>#N/A</v>
      </c>
      <c r="N13424" s="1">
        <v>41456</v>
      </c>
    </row>
    <row r="13425" spans="11:14" x14ac:dyDescent="0.3">
      <c r="K13425" s="1">
        <v>41821</v>
      </c>
      <c r="M13425" t="e">
        <v>#N/A</v>
      </c>
      <c r="N13425" s="1">
        <v>41456</v>
      </c>
    </row>
    <row r="13426" spans="11:14" x14ac:dyDescent="0.3">
      <c r="K13426" s="1">
        <v>41821</v>
      </c>
      <c r="M13426" t="e">
        <v>#N/A</v>
      </c>
      <c r="N13426" s="1">
        <v>41456</v>
      </c>
    </row>
    <row r="13427" spans="11:14" x14ac:dyDescent="0.3">
      <c r="K13427" s="1">
        <v>41821</v>
      </c>
      <c r="M13427" t="e">
        <v>#N/A</v>
      </c>
      <c r="N13427" s="1">
        <v>41456</v>
      </c>
    </row>
    <row r="13428" spans="11:14" x14ac:dyDescent="0.3">
      <c r="K13428" s="1">
        <v>41821</v>
      </c>
      <c r="M13428" t="e">
        <v>#N/A</v>
      </c>
      <c r="N13428" s="1">
        <v>41456</v>
      </c>
    </row>
    <row r="13429" spans="11:14" x14ac:dyDescent="0.3">
      <c r="K13429" s="1">
        <v>41821</v>
      </c>
      <c r="M13429" t="e">
        <v>#N/A</v>
      </c>
      <c r="N13429" s="1">
        <v>41456</v>
      </c>
    </row>
    <row r="13430" spans="11:14" x14ac:dyDescent="0.3">
      <c r="K13430" s="1">
        <v>41821</v>
      </c>
      <c r="M13430" t="e">
        <v>#N/A</v>
      </c>
      <c r="N13430" s="1">
        <v>41456</v>
      </c>
    </row>
    <row r="13431" spans="11:14" x14ac:dyDescent="0.3">
      <c r="K13431" s="1">
        <v>41821</v>
      </c>
      <c r="M13431" t="e">
        <v>#N/A</v>
      </c>
      <c r="N13431" s="1">
        <v>41456</v>
      </c>
    </row>
    <row r="13432" spans="11:14" x14ac:dyDescent="0.3">
      <c r="K13432" s="1">
        <v>41821</v>
      </c>
      <c r="M13432" t="e">
        <v>#N/A</v>
      </c>
      <c r="N13432" s="1">
        <v>41456</v>
      </c>
    </row>
    <row r="13433" spans="11:14" x14ac:dyDescent="0.3">
      <c r="K13433" s="1">
        <v>41821</v>
      </c>
      <c r="M13433" t="e">
        <v>#N/A</v>
      </c>
      <c r="N13433" s="1">
        <v>41456</v>
      </c>
    </row>
    <row r="13434" spans="11:14" x14ac:dyDescent="0.3">
      <c r="K13434" s="1">
        <v>41821</v>
      </c>
      <c r="M13434" t="e">
        <v>#N/A</v>
      </c>
      <c r="N13434" s="1">
        <v>41456</v>
      </c>
    </row>
    <row r="13435" spans="11:14" x14ac:dyDescent="0.3">
      <c r="K13435" s="1">
        <v>41821</v>
      </c>
      <c r="M13435" t="e">
        <v>#N/A</v>
      </c>
      <c r="N13435" s="1">
        <v>41456</v>
      </c>
    </row>
    <row r="13436" spans="11:14" x14ac:dyDescent="0.3">
      <c r="K13436" s="1">
        <v>41821</v>
      </c>
      <c r="M13436" t="e">
        <v>#N/A</v>
      </c>
      <c r="N13436" s="1">
        <v>41456</v>
      </c>
    </row>
    <row r="13437" spans="11:14" x14ac:dyDescent="0.3">
      <c r="K13437" s="1">
        <v>41821</v>
      </c>
      <c r="M13437" t="e">
        <v>#N/A</v>
      </c>
      <c r="N13437" s="1">
        <v>41456</v>
      </c>
    </row>
    <row r="13438" spans="11:14" x14ac:dyDescent="0.3">
      <c r="K13438" s="1">
        <v>41821</v>
      </c>
      <c r="M13438" t="e">
        <v>#N/A</v>
      </c>
      <c r="N13438" s="1">
        <v>41456</v>
      </c>
    </row>
    <row r="13439" spans="11:14" x14ac:dyDescent="0.3">
      <c r="K13439" s="1">
        <v>41821</v>
      </c>
      <c r="M13439" t="e">
        <v>#N/A</v>
      </c>
      <c r="N13439" s="1">
        <v>41456</v>
      </c>
    </row>
    <row r="13440" spans="11:14" x14ac:dyDescent="0.3">
      <c r="K13440" s="1">
        <v>41821</v>
      </c>
      <c r="M13440" t="e">
        <v>#N/A</v>
      </c>
      <c r="N13440" s="1">
        <v>41456</v>
      </c>
    </row>
    <row r="13441" spans="11:14" x14ac:dyDescent="0.3">
      <c r="K13441" s="1">
        <v>41821</v>
      </c>
      <c r="M13441" t="e">
        <v>#N/A</v>
      </c>
      <c r="N13441" s="1">
        <v>41456</v>
      </c>
    </row>
    <row r="13442" spans="11:14" x14ac:dyDescent="0.3">
      <c r="K13442" s="1">
        <v>41821</v>
      </c>
      <c r="M13442" t="e">
        <v>#N/A</v>
      </c>
      <c r="N13442" s="1">
        <v>41456</v>
      </c>
    </row>
    <row r="13443" spans="11:14" x14ac:dyDescent="0.3">
      <c r="K13443" s="1">
        <v>41821</v>
      </c>
      <c r="M13443" t="e">
        <v>#N/A</v>
      </c>
      <c r="N13443" s="1">
        <v>41456</v>
      </c>
    </row>
    <row r="13444" spans="11:14" x14ac:dyDescent="0.3">
      <c r="K13444" s="1">
        <v>41821</v>
      </c>
      <c r="M13444" t="e">
        <v>#N/A</v>
      </c>
      <c r="N13444" s="1">
        <v>41456</v>
      </c>
    </row>
    <row r="13445" spans="11:14" x14ac:dyDescent="0.3">
      <c r="K13445" s="1">
        <v>41821</v>
      </c>
      <c r="M13445" t="e">
        <v>#N/A</v>
      </c>
      <c r="N13445" s="1">
        <v>41456</v>
      </c>
    </row>
    <row r="13446" spans="11:14" x14ac:dyDescent="0.3">
      <c r="K13446" s="1">
        <v>41821</v>
      </c>
      <c r="M13446" t="e">
        <v>#N/A</v>
      </c>
      <c r="N13446" s="1">
        <v>41456</v>
      </c>
    </row>
    <row r="13447" spans="11:14" x14ac:dyDescent="0.3">
      <c r="K13447" s="1">
        <v>41821</v>
      </c>
      <c r="M13447" t="e">
        <v>#N/A</v>
      </c>
      <c r="N13447" s="1">
        <v>41456</v>
      </c>
    </row>
    <row r="13448" spans="11:14" x14ac:dyDescent="0.3">
      <c r="K13448" s="1">
        <v>41821</v>
      </c>
      <c r="M13448" t="e">
        <v>#N/A</v>
      </c>
      <c r="N13448" s="1">
        <v>41456</v>
      </c>
    </row>
    <row r="13449" spans="11:14" x14ac:dyDescent="0.3">
      <c r="K13449" s="1">
        <v>41821</v>
      </c>
      <c r="M13449" t="e">
        <v>#N/A</v>
      </c>
      <c r="N13449" s="1">
        <v>41456</v>
      </c>
    </row>
    <row r="13450" spans="11:14" x14ac:dyDescent="0.3">
      <c r="K13450" s="1">
        <v>41821</v>
      </c>
      <c r="M13450" t="e">
        <v>#N/A</v>
      </c>
      <c r="N13450" s="1">
        <v>41456</v>
      </c>
    </row>
    <row r="13451" spans="11:14" x14ac:dyDescent="0.3">
      <c r="K13451" s="1">
        <v>41821</v>
      </c>
      <c r="M13451" t="e">
        <v>#N/A</v>
      </c>
      <c r="N13451" s="1">
        <v>41456</v>
      </c>
    </row>
    <row r="13452" spans="11:14" x14ac:dyDescent="0.3">
      <c r="K13452" s="1">
        <v>41821</v>
      </c>
      <c r="M13452" t="e">
        <v>#N/A</v>
      </c>
      <c r="N13452" s="1">
        <v>41456</v>
      </c>
    </row>
    <row r="13453" spans="11:14" x14ac:dyDescent="0.3">
      <c r="K13453" s="1">
        <v>41821</v>
      </c>
      <c r="M13453" t="e">
        <v>#N/A</v>
      </c>
      <c r="N13453" s="1">
        <v>41456</v>
      </c>
    </row>
    <row r="13454" spans="11:14" x14ac:dyDescent="0.3">
      <c r="K13454" s="1">
        <v>41821</v>
      </c>
      <c r="M13454" t="e">
        <v>#N/A</v>
      </c>
      <c r="N13454" s="1">
        <v>41456</v>
      </c>
    </row>
    <row r="13455" spans="11:14" x14ac:dyDescent="0.3">
      <c r="K13455" s="1">
        <v>41821</v>
      </c>
      <c r="M13455" t="e">
        <v>#N/A</v>
      </c>
      <c r="N13455" s="1">
        <v>41456</v>
      </c>
    </row>
    <row r="13456" spans="11:14" x14ac:dyDescent="0.3">
      <c r="K13456" s="1">
        <v>41821</v>
      </c>
      <c r="M13456" t="e">
        <v>#N/A</v>
      </c>
      <c r="N13456" s="1">
        <v>41456</v>
      </c>
    </row>
    <row r="13457" spans="11:14" x14ac:dyDescent="0.3">
      <c r="K13457" s="1">
        <v>41821</v>
      </c>
      <c r="M13457" t="e">
        <v>#N/A</v>
      </c>
      <c r="N13457" s="1">
        <v>41456</v>
      </c>
    </row>
    <row r="13458" spans="11:14" x14ac:dyDescent="0.3">
      <c r="K13458" s="1">
        <v>41821</v>
      </c>
      <c r="M13458" t="e">
        <v>#N/A</v>
      </c>
      <c r="N13458" s="1">
        <v>41456</v>
      </c>
    </row>
    <row r="13459" spans="11:14" x14ac:dyDescent="0.3">
      <c r="K13459" s="1">
        <v>41821</v>
      </c>
      <c r="M13459" t="e">
        <v>#N/A</v>
      </c>
      <c r="N13459" s="1">
        <v>41456</v>
      </c>
    </row>
    <row r="13460" spans="11:14" x14ac:dyDescent="0.3">
      <c r="K13460" s="1">
        <v>41821</v>
      </c>
      <c r="M13460" t="e">
        <v>#N/A</v>
      </c>
      <c r="N13460" s="1">
        <v>41456</v>
      </c>
    </row>
    <row r="13461" spans="11:14" x14ac:dyDescent="0.3">
      <c r="K13461" s="1">
        <v>41821</v>
      </c>
      <c r="M13461" t="e">
        <v>#N/A</v>
      </c>
      <c r="N13461" s="1">
        <v>41456</v>
      </c>
    </row>
    <row r="13462" spans="11:14" x14ac:dyDescent="0.3">
      <c r="K13462" s="1">
        <v>41821</v>
      </c>
      <c r="M13462" t="e">
        <v>#N/A</v>
      </c>
      <c r="N13462" s="1">
        <v>41456</v>
      </c>
    </row>
    <row r="13463" spans="11:14" x14ac:dyDescent="0.3">
      <c r="K13463" s="1">
        <v>41821</v>
      </c>
      <c r="M13463" t="e">
        <v>#N/A</v>
      </c>
      <c r="N13463" s="1">
        <v>41456</v>
      </c>
    </row>
    <row r="13464" spans="11:14" x14ac:dyDescent="0.3">
      <c r="K13464" s="1">
        <v>41821</v>
      </c>
      <c r="M13464" t="e">
        <v>#N/A</v>
      </c>
      <c r="N13464" s="1">
        <v>41456</v>
      </c>
    </row>
    <row r="13465" spans="11:14" x14ac:dyDescent="0.3">
      <c r="K13465" s="1">
        <v>41821</v>
      </c>
      <c r="M13465" t="e">
        <v>#N/A</v>
      </c>
      <c r="N13465" s="1">
        <v>41456</v>
      </c>
    </row>
    <row r="13466" spans="11:14" x14ac:dyDescent="0.3">
      <c r="K13466" s="1">
        <v>41821</v>
      </c>
      <c r="M13466" t="e">
        <v>#N/A</v>
      </c>
      <c r="N13466" s="1">
        <v>41456</v>
      </c>
    </row>
    <row r="13467" spans="11:14" x14ac:dyDescent="0.3">
      <c r="K13467" s="1">
        <v>41821</v>
      </c>
      <c r="M13467" t="e">
        <v>#N/A</v>
      </c>
      <c r="N13467" s="1">
        <v>41456</v>
      </c>
    </row>
    <row r="13468" spans="11:14" x14ac:dyDescent="0.3">
      <c r="K13468" s="1">
        <v>41821</v>
      </c>
      <c r="M13468" t="e">
        <v>#N/A</v>
      </c>
      <c r="N13468" s="1">
        <v>41456</v>
      </c>
    </row>
    <row r="13469" spans="11:14" x14ac:dyDescent="0.3">
      <c r="K13469" s="1">
        <v>41821</v>
      </c>
      <c r="M13469" t="e">
        <v>#N/A</v>
      </c>
      <c r="N13469" s="1">
        <v>41456</v>
      </c>
    </row>
    <row r="13470" spans="11:14" x14ac:dyDescent="0.3">
      <c r="K13470" s="1">
        <v>41821</v>
      </c>
      <c r="M13470" t="e">
        <v>#N/A</v>
      </c>
      <c r="N13470" s="1">
        <v>41456</v>
      </c>
    </row>
    <row r="13471" spans="11:14" x14ac:dyDescent="0.3">
      <c r="K13471" s="1">
        <v>41821</v>
      </c>
      <c r="M13471" t="e">
        <v>#N/A</v>
      </c>
      <c r="N13471" s="1">
        <v>41456</v>
      </c>
    </row>
    <row r="13472" spans="11:14" x14ac:dyDescent="0.3">
      <c r="K13472" s="1">
        <v>41821</v>
      </c>
      <c r="M13472" t="e">
        <v>#N/A</v>
      </c>
      <c r="N13472" s="1">
        <v>41456</v>
      </c>
    </row>
    <row r="13473" spans="11:14" x14ac:dyDescent="0.3">
      <c r="K13473" s="1">
        <v>41821</v>
      </c>
      <c r="M13473" t="e">
        <v>#N/A</v>
      </c>
      <c r="N13473" s="1">
        <v>41456</v>
      </c>
    </row>
    <row r="13474" spans="11:14" x14ac:dyDescent="0.3">
      <c r="K13474" s="1">
        <v>41821</v>
      </c>
      <c r="M13474" t="e">
        <v>#N/A</v>
      </c>
      <c r="N13474" s="1">
        <v>41456</v>
      </c>
    </row>
    <row r="13475" spans="11:14" x14ac:dyDescent="0.3">
      <c r="K13475" s="1">
        <v>41821</v>
      </c>
      <c r="M13475" t="e">
        <v>#N/A</v>
      </c>
      <c r="N13475" s="1">
        <v>41456</v>
      </c>
    </row>
    <row r="13476" spans="11:14" x14ac:dyDescent="0.3">
      <c r="K13476" s="1">
        <v>41821</v>
      </c>
      <c r="M13476" t="e">
        <v>#N/A</v>
      </c>
      <c r="N13476" s="1">
        <v>41456</v>
      </c>
    </row>
    <row r="13477" spans="11:14" x14ac:dyDescent="0.3">
      <c r="K13477" s="1">
        <v>41821</v>
      </c>
      <c r="M13477" t="e">
        <v>#N/A</v>
      </c>
      <c r="N13477" s="1">
        <v>41456</v>
      </c>
    </row>
    <row r="13478" spans="11:14" x14ac:dyDescent="0.3">
      <c r="K13478" s="1">
        <v>41821</v>
      </c>
      <c r="M13478" t="e">
        <v>#N/A</v>
      </c>
      <c r="N13478" s="1">
        <v>41456</v>
      </c>
    </row>
    <row r="13479" spans="11:14" x14ac:dyDescent="0.3">
      <c r="K13479" s="1">
        <v>41821</v>
      </c>
      <c r="M13479" t="e">
        <v>#N/A</v>
      </c>
      <c r="N13479" s="1">
        <v>41456</v>
      </c>
    </row>
    <row r="13480" spans="11:14" x14ac:dyDescent="0.3">
      <c r="K13480" s="1">
        <v>41821</v>
      </c>
      <c r="M13480" t="e">
        <v>#N/A</v>
      </c>
      <c r="N13480" s="1">
        <v>41456</v>
      </c>
    </row>
    <row r="13481" spans="11:14" x14ac:dyDescent="0.3">
      <c r="K13481" s="1">
        <v>41821</v>
      </c>
      <c r="M13481" t="e">
        <v>#N/A</v>
      </c>
      <c r="N13481" s="1">
        <v>41456</v>
      </c>
    </row>
    <row r="13482" spans="11:14" x14ac:dyDescent="0.3">
      <c r="K13482" s="1">
        <v>41821</v>
      </c>
      <c r="M13482" t="e">
        <v>#N/A</v>
      </c>
      <c r="N13482" s="1">
        <v>41456</v>
      </c>
    </row>
    <row r="13483" spans="11:14" x14ac:dyDescent="0.3">
      <c r="K13483" s="1">
        <v>41821</v>
      </c>
      <c r="M13483" t="e">
        <v>#N/A</v>
      </c>
      <c r="N13483" s="1">
        <v>41456</v>
      </c>
    </row>
    <row r="13484" spans="11:14" x14ac:dyDescent="0.3">
      <c r="K13484" s="1">
        <v>41821</v>
      </c>
      <c r="M13484" t="e">
        <v>#N/A</v>
      </c>
      <c r="N13484" s="1">
        <v>41456</v>
      </c>
    </row>
    <row r="13485" spans="11:14" x14ac:dyDescent="0.3">
      <c r="K13485" s="1">
        <v>41821</v>
      </c>
      <c r="M13485" t="e">
        <v>#N/A</v>
      </c>
      <c r="N13485" s="1">
        <v>41456</v>
      </c>
    </row>
    <row r="13486" spans="11:14" x14ac:dyDescent="0.3">
      <c r="K13486" s="1">
        <v>41821</v>
      </c>
      <c r="M13486" t="e">
        <v>#N/A</v>
      </c>
      <c r="N13486" s="1">
        <v>41456</v>
      </c>
    </row>
    <row r="13487" spans="11:14" x14ac:dyDescent="0.3">
      <c r="K13487" s="1">
        <v>41821</v>
      </c>
      <c r="M13487" t="e">
        <v>#N/A</v>
      </c>
      <c r="N13487" s="1">
        <v>41456</v>
      </c>
    </row>
    <row r="13488" spans="11:14" x14ac:dyDescent="0.3">
      <c r="K13488" s="1">
        <v>41821</v>
      </c>
      <c r="M13488" t="e">
        <v>#N/A</v>
      </c>
      <c r="N13488" s="1">
        <v>41456</v>
      </c>
    </row>
    <row r="13489" spans="11:14" x14ac:dyDescent="0.3">
      <c r="K13489" s="1">
        <v>41821</v>
      </c>
      <c r="M13489" t="e">
        <v>#N/A</v>
      </c>
      <c r="N13489" s="1">
        <v>41456</v>
      </c>
    </row>
    <row r="13490" spans="11:14" x14ac:dyDescent="0.3">
      <c r="K13490" s="1">
        <v>41821</v>
      </c>
      <c r="M13490" t="e">
        <v>#N/A</v>
      </c>
      <c r="N13490" s="1">
        <v>41456</v>
      </c>
    </row>
    <row r="13491" spans="11:14" x14ac:dyDescent="0.3">
      <c r="K13491" s="1">
        <v>41913</v>
      </c>
      <c r="M13491" t="e">
        <v>#N/A</v>
      </c>
      <c r="N13491" s="1">
        <v>41456</v>
      </c>
    </row>
    <row r="13492" spans="11:14" x14ac:dyDescent="0.3">
      <c r="K13492" s="1">
        <v>41913</v>
      </c>
      <c r="M13492" t="e">
        <v>#N/A</v>
      </c>
      <c r="N13492" s="1">
        <v>41456</v>
      </c>
    </row>
    <row r="13493" spans="11:14" x14ac:dyDescent="0.3">
      <c r="K13493" s="1">
        <v>41913</v>
      </c>
      <c r="M13493" t="e">
        <v>#N/A</v>
      </c>
      <c r="N13493" s="1">
        <v>41456</v>
      </c>
    </row>
    <row r="13494" spans="11:14" x14ac:dyDescent="0.3">
      <c r="K13494" s="1">
        <v>41913</v>
      </c>
      <c r="M13494" t="e">
        <v>#N/A</v>
      </c>
      <c r="N13494" s="1">
        <v>41456</v>
      </c>
    </row>
    <row r="13495" spans="11:14" x14ac:dyDescent="0.3">
      <c r="K13495" s="1">
        <v>41913</v>
      </c>
      <c r="M13495" t="e">
        <v>#N/A</v>
      </c>
      <c r="N13495" s="1">
        <v>41456</v>
      </c>
    </row>
    <row r="13496" spans="11:14" x14ac:dyDescent="0.3">
      <c r="K13496" s="1">
        <v>41913</v>
      </c>
      <c r="M13496" t="e">
        <v>#N/A</v>
      </c>
      <c r="N13496" s="1">
        <v>41456</v>
      </c>
    </row>
    <row r="13497" spans="11:14" x14ac:dyDescent="0.3">
      <c r="K13497" s="1">
        <v>41913</v>
      </c>
      <c r="M13497" t="e">
        <v>#N/A</v>
      </c>
      <c r="N13497" s="1">
        <v>41456</v>
      </c>
    </row>
    <row r="13498" spans="11:14" x14ac:dyDescent="0.3">
      <c r="K13498" s="1">
        <v>41913</v>
      </c>
      <c r="M13498" t="e">
        <v>#N/A</v>
      </c>
      <c r="N13498" s="1">
        <v>41456</v>
      </c>
    </row>
    <row r="13499" spans="11:14" x14ac:dyDescent="0.3">
      <c r="K13499" s="1">
        <v>41913</v>
      </c>
      <c r="M13499" t="e">
        <v>#N/A</v>
      </c>
      <c r="N13499" s="1">
        <v>41456</v>
      </c>
    </row>
    <row r="13500" spans="11:14" x14ac:dyDescent="0.3">
      <c r="K13500" s="1">
        <v>41913</v>
      </c>
      <c r="M13500" t="e">
        <v>#N/A</v>
      </c>
      <c r="N13500" s="1">
        <v>41456</v>
      </c>
    </row>
    <row r="13501" spans="11:14" x14ac:dyDescent="0.3">
      <c r="K13501" s="1">
        <v>41913</v>
      </c>
      <c r="M13501" t="e">
        <v>#N/A</v>
      </c>
      <c r="N13501" s="1">
        <v>41456</v>
      </c>
    </row>
    <row r="13502" spans="11:14" x14ac:dyDescent="0.3">
      <c r="K13502" s="1">
        <v>41913</v>
      </c>
      <c r="M13502" t="e">
        <v>#N/A</v>
      </c>
      <c r="N13502" s="1">
        <v>41456</v>
      </c>
    </row>
    <row r="13503" spans="11:14" x14ac:dyDescent="0.3">
      <c r="K13503" s="1">
        <v>41913</v>
      </c>
      <c r="M13503" t="e">
        <v>#N/A</v>
      </c>
      <c r="N13503" s="1">
        <v>41456</v>
      </c>
    </row>
    <row r="13504" spans="11:14" x14ac:dyDescent="0.3">
      <c r="K13504" s="1">
        <v>41913</v>
      </c>
      <c r="M13504" t="e">
        <v>#N/A</v>
      </c>
      <c r="N13504" s="1">
        <v>41456</v>
      </c>
    </row>
    <row r="13505" spans="11:14" x14ac:dyDescent="0.3">
      <c r="K13505" s="1">
        <v>41913</v>
      </c>
      <c r="M13505" t="e">
        <v>#N/A</v>
      </c>
      <c r="N13505" s="1">
        <v>41456</v>
      </c>
    </row>
    <row r="13506" spans="11:14" x14ac:dyDescent="0.3">
      <c r="K13506" s="1">
        <v>41913</v>
      </c>
      <c r="M13506" t="e">
        <v>#N/A</v>
      </c>
      <c r="N13506" s="1">
        <v>41456</v>
      </c>
    </row>
    <row r="13507" spans="11:14" x14ac:dyDescent="0.3">
      <c r="K13507" s="1">
        <v>41913</v>
      </c>
      <c r="M13507" t="e">
        <v>#N/A</v>
      </c>
      <c r="N13507" s="1">
        <v>41456</v>
      </c>
    </row>
    <row r="13508" spans="11:14" x14ac:dyDescent="0.3">
      <c r="K13508" s="1">
        <v>41913</v>
      </c>
      <c r="M13508" t="e">
        <v>#N/A</v>
      </c>
      <c r="N13508" s="1">
        <v>41456</v>
      </c>
    </row>
    <row r="13509" spans="11:14" x14ac:dyDescent="0.3">
      <c r="K13509" s="1">
        <v>41913</v>
      </c>
      <c r="M13509" t="e">
        <v>#N/A</v>
      </c>
      <c r="N13509" s="1">
        <v>41456</v>
      </c>
    </row>
    <row r="13510" spans="11:14" x14ac:dyDescent="0.3">
      <c r="K13510" s="1">
        <v>41913</v>
      </c>
      <c r="M13510" t="e">
        <v>#N/A</v>
      </c>
      <c r="N13510" s="1">
        <v>41456</v>
      </c>
    </row>
    <row r="13511" spans="11:14" x14ac:dyDescent="0.3">
      <c r="K13511" s="1">
        <v>41913</v>
      </c>
      <c r="M13511" t="e">
        <v>#N/A</v>
      </c>
      <c r="N13511" s="1">
        <v>41456</v>
      </c>
    </row>
    <row r="13512" spans="11:14" x14ac:dyDescent="0.3">
      <c r="K13512" s="1">
        <v>41913</v>
      </c>
      <c r="M13512" t="e">
        <v>#N/A</v>
      </c>
      <c r="N13512" s="1">
        <v>41456</v>
      </c>
    </row>
    <row r="13513" spans="11:14" x14ac:dyDescent="0.3">
      <c r="K13513" s="1">
        <v>41913</v>
      </c>
      <c r="M13513" t="e">
        <v>#N/A</v>
      </c>
      <c r="N13513" s="1">
        <v>41456</v>
      </c>
    </row>
    <row r="13514" spans="11:14" x14ac:dyDescent="0.3">
      <c r="K13514" s="1">
        <v>41913</v>
      </c>
      <c r="M13514" t="e">
        <v>#N/A</v>
      </c>
      <c r="N13514" s="1">
        <v>41456</v>
      </c>
    </row>
    <row r="13515" spans="11:14" x14ac:dyDescent="0.3">
      <c r="K13515" s="1">
        <v>41913</v>
      </c>
      <c r="M13515" t="e">
        <v>#N/A</v>
      </c>
      <c r="N13515" s="1">
        <v>41456</v>
      </c>
    </row>
    <row r="13516" spans="11:14" x14ac:dyDescent="0.3">
      <c r="K13516" s="1">
        <v>41913</v>
      </c>
      <c r="M13516" t="e">
        <v>#N/A</v>
      </c>
      <c r="N13516" s="1">
        <v>41456</v>
      </c>
    </row>
    <row r="13517" spans="11:14" x14ac:dyDescent="0.3">
      <c r="K13517" s="1">
        <v>41913</v>
      </c>
      <c r="M13517" t="e">
        <v>#N/A</v>
      </c>
      <c r="N13517" s="1">
        <v>41456</v>
      </c>
    </row>
    <row r="13518" spans="11:14" x14ac:dyDescent="0.3">
      <c r="K13518" s="1">
        <v>41913</v>
      </c>
      <c r="M13518" t="e">
        <v>#N/A</v>
      </c>
      <c r="N13518" s="1">
        <v>41456</v>
      </c>
    </row>
    <row r="13519" spans="11:14" x14ac:dyDescent="0.3">
      <c r="K13519" s="1">
        <v>41913</v>
      </c>
      <c r="M13519" t="e">
        <v>#N/A</v>
      </c>
      <c r="N13519" s="1">
        <v>41456</v>
      </c>
    </row>
    <row r="13520" spans="11:14" x14ac:dyDescent="0.3">
      <c r="K13520" s="1">
        <v>41913</v>
      </c>
      <c r="M13520" t="e">
        <v>#N/A</v>
      </c>
      <c r="N13520" s="1">
        <v>41456</v>
      </c>
    </row>
    <row r="13521" spans="11:14" x14ac:dyDescent="0.3">
      <c r="K13521" s="1">
        <v>41913</v>
      </c>
      <c r="M13521" t="e">
        <v>#N/A</v>
      </c>
      <c r="N13521" s="1">
        <v>41456</v>
      </c>
    </row>
    <row r="13522" spans="11:14" x14ac:dyDescent="0.3">
      <c r="K13522" s="1">
        <v>41913</v>
      </c>
      <c r="M13522" t="e">
        <v>#N/A</v>
      </c>
      <c r="N13522" s="1">
        <v>41456</v>
      </c>
    </row>
    <row r="13523" spans="11:14" x14ac:dyDescent="0.3">
      <c r="K13523" s="1">
        <v>41913</v>
      </c>
      <c r="M13523" t="e">
        <v>#N/A</v>
      </c>
      <c r="N13523" s="1">
        <v>41456</v>
      </c>
    </row>
    <row r="13524" spans="11:14" x14ac:dyDescent="0.3">
      <c r="K13524" s="1">
        <v>41913</v>
      </c>
      <c r="M13524" t="e">
        <v>#N/A</v>
      </c>
      <c r="N13524" s="1">
        <v>41456</v>
      </c>
    </row>
    <row r="13525" spans="11:14" x14ac:dyDescent="0.3">
      <c r="K13525" s="1">
        <v>41913</v>
      </c>
      <c r="M13525" t="e">
        <v>#N/A</v>
      </c>
      <c r="N13525" s="1">
        <v>41456</v>
      </c>
    </row>
    <row r="13526" spans="11:14" x14ac:dyDescent="0.3">
      <c r="K13526" s="1">
        <v>41913</v>
      </c>
      <c r="M13526" t="e">
        <v>#N/A</v>
      </c>
      <c r="N13526" s="1">
        <v>41456</v>
      </c>
    </row>
    <row r="13527" spans="11:14" x14ac:dyDescent="0.3">
      <c r="K13527" s="1">
        <v>41913</v>
      </c>
      <c r="M13527" t="e">
        <v>#N/A</v>
      </c>
      <c r="N13527" s="1">
        <v>41456</v>
      </c>
    </row>
    <row r="13528" spans="11:14" x14ac:dyDescent="0.3">
      <c r="K13528" s="1">
        <v>41913</v>
      </c>
      <c r="M13528" t="e">
        <v>#N/A</v>
      </c>
      <c r="N13528" s="1">
        <v>41456</v>
      </c>
    </row>
    <row r="13529" spans="11:14" x14ac:dyDescent="0.3">
      <c r="K13529" s="1">
        <v>41913</v>
      </c>
      <c r="M13529" t="e">
        <v>#N/A</v>
      </c>
      <c r="N13529" s="1">
        <v>41456</v>
      </c>
    </row>
    <row r="13530" spans="11:14" x14ac:dyDescent="0.3">
      <c r="K13530" s="1">
        <v>41913</v>
      </c>
      <c r="M13530" t="e">
        <v>#N/A</v>
      </c>
      <c r="N13530" s="1">
        <v>41456</v>
      </c>
    </row>
    <row r="13531" spans="11:14" x14ac:dyDescent="0.3">
      <c r="K13531" s="1">
        <v>41913</v>
      </c>
      <c r="M13531" t="e">
        <v>#N/A</v>
      </c>
      <c r="N13531" s="1">
        <v>41456</v>
      </c>
    </row>
    <row r="13532" spans="11:14" x14ac:dyDescent="0.3">
      <c r="K13532" s="1">
        <v>41913</v>
      </c>
      <c r="M13532" t="e">
        <v>#N/A</v>
      </c>
      <c r="N13532" s="1">
        <v>41456</v>
      </c>
    </row>
    <row r="13533" spans="11:14" x14ac:dyDescent="0.3">
      <c r="K13533" s="1">
        <v>41913</v>
      </c>
      <c r="M13533" t="e">
        <v>#N/A</v>
      </c>
      <c r="N13533" s="1">
        <v>41456</v>
      </c>
    </row>
    <row r="13534" spans="11:14" x14ac:dyDescent="0.3">
      <c r="K13534" s="1">
        <v>41913</v>
      </c>
      <c r="M13534" t="e">
        <v>#N/A</v>
      </c>
      <c r="N13534" s="1">
        <v>41456</v>
      </c>
    </row>
    <row r="13535" spans="11:14" x14ac:dyDescent="0.3">
      <c r="K13535" s="1">
        <v>41913</v>
      </c>
      <c r="M13535" t="e">
        <v>#N/A</v>
      </c>
      <c r="N13535" s="1">
        <v>41456</v>
      </c>
    </row>
    <row r="13536" spans="11:14" x14ac:dyDescent="0.3">
      <c r="K13536" s="1">
        <v>41913</v>
      </c>
      <c r="M13536" t="e">
        <v>#N/A</v>
      </c>
      <c r="N13536" s="1">
        <v>41456</v>
      </c>
    </row>
    <row r="13537" spans="11:14" x14ac:dyDescent="0.3">
      <c r="K13537" s="1">
        <v>41913</v>
      </c>
      <c r="M13537" t="e">
        <v>#N/A</v>
      </c>
      <c r="N13537" s="1">
        <v>41456</v>
      </c>
    </row>
    <row r="13538" spans="11:14" x14ac:dyDescent="0.3">
      <c r="K13538" s="1">
        <v>41913</v>
      </c>
      <c r="M13538" t="e">
        <v>#N/A</v>
      </c>
      <c r="N13538" s="1">
        <v>41456</v>
      </c>
    </row>
    <row r="13539" spans="11:14" x14ac:dyDescent="0.3">
      <c r="K13539" s="1">
        <v>41913</v>
      </c>
      <c r="M13539" t="e">
        <v>#N/A</v>
      </c>
      <c r="N13539" s="1">
        <v>41456</v>
      </c>
    </row>
    <row r="13540" spans="11:14" x14ac:dyDescent="0.3">
      <c r="K13540" s="1">
        <v>41913</v>
      </c>
      <c r="M13540" t="e">
        <v>#N/A</v>
      </c>
      <c r="N13540" s="1">
        <v>41456</v>
      </c>
    </row>
    <row r="13541" spans="11:14" x14ac:dyDescent="0.3">
      <c r="K13541" s="1">
        <v>41913</v>
      </c>
      <c r="M13541" t="e">
        <v>#N/A</v>
      </c>
      <c r="N13541" s="1">
        <v>41456</v>
      </c>
    </row>
    <row r="13542" spans="11:14" x14ac:dyDescent="0.3">
      <c r="K13542" s="1">
        <v>41913</v>
      </c>
      <c r="M13542" t="e">
        <v>#N/A</v>
      </c>
      <c r="N13542" s="1">
        <v>41456</v>
      </c>
    </row>
    <row r="13543" spans="11:14" x14ac:dyDescent="0.3">
      <c r="K13543" s="1">
        <v>41913</v>
      </c>
      <c r="M13543" t="e">
        <v>#N/A</v>
      </c>
      <c r="N13543" s="1">
        <v>41456</v>
      </c>
    </row>
    <row r="13544" spans="11:14" x14ac:dyDescent="0.3">
      <c r="K13544" s="1">
        <v>41913</v>
      </c>
      <c r="M13544" t="e">
        <v>#N/A</v>
      </c>
      <c r="N13544" s="1">
        <v>41456</v>
      </c>
    </row>
    <row r="13545" spans="11:14" x14ac:dyDescent="0.3">
      <c r="K13545" s="1">
        <v>41913</v>
      </c>
      <c r="M13545" t="e">
        <v>#N/A</v>
      </c>
      <c r="N13545" s="1">
        <v>41456</v>
      </c>
    </row>
    <row r="13546" spans="11:14" x14ac:dyDescent="0.3">
      <c r="K13546" s="1">
        <v>41913</v>
      </c>
      <c r="M13546" t="e">
        <v>#N/A</v>
      </c>
      <c r="N13546" s="1">
        <v>41456</v>
      </c>
    </row>
    <row r="13547" spans="11:14" x14ac:dyDescent="0.3">
      <c r="K13547" s="1">
        <v>41913</v>
      </c>
      <c r="M13547" t="e">
        <v>#N/A</v>
      </c>
      <c r="N13547" s="1">
        <v>41456</v>
      </c>
    </row>
    <row r="13548" spans="11:14" x14ac:dyDescent="0.3">
      <c r="K13548" s="1">
        <v>41913</v>
      </c>
      <c r="M13548" t="e">
        <v>#N/A</v>
      </c>
      <c r="N13548" s="1">
        <v>41456</v>
      </c>
    </row>
    <row r="13549" spans="11:14" x14ac:dyDescent="0.3">
      <c r="K13549" s="1">
        <v>41913</v>
      </c>
      <c r="M13549" t="e">
        <v>#N/A</v>
      </c>
      <c r="N13549" s="1">
        <v>41456</v>
      </c>
    </row>
    <row r="13550" spans="11:14" x14ac:dyDescent="0.3">
      <c r="K13550" s="1">
        <v>41913</v>
      </c>
      <c r="M13550" t="e">
        <v>#N/A</v>
      </c>
      <c r="N13550" s="1">
        <v>41456</v>
      </c>
    </row>
    <row r="13551" spans="11:14" x14ac:dyDescent="0.3">
      <c r="K13551" s="1">
        <v>41913</v>
      </c>
      <c r="M13551" t="e">
        <v>#N/A</v>
      </c>
      <c r="N13551" s="1">
        <v>41456</v>
      </c>
    </row>
    <row r="13552" spans="11:14" x14ac:dyDescent="0.3">
      <c r="K13552" s="1">
        <v>41913</v>
      </c>
      <c r="M13552" t="e">
        <v>#N/A</v>
      </c>
      <c r="N13552" s="1">
        <v>41456</v>
      </c>
    </row>
    <row r="13553" spans="11:14" x14ac:dyDescent="0.3">
      <c r="K13553" s="1">
        <v>41913</v>
      </c>
      <c r="M13553" t="e">
        <v>#N/A</v>
      </c>
      <c r="N13553" s="1">
        <v>41456</v>
      </c>
    </row>
    <row r="13554" spans="11:14" x14ac:dyDescent="0.3">
      <c r="K13554" s="1">
        <v>41913</v>
      </c>
      <c r="M13554" t="e">
        <v>#N/A</v>
      </c>
      <c r="N13554" s="1">
        <v>41456</v>
      </c>
    </row>
    <row r="13555" spans="11:14" x14ac:dyDescent="0.3">
      <c r="K13555" s="1">
        <v>41913</v>
      </c>
      <c r="M13555" t="e">
        <v>#N/A</v>
      </c>
      <c r="N13555" s="1">
        <v>41456</v>
      </c>
    </row>
    <row r="13556" spans="11:14" x14ac:dyDescent="0.3">
      <c r="K13556" s="1">
        <v>41913</v>
      </c>
      <c r="M13556" t="e">
        <v>#N/A</v>
      </c>
      <c r="N13556" s="1">
        <v>41456</v>
      </c>
    </row>
    <row r="13557" spans="11:14" x14ac:dyDescent="0.3">
      <c r="K13557" s="1">
        <v>41913</v>
      </c>
      <c r="M13557" t="e">
        <v>#N/A</v>
      </c>
      <c r="N13557" s="1">
        <v>41456</v>
      </c>
    </row>
    <row r="13558" spans="11:14" x14ac:dyDescent="0.3">
      <c r="K13558" s="1">
        <v>41913</v>
      </c>
      <c r="M13558" t="e">
        <v>#N/A</v>
      </c>
      <c r="N13558" s="1">
        <v>41456</v>
      </c>
    </row>
    <row r="13559" spans="11:14" x14ac:dyDescent="0.3">
      <c r="K13559" s="1">
        <v>41913</v>
      </c>
      <c r="M13559" t="e">
        <v>#N/A</v>
      </c>
      <c r="N13559" s="1">
        <v>41456</v>
      </c>
    </row>
    <row r="13560" spans="11:14" x14ac:dyDescent="0.3">
      <c r="K13560" s="1">
        <v>41913</v>
      </c>
      <c r="M13560" t="e">
        <v>#N/A</v>
      </c>
      <c r="N13560" s="1">
        <v>41456</v>
      </c>
    </row>
    <row r="13561" spans="11:14" x14ac:dyDescent="0.3">
      <c r="K13561" s="1">
        <v>41913</v>
      </c>
      <c r="M13561" t="e">
        <v>#N/A</v>
      </c>
      <c r="N13561" s="1">
        <v>41456</v>
      </c>
    </row>
    <row r="13562" spans="11:14" x14ac:dyDescent="0.3">
      <c r="K13562" s="1">
        <v>41913</v>
      </c>
      <c r="M13562" t="e">
        <v>#N/A</v>
      </c>
      <c r="N13562" s="1">
        <v>41456</v>
      </c>
    </row>
    <row r="13563" spans="11:14" x14ac:dyDescent="0.3">
      <c r="K13563" s="1">
        <v>41913</v>
      </c>
      <c r="M13563" t="e">
        <v>#N/A</v>
      </c>
      <c r="N13563" s="1">
        <v>41456</v>
      </c>
    </row>
    <row r="13564" spans="11:14" x14ac:dyDescent="0.3">
      <c r="K13564" s="1">
        <v>41913</v>
      </c>
      <c r="M13564" t="e">
        <v>#N/A</v>
      </c>
      <c r="N13564" s="1">
        <v>41456</v>
      </c>
    </row>
    <row r="13565" spans="11:14" x14ac:dyDescent="0.3">
      <c r="K13565" s="1">
        <v>41913</v>
      </c>
      <c r="M13565" t="e">
        <v>#N/A</v>
      </c>
      <c r="N13565" s="1">
        <v>41456</v>
      </c>
    </row>
    <row r="13566" spans="11:14" x14ac:dyDescent="0.3">
      <c r="K13566" s="1">
        <v>41913</v>
      </c>
      <c r="M13566" t="e">
        <v>#N/A</v>
      </c>
      <c r="N13566" s="1">
        <v>41456</v>
      </c>
    </row>
    <row r="13567" spans="11:14" x14ac:dyDescent="0.3">
      <c r="K13567" s="1">
        <v>41913</v>
      </c>
      <c r="M13567" t="e">
        <v>#N/A</v>
      </c>
      <c r="N13567" s="1">
        <v>41456</v>
      </c>
    </row>
    <row r="13568" spans="11:14" x14ac:dyDescent="0.3">
      <c r="K13568" s="1">
        <v>41913</v>
      </c>
      <c r="M13568" t="e">
        <v>#N/A</v>
      </c>
      <c r="N13568" s="1">
        <v>41456</v>
      </c>
    </row>
    <row r="13569" spans="11:14" x14ac:dyDescent="0.3">
      <c r="K13569" s="1">
        <v>41913</v>
      </c>
      <c r="M13569" t="e">
        <v>#N/A</v>
      </c>
      <c r="N13569" s="1">
        <v>41456</v>
      </c>
    </row>
    <row r="13570" spans="11:14" x14ac:dyDescent="0.3">
      <c r="K13570" s="1">
        <v>41913</v>
      </c>
      <c r="M13570" t="e">
        <v>#N/A</v>
      </c>
      <c r="N13570" s="1">
        <v>41456</v>
      </c>
    </row>
    <row r="13571" spans="11:14" x14ac:dyDescent="0.3">
      <c r="K13571" s="1">
        <v>41913</v>
      </c>
      <c r="M13571" t="e">
        <v>#N/A</v>
      </c>
      <c r="N13571" s="1">
        <v>41456</v>
      </c>
    </row>
    <row r="13572" spans="11:14" x14ac:dyDescent="0.3">
      <c r="K13572" s="1">
        <v>41913</v>
      </c>
      <c r="M13572" t="e">
        <v>#N/A</v>
      </c>
      <c r="N13572" s="1">
        <v>41456</v>
      </c>
    </row>
    <row r="13573" spans="11:14" x14ac:dyDescent="0.3">
      <c r="K13573" s="1">
        <v>41913</v>
      </c>
      <c r="M13573" t="e">
        <v>#N/A</v>
      </c>
      <c r="N13573" s="1">
        <v>41456</v>
      </c>
    </row>
    <row r="13574" spans="11:14" x14ac:dyDescent="0.3">
      <c r="K13574" s="1">
        <v>41913</v>
      </c>
      <c r="M13574" t="e">
        <v>#N/A</v>
      </c>
      <c r="N13574" s="1">
        <v>41456</v>
      </c>
    </row>
    <row r="13575" spans="11:14" x14ac:dyDescent="0.3">
      <c r="K13575" s="1">
        <v>41913</v>
      </c>
      <c r="M13575" t="e">
        <v>#N/A</v>
      </c>
      <c r="N13575" s="1">
        <v>41456</v>
      </c>
    </row>
    <row r="13576" spans="11:14" x14ac:dyDescent="0.3">
      <c r="K13576" s="1">
        <v>41913</v>
      </c>
      <c r="M13576" t="e">
        <v>#N/A</v>
      </c>
      <c r="N13576" s="1">
        <v>41548</v>
      </c>
    </row>
    <row r="13577" spans="11:14" x14ac:dyDescent="0.3">
      <c r="K13577" s="1">
        <v>41913</v>
      </c>
      <c r="M13577" t="e">
        <v>#N/A</v>
      </c>
      <c r="N13577" s="1">
        <v>41548</v>
      </c>
    </row>
    <row r="13578" spans="11:14" x14ac:dyDescent="0.3">
      <c r="K13578" s="1">
        <v>41913</v>
      </c>
      <c r="M13578" t="e">
        <v>#N/A</v>
      </c>
      <c r="N13578" s="1">
        <v>41548</v>
      </c>
    </row>
    <row r="13579" spans="11:14" x14ac:dyDescent="0.3">
      <c r="K13579" s="1">
        <v>41913</v>
      </c>
      <c r="M13579" t="e">
        <v>#N/A</v>
      </c>
      <c r="N13579" s="1">
        <v>41548</v>
      </c>
    </row>
    <row r="13580" spans="11:14" x14ac:dyDescent="0.3">
      <c r="K13580" s="1">
        <v>41913</v>
      </c>
      <c r="M13580" t="e">
        <v>#N/A</v>
      </c>
      <c r="N13580" s="1">
        <v>41548</v>
      </c>
    </row>
    <row r="13581" spans="11:14" x14ac:dyDescent="0.3">
      <c r="K13581" s="1">
        <v>41913</v>
      </c>
      <c r="M13581" t="e">
        <v>#N/A</v>
      </c>
      <c r="N13581" s="1">
        <v>41548</v>
      </c>
    </row>
    <row r="13582" spans="11:14" x14ac:dyDescent="0.3">
      <c r="K13582" s="1">
        <v>41913</v>
      </c>
      <c r="M13582" t="e">
        <v>#N/A</v>
      </c>
      <c r="N13582" s="1">
        <v>41548</v>
      </c>
    </row>
    <row r="13583" spans="11:14" x14ac:dyDescent="0.3">
      <c r="K13583" s="1">
        <v>41913</v>
      </c>
      <c r="M13583" t="e">
        <v>#N/A</v>
      </c>
      <c r="N13583" s="1">
        <v>41548</v>
      </c>
    </row>
    <row r="13584" spans="11:14" x14ac:dyDescent="0.3">
      <c r="K13584" s="1">
        <v>41913</v>
      </c>
      <c r="M13584" t="e">
        <v>#N/A</v>
      </c>
      <c r="N13584" s="1">
        <v>41548</v>
      </c>
    </row>
    <row r="13585" spans="11:14" x14ac:dyDescent="0.3">
      <c r="K13585" s="1">
        <v>41913</v>
      </c>
      <c r="M13585" t="e">
        <v>#N/A</v>
      </c>
      <c r="N13585" s="1">
        <v>41548</v>
      </c>
    </row>
    <row r="13586" spans="11:14" x14ac:dyDescent="0.3">
      <c r="K13586" s="1">
        <v>41913</v>
      </c>
      <c r="M13586" t="e">
        <v>#N/A</v>
      </c>
      <c r="N13586" s="1">
        <v>41548</v>
      </c>
    </row>
    <row r="13587" spans="11:14" x14ac:dyDescent="0.3">
      <c r="K13587" s="1">
        <v>41913</v>
      </c>
      <c r="M13587" t="e">
        <v>#N/A</v>
      </c>
      <c r="N13587" s="1">
        <v>41548</v>
      </c>
    </row>
    <row r="13588" spans="11:14" x14ac:dyDescent="0.3">
      <c r="K13588" s="1">
        <v>41913</v>
      </c>
      <c r="M13588" t="e">
        <v>#N/A</v>
      </c>
      <c r="N13588" s="1">
        <v>41548</v>
      </c>
    </row>
    <row r="13589" spans="11:14" x14ac:dyDescent="0.3">
      <c r="K13589" s="1">
        <v>41913</v>
      </c>
      <c r="M13589" t="e">
        <v>#N/A</v>
      </c>
      <c r="N13589" s="1">
        <v>41548</v>
      </c>
    </row>
    <row r="13590" spans="11:14" x14ac:dyDescent="0.3">
      <c r="K13590" s="1">
        <v>41913</v>
      </c>
      <c r="M13590" t="e">
        <v>#N/A</v>
      </c>
      <c r="N13590" s="1">
        <v>41548</v>
      </c>
    </row>
    <row r="13591" spans="11:14" x14ac:dyDescent="0.3">
      <c r="K13591" s="1">
        <v>41913</v>
      </c>
      <c r="M13591" t="e">
        <v>#N/A</v>
      </c>
      <c r="N13591" s="1">
        <v>41548</v>
      </c>
    </row>
    <row r="13592" spans="11:14" x14ac:dyDescent="0.3">
      <c r="K13592" s="1">
        <v>41913</v>
      </c>
      <c r="M13592" t="e">
        <v>#N/A</v>
      </c>
      <c r="N13592" s="1">
        <v>41548</v>
      </c>
    </row>
    <row r="13593" spans="11:14" x14ac:dyDescent="0.3">
      <c r="K13593" s="1">
        <v>41913</v>
      </c>
      <c r="M13593" t="e">
        <v>#N/A</v>
      </c>
      <c r="N13593" s="1">
        <v>41548</v>
      </c>
    </row>
    <row r="13594" spans="11:14" x14ac:dyDescent="0.3">
      <c r="K13594" s="1">
        <v>41913</v>
      </c>
      <c r="M13594" t="e">
        <v>#N/A</v>
      </c>
      <c r="N13594" s="1">
        <v>41548</v>
      </c>
    </row>
    <row r="13595" spans="11:14" x14ac:dyDescent="0.3">
      <c r="K13595" s="1">
        <v>41913</v>
      </c>
      <c r="M13595" t="e">
        <v>#N/A</v>
      </c>
      <c r="N13595" s="1">
        <v>41548</v>
      </c>
    </row>
    <row r="13596" spans="11:14" x14ac:dyDescent="0.3">
      <c r="K13596" s="1">
        <v>41913</v>
      </c>
      <c r="M13596" t="e">
        <v>#N/A</v>
      </c>
      <c r="N13596" s="1">
        <v>41548</v>
      </c>
    </row>
    <row r="13597" spans="11:14" x14ac:dyDescent="0.3">
      <c r="K13597" s="1">
        <v>41913</v>
      </c>
      <c r="M13597" t="e">
        <v>#N/A</v>
      </c>
      <c r="N13597" s="1">
        <v>41548</v>
      </c>
    </row>
    <row r="13598" spans="11:14" x14ac:dyDescent="0.3">
      <c r="K13598" s="1">
        <v>41913</v>
      </c>
      <c r="M13598" t="e">
        <v>#N/A</v>
      </c>
      <c r="N13598" s="1">
        <v>41548</v>
      </c>
    </row>
    <row r="13599" spans="11:14" x14ac:dyDescent="0.3">
      <c r="K13599" s="1">
        <v>41913</v>
      </c>
      <c r="M13599" t="e">
        <v>#N/A</v>
      </c>
      <c r="N13599" s="1">
        <v>41548</v>
      </c>
    </row>
    <row r="13600" spans="11:14" x14ac:dyDescent="0.3">
      <c r="K13600" s="1">
        <v>41913</v>
      </c>
      <c r="M13600" t="e">
        <v>#N/A</v>
      </c>
      <c r="N13600" s="1">
        <v>41548</v>
      </c>
    </row>
    <row r="13601" spans="11:14" x14ac:dyDescent="0.3">
      <c r="K13601" s="1">
        <v>41913</v>
      </c>
      <c r="M13601" t="e">
        <v>#N/A</v>
      </c>
      <c r="N13601" s="1">
        <v>41548</v>
      </c>
    </row>
    <row r="13602" spans="11:14" x14ac:dyDescent="0.3">
      <c r="K13602" s="1">
        <v>41913</v>
      </c>
      <c r="M13602" t="e">
        <v>#N/A</v>
      </c>
      <c r="N13602" s="1">
        <v>41548</v>
      </c>
    </row>
    <row r="13603" spans="11:14" x14ac:dyDescent="0.3">
      <c r="K13603" s="1">
        <v>41913</v>
      </c>
      <c r="M13603" t="e">
        <v>#N/A</v>
      </c>
      <c r="N13603" s="1">
        <v>41548</v>
      </c>
    </row>
    <row r="13604" spans="11:14" x14ac:dyDescent="0.3">
      <c r="K13604" s="1">
        <v>41913</v>
      </c>
      <c r="M13604" t="e">
        <v>#N/A</v>
      </c>
      <c r="N13604" s="1">
        <v>41548</v>
      </c>
    </row>
    <row r="13605" spans="11:14" x14ac:dyDescent="0.3">
      <c r="K13605" s="1">
        <v>41913</v>
      </c>
      <c r="M13605" t="e">
        <v>#N/A</v>
      </c>
      <c r="N13605" s="1">
        <v>41548</v>
      </c>
    </row>
    <row r="13606" spans="11:14" x14ac:dyDescent="0.3">
      <c r="K13606" s="1">
        <v>41913</v>
      </c>
      <c r="M13606" t="e">
        <v>#N/A</v>
      </c>
      <c r="N13606" s="1">
        <v>41548</v>
      </c>
    </row>
    <row r="13607" spans="11:14" x14ac:dyDescent="0.3">
      <c r="K13607" s="1">
        <v>41913</v>
      </c>
      <c r="M13607" t="e">
        <v>#N/A</v>
      </c>
      <c r="N13607" s="1">
        <v>41548</v>
      </c>
    </row>
    <row r="13608" spans="11:14" x14ac:dyDescent="0.3">
      <c r="K13608" s="1">
        <v>41913</v>
      </c>
      <c r="M13608" t="e">
        <v>#N/A</v>
      </c>
      <c r="N13608" s="1">
        <v>41548</v>
      </c>
    </row>
    <row r="13609" spans="11:14" x14ac:dyDescent="0.3">
      <c r="K13609" s="1">
        <v>41913</v>
      </c>
      <c r="M13609" t="e">
        <v>#N/A</v>
      </c>
      <c r="N13609" s="1">
        <v>41548</v>
      </c>
    </row>
    <row r="13610" spans="11:14" x14ac:dyDescent="0.3">
      <c r="K13610" s="1">
        <v>41913</v>
      </c>
      <c r="M13610" t="e">
        <v>#N/A</v>
      </c>
      <c r="N13610" s="1">
        <v>41548</v>
      </c>
    </row>
    <row r="13611" spans="11:14" x14ac:dyDescent="0.3">
      <c r="K13611" s="1">
        <v>41913</v>
      </c>
      <c r="M13611" t="e">
        <v>#N/A</v>
      </c>
      <c r="N13611" s="1">
        <v>41548</v>
      </c>
    </row>
    <row r="13612" spans="11:14" x14ac:dyDescent="0.3">
      <c r="K13612" s="1">
        <v>41913</v>
      </c>
      <c r="M13612" t="e">
        <v>#N/A</v>
      </c>
      <c r="N13612" s="1">
        <v>41548</v>
      </c>
    </row>
    <row r="13613" spans="11:14" x14ac:dyDescent="0.3">
      <c r="K13613" s="1">
        <v>41913</v>
      </c>
      <c r="M13613" t="e">
        <v>#N/A</v>
      </c>
      <c r="N13613" s="1">
        <v>41548</v>
      </c>
    </row>
    <row r="13614" spans="11:14" x14ac:dyDescent="0.3">
      <c r="K13614" s="1">
        <v>41913</v>
      </c>
      <c r="M13614" t="e">
        <v>#N/A</v>
      </c>
      <c r="N13614" s="1">
        <v>41548</v>
      </c>
    </row>
    <row r="13615" spans="11:14" x14ac:dyDescent="0.3">
      <c r="K13615" s="1">
        <v>41913</v>
      </c>
      <c r="M13615" t="e">
        <v>#N/A</v>
      </c>
      <c r="N13615" s="1">
        <v>41548</v>
      </c>
    </row>
    <row r="13616" spans="11:14" x14ac:dyDescent="0.3">
      <c r="K13616" s="1">
        <v>41913</v>
      </c>
      <c r="M13616" t="e">
        <v>#N/A</v>
      </c>
      <c r="N13616" s="1">
        <v>41548</v>
      </c>
    </row>
    <row r="13617" spans="11:14" x14ac:dyDescent="0.3">
      <c r="K13617" s="1">
        <v>41913</v>
      </c>
      <c r="M13617" t="e">
        <v>#N/A</v>
      </c>
      <c r="N13617" s="1">
        <v>41548</v>
      </c>
    </row>
    <row r="13618" spans="11:14" x14ac:dyDescent="0.3">
      <c r="K13618" s="1">
        <v>41913</v>
      </c>
      <c r="M13618" t="e">
        <v>#N/A</v>
      </c>
      <c r="N13618" s="1">
        <v>41548</v>
      </c>
    </row>
    <row r="13619" spans="11:14" x14ac:dyDescent="0.3">
      <c r="K13619" s="1">
        <v>41913</v>
      </c>
      <c r="M13619" t="e">
        <v>#N/A</v>
      </c>
      <c r="N13619" s="1">
        <v>41548</v>
      </c>
    </row>
    <row r="13620" spans="11:14" x14ac:dyDescent="0.3">
      <c r="K13620" s="1">
        <v>41913</v>
      </c>
      <c r="M13620" t="e">
        <v>#N/A</v>
      </c>
      <c r="N13620" s="1">
        <v>41548</v>
      </c>
    </row>
    <row r="13621" spans="11:14" x14ac:dyDescent="0.3">
      <c r="K13621" s="1">
        <v>41913</v>
      </c>
      <c r="M13621" t="e">
        <v>#N/A</v>
      </c>
      <c r="N13621" s="1">
        <v>41548</v>
      </c>
    </row>
    <row r="13622" spans="11:14" x14ac:dyDescent="0.3">
      <c r="K13622" s="1">
        <v>41913</v>
      </c>
      <c r="M13622" t="e">
        <v>#N/A</v>
      </c>
      <c r="N13622" s="1">
        <v>41548</v>
      </c>
    </row>
    <row r="13623" spans="11:14" x14ac:dyDescent="0.3">
      <c r="K13623" s="1">
        <v>41913</v>
      </c>
      <c r="M13623" t="e">
        <v>#N/A</v>
      </c>
      <c r="N13623" s="1">
        <v>41548</v>
      </c>
    </row>
    <row r="13624" spans="11:14" x14ac:dyDescent="0.3">
      <c r="K13624" s="1">
        <v>41913</v>
      </c>
      <c r="M13624" t="e">
        <v>#N/A</v>
      </c>
      <c r="N13624" s="1">
        <v>41548</v>
      </c>
    </row>
    <row r="13625" spans="11:14" x14ac:dyDescent="0.3">
      <c r="K13625" s="1">
        <v>41913</v>
      </c>
      <c r="M13625" t="e">
        <v>#N/A</v>
      </c>
      <c r="N13625" s="1">
        <v>41548</v>
      </c>
    </row>
    <row r="13626" spans="11:14" x14ac:dyDescent="0.3">
      <c r="K13626" s="1">
        <v>41913</v>
      </c>
      <c r="M13626" t="e">
        <v>#N/A</v>
      </c>
      <c r="N13626" s="1">
        <v>41548</v>
      </c>
    </row>
    <row r="13627" spans="11:14" x14ac:dyDescent="0.3">
      <c r="K13627" s="1">
        <v>41913</v>
      </c>
      <c r="M13627" t="e">
        <v>#N/A</v>
      </c>
      <c r="N13627" s="1">
        <v>41548</v>
      </c>
    </row>
    <row r="13628" spans="11:14" x14ac:dyDescent="0.3">
      <c r="K13628" s="1">
        <v>41913</v>
      </c>
      <c r="M13628" t="e">
        <v>#N/A</v>
      </c>
      <c r="N13628" s="1">
        <v>41548</v>
      </c>
    </row>
    <row r="13629" spans="11:14" x14ac:dyDescent="0.3">
      <c r="K13629" s="1">
        <v>41913</v>
      </c>
      <c r="M13629" t="e">
        <v>#N/A</v>
      </c>
      <c r="N13629" s="1">
        <v>41548</v>
      </c>
    </row>
    <row r="13630" spans="11:14" x14ac:dyDescent="0.3">
      <c r="K13630" s="1">
        <v>41913</v>
      </c>
      <c r="M13630" t="e">
        <v>#N/A</v>
      </c>
      <c r="N13630" s="1">
        <v>41548</v>
      </c>
    </row>
    <row r="13631" spans="11:14" x14ac:dyDescent="0.3">
      <c r="K13631" s="1">
        <v>41913</v>
      </c>
      <c r="M13631" t="e">
        <v>#N/A</v>
      </c>
      <c r="N13631" s="1">
        <v>41548</v>
      </c>
    </row>
    <row r="13632" spans="11:14" x14ac:dyDescent="0.3">
      <c r="K13632" s="1">
        <v>41913</v>
      </c>
      <c r="M13632" t="e">
        <v>#N/A</v>
      </c>
      <c r="N13632" s="1">
        <v>41548</v>
      </c>
    </row>
    <row r="13633" spans="11:14" x14ac:dyDescent="0.3">
      <c r="K13633" s="1">
        <v>41913</v>
      </c>
      <c r="M13633" t="e">
        <v>#N/A</v>
      </c>
      <c r="N13633" s="1">
        <v>41548</v>
      </c>
    </row>
    <row r="13634" spans="11:14" x14ac:dyDescent="0.3">
      <c r="K13634" s="1">
        <v>41913</v>
      </c>
      <c r="M13634" t="e">
        <v>#N/A</v>
      </c>
      <c r="N13634" s="1">
        <v>41548</v>
      </c>
    </row>
    <row r="13635" spans="11:14" x14ac:dyDescent="0.3">
      <c r="K13635" s="1">
        <v>41913</v>
      </c>
      <c r="M13635" t="e">
        <v>#N/A</v>
      </c>
      <c r="N13635" s="1">
        <v>41548</v>
      </c>
    </row>
    <row r="13636" spans="11:14" x14ac:dyDescent="0.3">
      <c r="K13636" s="1">
        <v>41913</v>
      </c>
      <c r="M13636" t="e">
        <v>#N/A</v>
      </c>
      <c r="N13636" s="1">
        <v>41548</v>
      </c>
    </row>
    <row r="13637" spans="11:14" x14ac:dyDescent="0.3">
      <c r="K13637" s="1">
        <v>41913</v>
      </c>
      <c r="M13637" t="e">
        <v>#N/A</v>
      </c>
      <c r="N13637" s="1">
        <v>41548</v>
      </c>
    </row>
    <row r="13638" spans="11:14" x14ac:dyDescent="0.3">
      <c r="K13638" s="1">
        <v>41913</v>
      </c>
      <c r="M13638" t="e">
        <v>#N/A</v>
      </c>
      <c r="N13638" s="1">
        <v>41548</v>
      </c>
    </row>
    <row r="13639" spans="11:14" x14ac:dyDescent="0.3">
      <c r="K13639" s="1">
        <v>41913</v>
      </c>
      <c r="M13639" t="e">
        <v>#N/A</v>
      </c>
      <c r="N13639" s="1">
        <v>41548</v>
      </c>
    </row>
    <row r="13640" spans="11:14" x14ac:dyDescent="0.3">
      <c r="K13640" s="1">
        <v>41913</v>
      </c>
      <c r="M13640" t="e">
        <v>#N/A</v>
      </c>
      <c r="N13640" s="1">
        <v>41548</v>
      </c>
    </row>
    <row r="13641" spans="11:14" x14ac:dyDescent="0.3">
      <c r="K13641" s="1">
        <v>41913</v>
      </c>
      <c r="M13641" t="e">
        <v>#N/A</v>
      </c>
      <c r="N13641" s="1">
        <v>41548</v>
      </c>
    </row>
    <row r="13642" spans="11:14" x14ac:dyDescent="0.3">
      <c r="K13642" s="1">
        <v>41913</v>
      </c>
      <c r="M13642" t="e">
        <v>#N/A</v>
      </c>
      <c r="N13642" s="1">
        <v>41548</v>
      </c>
    </row>
    <row r="13643" spans="11:14" x14ac:dyDescent="0.3">
      <c r="K13643" s="1">
        <v>41913</v>
      </c>
      <c r="M13643" t="e">
        <v>#N/A</v>
      </c>
      <c r="N13643" s="1">
        <v>41548</v>
      </c>
    </row>
    <row r="13644" spans="11:14" x14ac:dyDescent="0.3">
      <c r="K13644" s="1">
        <v>41913</v>
      </c>
      <c r="M13644" t="e">
        <v>#N/A</v>
      </c>
      <c r="N13644" s="1">
        <v>41548</v>
      </c>
    </row>
    <row r="13645" spans="11:14" x14ac:dyDescent="0.3">
      <c r="K13645" s="1">
        <v>41913</v>
      </c>
      <c r="M13645" t="e">
        <v>#N/A</v>
      </c>
      <c r="N13645" s="1">
        <v>41548</v>
      </c>
    </row>
    <row r="13646" spans="11:14" x14ac:dyDescent="0.3">
      <c r="K13646" s="1">
        <v>41913</v>
      </c>
      <c r="M13646" t="e">
        <v>#N/A</v>
      </c>
      <c r="N13646" s="1">
        <v>41548</v>
      </c>
    </row>
    <row r="13647" spans="11:14" x14ac:dyDescent="0.3">
      <c r="K13647" s="1">
        <v>41913</v>
      </c>
      <c r="M13647" t="e">
        <v>#N/A</v>
      </c>
      <c r="N13647" s="1">
        <v>41548</v>
      </c>
    </row>
    <row r="13648" spans="11:14" x14ac:dyDescent="0.3">
      <c r="K13648" s="1">
        <v>41913</v>
      </c>
      <c r="M13648" t="e">
        <v>#N/A</v>
      </c>
      <c r="N13648" s="1">
        <v>41548</v>
      </c>
    </row>
    <row r="13649" spans="11:14" x14ac:dyDescent="0.3">
      <c r="K13649" s="1">
        <v>41913</v>
      </c>
      <c r="M13649" t="e">
        <v>#N/A</v>
      </c>
      <c r="N13649" s="1">
        <v>41548</v>
      </c>
    </row>
    <row r="13650" spans="11:14" x14ac:dyDescent="0.3">
      <c r="K13650" s="1">
        <v>41913</v>
      </c>
      <c r="M13650" t="e">
        <v>#N/A</v>
      </c>
      <c r="N13650" s="1">
        <v>41548</v>
      </c>
    </row>
    <row r="13651" spans="11:14" x14ac:dyDescent="0.3">
      <c r="K13651" s="1">
        <v>41913</v>
      </c>
      <c r="M13651" t="e">
        <v>#N/A</v>
      </c>
      <c r="N13651" s="1">
        <v>41548</v>
      </c>
    </row>
    <row r="13652" spans="11:14" x14ac:dyDescent="0.3">
      <c r="K13652" s="1">
        <v>41913</v>
      </c>
      <c r="M13652" t="e">
        <v>#N/A</v>
      </c>
      <c r="N13652" s="1">
        <v>41548</v>
      </c>
    </row>
    <row r="13653" spans="11:14" x14ac:dyDescent="0.3">
      <c r="K13653" s="1">
        <v>41913</v>
      </c>
      <c r="M13653" t="e">
        <v>#N/A</v>
      </c>
      <c r="N13653" s="1">
        <v>41548</v>
      </c>
    </row>
    <row r="13654" spans="11:14" x14ac:dyDescent="0.3">
      <c r="K13654" s="1">
        <v>41913</v>
      </c>
      <c r="M13654" t="e">
        <v>#N/A</v>
      </c>
      <c r="N13654" s="1">
        <v>41548</v>
      </c>
    </row>
    <row r="13655" spans="11:14" x14ac:dyDescent="0.3">
      <c r="K13655" s="1">
        <v>41913</v>
      </c>
      <c r="M13655" t="e">
        <v>#N/A</v>
      </c>
      <c r="N13655" s="1">
        <v>41548</v>
      </c>
    </row>
    <row r="13656" spans="11:14" x14ac:dyDescent="0.3">
      <c r="K13656" s="1">
        <v>41913</v>
      </c>
      <c r="M13656" t="e">
        <v>#N/A</v>
      </c>
      <c r="N13656" s="1">
        <v>41548</v>
      </c>
    </row>
    <row r="13657" spans="11:14" x14ac:dyDescent="0.3">
      <c r="K13657" s="1">
        <v>41913</v>
      </c>
      <c r="M13657" t="e">
        <v>#N/A</v>
      </c>
      <c r="N13657" s="1">
        <v>41548</v>
      </c>
    </row>
    <row r="13658" spans="11:14" x14ac:dyDescent="0.3">
      <c r="K13658" s="1">
        <v>41913</v>
      </c>
      <c r="M13658" t="e">
        <v>#N/A</v>
      </c>
      <c r="N13658" s="1">
        <v>41548</v>
      </c>
    </row>
    <row r="13659" spans="11:14" x14ac:dyDescent="0.3">
      <c r="K13659" s="1">
        <v>41913</v>
      </c>
      <c r="M13659" t="e">
        <v>#N/A</v>
      </c>
      <c r="N13659" s="1">
        <v>41548</v>
      </c>
    </row>
    <row r="13660" spans="11:14" x14ac:dyDescent="0.3">
      <c r="K13660" s="1">
        <v>41913</v>
      </c>
      <c r="M13660" t="e">
        <v>#N/A</v>
      </c>
      <c r="N13660" s="1">
        <v>41548</v>
      </c>
    </row>
    <row r="13661" spans="11:14" x14ac:dyDescent="0.3">
      <c r="K13661" s="1">
        <v>41913</v>
      </c>
      <c r="M13661" t="e">
        <v>#N/A</v>
      </c>
      <c r="N13661" s="1">
        <v>41548</v>
      </c>
    </row>
    <row r="13662" spans="11:14" x14ac:dyDescent="0.3">
      <c r="K13662" s="1">
        <v>41913</v>
      </c>
      <c r="M13662" t="e">
        <v>#N/A</v>
      </c>
      <c r="N13662" s="1">
        <v>41548</v>
      </c>
    </row>
    <row r="13663" spans="11:14" x14ac:dyDescent="0.3">
      <c r="K13663" s="1">
        <v>41913</v>
      </c>
      <c r="M13663" t="e">
        <v>#N/A</v>
      </c>
      <c r="N13663" s="1">
        <v>41548</v>
      </c>
    </row>
    <row r="13664" spans="11:14" x14ac:dyDescent="0.3">
      <c r="K13664" s="1">
        <v>41913</v>
      </c>
      <c r="M13664" t="e">
        <v>#N/A</v>
      </c>
      <c r="N13664" s="1">
        <v>41548</v>
      </c>
    </row>
    <row r="13665" spans="11:14" x14ac:dyDescent="0.3">
      <c r="K13665" s="1">
        <v>41913</v>
      </c>
      <c r="M13665" t="e">
        <v>#N/A</v>
      </c>
      <c r="N13665" s="1">
        <v>41548</v>
      </c>
    </row>
    <row r="13666" spans="11:14" x14ac:dyDescent="0.3">
      <c r="K13666" s="1">
        <v>41913</v>
      </c>
      <c r="M13666" t="e">
        <v>#N/A</v>
      </c>
      <c r="N13666" s="1">
        <v>41548</v>
      </c>
    </row>
    <row r="13667" spans="11:14" x14ac:dyDescent="0.3">
      <c r="K13667" s="1">
        <v>41913</v>
      </c>
      <c r="M13667" t="e">
        <v>#N/A</v>
      </c>
      <c r="N13667" s="1">
        <v>41548</v>
      </c>
    </row>
    <row r="13668" spans="11:14" x14ac:dyDescent="0.3">
      <c r="K13668" s="1">
        <v>41913</v>
      </c>
      <c r="M13668" t="e">
        <v>#N/A</v>
      </c>
      <c r="N13668" s="1">
        <v>41548</v>
      </c>
    </row>
    <row r="13669" spans="11:14" x14ac:dyDescent="0.3">
      <c r="K13669" s="1">
        <v>41913</v>
      </c>
      <c r="M13669" t="e">
        <v>#N/A</v>
      </c>
      <c r="N13669" s="1">
        <v>41548</v>
      </c>
    </row>
    <row r="13670" spans="11:14" x14ac:dyDescent="0.3">
      <c r="K13670" s="1">
        <v>41913</v>
      </c>
      <c r="M13670" t="e">
        <v>#N/A</v>
      </c>
      <c r="N13670" s="1">
        <v>41548</v>
      </c>
    </row>
    <row r="13671" spans="11:14" x14ac:dyDescent="0.3">
      <c r="K13671" s="1">
        <v>41913</v>
      </c>
      <c r="M13671" t="e">
        <v>#N/A</v>
      </c>
      <c r="N13671" s="1">
        <v>41548</v>
      </c>
    </row>
    <row r="13672" spans="11:14" x14ac:dyDescent="0.3">
      <c r="K13672" s="1">
        <v>41913</v>
      </c>
      <c r="M13672" t="e">
        <v>#N/A</v>
      </c>
      <c r="N13672" s="1">
        <v>41548</v>
      </c>
    </row>
    <row r="13673" spans="11:14" x14ac:dyDescent="0.3">
      <c r="K13673" s="1">
        <v>41913</v>
      </c>
      <c r="M13673" t="e">
        <v>#N/A</v>
      </c>
      <c r="N13673" s="1">
        <v>41548</v>
      </c>
    </row>
    <row r="13674" spans="11:14" x14ac:dyDescent="0.3">
      <c r="K13674" s="1">
        <v>41913</v>
      </c>
      <c r="M13674" t="e">
        <v>#N/A</v>
      </c>
      <c r="N13674" s="1">
        <v>41548</v>
      </c>
    </row>
    <row r="13675" spans="11:14" x14ac:dyDescent="0.3">
      <c r="K13675" s="1">
        <v>41913</v>
      </c>
      <c r="M13675" t="e">
        <v>#N/A</v>
      </c>
      <c r="N13675" s="1">
        <v>41548</v>
      </c>
    </row>
    <row r="13676" spans="11:14" x14ac:dyDescent="0.3">
      <c r="K13676" s="1">
        <v>41913</v>
      </c>
      <c r="M13676" t="e">
        <v>#N/A</v>
      </c>
      <c r="N13676" s="1">
        <v>41548</v>
      </c>
    </row>
    <row r="13677" spans="11:14" x14ac:dyDescent="0.3">
      <c r="K13677" s="1">
        <v>41913</v>
      </c>
      <c r="M13677" t="e">
        <v>#N/A</v>
      </c>
      <c r="N13677" s="1">
        <v>41548</v>
      </c>
    </row>
    <row r="13678" spans="11:14" x14ac:dyDescent="0.3">
      <c r="K13678" s="1">
        <v>41913</v>
      </c>
      <c r="M13678" t="e">
        <v>#N/A</v>
      </c>
      <c r="N13678" s="1">
        <v>41548</v>
      </c>
    </row>
    <row r="13679" spans="11:14" x14ac:dyDescent="0.3">
      <c r="K13679" s="1">
        <v>41913</v>
      </c>
      <c r="M13679" t="e">
        <v>#N/A</v>
      </c>
      <c r="N13679" s="1">
        <v>41548</v>
      </c>
    </row>
    <row r="13680" spans="11:14" x14ac:dyDescent="0.3">
      <c r="K13680" s="1">
        <v>41913</v>
      </c>
      <c r="M13680" t="e">
        <v>#N/A</v>
      </c>
      <c r="N13680" s="1">
        <v>41548</v>
      </c>
    </row>
    <row r="13681" spans="11:14" x14ac:dyDescent="0.3">
      <c r="K13681" s="1">
        <v>41913</v>
      </c>
      <c r="M13681" t="e">
        <v>#N/A</v>
      </c>
      <c r="N13681" s="1">
        <v>41548</v>
      </c>
    </row>
    <row r="13682" spans="11:14" x14ac:dyDescent="0.3">
      <c r="K13682" s="1">
        <v>41913</v>
      </c>
      <c r="M13682" t="e">
        <v>#N/A</v>
      </c>
      <c r="N13682" s="1">
        <v>41548</v>
      </c>
    </row>
    <row r="13683" spans="11:14" x14ac:dyDescent="0.3">
      <c r="K13683" s="1">
        <v>41913</v>
      </c>
      <c r="M13683" t="e">
        <v>#N/A</v>
      </c>
      <c r="N13683" s="1">
        <v>41548</v>
      </c>
    </row>
    <row r="13684" spans="11:14" x14ac:dyDescent="0.3">
      <c r="K13684" s="1">
        <v>41913</v>
      </c>
      <c r="M13684" t="e">
        <v>#N/A</v>
      </c>
      <c r="N13684" s="1">
        <v>41548</v>
      </c>
    </row>
    <row r="13685" spans="11:14" x14ac:dyDescent="0.3">
      <c r="K13685" s="1">
        <v>41913</v>
      </c>
      <c r="M13685" t="e">
        <v>#N/A</v>
      </c>
      <c r="N13685" s="1">
        <v>41548</v>
      </c>
    </row>
    <row r="13686" spans="11:14" x14ac:dyDescent="0.3">
      <c r="K13686" s="1">
        <v>41913</v>
      </c>
      <c r="M13686" t="e">
        <v>#N/A</v>
      </c>
      <c r="N13686" s="1">
        <v>41548</v>
      </c>
    </row>
    <row r="13687" spans="11:14" x14ac:dyDescent="0.3">
      <c r="K13687" s="1">
        <v>41913</v>
      </c>
      <c r="M13687" t="e">
        <v>#N/A</v>
      </c>
      <c r="N13687" s="1">
        <v>41548</v>
      </c>
    </row>
    <row r="13688" spans="11:14" x14ac:dyDescent="0.3">
      <c r="K13688" s="1">
        <v>41913</v>
      </c>
      <c r="M13688" t="e">
        <v>#N/A</v>
      </c>
      <c r="N13688" s="1">
        <v>41548</v>
      </c>
    </row>
    <row r="13689" spans="11:14" x14ac:dyDescent="0.3">
      <c r="K13689" s="1">
        <v>41913</v>
      </c>
      <c r="M13689" t="e">
        <v>#N/A</v>
      </c>
      <c r="N13689" s="1">
        <v>41548</v>
      </c>
    </row>
    <row r="13690" spans="11:14" x14ac:dyDescent="0.3">
      <c r="K13690" s="1">
        <v>41913</v>
      </c>
      <c r="M13690" t="e">
        <v>#N/A</v>
      </c>
      <c r="N13690" s="1">
        <v>41548</v>
      </c>
    </row>
    <row r="13691" spans="11:14" x14ac:dyDescent="0.3">
      <c r="K13691" s="1">
        <v>41913</v>
      </c>
      <c r="M13691" t="e">
        <v>#N/A</v>
      </c>
      <c r="N13691" s="1">
        <v>41548</v>
      </c>
    </row>
    <row r="13692" spans="11:14" x14ac:dyDescent="0.3">
      <c r="K13692" s="1">
        <v>41913</v>
      </c>
      <c r="M13692" t="e">
        <v>#N/A</v>
      </c>
      <c r="N13692" s="1">
        <v>41548</v>
      </c>
    </row>
    <row r="13693" spans="11:14" x14ac:dyDescent="0.3">
      <c r="K13693" s="1">
        <v>41913</v>
      </c>
      <c r="M13693" t="e">
        <v>#N/A</v>
      </c>
      <c r="N13693" s="1">
        <v>41548</v>
      </c>
    </row>
    <row r="13694" spans="11:14" x14ac:dyDescent="0.3">
      <c r="K13694" s="1">
        <v>41913</v>
      </c>
      <c r="M13694" t="e">
        <v>#N/A</v>
      </c>
      <c r="N13694" s="1">
        <v>41548</v>
      </c>
    </row>
    <row r="13695" spans="11:14" x14ac:dyDescent="0.3">
      <c r="K13695" s="1">
        <v>41913</v>
      </c>
      <c r="M13695" t="e">
        <v>#N/A</v>
      </c>
      <c r="N13695" s="1">
        <v>41548</v>
      </c>
    </row>
    <row r="13696" spans="11:14" x14ac:dyDescent="0.3">
      <c r="K13696" s="1">
        <v>41913</v>
      </c>
      <c r="M13696" t="e">
        <v>#N/A</v>
      </c>
      <c r="N13696" s="1">
        <v>41548</v>
      </c>
    </row>
    <row r="13697" spans="11:14" x14ac:dyDescent="0.3">
      <c r="K13697" s="1">
        <v>41913</v>
      </c>
      <c r="M13697" t="e">
        <v>#N/A</v>
      </c>
      <c r="N13697" s="1">
        <v>41548</v>
      </c>
    </row>
    <row r="13698" spans="11:14" x14ac:dyDescent="0.3">
      <c r="K13698" s="1">
        <v>41913</v>
      </c>
      <c r="M13698" t="e">
        <v>#N/A</v>
      </c>
      <c r="N13698" s="1">
        <v>41548</v>
      </c>
    </row>
    <row r="13699" spans="11:14" x14ac:dyDescent="0.3">
      <c r="K13699" s="1">
        <v>41913</v>
      </c>
      <c r="M13699" t="e">
        <v>#N/A</v>
      </c>
      <c r="N13699" s="1">
        <v>41548</v>
      </c>
    </row>
    <row r="13700" spans="11:14" x14ac:dyDescent="0.3">
      <c r="K13700" s="1">
        <v>41913</v>
      </c>
      <c r="M13700" t="e">
        <v>#N/A</v>
      </c>
      <c r="N13700" s="1">
        <v>41548</v>
      </c>
    </row>
    <row r="13701" spans="11:14" x14ac:dyDescent="0.3">
      <c r="K13701" s="1">
        <v>41913</v>
      </c>
      <c r="M13701" t="e">
        <v>#N/A</v>
      </c>
      <c r="N13701" s="1">
        <v>41548</v>
      </c>
    </row>
    <row r="13702" spans="11:14" x14ac:dyDescent="0.3">
      <c r="K13702" s="1">
        <v>41913</v>
      </c>
      <c r="M13702" t="e">
        <v>#N/A</v>
      </c>
      <c r="N13702" s="1">
        <v>41548</v>
      </c>
    </row>
    <row r="13703" spans="11:14" x14ac:dyDescent="0.3">
      <c r="K13703" s="1">
        <v>41913</v>
      </c>
      <c r="M13703" t="e">
        <v>#N/A</v>
      </c>
      <c r="N13703" s="1">
        <v>41548</v>
      </c>
    </row>
    <row r="13704" spans="11:14" x14ac:dyDescent="0.3">
      <c r="K13704" s="1">
        <v>41913</v>
      </c>
      <c r="M13704" t="e">
        <v>#N/A</v>
      </c>
      <c r="N13704" s="1">
        <v>41548</v>
      </c>
    </row>
    <row r="13705" spans="11:14" x14ac:dyDescent="0.3">
      <c r="K13705" s="1">
        <v>41913</v>
      </c>
      <c r="M13705" t="e">
        <v>#N/A</v>
      </c>
      <c r="N13705" s="1">
        <v>41548</v>
      </c>
    </row>
    <row r="13706" spans="11:14" x14ac:dyDescent="0.3">
      <c r="K13706" s="1">
        <v>41913</v>
      </c>
      <c r="M13706" t="e">
        <v>#N/A</v>
      </c>
      <c r="N13706" s="1">
        <v>41548</v>
      </c>
    </row>
    <row r="13707" spans="11:14" x14ac:dyDescent="0.3">
      <c r="K13707" s="1">
        <v>41913</v>
      </c>
      <c r="M13707" t="e">
        <v>#N/A</v>
      </c>
      <c r="N13707" s="1">
        <v>41548</v>
      </c>
    </row>
    <row r="13708" spans="11:14" x14ac:dyDescent="0.3">
      <c r="K13708" s="1">
        <v>41913</v>
      </c>
      <c r="M13708" t="e">
        <v>#N/A</v>
      </c>
      <c r="N13708" s="1">
        <v>41548</v>
      </c>
    </row>
    <row r="13709" spans="11:14" x14ac:dyDescent="0.3">
      <c r="K13709" s="1">
        <v>41913</v>
      </c>
      <c r="M13709" t="e">
        <v>#N/A</v>
      </c>
      <c r="N13709" s="1">
        <v>41548</v>
      </c>
    </row>
    <row r="13710" spans="11:14" x14ac:dyDescent="0.3">
      <c r="K13710" s="1">
        <v>41913</v>
      </c>
      <c r="M13710" t="e">
        <v>#N/A</v>
      </c>
      <c r="N13710" s="1">
        <v>41548</v>
      </c>
    </row>
    <row r="13711" spans="11:14" x14ac:dyDescent="0.3">
      <c r="K13711" s="1">
        <v>41913</v>
      </c>
      <c r="M13711" t="e">
        <v>#N/A</v>
      </c>
      <c r="N13711" s="1">
        <v>41548</v>
      </c>
    </row>
    <row r="13712" spans="11:14" x14ac:dyDescent="0.3">
      <c r="K13712" s="1">
        <v>41913</v>
      </c>
      <c r="M13712" t="e">
        <v>#N/A</v>
      </c>
      <c r="N13712" s="1">
        <v>41548</v>
      </c>
    </row>
    <row r="13713" spans="11:14" x14ac:dyDescent="0.3">
      <c r="K13713" s="1">
        <v>41913</v>
      </c>
      <c r="M13713" t="e">
        <v>#N/A</v>
      </c>
      <c r="N13713" s="1">
        <v>41548</v>
      </c>
    </row>
    <row r="13714" spans="11:14" x14ac:dyDescent="0.3">
      <c r="K13714" s="1">
        <v>41913</v>
      </c>
      <c r="M13714" t="e">
        <v>#N/A</v>
      </c>
      <c r="N13714" s="1">
        <v>41548</v>
      </c>
    </row>
    <row r="13715" spans="11:14" x14ac:dyDescent="0.3">
      <c r="K13715" s="1">
        <v>41913</v>
      </c>
      <c r="M13715" t="e">
        <v>#N/A</v>
      </c>
      <c r="N13715" s="1">
        <v>41548</v>
      </c>
    </row>
    <row r="13716" spans="11:14" x14ac:dyDescent="0.3">
      <c r="K13716" s="1">
        <v>41913</v>
      </c>
      <c r="M13716" t="e">
        <v>#N/A</v>
      </c>
      <c r="N13716" s="1">
        <v>41548</v>
      </c>
    </row>
    <row r="13717" spans="11:14" x14ac:dyDescent="0.3">
      <c r="K13717" s="1">
        <v>41913</v>
      </c>
      <c r="M13717" t="e">
        <v>#N/A</v>
      </c>
      <c r="N13717" s="1">
        <v>41548</v>
      </c>
    </row>
    <row r="13718" spans="11:14" x14ac:dyDescent="0.3">
      <c r="K13718" s="1">
        <v>41913</v>
      </c>
      <c r="M13718" t="e">
        <v>#N/A</v>
      </c>
      <c r="N13718" s="1">
        <v>41548</v>
      </c>
    </row>
    <row r="13719" spans="11:14" x14ac:dyDescent="0.3">
      <c r="K13719" s="1">
        <v>41913</v>
      </c>
      <c r="M13719" t="e">
        <v>#N/A</v>
      </c>
      <c r="N13719" s="1">
        <v>41548</v>
      </c>
    </row>
    <row r="13720" spans="11:14" x14ac:dyDescent="0.3">
      <c r="K13720" s="1">
        <v>41913</v>
      </c>
      <c r="M13720" t="e">
        <v>#N/A</v>
      </c>
      <c r="N13720" s="1">
        <v>41548</v>
      </c>
    </row>
    <row r="13721" spans="11:14" x14ac:dyDescent="0.3">
      <c r="K13721" s="1">
        <v>41913</v>
      </c>
      <c r="M13721" t="e">
        <v>#N/A</v>
      </c>
      <c r="N13721" s="1">
        <v>41548</v>
      </c>
    </row>
    <row r="13722" spans="11:14" x14ac:dyDescent="0.3">
      <c r="K13722" s="1">
        <v>41913</v>
      </c>
      <c r="M13722" t="e">
        <v>#N/A</v>
      </c>
      <c r="N13722" s="1">
        <v>41548</v>
      </c>
    </row>
    <row r="13723" spans="11:14" x14ac:dyDescent="0.3">
      <c r="K13723" s="1">
        <v>41913</v>
      </c>
      <c r="M13723" t="e">
        <v>#N/A</v>
      </c>
      <c r="N13723" s="1">
        <v>41548</v>
      </c>
    </row>
    <row r="13724" spans="11:14" x14ac:dyDescent="0.3">
      <c r="K13724" s="1">
        <v>41913</v>
      </c>
      <c r="M13724" t="e">
        <v>#N/A</v>
      </c>
      <c r="N13724" s="1">
        <v>41548</v>
      </c>
    </row>
    <row r="13725" spans="11:14" x14ac:dyDescent="0.3">
      <c r="K13725" s="1">
        <v>41913</v>
      </c>
      <c r="M13725" t="e">
        <v>#N/A</v>
      </c>
      <c r="N13725" s="1">
        <v>41548</v>
      </c>
    </row>
    <row r="13726" spans="11:14" x14ac:dyDescent="0.3">
      <c r="K13726" s="1">
        <v>41913</v>
      </c>
      <c r="M13726" t="e">
        <v>#N/A</v>
      </c>
      <c r="N13726" s="1">
        <v>41548</v>
      </c>
    </row>
    <row r="13727" spans="11:14" x14ac:dyDescent="0.3">
      <c r="K13727" s="1">
        <v>41913</v>
      </c>
      <c r="M13727" t="e">
        <v>#N/A</v>
      </c>
      <c r="N13727" s="1">
        <v>41548</v>
      </c>
    </row>
    <row r="13728" spans="11:14" x14ac:dyDescent="0.3">
      <c r="K13728" s="1">
        <v>41913</v>
      </c>
      <c r="M13728" t="e">
        <v>#N/A</v>
      </c>
      <c r="N13728" s="1">
        <v>41548</v>
      </c>
    </row>
    <row r="13729" spans="11:14" x14ac:dyDescent="0.3">
      <c r="K13729" s="1">
        <v>41913</v>
      </c>
      <c r="M13729" t="e">
        <v>#N/A</v>
      </c>
      <c r="N13729" s="1">
        <v>41548</v>
      </c>
    </row>
    <row r="13730" spans="11:14" x14ac:dyDescent="0.3">
      <c r="K13730" s="1">
        <v>41913</v>
      </c>
      <c r="M13730" t="e">
        <v>#N/A</v>
      </c>
      <c r="N13730" s="1">
        <v>41548</v>
      </c>
    </row>
    <row r="13731" spans="11:14" x14ac:dyDescent="0.3">
      <c r="K13731" s="1">
        <v>41913</v>
      </c>
      <c r="M13731" t="e">
        <v>#N/A</v>
      </c>
      <c r="N13731" s="1">
        <v>41548</v>
      </c>
    </row>
    <row r="13732" spans="11:14" x14ac:dyDescent="0.3">
      <c r="K13732" s="1">
        <v>41913</v>
      </c>
      <c r="M13732" t="e">
        <v>#N/A</v>
      </c>
      <c r="N13732" s="1">
        <v>41548</v>
      </c>
    </row>
    <row r="13733" spans="11:14" x14ac:dyDescent="0.3">
      <c r="K13733" s="1">
        <v>41913</v>
      </c>
      <c r="M13733" t="e">
        <v>#N/A</v>
      </c>
      <c r="N13733" s="1">
        <v>41548</v>
      </c>
    </row>
    <row r="13734" spans="11:14" x14ac:dyDescent="0.3">
      <c r="K13734" s="1">
        <v>41913</v>
      </c>
      <c r="M13734" t="e">
        <v>#N/A</v>
      </c>
      <c r="N13734" s="1">
        <v>41548</v>
      </c>
    </row>
    <row r="13735" spans="11:14" x14ac:dyDescent="0.3">
      <c r="K13735" s="1">
        <v>41913</v>
      </c>
      <c r="M13735" t="e">
        <v>#N/A</v>
      </c>
      <c r="N13735" s="1">
        <v>41548</v>
      </c>
    </row>
    <row r="13736" spans="11:14" x14ac:dyDescent="0.3">
      <c r="K13736" s="1">
        <v>41913</v>
      </c>
      <c r="M13736" t="e">
        <v>#N/A</v>
      </c>
      <c r="N13736" s="1">
        <v>41548</v>
      </c>
    </row>
    <row r="13737" spans="11:14" x14ac:dyDescent="0.3">
      <c r="K13737" s="1">
        <v>41913</v>
      </c>
      <c r="M13737" t="e">
        <v>#N/A</v>
      </c>
      <c r="N13737" s="1">
        <v>41548</v>
      </c>
    </row>
    <row r="13738" spans="11:14" x14ac:dyDescent="0.3">
      <c r="K13738" s="1">
        <v>41913</v>
      </c>
      <c r="M13738" t="e">
        <v>#N/A</v>
      </c>
      <c r="N13738" s="1">
        <v>41548</v>
      </c>
    </row>
    <row r="13739" spans="11:14" x14ac:dyDescent="0.3">
      <c r="K13739" s="1">
        <v>41913</v>
      </c>
      <c r="M13739" t="e">
        <v>#N/A</v>
      </c>
      <c r="N13739" s="1">
        <v>41548</v>
      </c>
    </row>
    <row r="13740" spans="11:14" x14ac:dyDescent="0.3">
      <c r="K13740" s="1">
        <v>41913</v>
      </c>
      <c r="M13740" t="e">
        <v>#N/A</v>
      </c>
      <c r="N13740" s="1">
        <v>41548</v>
      </c>
    </row>
    <row r="13741" spans="11:14" x14ac:dyDescent="0.3">
      <c r="K13741" s="1">
        <v>41913</v>
      </c>
      <c r="M13741" t="e">
        <v>#N/A</v>
      </c>
      <c r="N13741" s="1">
        <v>41548</v>
      </c>
    </row>
    <row r="13742" spans="11:14" x14ac:dyDescent="0.3">
      <c r="K13742" s="1">
        <v>41913</v>
      </c>
      <c r="M13742" t="e">
        <v>#N/A</v>
      </c>
      <c r="N13742" s="1">
        <v>41548</v>
      </c>
    </row>
    <row r="13743" spans="11:14" x14ac:dyDescent="0.3">
      <c r="K13743" s="1">
        <v>41913</v>
      </c>
      <c r="M13743" t="e">
        <v>#N/A</v>
      </c>
      <c r="N13743" s="1">
        <v>41548</v>
      </c>
    </row>
    <row r="13744" spans="11:14" x14ac:dyDescent="0.3">
      <c r="K13744" s="1">
        <v>41913</v>
      </c>
      <c r="M13744" t="e">
        <v>#N/A</v>
      </c>
      <c r="N13744" s="1">
        <v>41548</v>
      </c>
    </row>
    <row r="13745" spans="11:14" x14ac:dyDescent="0.3">
      <c r="K13745" s="1">
        <v>41913</v>
      </c>
      <c r="M13745" t="e">
        <v>#N/A</v>
      </c>
      <c r="N13745" s="1">
        <v>41548</v>
      </c>
    </row>
    <row r="13746" spans="11:14" x14ac:dyDescent="0.3">
      <c r="K13746" s="1">
        <v>41913</v>
      </c>
      <c r="M13746" t="e">
        <v>#N/A</v>
      </c>
      <c r="N13746" s="1">
        <v>41548</v>
      </c>
    </row>
    <row r="13747" spans="11:14" x14ac:dyDescent="0.3">
      <c r="K13747" s="1">
        <v>41913</v>
      </c>
      <c r="M13747" t="e">
        <v>#N/A</v>
      </c>
      <c r="N13747" s="1">
        <v>41548</v>
      </c>
    </row>
    <row r="13748" spans="11:14" x14ac:dyDescent="0.3">
      <c r="K13748" s="1">
        <v>41913</v>
      </c>
      <c r="M13748" t="e">
        <v>#N/A</v>
      </c>
      <c r="N13748" s="1">
        <v>41548</v>
      </c>
    </row>
    <row r="13749" spans="11:14" x14ac:dyDescent="0.3">
      <c r="K13749" s="1">
        <v>41913</v>
      </c>
      <c r="M13749" t="e">
        <v>#N/A</v>
      </c>
      <c r="N13749" s="1">
        <v>41548</v>
      </c>
    </row>
    <row r="13750" spans="11:14" x14ac:dyDescent="0.3">
      <c r="K13750" s="1">
        <v>41913</v>
      </c>
      <c r="M13750" t="e">
        <v>#N/A</v>
      </c>
      <c r="N13750" s="1">
        <v>41548</v>
      </c>
    </row>
    <row r="13751" spans="11:14" x14ac:dyDescent="0.3">
      <c r="K13751" s="1">
        <v>41913</v>
      </c>
      <c r="M13751" t="e">
        <v>#N/A</v>
      </c>
      <c r="N13751" s="1">
        <v>41548</v>
      </c>
    </row>
    <row r="13752" spans="11:14" x14ac:dyDescent="0.3">
      <c r="K13752" s="1">
        <v>41913</v>
      </c>
      <c r="M13752" t="e">
        <v>#N/A</v>
      </c>
      <c r="N13752" s="1">
        <v>41548</v>
      </c>
    </row>
    <row r="13753" spans="11:14" x14ac:dyDescent="0.3">
      <c r="K13753" s="1">
        <v>41913</v>
      </c>
      <c r="M13753" t="e">
        <v>#N/A</v>
      </c>
      <c r="N13753" s="1">
        <v>41548</v>
      </c>
    </row>
    <row r="13754" spans="11:14" x14ac:dyDescent="0.3">
      <c r="K13754" s="1">
        <v>41913</v>
      </c>
      <c r="M13754" t="e">
        <v>#N/A</v>
      </c>
      <c r="N13754" s="1">
        <v>41548</v>
      </c>
    </row>
    <row r="13755" spans="11:14" x14ac:dyDescent="0.3">
      <c r="K13755" s="1">
        <v>41913</v>
      </c>
      <c r="M13755" t="e">
        <v>#N/A</v>
      </c>
      <c r="N13755" s="1">
        <v>41548</v>
      </c>
    </row>
    <row r="13756" spans="11:14" x14ac:dyDescent="0.3">
      <c r="K13756" s="1">
        <v>41913</v>
      </c>
      <c r="M13756" t="e">
        <v>#N/A</v>
      </c>
      <c r="N13756" s="1">
        <v>41548</v>
      </c>
    </row>
    <row r="13757" spans="11:14" x14ac:dyDescent="0.3">
      <c r="K13757" s="1">
        <v>41913</v>
      </c>
      <c r="M13757" t="e">
        <v>#N/A</v>
      </c>
      <c r="N13757" s="1">
        <v>41548</v>
      </c>
    </row>
    <row r="13758" spans="11:14" x14ac:dyDescent="0.3">
      <c r="K13758" s="1">
        <v>41913</v>
      </c>
      <c r="M13758" t="e">
        <v>#N/A</v>
      </c>
      <c r="N13758" s="1">
        <v>41548</v>
      </c>
    </row>
    <row r="13759" spans="11:14" x14ac:dyDescent="0.3">
      <c r="K13759" s="1">
        <v>41913</v>
      </c>
      <c r="M13759" t="e">
        <v>#N/A</v>
      </c>
      <c r="N13759" s="1">
        <v>41548</v>
      </c>
    </row>
    <row r="13760" spans="11:14" x14ac:dyDescent="0.3">
      <c r="K13760" s="1">
        <v>41913</v>
      </c>
      <c r="M13760" t="e">
        <v>#N/A</v>
      </c>
      <c r="N13760" s="1">
        <v>41548</v>
      </c>
    </row>
    <row r="13761" spans="11:14" x14ac:dyDescent="0.3">
      <c r="K13761" s="1">
        <v>41913</v>
      </c>
      <c r="M13761" t="e">
        <v>#N/A</v>
      </c>
      <c r="N13761" s="1">
        <v>41548</v>
      </c>
    </row>
    <row r="13762" spans="11:14" x14ac:dyDescent="0.3">
      <c r="K13762" s="1">
        <v>41913</v>
      </c>
      <c r="M13762" t="e">
        <v>#N/A</v>
      </c>
      <c r="N13762" s="1">
        <v>41548</v>
      </c>
    </row>
    <row r="13763" spans="11:14" x14ac:dyDescent="0.3">
      <c r="K13763" s="1">
        <v>41913</v>
      </c>
      <c r="M13763" t="e">
        <v>#N/A</v>
      </c>
      <c r="N13763" s="1">
        <v>41548</v>
      </c>
    </row>
    <row r="13764" spans="11:14" x14ac:dyDescent="0.3">
      <c r="K13764" s="1">
        <v>41913</v>
      </c>
      <c r="M13764" t="e">
        <v>#N/A</v>
      </c>
      <c r="N13764" s="1">
        <v>41548</v>
      </c>
    </row>
    <row r="13765" spans="11:14" x14ac:dyDescent="0.3">
      <c r="K13765" s="1">
        <v>41913</v>
      </c>
      <c r="M13765" t="e">
        <v>#N/A</v>
      </c>
      <c r="N13765" s="1">
        <v>41548</v>
      </c>
    </row>
    <row r="13766" spans="11:14" x14ac:dyDescent="0.3">
      <c r="K13766" s="1">
        <v>41913</v>
      </c>
      <c r="M13766" t="e">
        <v>#N/A</v>
      </c>
      <c r="N13766" s="1">
        <v>41548</v>
      </c>
    </row>
    <row r="13767" spans="11:14" x14ac:dyDescent="0.3">
      <c r="K13767" s="1">
        <v>41913</v>
      </c>
      <c r="M13767" t="e">
        <v>#N/A</v>
      </c>
      <c r="N13767" s="1">
        <v>41548</v>
      </c>
    </row>
    <row r="13768" spans="11:14" x14ac:dyDescent="0.3">
      <c r="K13768" s="1">
        <v>41913</v>
      </c>
      <c r="M13768" t="e">
        <v>#N/A</v>
      </c>
      <c r="N13768" s="1">
        <v>41548</v>
      </c>
    </row>
    <row r="13769" spans="11:14" x14ac:dyDescent="0.3">
      <c r="K13769" s="1">
        <v>41913</v>
      </c>
      <c r="M13769" t="e">
        <v>#N/A</v>
      </c>
      <c r="N13769" s="1">
        <v>41548</v>
      </c>
    </row>
    <row r="13770" spans="11:14" x14ac:dyDescent="0.3">
      <c r="K13770" s="1">
        <v>41913</v>
      </c>
      <c r="M13770" t="e">
        <v>#N/A</v>
      </c>
      <c r="N13770" s="1">
        <v>41548</v>
      </c>
    </row>
    <row r="13771" spans="11:14" x14ac:dyDescent="0.3">
      <c r="K13771" s="1">
        <v>41913</v>
      </c>
      <c r="M13771" t="e">
        <v>#N/A</v>
      </c>
      <c r="N13771" s="1">
        <v>41548</v>
      </c>
    </row>
    <row r="13772" spans="11:14" x14ac:dyDescent="0.3">
      <c r="K13772" s="1">
        <v>41913</v>
      </c>
      <c r="M13772" t="e">
        <v>#N/A</v>
      </c>
      <c r="N13772" s="1">
        <v>41548</v>
      </c>
    </row>
    <row r="13773" spans="11:14" x14ac:dyDescent="0.3">
      <c r="K13773" s="1">
        <v>41913</v>
      </c>
      <c r="M13773" t="e">
        <v>#N/A</v>
      </c>
      <c r="N13773" s="1">
        <v>41548</v>
      </c>
    </row>
    <row r="13774" spans="11:14" x14ac:dyDescent="0.3">
      <c r="K13774" s="1">
        <v>41913</v>
      </c>
      <c r="M13774" t="e">
        <v>#N/A</v>
      </c>
      <c r="N13774" s="1">
        <v>41548</v>
      </c>
    </row>
    <row r="13775" spans="11:14" x14ac:dyDescent="0.3">
      <c r="K13775" s="1">
        <v>41913</v>
      </c>
      <c r="M13775" t="e">
        <v>#N/A</v>
      </c>
      <c r="N13775" s="1">
        <v>41548</v>
      </c>
    </row>
    <row r="13776" spans="11:14" x14ac:dyDescent="0.3">
      <c r="K13776" s="1">
        <v>41913</v>
      </c>
      <c r="M13776" t="e">
        <v>#N/A</v>
      </c>
      <c r="N13776" s="1">
        <v>41548</v>
      </c>
    </row>
    <row r="13777" spans="11:14" x14ac:dyDescent="0.3">
      <c r="K13777" s="1">
        <v>41913</v>
      </c>
      <c r="M13777" t="e">
        <v>#N/A</v>
      </c>
      <c r="N13777" s="1">
        <v>41548</v>
      </c>
    </row>
    <row r="13778" spans="11:14" x14ac:dyDescent="0.3">
      <c r="K13778" s="1">
        <v>41913</v>
      </c>
      <c r="M13778" t="e">
        <v>#N/A</v>
      </c>
      <c r="N13778" s="1">
        <v>41548</v>
      </c>
    </row>
    <row r="13779" spans="11:14" x14ac:dyDescent="0.3">
      <c r="K13779" s="1">
        <v>41913</v>
      </c>
      <c r="M13779" t="e">
        <v>#N/A</v>
      </c>
      <c r="N13779" s="1">
        <v>41548</v>
      </c>
    </row>
    <row r="13780" spans="11:14" x14ac:dyDescent="0.3">
      <c r="K13780" s="1">
        <v>41913</v>
      </c>
      <c r="M13780" t="e">
        <v>#N/A</v>
      </c>
      <c r="N13780" s="1">
        <v>41548</v>
      </c>
    </row>
    <row r="13781" spans="11:14" x14ac:dyDescent="0.3">
      <c r="K13781" s="1">
        <v>42005</v>
      </c>
      <c r="M13781" t="e">
        <v>#N/A</v>
      </c>
      <c r="N13781" s="1">
        <v>41548</v>
      </c>
    </row>
    <row r="13782" spans="11:14" x14ac:dyDescent="0.3">
      <c r="K13782" s="1">
        <v>42005</v>
      </c>
      <c r="M13782" t="e">
        <v>#N/A</v>
      </c>
      <c r="N13782" s="1">
        <v>41548</v>
      </c>
    </row>
    <row r="13783" spans="11:14" x14ac:dyDescent="0.3">
      <c r="K13783" s="1">
        <v>42005</v>
      </c>
      <c r="M13783" t="e">
        <v>#N/A</v>
      </c>
      <c r="N13783" s="1">
        <v>41548</v>
      </c>
    </row>
    <row r="13784" spans="11:14" x14ac:dyDescent="0.3">
      <c r="K13784" s="1">
        <v>42005</v>
      </c>
      <c r="M13784" t="e">
        <v>#N/A</v>
      </c>
      <c r="N13784" s="1">
        <v>41548</v>
      </c>
    </row>
    <row r="13785" spans="11:14" x14ac:dyDescent="0.3">
      <c r="K13785" s="1">
        <v>42005</v>
      </c>
      <c r="M13785" t="e">
        <v>#N/A</v>
      </c>
      <c r="N13785" s="1">
        <v>41548</v>
      </c>
    </row>
    <row r="13786" spans="11:14" x14ac:dyDescent="0.3">
      <c r="K13786" s="1">
        <v>42005</v>
      </c>
      <c r="M13786" t="e">
        <v>#N/A</v>
      </c>
      <c r="N13786" s="1">
        <v>41548</v>
      </c>
    </row>
    <row r="13787" spans="11:14" x14ac:dyDescent="0.3">
      <c r="K13787" s="1">
        <v>42005</v>
      </c>
      <c r="M13787" t="e">
        <v>#N/A</v>
      </c>
      <c r="N13787" s="1">
        <v>41548</v>
      </c>
    </row>
    <row r="13788" spans="11:14" x14ac:dyDescent="0.3">
      <c r="K13788" s="1">
        <v>42005</v>
      </c>
      <c r="M13788" t="e">
        <v>#N/A</v>
      </c>
      <c r="N13788" s="1">
        <v>41548</v>
      </c>
    </row>
    <row r="13789" spans="11:14" x14ac:dyDescent="0.3">
      <c r="K13789" s="1">
        <v>42005</v>
      </c>
      <c r="M13789" t="e">
        <v>#N/A</v>
      </c>
      <c r="N13789" s="1">
        <v>41548</v>
      </c>
    </row>
    <row r="13790" spans="11:14" x14ac:dyDescent="0.3">
      <c r="K13790" s="1">
        <v>42005</v>
      </c>
      <c r="M13790" t="e">
        <v>#N/A</v>
      </c>
      <c r="N13790" s="1">
        <v>41548</v>
      </c>
    </row>
    <row r="13791" spans="11:14" x14ac:dyDescent="0.3">
      <c r="K13791" s="1">
        <v>42005</v>
      </c>
      <c r="M13791" t="e">
        <v>#N/A</v>
      </c>
      <c r="N13791" s="1">
        <v>41548</v>
      </c>
    </row>
    <row r="13792" spans="11:14" x14ac:dyDescent="0.3">
      <c r="K13792" s="1">
        <v>42005</v>
      </c>
      <c r="M13792" t="e">
        <v>#N/A</v>
      </c>
      <c r="N13792" s="1">
        <v>41548</v>
      </c>
    </row>
    <row r="13793" spans="11:14" x14ac:dyDescent="0.3">
      <c r="K13793" s="1">
        <v>42005</v>
      </c>
      <c r="M13793" t="e">
        <v>#N/A</v>
      </c>
      <c r="N13793" s="1">
        <v>41548</v>
      </c>
    </row>
    <row r="13794" spans="11:14" x14ac:dyDescent="0.3">
      <c r="K13794" s="1">
        <v>42005</v>
      </c>
      <c r="M13794" t="e">
        <v>#N/A</v>
      </c>
      <c r="N13794" s="1">
        <v>41548</v>
      </c>
    </row>
    <row r="13795" spans="11:14" x14ac:dyDescent="0.3">
      <c r="K13795" s="1">
        <v>42005</v>
      </c>
      <c r="M13795" t="e">
        <v>#N/A</v>
      </c>
      <c r="N13795" s="1">
        <v>41548</v>
      </c>
    </row>
    <row r="13796" spans="11:14" x14ac:dyDescent="0.3">
      <c r="K13796" s="1">
        <v>42005</v>
      </c>
      <c r="M13796" t="e">
        <v>#N/A</v>
      </c>
      <c r="N13796" s="1">
        <v>41548</v>
      </c>
    </row>
    <row r="13797" spans="11:14" x14ac:dyDescent="0.3">
      <c r="K13797" s="1">
        <v>42005</v>
      </c>
      <c r="M13797" t="e">
        <v>#N/A</v>
      </c>
      <c r="N13797" s="1">
        <v>41548</v>
      </c>
    </row>
    <row r="13798" spans="11:14" x14ac:dyDescent="0.3">
      <c r="K13798" s="1">
        <v>42005</v>
      </c>
      <c r="M13798" t="e">
        <v>#N/A</v>
      </c>
      <c r="N13798" s="1">
        <v>41548</v>
      </c>
    </row>
    <row r="13799" spans="11:14" x14ac:dyDescent="0.3">
      <c r="K13799" s="1">
        <v>42005</v>
      </c>
      <c r="M13799" t="e">
        <v>#N/A</v>
      </c>
      <c r="N13799" s="1">
        <v>41548</v>
      </c>
    </row>
    <row r="13800" spans="11:14" x14ac:dyDescent="0.3">
      <c r="K13800" s="1">
        <v>42005</v>
      </c>
      <c r="M13800" t="e">
        <v>#N/A</v>
      </c>
      <c r="N13800" s="1">
        <v>41548</v>
      </c>
    </row>
    <row r="13801" spans="11:14" x14ac:dyDescent="0.3">
      <c r="K13801" s="1">
        <v>42005</v>
      </c>
      <c r="M13801" t="e">
        <v>#N/A</v>
      </c>
      <c r="N13801" s="1">
        <v>41548</v>
      </c>
    </row>
    <row r="13802" spans="11:14" x14ac:dyDescent="0.3">
      <c r="K13802" s="1">
        <v>42005</v>
      </c>
      <c r="M13802" t="e">
        <v>#N/A</v>
      </c>
      <c r="N13802" s="1">
        <v>41548</v>
      </c>
    </row>
    <row r="13803" spans="11:14" x14ac:dyDescent="0.3">
      <c r="K13803" s="1">
        <v>42005</v>
      </c>
      <c r="M13803" t="e">
        <v>#N/A</v>
      </c>
      <c r="N13803" s="1">
        <v>41548</v>
      </c>
    </row>
    <row r="13804" spans="11:14" x14ac:dyDescent="0.3">
      <c r="K13804" s="1">
        <v>42005</v>
      </c>
      <c r="M13804" t="e">
        <v>#N/A</v>
      </c>
      <c r="N13804" s="1">
        <v>41548</v>
      </c>
    </row>
    <row r="13805" spans="11:14" x14ac:dyDescent="0.3">
      <c r="K13805" s="1">
        <v>42005</v>
      </c>
      <c r="M13805" t="e">
        <v>#N/A</v>
      </c>
      <c r="N13805" s="1">
        <v>41548</v>
      </c>
    </row>
    <row r="13806" spans="11:14" x14ac:dyDescent="0.3">
      <c r="K13806" s="1">
        <v>42005</v>
      </c>
      <c r="M13806" t="e">
        <v>#N/A</v>
      </c>
      <c r="N13806" s="1">
        <v>41548</v>
      </c>
    </row>
    <row r="13807" spans="11:14" x14ac:dyDescent="0.3">
      <c r="K13807" s="1">
        <v>42005</v>
      </c>
      <c r="M13807" t="e">
        <v>#N/A</v>
      </c>
      <c r="N13807" s="1">
        <v>41548</v>
      </c>
    </row>
    <row r="13808" spans="11:14" x14ac:dyDescent="0.3">
      <c r="K13808" s="1">
        <v>42005</v>
      </c>
      <c r="M13808" t="e">
        <v>#N/A</v>
      </c>
      <c r="N13808" s="1">
        <v>41548</v>
      </c>
    </row>
    <row r="13809" spans="11:14" x14ac:dyDescent="0.3">
      <c r="K13809" s="1">
        <v>42005</v>
      </c>
      <c r="M13809" t="e">
        <v>#N/A</v>
      </c>
      <c r="N13809" s="1">
        <v>41548</v>
      </c>
    </row>
    <row r="13810" spans="11:14" x14ac:dyDescent="0.3">
      <c r="K13810" s="1">
        <v>42005</v>
      </c>
      <c r="M13810" t="e">
        <v>#N/A</v>
      </c>
      <c r="N13810" s="1">
        <v>41548</v>
      </c>
    </row>
    <row r="13811" spans="11:14" x14ac:dyDescent="0.3">
      <c r="K13811" s="1">
        <v>42005</v>
      </c>
      <c r="M13811" t="e">
        <v>#N/A</v>
      </c>
      <c r="N13811" s="1">
        <v>41548</v>
      </c>
    </row>
    <row r="13812" spans="11:14" x14ac:dyDescent="0.3">
      <c r="K13812" s="1">
        <v>42005</v>
      </c>
      <c r="M13812" t="e">
        <v>#N/A</v>
      </c>
      <c r="N13812" s="1">
        <v>41548</v>
      </c>
    </row>
    <row r="13813" spans="11:14" x14ac:dyDescent="0.3">
      <c r="K13813" s="1">
        <v>42005</v>
      </c>
      <c r="M13813" t="e">
        <v>#N/A</v>
      </c>
      <c r="N13813" s="1">
        <v>41548</v>
      </c>
    </row>
    <row r="13814" spans="11:14" x14ac:dyDescent="0.3">
      <c r="K13814" s="1">
        <v>42005</v>
      </c>
      <c r="M13814" t="e">
        <v>#N/A</v>
      </c>
      <c r="N13814" s="1">
        <v>41548</v>
      </c>
    </row>
    <row r="13815" spans="11:14" x14ac:dyDescent="0.3">
      <c r="K13815" s="1">
        <v>42005</v>
      </c>
      <c r="M13815" t="e">
        <v>#N/A</v>
      </c>
      <c r="N13815" s="1">
        <v>41548</v>
      </c>
    </row>
    <row r="13816" spans="11:14" x14ac:dyDescent="0.3">
      <c r="K13816" s="1">
        <v>42005</v>
      </c>
      <c r="M13816" t="e">
        <v>#N/A</v>
      </c>
      <c r="N13816" s="1">
        <v>41548</v>
      </c>
    </row>
    <row r="13817" spans="11:14" x14ac:dyDescent="0.3">
      <c r="K13817" s="1">
        <v>42005</v>
      </c>
      <c r="M13817" t="e">
        <v>#N/A</v>
      </c>
      <c r="N13817" s="1">
        <v>41548</v>
      </c>
    </row>
    <row r="13818" spans="11:14" x14ac:dyDescent="0.3">
      <c r="K13818" s="1">
        <v>42005</v>
      </c>
      <c r="M13818" t="e">
        <v>#N/A</v>
      </c>
      <c r="N13818" s="1">
        <v>41548</v>
      </c>
    </row>
    <row r="13819" spans="11:14" x14ac:dyDescent="0.3">
      <c r="K13819" s="1">
        <v>42005</v>
      </c>
      <c r="M13819" t="e">
        <v>#N/A</v>
      </c>
      <c r="N13819" s="1">
        <v>41548</v>
      </c>
    </row>
    <row r="13820" spans="11:14" x14ac:dyDescent="0.3">
      <c r="K13820" s="1">
        <v>42005</v>
      </c>
      <c r="M13820" t="e">
        <v>#N/A</v>
      </c>
      <c r="N13820" s="1">
        <v>41548</v>
      </c>
    </row>
    <row r="13821" spans="11:14" x14ac:dyDescent="0.3">
      <c r="K13821" s="1">
        <v>42005</v>
      </c>
      <c r="M13821" t="e">
        <v>#N/A</v>
      </c>
      <c r="N13821" s="1">
        <v>41548</v>
      </c>
    </row>
    <row r="13822" spans="11:14" x14ac:dyDescent="0.3">
      <c r="K13822" s="1">
        <v>42005</v>
      </c>
      <c r="M13822" t="e">
        <v>#N/A</v>
      </c>
      <c r="N13822" s="1">
        <v>41548</v>
      </c>
    </row>
    <row r="13823" spans="11:14" x14ac:dyDescent="0.3">
      <c r="K13823" s="1">
        <v>42005</v>
      </c>
      <c r="M13823" t="e">
        <v>#N/A</v>
      </c>
      <c r="N13823" s="1">
        <v>41548</v>
      </c>
    </row>
    <row r="13824" spans="11:14" x14ac:dyDescent="0.3">
      <c r="K13824" s="1">
        <v>42005</v>
      </c>
      <c r="M13824" t="e">
        <v>#N/A</v>
      </c>
      <c r="N13824" s="1">
        <v>41548</v>
      </c>
    </row>
    <row r="13825" spans="11:14" x14ac:dyDescent="0.3">
      <c r="K13825" s="1">
        <v>42005</v>
      </c>
      <c r="M13825" t="e">
        <v>#N/A</v>
      </c>
      <c r="N13825" s="1">
        <v>41548</v>
      </c>
    </row>
    <row r="13826" spans="11:14" x14ac:dyDescent="0.3">
      <c r="K13826" s="1">
        <v>42005</v>
      </c>
      <c r="M13826" t="e">
        <v>#N/A</v>
      </c>
      <c r="N13826" s="1">
        <v>41548</v>
      </c>
    </row>
    <row r="13827" spans="11:14" x14ac:dyDescent="0.3">
      <c r="K13827" s="1">
        <v>42005</v>
      </c>
      <c r="M13827" t="e">
        <v>#N/A</v>
      </c>
      <c r="N13827" s="1">
        <v>41548</v>
      </c>
    </row>
    <row r="13828" spans="11:14" x14ac:dyDescent="0.3">
      <c r="K13828" s="1">
        <v>42005</v>
      </c>
      <c r="M13828" t="e">
        <v>#N/A</v>
      </c>
      <c r="N13828" s="1">
        <v>41548</v>
      </c>
    </row>
    <row r="13829" spans="11:14" x14ac:dyDescent="0.3">
      <c r="K13829" s="1">
        <v>42005</v>
      </c>
      <c r="M13829" t="e">
        <v>#N/A</v>
      </c>
      <c r="N13829" s="1">
        <v>41548</v>
      </c>
    </row>
    <row r="13830" spans="11:14" x14ac:dyDescent="0.3">
      <c r="K13830" s="1">
        <v>42005</v>
      </c>
      <c r="M13830" t="e">
        <v>#N/A</v>
      </c>
      <c r="N13830" s="1">
        <v>41548</v>
      </c>
    </row>
    <row r="13831" spans="11:14" x14ac:dyDescent="0.3">
      <c r="K13831" s="1">
        <v>42005</v>
      </c>
      <c r="M13831" t="e">
        <v>#N/A</v>
      </c>
      <c r="N13831" s="1">
        <v>41548</v>
      </c>
    </row>
    <row r="13832" spans="11:14" x14ac:dyDescent="0.3">
      <c r="K13832" s="1">
        <v>42005</v>
      </c>
      <c r="M13832" t="e">
        <v>#N/A</v>
      </c>
      <c r="N13832" s="1">
        <v>41548</v>
      </c>
    </row>
    <row r="13833" spans="11:14" x14ac:dyDescent="0.3">
      <c r="K13833" s="1">
        <v>42005</v>
      </c>
      <c r="M13833" t="e">
        <v>#N/A</v>
      </c>
      <c r="N13833" s="1">
        <v>41548</v>
      </c>
    </row>
    <row r="13834" spans="11:14" x14ac:dyDescent="0.3">
      <c r="K13834" s="1">
        <v>42005</v>
      </c>
      <c r="M13834" t="e">
        <v>#N/A</v>
      </c>
      <c r="N13834" s="1">
        <v>41548</v>
      </c>
    </row>
    <row r="13835" spans="11:14" x14ac:dyDescent="0.3">
      <c r="K13835" s="1">
        <v>42005</v>
      </c>
      <c r="M13835" t="e">
        <v>#N/A</v>
      </c>
      <c r="N13835" s="1">
        <v>41548</v>
      </c>
    </row>
    <row r="13836" spans="11:14" x14ac:dyDescent="0.3">
      <c r="K13836" s="1">
        <v>42005</v>
      </c>
      <c r="M13836" t="e">
        <v>#N/A</v>
      </c>
      <c r="N13836" s="1">
        <v>41548</v>
      </c>
    </row>
    <row r="13837" spans="11:14" x14ac:dyDescent="0.3">
      <c r="K13837" s="1">
        <v>42005</v>
      </c>
      <c r="M13837" t="e">
        <v>#N/A</v>
      </c>
      <c r="N13837" s="1">
        <v>41548</v>
      </c>
    </row>
    <row r="13838" spans="11:14" x14ac:dyDescent="0.3">
      <c r="K13838" s="1">
        <v>42005</v>
      </c>
      <c r="M13838" t="e">
        <v>#N/A</v>
      </c>
      <c r="N13838" s="1">
        <v>41548</v>
      </c>
    </row>
    <row r="13839" spans="11:14" x14ac:dyDescent="0.3">
      <c r="K13839" s="1">
        <v>42005</v>
      </c>
      <c r="M13839" t="e">
        <v>#N/A</v>
      </c>
      <c r="N13839" s="1">
        <v>41548</v>
      </c>
    </row>
    <row r="13840" spans="11:14" x14ac:dyDescent="0.3">
      <c r="K13840" s="1">
        <v>42005</v>
      </c>
      <c r="M13840" t="e">
        <v>#N/A</v>
      </c>
      <c r="N13840" s="1">
        <v>41548</v>
      </c>
    </row>
    <row r="13841" spans="11:14" x14ac:dyDescent="0.3">
      <c r="K13841" s="1">
        <v>42005</v>
      </c>
      <c r="M13841" t="e">
        <v>#N/A</v>
      </c>
      <c r="N13841" s="1">
        <v>41548</v>
      </c>
    </row>
    <row r="13842" spans="11:14" x14ac:dyDescent="0.3">
      <c r="K13842" s="1">
        <v>42005</v>
      </c>
      <c r="M13842" t="e">
        <v>#N/A</v>
      </c>
      <c r="N13842" s="1">
        <v>41548</v>
      </c>
    </row>
    <row r="13843" spans="11:14" x14ac:dyDescent="0.3">
      <c r="K13843" s="1">
        <v>42005</v>
      </c>
      <c r="M13843" t="e">
        <v>#N/A</v>
      </c>
      <c r="N13843" s="1">
        <v>41548</v>
      </c>
    </row>
    <row r="13844" spans="11:14" x14ac:dyDescent="0.3">
      <c r="K13844" s="1">
        <v>42005</v>
      </c>
      <c r="M13844" t="e">
        <v>#N/A</v>
      </c>
      <c r="N13844" s="1">
        <v>41548</v>
      </c>
    </row>
    <row r="13845" spans="11:14" x14ac:dyDescent="0.3">
      <c r="K13845" s="1">
        <v>42005</v>
      </c>
      <c r="M13845" t="e">
        <v>#N/A</v>
      </c>
      <c r="N13845" s="1">
        <v>41548</v>
      </c>
    </row>
    <row r="13846" spans="11:14" x14ac:dyDescent="0.3">
      <c r="K13846" s="1">
        <v>42005</v>
      </c>
      <c r="M13846" t="e">
        <v>#N/A</v>
      </c>
      <c r="N13846" s="1">
        <v>41548</v>
      </c>
    </row>
    <row r="13847" spans="11:14" x14ac:dyDescent="0.3">
      <c r="K13847" s="1">
        <v>42005</v>
      </c>
      <c r="M13847" t="e">
        <v>#N/A</v>
      </c>
      <c r="N13847" s="1">
        <v>41548</v>
      </c>
    </row>
    <row r="13848" spans="11:14" x14ac:dyDescent="0.3">
      <c r="K13848" s="1">
        <v>42005</v>
      </c>
      <c r="M13848" t="e">
        <v>#N/A</v>
      </c>
      <c r="N13848" s="1">
        <v>41548</v>
      </c>
    </row>
    <row r="13849" spans="11:14" x14ac:dyDescent="0.3">
      <c r="K13849" s="1">
        <v>42005</v>
      </c>
      <c r="M13849" t="e">
        <v>#N/A</v>
      </c>
      <c r="N13849" s="1">
        <v>41548</v>
      </c>
    </row>
    <row r="13850" spans="11:14" x14ac:dyDescent="0.3">
      <c r="K13850" s="1">
        <v>42005</v>
      </c>
      <c r="M13850" t="e">
        <v>#N/A</v>
      </c>
      <c r="N13850" s="1">
        <v>41548</v>
      </c>
    </row>
    <row r="13851" spans="11:14" x14ac:dyDescent="0.3">
      <c r="K13851" s="1">
        <v>42005</v>
      </c>
      <c r="M13851" t="e">
        <v>#N/A</v>
      </c>
      <c r="N13851" s="1">
        <v>41548</v>
      </c>
    </row>
    <row r="13852" spans="11:14" x14ac:dyDescent="0.3">
      <c r="K13852" s="1">
        <v>42005</v>
      </c>
      <c r="M13852" t="e">
        <v>#N/A</v>
      </c>
      <c r="N13852" s="1">
        <v>41548</v>
      </c>
    </row>
    <row r="13853" spans="11:14" x14ac:dyDescent="0.3">
      <c r="K13853" s="1">
        <v>42005</v>
      </c>
      <c r="M13853" t="e">
        <v>#N/A</v>
      </c>
      <c r="N13853" s="1">
        <v>41548</v>
      </c>
    </row>
    <row r="13854" spans="11:14" x14ac:dyDescent="0.3">
      <c r="K13854" s="1">
        <v>42005</v>
      </c>
      <c r="M13854" t="e">
        <v>#N/A</v>
      </c>
      <c r="N13854" s="1">
        <v>41548</v>
      </c>
    </row>
    <row r="13855" spans="11:14" x14ac:dyDescent="0.3">
      <c r="K13855" s="1">
        <v>42005</v>
      </c>
      <c r="M13855" t="e">
        <v>#N/A</v>
      </c>
      <c r="N13855" s="1">
        <v>41548</v>
      </c>
    </row>
    <row r="13856" spans="11:14" x14ac:dyDescent="0.3">
      <c r="K13856" s="1">
        <v>42005</v>
      </c>
      <c r="M13856" t="e">
        <v>#N/A</v>
      </c>
      <c r="N13856" s="1">
        <v>41548</v>
      </c>
    </row>
    <row r="13857" spans="11:14" x14ac:dyDescent="0.3">
      <c r="K13857" s="1">
        <v>42005</v>
      </c>
      <c r="M13857" t="e">
        <v>#N/A</v>
      </c>
      <c r="N13857" s="1">
        <v>41548</v>
      </c>
    </row>
    <row r="13858" spans="11:14" x14ac:dyDescent="0.3">
      <c r="K13858" s="1">
        <v>42005</v>
      </c>
      <c r="M13858" t="e">
        <v>#N/A</v>
      </c>
      <c r="N13858" s="1">
        <v>41548</v>
      </c>
    </row>
    <row r="13859" spans="11:14" x14ac:dyDescent="0.3">
      <c r="K13859" s="1">
        <v>42005</v>
      </c>
      <c r="M13859" t="e">
        <v>#N/A</v>
      </c>
      <c r="N13859" s="1">
        <v>41548</v>
      </c>
    </row>
    <row r="13860" spans="11:14" x14ac:dyDescent="0.3">
      <c r="K13860" s="1">
        <v>42005</v>
      </c>
      <c r="M13860" t="e">
        <v>#N/A</v>
      </c>
      <c r="N13860" s="1">
        <v>41548</v>
      </c>
    </row>
    <row r="13861" spans="11:14" x14ac:dyDescent="0.3">
      <c r="K13861" s="1">
        <v>42005</v>
      </c>
      <c r="M13861" t="e">
        <v>#N/A</v>
      </c>
      <c r="N13861" s="1">
        <v>41548</v>
      </c>
    </row>
    <row r="13862" spans="11:14" x14ac:dyDescent="0.3">
      <c r="K13862" s="1">
        <v>42005</v>
      </c>
      <c r="M13862" t="e">
        <v>#N/A</v>
      </c>
      <c r="N13862" s="1">
        <v>41548</v>
      </c>
    </row>
    <row r="13863" spans="11:14" x14ac:dyDescent="0.3">
      <c r="K13863" s="1">
        <v>42005</v>
      </c>
      <c r="M13863" t="e">
        <v>#N/A</v>
      </c>
      <c r="N13863" s="1">
        <v>41548</v>
      </c>
    </row>
    <row r="13864" spans="11:14" x14ac:dyDescent="0.3">
      <c r="K13864" s="1">
        <v>42005</v>
      </c>
      <c r="M13864" t="e">
        <v>#N/A</v>
      </c>
      <c r="N13864" s="1">
        <v>41548</v>
      </c>
    </row>
    <row r="13865" spans="11:14" x14ac:dyDescent="0.3">
      <c r="K13865" s="1">
        <v>42005</v>
      </c>
      <c r="M13865" t="e">
        <v>#N/A</v>
      </c>
      <c r="N13865" s="1">
        <v>41548</v>
      </c>
    </row>
    <row r="13866" spans="11:14" x14ac:dyDescent="0.3">
      <c r="K13866" s="1">
        <v>42005</v>
      </c>
      <c r="M13866" t="e">
        <v>#N/A</v>
      </c>
      <c r="N13866" s="1">
        <v>41548</v>
      </c>
    </row>
    <row r="13867" spans="11:14" x14ac:dyDescent="0.3">
      <c r="K13867" s="1">
        <v>42005</v>
      </c>
      <c r="M13867" t="e">
        <v>#N/A</v>
      </c>
      <c r="N13867" s="1">
        <v>41548</v>
      </c>
    </row>
    <row r="13868" spans="11:14" x14ac:dyDescent="0.3">
      <c r="K13868" s="1">
        <v>42005</v>
      </c>
      <c r="M13868" t="e">
        <v>#N/A</v>
      </c>
      <c r="N13868" s="1">
        <v>41548</v>
      </c>
    </row>
    <row r="13869" spans="11:14" x14ac:dyDescent="0.3">
      <c r="K13869" s="1">
        <v>42005</v>
      </c>
      <c r="M13869" t="e">
        <v>#N/A</v>
      </c>
      <c r="N13869" s="1">
        <v>41548</v>
      </c>
    </row>
    <row r="13870" spans="11:14" x14ac:dyDescent="0.3">
      <c r="K13870" s="1">
        <v>42005</v>
      </c>
      <c r="M13870" t="e">
        <v>#N/A</v>
      </c>
      <c r="N13870" s="1">
        <v>41548</v>
      </c>
    </row>
    <row r="13871" spans="11:14" x14ac:dyDescent="0.3">
      <c r="K13871" s="1">
        <v>42005</v>
      </c>
      <c r="M13871" t="e">
        <v>#N/A</v>
      </c>
      <c r="N13871" s="1">
        <v>41548</v>
      </c>
    </row>
    <row r="13872" spans="11:14" x14ac:dyDescent="0.3">
      <c r="K13872" s="1">
        <v>42005</v>
      </c>
      <c r="M13872" t="e">
        <v>#N/A</v>
      </c>
      <c r="N13872" s="1">
        <v>41548</v>
      </c>
    </row>
    <row r="13873" spans="11:14" x14ac:dyDescent="0.3">
      <c r="K13873" s="1">
        <v>42005</v>
      </c>
      <c r="M13873" t="e">
        <v>#N/A</v>
      </c>
      <c r="N13873" s="1">
        <v>41548</v>
      </c>
    </row>
    <row r="13874" spans="11:14" x14ac:dyDescent="0.3">
      <c r="K13874" s="1">
        <v>42005</v>
      </c>
      <c r="M13874" t="e">
        <v>#N/A</v>
      </c>
      <c r="N13874" s="1">
        <v>41548</v>
      </c>
    </row>
    <row r="13875" spans="11:14" x14ac:dyDescent="0.3">
      <c r="K13875" s="1">
        <v>42005</v>
      </c>
      <c r="M13875" t="e">
        <v>#N/A</v>
      </c>
      <c r="N13875" s="1">
        <v>41548</v>
      </c>
    </row>
    <row r="13876" spans="11:14" x14ac:dyDescent="0.3">
      <c r="K13876" s="1">
        <v>42005</v>
      </c>
      <c r="M13876" t="e">
        <v>#N/A</v>
      </c>
      <c r="N13876" s="1">
        <v>41548</v>
      </c>
    </row>
    <row r="13877" spans="11:14" x14ac:dyDescent="0.3">
      <c r="K13877" s="1">
        <v>42005</v>
      </c>
      <c r="M13877" t="e">
        <v>#N/A</v>
      </c>
      <c r="N13877" s="1">
        <v>41640</v>
      </c>
    </row>
    <row r="13878" spans="11:14" x14ac:dyDescent="0.3">
      <c r="K13878" s="1">
        <v>42005</v>
      </c>
      <c r="M13878" t="e">
        <v>#N/A</v>
      </c>
      <c r="N13878" s="1">
        <v>41640</v>
      </c>
    </row>
    <row r="13879" spans="11:14" x14ac:dyDescent="0.3">
      <c r="K13879" s="1">
        <v>42005</v>
      </c>
      <c r="M13879" t="e">
        <v>#N/A</v>
      </c>
      <c r="N13879" s="1">
        <v>41640</v>
      </c>
    </row>
    <row r="13880" spans="11:14" x14ac:dyDescent="0.3">
      <c r="K13880" s="1">
        <v>42005</v>
      </c>
      <c r="M13880" t="e">
        <v>#N/A</v>
      </c>
      <c r="N13880" s="1">
        <v>41640</v>
      </c>
    </row>
    <row r="13881" spans="11:14" x14ac:dyDescent="0.3">
      <c r="K13881" s="1">
        <v>42005</v>
      </c>
      <c r="M13881" t="e">
        <v>#N/A</v>
      </c>
      <c r="N13881" s="1">
        <v>41640</v>
      </c>
    </row>
    <row r="13882" spans="11:14" x14ac:dyDescent="0.3">
      <c r="K13882" s="1">
        <v>42005</v>
      </c>
      <c r="M13882" t="e">
        <v>#N/A</v>
      </c>
      <c r="N13882" s="1">
        <v>41640</v>
      </c>
    </row>
    <row r="13883" spans="11:14" x14ac:dyDescent="0.3">
      <c r="K13883" s="1">
        <v>42005</v>
      </c>
      <c r="M13883" t="e">
        <v>#N/A</v>
      </c>
      <c r="N13883" s="1">
        <v>41640</v>
      </c>
    </row>
    <row r="13884" spans="11:14" x14ac:dyDescent="0.3">
      <c r="K13884" s="1">
        <v>42005</v>
      </c>
      <c r="M13884" t="e">
        <v>#N/A</v>
      </c>
      <c r="N13884" s="1">
        <v>41640</v>
      </c>
    </row>
    <row r="13885" spans="11:14" x14ac:dyDescent="0.3">
      <c r="K13885" s="1">
        <v>42005</v>
      </c>
      <c r="M13885" t="e">
        <v>#N/A</v>
      </c>
      <c r="N13885" s="1">
        <v>41640</v>
      </c>
    </row>
    <row r="13886" spans="11:14" x14ac:dyDescent="0.3">
      <c r="K13886" s="1">
        <v>42005</v>
      </c>
      <c r="M13886" t="e">
        <v>#N/A</v>
      </c>
      <c r="N13886" s="1">
        <v>41640</v>
      </c>
    </row>
    <row r="13887" spans="11:14" x14ac:dyDescent="0.3">
      <c r="K13887" s="1">
        <v>42005</v>
      </c>
      <c r="M13887" t="e">
        <v>#N/A</v>
      </c>
      <c r="N13887" s="1">
        <v>41640</v>
      </c>
    </row>
    <row r="13888" spans="11:14" x14ac:dyDescent="0.3">
      <c r="K13888" s="1">
        <v>42005</v>
      </c>
      <c r="M13888" t="e">
        <v>#N/A</v>
      </c>
      <c r="N13888" s="1">
        <v>41640</v>
      </c>
    </row>
    <row r="13889" spans="11:14" x14ac:dyDescent="0.3">
      <c r="K13889" s="1">
        <v>42005</v>
      </c>
      <c r="M13889" t="e">
        <v>#N/A</v>
      </c>
      <c r="N13889" s="1">
        <v>41640</v>
      </c>
    </row>
    <row r="13890" spans="11:14" x14ac:dyDescent="0.3">
      <c r="K13890" s="1">
        <v>42005</v>
      </c>
      <c r="M13890" t="e">
        <v>#N/A</v>
      </c>
      <c r="N13890" s="1">
        <v>41640</v>
      </c>
    </row>
    <row r="13891" spans="11:14" x14ac:dyDescent="0.3">
      <c r="K13891" s="1">
        <v>42005</v>
      </c>
      <c r="M13891" t="e">
        <v>#N/A</v>
      </c>
      <c r="N13891" s="1">
        <v>41640</v>
      </c>
    </row>
    <row r="13892" spans="11:14" x14ac:dyDescent="0.3">
      <c r="K13892" s="1">
        <v>42005</v>
      </c>
      <c r="M13892" t="e">
        <v>#N/A</v>
      </c>
      <c r="N13892" s="1">
        <v>41640</v>
      </c>
    </row>
    <row r="13893" spans="11:14" x14ac:dyDescent="0.3">
      <c r="K13893" s="1">
        <v>42005</v>
      </c>
      <c r="M13893" t="e">
        <v>#N/A</v>
      </c>
      <c r="N13893" s="1">
        <v>41640</v>
      </c>
    </row>
    <row r="13894" spans="11:14" x14ac:dyDescent="0.3">
      <c r="K13894" s="1">
        <v>42005</v>
      </c>
      <c r="M13894" t="e">
        <v>#N/A</v>
      </c>
      <c r="N13894" s="1">
        <v>41640</v>
      </c>
    </row>
    <row r="13895" spans="11:14" x14ac:dyDescent="0.3">
      <c r="K13895" s="1">
        <v>42005</v>
      </c>
      <c r="M13895" t="e">
        <v>#N/A</v>
      </c>
      <c r="N13895" s="1">
        <v>41640</v>
      </c>
    </row>
    <row r="13896" spans="11:14" x14ac:dyDescent="0.3">
      <c r="K13896" s="1">
        <v>42005</v>
      </c>
      <c r="M13896" t="e">
        <v>#N/A</v>
      </c>
      <c r="N13896" s="1">
        <v>41640</v>
      </c>
    </row>
    <row r="13897" spans="11:14" x14ac:dyDescent="0.3">
      <c r="K13897" s="1">
        <v>42005</v>
      </c>
      <c r="M13897" t="e">
        <v>#N/A</v>
      </c>
      <c r="N13897" s="1">
        <v>41640</v>
      </c>
    </row>
    <row r="13898" spans="11:14" x14ac:dyDescent="0.3">
      <c r="K13898" s="1">
        <v>42005</v>
      </c>
      <c r="M13898" t="e">
        <v>#N/A</v>
      </c>
      <c r="N13898" s="1">
        <v>41640</v>
      </c>
    </row>
    <row r="13899" spans="11:14" x14ac:dyDescent="0.3">
      <c r="K13899" s="1">
        <v>42005</v>
      </c>
      <c r="M13899" t="e">
        <v>#N/A</v>
      </c>
      <c r="N13899" s="1">
        <v>41640</v>
      </c>
    </row>
    <row r="13900" spans="11:14" x14ac:dyDescent="0.3">
      <c r="K13900" s="1">
        <v>42005</v>
      </c>
      <c r="M13900" t="e">
        <v>#N/A</v>
      </c>
      <c r="N13900" s="1">
        <v>41640</v>
      </c>
    </row>
    <row r="13901" spans="11:14" x14ac:dyDescent="0.3">
      <c r="K13901" s="1">
        <v>42005</v>
      </c>
      <c r="M13901" t="e">
        <v>#N/A</v>
      </c>
      <c r="N13901" s="1">
        <v>41640</v>
      </c>
    </row>
    <row r="13902" spans="11:14" x14ac:dyDescent="0.3">
      <c r="K13902" s="1">
        <v>42005</v>
      </c>
      <c r="M13902" t="e">
        <v>#N/A</v>
      </c>
      <c r="N13902" s="1">
        <v>41640</v>
      </c>
    </row>
    <row r="13903" spans="11:14" x14ac:dyDescent="0.3">
      <c r="K13903" s="1">
        <v>42005</v>
      </c>
      <c r="M13903" t="e">
        <v>#N/A</v>
      </c>
      <c r="N13903" s="1">
        <v>41640</v>
      </c>
    </row>
    <row r="13904" spans="11:14" x14ac:dyDescent="0.3">
      <c r="K13904" s="1">
        <v>42005</v>
      </c>
      <c r="M13904" t="e">
        <v>#N/A</v>
      </c>
      <c r="N13904" s="1">
        <v>41640</v>
      </c>
    </row>
    <row r="13905" spans="11:14" x14ac:dyDescent="0.3">
      <c r="K13905" s="1">
        <v>42005</v>
      </c>
      <c r="M13905" t="e">
        <v>#N/A</v>
      </c>
      <c r="N13905" s="1">
        <v>41640</v>
      </c>
    </row>
    <row r="13906" spans="11:14" x14ac:dyDescent="0.3">
      <c r="K13906" s="1">
        <v>42005</v>
      </c>
      <c r="M13906" t="e">
        <v>#N/A</v>
      </c>
      <c r="N13906" s="1">
        <v>41640</v>
      </c>
    </row>
    <row r="13907" spans="11:14" x14ac:dyDescent="0.3">
      <c r="K13907" s="1">
        <v>42005</v>
      </c>
      <c r="M13907" t="e">
        <v>#N/A</v>
      </c>
      <c r="N13907" s="1">
        <v>41640</v>
      </c>
    </row>
    <row r="13908" spans="11:14" x14ac:dyDescent="0.3">
      <c r="K13908" s="1">
        <v>42005</v>
      </c>
      <c r="M13908" t="e">
        <v>#N/A</v>
      </c>
      <c r="N13908" s="1">
        <v>41640</v>
      </c>
    </row>
    <row r="13909" spans="11:14" x14ac:dyDescent="0.3">
      <c r="K13909" s="1">
        <v>42005</v>
      </c>
      <c r="M13909" t="e">
        <v>#N/A</v>
      </c>
      <c r="N13909" s="1">
        <v>41640</v>
      </c>
    </row>
    <row r="13910" spans="11:14" x14ac:dyDescent="0.3">
      <c r="K13910" s="1">
        <v>42005</v>
      </c>
      <c r="M13910" t="e">
        <v>#N/A</v>
      </c>
      <c r="N13910" s="1">
        <v>41640</v>
      </c>
    </row>
    <row r="13911" spans="11:14" x14ac:dyDescent="0.3">
      <c r="K13911" s="1">
        <v>42005</v>
      </c>
      <c r="M13911" t="e">
        <v>#N/A</v>
      </c>
      <c r="N13911" s="1">
        <v>41640</v>
      </c>
    </row>
    <row r="13912" spans="11:14" x14ac:dyDescent="0.3">
      <c r="K13912" s="1">
        <v>42005</v>
      </c>
      <c r="M13912" t="e">
        <v>#N/A</v>
      </c>
      <c r="N13912" s="1">
        <v>41640</v>
      </c>
    </row>
    <row r="13913" spans="11:14" x14ac:dyDescent="0.3">
      <c r="K13913" s="1">
        <v>42005</v>
      </c>
      <c r="M13913" t="e">
        <v>#N/A</v>
      </c>
      <c r="N13913" s="1">
        <v>41640</v>
      </c>
    </row>
    <row r="13914" spans="11:14" x14ac:dyDescent="0.3">
      <c r="K13914" s="1">
        <v>42005</v>
      </c>
      <c r="M13914" t="e">
        <v>#N/A</v>
      </c>
      <c r="N13914" s="1">
        <v>41640</v>
      </c>
    </row>
    <row r="13915" spans="11:14" x14ac:dyDescent="0.3">
      <c r="K13915" s="1">
        <v>42005</v>
      </c>
      <c r="M13915" t="e">
        <v>#N/A</v>
      </c>
      <c r="N13915" s="1">
        <v>41640</v>
      </c>
    </row>
    <row r="13916" spans="11:14" x14ac:dyDescent="0.3">
      <c r="K13916" s="1">
        <v>42005</v>
      </c>
      <c r="M13916" t="e">
        <v>#N/A</v>
      </c>
      <c r="N13916" s="1">
        <v>41640</v>
      </c>
    </row>
    <row r="13917" spans="11:14" x14ac:dyDescent="0.3">
      <c r="K13917" s="1">
        <v>42005</v>
      </c>
      <c r="M13917" t="e">
        <v>#N/A</v>
      </c>
      <c r="N13917" s="1">
        <v>41640</v>
      </c>
    </row>
    <row r="13918" spans="11:14" x14ac:dyDescent="0.3">
      <c r="K13918" s="1">
        <v>42005</v>
      </c>
      <c r="M13918" t="e">
        <v>#N/A</v>
      </c>
      <c r="N13918" s="1">
        <v>41640</v>
      </c>
    </row>
    <row r="13919" spans="11:14" x14ac:dyDescent="0.3">
      <c r="K13919" s="1">
        <v>42005</v>
      </c>
      <c r="M13919" t="e">
        <v>#N/A</v>
      </c>
      <c r="N13919" s="1">
        <v>41640</v>
      </c>
    </row>
    <row r="13920" spans="11:14" x14ac:dyDescent="0.3">
      <c r="K13920" s="1">
        <v>42005</v>
      </c>
      <c r="M13920" t="e">
        <v>#N/A</v>
      </c>
      <c r="N13920" s="1">
        <v>41640</v>
      </c>
    </row>
    <row r="13921" spans="11:14" x14ac:dyDescent="0.3">
      <c r="K13921" s="1">
        <v>42005</v>
      </c>
      <c r="M13921" t="e">
        <v>#N/A</v>
      </c>
      <c r="N13921" s="1">
        <v>41640</v>
      </c>
    </row>
    <row r="13922" spans="11:14" x14ac:dyDescent="0.3">
      <c r="K13922" s="1">
        <v>42005</v>
      </c>
      <c r="M13922" t="e">
        <v>#N/A</v>
      </c>
      <c r="N13922" s="1">
        <v>41640</v>
      </c>
    </row>
    <row r="13923" spans="11:14" x14ac:dyDescent="0.3">
      <c r="K13923" s="1">
        <v>42005</v>
      </c>
      <c r="M13923" t="e">
        <v>#N/A</v>
      </c>
      <c r="N13923" s="1">
        <v>41640</v>
      </c>
    </row>
    <row r="13924" spans="11:14" x14ac:dyDescent="0.3">
      <c r="K13924" s="1">
        <v>42005</v>
      </c>
      <c r="M13924" t="e">
        <v>#N/A</v>
      </c>
      <c r="N13924" s="1">
        <v>41640</v>
      </c>
    </row>
    <row r="13925" spans="11:14" x14ac:dyDescent="0.3">
      <c r="K13925" s="1">
        <v>42005</v>
      </c>
      <c r="M13925" t="e">
        <v>#N/A</v>
      </c>
      <c r="N13925" s="1">
        <v>41640</v>
      </c>
    </row>
    <row r="13926" spans="11:14" x14ac:dyDescent="0.3">
      <c r="K13926" s="1">
        <v>42005</v>
      </c>
      <c r="M13926" t="e">
        <v>#N/A</v>
      </c>
      <c r="N13926" s="1">
        <v>41640</v>
      </c>
    </row>
    <row r="13927" spans="11:14" x14ac:dyDescent="0.3">
      <c r="K13927" s="1">
        <v>42005</v>
      </c>
      <c r="M13927" t="e">
        <v>#N/A</v>
      </c>
      <c r="N13927" s="1">
        <v>41640</v>
      </c>
    </row>
    <row r="13928" spans="11:14" x14ac:dyDescent="0.3">
      <c r="K13928" s="1">
        <v>42005</v>
      </c>
      <c r="M13928" t="e">
        <v>#N/A</v>
      </c>
      <c r="N13928" s="1">
        <v>41640</v>
      </c>
    </row>
    <row r="13929" spans="11:14" x14ac:dyDescent="0.3">
      <c r="K13929" s="1">
        <v>42005</v>
      </c>
      <c r="M13929" t="e">
        <v>#N/A</v>
      </c>
      <c r="N13929" s="1">
        <v>41640</v>
      </c>
    </row>
    <row r="13930" spans="11:14" x14ac:dyDescent="0.3">
      <c r="K13930" s="1">
        <v>42005</v>
      </c>
      <c r="M13930" t="e">
        <v>#N/A</v>
      </c>
      <c r="N13930" s="1">
        <v>41640</v>
      </c>
    </row>
    <row r="13931" spans="11:14" x14ac:dyDescent="0.3">
      <c r="K13931" s="1">
        <v>42005</v>
      </c>
      <c r="M13931" t="e">
        <v>#N/A</v>
      </c>
      <c r="N13931" s="1">
        <v>41640</v>
      </c>
    </row>
    <row r="13932" spans="11:14" x14ac:dyDescent="0.3">
      <c r="K13932" s="1">
        <v>42005</v>
      </c>
      <c r="M13932" t="e">
        <v>#N/A</v>
      </c>
      <c r="N13932" s="1">
        <v>41640</v>
      </c>
    </row>
    <row r="13933" spans="11:14" x14ac:dyDescent="0.3">
      <c r="K13933" s="1">
        <v>42005</v>
      </c>
      <c r="M13933" t="e">
        <v>#N/A</v>
      </c>
      <c r="N13933" s="1">
        <v>41640</v>
      </c>
    </row>
    <row r="13934" spans="11:14" x14ac:dyDescent="0.3">
      <c r="K13934" s="1">
        <v>42005</v>
      </c>
      <c r="M13934" t="e">
        <v>#N/A</v>
      </c>
      <c r="N13934" s="1">
        <v>41640</v>
      </c>
    </row>
    <row r="13935" spans="11:14" x14ac:dyDescent="0.3">
      <c r="K13935" s="1">
        <v>42005</v>
      </c>
      <c r="M13935" t="e">
        <v>#N/A</v>
      </c>
      <c r="N13935" s="1">
        <v>41640</v>
      </c>
    </row>
    <row r="13936" spans="11:14" x14ac:dyDescent="0.3">
      <c r="K13936" s="1">
        <v>42005</v>
      </c>
      <c r="M13936" t="e">
        <v>#N/A</v>
      </c>
      <c r="N13936" s="1">
        <v>41640</v>
      </c>
    </row>
    <row r="13937" spans="11:14" x14ac:dyDescent="0.3">
      <c r="K13937" s="1">
        <v>42005</v>
      </c>
      <c r="M13937" t="e">
        <v>#N/A</v>
      </c>
      <c r="N13937" s="1">
        <v>41640</v>
      </c>
    </row>
    <row r="13938" spans="11:14" x14ac:dyDescent="0.3">
      <c r="K13938" s="1">
        <v>42005</v>
      </c>
      <c r="M13938" t="e">
        <v>#N/A</v>
      </c>
      <c r="N13938" s="1">
        <v>41640</v>
      </c>
    </row>
    <row r="13939" spans="11:14" x14ac:dyDescent="0.3">
      <c r="K13939" s="1">
        <v>42005</v>
      </c>
      <c r="M13939" t="e">
        <v>#N/A</v>
      </c>
      <c r="N13939" s="1">
        <v>41640</v>
      </c>
    </row>
    <row r="13940" spans="11:14" x14ac:dyDescent="0.3">
      <c r="K13940" s="1">
        <v>42005</v>
      </c>
      <c r="M13940" t="e">
        <v>#N/A</v>
      </c>
      <c r="N13940" s="1">
        <v>41640</v>
      </c>
    </row>
    <row r="13941" spans="11:14" x14ac:dyDescent="0.3">
      <c r="K13941" s="1">
        <v>42005</v>
      </c>
      <c r="M13941" t="e">
        <v>#N/A</v>
      </c>
      <c r="N13941" s="1">
        <v>41640</v>
      </c>
    </row>
    <row r="13942" spans="11:14" x14ac:dyDescent="0.3">
      <c r="K13942" s="1">
        <v>42005</v>
      </c>
      <c r="M13942" t="e">
        <v>#N/A</v>
      </c>
      <c r="N13942" s="1">
        <v>41640</v>
      </c>
    </row>
    <row r="13943" spans="11:14" x14ac:dyDescent="0.3">
      <c r="K13943" s="1">
        <v>42005</v>
      </c>
      <c r="M13943" t="e">
        <v>#N/A</v>
      </c>
      <c r="N13943" s="1">
        <v>41640</v>
      </c>
    </row>
    <row r="13944" spans="11:14" x14ac:dyDescent="0.3">
      <c r="K13944" s="1">
        <v>42005</v>
      </c>
      <c r="M13944" t="e">
        <v>#N/A</v>
      </c>
      <c r="N13944" s="1">
        <v>41640</v>
      </c>
    </row>
    <row r="13945" spans="11:14" x14ac:dyDescent="0.3">
      <c r="K13945" s="1">
        <v>42005</v>
      </c>
      <c r="M13945" t="e">
        <v>#N/A</v>
      </c>
      <c r="N13945" s="1">
        <v>41640</v>
      </c>
    </row>
    <row r="13946" spans="11:14" x14ac:dyDescent="0.3">
      <c r="K13946" s="1">
        <v>42005</v>
      </c>
      <c r="M13946" t="e">
        <v>#N/A</v>
      </c>
      <c r="N13946" s="1">
        <v>41640</v>
      </c>
    </row>
    <row r="13947" spans="11:14" x14ac:dyDescent="0.3">
      <c r="K13947" s="1">
        <v>42005</v>
      </c>
      <c r="M13947" t="e">
        <v>#N/A</v>
      </c>
      <c r="N13947" s="1">
        <v>41640</v>
      </c>
    </row>
    <row r="13948" spans="11:14" x14ac:dyDescent="0.3">
      <c r="K13948" s="1">
        <v>42005</v>
      </c>
      <c r="M13948" t="e">
        <v>#N/A</v>
      </c>
      <c r="N13948" s="1">
        <v>41640</v>
      </c>
    </row>
    <row r="13949" spans="11:14" x14ac:dyDescent="0.3">
      <c r="K13949" s="1">
        <v>42005</v>
      </c>
      <c r="M13949" t="e">
        <v>#N/A</v>
      </c>
      <c r="N13949" s="1">
        <v>41640</v>
      </c>
    </row>
    <row r="13950" spans="11:14" x14ac:dyDescent="0.3">
      <c r="K13950" s="1">
        <v>42005</v>
      </c>
      <c r="M13950" t="e">
        <v>#N/A</v>
      </c>
      <c r="N13950" s="1">
        <v>41640</v>
      </c>
    </row>
    <row r="13951" spans="11:14" x14ac:dyDescent="0.3">
      <c r="K13951" s="1">
        <v>42005</v>
      </c>
      <c r="M13951" t="e">
        <v>#N/A</v>
      </c>
      <c r="N13951" s="1">
        <v>41640</v>
      </c>
    </row>
    <row r="13952" spans="11:14" x14ac:dyDescent="0.3">
      <c r="K13952" s="1">
        <v>42005</v>
      </c>
      <c r="M13952" t="e">
        <v>#N/A</v>
      </c>
      <c r="N13952" s="1">
        <v>41640</v>
      </c>
    </row>
    <row r="13953" spans="11:14" x14ac:dyDescent="0.3">
      <c r="K13953" s="1">
        <v>42005</v>
      </c>
      <c r="M13953" t="e">
        <v>#N/A</v>
      </c>
      <c r="N13953" s="1">
        <v>41640</v>
      </c>
    </row>
    <row r="13954" spans="11:14" x14ac:dyDescent="0.3">
      <c r="K13954" s="1">
        <v>42005</v>
      </c>
      <c r="M13954" t="e">
        <v>#N/A</v>
      </c>
      <c r="N13954" s="1">
        <v>41640</v>
      </c>
    </row>
    <row r="13955" spans="11:14" x14ac:dyDescent="0.3">
      <c r="K13955" s="1">
        <v>42005</v>
      </c>
      <c r="M13955" t="e">
        <v>#N/A</v>
      </c>
      <c r="N13955" s="1">
        <v>41640</v>
      </c>
    </row>
    <row r="13956" spans="11:14" x14ac:dyDescent="0.3">
      <c r="K13956" s="1">
        <v>42005</v>
      </c>
      <c r="M13956" t="e">
        <v>#N/A</v>
      </c>
      <c r="N13956" s="1">
        <v>41640</v>
      </c>
    </row>
    <row r="13957" spans="11:14" x14ac:dyDescent="0.3">
      <c r="K13957" s="1">
        <v>42005</v>
      </c>
      <c r="M13957" t="e">
        <v>#N/A</v>
      </c>
      <c r="N13957" s="1">
        <v>41640</v>
      </c>
    </row>
    <row r="13958" spans="11:14" x14ac:dyDescent="0.3">
      <c r="K13958" s="1">
        <v>42005</v>
      </c>
      <c r="M13958" t="e">
        <v>#N/A</v>
      </c>
      <c r="N13958" s="1">
        <v>41640</v>
      </c>
    </row>
    <row r="13959" spans="11:14" x14ac:dyDescent="0.3">
      <c r="K13959" s="1">
        <v>42005</v>
      </c>
      <c r="M13959" t="e">
        <v>#N/A</v>
      </c>
      <c r="N13959" s="1">
        <v>41640</v>
      </c>
    </row>
    <row r="13960" spans="11:14" x14ac:dyDescent="0.3">
      <c r="K13960" s="1">
        <v>42005</v>
      </c>
      <c r="M13960" t="e">
        <v>#N/A</v>
      </c>
      <c r="N13960" s="1">
        <v>41640</v>
      </c>
    </row>
    <row r="13961" spans="11:14" x14ac:dyDescent="0.3">
      <c r="K13961" s="1">
        <v>42005</v>
      </c>
      <c r="M13961" t="e">
        <v>#N/A</v>
      </c>
      <c r="N13961" s="1">
        <v>41640</v>
      </c>
    </row>
    <row r="13962" spans="11:14" x14ac:dyDescent="0.3">
      <c r="K13962" s="1">
        <v>42005</v>
      </c>
      <c r="M13962" t="e">
        <v>#N/A</v>
      </c>
      <c r="N13962" s="1">
        <v>41640</v>
      </c>
    </row>
    <row r="13963" spans="11:14" x14ac:dyDescent="0.3">
      <c r="K13963" s="1">
        <v>42005</v>
      </c>
      <c r="M13963" t="e">
        <v>#N/A</v>
      </c>
      <c r="N13963" s="1">
        <v>41640</v>
      </c>
    </row>
    <row r="13964" spans="11:14" x14ac:dyDescent="0.3">
      <c r="K13964" s="1">
        <v>42005</v>
      </c>
      <c r="M13964" t="e">
        <v>#N/A</v>
      </c>
      <c r="N13964" s="1">
        <v>41640</v>
      </c>
    </row>
    <row r="13965" spans="11:14" x14ac:dyDescent="0.3">
      <c r="K13965" s="1">
        <v>42005</v>
      </c>
      <c r="M13965" t="e">
        <v>#N/A</v>
      </c>
      <c r="N13965" s="1">
        <v>41640</v>
      </c>
    </row>
    <row r="13966" spans="11:14" x14ac:dyDescent="0.3">
      <c r="K13966" s="1">
        <v>42005</v>
      </c>
      <c r="M13966" t="e">
        <v>#N/A</v>
      </c>
      <c r="N13966" s="1">
        <v>41640</v>
      </c>
    </row>
    <row r="13967" spans="11:14" x14ac:dyDescent="0.3">
      <c r="K13967" s="1">
        <v>42005</v>
      </c>
      <c r="M13967" t="e">
        <v>#N/A</v>
      </c>
      <c r="N13967" s="1">
        <v>41640</v>
      </c>
    </row>
    <row r="13968" spans="11:14" x14ac:dyDescent="0.3">
      <c r="K13968" s="1">
        <v>42005</v>
      </c>
      <c r="M13968" t="e">
        <v>#N/A</v>
      </c>
      <c r="N13968" s="1">
        <v>41640</v>
      </c>
    </row>
    <row r="13969" spans="11:14" x14ac:dyDescent="0.3">
      <c r="K13969" s="1">
        <v>42005</v>
      </c>
      <c r="M13969" t="e">
        <v>#N/A</v>
      </c>
      <c r="N13969" s="1">
        <v>41640</v>
      </c>
    </row>
    <row r="13970" spans="11:14" x14ac:dyDescent="0.3">
      <c r="K13970" s="1">
        <v>42005</v>
      </c>
      <c r="M13970" t="e">
        <v>#N/A</v>
      </c>
      <c r="N13970" s="1">
        <v>41640</v>
      </c>
    </row>
    <row r="13971" spans="11:14" x14ac:dyDescent="0.3">
      <c r="K13971" s="1">
        <v>42005</v>
      </c>
      <c r="M13971" t="e">
        <v>#N/A</v>
      </c>
      <c r="N13971" s="1">
        <v>41640</v>
      </c>
    </row>
    <row r="13972" spans="11:14" x14ac:dyDescent="0.3">
      <c r="K13972" s="1">
        <v>42005</v>
      </c>
      <c r="M13972" t="e">
        <v>#N/A</v>
      </c>
      <c r="N13972" s="1">
        <v>41640</v>
      </c>
    </row>
    <row r="13973" spans="11:14" x14ac:dyDescent="0.3">
      <c r="K13973" s="1">
        <v>42005</v>
      </c>
      <c r="M13973" t="e">
        <v>#N/A</v>
      </c>
      <c r="N13973" s="1">
        <v>41640</v>
      </c>
    </row>
    <row r="13974" spans="11:14" x14ac:dyDescent="0.3">
      <c r="K13974" s="1">
        <v>42005</v>
      </c>
      <c r="M13974" t="e">
        <v>#N/A</v>
      </c>
      <c r="N13974" s="1">
        <v>41640</v>
      </c>
    </row>
    <row r="13975" spans="11:14" x14ac:dyDescent="0.3">
      <c r="K13975" s="1">
        <v>42005</v>
      </c>
      <c r="M13975" t="e">
        <v>#N/A</v>
      </c>
      <c r="N13975" s="1">
        <v>41640</v>
      </c>
    </row>
    <row r="13976" spans="11:14" x14ac:dyDescent="0.3">
      <c r="K13976" s="1">
        <v>42005</v>
      </c>
      <c r="M13976" t="e">
        <v>#N/A</v>
      </c>
      <c r="N13976" s="1">
        <v>41640</v>
      </c>
    </row>
    <row r="13977" spans="11:14" x14ac:dyDescent="0.3">
      <c r="K13977" s="1">
        <v>42005</v>
      </c>
      <c r="M13977" t="e">
        <v>#N/A</v>
      </c>
      <c r="N13977" s="1">
        <v>41640</v>
      </c>
    </row>
    <row r="13978" spans="11:14" x14ac:dyDescent="0.3">
      <c r="K13978" s="1">
        <v>42005</v>
      </c>
      <c r="M13978" t="e">
        <v>#N/A</v>
      </c>
      <c r="N13978" s="1">
        <v>41640</v>
      </c>
    </row>
    <row r="13979" spans="11:14" x14ac:dyDescent="0.3">
      <c r="K13979" s="1">
        <v>42005</v>
      </c>
      <c r="M13979" t="e">
        <v>#N/A</v>
      </c>
      <c r="N13979" s="1">
        <v>41640</v>
      </c>
    </row>
    <row r="13980" spans="11:14" x14ac:dyDescent="0.3">
      <c r="K13980" s="1">
        <v>42005</v>
      </c>
      <c r="M13980" t="e">
        <v>#N/A</v>
      </c>
      <c r="N13980" s="1">
        <v>41640</v>
      </c>
    </row>
    <row r="13981" spans="11:14" x14ac:dyDescent="0.3">
      <c r="K13981" s="1">
        <v>42005</v>
      </c>
      <c r="M13981" t="e">
        <v>#N/A</v>
      </c>
      <c r="N13981" s="1">
        <v>41640</v>
      </c>
    </row>
    <row r="13982" spans="11:14" x14ac:dyDescent="0.3">
      <c r="K13982" s="1">
        <v>42005</v>
      </c>
      <c r="M13982" t="e">
        <v>#N/A</v>
      </c>
      <c r="N13982" s="1">
        <v>41640</v>
      </c>
    </row>
    <row r="13983" spans="11:14" x14ac:dyDescent="0.3">
      <c r="K13983" s="1">
        <v>42005</v>
      </c>
      <c r="M13983" t="e">
        <v>#N/A</v>
      </c>
      <c r="N13983" s="1">
        <v>41640</v>
      </c>
    </row>
    <row r="13984" spans="11:14" x14ac:dyDescent="0.3">
      <c r="K13984" s="1">
        <v>42005</v>
      </c>
      <c r="M13984" t="e">
        <v>#N/A</v>
      </c>
      <c r="N13984" s="1">
        <v>41640</v>
      </c>
    </row>
    <row r="13985" spans="11:14" x14ac:dyDescent="0.3">
      <c r="K13985" s="1">
        <v>42005</v>
      </c>
      <c r="M13985" t="e">
        <v>#N/A</v>
      </c>
      <c r="N13985" s="1">
        <v>41640</v>
      </c>
    </row>
    <row r="13986" spans="11:14" x14ac:dyDescent="0.3">
      <c r="K13986" s="1">
        <v>42005</v>
      </c>
      <c r="M13986" t="e">
        <v>#N/A</v>
      </c>
      <c r="N13986" s="1">
        <v>41640</v>
      </c>
    </row>
    <row r="13987" spans="11:14" x14ac:dyDescent="0.3">
      <c r="K13987" s="1">
        <v>42005</v>
      </c>
      <c r="M13987" t="e">
        <v>#N/A</v>
      </c>
      <c r="N13987" s="1">
        <v>41640</v>
      </c>
    </row>
    <row r="13988" spans="11:14" x14ac:dyDescent="0.3">
      <c r="K13988" s="1">
        <v>42005</v>
      </c>
      <c r="M13988" t="e">
        <v>#N/A</v>
      </c>
      <c r="N13988" s="1">
        <v>41640</v>
      </c>
    </row>
    <row r="13989" spans="11:14" x14ac:dyDescent="0.3">
      <c r="K13989" s="1">
        <v>42005</v>
      </c>
      <c r="M13989" t="e">
        <v>#N/A</v>
      </c>
      <c r="N13989" s="1">
        <v>41640</v>
      </c>
    </row>
    <row r="13990" spans="11:14" x14ac:dyDescent="0.3">
      <c r="K13990" s="1">
        <v>42005</v>
      </c>
      <c r="M13990" t="e">
        <v>#N/A</v>
      </c>
      <c r="N13990" s="1">
        <v>41640</v>
      </c>
    </row>
    <row r="13991" spans="11:14" x14ac:dyDescent="0.3">
      <c r="K13991" s="1">
        <v>42005</v>
      </c>
      <c r="M13991" t="e">
        <v>#N/A</v>
      </c>
      <c r="N13991" s="1">
        <v>41640</v>
      </c>
    </row>
    <row r="13992" spans="11:14" x14ac:dyDescent="0.3">
      <c r="K13992" s="1">
        <v>42005</v>
      </c>
      <c r="M13992" t="e">
        <v>#N/A</v>
      </c>
      <c r="N13992" s="1">
        <v>41640</v>
      </c>
    </row>
    <row r="13993" spans="11:14" x14ac:dyDescent="0.3">
      <c r="K13993" s="1">
        <v>42005</v>
      </c>
      <c r="M13993" t="e">
        <v>#N/A</v>
      </c>
      <c r="N13993" s="1">
        <v>41640</v>
      </c>
    </row>
    <row r="13994" spans="11:14" x14ac:dyDescent="0.3">
      <c r="K13994" s="1">
        <v>42005</v>
      </c>
      <c r="M13994" t="e">
        <v>#N/A</v>
      </c>
      <c r="N13994" s="1">
        <v>41640</v>
      </c>
    </row>
    <row r="13995" spans="11:14" x14ac:dyDescent="0.3">
      <c r="K13995" s="1">
        <v>42005</v>
      </c>
      <c r="M13995" t="e">
        <v>#N/A</v>
      </c>
      <c r="N13995" s="1">
        <v>41640</v>
      </c>
    </row>
    <row r="13996" spans="11:14" x14ac:dyDescent="0.3">
      <c r="K13996" s="1">
        <v>42005</v>
      </c>
      <c r="M13996" t="e">
        <v>#N/A</v>
      </c>
      <c r="N13996" s="1">
        <v>41640</v>
      </c>
    </row>
    <row r="13997" spans="11:14" x14ac:dyDescent="0.3">
      <c r="K13997" s="1">
        <v>42005</v>
      </c>
      <c r="M13997" t="e">
        <v>#N/A</v>
      </c>
      <c r="N13997" s="1">
        <v>41640</v>
      </c>
    </row>
    <row r="13998" spans="11:14" x14ac:dyDescent="0.3">
      <c r="K13998" s="1">
        <v>42005</v>
      </c>
      <c r="M13998" t="e">
        <v>#N/A</v>
      </c>
      <c r="N13998" s="1">
        <v>41640</v>
      </c>
    </row>
    <row r="13999" spans="11:14" x14ac:dyDescent="0.3">
      <c r="K13999" s="1">
        <v>42005</v>
      </c>
      <c r="M13999" t="e">
        <v>#N/A</v>
      </c>
      <c r="N13999" s="1">
        <v>41640</v>
      </c>
    </row>
    <row r="14000" spans="11:14" x14ac:dyDescent="0.3">
      <c r="K14000" s="1">
        <v>42005</v>
      </c>
      <c r="M14000" t="e">
        <v>#N/A</v>
      </c>
      <c r="N14000" s="1">
        <v>41640</v>
      </c>
    </row>
    <row r="14001" spans="11:14" x14ac:dyDescent="0.3">
      <c r="K14001" s="1">
        <v>42005</v>
      </c>
      <c r="M14001" t="e">
        <v>#N/A</v>
      </c>
      <c r="N14001" s="1">
        <v>41640</v>
      </c>
    </row>
    <row r="14002" spans="11:14" x14ac:dyDescent="0.3">
      <c r="K14002" s="1">
        <v>42005</v>
      </c>
      <c r="M14002" t="e">
        <v>#N/A</v>
      </c>
      <c r="N14002" s="1">
        <v>41640</v>
      </c>
    </row>
    <row r="14003" spans="11:14" x14ac:dyDescent="0.3">
      <c r="K14003" s="1">
        <v>42005</v>
      </c>
      <c r="M14003" t="e">
        <v>#N/A</v>
      </c>
      <c r="N14003" s="1">
        <v>41640</v>
      </c>
    </row>
    <row r="14004" spans="11:14" x14ac:dyDescent="0.3">
      <c r="K14004" s="1">
        <v>42005</v>
      </c>
      <c r="M14004" t="e">
        <v>#N/A</v>
      </c>
      <c r="N14004" s="1">
        <v>41640</v>
      </c>
    </row>
    <row r="14005" spans="11:14" x14ac:dyDescent="0.3">
      <c r="K14005" s="1">
        <v>42005</v>
      </c>
      <c r="M14005" t="e">
        <v>#N/A</v>
      </c>
      <c r="N14005" s="1">
        <v>41640</v>
      </c>
    </row>
    <row r="14006" spans="11:14" x14ac:dyDescent="0.3">
      <c r="K14006" s="1">
        <v>42005</v>
      </c>
      <c r="M14006" t="e">
        <v>#N/A</v>
      </c>
      <c r="N14006" s="1">
        <v>41640</v>
      </c>
    </row>
    <row r="14007" spans="11:14" x14ac:dyDescent="0.3">
      <c r="K14007" s="1">
        <v>42005</v>
      </c>
      <c r="M14007" t="e">
        <v>#N/A</v>
      </c>
      <c r="N14007" s="1">
        <v>41640</v>
      </c>
    </row>
    <row r="14008" spans="11:14" x14ac:dyDescent="0.3">
      <c r="K14008" s="1">
        <v>42005</v>
      </c>
      <c r="M14008" t="e">
        <v>#N/A</v>
      </c>
      <c r="N14008" s="1">
        <v>41640</v>
      </c>
    </row>
    <row r="14009" spans="11:14" x14ac:dyDescent="0.3">
      <c r="K14009" s="1">
        <v>42005</v>
      </c>
      <c r="M14009" t="e">
        <v>#N/A</v>
      </c>
      <c r="N14009" s="1">
        <v>41640</v>
      </c>
    </row>
    <row r="14010" spans="11:14" x14ac:dyDescent="0.3">
      <c r="K14010" s="1">
        <v>42005</v>
      </c>
      <c r="M14010" t="e">
        <v>#N/A</v>
      </c>
      <c r="N14010" s="1">
        <v>41640</v>
      </c>
    </row>
    <row r="14011" spans="11:14" x14ac:dyDescent="0.3">
      <c r="K14011" s="1">
        <v>42005</v>
      </c>
      <c r="M14011" t="e">
        <v>#N/A</v>
      </c>
      <c r="N14011" s="1">
        <v>41640</v>
      </c>
    </row>
    <row r="14012" spans="11:14" x14ac:dyDescent="0.3">
      <c r="K14012" s="1">
        <v>42005</v>
      </c>
      <c r="M14012" t="e">
        <v>#N/A</v>
      </c>
      <c r="N14012" s="1">
        <v>41640</v>
      </c>
    </row>
    <row r="14013" spans="11:14" x14ac:dyDescent="0.3">
      <c r="K14013" s="1">
        <v>42005</v>
      </c>
      <c r="M14013" t="e">
        <v>#N/A</v>
      </c>
      <c r="N14013" s="1">
        <v>41640</v>
      </c>
    </row>
    <row r="14014" spans="11:14" x14ac:dyDescent="0.3">
      <c r="K14014" s="1">
        <v>42005</v>
      </c>
      <c r="M14014" t="e">
        <v>#N/A</v>
      </c>
      <c r="N14014" s="1">
        <v>41640</v>
      </c>
    </row>
    <row r="14015" spans="11:14" x14ac:dyDescent="0.3">
      <c r="K14015" s="1">
        <v>42005</v>
      </c>
      <c r="M14015" t="e">
        <v>#N/A</v>
      </c>
      <c r="N14015" s="1">
        <v>41640</v>
      </c>
    </row>
    <row r="14016" spans="11:14" x14ac:dyDescent="0.3">
      <c r="K14016" s="1">
        <v>42005</v>
      </c>
      <c r="M14016" t="e">
        <v>#N/A</v>
      </c>
      <c r="N14016" s="1">
        <v>41640</v>
      </c>
    </row>
    <row r="14017" spans="11:14" x14ac:dyDescent="0.3">
      <c r="K14017" s="1">
        <v>42005</v>
      </c>
      <c r="M14017" t="e">
        <v>#N/A</v>
      </c>
      <c r="N14017" s="1">
        <v>41640</v>
      </c>
    </row>
    <row r="14018" spans="11:14" x14ac:dyDescent="0.3">
      <c r="K14018" s="1">
        <v>42005</v>
      </c>
      <c r="M14018" t="e">
        <v>#N/A</v>
      </c>
      <c r="N14018" s="1">
        <v>41640</v>
      </c>
    </row>
    <row r="14019" spans="11:14" x14ac:dyDescent="0.3">
      <c r="K14019" s="1">
        <v>42005</v>
      </c>
      <c r="M14019" t="e">
        <v>#N/A</v>
      </c>
      <c r="N14019" s="1">
        <v>41640</v>
      </c>
    </row>
    <row r="14020" spans="11:14" x14ac:dyDescent="0.3">
      <c r="K14020" s="1">
        <v>42005</v>
      </c>
      <c r="M14020" t="e">
        <v>#N/A</v>
      </c>
      <c r="N14020" s="1">
        <v>41640</v>
      </c>
    </row>
    <row r="14021" spans="11:14" x14ac:dyDescent="0.3">
      <c r="K14021" s="1">
        <v>42005</v>
      </c>
      <c r="M14021" t="e">
        <v>#N/A</v>
      </c>
      <c r="N14021" s="1">
        <v>41640</v>
      </c>
    </row>
    <row r="14022" spans="11:14" x14ac:dyDescent="0.3">
      <c r="K14022" s="1">
        <v>42005</v>
      </c>
      <c r="M14022" t="e">
        <v>#N/A</v>
      </c>
      <c r="N14022" s="1">
        <v>41640</v>
      </c>
    </row>
    <row r="14023" spans="11:14" x14ac:dyDescent="0.3">
      <c r="K14023" s="1">
        <v>42005</v>
      </c>
      <c r="M14023" t="e">
        <v>#N/A</v>
      </c>
      <c r="N14023" s="1">
        <v>41640</v>
      </c>
    </row>
    <row r="14024" spans="11:14" x14ac:dyDescent="0.3">
      <c r="K14024" s="1">
        <v>42005</v>
      </c>
      <c r="M14024" t="e">
        <v>#N/A</v>
      </c>
      <c r="N14024" s="1">
        <v>41640</v>
      </c>
    </row>
    <row r="14025" spans="11:14" x14ac:dyDescent="0.3">
      <c r="K14025" s="1">
        <v>42005</v>
      </c>
      <c r="M14025" t="e">
        <v>#N/A</v>
      </c>
      <c r="N14025" s="1">
        <v>41640</v>
      </c>
    </row>
    <row r="14026" spans="11:14" x14ac:dyDescent="0.3">
      <c r="K14026" s="1">
        <v>42005</v>
      </c>
      <c r="M14026" t="e">
        <v>#N/A</v>
      </c>
      <c r="N14026" s="1">
        <v>41640</v>
      </c>
    </row>
    <row r="14027" spans="11:14" x14ac:dyDescent="0.3">
      <c r="K14027" s="1">
        <v>42005</v>
      </c>
      <c r="M14027" t="e">
        <v>#N/A</v>
      </c>
      <c r="N14027" s="1">
        <v>41640</v>
      </c>
    </row>
    <row r="14028" spans="11:14" x14ac:dyDescent="0.3">
      <c r="K14028" s="1">
        <v>42005</v>
      </c>
      <c r="M14028" t="e">
        <v>#N/A</v>
      </c>
      <c r="N14028" s="1">
        <v>41640</v>
      </c>
    </row>
    <row r="14029" spans="11:14" x14ac:dyDescent="0.3">
      <c r="K14029" s="1">
        <v>42005</v>
      </c>
      <c r="M14029" t="e">
        <v>#N/A</v>
      </c>
      <c r="N14029" s="1">
        <v>41640</v>
      </c>
    </row>
    <row r="14030" spans="11:14" x14ac:dyDescent="0.3">
      <c r="K14030" s="1">
        <v>42005</v>
      </c>
      <c r="M14030" t="e">
        <v>#N/A</v>
      </c>
      <c r="N14030" s="1">
        <v>41640</v>
      </c>
    </row>
    <row r="14031" spans="11:14" x14ac:dyDescent="0.3">
      <c r="K14031" s="1">
        <v>42005</v>
      </c>
      <c r="M14031" t="e">
        <v>#N/A</v>
      </c>
      <c r="N14031" s="1">
        <v>41640</v>
      </c>
    </row>
    <row r="14032" spans="11:14" x14ac:dyDescent="0.3">
      <c r="K14032" s="1">
        <v>42005</v>
      </c>
      <c r="M14032" t="e">
        <v>#N/A</v>
      </c>
      <c r="N14032" s="1">
        <v>41640</v>
      </c>
    </row>
    <row r="14033" spans="11:14" x14ac:dyDescent="0.3">
      <c r="K14033" s="1">
        <v>42005</v>
      </c>
      <c r="M14033" t="e">
        <v>#N/A</v>
      </c>
      <c r="N14033" s="1">
        <v>41640</v>
      </c>
    </row>
    <row r="14034" spans="11:14" x14ac:dyDescent="0.3">
      <c r="K14034" s="1">
        <v>42005</v>
      </c>
      <c r="M14034" t="e">
        <v>#N/A</v>
      </c>
      <c r="N14034" s="1">
        <v>41640</v>
      </c>
    </row>
    <row r="14035" spans="11:14" x14ac:dyDescent="0.3">
      <c r="K14035" s="1">
        <v>42005</v>
      </c>
      <c r="M14035" t="e">
        <v>#N/A</v>
      </c>
      <c r="N14035" s="1">
        <v>41640</v>
      </c>
    </row>
    <row r="14036" spans="11:14" x14ac:dyDescent="0.3">
      <c r="K14036" s="1">
        <v>42005</v>
      </c>
      <c r="M14036" t="e">
        <v>#N/A</v>
      </c>
      <c r="N14036" s="1">
        <v>41640</v>
      </c>
    </row>
    <row r="14037" spans="11:14" x14ac:dyDescent="0.3">
      <c r="K14037" s="1">
        <v>42005</v>
      </c>
      <c r="M14037" t="e">
        <v>#N/A</v>
      </c>
      <c r="N14037" s="1">
        <v>41640</v>
      </c>
    </row>
    <row r="14038" spans="11:14" x14ac:dyDescent="0.3">
      <c r="K14038" s="1">
        <v>42005</v>
      </c>
      <c r="M14038" t="e">
        <v>#N/A</v>
      </c>
      <c r="N14038" s="1">
        <v>41640</v>
      </c>
    </row>
    <row r="14039" spans="11:14" x14ac:dyDescent="0.3">
      <c r="K14039" s="1">
        <v>42005</v>
      </c>
      <c r="M14039" t="e">
        <v>#N/A</v>
      </c>
      <c r="N14039" s="1">
        <v>41640</v>
      </c>
    </row>
    <row r="14040" spans="11:14" x14ac:dyDescent="0.3">
      <c r="K14040" s="1">
        <v>42005</v>
      </c>
      <c r="M14040" t="e">
        <v>#N/A</v>
      </c>
      <c r="N14040" s="1">
        <v>41640</v>
      </c>
    </row>
    <row r="14041" spans="11:14" x14ac:dyDescent="0.3">
      <c r="K14041" s="1">
        <v>42005</v>
      </c>
      <c r="M14041" t="e">
        <v>#N/A</v>
      </c>
      <c r="N14041" s="1">
        <v>41640</v>
      </c>
    </row>
    <row r="14042" spans="11:14" x14ac:dyDescent="0.3">
      <c r="K14042" s="1">
        <v>42005</v>
      </c>
      <c r="M14042" t="e">
        <v>#N/A</v>
      </c>
      <c r="N14042" s="1">
        <v>41640</v>
      </c>
    </row>
    <row r="14043" spans="11:14" x14ac:dyDescent="0.3">
      <c r="K14043" s="1">
        <v>42005</v>
      </c>
      <c r="M14043" t="e">
        <v>#N/A</v>
      </c>
      <c r="N14043" s="1">
        <v>41640</v>
      </c>
    </row>
    <row r="14044" spans="11:14" x14ac:dyDescent="0.3">
      <c r="K14044" s="1">
        <v>42005</v>
      </c>
      <c r="M14044" t="e">
        <v>#N/A</v>
      </c>
      <c r="N14044" s="1">
        <v>41640</v>
      </c>
    </row>
    <row r="14045" spans="11:14" x14ac:dyDescent="0.3">
      <c r="K14045" s="1">
        <v>42005</v>
      </c>
      <c r="M14045" t="e">
        <v>#N/A</v>
      </c>
      <c r="N14045" s="1">
        <v>41640</v>
      </c>
    </row>
    <row r="14046" spans="11:14" x14ac:dyDescent="0.3">
      <c r="K14046" s="1">
        <v>42005</v>
      </c>
      <c r="M14046" t="e">
        <v>#N/A</v>
      </c>
      <c r="N14046" s="1">
        <v>41640</v>
      </c>
    </row>
    <row r="14047" spans="11:14" x14ac:dyDescent="0.3">
      <c r="K14047" s="1">
        <v>42005</v>
      </c>
      <c r="M14047" t="e">
        <v>#N/A</v>
      </c>
      <c r="N14047" s="1">
        <v>41640</v>
      </c>
    </row>
    <row r="14048" spans="11:14" x14ac:dyDescent="0.3">
      <c r="K14048" s="1">
        <v>42005</v>
      </c>
      <c r="M14048" t="e">
        <v>#N/A</v>
      </c>
      <c r="N14048" s="1">
        <v>41640</v>
      </c>
    </row>
    <row r="14049" spans="11:14" x14ac:dyDescent="0.3">
      <c r="K14049" s="1">
        <v>42005</v>
      </c>
      <c r="M14049" t="e">
        <v>#N/A</v>
      </c>
      <c r="N14049" s="1">
        <v>41640</v>
      </c>
    </row>
    <row r="14050" spans="11:14" x14ac:dyDescent="0.3">
      <c r="K14050" s="1">
        <v>42005</v>
      </c>
      <c r="M14050" t="e">
        <v>#N/A</v>
      </c>
      <c r="N14050" s="1">
        <v>41640</v>
      </c>
    </row>
    <row r="14051" spans="11:14" x14ac:dyDescent="0.3">
      <c r="K14051" s="1">
        <v>42005</v>
      </c>
      <c r="M14051" t="e">
        <v>#N/A</v>
      </c>
      <c r="N14051" s="1">
        <v>41640</v>
      </c>
    </row>
    <row r="14052" spans="11:14" x14ac:dyDescent="0.3">
      <c r="K14052" s="1">
        <v>42005</v>
      </c>
      <c r="M14052" t="e">
        <v>#N/A</v>
      </c>
      <c r="N14052" s="1">
        <v>41640</v>
      </c>
    </row>
    <row r="14053" spans="11:14" x14ac:dyDescent="0.3">
      <c r="K14053" s="1">
        <v>42005</v>
      </c>
      <c r="M14053" t="e">
        <v>#N/A</v>
      </c>
      <c r="N14053" s="1">
        <v>41640</v>
      </c>
    </row>
    <row r="14054" spans="11:14" x14ac:dyDescent="0.3">
      <c r="K14054" s="1">
        <v>42005</v>
      </c>
      <c r="M14054" t="e">
        <v>#N/A</v>
      </c>
      <c r="N14054" s="1">
        <v>41640</v>
      </c>
    </row>
    <row r="14055" spans="11:14" x14ac:dyDescent="0.3">
      <c r="K14055" s="1">
        <v>42005</v>
      </c>
      <c r="M14055" t="e">
        <v>#N/A</v>
      </c>
      <c r="N14055" s="1">
        <v>41640</v>
      </c>
    </row>
    <row r="14056" spans="11:14" x14ac:dyDescent="0.3">
      <c r="K14056" s="1">
        <v>42005</v>
      </c>
      <c r="M14056" t="e">
        <v>#N/A</v>
      </c>
      <c r="N14056" s="1">
        <v>41640</v>
      </c>
    </row>
    <row r="14057" spans="11:14" x14ac:dyDescent="0.3">
      <c r="K14057" s="1">
        <v>42005</v>
      </c>
      <c r="M14057" t="e">
        <v>#N/A</v>
      </c>
      <c r="N14057" s="1">
        <v>41640</v>
      </c>
    </row>
    <row r="14058" spans="11:14" x14ac:dyDescent="0.3">
      <c r="K14058" s="1">
        <v>42005</v>
      </c>
      <c r="M14058" t="e">
        <v>#N/A</v>
      </c>
      <c r="N14058" s="1">
        <v>41640</v>
      </c>
    </row>
    <row r="14059" spans="11:14" x14ac:dyDescent="0.3">
      <c r="K14059" s="1">
        <v>42005</v>
      </c>
      <c r="M14059" t="e">
        <v>#N/A</v>
      </c>
      <c r="N14059" s="1">
        <v>41640</v>
      </c>
    </row>
    <row r="14060" spans="11:14" x14ac:dyDescent="0.3">
      <c r="K14060" s="1">
        <v>42005</v>
      </c>
      <c r="M14060" t="e">
        <v>#N/A</v>
      </c>
      <c r="N14060" s="1">
        <v>41640</v>
      </c>
    </row>
    <row r="14061" spans="11:14" x14ac:dyDescent="0.3">
      <c r="K14061" s="1">
        <v>42005</v>
      </c>
      <c r="M14061" t="e">
        <v>#N/A</v>
      </c>
      <c r="N14061" s="1">
        <v>41640</v>
      </c>
    </row>
    <row r="14062" spans="11:14" x14ac:dyDescent="0.3">
      <c r="K14062" s="1">
        <v>42005</v>
      </c>
      <c r="M14062" t="e">
        <v>#N/A</v>
      </c>
      <c r="N14062" s="1">
        <v>41640</v>
      </c>
    </row>
    <row r="14063" spans="11:14" x14ac:dyDescent="0.3">
      <c r="K14063" s="1">
        <v>42005</v>
      </c>
      <c r="M14063" t="e">
        <v>#N/A</v>
      </c>
      <c r="N14063" s="1">
        <v>41640</v>
      </c>
    </row>
    <row r="14064" spans="11:14" x14ac:dyDescent="0.3">
      <c r="K14064" s="1">
        <v>42005</v>
      </c>
      <c r="M14064" t="e">
        <v>#N/A</v>
      </c>
      <c r="N14064" s="1">
        <v>41640</v>
      </c>
    </row>
    <row r="14065" spans="11:14" x14ac:dyDescent="0.3">
      <c r="K14065" s="1">
        <v>42005</v>
      </c>
      <c r="M14065" t="e">
        <v>#N/A</v>
      </c>
      <c r="N14065" s="1">
        <v>41640</v>
      </c>
    </row>
    <row r="14066" spans="11:14" x14ac:dyDescent="0.3">
      <c r="K14066" s="1">
        <v>42005</v>
      </c>
      <c r="M14066" t="e">
        <v>#N/A</v>
      </c>
      <c r="N14066" s="1">
        <v>41640</v>
      </c>
    </row>
    <row r="14067" spans="11:14" x14ac:dyDescent="0.3">
      <c r="K14067" s="1">
        <v>42005</v>
      </c>
      <c r="M14067" t="e">
        <v>#N/A</v>
      </c>
      <c r="N14067" s="1">
        <v>41640</v>
      </c>
    </row>
    <row r="14068" spans="11:14" x14ac:dyDescent="0.3">
      <c r="K14068" s="1">
        <v>42005</v>
      </c>
      <c r="M14068" t="e">
        <v>#N/A</v>
      </c>
      <c r="N14068" s="1">
        <v>41640</v>
      </c>
    </row>
    <row r="14069" spans="11:14" x14ac:dyDescent="0.3">
      <c r="K14069" s="1">
        <v>42005</v>
      </c>
      <c r="M14069" t="e">
        <v>#N/A</v>
      </c>
      <c r="N14069" s="1">
        <v>41640</v>
      </c>
    </row>
    <row r="14070" spans="11:14" x14ac:dyDescent="0.3">
      <c r="K14070" s="1">
        <v>42005</v>
      </c>
      <c r="M14070" t="e">
        <v>#N/A</v>
      </c>
      <c r="N14070" s="1">
        <v>41640</v>
      </c>
    </row>
    <row r="14071" spans="11:14" x14ac:dyDescent="0.3">
      <c r="K14071" s="1">
        <v>42005</v>
      </c>
      <c r="M14071" t="e">
        <v>#N/A</v>
      </c>
      <c r="N14071" s="1">
        <v>41640</v>
      </c>
    </row>
    <row r="14072" spans="11:14" x14ac:dyDescent="0.3">
      <c r="K14072" s="1">
        <v>42005</v>
      </c>
      <c r="M14072" t="e">
        <v>#N/A</v>
      </c>
      <c r="N14072" s="1">
        <v>41640</v>
      </c>
    </row>
    <row r="14073" spans="11:14" x14ac:dyDescent="0.3">
      <c r="K14073" s="1">
        <v>42005</v>
      </c>
      <c r="M14073" t="e">
        <v>#N/A</v>
      </c>
      <c r="N14073" s="1">
        <v>41640</v>
      </c>
    </row>
    <row r="14074" spans="11:14" x14ac:dyDescent="0.3">
      <c r="K14074" s="1">
        <v>42005</v>
      </c>
      <c r="M14074" t="e">
        <v>#N/A</v>
      </c>
      <c r="N14074" s="1">
        <v>41640</v>
      </c>
    </row>
    <row r="14075" spans="11:14" x14ac:dyDescent="0.3">
      <c r="K14075" s="1">
        <v>42005</v>
      </c>
      <c r="M14075" t="e">
        <v>#N/A</v>
      </c>
      <c r="N14075" s="1">
        <v>41640</v>
      </c>
    </row>
    <row r="14076" spans="11:14" x14ac:dyDescent="0.3">
      <c r="K14076" s="1">
        <v>42005</v>
      </c>
      <c r="M14076" t="e">
        <v>#N/A</v>
      </c>
      <c r="N14076" s="1">
        <v>41640</v>
      </c>
    </row>
    <row r="14077" spans="11:14" x14ac:dyDescent="0.3">
      <c r="K14077" s="1">
        <v>42005</v>
      </c>
      <c r="M14077" t="e">
        <v>#N/A</v>
      </c>
      <c r="N14077" s="1">
        <v>41640</v>
      </c>
    </row>
    <row r="14078" spans="11:14" x14ac:dyDescent="0.3">
      <c r="K14078" s="1">
        <v>42005</v>
      </c>
      <c r="M14078" t="e">
        <v>#N/A</v>
      </c>
      <c r="N14078" s="1">
        <v>41640</v>
      </c>
    </row>
    <row r="14079" spans="11:14" x14ac:dyDescent="0.3">
      <c r="K14079" s="1">
        <v>42005</v>
      </c>
      <c r="M14079" t="e">
        <v>#N/A</v>
      </c>
      <c r="N14079" s="1">
        <v>41640</v>
      </c>
    </row>
    <row r="14080" spans="11:14" x14ac:dyDescent="0.3">
      <c r="K14080" s="1">
        <v>42005</v>
      </c>
      <c r="M14080" t="e">
        <v>#N/A</v>
      </c>
      <c r="N14080" s="1">
        <v>41640</v>
      </c>
    </row>
    <row r="14081" spans="11:14" x14ac:dyDescent="0.3">
      <c r="K14081" s="1">
        <v>42005</v>
      </c>
      <c r="M14081" t="e">
        <v>#N/A</v>
      </c>
      <c r="N14081" s="1">
        <v>41640</v>
      </c>
    </row>
    <row r="14082" spans="11:14" x14ac:dyDescent="0.3">
      <c r="K14082" s="1">
        <v>42005</v>
      </c>
      <c r="M14082" t="e">
        <v>#N/A</v>
      </c>
      <c r="N14082" s="1">
        <v>41640</v>
      </c>
    </row>
    <row r="14083" spans="11:14" x14ac:dyDescent="0.3">
      <c r="K14083" s="1">
        <v>42095</v>
      </c>
      <c r="M14083" t="e">
        <v>#N/A</v>
      </c>
      <c r="N14083" s="1">
        <v>41640</v>
      </c>
    </row>
    <row r="14084" spans="11:14" x14ac:dyDescent="0.3">
      <c r="K14084" s="1">
        <v>42095</v>
      </c>
      <c r="M14084" t="e">
        <v>#N/A</v>
      </c>
      <c r="N14084" s="1">
        <v>41640</v>
      </c>
    </row>
    <row r="14085" spans="11:14" x14ac:dyDescent="0.3">
      <c r="K14085" s="1">
        <v>42095</v>
      </c>
      <c r="M14085" t="e">
        <v>#N/A</v>
      </c>
      <c r="N14085" s="1">
        <v>41640</v>
      </c>
    </row>
    <row r="14086" spans="11:14" x14ac:dyDescent="0.3">
      <c r="K14086" s="1">
        <v>42095</v>
      </c>
      <c r="M14086" t="e">
        <v>#N/A</v>
      </c>
      <c r="N14086" s="1">
        <v>41640</v>
      </c>
    </row>
    <row r="14087" spans="11:14" x14ac:dyDescent="0.3">
      <c r="K14087" s="1">
        <v>42095</v>
      </c>
      <c r="M14087" t="e">
        <v>#N/A</v>
      </c>
      <c r="N14087" s="1">
        <v>41640</v>
      </c>
    </row>
    <row r="14088" spans="11:14" x14ac:dyDescent="0.3">
      <c r="K14088" s="1">
        <v>42095</v>
      </c>
      <c r="M14088" t="e">
        <v>#N/A</v>
      </c>
      <c r="N14088" s="1">
        <v>41640</v>
      </c>
    </row>
    <row r="14089" spans="11:14" x14ac:dyDescent="0.3">
      <c r="K14089" s="1">
        <v>42095</v>
      </c>
      <c r="M14089" t="e">
        <v>#N/A</v>
      </c>
      <c r="N14089" s="1">
        <v>41640</v>
      </c>
    </row>
    <row r="14090" spans="11:14" x14ac:dyDescent="0.3">
      <c r="K14090" s="1">
        <v>42095</v>
      </c>
      <c r="M14090" t="e">
        <v>#N/A</v>
      </c>
      <c r="N14090" s="1">
        <v>41640</v>
      </c>
    </row>
    <row r="14091" spans="11:14" x14ac:dyDescent="0.3">
      <c r="K14091" s="1">
        <v>42095</v>
      </c>
      <c r="M14091" t="e">
        <v>#N/A</v>
      </c>
      <c r="N14091" s="1">
        <v>41640</v>
      </c>
    </row>
    <row r="14092" spans="11:14" x14ac:dyDescent="0.3">
      <c r="K14092" s="1">
        <v>42095</v>
      </c>
      <c r="M14092" t="e">
        <v>#N/A</v>
      </c>
      <c r="N14092" s="1">
        <v>41640</v>
      </c>
    </row>
    <row r="14093" spans="11:14" x14ac:dyDescent="0.3">
      <c r="K14093" s="1">
        <v>42095</v>
      </c>
      <c r="M14093" t="e">
        <v>#N/A</v>
      </c>
      <c r="N14093" s="1">
        <v>41640</v>
      </c>
    </row>
    <row r="14094" spans="11:14" x14ac:dyDescent="0.3">
      <c r="K14094" s="1">
        <v>42095</v>
      </c>
      <c r="M14094" t="e">
        <v>#N/A</v>
      </c>
      <c r="N14094" s="1">
        <v>41640</v>
      </c>
    </row>
    <row r="14095" spans="11:14" x14ac:dyDescent="0.3">
      <c r="K14095" s="1">
        <v>42095</v>
      </c>
      <c r="M14095" t="e">
        <v>#N/A</v>
      </c>
      <c r="N14095" s="1">
        <v>41640</v>
      </c>
    </row>
    <row r="14096" spans="11:14" x14ac:dyDescent="0.3">
      <c r="K14096" s="1">
        <v>42095</v>
      </c>
      <c r="M14096" t="e">
        <v>#N/A</v>
      </c>
      <c r="N14096" s="1">
        <v>41640</v>
      </c>
    </row>
    <row r="14097" spans="11:14" x14ac:dyDescent="0.3">
      <c r="K14097" s="1">
        <v>42095</v>
      </c>
      <c r="M14097" t="e">
        <v>#N/A</v>
      </c>
      <c r="N14097" s="1">
        <v>41640</v>
      </c>
    </row>
    <row r="14098" spans="11:14" x14ac:dyDescent="0.3">
      <c r="K14098" s="1">
        <v>42095</v>
      </c>
      <c r="M14098" t="e">
        <v>#N/A</v>
      </c>
      <c r="N14098" s="1">
        <v>41640</v>
      </c>
    </row>
    <row r="14099" spans="11:14" x14ac:dyDescent="0.3">
      <c r="K14099" s="1">
        <v>42095</v>
      </c>
      <c r="M14099" t="e">
        <v>#N/A</v>
      </c>
      <c r="N14099" s="1">
        <v>41640</v>
      </c>
    </row>
    <row r="14100" spans="11:14" x14ac:dyDescent="0.3">
      <c r="K14100" s="1">
        <v>42095</v>
      </c>
      <c r="M14100" t="e">
        <v>#N/A</v>
      </c>
      <c r="N14100" s="1">
        <v>41640</v>
      </c>
    </row>
    <row r="14101" spans="11:14" x14ac:dyDescent="0.3">
      <c r="K14101" s="1">
        <v>42095</v>
      </c>
      <c r="M14101" t="e">
        <v>#N/A</v>
      </c>
      <c r="N14101" s="1">
        <v>41640</v>
      </c>
    </row>
    <row r="14102" spans="11:14" x14ac:dyDescent="0.3">
      <c r="K14102" s="1">
        <v>42095</v>
      </c>
      <c r="M14102" t="e">
        <v>#N/A</v>
      </c>
      <c r="N14102" s="1">
        <v>41640</v>
      </c>
    </row>
    <row r="14103" spans="11:14" x14ac:dyDescent="0.3">
      <c r="K14103" s="1">
        <v>42095</v>
      </c>
      <c r="M14103" t="e">
        <v>#N/A</v>
      </c>
      <c r="N14103" s="1">
        <v>41640</v>
      </c>
    </row>
    <row r="14104" spans="11:14" x14ac:dyDescent="0.3">
      <c r="K14104" s="1">
        <v>42095</v>
      </c>
      <c r="M14104" t="e">
        <v>#N/A</v>
      </c>
      <c r="N14104" s="1">
        <v>41640</v>
      </c>
    </row>
    <row r="14105" spans="11:14" x14ac:dyDescent="0.3">
      <c r="K14105" s="1">
        <v>42095</v>
      </c>
      <c r="M14105" t="e">
        <v>#N/A</v>
      </c>
      <c r="N14105" s="1">
        <v>41640</v>
      </c>
    </row>
    <row r="14106" spans="11:14" x14ac:dyDescent="0.3">
      <c r="K14106" s="1">
        <v>42095</v>
      </c>
      <c r="M14106" t="e">
        <v>#N/A</v>
      </c>
      <c r="N14106" s="1">
        <v>41640</v>
      </c>
    </row>
    <row r="14107" spans="11:14" x14ac:dyDescent="0.3">
      <c r="K14107" s="1">
        <v>42095</v>
      </c>
      <c r="M14107" t="e">
        <v>#N/A</v>
      </c>
      <c r="N14107" s="1">
        <v>41640</v>
      </c>
    </row>
    <row r="14108" spans="11:14" x14ac:dyDescent="0.3">
      <c r="K14108" s="1">
        <v>42095</v>
      </c>
      <c r="M14108" t="e">
        <v>#N/A</v>
      </c>
      <c r="N14108" s="1">
        <v>41640</v>
      </c>
    </row>
    <row r="14109" spans="11:14" x14ac:dyDescent="0.3">
      <c r="K14109" s="1">
        <v>42095</v>
      </c>
      <c r="M14109" t="e">
        <v>#N/A</v>
      </c>
      <c r="N14109" s="1">
        <v>41640</v>
      </c>
    </row>
    <row r="14110" spans="11:14" x14ac:dyDescent="0.3">
      <c r="K14110" s="1">
        <v>42095</v>
      </c>
      <c r="M14110" t="e">
        <v>#N/A</v>
      </c>
      <c r="N14110" s="1">
        <v>41640</v>
      </c>
    </row>
    <row r="14111" spans="11:14" x14ac:dyDescent="0.3">
      <c r="K14111" s="1">
        <v>42095</v>
      </c>
      <c r="M14111" t="e">
        <v>#N/A</v>
      </c>
      <c r="N14111" s="1">
        <v>41640</v>
      </c>
    </row>
    <row r="14112" spans="11:14" x14ac:dyDescent="0.3">
      <c r="K14112" s="1">
        <v>42095</v>
      </c>
      <c r="M14112" t="e">
        <v>#N/A</v>
      </c>
      <c r="N14112" s="1">
        <v>41640</v>
      </c>
    </row>
    <row r="14113" spans="11:14" x14ac:dyDescent="0.3">
      <c r="K14113" s="1">
        <v>42095</v>
      </c>
      <c r="M14113" t="e">
        <v>#N/A</v>
      </c>
      <c r="N14113" s="1">
        <v>41640</v>
      </c>
    </row>
    <row r="14114" spans="11:14" x14ac:dyDescent="0.3">
      <c r="K14114" s="1">
        <v>42095</v>
      </c>
      <c r="M14114" t="e">
        <v>#N/A</v>
      </c>
      <c r="N14114" s="1">
        <v>41640</v>
      </c>
    </row>
    <row r="14115" spans="11:14" x14ac:dyDescent="0.3">
      <c r="K14115" s="1">
        <v>42095</v>
      </c>
      <c r="M14115" t="e">
        <v>#N/A</v>
      </c>
      <c r="N14115" s="1">
        <v>41640</v>
      </c>
    </row>
    <row r="14116" spans="11:14" x14ac:dyDescent="0.3">
      <c r="K14116" s="1">
        <v>42095</v>
      </c>
      <c r="M14116" t="e">
        <v>#N/A</v>
      </c>
      <c r="N14116" s="1">
        <v>41640</v>
      </c>
    </row>
    <row r="14117" spans="11:14" x14ac:dyDescent="0.3">
      <c r="K14117" s="1">
        <v>42095</v>
      </c>
      <c r="M14117" t="e">
        <v>#N/A</v>
      </c>
      <c r="N14117" s="1">
        <v>41640</v>
      </c>
    </row>
    <row r="14118" spans="11:14" x14ac:dyDescent="0.3">
      <c r="K14118" s="1">
        <v>42095</v>
      </c>
      <c r="M14118" t="e">
        <v>#N/A</v>
      </c>
      <c r="N14118" s="1">
        <v>41640</v>
      </c>
    </row>
    <row r="14119" spans="11:14" x14ac:dyDescent="0.3">
      <c r="K14119" s="1">
        <v>42095</v>
      </c>
      <c r="M14119" t="e">
        <v>#N/A</v>
      </c>
      <c r="N14119" s="1">
        <v>41640</v>
      </c>
    </row>
    <row r="14120" spans="11:14" x14ac:dyDescent="0.3">
      <c r="K14120" s="1">
        <v>42095</v>
      </c>
      <c r="M14120" t="e">
        <v>#N/A</v>
      </c>
      <c r="N14120" s="1">
        <v>41640</v>
      </c>
    </row>
    <row r="14121" spans="11:14" x14ac:dyDescent="0.3">
      <c r="K14121" s="1">
        <v>42095</v>
      </c>
      <c r="M14121" t="e">
        <v>#N/A</v>
      </c>
      <c r="N14121" s="1">
        <v>41640</v>
      </c>
    </row>
    <row r="14122" spans="11:14" x14ac:dyDescent="0.3">
      <c r="K14122" s="1">
        <v>42095</v>
      </c>
      <c r="M14122" t="e">
        <v>#N/A</v>
      </c>
      <c r="N14122" s="1">
        <v>41640</v>
      </c>
    </row>
    <row r="14123" spans="11:14" x14ac:dyDescent="0.3">
      <c r="K14123" s="1">
        <v>42095</v>
      </c>
      <c r="M14123" t="e">
        <v>#N/A</v>
      </c>
      <c r="N14123" s="1">
        <v>41640</v>
      </c>
    </row>
    <row r="14124" spans="11:14" x14ac:dyDescent="0.3">
      <c r="K14124" s="1">
        <v>42095</v>
      </c>
      <c r="M14124" t="e">
        <v>#N/A</v>
      </c>
      <c r="N14124" s="1">
        <v>41640</v>
      </c>
    </row>
    <row r="14125" spans="11:14" x14ac:dyDescent="0.3">
      <c r="K14125" s="1">
        <v>42095</v>
      </c>
      <c r="M14125" t="e">
        <v>#N/A</v>
      </c>
      <c r="N14125" s="1">
        <v>41640</v>
      </c>
    </row>
    <row r="14126" spans="11:14" x14ac:dyDescent="0.3">
      <c r="K14126" s="1">
        <v>42095</v>
      </c>
      <c r="M14126" t="e">
        <v>#N/A</v>
      </c>
      <c r="N14126" s="1">
        <v>41640</v>
      </c>
    </row>
    <row r="14127" spans="11:14" x14ac:dyDescent="0.3">
      <c r="K14127" s="1">
        <v>42095</v>
      </c>
      <c r="M14127" t="e">
        <v>#N/A</v>
      </c>
      <c r="N14127" s="1">
        <v>41640</v>
      </c>
    </row>
    <row r="14128" spans="11:14" x14ac:dyDescent="0.3">
      <c r="K14128" s="1">
        <v>42095</v>
      </c>
      <c r="M14128" t="e">
        <v>#N/A</v>
      </c>
      <c r="N14128" s="1">
        <v>41640</v>
      </c>
    </row>
    <row r="14129" spans="11:14" x14ac:dyDescent="0.3">
      <c r="K14129" s="1">
        <v>42095</v>
      </c>
      <c r="M14129" t="e">
        <v>#N/A</v>
      </c>
      <c r="N14129" s="1">
        <v>41640</v>
      </c>
    </row>
    <row r="14130" spans="11:14" x14ac:dyDescent="0.3">
      <c r="K14130" s="1">
        <v>42095</v>
      </c>
      <c r="M14130" t="e">
        <v>#N/A</v>
      </c>
      <c r="N14130" s="1">
        <v>41640</v>
      </c>
    </row>
    <row r="14131" spans="11:14" x14ac:dyDescent="0.3">
      <c r="K14131" s="1">
        <v>42095</v>
      </c>
      <c r="M14131" t="e">
        <v>#N/A</v>
      </c>
      <c r="N14131" s="1">
        <v>41640</v>
      </c>
    </row>
    <row r="14132" spans="11:14" x14ac:dyDescent="0.3">
      <c r="K14132" s="1">
        <v>42095</v>
      </c>
      <c r="M14132" t="e">
        <v>#N/A</v>
      </c>
      <c r="N14132" s="1">
        <v>41640</v>
      </c>
    </row>
    <row r="14133" spans="11:14" x14ac:dyDescent="0.3">
      <c r="K14133" s="1">
        <v>42095</v>
      </c>
      <c r="M14133" t="e">
        <v>#N/A</v>
      </c>
      <c r="N14133" s="1">
        <v>41640</v>
      </c>
    </row>
    <row r="14134" spans="11:14" x14ac:dyDescent="0.3">
      <c r="K14134" s="1">
        <v>42095</v>
      </c>
      <c r="M14134" t="e">
        <v>#N/A</v>
      </c>
      <c r="N14134" s="1">
        <v>41640</v>
      </c>
    </row>
    <row r="14135" spans="11:14" x14ac:dyDescent="0.3">
      <c r="K14135" s="1">
        <v>42095</v>
      </c>
      <c r="M14135" t="e">
        <v>#N/A</v>
      </c>
      <c r="N14135" s="1">
        <v>41640</v>
      </c>
    </row>
    <row r="14136" spans="11:14" x14ac:dyDescent="0.3">
      <c r="K14136" s="1">
        <v>42095</v>
      </c>
      <c r="M14136" t="e">
        <v>#N/A</v>
      </c>
      <c r="N14136" s="1">
        <v>41640</v>
      </c>
    </row>
    <row r="14137" spans="11:14" x14ac:dyDescent="0.3">
      <c r="K14137" s="1">
        <v>42095</v>
      </c>
      <c r="M14137" t="e">
        <v>#N/A</v>
      </c>
      <c r="N14137" s="1">
        <v>41640</v>
      </c>
    </row>
    <row r="14138" spans="11:14" x14ac:dyDescent="0.3">
      <c r="K14138" s="1">
        <v>42095</v>
      </c>
      <c r="M14138" t="e">
        <v>#N/A</v>
      </c>
      <c r="N14138" s="1">
        <v>41640</v>
      </c>
    </row>
    <row r="14139" spans="11:14" x14ac:dyDescent="0.3">
      <c r="K14139" s="1">
        <v>42095</v>
      </c>
      <c r="M14139" t="e">
        <v>#N/A</v>
      </c>
      <c r="N14139" s="1">
        <v>41640</v>
      </c>
    </row>
    <row r="14140" spans="11:14" x14ac:dyDescent="0.3">
      <c r="K14140" s="1">
        <v>42095</v>
      </c>
      <c r="M14140" t="e">
        <v>#N/A</v>
      </c>
      <c r="N14140" s="1">
        <v>41640</v>
      </c>
    </row>
    <row r="14141" spans="11:14" x14ac:dyDescent="0.3">
      <c r="K14141" s="1">
        <v>42095</v>
      </c>
      <c r="M14141" t="e">
        <v>#N/A</v>
      </c>
      <c r="N14141" s="1">
        <v>41640</v>
      </c>
    </row>
    <row r="14142" spans="11:14" x14ac:dyDescent="0.3">
      <c r="K14142" s="1">
        <v>42095</v>
      </c>
      <c r="M14142" t="e">
        <v>#N/A</v>
      </c>
      <c r="N14142" s="1">
        <v>41640</v>
      </c>
    </row>
    <row r="14143" spans="11:14" x14ac:dyDescent="0.3">
      <c r="K14143" s="1">
        <v>42095</v>
      </c>
      <c r="M14143" t="e">
        <v>#N/A</v>
      </c>
      <c r="N14143" s="1">
        <v>41640</v>
      </c>
    </row>
    <row r="14144" spans="11:14" x14ac:dyDescent="0.3">
      <c r="K14144" s="1">
        <v>42095</v>
      </c>
      <c r="M14144" t="e">
        <v>#N/A</v>
      </c>
      <c r="N14144" s="1">
        <v>41640</v>
      </c>
    </row>
    <row r="14145" spans="11:14" x14ac:dyDescent="0.3">
      <c r="K14145" s="1">
        <v>42095</v>
      </c>
      <c r="M14145" t="e">
        <v>#N/A</v>
      </c>
      <c r="N14145" s="1">
        <v>41640</v>
      </c>
    </row>
    <row r="14146" spans="11:14" x14ac:dyDescent="0.3">
      <c r="K14146" s="1">
        <v>42095</v>
      </c>
      <c r="M14146" t="e">
        <v>#N/A</v>
      </c>
      <c r="N14146" s="1">
        <v>41640</v>
      </c>
    </row>
    <row r="14147" spans="11:14" x14ac:dyDescent="0.3">
      <c r="K14147" s="1">
        <v>42095</v>
      </c>
      <c r="M14147" t="e">
        <v>#N/A</v>
      </c>
      <c r="N14147" s="1">
        <v>41640</v>
      </c>
    </row>
    <row r="14148" spans="11:14" x14ac:dyDescent="0.3">
      <c r="K14148" s="1">
        <v>42095</v>
      </c>
      <c r="M14148" t="e">
        <v>#N/A</v>
      </c>
      <c r="N14148" s="1">
        <v>41640</v>
      </c>
    </row>
    <row r="14149" spans="11:14" x14ac:dyDescent="0.3">
      <c r="K14149" s="1">
        <v>42095</v>
      </c>
      <c r="M14149" t="e">
        <v>#N/A</v>
      </c>
      <c r="N14149" s="1">
        <v>41640</v>
      </c>
    </row>
    <row r="14150" spans="11:14" x14ac:dyDescent="0.3">
      <c r="K14150" s="1">
        <v>42095</v>
      </c>
      <c r="M14150" t="e">
        <v>#N/A</v>
      </c>
      <c r="N14150" s="1">
        <v>41640</v>
      </c>
    </row>
    <row r="14151" spans="11:14" x14ac:dyDescent="0.3">
      <c r="K14151" s="1">
        <v>42095</v>
      </c>
      <c r="M14151" t="e">
        <v>#N/A</v>
      </c>
      <c r="N14151" s="1">
        <v>41640</v>
      </c>
    </row>
    <row r="14152" spans="11:14" x14ac:dyDescent="0.3">
      <c r="K14152" s="1">
        <v>42095</v>
      </c>
      <c r="M14152" t="e">
        <v>#N/A</v>
      </c>
      <c r="N14152" s="1">
        <v>41640</v>
      </c>
    </row>
    <row r="14153" spans="11:14" x14ac:dyDescent="0.3">
      <c r="K14153" s="1">
        <v>42095</v>
      </c>
      <c r="M14153" t="e">
        <v>#N/A</v>
      </c>
      <c r="N14153" s="1">
        <v>41640</v>
      </c>
    </row>
    <row r="14154" spans="11:14" x14ac:dyDescent="0.3">
      <c r="K14154" s="1">
        <v>42095</v>
      </c>
      <c r="M14154" t="e">
        <v>#N/A</v>
      </c>
      <c r="N14154" s="1">
        <v>41640</v>
      </c>
    </row>
    <row r="14155" spans="11:14" x14ac:dyDescent="0.3">
      <c r="K14155" s="1">
        <v>42095</v>
      </c>
      <c r="M14155" t="e">
        <v>#N/A</v>
      </c>
      <c r="N14155" s="1">
        <v>41640</v>
      </c>
    </row>
    <row r="14156" spans="11:14" x14ac:dyDescent="0.3">
      <c r="K14156" s="1">
        <v>42095</v>
      </c>
      <c r="M14156" t="e">
        <v>#N/A</v>
      </c>
      <c r="N14156" s="1">
        <v>41640</v>
      </c>
    </row>
    <row r="14157" spans="11:14" x14ac:dyDescent="0.3">
      <c r="K14157" s="1">
        <v>42095</v>
      </c>
      <c r="M14157" t="e">
        <v>#N/A</v>
      </c>
      <c r="N14157" s="1">
        <v>41640</v>
      </c>
    </row>
    <row r="14158" spans="11:14" x14ac:dyDescent="0.3">
      <c r="K14158" s="1">
        <v>42095</v>
      </c>
      <c r="M14158" t="e">
        <v>#N/A</v>
      </c>
      <c r="N14158" s="1">
        <v>41640</v>
      </c>
    </row>
    <row r="14159" spans="11:14" x14ac:dyDescent="0.3">
      <c r="K14159" s="1">
        <v>42095</v>
      </c>
      <c r="M14159" t="e">
        <v>#N/A</v>
      </c>
      <c r="N14159" s="1">
        <v>41640</v>
      </c>
    </row>
    <row r="14160" spans="11:14" x14ac:dyDescent="0.3">
      <c r="K14160" s="1">
        <v>42095</v>
      </c>
      <c r="M14160" t="e">
        <v>#N/A</v>
      </c>
      <c r="N14160" s="1">
        <v>41640</v>
      </c>
    </row>
    <row r="14161" spans="11:14" x14ac:dyDescent="0.3">
      <c r="K14161" s="1">
        <v>42095</v>
      </c>
      <c r="M14161" t="e">
        <v>#N/A</v>
      </c>
      <c r="N14161" s="1">
        <v>41640</v>
      </c>
    </row>
    <row r="14162" spans="11:14" x14ac:dyDescent="0.3">
      <c r="K14162" s="1">
        <v>42095</v>
      </c>
      <c r="M14162" t="e">
        <v>#N/A</v>
      </c>
      <c r="N14162" s="1">
        <v>41640</v>
      </c>
    </row>
    <row r="14163" spans="11:14" x14ac:dyDescent="0.3">
      <c r="K14163" s="1">
        <v>42095</v>
      </c>
      <c r="M14163" t="e">
        <v>#N/A</v>
      </c>
      <c r="N14163" s="1">
        <v>41640</v>
      </c>
    </row>
    <row r="14164" spans="11:14" x14ac:dyDescent="0.3">
      <c r="K14164" s="1">
        <v>42095</v>
      </c>
      <c r="M14164" t="e">
        <v>#N/A</v>
      </c>
      <c r="N14164" s="1">
        <v>41640</v>
      </c>
    </row>
    <row r="14165" spans="11:14" x14ac:dyDescent="0.3">
      <c r="K14165" s="1">
        <v>42095</v>
      </c>
      <c r="M14165" t="e">
        <v>#N/A</v>
      </c>
      <c r="N14165" s="1">
        <v>41640</v>
      </c>
    </row>
    <row r="14166" spans="11:14" x14ac:dyDescent="0.3">
      <c r="K14166" s="1">
        <v>42095</v>
      </c>
      <c r="M14166" t="e">
        <v>#N/A</v>
      </c>
      <c r="N14166" s="1">
        <v>41640</v>
      </c>
    </row>
    <row r="14167" spans="11:14" x14ac:dyDescent="0.3">
      <c r="K14167" s="1">
        <v>42095</v>
      </c>
      <c r="M14167" t="e">
        <v>#N/A</v>
      </c>
      <c r="N14167" s="1">
        <v>41640</v>
      </c>
    </row>
    <row r="14168" spans="11:14" x14ac:dyDescent="0.3">
      <c r="K14168" s="1">
        <v>42095</v>
      </c>
      <c r="M14168" t="e">
        <v>#N/A</v>
      </c>
      <c r="N14168" s="1">
        <v>41640</v>
      </c>
    </row>
    <row r="14169" spans="11:14" x14ac:dyDescent="0.3">
      <c r="K14169" s="1">
        <v>42095</v>
      </c>
      <c r="M14169" t="e">
        <v>#N/A</v>
      </c>
      <c r="N14169" s="1">
        <v>41640</v>
      </c>
    </row>
    <row r="14170" spans="11:14" x14ac:dyDescent="0.3">
      <c r="K14170" s="1">
        <v>42095</v>
      </c>
      <c r="M14170" t="e">
        <v>#N/A</v>
      </c>
      <c r="N14170" s="1">
        <v>41640</v>
      </c>
    </row>
    <row r="14171" spans="11:14" x14ac:dyDescent="0.3">
      <c r="K14171" s="1">
        <v>42095</v>
      </c>
      <c r="M14171" t="e">
        <v>#N/A</v>
      </c>
      <c r="N14171" s="1">
        <v>41640</v>
      </c>
    </row>
    <row r="14172" spans="11:14" x14ac:dyDescent="0.3">
      <c r="K14172" s="1">
        <v>42095</v>
      </c>
      <c r="M14172" t="e">
        <v>#N/A</v>
      </c>
      <c r="N14172" s="1">
        <v>41640</v>
      </c>
    </row>
    <row r="14173" spans="11:14" x14ac:dyDescent="0.3">
      <c r="K14173" s="1">
        <v>42095</v>
      </c>
      <c r="M14173" t="e">
        <v>#N/A</v>
      </c>
      <c r="N14173" s="1">
        <v>41640</v>
      </c>
    </row>
    <row r="14174" spans="11:14" x14ac:dyDescent="0.3">
      <c r="K14174" s="1">
        <v>42095</v>
      </c>
      <c r="M14174" t="e">
        <v>#N/A</v>
      </c>
      <c r="N14174" s="1">
        <v>41640</v>
      </c>
    </row>
    <row r="14175" spans="11:14" x14ac:dyDescent="0.3">
      <c r="K14175" s="1">
        <v>42095</v>
      </c>
      <c r="M14175" t="e">
        <v>#N/A</v>
      </c>
      <c r="N14175" s="1">
        <v>41640</v>
      </c>
    </row>
    <row r="14176" spans="11:14" x14ac:dyDescent="0.3">
      <c r="K14176" s="1">
        <v>42095</v>
      </c>
      <c r="M14176" t="e">
        <v>#N/A</v>
      </c>
      <c r="N14176" s="1">
        <v>41640</v>
      </c>
    </row>
    <row r="14177" spans="11:14" x14ac:dyDescent="0.3">
      <c r="K14177" s="1">
        <v>42095</v>
      </c>
      <c r="M14177" t="e">
        <v>#N/A</v>
      </c>
      <c r="N14177" s="1">
        <v>41640</v>
      </c>
    </row>
    <row r="14178" spans="11:14" x14ac:dyDescent="0.3">
      <c r="K14178" s="1">
        <v>42095</v>
      </c>
      <c r="M14178" t="e">
        <v>#N/A</v>
      </c>
      <c r="N14178" s="1">
        <v>41640</v>
      </c>
    </row>
    <row r="14179" spans="11:14" x14ac:dyDescent="0.3">
      <c r="K14179" s="1">
        <v>42095</v>
      </c>
      <c r="M14179" t="e">
        <v>#N/A</v>
      </c>
      <c r="N14179" s="1">
        <v>41640</v>
      </c>
    </row>
    <row r="14180" spans="11:14" x14ac:dyDescent="0.3">
      <c r="K14180" s="1">
        <v>42095</v>
      </c>
      <c r="M14180" t="e">
        <v>#N/A</v>
      </c>
      <c r="N14180" s="1">
        <v>41640</v>
      </c>
    </row>
    <row r="14181" spans="11:14" x14ac:dyDescent="0.3">
      <c r="K14181" s="1">
        <v>42095</v>
      </c>
      <c r="M14181" t="e">
        <v>#N/A</v>
      </c>
      <c r="N14181" s="1">
        <v>41640</v>
      </c>
    </row>
    <row r="14182" spans="11:14" x14ac:dyDescent="0.3">
      <c r="K14182" s="1">
        <v>42095</v>
      </c>
      <c r="M14182" t="e">
        <v>#N/A</v>
      </c>
      <c r="N14182" s="1">
        <v>41640</v>
      </c>
    </row>
    <row r="14183" spans="11:14" x14ac:dyDescent="0.3">
      <c r="K14183" s="1">
        <v>42095</v>
      </c>
      <c r="M14183" t="e">
        <v>#N/A</v>
      </c>
      <c r="N14183" s="1">
        <v>41640</v>
      </c>
    </row>
    <row r="14184" spans="11:14" x14ac:dyDescent="0.3">
      <c r="K14184" s="1">
        <v>42095</v>
      </c>
      <c r="M14184" t="e">
        <v>#N/A</v>
      </c>
      <c r="N14184" s="1">
        <v>41640</v>
      </c>
    </row>
    <row r="14185" spans="11:14" x14ac:dyDescent="0.3">
      <c r="K14185" s="1">
        <v>42095</v>
      </c>
      <c r="M14185" t="e">
        <v>#N/A</v>
      </c>
      <c r="N14185" s="1">
        <v>41640</v>
      </c>
    </row>
    <row r="14186" spans="11:14" x14ac:dyDescent="0.3">
      <c r="K14186" s="1">
        <v>42095</v>
      </c>
      <c r="M14186" t="e">
        <v>#N/A</v>
      </c>
      <c r="N14186" s="1">
        <v>41730</v>
      </c>
    </row>
    <row r="14187" spans="11:14" x14ac:dyDescent="0.3">
      <c r="K14187" s="1">
        <v>42095</v>
      </c>
      <c r="M14187" t="e">
        <v>#N/A</v>
      </c>
      <c r="N14187" s="1">
        <v>41730</v>
      </c>
    </row>
    <row r="14188" spans="11:14" x14ac:dyDescent="0.3">
      <c r="K14188" s="1">
        <v>42095</v>
      </c>
      <c r="M14188" t="e">
        <v>#N/A</v>
      </c>
      <c r="N14188" s="1">
        <v>41730</v>
      </c>
    </row>
    <row r="14189" spans="11:14" x14ac:dyDescent="0.3">
      <c r="K14189" s="1">
        <v>42095</v>
      </c>
      <c r="M14189" t="e">
        <v>#N/A</v>
      </c>
      <c r="N14189" s="1">
        <v>41730</v>
      </c>
    </row>
    <row r="14190" spans="11:14" x14ac:dyDescent="0.3">
      <c r="K14190" s="1">
        <v>42095</v>
      </c>
      <c r="M14190" t="e">
        <v>#N/A</v>
      </c>
      <c r="N14190" s="1">
        <v>41730</v>
      </c>
    </row>
    <row r="14191" spans="11:14" x14ac:dyDescent="0.3">
      <c r="K14191" s="1">
        <v>42095</v>
      </c>
      <c r="M14191" t="e">
        <v>#N/A</v>
      </c>
      <c r="N14191" s="1">
        <v>41730</v>
      </c>
    </row>
    <row r="14192" spans="11:14" x14ac:dyDescent="0.3">
      <c r="K14192" s="1">
        <v>42095</v>
      </c>
      <c r="M14192" t="e">
        <v>#N/A</v>
      </c>
      <c r="N14192" s="1">
        <v>41730</v>
      </c>
    </row>
    <row r="14193" spans="11:14" x14ac:dyDescent="0.3">
      <c r="K14193" s="1">
        <v>42095</v>
      </c>
      <c r="M14193" t="e">
        <v>#N/A</v>
      </c>
      <c r="N14193" s="1">
        <v>41730</v>
      </c>
    </row>
    <row r="14194" spans="11:14" x14ac:dyDescent="0.3">
      <c r="K14194" s="1">
        <v>42095</v>
      </c>
      <c r="M14194" t="e">
        <v>#N/A</v>
      </c>
      <c r="N14194" s="1">
        <v>41730</v>
      </c>
    </row>
    <row r="14195" spans="11:14" x14ac:dyDescent="0.3">
      <c r="K14195" s="1">
        <v>42095</v>
      </c>
      <c r="M14195" t="e">
        <v>#N/A</v>
      </c>
      <c r="N14195" s="1">
        <v>41730</v>
      </c>
    </row>
    <row r="14196" spans="11:14" x14ac:dyDescent="0.3">
      <c r="K14196" s="1">
        <v>42095</v>
      </c>
      <c r="M14196" t="e">
        <v>#N/A</v>
      </c>
      <c r="N14196" s="1">
        <v>41730</v>
      </c>
    </row>
    <row r="14197" spans="11:14" x14ac:dyDescent="0.3">
      <c r="K14197" s="1">
        <v>42095</v>
      </c>
      <c r="M14197" t="e">
        <v>#N/A</v>
      </c>
      <c r="N14197" s="1">
        <v>41730</v>
      </c>
    </row>
    <row r="14198" spans="11:14" x14ac:dyDescent="0.3">
      <c r="K14198" s="1">
        <v>42095</v>
      </c>
      <c r="M14198" t="e">
        <v>#N/A</v>
      </c>
      <c r="N14198" s="1">
        <v>41730</v>
      </c>
    </row>
    <row r="14199" spans="11:14" x14ac:dyDescent="0.3">
      <c r="K14199" s="1">
        <v>42095</v>
      </c>
      <c r="M14199" t="e">
        <v>#N/A</v>
      </c>
      <c r="N14199" s="1">
        <v>41730</v>
      </c>
    </row>
    <row r="14200" spans="11:14" x14ac:dyDescent="0.3">
      <c r="K14200" s="1">
        <v>42095</v>
      </c>
      <c r="M14200" t="e">
        <v>#N/A</v>
      </c>
      <c r="N14200" s="1">
        <v>41730</v>
      </c>
    </row>
    <row r="14201" spans="11:14" x14ac:dyDescent="0.3">
      <c r="K14201" s="1">
        <v>42095</v>
      </c>
      <c r="M14201" t="e">
        <v>#N/A</v>
      </c>
      <c r="N14201" s="1">
        <v>41730</v>
      </c>
    </row>
    <row r="14202" spans="11:14" x14ac:dyDescent="0.3">
      <c r="K14202" s="1">
        <v>42095</v>
      </c>
      <c r="M14202" t="e">
        <v>#N/A</v>
      </c>
      <c r="N14202" s="1">
        <v>41730</v>
      </c>
    </row>
    <row r="14203" spans="11:14" x14ac:dyDescent="0.3">
      <c r="K14203" s="1">
        <v>42095</v>
      </c>
      <c r="M14203" t="e">
        <v>#N/A</v>
      </c>
      <c r="N14203" s="1">
        <v>41730</v>
      </c>
    </row>
    <row r="14204" spans="11:14" x14ac:dyDescent="0.3">
      <c r="K14204" s="1">
        <v>42095</v>
      </c>
      <c r="M14204" t="e">
        <v>#N/A</v>
      </c>
      <c r="N14204" s="1">
        <v>41730</v>
      </c>
    </row>
    <row r="14205" spans="11:14" x14ac:dyDescent="0.3">
      <c r="K14205" s="1">
        <v>42095</v>
      </c>
      <c r="M14205" t="e">
        <v>#N/A</v>
      </c>
      <c r="N14205" s="1">
        <v>41730</v>
      </c>
    </row>
    <row r="14206" spans="11:14" x14ac:dyDescent="0.3">
      <c r="K14206" s="1">
        <v>42095</v>
      </c>
      <c r="M14206" t="e">
        <v>#N/A</v>
      </c>
      <c r="N14206" s="1">
        <v>41730</v>
      </c>
    </row>
    <row r="14207" spans="11:14" x14ac:dyDescent="0.3">
      <c r="K14207" s="1">
        <v>42095</v>
      </c>
      <c r="M14207" t="e">
        <v>#N/A</v>
      </c>
      <c r="N14207" s="1">
        <v>41730</v>
      </c>
    </row>
    <row r="14208" spans="11:14" x14ac:dyDescent="0.3">
      <c r="K14208" s="1">
        <v>42095</v>
      </c>
      <c r="M14208" t="e">
        <v>#N/A</v>
      </c>
      <c r="N14208" s="1">
        <v>41730</v>
      </c>
    </row>
    <row r="14209" spans="11:14" x14ac:dyDescent="0.3">
      <c r="K14209" s="1">
        <v>42095</v>
      </c>
      <c r="M14209" t="e">
        <v>#N/A</v>
      </c>
      <c r="N14209" s="1">
        <v>41730</v>
      </c>
    </row>
    <row r="14210" spans="11:14" x14ac:dyDescent="0.3">
      <c r="K14210" s="1">
        <v>42095</v>
      </c>
      <c r="M14210" t="e">
        <v>#N/A</v>
      </c>
      <c r="N14210" s="1">
        <v>41730</v>
      </c>
    </row>
    <row r="14211" spans="11:14" x14ac:dyDescent="0.3">
      <c r="K14211" s="1">
        <v>42095</v>
      </c>
      <c r="M14211" t="e">
        <v>#N/A</v>
      </c>
      <c r="N14211" s="1">
        <v>41730</v>
      </c>
    </row>
    <row r="14212" spans="11:14" x14ac:dyDescent="0.3">
      <c r="K14212" s="1">
        <v>42095</v>
      </c>
      <c r="M14212" t="e">
        <v>#N/A</v>
      </c>
      <c r="N14212" s="1">
        <v>41730</v>
      </c>
    </row>
    <row r="14213" spans="11:14" x14ac:dyDescent="0.3">
      <c r="K14213" s="1">
        <v>42095</v>
      </c>
      <c r="M14213" t="e">
        <v>#N/A</v>
      </c>
      <c r="N14213" s="1">
        <v>41730</v>
      </c>
    </row>
    <row r="14214" spans="11:14" x14ac:dyDescent="0.3">
      <c r="K14214" s="1">
        <v>42095</v>
      </c>
      <c r="M14214" t="e">
        <v>#N/A</v>
      </c>
      <c r="N14214" s="1">
        <v>41730</v>
      </c>
    </row>
    <row r="14215" spans="11:14" x14ac:dyDescent="0.3">
      <c r="K14215" s="1">
        <v>42095</v>
      </c>
      <c r="M14215" t="e">
        <v>#N/A</v>
      </c>
      <c r="N14215" s="1">
        <v>41730</v>
      </c>
    </row>
    <row r="14216" spans="11:14" x14ac:dyDescent="0.3">
      <c r="K14216" s="1">
        <v>42095</v>
      </c>
      <c r="M14216" t="e">
        <v>#N/A</v>
      </c>
      <c r="N14216" s="1">
        <v>41730</v>
      </c>
    </row>
    <row r="14217" spans="11:14" x14ac:dyDescent="0.3">
      <c r="K14217" s="1">
        <v>42095</v>
      </c>
      <c r="M14217" t="e">
        <v>#N/A</v>
      </c>
      <c r="N14217" s="1">
        <v>41730</v>
      </c>
    </row>
    <row r="14218" spans="11:14" x14ac:dyDescent="0.3">
      <c r="K14218" s="1">
        <v>42095</v>
      </c>
      <c r="M14218" t="e">
        <v>#N/A</v>
      </c>
      <c r="N14218" s="1">
        <v>41730</v>
      </c>
    </row>
    <row r="14219" spans="11:14" x14ac:dyDescent="0.3">
      <c r="K14219" s="1">
        <v>42095</v>
      </c>
      <c r="M14219" t="e">
        <v>#N/A</v>
      </c>
      <c r="N14219" s="1">
        <v>41730</v>
      </c>
    </row>
    <row r="14220" spans="11:14" x14ac:dyDescent="0.3">
      <c r="K14220" s="1">
        <v>42095</v>
      </c>
      <c r="M14220" t="e">
        <v>#N/A</v>
      </c>
      <c r="N14220" s="1">
        <v>41730</v>
      </c>
    </row>
    <row r="14221" spans="11:14" x14ac:dyDescent="0.3">
      <c r="K14221" s="1">
        <v>42095</v>
      </c>
      <c r="M14221" t="e">
        <v>#N/A</v>
      </c>
      <c r="N14221" s="1">
        <v>41730</v>
      </c>
    </row>
    <row r="14222" spans="11:14" x14ac:dyDescent="0.3">
      <c r="K14222" s="1">
        <v>42095</v>
      </c>
      <c r="M14222" t="e">
        <v>#N/A</v>
      </c>
      <c r="N14222" s="1">
        <v>41730</v>
      </c>
    </row>
    <row r="14223" spans="11:14" x14ac:dyDescent="0.3">
      <c r="K14223" s="1">
        <v>42095</v>
      </c>
      <c r="M14223" t="e">
        <v>#N/A</v>
      </c>
      <c r="N14223" s="1">
        <v>41730</v>
      </c>
    </row>
    <row r="14224" spans="11:14" x14ac:dyDescent="0.3">
      <c r="K14224" s="1">
        <v>42095</v>
      </c>
      <c r="M14224" t="e">
        <v>#N/A</v>
      </c>
      <c r="N14224" s="1">
        <v>41730</v>
      </c>
    </row>
    <row r="14225" spans="11:14" x14ac:dyDescent="0.3">
      <c r="K14225" s="1">
        <v>42095</v>
      </c>
      <c r="M14225" t="e">
        <v>#N/A</v>
      </c>
      <c r="N14225" s="1">
        <v>41730</v>
      </c>
    </row>
    <row r="14226" spans="11:14" x14ac:dyDescent="0.3">
      <c r="K14226" s="1">
        <v>42095</v>
      </c>
      <c r="M14226" t="e">
        <v>#N/A</v>
      </c>
      <c r="N14226" s="1">
        <v>41730</v>
      </c>
    </row>
    <row r="14227" spans="11:14" x14ac:dyDescent="0.3">
      <c r="K14227" s="1">
        <v>42095</v>
      </c>
      <c r="M14227" t="e">
        <v>#N/A</v>
      </c>
      <c r="N14227" s="1">
        <v>41730</v>
      </c>
    </row>
    <row r="14228" spans="11:14" x14ac:dyDescent="0.3">
      <c r="K14228" s="1">
        <v>42095</v>
      </c>
      <c r="M14228" t="e">
        <v>#N/A</v>
      </c>
      <c r="N14228" s="1">
        <v>41730</v>
      </c>
    </row>
    <row r="14229" spans="11:14" x14ac:dyDescent="0.3">
      <c r="K14229" s="1">
        <v>42095</v>
      </c>
      <c r="M14229" t="e">
        <v>#N/A</v>
      </c>
      <c r="N14229" s="1">
        <v>41730</v>
      </c>
    </row>
    <row r="14230" spans="11:14" x14ac:dyDescent="0.3">
      <c r="K14230" s="1">
        <v>42095</v>
      </c>
      <c r="M14230" t="e">
        <v>#N/A</v>
      </c>
      <c r="N14230" s="1">
        <v>41730</v>
      </c>
    </row>
    <row r="14231" spans="11:14" x14ac:dyDescent="0.3">
      <c r="K14231" s="1">
        <v>42095</v>
      </c>
      <c r="M14231" t="e">
        <v>#N/A</v>
      </c>
      <c r="N14231" s="1">
        <v>41730</v>
      </c>
    </row>
    <row r="14232" spans="11:14" x14ac:dyDescent="0.3">
      <c r="K14232" s="1">
        <v>42095</v>
      </c>
      <c r="M14232" t="e">
        <v>#N/A</v>
      </c>
      <c r="N14232" s="1">
        <v>41730</v>
      </c>
    </row>
    <row r="14233" spans="11:14" x14ac:dyDescent="0.3">
      <c r="K14233" s="1">
        <v>42095</v>
      </c>
      <c r="M14233" t="e">
        <v>#N/A</v>
      </c>
      <c r="N14233" s="1">
        <v>41730</v>
      </c>
    </row>
    <row r="14234" spans="11:14" x14ac:dyDescent="0.3">
      <c r="K14234" s="1">
        <v>42095</v>
      </c>
      <c r="M14234" t="e">
        <v>#N/A</v>
      </c>
      <c r="N14234" s="1">
        <v>41730</v>
      </c>
    </row>
    <row r="14235" spans="11:14" x14ac:dyDescent="0.3">
      <c r="K14235" s="1">
        <v>42095</v>
      </c>
      <c r="M14235" t="e">
        <v>#N/A</v>
      </c>
      <c r="N14235" s="1">
        <v>41730</v>
      </c>
    </row>
    <row r="14236" spans="11:14" x14ac:dyDescent="0.3">
      <c r="K14236" s="1">
        <v>42095</v>
      </c>
      <c r="M14236" t="e">
        <v>#N/A</v>
      </c>
      <c r="N14236" s="1">
        <v>41730</v>
      </c>
    </row>
    <row r="14237" spans="11:14" x14ac:dyDescent="0.3">
      <c r="K14237" s="1">
        <v>42095</v>
      </c>
      <c r="M14237" t="e">
        <v>#N/A</v>
      </c>
      <c r="N14237" s="1">
        <v>41730</v>
      </c>
    </row>
    <row r="14238" spans="11:14" x14ac:dyDescent="0.3">
      <c r="K14238" s="1">
        <v>42095</v>
      </c>
      <c r="M14238" t="e">
        <v>#N/A</v>
      </c>
      <c r="N14238" s="1">
        <v>41730</v>
      </c>
    </row>
    <row r="14239" spans="11:14" x14ac:dyDescent="0.3">
      <c r="K14239" s="1">
        <v>42095</v>
      </c>
      <c r="M14239" t="e">
        <v>#N/A</v>
      </c>
      <c r="N14239" s="1">
        <v>41730</v>
      </c>
    </row>
    <row r="14240" spans="11:14" x14ac:dyDescent="0.3">
      <c r="K14240" s="1">
        <v>42095</v>
      </c>
      <c r="M14240" t="e">
        <v>#N/A</v>
      </c>
      <c r="N14240" s="1">
        <v>41730</v>
      </c>
    </row>
    <row r="14241" spans="11:14" x14ac:dyDescent="0.3">
      <c r="K14241" s="1">
        <v>42095</v>
      </c>
      <c r="M14241" t="e">
        <v>#N/A</v>
      </c>
      <c r="N14241" s="1">
        <v>41730</v>
      </c>
    </row>
    <row r="14242" spans="11:14" x14ac:dyDescent="0.3">
      <c r="K14242" s="1">
        <v>42095</v>
      </c>
      <c r="M14242" t="e">
        <v>#N/A</v>
      </c>
      <c r="N14242" s="1">
        <v>41730</v>
      </c>
    </row>
    <row r="14243" spans="11:14" x14ac:dyDescent="0.3">
      <c r="K14243" s="1">
        <v>42095</v>
      </c>
      <c r="M14243" t="e">
        <v>#N/A</v>
      </c>
      <c r="N14243" s="1">
        <v>41730</v>
      </c>
    </row>
    <row r="14244" spans="11:14" x14ac:dyDescent="0.3">
      <c r="K14244" s="1">
        <v>42095</v>
      </c>
      <c r="M14244" t="e">
        <v>#N/A</v>
      </c>
      <c r="N14244" s="1">
        <v>41730</v>
      </c>
    </row>
    <row r="14245" spans="11:14" x14ac:dyDescent="0.3">
      <c r="K14245" s="1">
        <v>42095</v>
      </c>
      <c r="M14245" t="e">
        <v>#N/A</v>
      </c>
      <c r="N14245" s="1">
        <v>41730</v>
      </c>
    </row>
    <row r="14246" spans="11:14" x14ac:dyDescent="0.3">
      <c r="K14246" s="1">
        <v>42095</v>
      </c>
      <c r="M14246" t="e">
        <v>#N/A</v>
      </c>
      <c r="N14246" s="1">
        <v>41730</v>
      </c>
    </row>
    <row r="14247" spans="11:14" x14ac:dyDescent="0.3">
      <c r="K14247" s="1">
        <v>42095</v>
      </c>
      <c r="M14247" t="e">
        <v>#N/A</v>
      </c>
      <c r="N14247" s="1">
        <v>41730</v>
      </c>
    </row>
    <row r="14248" spans="11:14" x14ac:dyDescent="0.3">
      <c r="K14248" s="1">
        <v>42095</v>
      </c>
      <c r="M14248" t="e">
        <v>#N/A</v>
      </c>
      <c r="N14248" s="1">
        <v>41730</v>
      </c>
    </row>
    <row r="14249" spans="11:14" x14ac:dyDescent="0.3">
      <c r="K14249" s="1">
        <v>42095</v>
      </c>
      <c r="M14249" t="e">
        <v>#N/A</v>
      </c>
      <c r="N14249" s="1">
        <v>41730</v>
      </c>
    </row>
    <row r="14250" spans="11:14" x14ac:dyDescent="0.3">
      <c r="K14250" s="1">
        <v>42095</v>
      </c>
      <c r="M14250" t="e">
        <v>#N/A</v>
      </c>
      <c r="N14250" s="1">
        <v>41730</v>
      </c>
    </row>
    <row r="14251" spans="11:14" x14ac:dyDescent="0.3">
      <c r="K14251" s="1">
        <v>42095</v>
      </c>
      <c r="M14251" t="e">
        <v>#N/A</v>
      </c>
      <c r="N14251" s="1">
        <v>41730</v>
      </c>
    </row>
    <row r="14252" spans="11:14" x14ac:dyDescent="0.3">
      <c r="K14252" s="1">
        <v>42095</v>
      </c>
      <c r="M14252" t="e">
        <v>#N/A</v>
      </c>
      <c r="N14252" s="1">
        <v>41730</v>
      </c>
    </row>
    <row r="14253" spans="11:14" x14ac:dyDescent="0.3">
      <c r="K14253" s="1">
        <v>42095</v>
      </c>
      <c r="M14253" t="e">
        <v>#N/A</v>
      </c>
      <c r="N14253" s="1">
        <v>41730</v>
      </c>
    </row>
    <row r="14254" spans="11:14" x14ac:dyDescent="0.3">
      <c r="K14254" s="1">
        <v>42095</v>
      </c>
      <c r="M14254" t="e">
        <v>#N/A</v>
      </c>
      <c r="N14254" s="1">
        <v>41730</v>
      </c>
    </row>
    <row r="14255" spans="11:14" x14ac:dyDescent="0.3">
      <c r="K14255" s="1">
        <v>42095</v>
      </c>
      <c r="M14255" t="e">
        <v>#N/A</v>
      </c>
      <c r="N14255" s="1">
        <v>41730</v>
      </c>
    </row>
    <row r="14256" spans="11:14" x14ac:dyDescent="0.3">
      <c r="K14256" s="1">
        <v>42095</v>
      </c>
      <c r="M14256" t="e">
        <v>#N/A</v>
      </c>
      <c r="N14256" s="1">
        <v>41730</v>
      </c>
    </row>
    <row r="14257" spans="11:14" x14ac:dyDescent="0.3">
      <c r="K14257" s="1">
        <v>42095</v>
      </c>
      <c r="M14257" t="e">
        <v>#N/A</v>
      </c>
      <c r="N14257" s="1">
        <v>41730</v>
      </c>
    </row>
    <row r="14258" spans="11:14" x14ac:dyDescent="0.3">
      <c r="K14258" s="1">
        <v>42095</v>
      </c>
      <c r="M14258" t="e">
        <v>#N/A</v>
      </c>
      <c r="N14258" s="1">
        <v>41730</v>
      </c>
    </row>
    <row r="14259" spans="11:14" x14ac:dyDescent="0.3">
      <c r="K14259" s="1">
        <v>42095</v>
      </c>
      <c r="M14259" t="e">
        <v>#N/A</v>
      </c>
      <c r="N14259" s="1">
        <v>41730</v>
      </c>
    </row>
    <row r="14260" spans="11:14" x14ac:dyDescent="0.3">
      <c r="K14260" s="1">
        <v>42095</v>
      </c>
      <c r="M14260" t="e">
        <v>#N/A</v>
      </c>
      <c r="N14260" s="1">
        <v>41730</v>
      </c>
    </row>
    <row r="14261" spans="11:14" x14ac:dyDescent="0.3">
      <c r="K14261" s="1">
        <v>42095</v>
      </c>
      <c r="M14261" t="e">
        <v>#N/A</v>
      </c>
      <c r="N14261" s="1">
        <v>41730</v>
      </c>
    </row>
    <row r="14262" spans="11:14" x14ac:dyDescent="0.3">
      <c r="K14262" s="1">
        <v>42095</v>
      </c>
      <c r="M14262" t="e">
        <v>#N/A</v>
      </c>
      <c r="N14262" s="1">
        <v>41730</v>
      </c>
    </row>
    <row r="14263" spans="11:14" x14ac:dyDescent="0.3">
      <c r="K14263" s="1">
        <v>42095</v>
      </c>
      <c r="M14263" t="e">
        <v>#N/A</v>
      </c>
      <c r="N14263" s="1">
        <v>41730</v>
      </c>
    </row>
    <row r="14264" spans="11:14" x14ac:dyDescent="0.3">
      <c r="K14264" s="1">
        <v>42095</v>
      </c>
      <c r="M14264" t="e">
        <v>#N/A</v>
      </c>
      <c r="N14264" s="1">
        <v>41730</v>
      </c>
    </row>
    <row r="14265" spans="11:14" x14ac:dyDescent="0.3">
      <c r="K14265" s="1">
        <v>42095</v>
      </c>
      <c r="M14265" t="e">
        <v>#N/A</v>
      </c>
      <c r="N14265" s="1">
        <v>41730</v>
      </c>
    </row>
    <row r="14266" spans="11:14" x14ac:dyDescent="0.3">
      <c r="K14266" s="1">
        <v>42095</v>
      </c>
      <c r="M14266" t="e">
        <v>#N/A</v>
      </c>
      <c r="N14266" s="1">
        <v>41730</v>
      </c>
    </row>
    <row r="14267" spans="11:14" x14ac:dyDescent="0.3">
      <c r="K14267" s="1">
        <v>42095</v>
      </c>
      <c r="M14267" t="e">
        <v>#N/A</v>
      </c>
      <c r="N14267" s="1">
        <v>41730</v>
      </c>
    </row>
    <row r="14268" spans="11:14" x14ac:dyDescent="0.3">
      <c r="K14268" s="1">
        <v>42095</v>
      </c>
      <c r="M14268" t="e">
        <v>#N/A</v>
      </c>
      <c r="N14268" s="1">
        <v>41730</v>
      </c>
    </row>
    <row r="14269" spans="11:14" x14ac:dyDescent="0.3">
      <c r="K14269" s="1">
        <v>42095</v>
      </c>
      <c r="M14269" t="e">
        <v>#N/A</v>
      </c>
      <c r="N14269" s="1">
        <v>41730</v>
      </c>
    </row>
    <row r="14270" spans="11:14" x14ac:dyDescent="0.3">
      <c r="K14270" s="1">
        <v>42095</v>
      </c>
      <c r="M14270" t="e">
        <v>#N/A</v>
      </c>
      <c r="N14270" s="1">
        <v>41730</v>
      </c>
    </row>
    <row r="14271" spans="11:14" x14ac:dyDescent="0.3">
      <c r="K14271" s="1">
        <v>42095</v>
      </c>
      <c r="M14271" t="e">
        <v>#N/A</v>
      </c>
      <c r="N14271" s="1">
        <v>41730</v>
      </c>
    </row>
    <row r="14272" spans="11:14" x14ac:dyDescent="0.3">
      <c r="K14272" s="1">
        <v>42095</v>
      </c>
      <c r="M14272" t="e">
        <v>#N/A</v>
      </c>
      <c r="N14272" s="1">
        <v>41730</v>
      </c>
    </row>
    <row r="14273" spans="11:14" x14ac:dyDescent="0.3">
      <c r="K14273" s="1">
        <v>42095</v>
      </c>
      <c r="M14273" t="e">
        <v>#N/A</v>
      </c>
      <c r="N14273" s="1">
        <v>41730</v>
      </c>
    </row>
    <row r="14274" spans="11:14" x14ac:dyDescent="0.3">
      <c r="K14274" s="1">
        <v>42095</v>
      </c>
      <c r="M14274" t="e">
        <v>#N/A</v>
      </c>
      <c r="N14274" s="1">
        <v>41730</v>
      </c>
    </row>
    <row r="14275" spans="11:14" x14ac:dyDescent="0.3">
      <c r="K14275" s="1">
        <v>42095</v>
      </c>
      <c r="M14275" t="e">
        <v>#N/A</v>
      </c>
      <c r="N14275" s="1">
        <v>41730</v>
      </c>
    </row>
    <row r="14276" spans="11:14" x14ac:dyDescent="0.3">
      <c r="K14276" s="1">
        <v>42095</v>
      </c>
      <c r="M14276" t="e">
        <v>#N/A</v>
      </c>
      <c r="N14276" s="1">
        <v>41730</v>
      </c>
    </row>
    <row r="14277" spans="11:14" x14ac:dyDescent="0.3">
      <c r="K14277" s="1">
        <v>42095</v>
      </c>
      <c r="M14277" t="e">
        <v>#N/A</v>
      </c>
      <c r="N14277" s="1">
        <v>41730</v>
      </c>
    </row>
    <row r="14278" spans="11:14" x14ac:dyDescent="0.3">
      <c r="K14278" s="1">
        <v>42095</v>
      </c>
      <c r="M14278" t="e">
        <v>#N/A</v>
      </c>
      <c r="N14278" s="1">
        <v>41730</v>
      </c>
    </row>
    <row r="14279" spans="11:14" x14ac:dyDescent="0.3">
      <c r="K14279" s="1">
        <v>42095</v>
      </c>
      <c r="M14279" t="e">
        <v>#N/A</v>
      </c>
      <c r="N14279" s="1">
        <v>41730</v>
      </c>
    </row>
    <row r="14280" spans="11:14" x14ac:dyDescent="0.3">
      <c r="K14280" s="1">
        <v>42095</v>
      </c>
      <c r="M14280" t="e">
        <v>#N/A</v>
      </c>
      <c r="N14280" s="1">
        <v>41730</v>
      </c>
    </row>
    <row r="14281" spans="11:14" x14ac:dyDescent="0.3">
      <c r="K14281" s="1">
        <v>42095</v>
      </c>
      <c r="M14281" t="e">
        <v>#N/A</v>
      </c>
      <c r="N14281" s="1">
        <v>41730</v>
      </c>
    </row>
    <row r="14282" spans="11:14" x14ac:dyDescent="0.3">
      <c r="K14282" s="1">
        <v>42095</v>
      </c>
      <c r="M14282" t="e">
        <v>#N/A</v>
      </c>
      <c r="N14282" s="1">
        <v>41730</v>
      </c>
    </row>
    <row r="14283" spans="11:14" x14ac:dyDescent="0.3">
      <c r="K14283" s="1">
        <v>42095</v>
      </c>
      <c r="M14283" t="e">
        <v>#N/A</v>
      </c>
      <c r="N14283" s="1">
        <v>41730</v>
      </c>
    </row>
    <row r="14284" spans="11:14" x14ac:dyDescent="0.3">
      <c r="K14284" s="1">
        <v>42095</v>
      </c>
      <c r="M14284" t="e">
        <v>#N/A</v>
      </c>
      <c r="N14284" s="1">
        <v>41730</v>
      </c>
    </row>
    <row r="14285" spans="11:14" x14ac:dyDescent="0.3">
      <c r="K14285" s="1">
        <v>42095</v>
      </c>
      <c r="M14285" t="e">
        <v>#N/A</v>
      </c>
      <c r="N14285" s="1">
        <v>41730</v>
      </c>
    </row>
    <row r="14286" spans="11:14" x14ac:dyDescent="0.3">
      <c r="K14286" s="1">
        <v>42095</v>
      </c>
      <c r="M14286" t="e">
        <v>#N/A</v>
      </c>
      <c r="N14286" s="1">
        <v>41730</v>
      </c>
    </row>
    <row r="14287" spans="11:14" x14ac:dyDescent="0.3">
      <c r="K14287" s="1">
        <v>42095</v>
      </c>
      <c r="M14287" t="e">
        <v>#N/A</v>
      </c>
      <c r="N14287" s="1">
        <v>41730</v>
      </c>
    </row>
    <row r="14288" spans="11:14" x14ac:dyDescent="0.3">
      <c r="K14288" s="1">
        <v>42095</v>
      </c>
      <c r="M14288" t="e">
        <v>#N/A</v>
      </c>
      <c r="N14288" s="1">
        <v>41730</v>
      </c>
    </row>
    <row r="14289" spans="11:14" x14ac:dyDescent="0.3">
      <c r="K14289" s="1">
        <v>42095</v>
      </c>
      <c r="M14289" t="e">
        <v>#N/A</v>
      </c>
      <c r="N14289" s="1">
        <v>41730</v>
      </c>
    </row>
    <row r="14290" spans="11:14" x14ac:dyDescent="0.3">
      <c r="K14290" s="1">
        <v>42095</v>
      </c>
      <c r="M14290" t="e">
        <v>#N/A</v>
      </c>
      <c r="N14290" s="1">
        <v>41730</v>
      </c>
    </row>
    <row r="14291" spans="11:14" x14ac:dyDescent="0.3">
      <c r="K14291" s="1">
        <v>42095</v>
      </c>
      <c r="M14291" t="e">
        <v>#N/A</v>
      </c>
      <c r="N14291" s="1">
        <v>41730</v>
      </c>
    </row>
    <row r="14292" spans="11:14" x14ac:dyDescent="0.3">
      <c r="K14292" s="1">
        <v>42095</v>
      </c>
      <c r="M14292" t="e">
        <v>#N/A</v>
      </c>
      <c r="N14292" s="1">
        <v>41730</v>
      </c>
    </row>
    <row r="14293" spans="11:14" x14ac:dyDescent="0.3">
      <c r="K14293" s="1">
        <v>42095</v>
      </c>
      <c r="M14293" t="e">
        <v>#N/A</v>
      </c>
      <c r="N14293" s="1">
        <v>41730</v>
      </c>
    </row>
    <row r="14294" spans="11:14" x14ac:dyDescent="0.3">
      <c r="K14294" s="1">
        <v>42095</v>
      </c>
      <c r="M14294" t="e">
        <v>#N/A</v>
      </c>
      <c r="N14294" s="1">
        <v>41730</v>
      </c>
    </row>
    <row r="14295" spans="11:14" x14ac:dyDescent="0.3">
      <c r="K14295" s="1">
        <v>42095</v>
      </c>
      <c r="M14295" t="e">
        <v>#N/A</v>
      </c>
      <c r="N14295" s="1">
        <v>41730</v>
      </c>
    </row>
    <row r="14296" spans="11:14" x14ac:dyDescent="0.3">
      <c r="K14296" s="1">
        <v>42095</v>
      </c>
      <c r="M14296" t="e">
        <v>#N/A</v>
      </c>
      <c r="N14296" s="1">
        <v>41730</v>
      </c>
    </row>
    <row r="14297" spans="11:14" x14ac:dyDescent="0.3">
      <c r="K14297" s="1">
        <v>42095</v>
      </c>
      <c r="M14297" t="e">
        <v>#N/A</v>
      </c>
      <c r="N14297" s="1">
        <v>41730</v>
      </c>
    </row>
    <row r="14298" spans="11:14" x14ac:dyDescent="0.3">
      <c r="K14298" s="1">
        <v>42095</v>
      </c>
      <c r="M14298" t="e">
        <v>#N/A</v>
      </c>
      <c r="N14298" s="1">
        <v>41730</v>
      </c>
    </row>
    <row r="14299" spans="11:14" x14ac:dyDescent="0.3">
      <c r="K14299" s="1">
        <v>42095</v>
      </c>
      <c r="M14299" t="e">
        <v>#N/A</v>
      </c>
      <c r="N14299" s="1">
        <v>41730</v>
      </c>
    </row>
    <row r="14300" spans="11:14" x14ac:dyDescent="0.3">
      <c r="K14300" s="1">
        <v>42095</v>
      </c>
      <c r="M14300" t="e">
        <v>#N/A</v>
      </c>
      <c r="N14300" s="1">
        <v>41730</v>
      </c>
    </row>
    <row r="14301" spans="11:14" x14ac:dyDescent="0.3">
      <c r="K14301" s="1">
        <v>42095</v>
      </c>
      <c r="M14301" t="e">
        <v>#N/A</v>
      </c>
      <c r="N14301" s="1">
        <v>41730</v>
      </c>
    </row>
    <row r="14302" spans="11:14" x14ac:dyDescent="0.3">
      <c r="K14302" s="1">
        <v>42095</v>
      </c>
      <c r="M14302" t="e">
        <v>#N/A</v>
      </c>
      <c r="N14302" s="1">
        <v>41730</v>
      </c>
    </row>
    <row r="14303" spans="11:14" x14ac:dyDescent="0.3">
      <c r="K14303" s="1">
        <v>42095</v>
      </c>
      <c r="M14303" t="e">
        <v>#N/A</v>
      </c>
      <c r="N14303" s="1">
        <v>41730</v>
      </c>
    </row>
    <row r="14304" spans="11:14" x14ac:dyDescent="0.3">
      <c r="K14304" s="1">
        <v>42095</v>
      </c>
      <c r="M14304" t="e">
        <v>#N/A</v>
      </c>
      <c r="N14304" s="1">
        <v>41730</v>
      </c>
    </row>
    <row r="14305" spans="11:14" x14ac:dyDescent="0.3">
      <c r="K14305" s="1">
        <v>42095</v>
      </c>
      <c r="M14305" t="e">
        <v>#N/A</v>
      </c>
      <c r="N14305" s="1">
        <v>41730</v>
      </c>
    </row>
    <row r="14306" spans="11:14" x14ac:dyDescent="0.3">
      <c r="K14306" s="1">
        <v>42095</v>
      </c>
      <c r="M14306" t="e">
        <v>#N/A</v>
      </c>
      <c r="N14306" s="1">
        <v>41730</v>
      </c>
    </row>
    <row r="14307" spans="11:14" x14ac:dyDescent="0.3">
      <c r="K14307" s="1">
        <v>42095</v>
      </c>
      <c r="M14307" t="e">
        <v>#N/A</v>
      </c>
      <c r="N14307" s="1">
        <v>41730</v>
      </c>
    </row>
    <row r="14308" spans="11:14" x14ac:dyDescent="0.3">
      <c r="K14308" s="1">
        <v>42095</v>
      </c>
      <c r="M14308" t="e">
        <v>#N/A</v>
      </c>
      <c r="N14308" s="1">
        <v>41730</v>
      </c>
    </row>
    <row r="14309" spans="11:14" x14ac:dyDescent="0.3">
      <c r="K14309" s="1">
        <v>42095</v>
      </c>
      <c r="M14309" t="e">
        <v>#N/A</v>
      </c>
      <c r="N14309" s="1">
        <v>41730</v>
      </c>
    </row>
    <row r="14310" spans="11:14" x14ac:dyDescent="0.3">
      <c r="K14310" s="1">
        <v>42095</v>
      </c>
      <c r="M14310" t="e">
        <v>#N/A</v>
      </c>
      <c r="N14310" s="1">
        <v>41730</v>
      </c>
    </row>
    <row r="14311" spans="11:14" x14ac:dyDescent="0.3">
      <c r="K14311" s="1">
        <v>42095</v>
      </c>
      <c r="M14311" t="e">
        <v>#N/A</v>
      </c>
      <c r="N14311" s="1">
        <v>41730</v>
      </c>
    </row>
    <row r="14312" spans="11:14" x14ac:dyDescent="0.3">
      <c r="K14312" s="1">
        <v>42095</v>
      </c>
      <c r="M14312" t="e">
        <v>#N/A</v>
      </c>
      <c r="N14312" s="1">
        <v>41730</v>
      </c>
    </row>
    <row r="14313" spans="11:14" x14ac:dyDescent="0.3">
      <c r="K14313" s="1">
        <v>42095</v>
      </c>
      <c r="M14313" t="e">
        <v>#N/A</v>
      </c>
      <c r="N14313" s="1">
        <v>41730</v>
      </c>
    </row>
    <row r="14314" spans="11:14" x14ac:dyDescent="0.3">
      <c r="K14314" s="1">
        <v>42095</v>
      </c>
      <c r="M14314" t="e">
        <v>#N/A</v>
      </c>
      <c r="N14314" s="1">
        <v>41730</v>
      </c>
    </row>
    <row r="14315" spans="11:14" x14ac:dyDescent="0.3">
      <c r="K14315" s="1">
        <v>42095</v>
      </c>
      <c r="M14315" t="e">
        <v>#N/A</v>
      </c>
      <c r="N14315" s="1">
        <v>41730</v>
      </c>
    </row>
    <row r="14316" spans="11:14" x14ac:dyDescent="0.3">
      <c r="K14316" s="1">
        <v>42095</v>
      </c>
      <c r="M14316" t="e">
        <v>#N/A</v>
      </c>
      <c r="N14316" s="1">
        <v>41730</v>
      </c>
    </row>
    <row r="14317" spans="11:14" x14ac:dyDescent="0.3">
      <c r="K14317" s="1">
        <v>42095</v>
      </c>
      <c r="M14317" t="e">
        <v>#N/A</v>
      </c>
      <c r="N14317" s="1">
        <v>41730</v>
      </c>
    </row>
    <row r="14318" spans="11:14" x14ac:dyDescent="0.3">
      <c r="K14318" s="1">
        <v>42095</v>
      </c>
      <c r="M14318" t="e">
        <v>#N/A</v>
      </c>
      <c r="N14318" s="1">
        <v>41730</v>
      </c>
    </row>
    <row r="14319" spans="11:14" x14ac:dyDescent="0.3">
      <c r="K14319" s="1">
        <v>42095</v>
      </c>
      <c r="M14319" t="e">
        <v>#N/A</v>
      </c>
      <c r="N14319" s="1">
        <v>41730</v>
      </c>
    </row>
    <row r="14320" spans="11:14" x14ac:dyDescent="0.3">
      <c r="K14320" s="1">
        <v>42095</v>
      </c>
      <c r="M14320" t="e">
        <v>#N/A</v>
      </c>
      <c r="N14320" s="1">
        <v>41730</v>
      </c>
    </row>
    <row r="14321" spans="11:14" x14ac:dyDescent="0.3">
      <c r="K14321" s="1">
        <v>42095</v>
      </c>
      <c r="M14321" t="e">
        <v>#N/A</v>
      </c>
      <c r="N14321" s="1">
        <v>41730</v>
      </c>
    </row>
    <row r="14322" spans="11:14" x14ac:dyDescent="0.3">
      <c r="K14322" s="1">
        <v>42095</v>
      </c>
      <c r="M14322" t="e">
        <v>#N/A</v>
      </c>
      <c r="N14322" s="1">
        <v>41730</v>
      </c>
    </row>
    <row r="14323" spans="11:14" x14ac:dyDescent="0.3">
      <c r="K14323" s="1">
        <v>42095</v>
      </c>
      <c r="M14323" t="e">
        <v>#N/A</v>
      </c>
      <c r="N14323" s="1">
        <v>41730</v>
      </c>
    </row>
    <row r="14324" spans="11:14" x14ac:dyDescent="0.3">
      <c r="K14324" s="1">
        <v>42095</v>
      </c>
      <c r="M14324" t="e">
        <v>#N/A</v>
      </c>
      <c r="N14324" s="1">
        <v>41730</v>
      </c>
    </row>
    <row r="14325" spans="11:14" x14ac:dyDescent="0.3">
      <c r="K14325" s="1">
        <v>42095</v>
      </c>
      <c r="M14325" t="e">
        <v>#N/A</v>
      </c>
      <c r="N14325" s="1">
        <v>41730</v>
      </c>
    </row>
    <row r="14326" spans="11:14" x14ac:dyDescent="0.3">
      <c r="K14326" s="1">
        <v>42095</v>
      </c>
      <c r="M14326" t="e">
        <v>#N/A</v>
      </c>
      <c r="N14326" s="1">
        <v>41730</v>
      </c>
    </row>
    <row r="14327" spans="11:14" x14ac:dyDescent="0.3">
      <c r="K14327" s="1">
        <v>42095</v>
      </c>
      <c r="M14327" t="e">
        <v>#N/A</v>
      </c>
      <c r="N14327" s="1">
        <v>41730</v>
      </c>
    </row>
    <row r="14328" spans="11:14" x14ac:dyDescent="0.3">
      <c r="K14328" s="1">
        <v>42095</v>
      </c>
      <c r="M14328" t="e">
        <v>#N/A</v>
      </c>
      <c r="N14328" s="1">
        <v>41730</v>
      </c>
    </row>
    <row r="14329" spans="11:14" x14ac:dyDescent="0.3">
      <c r="K14329" s="1">
        <v>42095</v>
      </c>
      <c r="M14329" t="e">
        <v>#N/A</v>
      </c>
      <c r="N14329" s="1">
        <v>41730</v>
      </c>
    </row>
    <row r="14330" spans="11:14" x14ac:dyDescent="0.3">
      <c r="K14330" s="1">
        <v>42095</v>
      </c>
      <c r="M14330" t="e">
        <v>#N/A</v>
      </c>
      <c r="N14330" s="1">
        <v>41730</v>
      </c>
    </row>
    <row r="14331" spans="11:14" x14ac:dyDescent="0.3">
      <c r="K14331" s="1">
        <v>42095</v>
      </c>
      <c r="M14331" t="e">
        <v>#N/A</v>
      </c>
      <c r="N14331" s="1">
        <v>41730</v>
      </c>
    </row>
    <row r="14332" spans="11:14" x14ac:dyDescent="0.3">
      <c r="K14332" s="1">
        <v>42095</v>
      </c>
      <c r="M14332" t="e">
        <v>#N/A</v>
      </c>
      <c r="N14332" s="1">
        <v>41730</v>
      </c>
    </row>
    <row r="14333" spans="11:14" x14ac:dyDescent="0.3">
      <c r="K14333" s="1">
        <v>42095</v>
      </c>
      <c r="M14333" t="e">
        <v>#N/A</v>
      </c>
      <c r="N14333" s="1">
        <v>41730</v>
      </c>
    </row>
    <row r="14334" spans="11:14" x14ac:dyDescent="0.3">
      <c r="K14334" s="1">
        <v>42095</v>
      </c>
      <c r="M14334" t="e">
        <v>#N/A</v>
      </c>
      <c r="N14334" s="1">
        <v>41730</v>
      </c>
    </row>
    <row r="14335" spans="11:14" x14ac:dyDescent="0.3">
      <c r="K14335" s="1">
        <v>42095</v>
      </c>
      <c r="M14335" t="e">
        <v>#N/A</v>
      </c>
      <c r="N14335" s="1">
        <v>41730</v>
      </c>
    </row>
    <row r="14336" spans="11:14" x14ac:dyDescent="0.3">
      <c r="K14336" s="1">
        <v>42095</v>
      </c>
      <c r="M14336" t="e">
        <v>#N/A</v>
      </c>
      <c r="N14336" s="1">
        <v>41730</v>
      </c>
    </row>
    <row r="14337" spans="11:14" x14ac:dyDescent="0.3">
      <c r="K14337" s="1">
        <v>42095</v>
      </c>
      <c r="M14337" t="e">
        <v>#N/A</v>
      </c>
      <c r="N14337" s="1">
        <v>41730</v>
      </c>
    </row>
    <row r="14338" spans="11:14" x14ac:dyDescent="0.3">
      <c r="K14338" s="1">
        <v>42095</v>
      </c>
      <c r="M14338" t="e">
        <v>#N/A</v>
      </c>
      <c r="N14338" s="1">
        <v>41730</v>
      </c>
    </row>
    <row r="14339" spans="11:14" x14ac:dyDescent="0.3">
      <c r="K14339" s="1">
        <v>42095</v>
      </c>
      <c r="M14339" t="e">
        <v>#N/A</v>
      </c>
      <c r="N14339" s="1">
        <v>41730</v>
      </c>
    </row>
    <row r="14340" spans="11:14" x14ac:dyDescent="0.3">
      <c r="K14340" s="1">
        <v>42095</v>
      </c>
      <c r="M14340" t="e">
        <v>#N/A</v>
      </c>
      <c r="N14340" s="1">
        <v>41730</v>
      </c>
    </row>
    <row r="14341" spans="11:14" x14ac:dyDescent="0.3">
      <c r="K14341" s="1">
        <v>42095</v>
      </c>
      <c r="M14341" t="e">
        <v>#N/A</v>
      </c>
      <c r="N14341" s="1">
        <v>41730</v>
      </c>
    </row>
    <row r="14342" spans="11:14" x14ac:dyDescent="0.3">
      <c r="K14342" s="1">
        <v>42095</v>
      </c>
      <c r="M14342" t="e">
        <v>#N/A</v>
      </c>
      <c r="N14342" s="1">
        <v>41730</v>
      </c>
    </row>
    <row r="14343" spans="11:14" x14ac:dyDescent="0.3">
      <c r="K14343" s="1">
        <v>42095</v>
      </c>
      <c r="M14343" t="e">
        <v>#N/A</v>
      </c>
      <c r="N14343" s="1">
        <v>41730</v>
      </c>
    </row>
    <row r="14344" spans="11:14" x14ac:dyDescent="0.3">
      <c r="K14344" s="1">
        <v>42095</v>
      </c>
      <c r="M14344" t="e">
        <v>#N/A</v>
      </c>
      <c r="N14344" s="1">
        <v>41730</v>
      </c>
    </row>
    <row r="14345" spans="11:14" x14ac:dyDescent="0.3">
      <c r="K14345" s="1">
        <v>42095</v>
      </c>
      <c r="M14345" t="e">
        <v>#N/A</v>
      </c>
      <c r="N14345" s="1">
        <v>41730</v>
      </c>
    </row>
    <row r="14346" spans="11:14" x14ac:dyDescent="0.3">
      <c r="K14346" s="1">
        <v>42095</v>
      </c>
      <c r="M14346" t="e">
        <v>#N/A</v>
      </c>
      <c r="N14346" s="1">
        <v>41730</v>
      </c>
    </row>
    <row r="14347" spans="11:14" x14ac:dyDescent="0.3">
      <c r="K14347" s="1">
        <v>42095</v>
      </c>
      <c r="M14347" t="e">
        <v>#N/A</v>
      </c>
      <c r="N14347" s="1">
        <v>41730</v>
      </c>
    </row>
    <row r="14348" spans="11:14" x14ac:dyDescent="0.3">
      <c r="K14348" s="1">
        <v>42095</v>
      </c>
      <c r="M14348" t="e">
        <v>#N/A</v>
      </c>
      <c r="N14348" s="1">
        <v>41730</v>
      </c>
    </row>
    <row r="14349" spans="11:14" x14ac:dyDescent="0.3">
      <c r="K14349" s="1">
        <v>42095</v>
      </c>
      <c r="M14349" t="e">
        <v>#N/A</v>
      </c>
      <c r="N14349" s="1">
        <v>41730</v>
      </c>
    </row>
    <row r="14350" spans="11:14" x14ac:dyDescent="0.3">
      <c r="K14350" s="1">
        <v>42095</v>
      </c>
      <c r="M14350" t="e">
        <v>#N/A</v>
      </c>
      <c r="N14350" s="1">
        <v>41730</v>
      </c>
    </row>
    <row r="14351" spans="11:14" x14ac:dyDescent="0.3">
      <c r="K14351" s="1">
        <v>42095</v>
      </c>
      <c r="M14351" t="e">
        <v>#N/A</v>
      </c>
      <c r="N14351" s="1">
        <v>41730</v>
      </c>
    </row>
    <row r="14352" spans="11:14" x14ac:dyDescent="0.3">
      <c r="K14352" s="1">
        <v>42095</v>
      </c>
      <c r="M14352" t="e">
        <v>#N/A</v>
      </c>
      <c r="N14352" s="1">
        <v>41730</v>
      </c>
    </row>
    <row r="14353" spans="11:14" x14ac:dyDescent="0.3">
      <c r="K14353" s="1">
        <v>42095</v>
      </c>
      <c r="M14353" t="e">
        <v>#N/A</v>
      </c>
      <c r="N14353" s="1">
        <v>41730</v>
      </c>
    </row>
    <row r="14354" spans="11:14" x14ac:dyDescent="0.3">
      <c r="K14354" s="1">
        <v>42095</v>
      </c>
      <c r="M14354" t="e">
        <v>#N/A</v>
      </c>
      <c r="N14354" s="1">
        <v>41730</v>
      </c>
    </row>
    <row r="14355" spans="11:14" x14ac:dyDescent="0.3">
      <c r="K14355" s="1">
        <v>42095</v>
      </c>
      <c r="M14355" t="e">
        <v>#N/A</v>
      </c>
      <c r="N14355" s="1">
        <v>41730</v>
      </c>
    </row>
    <row r="14356" spans="11:14" x14ac:dyDescent="0.3">
      <c r="K14356" s="1">
        <v>42095</v>
      </c>
      <c r="M14356" t="e">
        <v>#N/A</v>
      </c>
      <c r="N14356" s="1">
        <v>41730</v>
      </c>
    </row>
    <row r="14357" spans="11:14" x14ac:dyDescent="0.3">
      <c r="K14357" s="1">
        <v>42095</v>
      </c>
      <c r="M14357" t="e">
        <v>#N/A</v>
      </c>
      <c r="N14357" s="1">
        <v>41730</v>
      </c>
    </row>
    <row r="14358" spans="11:14" x14ac:dyDescent="0.3">
      <c r="K14358" s="1">
        <v>42095</v>
      </c>
      <c r="M14358" t="e">
        <v>#N/A</v>
      </c>
      <c r="N14358" s="1">
        <v>41730</v>
      </c>
    </row>
    <row r="14359" spans="11:14" x14ac:dyDescent="0.3">
      <c r="K14359" s="1">
        <v>42095</v>
      </c>
      <c r="M14359" t="e">
        <v>#N/A</v>
      </c>
      <c r="N14359" s="1">
        <v>41730</v>
      </c>
    </row>
    <row r="14360" spans="11:14" x14ac:dyDescent="0.3">
      <c r="K14360" s="1">
        <v>42095</v>
      </c>
      <c r="M14360" t="e">
        <v>#N/A</v>
      </c>
      <c r="N14360" s="1">
        <v>41730</v>
      </c>
    </row>
    <row r="14361" spans="11:14" x14ac:dyDescent="0.3">
      <c r="K14361" s="1">
        <v>42095</v>
      </c>
      <c r="M14361" t="e">
        <v>#N/A</v>
      </c>
      <c r="N14361" s="1">
        <v>41730</v>
      </c>
    </row>
    <row r="14362" spans="11:14" x14ac:dyDescent="0.3">
      <c r="K14362" s="1">
        <v>42095</v>
      </c>
      <c r="M14362" t="e">
        <v>#N/A</v>
      </c>
      <c r="N14362" s="1">
        <v>41730</v>
      </c>
    </row>
    <row r="14363" spans="11:14" x14ac:dyDescent="0.3">
      <c r="K14363" s="1">
        <v>42095</v>
      </c>
      <c r="M14363" t="e">
        <v>#N/A</v>
      </c>
      <c r="N14363" s="1">
        <v>41730</v>
      </c>
    </row>
    <row r="14364" spans="11:14" x14ac:dyDescent="0.3">
      <c r="K14364" s="1">
        <v>42095</v>
      </c>
      <c r="M14364" t="e">
        <v>#N/A</v>
      </c>
      <c r="N14364" s="1">
        <v>41730</v>
      </c>
    </row>
    <row r="14365" spans="11:14" x14ac:dyDescent="0.3">
      <c r="K14365" s="1">
        <v>42095</v>
      </c>
      <c r="M14365" t="e">
        <v>#N/A</v>
      </c>
      <c r="N14365" s="1">
        <v>41730</v>
      </c>
    </row>
    <row r="14366" spans="11:14" x14ac:dyDescent="0.3">
      <c r="K14366" s="1">
        <v>42095</v>
      </c>
      <c r="M14366" t="e">
        <v>#N/A</v>
      </c>
      <c r="N14366" s="1">
        <v>41730</v>
      </c>
    </row>
    <row r="14367" spans="11:14" x14ac:dyDescent="0.3">
      <c r="K14367" s="1">
        <v>42095</v>
      </c>
      <c r="M14367" t="e">
        <v>#N/A</v>
      </c>
      <c r="N14367" s="1">
        <v>41730</v>
      </c>
    </row>
    <row r="14368" spans="11:14" x14ac:dyDescent="0.3">
      <c r="K14368" s="1">
        <v>42095</v>
      </c>
      <c r="M14368" t="e">
        <v>#N/A</v>
      </c>
      <c r="N14368" s="1">
        <v>41730</v>
      </c>
    </row>
    <row r="14369" spans="11:14" x14ac:dyDescent="0.3">
      <c r="K14369" s="1">
        <v>42095</v>
      </c>
      <c r="M14369" t="e">
        <v>#N/A</v>
      </c>
      <c r="N14369" s="1">
        <v>41730</v>
      </c>
    </row>
    <row r="14370" spans="11:14" x14ac:dyDescent="0.3">
      <c r="K14370" s="1">
        <v>42095</v>
      </c>
      <c r="M14370" t="e">
        <v>#N/A</v>
      </c>
      <c r="N14370" s="1">
        <v>41730</v>
      </c>
    </row>
    <row r="14371" spans="11:14" x14ac:dyDescent="0.3">
      <c r="K14371" s="1">
        <v>42095</v>
      </c>
      <c r="M14371" t="e">
        <v>#N/A</v>
      </c>
      <c r="N14371" s="1">
        <v>41730</v>
      </c>
    </row>
    <row r="14372" spans="11:14" x14ac:dyDescent="0.3">
      <c r="K14372" s="1">
        <v>42095</v>
      </c>
      <c r="M14372" t="e">
        <v>#N/A</v>
      </c>
      <c r="N14372" s="1">
        <v>41730</v>
      </c>
    </row>
    <row r="14373" spans="11:14" x14ac:dyDescent="0.3">
      <c r="K14373" s="1">
        <v>42095</v>
      </c>
      <c r="M14373" t="e">
        <v>#N/A</v>
      </c>
      <c r="N14373" s="1">
        <v>41730</v>
      </c>
    </row>
    <row r="14374" spans="11:14" x14ac:dyDescent="0.3">
      <c r="K14374" s="1">
        <v>42095</v>
      </c>
      <c r="M14374" t="e">
        <v>#N/A</v>
      </c>
      <c r="N14374" s="1">
        <v>41730</v>
      </c>
    </row>
    <row r="14375" spans="11:14" x14ac:dyDescent="0.3">
      <c r="K14375" s="1">
        <v>42095</v>
      </c>
      <c r="M14375" t="e">
        <v>#N/A</v>
      </c>
      <c r="N14375" s="1">
        <v>41730</v>
      </c>
    </row>
    <row r="14376" spans="11:14" x14ac:dyDescent="0.3">
      <c r="K14376" s="1">
        <v>42095</v>
      </c>
      <c r="M14376" t="e">
        <v>#N/A</v>
      </c>
      <c r="N14376" s="1">
        <v>41730</v>
      </c>
    </row>
    <row r="14377" spans="11:14" x14ac:dyDescent="0.3">
      <c r="K14377" s="1">
        <v>42095</v>
      </c>
      <c r="M14377" t="e">
        <v>#N/A</v>
      </c>
      <c r="N14377" s="1">
        <v>41730</v>
      </c>
    </row>
    <row r="14378" spans="11:14" x14ac:dyDescent="0.3">
      <c r="K14378" s="1">
        <v>42095</v>
      </c>
      <c r="M14378" t="e">
        <v>#N/A</v>
      </c>
      <c r="N14378" s="1">
        <v>41730</v>
      </c>
    </row>
    <row r="14379" spans="11:14" x14ac:dyDescent="0.3">
      <c r="K14379" s="1">
        <v>42095</v>
      </c>
      <c r="M14379" t="e">
        <v>#N/A</v>
      </c>
      <c r="N14379" s="1">
        <v>41730</v>
      </c>
    </row>
    <row r="14380" spans="11:14" x14ac:dyDescent="0.3">
      <c r="K14380" s="1">
        <v>42095</v>
      </c>
      <c r="M14380" t="e">
        <v>#N/A</v>
      </c>
      <c r="N14380" s="1">
        <v>41730</v>
      </c>
    </row>
    <row r="14381" spans="11:14" x14ac:dyDescent="0.3">
      <c r="K14381" s="1">
        <v>42095</v>
      </c>
      <c r="M14381" t="e">
        <v>#N/A</v>
      </c>
      <c r="N14381" s="1">
        <v>41730</v>
      </c>
    </row>
    <row r="14382" spans="11:14" x14ac:dyDescent="0.3">
      <c r="K14382" s="1">
        <v>42186</v>
      </c>
      <c r="M14382" t="e">
        <v>#N/A</v>
      </c>
      <c r="N14382" s="1">
        <v>41730</v>
      </c>
    </row>
    <row r="14383" spans="11:14" x14ac:dyDescent="0.3">
      <c r="K14383" s="1">
        <v>42186</v>
      </c>
      <c r="M14383" t="e">
        <v>#N/A</v>
      </c>
      <c r="N14383" s="1">
        <v>41730</v>
      </c>
    </row>
    <row r="14384" spans="11:14" x14ac:dyDescent="0.3">
      <c r="K14384" s="1">
        <v>42186</v>
      </c>
      <c r="M14384" t="e">
        <v>#N/A</v>
      </c>
      <c r="N14384" s="1">
        <v>41730</v>
      </c>
    </row>
    <row r="14385" spans="11:14" x14ac:dyDescent="0.3">
      <c r="K14385" s="1">
        <v>42186</v>
      </c>
      <c r="M14385" t="e">
        <v>#N/A</v>
      </c>
      <c r="N14385" s="1">
        <v>41730</v>
      </c>
    </row>
    <row r="14386" spans="11:14" x14ac:dyDescent="0.3">
      <c r="K14386" s="1">
        <v>42186</v>
      </c>
      <c r="M14386" t="e">
        <v>#N/A</v>
      </c>
      <c r="N14386" s="1">
        <v>41730</v>
      </c>
    </row>
    <row r="14387" spans="11:14" x14ac:dyDescent="0.3">
      <c r="K14387" s="1">
        <v>42186</v>
      </c>
      <c r="M14387" t="e">
        <v>#N/A</v>
      </c>
      <c r="N14387" s="1">
        <v>41730</v>
      </c>
    </row>
    <row r="14388" spans="11:14" x14ac:dyDescent="0.3">
      <c r="K14388" s="1">
        <v>42186</v>
      </c>
      <c r="M14388" t="e">
        <v>#N/A</v>
      </c>
      <c r="N14388" s="1">
        <v>41730</v>
      </c>
    </row>
    <row r="14389" spans="11:14" x14ac:dyDescent="0.3">
      <c r="K14389" s="1">
        <v>42186</v>
      </c>
      <c r="M14389" t="e">
        <v>#N/A</v>
      </c>
      <c r="N14389" s="1">
        <v>41730</v>
      </c>
    </row>
    <row r="14390" spans="11:14" x14ac:dyDescent="0.3">
      <c r="K14390" s="1">
        <v>42186</v>
      </c>
      <c r="M14390" t="e">
        <v>#N/A</v>
      </c>
      <c r="N14390" s="1">
        <v>41730</v>
      </c>
    </row>
    <row r="14391" spans="11:14" x14ac:dyDescent="0.3">
      <c r="K14391" s="1">
        <v>42186</v>
      </c>
      <c r="M14391" t="e">
        <v>#N/A</v>
      </c>
      <c r="N14391" s="1">
        <v>41730</v>
      </c>
    </row>
    <row r="14392" spans="11:14" x14ac:dyDescent="0.3">
      <c r="K14392" s="1">
        <v>42186</v>
      </c>
      <c r="M14392" t="e">
        <v>#N/A</v>
      </c>
      <c r="N14392" s="1">
        <v>41730</v>
      </c>
    </row>
    <row r="14393" spans="11:14" x14ac:dyDescent="0.3">
      <c r="K14393" s="1">
        <v>42186</v>
      </c>
      <c r="M14393" t="e">
        <v>#N/A</v>
      </c>
      <c r="N14393" s="1">
        <v>41730</v>
      </c>
    </row>
    <row r="14394" spans="11:14" x14ac:dyDescent="0.3">
      <c r="K14394" s="1">
        <v>42186</v>
      </c>
      <c r="M14394" t="e">
        <v>#N/A</v>
      </c>
      <c r="N14394" s="1">
        <v>41730</v>
      </c>
    </row>
    <row r="14395" spans="11:14" x14ac:dyDescent="0.3">
      <c r="K14395" s="1">
        <v>42186</v>
      </c>
      <c r="M14395" t="e">
        <v>#N/A</v>
      </c>
      <c r="N14395" s="1">
        <v>41730</v>
      </c>
    </row>
    <row r="14396" spans="11:14" x14ac:dyDescent="0.3">
      <c r="K14396" s="1">
        <v>42186</v>
      </c>
      <c r="M14396" t="e">
        <v>#N/A</v>
      </c>
      <c r="N14396" s="1">
        <v>41730</v>
      </c>
    </row>
    <row r="14397" spans="11:14" x14ac:dyDescent="0.3">
      <c r="K14397" s="1">
        <v>42186</v>
      </c>
      <c r="M14397" t="e">
        <v>#N/A</v>
      </c>
      <c r="N14397" s="1">
        <v>41730</v>
      </c>
    </row>
    <row r="14398" spans="11:14" x14ac:dyDescent="0.3">
      <c r="K14398" s="1">
        <v>42186</v>
      </c>
      <c r="M14398" t="e">
        <v>#N/A</v>
      </c>
      <c r="N14398" s="1">
        <v>41730</v>
      </c>
    </row>
    <row r="14399" spans="11:14" x14ac:dyDescent="0.3">
      <c r="K14399" s="1">
        <v>42186</v>
      </c>
      <c r="M14399" t="e">
        <v>#N/A</v>
      </c>
      <c r="N14399" s="1">
        <v>41730</v>
      </c>
    </row>
    <row r="14400" spans="11:14" x14ac:dyDescent="0.3">
      <c r="K14400" s="1">
        <v>42186</v>
      </c>
      <c r="M14400" t="e">
        <v>#N/A</v>
      </c>
      <c r="N14400" s="1">
        <v>41730</v>
      </c>
    </row>
    <row r="14401" spans="11:14" x14ac:dyDescent="0.3">
      <c r="K14401" s="1">
        <v>42186</v>
      </c>
      <c r="M14401" t="e">
        <v>#N/A</v>
      </c>
      <c r="N14401" s="1">
        <v>41730</v>
      </c>
    </row>
    <row r="14402" spans="11:14" x14ac:dyDescent="0.3">
      <c r="K14402" s="1">
        <v>42186</v>
      </c>
      <c r="M14402" t="e">
        <v>#N/A</v>
      </c>
      <c r="N14402" s="1">
        <v>41730</v>
      </c>
    </row>
    <row r="14403" spans="11:14" x14ac:dyDescent="0.3">
      <c r="K14403" s="1">
        <v>42186</v>
      </c>
      <c r="M14403" t="e">
        <v>#N/A</v>
      </c>
      <c r="N14403" s="1">
        <v>41730</v>
      </c>
    </row>
    <row r="14404" spans="11:14" x14ac:dyDescent="0.3">
      <c r="K14404" s="1">
        <v>42186</v>
      </c>
      <c r="M14404" t="e">
        <v>#N/A</v>
      </c>
      <c r="N14404" s="1">
        <v>41730</v>
      </c>
    </row>
    <row r="14405" spans="11:14" x14ac:dyDescent="0.3">
      <c r="K14405" s="1">
        <v>42186</v>
      </c>
      <c r="M14405" t="e">
        <v>#N/A</v>
      </c>
      <c r="N14405" s="1">
        <v>41730</v>
      </c>
    </row>
    <row r="14406" spans="11:14" x14ac:dyDescent="0.3">
      <c r="K14406" s="1">
        <v>42186</v>
      </c>
      <c r="M14406" t="e">
        <v>#N/A</v>
      </c>
      <c r="N14406" s="1">
        <v>41730</v>
      </c>
    </row>
    <row r="14407" spans="11:14" x14ac:dyDescent="0.3">
      <c r="K14407" s="1">
        <v>42186</v>
      </c>
      <c r="M14407" t="e">
        <v>#N/A</v>
      </c>
      <c r="N14407" s="1">
        <v>41730</v>
      </c>
    </row>
    <row r="14408" spans="11:14" x14ac:dyDescent="0.3">
      <c r="K14408" s="1">
        <v>42186</v>
      </c>
      <c r="M14408" t="e">
        <v>#N/A</v>
      </c>
      <c r="N14408" s="1">
        <v>41730</v>
      </c>
    </row>
    <row r="14409" spans="11:14" x14ac:dyDescent="0.3">
      <c r="K14409" s="1">
        <v>42186</v>
      </c>
      <c r="M14409" t="e">
        <v>#N/A</v>
      </c>
      <c r="N14409" s="1">
        <v>41730</v>
      </c>
    </row>
    <row r="14410" spans="11:14" x14ac:dyDescent="0.3">
      <c r="K14410" s="1">
        <v>42186</v>
      </c>
      <c r="M14410" t="e">
        <v>#N/A</v>
      </c>
      <c r="N14410" s="1">
        <v>41730</v>
      </c>
    </row>
    <row r="14411" spans="11:14" x14ac:dyDescent="0.3">
      <c r="K14411" s="1">
        <v>42186</v>
      </c>
      <c r="M14411" t="e">
        <v>#N/A</v>
      </c>
      <c r="N14411" s="1">
        <v>41730</v>
      </c>
    </row>
    <row r="14412" spans="11:14" x14ac:dyDescent="0.3">
      <c r="K14412" s="1">
        <v>42186</v>
      </c>
      <c r="M14412" t="e">
        <v>#N/A</v>
      </c>
      <c r="N14412" s="1">
        <v>41730</v>
      </c>
    </row>
    <row r="14413" spans="11:14" x14ac:dyDescent="0.3">
      <c r="K14413" s="1">
        <v>42186</v>
      </c>
      <c r="M14413" t="e">
        <v>#N/A</v>
      </c>
      <c r="N14413" s="1">
        <v>41730</v>
      </c>
    </row>
    <row r="14414" spans="11:14" x14ac:dyDescent="0.3">
      <c r="K14414" s="1">
        <v>42186</v>
      </c>
      <c r="M14414" t="e">
        <v>#N/A</v>
      </c>
      <c r="N14414" s="1">
        <v>41730</v>
      </c>
    </row>
    <row r="14415" spans="11:14" x14ac:dyDescent="0.3">
      <c r="K14415" s="1">
        <v>42186</v>
      </c>
      <c r="M14415" t="e">
        <v>#N/A</v>
      </c>
      <c r="N14415" s="1">
        <v>41730</v>
      </c>
    </row>
    <row r="14416" spans="11:14" x14ac:dyDescent="0.3">
      <c r="K14416" s="1">
        <v>42186</v>
      </c>
      <c r="M14416" t="e">
        <v>#N/A</v>
      </c>
      <c r="N14416" s="1">
        <v>41730</v>
      </c>
    </row>
    <row r="14417" spans="11:14" x14ac:dyDescent="0.3">
      <c r="K14417" s="1">
        <v>42186</v>
      </c>
      <c r="M14417" t="e">
        <v>#N/A</v>
      </c>
      <c r="N14417" s="1">
        <v>41730</v>
      </c>
    </row>
    <row r="14418" spans="11:14" x14ac:dyDescent="0.3">
      <c r="K14418" s="1">
        <v>42186</v>
      </c>
      <c r="M14418" t="e">
        <v>#N/A</v>
      </c>
      <c r="N14418" s="1">
        <v>41730</v>
      </c>
    </row>
    <row r="14419" spans="11:14" x14ac:dyDescent="0.3">
      <c r="K14419" s="1">
        <v>42186</v>
      </c>
      <c r="M14419" t="e">
        <v>#N/A</v>
      </c>
      <c r="N14419" s="1">
        <v>41730</v>
      </c>
    </row>
    <row r="14420" spans="11:14" x14ac:dyDescent="0.3">
      <c r="K14420" s="1">
        <v>42186</v>
      </c>
      <c r="M14420" t="e">
        <v>#N/A</v>
      </c>
      <c r="N14420" s="1">
        <v>41730</v>
      </c>
    </row>
    <row r="14421" spans="11:14" x14ac:dyDescent="0.3">
      <c r="K14421" s="1">
        <v>42186</v>
      </c>
      <c r="M14421" t="e">
        <v>#N/A</v>
      </c>
      <c r="N14421" s="1">
        <v>41730</v>
      </c>
    </row>
    <row r="14422" spans="11:14" x14ac:dyDescent="0.3">
      <c r="K14422" s="1">
        <v>42186</v>
      </c>
      <c r="M14422" t="e">
        <v>#N/A</v>
      </c>
      <c r="N14422" s="1">
        <v>41730</v>
      </c>
    </row>
    <row r="14423" spans="11:14" x14ac:dyDescent="0.3">
      <c r="K14423" s="1">
        <v>42186</v>
      </c>
      <c r="M14423" t="e">
        <v>#N/A</v>
      </c>
      <c r="N14423" s="1">
        <v>41730</v>
      </c>
    </row>
    <row r="14424" spans="11:14" x14ac:dyDescent="0.3">
      <c r="K14424" s="1">
        <v>42186</v>
      </c>
      <c r="M14424" t="e">
        <v>#N/A</v>
      </c>
      <c r="N14424" s="1">
        <v>41730</v>
      </c>
    </row>
    <row r="14425" spans="11:14" x14ac:dyDescent="0.3">
      <c r="K14425" s="1">
        <v>42186</v>
      </c>
      <c r="M14425" t="e">
        <v>#N/A</v>
      </c>
      <c r="N14425" s="1">
        <v>41730</v>
      </c>
    </row>
    <row r="14426" spans="11:14" x14ac:dyDescent="0.3">
      <c r="K14426" s="1">
        <v>42186</v>
      </c>
      <c r="M14426" t="e">
        <v>#N/A</v>
      </c>
      <c r="N14426" s="1">
        <v>41730</v>
      </c>
    </row>
    <row r="14427" spans="11:14" x14ac:dyDescent="0.3">
      <c r="K14427" s="1">
        <v>42186</v>
      </c>
      <c r="M14427" t="e">
        <v>#N/A</v>
      </c>
      <c r="N14427" s="1">
        <v>41730</v>
      </c>
    </row>
    <row r="14428" spans="11:14" x14ac:dyDescent="0.3">
      <c r="K14428" s="1">
        <v>42186</v>
      </c>
      <c r="M14428" t="e">
        <v>#N/A</v>
      </c>
      <c r="N14428" s="1">
        <v>41730</v>
      </c>
    </row>
    <row r="14429" spans="11:14" x14ac:dyDescent="0.3">
      <c r="K14429" s="1">
        <v>42186</v>
      </c>
      <c r="M14429" t="e">
        <v>#N/A</v>
      </c>
      <c r="N14429" s="1">
        <v>41730</v>
      </c>
    </row>
    <row r="14430" spans="11:14" x14ac:dyDescent="0.3">
      <c r="K14430" s="1">
        <v>42186</v>
      </c>
      <c r="M14430" t="e">
        <v>#N/A</v>
      </c>
      <c r="N14430" s="1">
        <v>41730</v>
      </c>
    </row>
    <row r="14431" spans="11:14" x14ac:dyDescent="0.3">
      <c r="K14431" s="1">
        <v>42186</v>
      </c>
      <c r="M14431" t="e">
        <v>#N/A</v>
      </c>
      <c r="N14431" s="1">
        <v>41730</v>
      </c>
    </row>
    <row r="14432" spans="11:14" x14ac:dyDescent="0.3">
      <c r="K14432" s="1">
        <v>42186</v>
      </c>
      <c r="M14432" t="e">
        <v>#N/A</v>
      </c>
      <c r="N14432" s="1">
        <v>41730</v>
      </c>
    </row>
    <row r="14433" spans="11:14" x14ac:dyDescent="0.3">
      <c r="K14433" s="1">
        <v>42186</v>
      </c>
      <c r="M14433" t="e">
        <v>#N/A</v>
      </c>
      <c r="N14433" s="1">
        <v>41730</v>
      </c>
    </row>
    <row r="14434" spans="11:14" x14ac:dyDescent="0.3">
      <c r="K14434" s="1">
        <v>42186</v>
      </c>
      <c r="M14434" t="e">
        <v>#N/A</v>
      </c>
      <c r="N14434" s="1">
        <v>41730</v>
      </c>
    </row>
    <row r="14435" spans="11:14" x14ac:dyDescent="0.3">
      <c r="K14435" s="1">
        <v>42186</v>
      </c>
      <c r="M14435" t="e">
        <v>#N/A</v>
      </c>
      <c r="N14435" s="1">
        <v>41730</v>
      </c>
    </row>
    <row r="14436" spans="11:14" x14ac:dyDescent="0.3">
      <c r="K14436" s="1">
        <v>42186</v>
      </c>
      <c r="M14436" t="e">
        <v>#N/A</v>
      </c>
      <c r="N14436" s="1">
        <v>41730</v>
      </c>
    </row>
    <row r="14437" spans="11:14" x14ac:dyDescent="0.3">
      <c r="K14437" s="1">
        <v>42186</v>
      </c>
      <c r="M14437" t="e">
        <v>#N/A</v>
      </c>
      <c r="N14437" s="1">
        <v>41730</v>
      </c>
    </row>
    <row r="14438" spans="11:14" x14ac:dyDescent="0.3">
      <c r="K14438" s="1">
        <v>42186</v>
      </c>
      <c r="M14438" t="e">
        <v>#N/A</v>
      </c>
      <c r="N14438" s="1">
        <v>41730</v>
      </c>
    </row>
    <row r="14439" spans="11:14" x14ac:dyDescent="0.3">
      <c r="K14439" s="1">
        <v>42186</v>
      </c>
      <c r="M14439" t="e">
        <v>#N/A</v>
      </c>
      <c r="N14439" s="1">
        <v>41730</v>
      </c>
    </row>
    <row r="14440" spans="11:14" x14ac:dyDescent="0.3">
      <c r="K14440" s="1">
        <v>42186</v>
      </c>
      <c r="M14440" t="e">
        <v>#N/A</v>
      </c>
      <c r="N14440" s="1">
        <v>41730</v>
      </c>
    </row>
    <row r="14441" spans="11:14" x14ac:dyDescent="0.3">
      <c r="K14441" s="1">
        <v>42186</v>
      </c>
      <c r="M14441" t="e">
        <v>#N/A</v>
      </c>
      <c r="N14441" s="1">
        <v>41730</v>
      </c>
    </row>
    <row r="14442" spans="11:14" x14ac:dyDescent="0.3">
      <c r="K14442" s="1">
        <v>42186</v>
      </c>
      <c r="M14442" t="e">
        <v>#N/A</v>
      </c>
      <c r="N14442" s="1">
        <v>41730</v>
      </c>
    </row>
    <row r="14443" spans="11:14" x14ac:dyDescent="0.3">
      <c r="K14443" s="1">
        <v>42186</v>
      </c>
      <c r="M14443" t="e">
        <v>#N/A</v>
      </c>
      <c r="N14443" s="1">
        <v>41730</v>
      </c>
    </row>
    <row r="14444" spans="11:14" x14ac:dyDescent="0.3">
      <c r="K14444" s="1">
        <v>42186</v>
      </c>
      <c r="M14444" t="e">
        <v>#N/A</v>
      </c>
      <c r="N14444" s="1">
        <v>41730</v>
      </c>
    </row>
    <row r="14445" spans="11:14" x14ac:dyDescent="0.3">
      <c r="K14445" s="1">
        <v>42186</v>
      </c>
      <c r="M14445" t="e">
        <v>#N/A</v>
      </c>
      <c r="N14445" s="1">
        <v>41730</v>
      </c>
    </row>
    <row r="14446" spans="11:14" x14ac:dyDescent="0.3">
      <c r="K14446" s="1">
        <v>42186</v>
      </c>
      <c r="M14446" t="e">
        <v>#N/A</v>
      </c>
      <c r="N14446" s="1">
        <v>41730</v>
      </c>
    </row>
    <row r="14447" spans="11:14" x14ac:dyDescent="0.3">
      <c r="K14447" s="1">
        <v>42186</v>
      </c>
      <c r="M14447" t="e">
        <v>#N/A</v>
      </c>
      <c r="N14447" s="1">
        <v>41730</v>
      </c>
    </row>
    <row r="14448" spans="11:14" x14ac:dyDescent="0.3">
      <c r="K14448" s="1">
        <v>42186</v>
      </c>
      <c r="M14448" t="e">
        <v>#N/A</v>
      </c>
      <c r="N14448" s="1">
        <v>41730</v>
      </c>
    </row>
    <row r="14449" spans="11:14" x14ac:dyDescent="0.3">
      <c r="K14449" s="1">
        <v>42186</v>
      </c>
      <c r="M14449" t="e">
        <v>#N/A</v>
      </c>
      <c r="N14449" s="1">
        <v>41730</v>
      </c>
    </row>
    <row r="14450" spans="11:14" x14ac:dyDescent="0.3">
      <c r="K14450" s="1">
        <v>42186</v>
      </c>
      <c r="M14450" t="e">
        <v>#N/A</v>
      </c>
      <c r="N14450" s="1">
        <v>41730</v>
      </c>
    </row>
    <row r="14451" spans="11:14" x14ac:dyDescent="0.3">
      <c r="K14451" s="1">
        <v>42186</v>
      </c>
      <c r="M14451" t="e">
        <v>#N/A</v>
      </c>
      <c r="N14451" s="1">
        <v>41730</v>
      </c>
    </row>
    <row r="14452" spans="11:14" x14ac:dyDescent="0.3">
      <c r="K14452" s="1">
        <v>42186</v>
      </c>
      <c r="M14452" t="e">
        <v>#N/A</v>
      </c>
      <c r="N14452" s="1">
        <v>41730</v>
      </c>
    </row>
    <row r="14453" spans="11:14" x14ac:dyDescent="0.3">
      <c r="K14453" s="1">
        <v>42186</v>
      </c>
      <c r="M14453" t="e">
        <v>#N/A</v>
      </c>
      <c r="N14453" s="1">
        <v>41730</v>
      </c>
    </row>
    <row r="14454" spans="11:14" x14ac:dyDescent="0.3">
      <c r="K14454" s="1">
        <v>42186</v>
      </c>
      <c r="M14454" t="e">
        <v>#N/A</v>
      </c>
      <c r="N14454" s="1">
        <v>41730</v>
      </c>
    </row>
    <row r="14455" spans="11:14" x14ac:dyDescent="0.3">
      <c r="K14455" s="1">
        <v>42186</v>
      </c>
      <c r="M14455" t="e">
        <v>#N/A</v>
      </c>
      <c r="N14455" s="1">
        <v>41730</v>
      </c>
    </row>
    <row r="14456" spans="11:14" x14ac:dyDescent="0.3">
      <c r="K14456" s="1">
        <v>42186</v>
      </c>
      <c r="M14456" t="e">
        <v>#N/A</v>
      </c>
      <c r="N14456" s="1">
        <v>41730</v>
      </c>
    </row>
    <row r="14457" spans="11:14" x14ac:dyDescent="0.3">
      <c r="K14457" s="1">
        <v>42186</v>
      </c>
      <c r="M14457" t="e">
        <v>#N/A</v>
      </c>
      <c r="N14457" s="1">
        <v>41730</v>
      </c>
    </row>
    <row r="14458" spans="11:14" x14ac:dyDescent="0.3">
      <c r="K14458" s="1">
        <v>42186</v>
      </c>
      <c r="M14458" t="e">
        <v>#N/A</v>
      </c>
      <c r="N14458" s="1">
        <v>41730</v>
      </c>
    </row>
    <row r="14459" spans="11:14" x14ac:dyDescent="0.3">
      <c r="K14459" s="1">
        <v>42186</v>
      </c>
      <c r="M14459" t="e">
        <v>#N/A</v>
      </c>
      <c r="N14459" s="1">
        <v>41730</v>
      </c>
    </row>
    <row r="14460" spans="11:14" x14ac:dyDescent="0.3">
      <c r="K14460" s="1">
        <v>42186</v>
      </c>
      <c r="M14460" t="e">
        <v>#N/A</v>
      </c>
      <c r="N14460" s="1">
        <v>41730</v>
      </c>
    </row>
    <row r="14461" spans="11:14" x14ac:dyDescent="0.3">
      <c r="K14461" s="1">
        <v>42186</v>
      </c>
      <c r="M14461" t="e">
        <v>#N/A</v>
      </c>
      <c r="N14461" s="1">
        <v>41730</v>
      </c>
    </row>
    <row r="14462" spans="11:14" x14ac:dyDescent="0.3">
      <c r="K14462" s="1">
        <v>42186</v>
      </c>
      <c r="M14462" t="e">
        <v>#N/A</v>
      </c>
      <c r="N14462" s="1">
        <v>41730</v>
      </c>
    </row>
    <row r="14463" spans="11:14" x14ac:dyDescent="0.3">
      <c r="K14463" s="1">
        <v>42186</v>
      </c>
      <c r="M14463" t="e">
        <v>#N/A</v>
      </c>
      <c r="N14463" s="1">
        <v>41730</v>
      </c>
    </row>
    <row r="14464" spans="11:14" x14ac:dyDescent="0.3">
      <c r="K14464" s="1">
        <v>42186</v>
      </c>
      <c r="M14464" t="e">
        <v>#N/A</v>
      </c>
      <c r="N14464" s="1">
        <v>41730</v>
      </c>
    </row>
    <row r="14465" spans="11:14" x14ac:dyDescent="0.3">
      <c r="K14465" s="1">
        <v>42186</v>
      </c>
      <c r="M14465" t="e">
        <v>#N/A</v>
      </c>
      <c r="N14465" s="1">
        <v>41730</v>
      </c>
    </row>
    <row r="14466" spans="11:14" x14ac:dyDescent="0.3">
      <c r="K14466" s="1">
        <v>42186</v>
      </c>
      <c r="M14466" t="e">
        <v>#N/A</v>
      </c>
      <c r="N14466" s="1">
        <v>41730</v>
      </c>
    </row>
    <row r="14467" spans="11:14" x14ac:dyDescent="0.3">
      <c r="K14467" s="1">
        <v>42186</v>
      </c>
      <c r="M14467" t="e">
        <v>#N/A</v>
      </c>
      <c r="N14467" s="1">
        <v>41730</v>
      </c>
    </row>
    <row r="14468" spans="11:14" x14ac:dyDescent="0.3">
      <c r="K14468" s="1">
        <v>42186</v>
      </c>
      <c r="M14468" t="e">
        <v>#N/A</v>
      </c>
      <c r="N14468" s="1">
        <v>41730</v>
      </c>
    </row>
    <row r="14469" spans="11:14" x14ac:dyDescent="0.3">
      <c r="K14469" s="1">
        <v>42186</v>
      </c>
      <c r="M14469" t="e">
        <v>#N/A</v>
      </c>
      <c r="N14469" s="1">
        <v>41730</v>
      </c>
    </row>
    <row r="14470" spans="11:14" x14ac:dyDescent="0.3">
      <c r="K14470" s="1">
        <v>42186</v>
      </c>
      <c r="M14470" t="e">
        <v>#N/A</v>
      </c>
      <c r="N14470" s="1">
        <v>41730</v>
      </c>
    </row>
    <row r="14471" spans="11:14" x14ac:dyDescent="0.3">
      <c r="K14471" s="1">
        <v>42186</v>
      </c>
      <c r="M14471" t="e">
        <v>#N/A</v>
      </c>
      <c r="N14471" s="1">
        <v>41730</v>
      </c>
    </row>
    <row r="14472" spans="11:14" x14ac:dyDescent="0.3">
      <c r="K14472" s="1">
        <v>42186</v>
      </c>
      <c r="M14472" t="e">
        <v>#N/A</v>
      </c>
      <c r="N14472" s="1">
        <v>41730</v>
      </c>
    </row>
    <row r="14473" spans="11:14" x14ac:dyDescent="0.3">
      <c r="K14473" s="1">
        <v>42186</v>
      </c>
      <c r="M14473" t="e">
        <v>#N/A</v>
      </c>
      <c r="N14473" s="1">
        <v>41730</v>
      </c>
    </row>
    <row r="14474" spans="11:14" x14ac:dyDescent="0.3">
      <c r="K14474" s="1">
        <v>42186</v>
      </c>
      <c r="M14474" t="e">
        <v>#N/A</v>
      </c>
      <c r="N14474" s="1">
        <v>41730</v>
      </c>
    </row>
    <row r="14475" spans="11:14" x14ac:dyDescent="0.3">
      <c r="K14475" s="1">
        <v>42186</v>
      </c>
      <c r="M14475" t="e">
        <v>#N/A</v>
      </c>
      <c r="N14475" s="1">
        <v>41730</v>
      </c>
    </row>
    <row r="14476" spans="11:14" x14ac:dyDescent="0.3">
      <c r="K14476" s="1">
        <v>42186</v>
      </c>
      <c r="M14476" t="e">
        <v>#N/A</v>
      </c>
      <c r="N14476" s="1">
        <v>41730</v>
      </c>
    </row>
    <row r="14477" spans="11:14" x14ac:dyDescent="0.3">
      <c r="K14477" s="1">
        <v>42186</v>
      </c>
      <c r="M14477" t="e">
        <v>#N/A</v>
      </c>
      <c r="N14477" s="1">
        <v>41730</v>
      </c>
    </row>
    <row r="14478" spans="11:14" x14ac:dyDescent="0.3">
      <c r="K14478" s="1">
        <v>42186</v>
      </c>
      <c r="M14478" t="e">
        <v>#N/A</v>
      </c>
      <c r="N14478" s="1">
        <v>41730</v>
      </c>
    </row>
    <row r="14479" spans="11:14" x14ac:dyDescent="0.3">
      <c r="K14479" s="1">
        <v>42186</v>
      </c>
      <c r="M14479" t="e">
        <v>#N/A</v>
      </c>
      <c r="N14479" s="1">
        <v>41730</v>
      </c>
    </row>
    <row r="14480" spans="11:14" x14ac:dyDescent="0.3">
      <c r="K14480" s="1">
        <v>42186</v>
      </c>
      <c r="M14480" t="e">
        <v>#N/A</v>
      </c>
      <c r="N14480" s="1">
        <v>41730</v>
      </c>
    </row>
    <row r="14481" spans="11:14" x14ac:dyDescent="0.3">
      <c r="K14481" s="1">
        <v>42186</v>
      </c>
      <c r="M14481" t="e">
        <v>#N/A</v>
      </c>
      <c r="N14481" s="1">
        <v>41730</v>
      </c>
    </row>
    <row r="14482" spans="11:14" x14ac:dyDescent="0.3">
      <c r="K14482" s="1">
        <v>42186</v>
      </c>
      <c r="M14482" t="e">
        <v>#N/A</v>
      </c>
      <c r="N14482" s="1">
        <v>41730</v>
      </c>
    </row>
    <row r="14483" spans="11:14" x14ac:dyDescent="0.3">
      <c r="K14483" s="1">
        <v>42186</v>
      </c>
      <c r="M14483" t="e">
        <v>#N/A</v>
      </c>
      <c r="N14483" s="1">
        <v>41730</v>
      </c>
    </row>
    <row r="14484" spans="11:14" x14ac:dyDescent="0.3">
      <c r="K14484" s="1">
        <v>42186</v>
      </c>
      <c r="M14484" t="e">
        <v>#N/A</v>
      </c>
      <c r="N14484" s="1">
        <v>41730</v>
      </c>
    </row>
    <row r="14485" spans="11:14" x14ac:dyDescent="0.3">
      <c r="K14485" s="1">
        <v>42186</v>
      </c>
      <c r="M14485" t="e">
        <v>#N/A</v>
      </c>
      <c r="N14485" s="1">
        <v>41730</v>
      </c>
    </row>
    <row r="14486" spans="11:14" x14ac:dyDescent="0.3">
      <c r="K14486" s="1">
        <v>42186</v>
      </c>
      <c r="M14486" t="e">
        <v>#N/A</v>
      </c>
      <c r="N14486" s="1">
        <v>41730</v>
      </c>
    </row>
    <row r="14487" spans="11:14" x14ac:dyDescent="0.3">
      <c r="K14487" s="1">
        <v>42186</v>
      </c>
      <c r="M14487" t="e">
        <v>#N/A</v>
      </c>
      <c r="N14487" s="1">
        <v>41730</v>
      </c>
    </row>
    <row r="14488" spans="11:14" x14ac:dyDescent="0.3">
      <c r="K14488" s="1">
        <v>42186</v>
      </c>
      <c r="M14488" t="e">
        <v>#N/A</v>
      </c>
      <c r="N14488" s="1">
        <v>41730</v>
      </c>
    </row>
    <row r="14489" spans="11:14" x14ac:dyDescent="0.3">
      <c r="K14489" s="1">
        <v>42186</v>
      </c>
      <c r="M14489" t="e">
        <v>#N/A</v>
      </c>
      <c r="N14489" s="1">
        <v>41730</v>
      </c>
    </row>
    <row r="14490" spans="11:14" x14ac:dyDescent="0.3">
      <c r="K14490" s="1">
        <v>42186</v>
      </c>
      <c r="M14490" t="e">
        <v>#N/A</v>
      </c>
      <c r="N14490" s="1">
        <v>41730</v>
      </c>
    </row>
    <row r="14491" spans="11:14" x14ac:dyDescent="0.3">
      <c r="K14491" s="1">
        <v>42186</v>
      </c>
      <c r="M14491" t="e">
        <v>#N/A</v>
      </c>
      <c r="N14491" s="1">
        <v>41730</v>
      </c>
    </row>
    <row r="14492" spans="11:14" x14ac:dyDescent="0.3">
      <c r="K14492" s="1">
        <v>42186</v>
      </c>
      <c r="M14492" t="e">
        <v>#N/A</v>
      </c>
      <c r="N14492" s="1">
        <v>41730</v>
      </c>
    </row>
    <row r="14493" spans="11:14" x14ac:dyDescent="0.3">
      <c r="K14493" s="1">
        <v>42186</v>
      </c>
      <c r="M14493" t="e">
        <v>#N/A</v>
      </c>
      <c r="N14493" s="1">
        <v>41730</v>
      </c>
    </row>
    <row r="14494" spans="11:14" x14ac:dyDescent="0.3">
      <c r="K14494" s="1">
        <v>42186</v>
      </c>
      <c r="M14494" t="e">
        <v>#N/A</v>
      </c>
      <c r="N14494" s="1">
        <v>41730</v>
      </c>
    </row>
    <row r="14495" spans="11:14" x14ac:dyDescent="0.3">
      <c r="K14495" s="1">
        <v>42186</v>
      </c>
      <c r="M14495" t="e">
        <v>#N/A</v>
      </c>
      <c r="N14495" s="1">
        <v>41730</v>
      </c>
    </row>
    <row r="14496" spans="11:14" x14ac:dyDescent="0.3">
      <c r="K14496" s="1">
        <v>42186</v>
      </c>
      <c r="M14496" t="e">
        <v>#N/A</v>
      </c>
      <c r="N14496" s="1">
        <v>41730</v>
      </c>
    </row>
    <row r="14497" spans="11:14" x14ac:dyDescent="0.3">
      <c r="K14497" s="1">
        <v>42186</v>
      </c>
      <c r="M14497" t="e">
        <v>#N/A</v>
      </c>
      <c r="N14497" s="1">
        <v>41730</v>
      </c>
    </row>
    <row r="14498" spans="11:14" x14ac:dyDescent="0.3">
      <c r="K14498" s="1">
        <v>42186</v>
      </c>
      <c r="M14498" t="e">
        <v>#N/A</v>
      </c>
      <c r="N14498" s="1">
        <v>41730</v>
      </c>
    </row>
    <row r="14499" spans="11:14" x14ac:dyDescent="0.3">
      <c r="K14499" s="1">
        <v>42186</v>
      </c>
      <c r="M14499" t="e">
        <v>#N/A</v>
      </c>
      <c r="N14499" s="1">
        <v>41730</v>
      </c>
    </row>
    <row r="14500" spans="11:14" x14ac:dyDescent="0.3">
      <c r="K14500" s="1">
        <v>42186</v>
      </c>
      <c r="M14500" t="e">
        <v>#N/A</v>
      </c>
      <c r="N14500" s="1">
        <v>41730</v>
      </c>
    </row>
    <row r="14501" spans="11:14" x14ac:dyDescent="0.3">
      <c r="K14501" s="1">
        <v>42186</v>
      </c>
      <c r="M14501" t="e">
        <v>#N/A</v>
      </c>
      <c r="N14501" s="1">
        <v>41730</v>
      </c>
    </row>
    <row r="14502" spans="11:14" x14ac:dyDescent="0.3">
      <c r="K14502" s="1">
        <v>42186</v>
      </c>
      <c r="M14502" t="e">
        <v>#N/A</v>
      </c>
      <c r="N14502" s="1">
        <v>41730</v>
      </c>
    </row>
    <row r="14503" spans="11:14" x14ac:dyDescent="0.3">
      <c r="K14503" s="1">
        <v>42186</v>
      </c>
      <c r="M14503" t="e">
        <v>#N/A</v>
      </c>
      <c r="N14503" s="1">
        <v>41730</v>
      </c>
    </row>
    <row r="14504" spans="11:14" x14ac:dyDescent="0.3">
      <c r="K14504" s="1">
        <v>42186</v>
      </c>
      <c r="M14504" t="e">
        <v>#N/A</v>
      </c>
      <c r="N14504" s="1">
        <v>41730</v>
      </c>
    </row>
    <row r="14505" spans="11:14" x14ac:dyDescent="0.3">
      <c r="K14505" s="1">
        <v>42186</v>
      </c>
      <c r="M14505" t="e">
        <v>#N/A</v>
      </c>
      <c r="N14505" s="1">
        <v>41730</v>
      </c>
    </row>
    <row r="14506" spans="11:14" x14ac:dyDescent="0.3">
      <c r="K14506" s="1">
        <v>42186</v>
      </c>
      <c r="M14506" t="e">
        <v>#N/A</v>
      </c>
      <c r="N14506" s="1">
        <v>41730</v>
      </c>
    </row>
    <row r="14507" spans="11:14" x14ac:dyDescent="0.3">
      <c r="K14507" s="1">
        <v>42186</v>
      </c>
      <c r="M14507" t="e">
        <v>#N/A</v>
      </c>
      <c r="N14507" s="1">
        <v>41730</v>
      </c>
    </row>
    <row r="14508" spans="11:14" x14ac:dyDescent="0.3">
      <c r="K14508" s="1">
        <v>42186</v>
      </c>
      <c r="M14508" t="e">
        <v>#N/A</v>
      </c>
      <c r="N14508" s="1">
        <v>41730</v>
      </c>
    </row>
    <row r="14509" spans="11:14" x14ac:dyDescent="0.3">
      <c r="K14509" s="1">
        <v>42186</v>
      </c>
      <c r="M14509" t="e">
        <v>#N/A</v>
      </c>
      <c r="N14509" s="1">
        <v>41730</v>
      </c>
    </row>
    <row r="14510" spans="11:14" x14ac:dyDescent="0.3">
      <c r="K14510" s="1">
        <v>42186</v>
      </c>
      <c r="M14510" t="e">
        <v>#N/A</v>
      </c>
      <c r="N14510" s="1">
        <v>41821</v>
      </c>
    </row>
    <row r="14511" spans="11:14" x14ac:dyDescent="0.3">
      <c r="K14511" s="1">
        <v>42186</v>
      </c>
      <c r="M14511" t="e">
        <v>#N/A</v>
      </c>
      <c r="N14511" s="1">
        <v>41821</v>
      </c>
    </row>
    <row r="14512" spans="11:14" x14ac:dyDescent="0.3">
      <c r="K14512" s="1">
        <v>42186</v>
      </c>
      <c r="M14512" t="e">
        <v>#N/A</v>
      </c>
      <c r="N14512" s="1">
        <v>41821</v>
      </c>
    </row>
    <row r="14513" spans="11:14" x14ac:dyDescent="0.3">
      <c r="K14513" s="1">
        <v>42186</v>
      </c>
      <c r="M14513" t="e">
        <v>#N/A</v>
      </c>
      <c r="N14513" s="1">
        <v>41821</v>
      </c>
    </row>
    <row r="14514" spans="11:14" x14ac:dyDescent="0.3">
      <c r="K14514" s="1">
        <v>42186</v>
      </c>
      <c r="M14514" t="e">
        <v>#N/A</v>
      </c>
      <c r="N14514" s="1">
        <v>41821</v>
      </c>
    </row>
    <row r="14515" spans="11:14" x14ac:dyDescent="0.3">
      <c r="K14515" s="1">
        <v>42186</v>
      </c>
      <c r="M14515" t="e">
        <v>#N/A</v>
      </c>
      <c r="N14515" s="1">
        <v>41821</v>
      </c>
    </row>
    <row r="14516" spans="11:14" x14ac:dyDescent="0.3">
      <c r="K14516" s="1">
        <v>42186</v>
      </c>
      <c r="M14516" t="e">
        <v>#N/A</v>
      </c>
      <c r="N14516" s="1">
        <v>41821</v>
      </c>
    </row>
    <row r="14517" spans="11:14" x14ac:dyDescent="0.3">
      <c r="K14517" s="1">
        <v>42186</v>
      </c>
      <c r="M14517" t="e">
        <v>#N/A</v>
      </c>
      <c r="N14517" s="1">
        <v>41821</v>
      </c>
    </row>
    <row r="14518" spans="11:14" x14ac:dyDescent="0.3">
      <c r="K14518" s="1">
        <v>42186</v>
      </c>
      <c r="M14518" t="e">
        <v>#N/A</v>
      </c>
      <c r="N14518" s="1">
        <v>41821</v>
      </c>
    </row>
    <row r="14519" spans="11:14" x14ac:dyDescent="0.3">
      <c r="K14519" s="1">
        <v>42186</v>
      </c>
      <c r="M14519" t="e">
        <v>#N/A</v>
      </c>
      <c r="N14519" s="1">
        <v>41821</v>
      </c>
    </row>
    <row r="14520" spans="11:14" x14ac:dyDescent="0.3">
      <c r="K14520" s="1">
        <v>42186</v>
      </c>
      <c r="M14520" t="e">
        <v>#N/A</v>
      </c>
      <c r="N14520" s="1">
        <v>41821</v>
      </c>
    </row>
    <row r="14521" spans="11:14" x14ac:dyDescent="0.3">
      <c r="K14521" s="1">
        <v>42186</v>
      </c>
      <c r="M14521" t="e">
        <v>#N/A</v>
      </c>
      <c r="N14521" s="1">
        <v>41821</v>
      </c>
    </row>
    <row r="14522" spans="11:14" x14ac:dyDescent="0.3">
      <c r="K14522" s="1">
        <v>42186</v>
      </c>
      <c r="M14522" t="e">
        <v>#N/A</v>
      </c>
      <c r="N14522" s="1">
        <v>41821</v>
      </c>
    </row>
    <row r="14523" spans="11:14" x14ac:dyDescent="0.3">
      <c r="K14523" s="1">
        <v>42186</v>
      </c>
      <c r="M14523" t="e">
        <v>#N/A</v>
      </c>
      <c r="N14523" s="1">
        <v>41821</v>
      </c>
    </row>
    <row r="14524" spans="11:14" x14ac:dyDescent="0.3">
      <c r="K14524" s="1">
        <v>42186</v>
      </c>
      <c r="M14524" t="e">
        <v>#N/A</v>
      </c>
      <c r="N14524" s="1">
        <v>41821</v>
      </c>
    </row>
    <row r="14525" spans="11:14" x14ac:dyDescent="0.3">
      <c r="K14525" s="1">
        <v>42186</v>
      </c>
      <c r="M14525" t="e">
        <v>#N/A</v>
      </c>
      <c r="N14525" s="1">
        <v>41821</v>
      </c>
    </row>
    <row r="14526" spans="11:14" x14ac:dyDescent="0.3">
      <c r="K14526" s="1">
        <v>42186</v>
      </c>
      <c r="M14526" t="e">
        <v>#N/A</v>
      </c>
      <c r="N14526" s="1">
        <v>41821</v>
      </c>
    </row>
    <row r="14527" spans="11:14" x14ac:dyDescent="0.3">
      <c r="K14527" s="1">
        <v>42186</v>
      </c>
      <c r="M14527" t="e">
        <v>#N/A</v>
      </c>
      <c r="N14527" s="1">
        <v>41821</v>
      </c>
    </row>
    <row r="14528" spans="11:14" x14ac:dyDescent="0.3">
      <c r="K14528" s="1">
        <v>42186</v>
      </c>
      <c r="M14528" t="e">
        <v>#N/A</v>
      </c>
      <c r="N14528" s="1">
        <v>41821</v>
      </c>
    </row>
    <row r="14529" spans="11:14" x14ac:dyDescent="0.3">
      <c r="K14529" s="1">
        <v>42186</v>
      </c>
      <c r="M14529" t="e">
        <v>#N/A</v>
      </c>
      <c r="N14529" s="1">
        <v>41821</v>
      </c>
    </row>
    <row r="14530" spans="11:14" x14ac:dyDescent="0.3">
      <c r="K14530" s="1">
        <v>42186</v>
      </c>
      <c r="M14530" t="e">
        <v>#N/A</v>
      </c>
      <c r="N14530" s="1">
        <v>41821</v>
      </c>
    </row>
    <row r="14531" spans="11:14" x14ac:dyDescent="0.3">
      <c r="K14531" s="1">
        <v>42186</v>
      </c>
      <c r="M14531" t="e">
        <v>#N/A</v>
      </c>
      <c r="N14531" s="1">
        <v>41821</v>
      </c>
    </row>
    <row r="14532" spans="11:14" x14ac:dyDescent="0.3">
      <c r="K14532" s="1">
        <v>42186</v>
      </c>
      <c r="M14532" t="e">
        <v>#N/A</v>
      </c>
      <c r="N14532" s="1">
        <v>41821</v>
      </c>
    </row>
    <row r="14533" spans="11:14" x14ac:dyDescent="0.3">
      <c r="K14533" s="1">
        <v>42186</v>
      </c>
      <c r="M14533" t="e">
        <v>#N/A</v>
      </c>
      <c r="N14533" s="1">
        <v>41821</v>
      </c>
    </row>
    <row r="14534" spans="11:14" x14ac:dyDescent="0.3">
      <c r="K14534" s="1">
        <v>42186</v>
      </c>
      <c r="M14534" t="e">
        <v>#N/A</v>
      </c>
      <c r="N14534" s="1">
        <v>41821</v>
      </c>
    </row>
    <row r="14535" spans="11:14" x14ac:dyDescent="0.3">
      <c r="K14535" s="1">
        <v>42186</v>
      </c>
      <c r="M14535" t="e">
        <v>#N/A</v>
      </c>
      <c r="N14535" s="1">
        <v>41821</v>
      </c>
    </row>
    <row r="14536" spans="11:14" x14ac:dyDescent="0.3">
      <c r="K14536" s="1">
        <v>42186</v>
      </c>
      <c r="M14536" t="e">
        <v>#N/A</v>
      </c>
      <c r="N14536" s="1">
        <v>41821</v>
      </c>
    </row>
    <row r="14537" spans="11:14" x14ac:dyDescent="0.3">
      <c r="K14537" s="1">
        <v>42186</v>
      </c>
      <c r="M14537" t="e">
        <v>#N/A</v>
      </c>
      <c r="N14537" s="1">
        <v>41821</v>
      </c>
    </row>
    <row r="14538" spans="11:14" x14ac:dyDescent="0.3">
      <c r="K14538" s="1">
        <v>42186</v>
      </c>
      <c r="M14538" t="e">
        <v>#N/A</v>
      </c>
      <c r="N14538" s="1">
        <v>41821</v>
      </c>
    </row>
    <row r="14539" spans="11:14" x14ac:dyDescent="0.3">
      <c r="K14539" s="1">
        <v>42186</v>
      </c>
      <c r="M14539" t="e">
        <v>#N/A</v>
      </c>
      <c r="N14539" s="1">
        <v>41821</v>
      </c>
    </row>
    <row r="14540" spans="11:14" x14ac:dyDescent="0.3">
      <c r="K14540" s="1">
        <v>42186</v>
      </c>
      <c r="M14540" t="e">
        <v>#N/A</v>
      </c>
      <c r="N14540" s="1">
        <v>41821</v>
      </c>
    </row>
    <row r="14541" spans="11:14" x14ac:dyDescent="0.3">
      <c r="K14541" s="1">
        <v>42186</v>
      </c>
      <c r="M14541" t="e">
        <v>#N/A</v>
      </c>
      <c r="N14541" s="1">
        <v>41821</v>
      </c>
    </row>
    <row r="14542" spans="11:14" x14ac:dyDescent="0.3">
      <c r="K14542" s="1">
        <v>42186</v>
      </c>
      <c r="M14542" t="e">
        <v>#N/A</v>
      </c>
      <c r="N14542" s="1">
        <v>41821</v>
      </c>
    </row>
    <row r="14543" spans="11:14" x14ac:dyDescent="0.3">
      <c r="K14543" s="1">
        <v>42186</v>
      </c>
      <c r="M14543" t="e">
        <v>#N/A</v>
      </c>
      <c r="N14543" s="1">
        <v>41821</v>
      </c>
    </row>
    <row r="14544" spans="11:14" x14ac:dyDescent="0.3">
      <c r="K14544" s="1">
        <v>42186</v>
      </c>
      <c r="M14544" t="e">
        <v>#N/A</v>
      </c>
      <c r="N14544" s="1">
        <v>41821</v>
      </c>
    </row>
    <row r="14545" spans="11:14" x14ac:dyDescent="0.3">
      <c r="K14545" s="1">
        <v>42186</v>
      </c>
      <c r="M14545" t="e">
        <v>#N/A</v>
      </c>
      <c r="N14545" s="1">
        <v>41821</v>
      </c>
    </row>
    <row r="14546" spans="11:14" x14ac:dyDescent="0.3">
      <c r="K14546" s="1">
        <v>42186</v>
      </c>
      <c r="M14546" t="e">
        <v>#N/A</v>
      </c>
      <c r="N14546" s="1">
        <v>41821</v>
      </c>
    </row>
    <row r="14547" spans="11:14" x14ac:dyDescent="0.3">
      <c r="K14547" s="1">
        <v>42186</v>
      </c>
      <c r="M14547" t="e">
        <v>#N/A</v>
      </c>
      <c r="N14547" s="1">
        <v>41821</v>
      </c>
    </row>
    <row r="14548" spans="11:14" x14ac:dyDescent="0.3">
      <c r="K14548" s="1">
        <v>42186</v>
      </c>
      <c r="M14548" t="e">
        <v>#N/A</v>
      </c>
      <c r="N14548" s="1">
        <v>41821</v>
      </c>
    </row>
    <row r="14549" spans="11:14" x14ac:dyDescent="0.3">
      <c r="K14549" s="1">
        <v>42186</v>
      </c>
      <c r="M14549" t="e">
        <v>#N/A</v>
      </c>
      <c r="N14549" s="1">
        <v>41821</v>
      </c>
    </row>
    <row r="14550" spans="11:14" x14ac:dyDescent="0.3">
      <c r="K14550" s="1">
        <v>42186</v>
      </c>
      <c r="M14550" t="e">
        <v>#N/A</v>
      </c>
      <c r="N14550" s="1">
        <v>41821</v>
      </c>
    </row>
    <row r="14551" spans="11:14" x14ac:dyDescent="0.3">
      <c r="K14551" s="1">
        <v>42186</v>
      </c>
      <c r="M14551" t="e">
        <v>#N/A</v>
      </c>
      <c r="N14551" s="1">
        <v>41821</v>
      </c>
    </row>
    <row r="14552" spans="11:14" x14ac:dyDescent="0.3">
      <c r="K14552" s="1">
        <v>42186</v>
      </c>
      <c r="M14552" t="e">
        <v>#N/A</v>
      </c>
      <c r="N14552" s="1">
        <v>41821</v>
      </c>
    </row>
    <row r="14553" spans="11:14" x14ac:dyDescent="0.3">
      <c r="K14553" s="1">
        <v>42186</v>
      </c>
      <c r="M14553" t="e">
        <v>#N/A</v>
      </c>
      <c r="N14553" s="1">
        <v>41821</v>
      </c>
    </row>
    <row r="14554" spans="11:14" x14ac:dyDescent="0.3">
      <c r="K14554" s="1">
        <v>42186</v>
      </c>
      <c r="M14554" t="e">
        <v>#N/A</v>
      </c>
      <c r="N14554" s="1">
        <v>41821</v>
      </c>
    </row>
    <row r="14555" spans="11:14" x14ac:dyDescent="0.3">
      <c r="K14555" s="1">
        <v>42186</v>
      </c>
      <c r="M14555" t="e">
        <v>#N/A</v>
      </c>
      <c r="N14555" s="1">
        <v>41821</v>
      </c>
    </row>
    <row r="14556" spans="11:14" x14ac:dyDescent="0.3">
      <c r="K14556" s="1">
        <v>42186</v>
      </c>
      <c r="M14556" t="e">
        <v>#N/A</v>
      </c>
      <c r="N14556" s="1">
        <v>41821</v>
      </c>
    </row>
    <row r="14557" spans="11:14" x14ac:dyDescent="0.3">
      <c r="K14557" s="1">
        <v>42186</v>
      </c>
      <c r="M14557" t="e">
        <v>#N/A</v>
      </c>
      <c r="N14557" s="1">
        <v>41821</v>
      </c>
    </row>
    <row r="14558" spans="11:14" x14ac:dyDescent="0.3">
      <c r="K14558" s="1">
        <v>42186</v>
      </c>
      <c r="M14558" t="e">
        <v>#N/A</v>
      </c>
      <c r="N14558" s="1">
        <v>41821</v>
      </c>
    </row>
    <row r="14559" spans="11:14" x14ac:dyDescent="0.3">
      <c r="K14559" s="1">
        <v>42186</v>
      </c>
      <c r="M14559" t="e">
        <v>#N/A</v>
      </c>
      <c r="N14559" s="1">
        <v>41821</v>
      </c>
    </row>
    <row r="14560" spans="11:14" x14ac:dyDescent="0.3">
      <c r="K14560" s="1">
        <v>42186</v>
      </c>
      <c r="M14560" t="e">
        <v>#N/A</v>
      </c>
      <c r="N14560" s="1">
        <v>41821</v>
      </c>
    </row>
    <row r="14561" spans="11:14" x14ac:dyDescent="0.3">
      <c r="K14561" s="1">
        <v>42186</v>
      </c>
      <c r="M14561" t="e">
        <v>#N/A</v>
      </c>
      <c r="N14561" s="1">
        <v>41821</v>
      </c>
    </row>
    <row r="14562" spans="11:14" x14ac:dyDescent="0.3">
      <c r="K14562" s="1">
        <v>42186</v>
      </c>
      <c r="M14562" t="e">
        <v>#N/A</v>
      </c>
      <c r="N14562" s="1">
        <v>41821</v>
      </c>
    </row>
    <row r="14563" spans="11:14" x14ac:dyDescent="0.3">
      <c r="K14563" s="1">
        <v>42186</v>
      </c>
      <c r="M14563" t="e">
        <v>#N/A</v>
      </c>
      <c r="N14563" s="1">
        <v>41821</v>
      </c>
    </row>
    <row r="14564" spans="11:14" x14ac:dyDescent="0.3">
      <c r="K14564" s="1">
        <v>42186</v>
      </c>
      <c r="M14564" t="e">
        <v>#N/A</v>
      </c>
      <c r="N14564" s="1">
        <v>41821</v>
      </c>
    </row>
    <row r="14565" spans="11:14" x14ac:dyDescent="0.3">
      <c r="K14565" s="1">
        <v>42186</v>
      </c>
      <c r="M14565" t="e">
        <v>#N/A</v>
      </c>
      <c r="N14565" s="1">
        <v>41821</v>
      </c>
    </row>
    <row r="14566" spans="11:14" x14ac:dyDescent="0.3">
      <c r="K14566" s="1">
        <v>42186</v>
      </c>
      <c r="M14566" t="e">
        <v>#N/A</v>
      </c>
      <c r="N14566" s="1">
        <v>41821</v>
      </c>
    </row>
    <row r="14567" spans="11:14" x14ac:dyDescent="0.3">
      <c r="K14567" s="1">
        <v>42186</v>
      </c>
      <c r="M14567" t="e">
        <v>#N/A</v>
      </c>
      <c r="N14567" s="1">
        <v>41821</v>
      </c>
    </row>
    <row r="14568" spans="11:14" x14ac:dyDescent="0.3">
      <c r="K14568" s="1">
        <v>42186</v>
      </c>
      <c r="M14568" t="e">
        <v>#N/A</v>
      </c>
      <c r="N14568" s="1">
        <v>41821</v>
      </c>
    </row>
    <row r="14569" spans="11:14" x14ac:dyDescent="0.3">
      <c r="K14569" s="1">
        <v>42186</v>
      </c>
      <c r="M14569" t="e">
        <v>#N/A</v>
      </c>
      <c r="N14569" s="1">
        <v>41821</v>
      </c>
    </row>
    <row r="14570" spans="11:14" x14ac:dyDescent="0.3">
      <c r="K14570" s="1">
        <v>42186</v>
      </c>
      <c r="M14570" t="e">
        <v>#N/A</v>
      </c>
      <c r="N14570" s="1">
        <v>41821</v>
      </c>
    </row>
    <row r="14571" spans="11:14" x14ac:dyDescent="0.3">
      <c r="K14571" s="1">
        <v>42186</v>
      </c>
      <c r="M14571" t="e">
        <v>#N/A</v>
      </c>
      <c r="N14571" s="1">
        <v>41821</v>
      </c>
    </row>
    <row r="14572" spans="11:14" x14ac:dyDescent="0.3">
      <c r="K14572" s="1">
        <v>42186</v>
      </c>
      <c r="M14572" t="e">
        <v>#N/A</v>
      </c>
      <c r="N14572" s="1">
        <v>41821</v>
      </c>
    </row>
    <row r="14573" spans="11:14" x14ac:dyDescent="0.3">
      <c r="K14573" s="1">
        <v>42186</v>
      </c>
      <c r="M14573" t="e">
        <v>#N/A</v>
      </c>
      <c r="N14573" s="1">
        <v>41821</v>
      </c>
    </row>
    <row r="14574" spans="11:14" x14ac:dyDescent="0.3">
      <c r="K14574" s="1">
        <v>42186</v>
      </c>
      <c r="M14574" t="e">
        <v>#N/A</v>
      </c>
      <c r="N14574" s="1">
        <v>41821</v>
      </c>
    </row>
    <row r="14575" spans="11:14" x14ac:dyDescent="0.3">
      <c r="K14575" s="1">
        <v>42186</v>
      </c>
      <c r="M14575" t="e">
        <v>#N/A</v>
      </c>
      <c r="N14575" s="1">
        <v>41821</v>
      </c>
    </row>
    <row r="14576" spans="11:14" x14ac:dyDescent="0.3">
      <c r="K14576" s="1">
        <v>42186</v>
      </c>
      <c r="M14576" t="e">
        <v>#N/A</v>
      </c>
      <c r="N14576" s="1">
        <v>41821</v>
      </c>
    </row>
    <row r="14577" spans="11:14" x14ac:dyDescent="0.3">
      <c r="K14577" s="1">
        <v>42186</v>
      </c>
      <c r="M14577" t="e">
        <v>#N/A</v>
      </c>
      <c r="N14577" s="1">
        <v>41821</v>
      </c>
    </row>
    <row r="14578" spans="11:14" x14ac:dyDescent="0.3">
      <c r="K14578" s="1">
        <v>42186</v>
      </c>
      <c r="M14578" t="e">
        <v>#N/A</v>
      </c>
      <c r="N14578" s="1">
        <v>41821</v>
      </c>
    </row>
    <row r="14579" spans="11:14" x14ac:dyDescent="0.3">
      <c r="K14579" s="1">
        <v>42186</v>
      </c>
      <c r="M14579" t="e">
        <v>#N/A</v>
      </c>
      <c r="N14579" s="1">
        <v>41821</v>
      </c>
    </row>
    <row r="14580" spans="11:14" x14ac:dyDescent="0.3">
      <c r="K14580" s="1">
        <v>42186</v>
      </c>
      <c r="M14580" t="e">
        <v>#N/A</v>
      </c>
      <c r="N14580" s="1">
        <v>41821</v>
      </c>
    </row>
    <row r="14581" spans="11:14" x14ac:dyDescent="0.3">
      <c r="K14581" s="1">
        <v>42186</v>
      </c>
      <c r="M14581" t="e">
        <v>#N/A</v>
      </c>
      <c r="N14581" s="1">
        <v>41821</v>
      </c>
    </row>
    <row r="14582" spans="11:14" x14ac:dyDescent="0.3">
      <c r="K14582" s="1">
        <v>42186</v>
      </c>
      <c r="M14582" t="e">
        <v>#N/A</v>
      </c>
      <c r="N14582" s="1">
        <v>41821</v>
      </c>
    </row>
    <row r="14583" spans="11:14" x14ac:dyDescent="0.3">
      <c r="K14583" s="1">
        <v>42186</v>
      </c>
      <c r="M14583" t="e">
        <v>#N/A</v>
      </c>
      <c r="N14583" s="1">
        <v>41821</v>
      </c>
    </row>
    <row r="14584" spans="11:14" x14ac:dyDescent="0.3">
      <c r="K14584" s="1">
        <v>42186</v>
      </c>
      <c r="M14584" t="e">
        <v>#N/A</v>
      </c>
      <c r="N14584" s="1">
        <v>41821</v>
      </c>
    </row>
    <row r="14585" spans="11:14" x14ac:dyDescent="0.3">
      <c r="K14585" s="1">
        <v>42186</v>
      </c>
      <c r="M14585" t="e">
        <v>#N/A</v>
      </c>
      <c r="N14585" s="1">
        <v>41821</v>
      </c>
    </row>
    <row r="14586" spans="11:14" x14ac:dyDescent="0.3">
      <c r="K14586" s="1">
        <v>42186</v>
      </c>
      <c r="M14586" t="e">
        <v>#N/A</v>
      </c>
      <c r="N14586" s="1">
        <v>41821</v>
      </c>
    </row>
    <row r="14587" spans="11:14" x14ac:dyDescent="0.3">
      <c r="K14587" s="1">
        <v>42186</v>
      </c>
      <c r="M14587" t="e">
        <v>#N/A</v>
      </c>
      <c r="N14587" s="1">
        <v>41821</v>
      </c>
    </row>
    <row r="14588" spans="11:14" x14ac:dyDescent="0.3">
      <c r="K14588" s="1">
        <v>42186</v>
      </c>
      <c r="M14588" t="e">
        <v>#N/A</v>
      </c>
      <c r="N14588" s="1">
        <v>41821</v>
      </c>
    </row>
    <row r="14589" spans="11:14" x14ac:dyDescent="0.3">
      <c r="K14589" s="1">
        <v>42186</v>
      </c>
      <c r="M14589" t="e">
        <v>#N/A</v>
      </c>
      <c r="N14589" s="1">
        <v>41821</v>
      </c>
    </row>
    <row r="14590" spans="11:14" x14ac:dyDescent="0.3">
      <c r="K14590" s="1">
        <v>42186</v>
      </c>
      <c r="M14590" t="e">
        <v>#N/A</v>
      </c>
      <c r="N14590" s="1">
        <v>41821</v>
      </c>
    </row>
    <row r="14591" spans="11:14" x14ac:dyDescent="0.3">
      <c r="K14591" s="1">
        <v>42186</v>
      </c>
      <c r="M14591" t="e">
        <v>#N/A</v>
      </c>
      <c r="N14591" s="1">
        <v>41821</v>
      </c>
    </row>
    <row r="14592" spans="11:14" x14ac:dyDescent="0.3">
      <c r="K14592" s="1">
        <v>42186</v>
      </c>
      <c r="M14592" t="e">
        <v>#N/A</v>
      </c>
      <c r="N14592" s="1">
        <v>41821</v>
      </c>
    </row>
    <row r="14593" spans="11:14" x14ac:dyDescent="0.3">
      <c r="K14593" s="1">
        <v>42186</v>
      </c>
      <c r="M14593" t="e">
        <v>#N/A</v>
      </c>
      <c r="N14593" s="1">
        <v>41821</v>
      </c>
    </row>
    <row r="14594" spans="11:14" x14ac:dyDescent="0.3">
      <c r="K14594" s="1">
        <v>42186</v>
      </c>
      <c r="M14594" t="e">
        <v>#N/A</v>
      </c>
      <c r="N14594" s="1">
        <v>41821</v>
      </c>
    </row>
    <row r="14595" spans="11:14" x14ac:dyDescent="0.3">
      <c r="K14595" s="1">
        <v>42186</v>
      </c>
      <c r="M14595" t="e">
        <v>#N/A</v>
      </c>
      <c r="N14595" s="1">
        <v>41821</v>
      </c>
    </row>
    <row r="14596" spans="11:14" x14ac:dyDescent="0.3">
      <c r="K14596" s="1">
        <v>42186</v>
      </c>
      <c r="M14596" t="e">
        <v>#N/A</v>
      </c>
      <c r="N14596" s="1">
        <v>41821</v>
      </c>
    </row>
    <row r="14597" spans="11:14" x14ac:dyDescent="0.3">
      <c r="K14597" s="1">
        <v>42186</v>
      </c>
      <c r="M14597" t="e">
        <v>#N/A</v>
      </c>
      <c r="N14597" s="1">
        <v>41821</v>
      </c>
    </row>
    <row r="14598" spans="11:14" x14ac:dyDescent="0.3">
      <c r="K14598" s="1">
        <v>42186</v>
      </c>
      <c r="M14598" t="e">
        <v>#N/A</v>
      </c>
      <c r="N14598" s="1">
        <v>41821</v>
      </c>
    </row>
    <row r="14599" spans="11:14" x14ac:dyDescent="0.3">
      <c r="K14599" s="1">
        <v>42186</v>
      </c>
      <c r="M14599" t="e">
        <v>#N/A</v>
      </c>
      <c r="N14599" s="1">
        <v>41821</v>
      </c>
    </row>
    <row r="14600" spans="11:14" x14ac:dyDescent="0.3">
      <c r="K14600" s="1">
        <v>42186</v>
      </c>
      <c r="M14600" t="e">
        <v>#N/A</v>
      </c>
      <c r="N14600" s="1">
        <v>41821</v>
      </c>
    </row>
    <row r="14601" spans="11:14" x14ac:dyDescent="0.3">
      <c r="K14601" s="1">
        <v>42186</v>
      </c>
      <c r="M14601" t="e">
        <v>#N/A</v>
      </c>
      <c r="N14601" s="1">
        <v>41821</v>
      </c>
    </row>
    <row r="14602" spans="11:14" x14ac:dyDescent="0.3">
      <c r="K14602" s="1">
        <v>42186</v>
      </c>
      <c r="M14602" t="e">
        <v>#N/A</v>
      </c>
      <c r="N14602" s="1">
        <v>41821</v>
      </c>
    </row>
    <row r="14603" spans="11:14" x14ac:dyDescent="0.3">
      <c r="K14603" s="1">
        <v>42186</v>
      </c>
      <c r="M14603" t="e">
        <v>#N/A</v>
      </c>
      <c r="N14603" s="1">
        <v>41821</v>
      </c>
    </row>
    <row r="14604" spans="11:14" x14ac:dyDescent="0.3">
      <c r="K14604" s="1">
        <v>42186</v>
      </c>
      <c r="M14604" t="e">
        <v>#N/A</v>
      </c>
      <c r="N14604" s="1">
        <v>41821</v>
      </c>
    </row>
    <row r="14605" spans="11:14" x14ac:dyDescent="0.3">
      <c r="K14605" s="1">
        <v>42186</v>
      </c>
      <c r="M14605" t="e">
        <v>#N/A</v>
      </c>
      <c r="N14605" s="1">
        <v>41821</v>
      </c>
    </row>
    <row r="14606" spans="11:14" x14ac:dyDescent="0.3">
      <c r="K14606" s="1">
        <v>42186</v>
      </c>
      <c r="M14606" t="e">
        <v>#N/A</v>
      </c>
      <c r="N14606" s="1">
        <v>41821</v>
      </c>
    </row>
    <row r="14607" spans="11:14" x14ac:dyDescent="0.3">
      <c r="K14607" s="1">
        <v>42186</v>
      </c>
      <c r="M14607" t="e">
        <v>#N/A</v>
      </c>
      <c r="N14607" s="1">
        <v>41821</v>
      </c>
    </row>
    <row r="14608" spans="11:14" x14ac:dyDescent="0.3">
      <c r="K14608" s="1">
        <v>42186</v>
      </c>
      <c r="M14608" t="e">
        <v>#N/A</v>
      </c>
      <c r="N14608" s="1">
        <v>41821</v>
      </c>
    </row>
    <row r="14609" spans="11:14" x14ac:dyDescent="0.3">
      <c r="K14609" s="1">
        <v>42186</v>
      </c>
      <c r="M14609" t="e">
        <v>#N/A</v>
      </c>
      <c r="N14609" s="1">
        <v>41821</v>
      </c>
    </row>
    <row r="14610" spans="11:14" x14ac:dyDescent="0.3">
      <c r="K14610" s="1">
        <v>42186</v>
      </c>
      <c r="M14610" t="e">
        <v>#N/A</v>
      </c>
      <c r="N14610" s="1">
        <v>41821</v>
      </c>
    </row>
    <row r="14611" spans="11:14" x14ac:dyDescent="0.3">
      <c r="K14611" s="1">
        <v>42186</v>
      </c>
      <c r="M14611" t="e">
        <v>#N/A</v>
      </c>
      <c r="N14611" s="1">
        <v>41821</v>
      </c>
    </row>
    <row r="14612" spans="11:14" x14ac:dyDescent="0.3">
      <c r="K14612" s="1">
        <v>42186</v>
      </c>
      <c r="M14612" t="e">
        <v>#N/A</v>
      </c>
      <c r="N14612" s="1">
        <v>41821</v>
      </c>
    </row>
    <row r="14613" spans="11:14" x14ac:dyDescent="0.3">
      <c r="K14613" s="1">
        <v>42186</v>
      </c>
      <c r="M14613" t="e">
        <v>#N/A</v>
      </c>
      <c r="N14613" s="1">
        <v>41821</v>
      </c>
    </row>
    <row r="14614" spans="11:14" x14ac:dyDescent="0.3">
      <c r="K14614" s="1">
        <v>42186</v>
      </c>
      <c r="M14614" t="e">
        <v>#N/A</v>
      </c>
      <c r="N14614" s="1">
        <v>41821</v>
      </c>
    </row>
    <row r="14615" spans="11:14" x14ac:dyDescent="0.3">
      <c r="K14615" s="1">
        <v>42186</v>
      </c>
      <c r="M14615" t="e">
        <v>#N/A</v>
      </c>
      <c r="N14615" s="1">
        <v>41821</v>
      </c>
    </row>
    <row r="14616" spans="11:14" x14ac:dyDescent="0.3">
      <c r="K14616" s="1">
        <v>42186</v>
      </c>
      <c r="M14616" t="e">
        <v>#N/A</v>
      </c>
      <c r="N14616" s="1">
        <v>41821</v>
      </c>
    </row>
    <row r="14617" spans="11:14" x14ac:dyDescent="0.3">
      <c r="K14617" s="1">
        <v>42186</v>
      </c>
      <c r="M14617" t="e">
        <v>#N/A</v>
      </c>
      <c r="N14617" s="1">
        <v>41821</v>
      </c>
    </row>
    <row r="14618" spans="11:14" x14ac:dyDescent="0.3">
      <c r="K14618" s="1">
        <v>42186</v>
      </c>
      <c r="M14618" t="e">
        <v>#N/A</v>
      </c>
      <c r="N14618" s="1">
        <v>41821</v>
      </c>
    </row>
    <row r="14619" spans="11:14" x14ac:dyDescent="0.3">
      <c r="K14619" s="1">
        <v>42186</v>
      </c>
      <c r="M14619" t="e">
        <v>#N/A</v>
      </c>
      <c r="N14619" s="1">
        <v>41821</v>
      </c>
    </row>
    <row r="14620" spans="11:14" x14ac:dyDescent="0.3">
      <c r="K14620" s="1">
        <v>42186</v>
      </c>
      <c r="M14620" t="e">
        <v>#N/A</v>
      </c>
      <c r="N14620" s="1">
        <v>41821</v>
      </c>
    </row>
    <row r="14621" spans="11:14" x14ac:dyDescent="0.3">
      <c r="K14621" s="1">
        <v>42186</v>
      </c>
      <c r="M14621" t="e">
        <v>#N/A</v>
      </c>
      <c r="N14621" s="1">
        <v>41821</v>
      </c>
    </row>
    <row r="14622" spans="11:14" x14ac:dyDescent="0.3">
      <c r="K14622" s="1">
        <v>42186</v>
      </c>
      <c r="M14622" t="e">
        <v>#N/A</v>
      </c>
      <c r="N14622" s="1">
        <v>41821</v>
      </c>
    </row>
    <row r="14623" spans="11:14" x14ac:dyDescent="0.3">
      <c r="K14623" s="1">
        <v>42186</v>
      </c>
      <c r="M14623" t="e">
        <v>#N/A</v>
      </c>
      <c r="N14623" s="1">
        <v>41821</v>
      </c>
    </row>
    <row r="14624" spans="11:14" x14ac:dyDescent="0.3">
      <c r="K14624" s="1">
        <v>42186</v>
      </c>
      <c r="M14624" t="e">
        <v>#N/A</v>
      </c>
      <c r="N14624" s="1">
        <v>41821</v>
      </c>
    </row>
    <row r="14625" spans="11:14" x14ac:dyDescent="0.3">
      <c r="K14625" s="1">
        <v>42186</v>
      </c>
      <c r="M14625" t="e">
        <v>#N/A</v>
      </c>
      <c r="N14625" s="1">
        <v>41821</v>
      </c>
    </row>
    <row r="14626" spans="11:14" x14ac:dyDescent="0.3">
      <c r="K14626" s="1">
        <v>42186</v>
      </c>
      <c r="M14626" t="e">
        <v>#N/A</v>
      </c>
      <c r="N14626" s="1">
        <v>41821</v>
      </c>
    </row>
    <row r="14627" spans="11:14" x14ac:dyDescent="0.3">
      <c r="K14627" s="1">
        <v>42186</v>
      </c>
      <c r="M14627" t="e">
        <v>#N/A</v>
      </c>
      <c r="N14627" s="1">
        <v>41821</v>
      </c>
    </row>
    <row r="14628" spans="11:14" x14ac:dyDescent="0.3">
      <c r="K14628" s="1">
        <v>42186</v>
      </c>
      <c r="M14628" t="e">
        <v>#N/A</v>
      </c>
      <c r="N14628" s="1">
        <v>41821</v>
      </c>
    </row>
    <row r="14629" spans="11:14" x14ac:dyDescent="0.3">
      <c r="K14629" s="1">
        <v>42186</v>
      </c>
      <c r="M14629" t="e">
        <v>#N/A</v>
      </c>
      <c r="N14629" s="1">
        <v>41821</v>
      </c>
    </row>
    <row r="14630" spans="11:14" x14ac:dyDescent="0.3">
      <c r="K14630" s="1">
        <v>42186</v>
      </c>
      <c r="M14630" t="e">
        <v>#N/A</v>
      </c>
      <c r="N14630" s="1">
        <v>41821</v>
      </c>
    </row>
    <row r="14631" spans="11:14" x14ac:dyDescent="0.3">
      <c r="K14631" s="1">
        <v>42186</v>
      </c>
      <c r="M14631" t="e">
        <v>#N/A</v>
      </c>
      <c r="N14631" s="1">
        <v>41821</v>
      </c>
    </row>
    <row r="14632" spans="11:14" x14ac:dyDescent="0.3">
      <c r="K14632" s="1">
        <v>42186</v>
      </c>
      <c r="M14632" t="e">
        <v>#N/A</v>
      </c>
      <c r="N14632" s="1">
        <v>41821</v>
      </c>
    </row>
    <row r="14633" spans="11:14" x14ac:dyDescent="0.3">
      <c r="K14633" s="1">
        <v>42186</v>
      </c>
      <c r="M14633" t="e">
        <v>#N/A</v>
      </c>
      <c r="N14633" s="1">
        <v>41821</v>
      </c>
    </row>
    <row r="14634" spans="11:14" x14ac:dyDescent="0.3">
      <c r="K14634" s="1">
        <v>42186</v>
      </c>
      <c r="M14634" t="e">
        <v>#N/A</v>
      </c>
      <c r="N14634" s="1">
        <v>41821</v>
      </c>
    </row>
    <row r="14635" spans="11:14" x14ac:dyDescent="0.3">
      <c r="K14635" s="1">
        <v>42186</v>
      </c>
      <c r="M14635" t="e">
        <v>#N/A</v>
      </c>
      <c r="N14635" s="1">
        <v>41821</v>
      </c>
    </row>
    <row r="14636" spans="11:14" x14ac:dyDescent="0.3">
      <c r="K14636" s="1">
        <v>42186</v>
      </c>
      <c r="M14636" t="e">
        <v>#N/A</v>
      </c>
      <c r="N14636" s="1">
        <v>41821</v>
      </c>
    </row>
    <row r="14637" spans="11:14" x14ac:dyDescent="0.3">
      <c r="K14637" s="1">
        <v>42186</v>
      </c>
      <c r="M14637" t="e">
        <v>#N/A</v>
      </c>
      <c r="N14637" s="1">
        <v>41821</v>
      </c>
    </row>
    <row r="14638" spans="11:14" x14ac:dyDescent="0.3">
      <c r="K14638" s="1">
        <v>42186</v>
      </c>
      <c r="M14638" t="e">
        <v>#N/A</v>
      </c>
      <c r="N14638" s="1">
        <v>41821</v>
      </c>
    </row>
    <row r="14639" spans="11:14" x14ac:dyDescent="0.3">
      <c r="K14639" s="1">
        <v>42186</v>
      </c>
      <c r="M14639" t="e">
        <v>#N/A</v>
      </c>
      <c r="N14639" s="1">
        <v>41821</v>
      </c>
    </row>
    <row r="14640" spans="11:14" x14ac:dyDescent="0.3">
      <c r="K14640" s="1">
        <v>42186</v>
      </c>
      <c r="M14640" t="e">
        <v>#N/A</v>
      </c>
      <c r="N14640" s="1">
        <v>41821</v>
      </c>
    </row>
    <row r="14641" spans="11:14" x14ac:dyDescent="0.3">
      <c r="K14641" s="1">
        <v>42186</v>
      </c>
      <c r="M14641" t="e">
        <v>#N/A</v>
      </c>
      <c r="N14641" s="1">
        <v>41821</v>
      </c>
    </row>
    <row r="14642" spans="11:14" x14ac:dyDescent="0.3">
      <c r="K14642" s="1">
        <v>42186</v>
      </c>
      <c r="M14642" t="e">
        <v>#N/A</v>
      </c>
      <c r="N14642" s="1">
        <v>41821</v>
      </c>
    </row>
    <row r="14643" spans="11:14" x14ac:dyDescent="0.3">
      <c r="K14643" s="1">
        <v>42186</v>
      </c>
      <c r="M14643" t="e">
        <v>#N/A</v>
      </c>
      <c r="N14643" s="1">
        <v>41821</v>
      </c>
    </row>
    <row r="14644" spans="11:14" x14ac:dyDescent="0.3">
      <c r="K14644" s="1">
        <v>42186</v>
      </c>
      <c r="M14644" t="e">
        <v>#N/A</v>
      </c>
      <c r="N14644" s="1">
        <v>41821</v>
      </c>
    </row>
    <row r="14645" spans="11:14" x14ac:dyDescent="0.3">
      <c r="K14645" s="1">
        <v>42186</v>
      </c>
      <c r="M14645" t="e">
        <v>#N/A</v>
      </c>
      <c r="N14645" s="1">
        <v>41821</v>
      </c>
    </row>
    <row r="14646" spans="11:14" x14ac:dyDescent="0.3">
      <c r="K14646" s="1">
        <v>42186</v>
      </c>
      <c r="M14646" t="e">
        <v>#N/A</v>
      </c>
      <c r="N14646" s="1">
        <v>41821</v>
      </c>
    </row>
    <row r="14647" spans="11:14" x14ac:dyDescent="0.3">
      <c r="K14647" s="1">
        <v>42186</v>
      </c>
      <c r="M14647" t="e">
        <v>#N/A</v>
      </c>
      <c r="N14647" s="1">
        <v>41821</v>
      </c>
    </row>
    <row r="14648" spans="11:14" x14ac:dyDescent="0.3">
      <c r="K14648" s="1">
        <v>42186</v>
      </c>
      <c r="M14648" t="e">
        <v>#N/A</v>
      </c>
      <c r="N14648" s="1">
        <v>41821</v>
      </c>
    </row>
    <row r="14649" spans="11:14" x14ac:dyDescent="0.3">
      <c r="K14649" s="1">
        <v>42186</v>
      </c>
      <c r="M14649" t="e">
        <v>#N/A</v>
      </c>
      <c r="N14649" s="1">
        <v>41821</v>
      </c>
    </row>
    <row r="14650" spans="11:14" x14ac:dyDescent="0.3">
      <c r="K14650" s="1">
        <v>42186</v>
      </c>
      <c r="M14650" t="e">
        <v>#N/A</v>
      </c>
      <c r="N14650" s="1">
        <v>41821</v>
      </c>
    </row>
    <row r="14651" spans="11:14" x14ac:dyDescent="0.3">
      <c r="K14651" s="1">
        <v>42186</v>
      </c>
      <c r="M14651" t="e">
        <v>#N/A</v>
      </c>
      <c r="N14651" s="1">
        <v>41821</v>
      </c>
    </row>
    <row r="14652" spans="11:14" x14ac:dyDescent="0.3">
      <c r="K14652" s="1">
        <v>42186</v>
      </c>
      <c r="M14652" t="e">
        <v>#N/A</v>
      </c>
      <c r="N14652" s="1">
        <v>41821</v>
      </c>
    </row>
    <row r="14653" spans="11:14" x14ac:dyDescent="0.3">
      <c r="K14653" s="1">
        <v>42186</v>
      </c>
      <c r="M14653" t="e">
        <v>#N/A</v>
      </c>
      <c r="N14653" s="1">
        <v>41821</v>
      </c>
    </row>
    <row r="14654" spans="11:14" x14ac:dyDescent="0.3">
      <c r="K14654" s="1">
        <v>42186</v>
      </c>
      <c r="M14654" t="e">
        <v>#N/A</v>
      </c>
      <c r="N14654" s="1">
        <v>41821</v>
      </c>
    </row>
    <row r="14655" spans="11:14" x14ac:dyDescent="0.3">
      <c r="K14655" s="1">
        <v>42186</v>
      </c>
      <c r="M14655" t="e">
        <v>#N/A</v>
      </c>
      <c r="N14655" s="1">
        <v>41821</v>
      </c>
    </row>
    <row r="14656" spans="11:14" x14ac:dyDescent="0.3">
      <c r="K14656" s="1">
        <v>42186</v>
      </c>
      <c r="M14656" t="e">
        <v>#N/A</v>
      </c>
      <c r="N14656" s="1">
        <v>41821</v>
      </c>
    </row>
    <row r="14657" spans="11:14" x14ac:dyDescent="0.3">
      <c r="K14657" s="1">
        <v>42186</v>
      </c>
      <c r="M14657" t="e">
        <v>#N/A</v>
      </c>
      <c r="N14657" s="1">
        <v>41821</v>
      </c>
    </row>
    <row r="14658" spans="11:14" x14ac:dyDescent="0.3">
      <c r="K14658" s="1">
        <v>42186</v>
      </c>
      <c r="M14658" t="e">
        <v>#N/A</v>
      </c>
      <c r="N14658" s="1">
        <v>41821</v>
      </c>
    </row>
    <row r="14659" spans="11:14" x14ac:dyDescent="0.3">
      <c r="K14659" s="1">
        <v>42186</v>
      </c>
      <c r="M14659" t="e">
        <v>#N/A</v>
      </c>
      <c r="N14659" s="1">
        <v>41821</v>
      </c>
    </row>
    <row r="14660" spans="11:14" x14ac:dyDescent="0.3">
      <c r="K14660" s="1">
        <v>42186</v>
      </c>
      <c r="M14660" t="e">
        <v>#N/A</v>
      </c>
      <c r="N14660" s="1">
        <v>41821</v>
      </c>
    </row>
    <row r="14661" spans="11:14" x14ac:dyDescent="0.3">
      <c r="K14661" s="1">
        <v>42186</v>
      </c>
      <c r="M14661" t="e">
        <v>#N/A</v>
      </c>
      <c r="N14661" s="1">
        <v>41821</v>
      </c>
    </row>
    <row r="14662" spans="11:14" x14ac:dyDescent="0.3">
      <c r="K14662" s="1">
        <v>42186</v>
      </c>
      <c r="M14662" t="e">
        <v>#N/A</v>
      </c>
      <c r="N14662" s="1">
        <v>41821</v>
      </c>
    </row>
    <row r="14663" spans="11:14" x14ac:dyDescent="0.3">
      <c r="K14663" s="1">
        <v>42186</v>
      </c>
      <c r="M14663" t="e">
        <v>#N/A</v>
      </c>
      <c r="N14663" s="1">
        <v>41821</v>
      </c>
    </row>
    <row r="14664" spans="11:14" x14ac:dyDescent="0.3">
      <c r="K14664" s="1">
        <v>42186</v>
      </c>
      <c r="M14664" t="e">
        <v>#N/A</v>
      </c>
      <c r="N14664" s="1">
        <v>41821</v>
      </c>
    </row>
    <row r="14665" spans="11:14" x14ac:dyDescent="0.3">
      <c r="K14665" s="1">
        <v>42186</v>
      </c>
      <c r="M14665" t="e">
        <v>#N/A</v>
      </c>
      <c r="N14665" s="1">
        <v>41821</v>
      </c>
    </row>
    <row r="14666" spans="11:14" x14ac:dyDescent="0.3">
      <c r="K14666" s="1">
        <v>42186</v>
      </c>
      <c r="M14666" t="e">
        <v>#N/A</v>
      </c>
      <c r="N14666" s="1">
        <v>41821</v>
      </c>
    </row>
    <row r="14667" spans="11:14" x14ac:dyDescent="0.3">
      <c r="K14667" s="1">
        <v>42186</v>
      </c>
      <c r="M14667" t="e">
        <v>#N/A</v>
      </c>
      <c r="N14667" s="1">
        <v>41821</v>
      </c>
    </row>
    <row r="14668" spans="11:14" x14ac:dyDescent="0.3">
      <c r="K14668" s="1">
        <v>42186</v>
      </c>
      <c r="M14668" t="e">
        <v>#N/A</v>
      </c>
      <c r="N14668" s="1">
        <v>41821</v>
      </c>
    </row>
    <row r="14669" spans="11:14" x14ac:dyDescent="0.3">
      <c r="K14669" s="1">
        <v>42186</v>
      </c>
      <c r="M14669" t="e">
        <v>#N/A</v>
      </c>
      <c r="N14669" s="1">
        <v>41821</v>
      </c>
    </row>
    <row r="14670" spans="11:14" x14ac:dyDescent="0.3">
      <c r="K14670" s="1">
        <v>42186</v>
      </c>
      <c r="M14670" t="e">
        <v>#N/A</v>
      </c>
      <c r="N14670" s="1">
        <v>41821</v>
      </c>
    </row>
    <row r="14671" spans="11:14" x14ac:dyDescent="0.3">
      <c r="K14671" s="1">
        <v>42186</v>
      </c>
      <c r="M14671" t="e">
        <v>#N/A</v>
      </c>
      <c r="N14671" s="1">
        <v>41821</v>
      </c>
    </row>
    <row r="14672" spans="11:14" x14ac:dyDescent="0.3">
      <c r="K14672" s="1">
        <v>42186</v>
      </c>
      <c r="M14672" t="e">
        <v>#N/A</v>
      </c>
      <c r="N14672" s="1">
        <v>41821</v>
      </c>
    </row>
    <row r="14673" spans="11:14" x14ac:dyDescent="0.3">
      <c r="K14673" s="1">
        <v>42186</v>
      </c>
      <c r="M14673" t="e">
        <v>#N/A</v>
      </c>
      <c r="N14673" s="1">
        <v>41821</v>
      </c>
    </row>
    <row r="14674" spans="11:14" x14ac:dyDescent="0.3">
      <c r="K14674" s="1">
        <v>42186</v>
      </c>
      <c r="M14674" t="e">
        <v>#N/A</v>
      </c>
      <c r="N14674" s="1">
        <v>41821</v>
      </c>
    </row>
    <row r="14675" spans="11:14" x14ac:dyDescent="0.3">
      <c r="K14675" s="1">
        <v>42186</v>
      </c>
      <c r="M14675" t="e">
        <v>#N/A</v>
      </c>
      <c r="N14675" s="1">
        <v>41821</v>
      </c>
    </row>
    <row r="14676" spans="11:14" x14ac:dyDescent="0.3">
      <c r="K14676" s="1">
        <v>42186</v>
      </c>
      <c r="M14676" t="e">
        <v>#N/A</v>
      </c>
      <c r="N14676" s="1">
        <v>41821</v>
      </c>
    </row>
    <row r="14677" spans="11:14" x14ac:dyDescent="0.3">
      <c r="K14677" s="1">
        <v>42186</v>
      </c>
      <c r="M14677" t="e">
        <v>#N/A</v>
      </c>
      <c r="N14677" s="1">
        <v>41821</v>
      </c>
    </row>
    <row r="14678" spans="11:14" x14ac:dyDescent="0.3">
      <c r="K14678" s="1">
        <v>42186</v>
      </c>
      <c r="M14678" t="e">
        <v>#N/A</v>
      </c>
      <c r="N14678" s="1">
        <v>41821</v>
      </c>
    </row>
    <row r="14679" spans="11:14" x14ac:dyDescent="0.3">
      <c r="K14679" s="1">
        <v>42186</v>
      </c>
      <c r="M14679" t="e">
        <v>#N/A</v>
      </c>
      <c r="N14679" s="1">
        <v>41821</v>
      </c>
    </row>
    <row r="14680" spans="11:14" x14ac:dyDescent="0.3">
      <c r="K14680" s="1">
        <v>42186</v>
      </c>
      <c r="M14680" t="e">
        <v>#N/A</v>
      </c>
      <c r="N14680" s="1">
        <v>41821</v>
      </c>
    </row>
    <row r="14681" spans="11:14" x14ac:dyDescent="0.3">
      <c r="K14681" s="1">
        <v>42186</v>
      </c>
      <c r="M14681" t="e">
        <v>#N/A</v>
      </c>
      <c r="N14681" s="1">
        <v>41821</v>
      </c>
    </row>
    <row r="14682" spans="11:14" x14ac:dyDescent="0.3">
      <c r="K14682" s="1">
        <v>42186</v>
      </c>
      <c r="M14682" t="e">
        <v>#N/A</v>
      </c>
      <c r="N14682" s="1">
        <v>41821</v>
      </c>
    </row>
    <row r="14683" spans="11:14" x14ac:dyDescent="0.3">
      <c r="K14683" s="1">
        <v>42186</v>
      </c>
      <c r="M14683" t="e">
        <v>#N/A</v>
      </c>
      <c r="N14683" s="1">
        <v>41821</v>
      </c>
    </row>
    <row r="14684" spans="11:14" x14ac:dyDescent="0.3">
      <c r="K14684" s="1">
        <v>42186</v>
      </c>
      <c r="M14684" t="e">
        <v>#N/A</v>
      </c>
      <c r="N14684" s="1">
        <v>41821</v>
      </c>
    </row>
    <row r="14685" spans="11:14" x14ac:dyDescent="0.3">
      <c r="K14685" s="1">
        <v>42186</v>
      </c>
      <c r="M14685" t="e">
        <v>#N/A</v>
      </c>
      <c r="N14685" s="1">
        <v>41821</v>
      </c>
    </row>
    <row r="14686" spans="11:14" x14ac:dyDescent="0.3">
      <c r="K14686" s="1">
        <v>42186</v>
      </c>
      <c r="M14686" t="e">
        <v>#N/A</v>
      </c>
      <c r="N14686" s="1">
        <v>41821</v>
      </c>
    </row>
    <row r="14687" spans="11:14" x14ac:dyDescent="0.3">
      <c r="K14687" s="1">
        <v>42186</v>
      </c>
      <c r="M14687" t="e">
        <v>#N/A</v>
      </c>
      <c r="N14687" s="1">
        <v>41821</v>
      </c>
    </row>
    <row r="14688" spans="11:14" x14ac:dyDescent="0.3">
      <c r="K14688" s="1">
        <v>42186</v>
      </c>
      <c r="M14688" t="e">
        <v>#N/A</v>
      </c>
      <c r="N14688" s="1">
        <v>41821</v>
      </c>
    </row>
    <row r="14689" spans="11:14" x14ac:dyDescent="0.3">
      <c r="K14689" s="1">
        <v>42186</v>
      </c>
      <c r="M14689" t="e">
        <v>#N/A</v>
      </c>
      <c r="N14689" s="1">
        <v>41821</v>
      </c>
    </row>
    <row r="14690" spans="11:14" x14ac:dyDescent="0.3">
      <c r="K14690" s="1">
        <v>42186</v>
      </c>
      <c r="M14690" t="e">
        <v>#N/A</v>
      </c>
      <c r="N14690" s="1">
        <v>41821</v>
      </c>
    </row>
    <row r="14691" spans="11:14" x14ac:dyDescent="0.3">
      <c r="K14691" s="1">
        <v>42186</v>
      </c>
      <c r="M14691" t="e">
        <v>#N/A</v>
      </c>
      <c r="N14691" s="1">
        <v>41821</v>
      </c>
    </row>
    <row r="14692" spans="11:14" x14ac:dyDescent="0.3">
      <c r="K14692" s="1">
        <v>42186</v>
      </c>
      <c r="M14692" t="e">
        <v>#N/A</v>
      </c>
      <c r="N14692" s="1">
        <v>41821</v>
      </c>
    </row>
    <row r="14693" spans="11:14" x14ac:dyDescent="0.3">
      <c r="K14693" s="1">
        <v>42186</v>
      </c>
      <c r="M14693" t="e">
        <v>#N/A</v>
      </c>
      <c r="N14693" s="1">
        <v>41821</v>
      </c>
    </row>
    <row r="14694" spans="11:14" x14ac:dyDescent="0.3">
      <c r="K14694" s="1">
        <v>42186</v>
      </c>
      <c r="M14694" t="e">
        <v>#N/A</v>
      </c>
      <c r="N14694" s="1">
        <v>41821</v>
      </c>
    </row>
    <row r="14695" spans="11:14" x14ac:dyDescent="0.3">
      <c r="K14695" s="1">
        <v>42186</v>
      </c>
      <c r="M14695" t="e">
        <v>#N/A</v>
      </c>
      <c r="N14695" s="1">
        <v>41821</v>
      </c>
    </row>
    <row r="14696" spans="11:14" x14ac:dyDescent="0.3">
      <c r="K14696" s="1">
        <v>42186</v>
      </c>
      <c r="M14696" t="e">
        <v>#N/A</v>
      </c>
      <c r="N14696" s="1">
        <v>41821</v>
      </c>
    </row>
    <row r="14697" spans="11:14" x14ac:dyDescent="0.3">
      <c r="K14697" s="1">
        <v>42186</v>
      </c>
      <c r="M14697" t="e">
        <v>#N/A</v>
      </c>
      <c r="N14697" s="1">
        <v>41821</v>
      </c>
    </row>
    <row r="14698" spans="11:14" x14ac:dyDescent="0.3">
      <c r="K14698" s="1">
        <v>42186</v>
      </c>
      <c r="M14698" t="e">
        <v>#N/A</v>
      </c>
      <c r="N14698" s="1">
        <v>41821</v>
      </c>
    </row>
    <row r="14699" spans="11:14" x14ac:dyDescent="0.3">
      <c r="K14699" s="1">
        <v>42186</v>
      </c>
      <c r="M14699" t="e">
        <v>#N/A</v>
      </c>
      <c r="N14699" s="1">
        <v>41821</v>
      </c>
    </row>
    <row r="14700" spans="11:14" x14ac:dyDescent="0.3">
      <c r="K14700" s="1">
        <v>42186</v>
      </c>
      <c r="M14700" t="e">
        <v>#N/A</v>
      </c>
      <c r="N14700" s="1">
        <v>41821</v>
      </c>
    </row>
    <row r="14701" spans="11:14" x14ac:dyDescent="0.3">
      <c r="K14701" s="1">
        <v>42186</v>
      </c>
      <c r="M14701" t="e">
        <v>#N/A</v>
      </c>
      <c r="N14701" s="1">
        <v>41821</v>
      </c>
    </row>
    <row r="14702" spans="11:14" x14ac:dyDescent="0.3">
      <c r="K14702" s="1">
        <v>42186</v>
      </c>
      <c r="M14702" t="e">
        <v>#N/A</v>
      </c>
      <c r="N14702" s="1">
        <v>41821</v>
      </c>
    </row>
    <row r="14703" spans="11:14" x14ac:dyDescent="0.3">
      <c r="K14703" s="1">
        <v>42186</v>
      </c>
      <c r="M14703" t="e">
        <v>#N/A</v>
      </c>
      <c r="N14703" s="1">
        <v>41821</v>
      </c>
    </row>
    <row r="14704" spans="11:14" x14ac:dyDescent="0.3">
      <c r="K14704" s="1">
        <v>42186</v>
      </c>
      <c r="M14704" t="e">
        <v>#N/A</v>
      </c>
      <c r="N14704" s="1">
        <v>41821</v>
      </c>
    </row>
    <row r="14705" spans="11:14" x14ac:dyDescent="0.3">
      <c r="K14705" s="1">
        <v>42186</v>
      </c>
      <c r="M14705" t="e">
        <v>#N/A</v>
      </c>
      <c r="N14705" s="1">
        <v>41821</v>
      </c>
    </row>
    <row r="14706" spans="11:14" x14ac:dyDescent="0.3">
      <c r="K14706" s="1">
        <v>42186</v>
      </c>
      <c r="M14706" t="e">
        <v>#N/A</v>
      </c>
      <c r="N14706" s="1">
        <v>41821</v>
      </c>
    </row>
    <row r="14707" spans="11:14" x14ac:dyDescent="0.3">
      <c r="K14707" s="1">
        <v>42186</v>
      </c>
      <c r="M14707" t="e">
        <v>#N/A</v>
      </c>
      <c r="N14707" s="1">
        <v>41821</v>
      </c>
    </row>
    <row r="14708" spans="11:14" x14ac:dyDescent="0.3">
      <c r="K14708" s="1">
        <v>42186</v>
      </c>
      <c r="M14708" t="e">
        <v>#N/A</v>
      </c>
      <c r="N14708" s="1">
        <v>41821</v>
      </c>
    </row>
    <row r="14709" spans="11:14" x14ac:dyDescent="0.3">
      <c r="K14709" s="1">
        <v>42186</v>
      </c>
      <c r="M14709" t="e">
        <v>#N/A</v>
      </c>
      <c r="N14709" s="1">
        <v>41821</v>
      </c>
    </row>
    <row r="14710" spans="11:14" x14ac:dyDescent="0.3">
      <c r="K14710" s="1">
        <v>42186</v>
      </c>
      <c r="M14710" t="e">
        <v>#N/A</v>
      </c>
      <c r="N14710" s="1">
        <v>41821</v>
      </c>
    </row>
    <row r="14711" spans="11:14" x14ac:dyDescent="0.3">
      <c r="K14711" s="1">
        <v>42186</v>
      </c>
      <c r="M14711" t="e">
        <v>#N/A</v>
      </c>
      <c r="N14711" s="1">
        <v>41821</v>
      </c>
    </row>
    <row r="14712" spans="11:14" x14ac:dyDescent="0.3">
      <c r="K14712" s="1">
        <v>42278</v>
      </c>
      <c r="M14712" t="e">
        <v>#N/A</v>
      </c>
      <c r="N14712" s="1">
        <v>41821</v>
      </c>
    </row>
    <row r="14713" spans="11:14" x14ac:dyDescent="0.3">
      <c r="K14713" s="1">
        <v>42278</v>
      </c>
      <c r="M14713" t="e">
        <v>#N/A</v>
      </c>
      <c r="N14713" s="1">
        <v>41821</v>
      </c>
    </row>
    <row r="14714" spans="11:14" x14ac:dyDescent="0.3">
      <c r="K14714" s="1">
        <v>42278</v>
      </c>
      <c r="M14714" t="e">
        <v>#N/A</v>
      </c>
      <c r="N14714" s="1">
        <v>41821</v>
      </c>
    </row>
    <row r="14715" spans="11:14" x14ac:dyDescent="0.3">
      <c r="K14715" s="1">
        <v>42278</v>
      </c>
      <c r="M14715" t="e">
        <v>#N/A</v>
      </c>
      <c r="N14715" s="1">
        <v>41821</v>
      </c>
    </row>
    <row r="14716" spans="11:14" x14ac:dyDescent="0.3">
      <c r="K14716" s="1">
        <v>42278</v>
      </c>
      <c r="M14716" t="e">
        <v>#N/A</v>
      </c>
      <c r="N14716" s="1">
        <v>41821</v>
      </c>
    </row>
    <row r="14717" spans="11:14" x14ac:dyDescent="0.3">
      <c r="K14717" s="1">
        <v>42278</v>
      </c>
      <c r="M14717" t="e">
        <v>#N/A</v>
      </c>
      <c r="N14717" s="1">
        <v>41821</v>
      </c>
    </row>
    <row r="14718" spans="11:14" x14ac:dyDescent="0.3">
      <c r="K14718" s="1">
        <v>42278</v>
      </c>
      <c r="M14718" t="e">
        <v>#N/A</v>
      </c>
      <c r="N14718" s="1">
        <v>41821</v>
      </c>
    </row>
    <row r="14719" spans="11:14" x14ac:dyDescent="0.3">
      <c r="K14719" s="1">
        <v>42278</v>
      </c>
      <c r="M14719" t="e">
        <v>#N/A</v>
      </c>
      <c r="N14719" s="1">
        <v>41821</v>
      </c>
    </row>
    <row r="14720" spans="11:14" x14ac:dyDescent="0.3">
      <c r="K14720" s="1">
        <v>42278</v>
      </c>
      <c r="M14720" t="e">
        <v>#N/A</v>
      </c>
      <c r="N14720" s="1">
        <v>41821</v>
      </c>
    </row>
    <row r="14721" spans="11:14" x14ac:dyDescent="0.3">
      <c r="K14721" s="1">
        <v>42278</v>
      </c>
      <c r="M14721" t="e">
        <v>#N/A</v>
      </c>
      <c r="N14721" s="1">
        <v>41821</v>
      </c>
    </row>
    <row r="14722" spans="11:14" x14ac:dyDescent="0.3">
      <c r="K14722" s="1">
        <v>42278</v>
      </c>
      <c r="M14722" t="e">
        <v>#N/A</v>
      </c>
      <c r="N14722" s="1">
        <v>41821</v>
      </c>
    </row>
    <row r="14723" spans="11:14" x14ac:dyDescent="0.3">
      <c r="K14723" s="1">
        <v>42278</v>
      </c>
      <c r="M14723" t="e">
        <v>#N/A</v>
      </c>
      <c r="N14723" s="1">
        <v>41821</v>
      </c>
    </row>
    <row r="14724" spans="11:14" x14ac:dyDescent="0.3">
      <c r="K14724" s="1">
        <v>42278</v>
      </c>
      <c r="M14724" t="e">
        <v>#N/A</v>
      </c>
      <c r="N14724" s="1">
        <v>41821</v>
      </c>
    </row>
    <row r="14725" spans="11:14" x14ac:dyDescent="0.3">
      <c r="K14725" s="1">
        <v>42278</v>
      </c>
      <c r="M14725" t="e">
        <v>#N/A</v>
      </c>
      <c r="N14725" s="1">
        <v>41821</v>
      </c>
    </row>
    <row r="14726" spans="11:14" x14ac:dyDescent="0.3">
      <c r="K14726" s="1">
        <v>42278</v>
      </c>
      <c r="M14726" t="e">
        <v>#N/A</v>
      </c>
      <c r="N14726" s="1">
        <v>41821</v>
      </c>
    </row>
    <row r="14727" spans="11:14" x14ac:dyDescent="0.3">
      <c r="K14727" s="1">
        <v>42278</v>
      </c>
      <c r="M14727" t="e">
        <v>#N/A</v>
      </c>
      <c r="N14727" s="1">
        <v>41821</v>
      </c>
    </row>
    <row r="14728" spans="11:14" x14ac:dyDescent="0.3">
      <c r="K14728" s="1">
        <v>42278</v>
      </c>
      <c r="M14728" t="e">
        <v>#N/A</v>
      </c>
      <c r="N14728" s="1">
        <v>41821</v>
      </c>
    </row>
    <row r="14729" spans="11:14" x14ac:dyDescent="0.3">
      <c r="K14729" s="1">
        <v>42278</v>
      </c>
      <c r="M14729" t="e">
        <v>#N/A</v>
      </c>
      <c r="N14729" s="1">
        <v>41821</v>
      </c>
    </row>
    <row r="14730" spans="11:14" x14ac:dyDescent="0.3">
      <c r="K14730" s="1">
        <v>42278</v>
      </c>
      <c r="M14730" t="e">
        <v>#N/A</v>
      </c>
      <c r="N14730" s="1">
        <v>41821</v>
      </c>
    </row>
    <row r="14731" spans="11:14" x14ac:dyDescent="0.3">
      <c r="K14731" s="1">
        <v>42278</v>
      </c>
      <c r="M14731" t="e">
        <v>#N/A</v>
      </c>
      <c r="N14731" s="1">
        <v>41821</v>
      </c>
    </row>
    <row r="14732" spans="11:14" x14ac:dyDescent="0.3">
      <c r="K14732" s="1">
        <v>42278</v>
      </c>
      <c r="M14732" t="e">
        <v>#N/A</v>
      </c>
      <c r="N14732" s="1">
        <v>41821</v>
      </c>
    </row>
    <row r="14733" spans="11:14" x14ac:dyDescent="0.3">
      <c r="K14733" s="1">
        <v>42278</v>
      </c>
      <c r="M14733" t="e">
        <v>#N/A</v>
      </c>
      <c r="N14733" s="1">
        <v>41821</v>
      </c>
    </row>
    <row r="14734" spans="11:14" x14ac:dyDescent="0.3">
      <c r="K14734" s="1">
        <v>42278</v>
      </c>
      <c r="M14734" t="e">
        <v>#N/A</v>
      </c>
      <c r="N14734" s="1">
        <v>41821</v>
      </c>
    </row>
    <row r="14735" spans="11:14" x14ac:dyDescent="0.3">
      <c r="K14735" s="1">
        <v>42278</v>
      </c>
      <c r="M14735" t="e">
        <v>#N/A</v>
      </c>
      <c r="N14735" s="1">
        <v>41821</v>
      </c>
    </row>
    <row r="14736" spans="11:14" x14ac:dyDescent="0.3">
      <c r="K14736" s="1">
        <v>42278</v>
      </c>
      <c r="M14736" t="e">
        <v>#N/A</v>
      </c>
      <c r="N14736" s="1">
        <v>41821</v>
      </c>
    </row>
    <row r="14737" spans="11:14" x14ac:dyDescent="0.3">
      <c r="K14737" s="1">
        <v>42278</v>
      </c>
      <c r="M14737" t="e">
        <v>#N/A</v>
      </c>
      <c r="N14737" s="1">
        <v>41821</v>
      </c>
    </row>
    <row r="14738" spans="11:14" x14ac:dyDescent="0.3">
      <c r="K14738" s="1">
        <v>42278</v>
      </c>
      <c r="M14738" t="e">
        <v>#N/A</v>
      </c>
      <c r="N14738" s="1">
        <v>41821</v>
      </c>
    </row>
    <row r="14739" spans="11:14" x14ac:dyDescent="0.3">
      <c r="K14739" s="1">
        <v>42278</v>
      </c>
      <c r="M14739" t="e">
        <v>#N/A</v>
      </c>
      <c r="N14739" s="1">
        <v>41821</v>
      </c>
    </row>
    <row r="14740" spans="11:14" x14ac:dyDescent="0.3">
      <c r="K14740" s="1">
        <v>42278</v>
      </c>
      <c r="M14740" t="e">
        <v>#N/A</v>
      </c>
      <c r="N14740" s="1">
        <v>41821</v>
      </c>
    </row>
    <row r="14741" spans="11:14" x14ac:dyDescent="0.3">
      <c r="K14741" s="1">
        <v>42278</v>
      </c>
      <c r="M14741" t="e">
        <v>#N/A</v>
      </c>
      <c r="N14741" s="1">
        <v>41821</v>
      </c>
    </row>
    <row r="14742" spans="11:14" x14ac:dyDescent="0.3">
      <c r="K14742" s="1">
        <v>42278</v>
      </c>
      <c r="M14742" t="e">
        <v>#N/A</v>
      </c>
      <c r="N14742" s="1">
        <v>41821</v>
      </c>
    </row>
    <row r="14743" spans="11:14" x14ac:dyDescent="0.3">
      <c r="K14743" s="1">
        <v>42278</v>
      </c>
      <c r="M14743" t="e">
        <v>#N/A</v>
      </c>
      <c r="N14743" s="1">
        <v>41821</v>
      </c>
    </row>
    <row r="14744" spans="11:14" x14ac:dyDescent="0.3">
      <c r="K14744" s="1">
        <v>42278</v>
      </c>
      <c r="M14744" t="e">
        <v>#N/A</v>
      </c>
      <c r="N14744" s="1">
        <v>41821</v>
      </c>
    </row>
    <row r="14745" spans="11:14" x14ac:dyDescent="0.3">
      <c r="K14745" s="1">
        <v>42278</v>
      </c>
      <c r="M14745" t="e">
        <v>#N/A</v>
      </c>
      <c r="N14745" s="1">
        <v>41821</v>
      </c>
    </row>
    <row r="14746" spans="11:14" x14ac:dyDescent="0.3">
      <c r="K14746" s="1">
        <v>42278</v>
      </c>
      <c r="M14746" t="e">
        <v>#N/A</v>
      </c>
      <c r="N14746" s="1">
        <v>41821</v>
      </c>
    </row>
    <row r="14747" spans="11:14" x14ac:dyDescent="0.3">
      <c r="K14747" s="1">
        <v>42278</v>
      </c>
      <c r="M14747" t="e">
        <v>#N/A</v>
      </c>
      <c r="N14747" s="1">
        <v>41821</v>
      </c>
    </row>
    <row r="14748" spans="11:14" x14ac:dyDescent="0.3">
      <c r="K14748" s="1">
        <v>42278</v>
      </c>
      <c r="M14748" t="e">
        <v>#N/A</v>
      </c>
      <c r="N14748" s="1">
        <v>41821</v>
      </c>
    </row>
    <row r="14749" spans="11:14" x14ac:dyDescent="0.3">
      <c r="K14749" s="1">
        <v>42278</v>
      </c>
      <c r="M14749" t="e">
        <v>#N/A</v>
      </c>
      <c r="N14749" s="1">
        <v>41821</v>
      </c>
    </row>
    <row r="14750" spans="11:14" x14ac:dyDescent="0.3">
      <c r="K14750" s="1">
        <v>42278</v>
      </c>
      <c r="M14750" t="e">
        <v>#N/A</v>
      </c>
      <c r="N14750" s="1">
        <v>41821</v>
      </c>
    </row>
    <row r="14751" spans="11:14" x14ac:dyDescent="0.3">
      <c r="K14751" s="1">
        <v>42278</v>
      </c>
      <c r="M14751" t="e">
        <v>#N/A</v>
      </c>
      <c r="N14751" s="1">
        <v>41821</v>
      </c>
    </row>
    <row r="14752" spans="11:14" x14ac:dyDescent="0.3">
      <c r="K14752" s="1">
        <v>42278</v>
      </c>
      <c r="M14752" t="e">
        <v>#N/A</v>
      </c>
      <c r="N14752" s="1">
        <v>41821</v>
      </c>
    </row>
    <row r="14753" spans="11:14" x14ac:dyDescent="0.3">
      <c r="K14753" s="1">
        <v>42278</v>
      </c>
      <c r="M14753" t="e">
        <v>#N/A</v>
      </c>
      <c r="N14753" s="1">
        <v>41821</v>
      </c>
    </row>
    <row r="14754" spans="11:14" x14ac:dyDescent="0.3">
      <c r="K14754" s="1">
        <v>42278</v>
      </c>
      <c r="M14754" t="e">
        <v>#N/A</v>
      </c>
      <c r="N14754" s="1">
        <v>41821</v>
      </c>
    </row>
    <row r="14755" spans="11:14" x14ac:dyDescent="0.3">
      <c r="K14755" s="1">
        <v>42278</v>
      </c>
      <c r="M14755" t="e">
        <v>#N/A</v>
      </c>
      <c r="N14755" s="1">
        <v>41821</v>
      </c>
    </row>
    <row r="14756" spans="11:14" x14ac:dyDescent="0.3">
      <c r="K14756" s="1">
        <v>42278</v>
      </c>
      <c r="M14756" t="e">
        <v>#N/A</v>
      </c>
      <c r="N14756" s="1">
        <v>41821</v>
      </c>
    </row>
    <row r="14757" spans="11:14" x14ac:dyDescent="0.3">
      <c r="K14757" s="1">
        <v>42278</v>
      </c>
      <c r="M14757" t="e">
        <v>#N/A</v>
      </c>
      <c r="N14757" s="1">
        <v>41821</v>
      </c>
    </row>
    <row r="14758" spans="11:14" x14ac:dyDescent="0.3">
      <c r="K14758" s="1">
        <v>42278</v>
      </c>
      <c r="M14758" t="e">
        <v>#N/A</v>
      </c>
      <c r="N14758" s="1">
        <v>41821</v>
      </c>
    </row>
    <row r="14759" spans="11:14" x14ac:dyDescent="0.3">
      <c r="K14759" s="1">
        <v>42278</v>
      </c>
      <c r="M14759" t="e">
        <v>#N/A</v>
      </c>
      <c r="N14759" s="1">
        <v>41821</v>
      </c>
    </row>
    <row r="14760" spans="11:14" x14ac:dyDescent="0.3">
      <c r="K14760" s="1">
        <v>42278</v>
      </c>
      <c r="M14760" t="e">
        <v>#N/A</v>
      </c>
      <c r="N14760" s="1">
        <v>41821</v>
      </c>
    </row>
    <row r="14761" spans="11:14" x14ac:dyDescent="0.3">
      <c r="K14761" s="1">
        <v>42278</v>
      </c>
      <c r="M14761" t="e">
        <v>#N/A</v>
      </c>
      <c r="N14761" s="1">
        <v>41821</v>
      </c>
    </row>
    <row r="14762" spans="11:14" x14ac:dyDescent="0.3">
      <c r="K14762" s="1">
        <v>42278</v>
      </c>
      <c r="M14762" t="e">
        <v>#N/A</v>
      </c>
      <c r="N14762" s="1">
        <v>41821</v>
      </c>
    </row>
    <row r="14763" spans="11:14" x14ac:dyDescent="0.3">
      <c r="K14763" s="1">
        <v>42278</v>
      </c>
      <c r="M14763" t="e">
        <v>#N/A</v>
      </c>
      <c r="N14763" s="1">
        <v>41821</v>
      </c>
    </row>
    <row r="14764" spans="11:14" x14ac:dyDescent="0.3">
      <c r="K14764" s="1">
        <v>42278</v>
      </c>
      <c r="M14764" t="e">
        <v>#N/A</v>
      </c>
      <c r="N14764" s="1">
        <v>41821</v>
      </c>
    </row>
    <row r="14765" spans="11:14" x14ac:dyDescent="0.3">
      <c r="K14765" s="1">
        <v>42278</v>
      </c>
      <c r="M14765" t="e">
        <v>#N/A</v>
      </c>
      <c r="N14765" s="1">
        <v>41821</v>
      </c>
    </row>
    <row r="14766" spans="11:14" x14ac:dyDescent="0.3">
      <c r="K14766" s="1">
        <v>42278</v>
      </c>
      <c r="M14766" t="e">
        <v>#N/A</v>
      </c>
      <c r="N14766" s="1">
        <v>41821</v>
      </c>
    </row>
    <row r="14767" spans="11:14" x14ac:dyDescent="0.3">
      <c r="K14767" s="1">
        <v>42278</v>
      </c>
      <c r="M14767" t="e">
        <v>#N/A</v>
      </c>
      <c r="N14767" s="1">
        <v>41821</v>
      </c>
    </row>
    <row r="14768" spans="11:14" x14ac:dyDescent="0.3">
      <c r="K14768" s="1">
        <v>42278</v>
      </c>
      <c r="M14768" t="e">
        <v>#N/A</v>
      </c>
      <c r="N14768" s="1">
        <v>41821</v>
      </c>
    </row>
    <row r="14769" spans="11:14" x14ac:dyDescent="0.3">
      <c r="K14769" s="1">
        <v>42278</v>
      </c>
      <c r="M14769" t="e">
        <v>#N/A</v>
      </c>
      <c r="N14769" s="1">
        <v>41821</v>
      </c>
    </row>
    <row r="14770" spans="11:14" x14ac:dyDescent="0.3">
      <c r="K14770" s="1">
        <v>42278</v>
      </c>
      <c r="M14770" t="e">
        <v>#N/A</v>
      </c>
      <c r="N14770" s="1">
        <v>41821</v>
      </c>
    </row>
    <row r="14771" spans="11:14" x14ac:dyDescent="0.3">
      <c r="K14771" s="1">
        <v>42278</v>
      </c>
      <c r="M14771" t="e">
        <v>#N/A</v>
      </c>
      <c r="N14771" s="1">
        <v>41821</v>
      </c>
    </row>
    <row r="14772" spans="11:14" x14ac:dyDescent="0.3">
      <c r="K14772" s="1">
        <v>42278</v>
      </c>
      <c r="M14772" t="e">
        <v>#N/A</v>
      </c>
      <c r="N14772" s="1">
        <v>41821</v>
      </c>
    </row>
    <row r="14773" spans="11:14" x14ac:dyDescent="0.3">
      <c r="K14773" s="1">
        <v>42278</v>
      </c>
      <c r="M14773" t="e">
        <v>#N/A</v>
      </c>
      <c r="N14773" s="1">
        <v>41821</v>
      </c>
    </row>
    <row r="14774" spans="11:14" x14ac:dyDescent="0.3">
      <c r="K14774" s="1">
        <v>42278</v>
      </c>
      <c r="M14774" t="e">
        <v>#N/A</v>
      </c>
      <c r="N14774" s="1">
        <v>41821</v>
      </c>
    </row>
    <row r="14775" spans="11:14" x14ac:dyDescent="0.3">
      <c r="K14775" s="1">
        <v>42278</v>
      </c>
      <c r="M14775" t="e">
        <v>#N/A</v>
      </c>
      <c r="N14775" s="1">
        <v>41821</v>
      </c>
    </row>
    <row r="14776" spans="11:14" x14ac:dyDescent="0.3">
      <c r="K14776" s="1">
        <v>42278</v>
      </c>
      <c r="M14776" t="e">
        <v>#N/A</v>
      </c>
      <c r="N14776" s="1">
        <v>41821</v>
      </c>
    </row>
    <row r="14777" spans="11:14" x14ac:dyDescent="0.3">
      <c r="K14777" s="1">
        <v>42278</v>
      </c>
      <c r="M14777" t="e">
        <v>#N/A</v>
      </c>
      <c r="N14777" s="1">
        <v>41821</v>
      </c>
    </row>
    <row r="14778" spans="11:14" x14ac:dyDescent="0.3">
      <c r="K14778" s="1">
        <v>42278</v>
      </c>
      <c r="M14778" t="e">
        <v>#N/A</v>
      </c>
      <c r="N14778" s="1">
        <v>41821</v>
      </c>
    </row>
    <row r="14779" spans="11:14" x14ac:dyDescent="0.3">
      <c r="K14779" s="1">
        <v>42278</v>
      </c>
      <c r="M14779" t="e">
        <v>#N/A</v>
      </c>
      <c r="N14779" s="1">
        <v>41821</v>
      </c>
    </row>
    <row r="14780" spans="11:14" x14ac:dyDescent="0.3">
      <c r="K14780" s="1">
        <v>42278</v>
      </c>
      <c r="M14780" t="e">
        <v>#N/A</v>
      </c>
      <c r="N14780" s="1">
        <v>41821</v>
      </c>
    </row>
    <row r="14781" spans="11:14" x14ac:dyDescent="0.3">
      <c r="K14781" s="1">
        <v>42278</v>
      </c>
      <c r="M14781" t="e">
        <v>#N/A</v>
      </c>
      <c r="N14781" s="1">
        <v>41821</v>
      </c>
    </row>
    <row r="14782" spans="11:14" x14ac:dyDescent="0.3">
      <c r="K14782" s="1">
        <v>42278</v>
      </c>
      <c r="M14782" t="e">
        <v>#N/A</v>
      </c>
      <c r="N14782" s="1">
        <v>41821</v>
      </c>
    </row>
    <row r="14783" spans="11:14" x14ac:dyDescent="0.3">
      <c r="K14783" s="1">
        <v>42278</v>
      </c>
      <c r="M14783" t="e">
        <v>#N/A</v>
      </c>
      <c r="N14783" s="1">
        <v>41821</v>
      </c>
    </row>
    <row r="14784" spans="11:14" x14ac:dyDescent="0.3">
      <c r="K14784" s="1">
        <v>42278</v>
      </c>
      <c r="M14784" t="e">
        <v>#N/A</v>
      </c>
      <c r="N14784" s="1">
        <v>41821</v>
      </c>
    </row>
    <row r="14785" spans="11:14" x14ac:dyDescent="0.3">
      <c r="K14785" s="1">
        <v>42278</v>
      </c>
      <c r="M14785" t="e">
        <v>#N/A</v>
      </c>
      <c r="N14785" s="1">
        <v>41821</v>
      </c>
    </row>
    <row r="14786" spans="11:14" x14ac:dyDescent="0.3">
      <c r="K14786" s="1">
        <v>42278</v>
      </c>
      <c r="M14786" t="e">
        <v>#N/A</v>
      </c>
      <c r="N14786" s="1">
        <v>41821</v>
      </c>
    </row>
    <row r="14787" spans="11:14" x14ac:dyDescent="0.3">
      <c r="K14787" s="1">
        <v>42278</v>
      </c>
      <c r="M14787" t="e">
        <v>#N/A</v>
      </c>
      <c r="N14787" s="1">
        <v>41821</v>
      </c>
    </row>
    <row r="14788" spans="11:14" x14ac:dyDescent="0.3">
      <c r="K14788" s="1">
        <v>42278</v>
      </c>
      <c r="M14788" t="e">
        <v>#N/A</v>
      </c>
      <c r="N14788" s="1">
        <v>41821</v>
      </c>
    </row>
    <row r="14789" spans="11:14" x14ac:dyDescent="0.3">
      <c r="K14789" s="1">
        <v>42278</v>
      </c>
      <c r="M14789" t="e">
        <v>#N/A</v>
      </c>
      <c r="N14789" s="1">
        <v>41821</v>
      </c>
    </row>
    <row r="14790" spans="11:14" x14ac:dyDescent="0.3">
      <c r="K14790" s="1">
        <v>42278</v>
      </c>
      <c r="M14790" t="e">
        <v>#N/A</v>
      </c>
      <c r="N14790" s="1">
        <v>41821</v>
      </c>
    </row>
    <row r="14791" spans="11:14" x14ac:dyDescent="0.3">
      <c r="K14791" s="1">
        <v>42278</v>
      </c>
      <c r="M14791" t="e">
        <v>#N/A</v>
      </c>
      <c r="N14791" s="1">
        <v>41821</v>
      </c>
    </row>
    <row r="14792" spans="11:14" x14ac:dyDescent="0.3">
      <c r="K14792" s="1">
        <v>42278</v>
      </c>
      <c r="M14792" t="e">
        <v>#N/A</v>
      </c>
      <c r="N14792" s="1">
        <v>41821</v>
      </c>
    </row>
    <row r="14793" spans="11:14" x14ac:dyDescent="0.3">
      <c r="K14793" s="1">
        <v>42278</v>
      </c>
      <c r="M14793" t="e">
        <v>#N/A</v>
      </c>
      <c r="N14793" s="1">
        <v>41821</v>
      </c>
    </row>
    <row r="14794" spans="11:14" x14ac:dyDescent="0.3">
      <c r="K14794" s="1">
        <v>42278</v>
      </c>
      <c r="M14794" t="e">
        <v>#N/A</v>
      </c>
      <c r="N14794" s="1">
        <v>41821</v>
      </c>
    </row>
    <row r="14795" spans="11:14" x14ac:dyDescent="0.3">
      <c r="K14795" s="1">
        <v>42278</v>
      </c>
      <c r="M14795" t="e">
        <v>#N/A</v>
      </c>
      <c r="N14795" s="1">
        <v>41821</v>
      </c>
    </row>
    <row r="14796" spans="11:14" x14ac:dyDescent="0.3">
      <c r="K14796" s="1">
        <v>42278</v>
      </c>
      <c r="M14796" t="e">
        <v>#N/A</v>
      </c>
      <c r="N14796" s="1">
        <v>41821</v>
      </c>
    </row>
    <row r="14797" spans="11:14" x14ac:dyDescent="0.3">
      <c r="K14797" s="1">
        <v>42278</v>
      </c>
      <c r="M14797" t="e">
        <v>#N/A</v>
      </c>
      <c r="N14797" s="1">
        <v>41821</v>
      </c>
    </row>
    <row r="14798" spans="11:14" x14ac:dyDescent="0.3">
      <c r="K14798" s="1">
        <v>42278</v>
      </c>
      <c r="M14798" t="e">
        <v>#N/A</v>
      </c>
      <c r="N14798" s="1">
        <v>41821</v>
      </c>
    </row>
    <row r="14799" spans="11:14" x14ac:dyDescent="0.3">
      <c r="K14799" s="1">
        <v>42278</v>
      </c>
      <c r="M14799" t="e">
        <v>#N/A</v>
      </c>
      <c r="N14799" s="1">
        <v>41821</v>
      </c>
    </row>
    <row r="14800" spans="11:14" x14ac:dyDescent="0.3">
      <c r="K14800" s="1">
        <v>42278</v>
      </c>
      <c r="M14800" t="e">
        <v>#N/A</v>
      </c>
      <c r="N14800" s="1">
        <v>41821</v>
      </c>
    </row>
    <row r="14801" spans="11:14" x14ac:dyDescent="0.3">
      <c r="K14801" s="1">
        <v>42278</v>
      </c>
      <c r="M14801" t="e">
        <v>#N/A</v>
      </c>
      <c r="N14801" s="1">
        <v>41821</v>
      </c>
    </row>
    <row r="14802" spans="11:14" x14ac:dyDescent="0.3">
      <c r="K14802" s="1">
        <v>42278</v>
      </c>
      <c r="M14802" t="e">
        <v>#N/A</v>
      </c>
      <c r="N14802" s="1">
        <v>41821</v>
      </c>
    </row>
    <row r="14803" spans="11:14" x14ac:dyDescent="0.3">
      <c r="K14803" s="1">
        <v>42278</v>
      </c>
      <c r="M14803" t="e">
        <v>#N/A</v>
      </c>
      <c r="N14803" s="1">
        <v>41821</v>
      </c>
    </row>
    <row r="14804" spans="11:14" x14ac:dyDescent="0.3">
      <c r="K14804" s="1">
        <v>42278</v>
      </c>
      <c r="M14804" t="e">
        <v>#N/A</v>
      </c>
      <c r="N14804" s="1">
        <v>41821</v>
      </c>
    </row>
    <row r="14805" spans="11:14" x14ac:dyDescent="0.3">
      <c r="K14805" s="1">
        <v>42278</v>
      </c>
      <c r="M14805" t="e">
        <v>#N/A</v>
      </c>
      <c r="N14805" s="1">
        <v>41821</v>
      </c>
    </row>
    <row r="14806" spans="11:14" x14ac:dyDescent="0.3">
      <c r="K14806" s="1">
        <v>42278</v>
      </c>
      <c r="M14806" t="e">
        <v>#N/A</v>
      </c>
      <c r="N14806" s="1">
        <v>41821</v>
      </c>
    </row>
    <row r="14807" spans="11:14" x14ac:dyDescent="0.3">
      <c r="K14807" s="1">
        <v>42278</v>
      </c>
      <c r="M14807" t="e">
        <v>#N/A</v>
      </c>
      <c r="N14807" s="1">
        <v>41821</v>
      </c>
    </row>
    <row r="14808" spans="11:14" x14ac:dyDescent="0.3">
      <c r="K14808" s="1">
        <v>42278</v>
      </c>
      <c r="M14808" t="e">
        <v>#N/A</v>
      </c>
      <c r="N14808" s="1">
        <v>41821</v>
      </c>
    </row>
    <row r="14809" spans="11:14" x14ac:dyDescent="0.3">
      <c r="K14809" s="1">
        <v>42278</v>
      </c>
      <c r="M14809" t="e">
        <v>#N/A</v>
      </c>
      <c r="N14809" s="1">
        <v>41821</v>
      </c>
    </row>
    <row r="14810" spans="11:14" x14ac:dyDescent="0.3">
      <c r="K14810" s="1">
        <v>42278</v>
      </c>
      <c r="M14810" t="e">
        <v>#N/A</v>
      </c>
      <c r="N14810" s="1">
        <v>41821</v>
      </c>
    </row>
    <row r="14811" spans="11:14" x14ac:dyDescent="0.3">
      <c r="K14811" s="1">
        <v>42278</v>
      </c>
      <c r="M14811" t="e">
        <v>#N/A</v>
      </c>
      <c r="N14811" s="1">
        <v>41821</v>
      </c>
    </row>
    <row r="14812" spans="11:14" x14ac:dyDescent="0.3">
      <c r="K14812" s="1">
        <v>42278</v>
      </c>
      <c r="M14812" t="e">
        <v>#N/A</v>
      </c>
      <c r="N14812" s="1">
        <v>41821</v>
      </c>
    </row>
    <row r="14813" spans="11:14" x14ac:dyDescent="0.3">
      <c r="K14813" s="1">
        <v>42278</v>
      </c>
      <c r="M14813" t="e">
        <v>#N/A</v>
      </c>
      <c r="N14813" s="1">
        <v>41821</v>
      </c>
    </row>
    <row r="14814" spans="11:14" x14ac:dyDescent="0.3">
      <c r="K14814" s="1">
        <v>42278</v>
      </c>
      <c r="M14814" t="e">
        <v>#N/A</v>
      </c>
      <c r="N14814" s="1">
        <v>41821</v>
      </c>
    </row>
    <row r="14815" spans="11:14" x14ac:dyDescent="0.3">
      <c r="K14815" s="1">
        <v>42278</v>
      </c>
      <c r="M14815" t="e">
        <v>#N/A</v>
      </c>
      <c r="N14815" s="1">
        <v>41821</v>
      </c>
    </row>
    <row r="14816" spans="11:14" x14ac:dyDescent="0.3">
      <c r="K14816" s="1">
        <v>42278</v>
      </c>
      <c r="M14816" t="e">
        <v>#N/A</v>
      </c>
      <c r="N14816" s="1">
        <v>41821</v>
      </c>
    </row>
    <row r="14817" spans="11:14" x14ac:dyDescent="0.3">
      <c r="K14817" s="1">
        <v>42278</v>
      </c>
      <c r="M14817" t="e">
        <v>#N/A</v>
      </c>
      <c r="N14817" s="1">
        <v>41821</v>
      </c>
    </row>
    <row r="14818" spans="11:14" x14ac:dyDescent="0.3">
      <c r="K14818" s="1">
        <v>42278</v>
      </c>
      <c r="M14818" t="e">
        <v>#N/A</v>
      </c>
      <c r="N14818" s="1">
        <v>41821</v>
      </c>
    </row>
    <row r="14819" spans="11:14" x14ac:dyDescent="0.3">
      <c r="K14819" s="1">
        <v>42278</v>
      </c>
      <c r="M14819" t="e">
        <v>#N/A</v>
      </c>
      <c r="N14819" s="1">
        <v>41821</v>
      </c>
    </row>
    <row r="14820" spans="11:14" x14ac:dyDescent="0.3">
      <c r="K14820" s="1">
        <v>42278</v>
      </c>
      <c r="M14820" t="e">
        <v>#N/A</v>
      </c>
      <c r="N14820" s="1">
        <v>41821</v>
      </c>
    </row>
    <row r="14821" spans="11:14" x14ac:dyDescent="0.3">
      <c r="K14821" s="1">
        <v>42278</v>
      </c>
      <c r="M14821" t="e">
        <v>#N/A</v>
      </c>
      <c r="N14821" s="1">
        <v>41821</v>
      </c>
    </row>
    <row r="14822" spans="11:14" x14ac:dyDescent="0.3">
      <c r="K14822" s="1">
        <v>42278</v>
      </c>
      <c r="M14822" t="e">
        <v>#N/A</v>
      </c>
      <c r="N14822" s="1">
        <v>41821</v>
      </c>
    </row>
    <row r="14823" spans="11:14" x14ac:dyDescent="0.3">
      <c r="K14823" s="1">
        <v>42278</v>
      </c>
      <c r="M14823" t="e">
        <v>#N/A</v>
      </c>
      <c r="N14823" s="1">
        <v>41913</v>
      </c>
    </row>
    <row r="14824" spans="11:14" x14ac:dyDescent="0.3">
      <c r="K14824" s="1">
        <v>42278</v>
      </c>
      <c r="M14824" t="e">
        <v>#N/A</v>
      </c>
      <c r="N14824" s="1">
        <v>41913</v>
      </c>
    </row>
    <row r="14825" spans="11:14" x14ac:dyDescent="0.3">
      <c r="K14825" s="1">
        <v>42278</v>
      </c>
      <c r="M14825" t="e">
        <v>#N/A</v>
      </c>
      <c r="N14825" s="1">
        <v>41913</v>
      </c>
    </row>
    <row r="14826" spans="11:14" x14ac:dyDescent="0.3">
      <c r="K14826" s="1">
        <v>42278</v>
      </c>
      <c r="M14826" t="e">
        <v>#N/A</v>
      </c>
      <c r="N14826" s="1">
        <v>41913</v>
      </c>
    </row>
    <row r="14827" spans="11:14" x14ac:dyDescent="0.3">
      <c r="K14827" s="1">
        <v>42278</v>
      </c>
      <c r="M14827" t="e">
        <v>#N/A</v>
      </c>
      <c r="N14827" s="1">
        <v>41913</v>
      </c>
    </row>
    <row r="14828" spans="11:14" x14ac:dyDescent="0.3">
      <c r="K14828" s="1">
        <v>42278</v>
      </c>
      <c r="M14828" t="e">
        <v>#N/A</v>
      </c>
      <c r="N14828" s="1">
        <v>41913</v>
      </c>
    </row>
    <row r="14829" spans="11:14" x14ac:dyDescent="0.3">
      <c r="K14829" s="1">
        <v>42278</v>
      </c>
      <c r="M14829" t="e">
        <v>#N/A</v>
      </c>
      <c r="N14829" s="1">
        <v>41913</v>
      </c>
    </row>
    <row r="14830" spans="11:14" x14ac:dyDescent="0.3">
      <c r="K14830" s="1">
        <v>42278</v>
      </c>
      <c r="M14830" t="e">
        <v>#N/A</v>
      </c>
      <c r="N14830" s="1">
        <v>41913</v>
      </c>
    </row>
    <row r="14831" spans="11:14" x14ac:dyDescent="0.3">
      <c r="K14831" s="1">
        <v>42278</v>
      </c>
      <c r="M14831" t="e">
        <v>#N/A</v>
      </c>
      <c r="N14831" s="1">
        <v>41913</v>
      </c>
    </row>
    <row r="14832" spans="11:14" x14ac:dyDescent="0.3">
      <c r="K14832" s="1">
        <v>42278</v>
      </c>
      <c r="M14832" t="e">
        <v>#N/A</v>
      </c>
      <c r="N14832" s="1">
        <v>41913</v>
      </c>
    </row>
    <row r="14833" spans="11:14" x14ac:dyDescent="0.3">
      <c r="K14833" s="1">
        <v>42278</v>
      </c>
      <c r="M14833" t="e">
        <v>#N/A</v>
      </c>
      <c r="N14833" s="1">
        <v>41913</v>
      </c>
    </row>
    <row r="14834" spans="11:14" x14ac:dyDescent="0.3">
      <c r="K14834" s="1">
        <v>42278</v>
      </c>
      <c r="M14834" t="e">
        <v>#N/A</v>
      </c>
      <c r="N14834" s="1">
        <v>41913</v>
      </c>
    </row>
    <row r="14835" spans="11:14" x14ac:dyDescent="0.3">
      <c r="K14835" s="1">
        <v>42278</v>
      </c>
      <c r="M14835" t="e">
        <v>#N/A</v>
      </c>
      <c r="N14835" s="1">
        <v>41913</v>
      </c>
    </row>
    <row r="14836" spans="11:14" x14ac:dyDescent="0.3">
      <c r="K14836" s="1">
        <v>42278</v>
      </c>
      <c r="M14836" t="e">
        <v>#N/A</v>
      </c>
      <c r="N14836" s="1">
        <v>41913</v>
      </c>
    </row>
    <row r="14837" spans="11:14" x14ac:dyDescent="0.3">
      <c r="K14837" s="1">
        <v>42278</v>
      </c>
      <c r="M14837" t="e">
        <v>#N/A</v>
      </c>
      <c r="N14837" s="1">
        <v>41913</v>
      </c>
    </row>
    <row r="14838" spans="11:14" x14ac:dyDescent="0.3">
      <c r="K14838" s="1">
        <v>42278</v>
      </c>
      <c r="M14838" t="e">
        <v>#N/A</v>
      </c>
      <c r="N14838" s="1">
        <v>41913</v>
      </c>
    </row>
    <row r="14839" spans="11:14" x14ac:dyDescent="0.3">
      <c r="K14839" s="1">
        <v>42278</v>
      </c>
      <c r="M14839" t="e">
        <v>#N/A</v>
      </c>
      <c r="N14839" s="1">
        <v>41913</v>
      </c>
    </row>
    <row r="14840" spans="11:14" x14ac:dyDescent="0.3">
      <c r="K14840" s="1">
        <v>42278</v>
      </c>
      <c r="M14840" t="e">
        <v>#N/A</v>
      </c>
      <c r="N14840" s="1">
        <v>41913</v>
      </c>
    </row>
    <row r="14841" spans="11:14" x14ac:dyDescent="0.3">
      <c r="K14841" s="1">
        <v>42278</v>
      </c>
      <c r="M14841" t="e">
        <v>#N/A</v>
      </c>
      <c r="N14841" s="1">
        <v>41913</v>
      </c>
    </row>
    <row r="14842" spans="11:14" x14ac:dyDescent="0.3">
      <c r="K14842" s="1">
        <v>42278</v>
      </c>
      <c r="M14842" t="e">
        <v>#N/A</v>
      </c>
      <c r="N14842" s="1">
        <v>41913</v>
      </c>
    </row>
    <row r="14843" spans="11:14" x14ac:dyDescent="0.3">
      <c r="K14843" s="1">
        <v>42278</v>
      </c>
      <c r="M14843" t="e">
        <v>#N/A</v>
      </c>
      <c r="N14843" s="1">
        <v>41913</v>
      </c>
    </row>
    <row r="14844" spans="11:14" x14ac:dyDescent="0.3">
      <c r="K14844" s="1">
        <v>42278</v>
      </c>
      <c r="M14844" t="e">
        <v>#N/A</v>
      </c>
      <c r="N14844" s="1">
        <v>41913</v>
      </c>
    </row>
    <row r="14845" spans="11:14" x14ac:dyDescent="0.3">
      <c r="K14845" s="1">
        <v>42278</v>
      </c>
      <c r="M14845" t="e">
        <v>#N/A</v>
      </c>
      <c r="N14845" s="1">
        <v>41913</v>
      </c>
    </row>
    <row r="14846" spans="11:14" x14ac:dyDescent="0.3">
      <c r="K14846" s="1">
        <v>42278</v>
      </c>
      <c r="M14846" t="e">
        <v>#N/A</v>
      </c>
      <c r="N14846" s="1">
        <v>41913</v>
      </c>
    </row>
    <row r="14847" spans="11:14" x14ac:dyDescent="0.3">
      <c r="K14847" s="1">
        <v>42278</v>
      </c>
      <c r="M14847" t="e">
        <v>#N/A</v>
      </c>
      <c r="N14847" s="1">
        <v>41913</v>
      </c>
    </row>
    <row r="14848" spans="11:14" x14ac:dyDescent="0.3">
      <c r="K14848" s="1">
        <v>42278</v>
      </c>
      <c r="M14848" t="e">
        <v>#N/A</v>
      </c>
      <c r="N14848" s="1">
        <v>41913</v>
      </c>
    </row>
    <row r="14849" spans="11:14" x14ac:dyDescent="0.3">
      <c r="K14849" s="1">
        <v>42278</v>
      </c>
      <c r="M14849" t="e">
        <v>#N/A</v>
      </c>
      <c r="N14849" s="1">
        <v>41913</v>
      </c>
    </row>
    <row r="14850" spans="11:14" x14ac:dyDescent="0.3">
      <c r="K14850" s="1">
        <v>42278</v>
      </c>
      <c r="M14850" t="e">
        <v>#N/A</v>
      </c>
      <c r="N14850" s="1">
        <v>41913</v>
      </c>
    </row>
    <row r="14851" spans="11:14" x14ac:dyDescent="0.3">
      <c r="K14851" s="1">
        <v>42278</v>
      </c>
      <c r="M14851" t="e">
        <v>#N/A</v>
      </c>
      <c r="N14851" s="1">
        <v>41913</v>
      </c>
    </row>
    <row r="14852" spans="11:14" x14ac:dyDescent="0.3">
      <c r="K14852" s="1">
        <v>42278</v>
      </c>
      <c r="M14852" t="e">
        <v>#N/A</v>
      </c>
      <c r="N14852" s="1">
        <v>41913</v>
      </c>
    </row>
    <row r="14853" spans="11:14" x14ac:dyDescent="0.3">
      <c r="K14853" s="1">
        <v>42278</v>
      </c>
      <c r="M14853" t="e">
        <v>#N/A</v>
      </c>
      <c r="N14853" s="1">
        <v>41913</v>
      </c>
    </row>
    <row r="14854" spans="11:14" x14ac:dyDescent="0.3">
      <c r="K14854" s="1">
        <v>42278</v>
      </c>
      <c r="M14854" t="e">
        <v>#N/A</v>
      </c>
      <c r="N14854" s="1">
        <v>41913</v>
      </c>
    </row>
    <row r="14855" spans="11:14" x14ac:dyDescent="0.3">
      <c r="K14855" s="1">
        <v>42278</v>
      </c>
      <c r="M14855" t="e">
        <v>#N/A</v>
      </c>
      <c r="N14855" s="1">
        <v>41913</v>
      </c>
    </row>
    <row r="14856" spans="11:14" x14ac:dyDescent="0.3">
      <c r="K14856" s="1">
        <v>42278</v>
      </c>
      <c r="M14856" t="e">
        <v>#N/A</v>
      </c>
      <c r="N14856" s="1">
        <v>41913</v>
      </c>
    </row>
    <row r="14857" spans="11:14" x14ac:dyDescent="0.3">
      <c r="K14857" s="1">
        <v>42278</v>
      </c>
      <c r="M14857" t="e">
        <v>#N/A</v>
      </c>
      <c r="N14857" s="1">
        <v>41913</v>
      </c>
    </row>
    <row r="14858" spans="11:14" x14ac:dyDescent="0.3">
      <c r="K14858" s="1">
        <v>42278</v>
      </c>
      <c r="M14858" t="e">
        <v>#N/A</v>
      </c>
      <c r="N14858" s="1">
        <v>41913</v>
      </c>
    </row>
    <row r="14859" spans="11:14" x14ac:dyDescent="0.3">
      <c r="K14859" s="1">
        <v>42278</v>
      </c>
      <c r="M14859" t="e">
        <v>#N/A</v>
      </c>
      <c r="N14859" s="1">
        <v>41913</v>
      </c>
    </row>
    <row r="14860" spans="11:14" x14ac:dyDescent="0.3">
      <c r="K14860" s="1">
        <v>42278</v>
      </c>
      <c r="M14860" t="e">
        <v>#N/A</v>
      </c>
      <c r="N14860" s="1">
        <v>41913</v>
      </c>
    </row>
    <row r="14861" spans="11:14" x14ac:dyDescent="0.3">
      <c r="K14861" s="1">
        <v>42278</v>
      </c>
      <c r="M14861" t="e">
        <v>#N/A</v>
      </c>
      <c r="N14861" s="1">
        <v>41913</v>
      </c>
    </row>
    <row r="14862" spans="11:14" x14ac:dyDescent="0.3">
      <c r="K14862" s="1">
        <v>42278</v>
      </c>
      <c r="M14862" t="e">
        <v>#N/A</v>
      </c>
      <c r="N14862" s="1">
        <v>41913</v>
      </c>
    </row>
    <row r="14863" spans="11:14" x14ac:dyDescent="0.3">
      <c r="K14863" s="1">
        <v>42278</v>
      </c>
      <c r="M14863" t="e">
        <v>#N/A</v>
      </c>
      <c r="N14863" s="1">
        <v>41913</v>
      </c>
    </row>
    <row r="14864" spans="11:14" x14ac:dyDescent="0.3">
      <c r="K14864" s="1">
        <v>42278</v>
      </c>
      <c r="M14864" t="e">
        <v>#N/A</v>
      </c>
      <c r="N14864" s="1">
        <v>41913</v>
      </c>
    </row>
    <row r="14865" spans="11:14" x14ac:dyDescent="0.3">
      <c r="K14865" s="1">
        <v>42278</v>
      </c>
      <c r="M14865" t="e">
        <v>#N/A</v>
      </c>
      <c r="N14865" s="1">
        <v>41913</v>
      </c>
    </row>
    <row r="14866" spans="11:14" x14ac:dyDescent="0.3">
      <c r="K14866" s="1">
        <v>42278</v>
      </c>
      <c r="M14866" t="e">
        <v>#N/A</v>
      </c>
      <c r="N14866" s="1">
        <v>41913</v>
      </c>
    </row>
    <row r="14867" spans="11:14" x14ac:dyDescent="0.3">
      <c r="K14867" s="1">
        <v>42278</v>
      </c>
      <c r="M14867" t="e">
        <v>#N/A</v>
      </c>
      <c r="N14867" s="1">
        <v>41913</v>
      </c>
    </row>
    <row r="14868" spans="11:14" x14ac:dyDescent="0.3">
      <c r="K14868" s="1">
        <v>42278</v>
      </c>
      <c r="M14868" t="e">
        <v>#N/A</v>
      </c>
      <c r="N14868" s="1">
        <v>41913</v>
      </c>
    </row>
    <row r="14869" spans="11:14" x14ac:dyDescent="0.3">
      <c r="K14869" s="1">
        <v>42278</v>
      </c>
      <c r="M14869" t="e">
        <v>#N/A</v>
      </c>
      <c r="N14869" s="1">
        <v>41913</v>
      </c>
    </row>
    <row r="14870" spans="11:14" x14ac:dyDescent="0.3">
      <c r="K14870" s="1">
        <v>42278</v>
      </c>
      <c r="M14870" t="e">
        <v>#N/A</v>
      </c>
      <c r="N14870" s="1">
        <v>41913</v>
      </c>
    </row>
    <row r="14871" spans="11:14" x14ac:dyDescent="0.3">
      <c r="K14871" s="1">
        <v>42278</v>
      </c>
      <c r="M14871" t="e">
        <v>#N/A</v>
      </c>
      <c r="N14871" s="1">
        <v>41913</v>
      </c>
    </row>
    <row r="14872" spans="11:14" x14ac:dyDescent="0.3">
      <c r="K14872" s="1">
        <v>42278</v>
      </c>
      <c r="M14872" t="e">
        <v>#N/A</v>
      </c>
      <c r="N14872" s="1">
        <v>41913</v>
      </c>
    </row>
    <row r="14873" spans="11:14" x14ac:dyDescent="0.3">
      <c r="K14873" s="1">
        <v>42278</v>
      </c>
      <c r="M14873" t="e">
        <v>#N/A</v>
      </c>
      <c r="N14873" s="1">
        <v>41913</v>
      </c>
    </row>
    <row r="14874" spans="11:14" x14ac:dyDescent="0.3">
      <c r="K14874" s="1">
        <v>42278</v>
      </c>
      <c r="M14874" t="e">
        <v>#N/A</v>
      </c>
      <c r="N14874" s="1">
        <v>41913</v>
      </c>
    </row>
    <row r="14875" spans="11:14" x14ac:dyDescent="0.3">
      <c r="K14875" s="1">
        <v>42278</v>
      </c>
      <c r="M14875" t="e">
        <v>#N/A</v>
      </c>
      <c r="N14875" s="1">
        <v>41913</v>
      </c>
    </row>
    <row r="14876" spans="11:14" x14ac:dyDescent="0.3">
      <c r="K14876" s="1">
        <v>42278</v>
      </c>
      <c r="M14876" t="e">
        <v>#N/A</v>
      </c>
      <c r="N14876" s="1">
        <v>41913</v>
      </c>
    </row>
    <row r="14877" spans="11:14" x14ac:dyDescent="0.3">
      <c r="K14877" s="1">
        <v>42278</v>
      </c>
      <c r="M14877" t="e">
        <v>#N/A</v>
      </c>
      <c r="N14877" s="1">
        <v>41913</v>
      </c>
    </row>
    <row r="14878" spans="11:14" x14ac:dyDescent="0.3">
      <c r="K14878" s="1">
        <v>42278</v>
      </c>
      <c r="M14878" t="e">
        <v>#N/A</v>
      </c>
      <c r="N14878" s="1">
        <v>41913</v>
      </c>
    </row>
    <row r="14879" spans="11:14" x14ac:dyDescent="0.3">
      <c r="K14879" s="1">
        <v>42278</v>
      </c>
      <c r="M14879" t="e">
        <v>#N/A</v>
      </c>
      <c r="N14879" s="1">
        <v>41913</v>
      </c>
    </row>
    <row r="14880" spans="11:14" x14ac:dyDescent="0.3">
      <c r="K14880" s="1">
        <v>42278</v>
      </c>
      <c r="M14880" t="e">
        <v>#N/A</v>
      </c>
      <c r="N14880" s="1">
        <v>41913</v>
      </c>
    </row>
    <row r="14881" spans="11:14" x14ac:dyDescent="0.3">
      <c r="K14881" s="1">
        <v>42278</v>
      </c>
      <c r="M14881" t="e">
        <v>#N/A</v>
      </c>
      <c r="N14881" s="1">
        <v>41913</v>
      </c>
    </row>
    <row r="14882" spans="11:14" x14ac:dyDescent="0.3">
      <c r="K14882" s="1">
        <v>42278</v>
      </c>
      <c r="M14882" t="e">
        <v>#N/A</v>
      </c>
      <c r="N14882" s="1">
        <v>41913</v>
      </c>
    </row>
    <row r="14883" spans="11:14" x14ac:dyDescent="0.3">
      <c r="K14883" s="1">
        <v>42278</v>
      </c>
      <c r="M14883" t="e">
        <v>#N/A</v>
      </c>
      <c r="N14883" s="1">
        <v>41913</v>
      </c>
    </row>
    <row r="14884" spans="11:14" x14ac:dyDescent="0.3">
      <c r="K14884" s="1">
        <v>42278</v>
      </c>
      <c r="M14884" t="e">
        <v>#N/A</v>
      </c>
      <c r="N14884" s="1">
        <v>41913</v>
      </c>
    </row>
    <row r="14885" spans="11:14" x14ac:dyDescent="0.3">
      <c r="K14885" s="1">
        <v>42278</v>
      </c>
      <c r="M14885" t="e">
        <v>#N/A</v>
      </c>
      <c r="N14885" s="1">
        <v>41913</v>
      </c>
    </row>
    <row r="14886" spans="11:14" x14ac:dyDescent="0.3">
      <c r="K14886" s="1">
        <v>42278</v>
      </c>
      <c r="M14886" t="e">
        <v>#N/A</v>
      </c>
      <c r="N14886" s="1">
        <v>41913</v>
      </c>
    </row>
    <row r="14887" spans="11:14" x14ac:dyDescent="0.3">
      <c r="K14887" s="1">
        <v>42278</v>
      </c>
      <c r="M14887" t="e">
        <v>#N/A</v>
      </c>
      <c r="N14887" s="1">
        <v>41913</v>
      </c>
    </row>
    <row r="14888" spans="11:14" x14ac:dyDescent="0.3">
      <c r="K14888" s="1">
        <v>42278</v>
      </c>
      <c r="M14888" t="e">
        <v>#N/A</v>
      </c>
      <c r="N14888" s="1">
        <v>41913</v>
      </c>
    </row>
    <row r="14889" spans="11:14" x14ac:dyDescent="0.3">
      <c r="K14889" s="1">
        <v>42278</v>
      </c>
      <c r="M14889" t="e">
        <v>#N/A</v>
      </c>
      <c r="N14889" s="1">
        <v>41913</v>
      </c>
    </row>
    <row r="14890" spans="11:14" x14ac:dyDescent="0.3">
      <c r="K14890" s="1">
        <v>42278</v>
      </c>
      <c r="M14890" t="e">
        <v>#N/A</v>
      </c>
      <c r="N14890" s="1">
        <v>41913</v>
      </c>
    </row>
    <row r="14891" spans="11:14" x14ac:dyDescent="0.3">
      <c r="K14891" s="1">
        <v>42278</v>
      </c>
      <c r="M14891" t="e">
        <v>#N/A</v>
      </c>
      <c r="N14891" s="1">
        <v>41913</v>
      </c>
    </row>
    <row r="14892" spans="11:14" x14ac:dyDescent="0.3">
      <c r="K14892" s="1">
        <v>42278</v>
      </c>
      <c r="M14892" t="e">
        <v>#N/A</v>
      </c>
      <c r="N14892" s="1">
        <v>41913</v>
      </c>
    </row>
    <row r="14893" spans="11:14" x14ac:dyDescent="0.3">
      <c r="K14893" s="1">
        <v>42278</v>
      </c>
      <c r="M14893" t="e">
        <v>#N/A</v>
      </c>
      <c r="N14893" s="1">
        <v>41913</v>
      </c>
    </row>
    <row r="14894" spans="11:14" x14ac:dyDescent="0.3">
      <c r="K14894" s="1">
        <v>42278</v>
      </c>
      <c r="M14894" t="e">
        <v>#N/A</v>
      </c>
      <c r="N14894" s="1">
        <v>41913</v>
      </c>
    </row>
    <row r="14895" spans="11:14" x14ac:dyDescent="0.3">
      <c r="K14895" s="1">
        <v>42278</v>
      </c>
      <c r="M14895" t="e">
        <v>#N/A</v>
      </c>
      <c r="N14895" s="1">
        <v>41913</v>
      </c>
    </row>
    <row r="14896" spans="11:14" x14ac:dyDescent="0.3">
      <c r="K14896" s="1">
        <v>42278</v>
      </c>
      <c r="M14896" t="e">
        <v>#N/A</v>
      </c>
      <c r="N14896" s="1">
        <v>41913</v>
      </c>
    </row>
    <row r="14897" spans="11:14" x14ac:dyDescent="0.3">
      <c r="K14897" s="1">
        <v>42278</v>
      </c>
      <c r="M14897" t="e">
        <v>#N/A</v>
      </c>
      <c r="N14897" s="1">
        <v>41913</v>
      </c>
    </row>
    <row r="14898" spans="11:14" x14ac:dyDescent="0.3">
      <c r="K14898" s="1">
        <v>42278</v>
      </c>
      <c r="M14898" t="e">
        <v>#N/A</v>
      </c>
      <c r="N14898" s="1">
        <v>41913</v>
      </c>
    </row>
    <row r="14899" spans="11:14" x14ac:dyDescent="0.3">
      <c r="K14899" s="1">
        <v>42278</v>
      </c>
      <c r="M14899" t="e">
        <v>#N/A</v>
      </c>
      <c r="N14899" s="1">
        <v>41913</v>
      </c>
    </row>
    <row r="14900" spans="11:14" x14ac:dyDescent="0.3">
      <c r="K14900" s="1">
        <v>42278</v>
      </c>
      <c r="M14900" t="e">
        <v>#N/A</v>
      </c>
      <c r="N14900" s="1">
        <v>41913</v>
      </c>
    </row>
    <row r="14901" spans="11:14" x14ac:dyDescent="0.3">
      <c r="K14901" s="1">
        <v>42278</v>
      </c>
      <c r="M14901" t="e">
        <v>#N/A</v>
      </c>
      <c r="N14901" s="1">
        <v>41913</v>
      </c>
    </row>
    <row r="14902" spans="11:14" x14ac:dyDescent="0.3">
      <c r="K14902" s="1">
        <v>42278</v>
      </c>
      <c r="M14902" t="e">
        <v>#N/A</v>
      </c>
      <c r="N14902" s="1">
        <v>41913</v>
      </c>
    </row>
    <row r="14903" spans="11:14" x14ac:dyDescent="0.3">
      <c r="K14903" s="1">
        <v>42278</v>
      </c>
      <c r="M14903" t="e">
        <v>#N/A</v>
      </c>
      <c r="N14903" s="1">
        <v>41913</v>
      </c>
    </row>
    <row r="14904" spans="11:14" x14ac:dyDescent="0.3">
      <c r="K14904" s="1">
        <v>42278</v>
      </c>
      <c r="M14904" t="e">
        <v>#N/A</v>
      </c>
      <c r="N14904" s="1">
        <v>41913</v>
      </c>
    </row>
    <row r="14905" spans="11:14" x14ac:dyDescent="0.3">
      <c r="K14905" s="1">
        <v>42278</v>
      </c>
      <c r="M14905" t="e">
        <v>#N/A</v>
      </c>
      <c r="N14905" s="1">
        <v>41913</v>
      </c>
    </row>
    <row r="14906" spans="11:14" x14ac:dyDescent="0.3">
      <c r="K14906" s="1">
        <v>42278</v>
      </c>
      <c r="M14906" t="e">
        <v>#N/A</v>
      </c>
      <c r="N14906" s="1">
        <v>41913</v>
      </c>
    </row>
    <row r="14907" spans="11:14" x14ac:dyDescent="0.3">
      <c r="K14907" s="1">
        <v>42278</v>
      </c>
      <c r="M14907" t="e">
        <v>#N/A</v>
      </c>
      <c r="N14907" s="1">
        <v>41913</v>
      </c>
    </row>
    <row r="14908" spans="11:14" x14ac:dyDescent="0.3">
      <c r="K14908" s="1">
        <v>42278</v>
      </c>
      <c r="M14908" t="e">
        <v>#N/A</v>
      </c>
      <c r="N14908" s="1">
        <v>41913</v>
      </c>
    </row>
    <row r="14909" spans="11:14" x14ac:dyDescent="0.3">
      <c r="K14909" s="1">
        <v>42278</v>
      </c>
      <c r="M14909" t="e">
        <v>#N/A</v>
      </c>
      <c r="N14909" s="1">
        <v>41913</v>
      </c>
    </row>
    <row r="14910" spans="11:14" x14ac:dyDescent="0.3">
      <c r="K14910" s="1">
        <v>42278</v>
      </c>
      <c r="M14910" t="e">
        <v>#N/A</v>
      </c>
      <c r="N14910" s="1">
        <v>41913</v>
      </c>
    </row>
    <row r="14911" spans="11:14" x14ac:dyDescent="0.3">
      <c r="K14911" s="1">
        <v>42278</v>
      </c>
      <c r="M14911" t="e">
        <v>#N/A</v>
      </c>
      <c r="N14911" s="1">
        <v>41913</v>
      </c>
    </row>
    <row r="14912" spans="11:14" x14ac:dyDescent="0.3">
      <c r="K14912" s="1">
        <v>42278</v>
      </c>
      <c r="M14912" t="e">
        <v>#N/A</v>
      </c>
      <c r="N14912" s="1">
        <v>41913</v>
      </c>
    </row>
    <row r="14913" spans="11:14" x14ac:dyDescent="0.3">
      <c r="K14913" s="1">
        <v>42278</v>
      </c>
      <c r="M14913" t="e">
        <v>#N/A</v>
      </c>
      <c r="N14913" s="1">
        <v>41913</v>
      </c>
    </row>
    <row r="14914" spans="11:14" x14ac:dyDescent="0.3">
      <c r="K14914" s="1">
        <v>42278</v>
      </c>
      <c r="M14914" t="e">
        <v>#N/A</v>
      </c>
      <c r="N14914" s="1">
        <v>41913</v>
      </c>
    </row>
    <row r="14915" spans="11:14" x14ac:dyDescent="0.3">
      <c r="K14915" s="1">
        <v>42278</v>
      </c>
      <c r="M14915" t="e">
        <v>#N/A</v>
      </c>
      <c r="N14915" s="1">
        <v>41913</v>
      </c>
    </row>
    <row r="14916" spans="11:14" x14ac:dyDescent="0.3">
      <c r="K14916" s="1">
        <v>42278</v>
      </c>
      <c r="M14916" t="e">
        <v>#N/A</v>
      </c>
      <c r="N14916" s="1">
        <v>41913</v>
      </c>
    </row>
    <row r="14917" spans="11:14" x14ac:dyDescent="0.3">
      <c r="K14917" s="1">
        <v>42278</v>
      </c>
      <c r="M14917" t="e">
        <v>#N/A</v>
      </c>
      <c r="N14917" s="1">
        <v>41913</v>
      </c>
    </row>
    <row r="14918" spans="11:14" x14ac:dyDescent="0.3">
      <c r="K14918" s="1">
        <v>42278</v>
      </c>
      <c r="M14918" t="e">
        <v>#N/A</v>
      </c>
      <c r="N14918" s="1">
        <v>41913</v>
      </c>
    </row>
    <row r="14919" spans="11:14" x14ac:dyDescent="0.3">
      <c r="K14919" s="1">
        <v>42278</v>
      </c>
      <c r="M14919" t="e">
        <v>#N/A</v>
      </c>
      <c r="N14919" s="1">
        <v>41913</v>
      </c>
    </row>
    <row r="14920" spans="11:14" x14ac:dyDescent="0.3">
      <c r="K14920" s="1">
        <v>42278</v>
      </c>
      <c r="M14920" t="e">
        <v>#N/A</v>
      </c>
      <c r="N14920" s="1">
        <v>41913</v>
      </c>
    </row>
    <row r="14921" spans="11:14" x14ac:dyDescent="0.3">
      <c r="K14921" s="1">
        <v>42278</v>
      </c>
      <c r="M14921" t="e">
        <v>#N/A</v>
      </c>
      <c r="N14921" s="1">
        <v>41913</v>
      </c>
    </row>
    <row r="14922" spans="11:14" x14ac:dyDescent="0.3">
      <c r="K14922" s="1">
        <v>42278</v>
      </c>
      <c r="M14922" t="e">
        <v>#N/A</v>
      </c>
      <c r="N14922" s="1">
        <v>41913</v>
      </c>
    </row>
    <row r="14923" spans="11:14" x14ac:dyDescent="0.3">
      <c r="K14923" s="1">
        <v>42278</v>
      </c>
      <c r="M14923" t="e">
        <v>#N/A</v>
      </c>
      <c r="N14923" s="1">
        <v>41913</v>
      </c>
    </row>
    <row r="14924" spans="11:14" x14ac:dyDescent="0.3">
      <c r="K14924" s="1">
        <v>42278</v>
      </c>
      <c r="M14924" t="e">
        <v>#N/A</v>
      </c>
      <c r="N14924" s="1">
        <v>41913</v>
      </c>
    </row>
    <row r="14925" spans="11:14" x14ac:dyDescent="0.3">
      <c r="K14925" s="1">
        <v>42278</v>
      </c>
      <c r="M14925" t="e">
        <v>#N/A</v>
      </c>
      <c r="N14925" s="1">
        <v>41913</v>
      </c>
    </row>
    <row r="14926" spans="11:14" x14ac:dyDescent="0.3">
      <c r="K14926" s="1">
        <v>42278</v>
      </c>
      <c r="M14926" t="e">
        <v>#N/A</v>
      </c>
      <c r="N14926" s="1">
        <v>41913</v>
      </c>
    </row>
    <row r="14927" spans="11:14" x14ac:dyDescent="0.3">
      <c r="K14927" s="1">
        <v>42278</v>
      </c>
      <c r="M14927" t="e">
        <v>#N/A</v>
      </c>
      <c r="N14927" s="1">
        <v>41913</v>
      </c>
    </row>
    <row r="14928" spans="11:14" x14ac:dyDescent="0.3">
      <c r="K14928" s="1">
        <v>42278</v>
      </c>
      <c r="M14928" t="e">
        <v>#N/A</v>
      </c>
      <c r="N14928" s="1">
        <v>41913</v>
      </c>
    </row>
    <row r="14929" spans="11:14" x14ac:dyDescent="0.3">
      <c r="K14929" s="1">
        <v>42278</v>
      </c>
      <c r="M14929" t="e">
        <v>#N/A</v>
      </c>
      <c r="N14929" s="1">
        <v>41913</v>
      </c>
    </row>
    <row r="14930" spans="11:14" x14ac:dyDescent="0.3">
      <c r="K14930" s="1">
        <v>42278</v>
      </c>
      <c r="M14930" t="e">
        <v>#N/A</v>
      </c>
      <c r="N14930" s="1">
        <v>41913</v>
      </c>
    </row>
    <row r="14931" spans="11:14" x14ac:dyDescent="0.3">
      <c r="K14931" s="1">
        <v>42278</v>
      </c>
      <c r="M14931" t="e">
        <v>#N/A</v>
      </c>
      <c r="N14931" s="1">
        <v>41913</v>
      </c>
    </row>
    <row r="14932" spans="11:14" x14ac:dyDescent="0.3">
      <c r="K14932" s="1">
        <v>42278</v>
      </c>
      <c r="M14932" t="e">
        <v>#N/A</v>
      </c>
      <c r="N14932" s="1">
        <v>41913</v>
      </c>
    </row>
    <row r="14933" spans="11:14" x14ac:dyDescent="0.3">
      <c r="K14933" s="1">
        <v>42278</v>
      </c>
      <c r="M14933" t="e">
        <v>#N/A</v>
      </c>
      <c r="N14933" s="1">
        <v>41913</v>
      </c>
    </row>
    <row r="14934" spans="11:14" x14ac:dyDescent="0.3">
      <c r="K14934" s="1">
        <v>42278</v>
      </c>
      <c r="M14934" t="e">
        <v>#N/A</v>
      </c>
      <c r="N14934" s="1">
        <v>41913</v>
      </c>
    </row>
    <row r="14935" spans="11:14" x14ac:dyDescent="0.3">
      <c r="K14935" s="1">
        <v>42278</v>
      </c>
      <c r="M14935" t="e">
        <v>#N/A</v>
      </c>
      <c r="N14935" s="1">
        <v>41913</v>
      </c>
    </row>
    <row r="14936" spans="11:14" x14ac:dyDescent="0.3">
      <c r="K14936" s="1">
        <v>42278</v>
      </c>
      <c r="M14936" t="e">
        <v>#N/A</v>
      </c>
      <c r="N14936" s="1">
        <v>41913</v>
      </c>
    </row>
    <row r="14937" spans="11:14" x14ac:dyDescent="0.3">
      <c r="K14937" s="1">
        <v>42278</v>
      </c>
      <c r="M14937" t="e">
        <v>#N/A</v>
      </c>
      <c r="N14937" s="1">
        <v>41913</v>
      </c>
    </row>
    <row r="14938" spans="11:14" x14ac:dyDescent="0.3">
      <c r="K14938" s="1">
        <v>42278</v>
      </c>
      <c r="M14938" t="e">
        <v>#N/A</v>
      </c>
      <c r="N14938" s="1">
        <v>41913</v>
      </c>
    </row>
    <row r="14939" spans="11:14" x14ac:dyDescent="0.3">
      <c r="K14939" s="1">
        <v>42278</v>
      </c>
      <c r="M14939" t="e">
        <v>#N/A</v>
      </c>
      <c r="N14939" s="1">
        <v>41913</v>
      </c>
    </row>
    <row r="14940" spans="11:14" x14ac:dyDescent="0.3">
      <c r="K14940" s="1">
        <v>42278</v>
      </c>
      <c r="M14940" t="e">
        <v>#N/A</v>
      </c>
      <c r="N14940" s="1">
        <v>41913</v>
      </c>
    </row>
    <row r="14941" spans="11:14" x14ac:dyDescent="0.3">
      <c r="K14941" s="1">
        <v>42278</v>
      </c>
      <c r="M14941" t="e">
        <v>#N/A</v>
      </c>
      <c r="N14941" s="1">
        <v>41913</v>
      </c>
    </row>
    <row r="14942" spans="11:14" x14ac:dyDescent="0.3">
      <c r="K14942" s="1">
        <v>42278</v>
      </c>
      <c r="M14942" t="e">
        <v>#N/A</v>
      </c>
      <c r="N14942" s="1">
        <v>41913</v>
      </c>
    </row>
    <row r="14943" spans="11:14" x14ac:dyDescent="0.3">
      <c r="K14943" s="1">
        <v>42278</v>
      </c>
      <c r="M14943" t="e">
        <v>#N/A</v>
      </c>
      <c r="N14943" s="1">
        <v>41913</v>
      </c>
    </row>
    <row r="14944" spans="11:14" x14ac:dyDescent="0.3">
      <c r="K14944" s="1">
        <v>42278</v>
      </c>
      <c r="M14944" t="e">
        <v>#N/A</v>
      </c>
      <c r="N14944" s="1">
        <v>41913</v>
      </c>
    </row>
    <row r="14945" spans="11:14" x14ac:dyDescent="0.3">
      <c r="K14945" s="1">
        <v>42278</v>
      </c>
      <c r="M14945" t="e">
        <v>#N/A</v>
      </c>
      <c r="N14945" s="1">
        <v>41913</v>
      </c>
    </row>
    <row r="14946" spans="11:14" x14ac:dyDescent="0.3">
      <c r="K14946" s="1">
        <v>42278</v>
      </c>
      <c r="M14946" t="e">
        <v>#N/A</v>
      </c>
      <c r="N14946" s="1">
        <v>41913</v>
      </c>
    </row>
    <row r="14947" spans="11:14" x14ac:dyDescent="0.3">
      <c r="K14947" s="1">
        <v>42278</v>
      </c>
      <c r="M14947" t="e">
        <v>#N/A</v>
      </c>
      <c r="N14947" s="1">
        <v>41913</v>
      </c>
    </row>
    <row r="14948" spans="11:14" x14ac:dyDescent="0.3">
      <c r="K14948" s="1">
        <v>42278</v>
      </c>
      <c r="M14948" t="e">
        <v>#N/A</v>
      </c>
      <c r="N14948" s="1">
        <v>41913</v>
      </c>
    </row>
    <row r="14949" spans="11:14" x14ac:dyDescent="0.3">
      <c r="K14949" s="1">
        <v>42278</v>
      </c>
      <c r="M14949" t="e">
        <v>#N/A</v>
      </c>
      <c r="N14949" s="1">
        <v>41913</v>
      </c>
    </row>
    <row r="14950" spans="11:14" x14ac:dyDescent="0.3">
      <c r="K14950" s="1">
        <v>42278</v>
      </c>
      <c r="M14950" t="e">
        <v>#N/A</v>
      </c>
      <c r="N14950" s="1">
        <v>41913</v>
      </c>
    </row>
    <row r="14951" spans="11:14" x14ac:dyDescent="0.3">
      <c r="K14951" s="1">
        <v>42278</v>
      </c>
      <c r="M14951" t="e">
        <v>#N/A</v>
      </c>
      <c r="N14951" s="1">
        <v>41913</v>
      </c>
    </row>
    <row r="14952" spans="11:14" x14ac:dyDescent="0.3">
      <c r="K14952" s="1">
        <v>42278</v>
      </c>
      <c r="M14952" t="e">
        <v>#N/A</v>
      </c>
      <c r="N14952" s="1">
        <v>41913</v>
      </c>
    </row>
    <row r="14953" spans="11:14" x14ac:dyDescent="0.3">
      <c r="K14953" s="1">
        <v>42278</v>
      </c>
      <c r="M14953" t="e">
        <v>#N/A</v>
      </c>
      <c r="N14953" s="1">
        <v>41913</v>
      </c>
    </row>
    <row r="14954" spans="11:14" x14ac:dyDescent="0.3">
      <c r="K14954" s="1">
        <v>42278</v>
      </c>
      <c r="M14954" t="e">
        <v>#N/A</v>
      </c>
      <c r="N14954" s="1">
        <v>41913</v>
      </c>
    </row>
    <row r="14955" spans="11:14" x14ac:dyDescent="0.3">
      <c r="K14955" s="1">
        <v>42278</v>
      </c>
      <c r="M14955" t="e">
        <v>#N/A</v>
      </c>
      <c r="N14955" s="1">
        <v>41913</v>
      </c>
    </row>
    <row r="14956" spans="11:14" x14ac:dyDescent="0.3">
      <c r="K14956" s="1">
        <v>42278</v>
      </c>
      <c r="M14956" t="e">
        <v>#N/A</v>
      </c>
      <c r="N14956" s="1">
        <v>41913</v>
      </c>
    </row>
    <row r="14957" spans="11:14" x14ac:dyDescent="0.3">
      <c r="K14957" s="1">
        <v>42278</v>
      </c>
      <c r="M14957" t="e">
        <v>#N/A</v>
      </c>
      <c r="N14957" s="1">
        <v>41913</v>
      </c>
    </row>
    <row r="14958" spans="11:14" x14ac:dyDescent="0.3">
      <c r="K14958" s="1">
        <v>42278</v>
      </c>
      <c r="M14958" t="e">
        <v>#N/A</v>
      </c>
      <c r="N14958" s="1">
        <v>41913</v>
      </c>
    </row>
    <row r="14959" spans="11:14" x14ac:dyDescent="0.3">
      <c r="K14959" s="1">
        <v>42278</v>
      </c>
      <c r="M14959" t="e">
        <v>#N/A</v>
      </c>
      <c r="N14959" s="1">
        <v>41913</v>
      </c>
    </row>
    <row r="14960" spans="11:14" x14ac:dyDescent="0.3">
      <c r="K14960" s="1">
        <v>42278</v>
      </c>
      <c r="M14960" t="e">
        <v>#N/A</v>
      </c>
      <c r="N14960" s="1">
        <v>41913</v>
      </c>
    </row>
    <row r="14961" spans="11:14" x14ac:dyDescent="0.3">
      <c r="K14961" s="1">
        <v>42278</v>
      </c>
      <c r="M14961" t="e">
        <v>#N/A</v>
      </c>
      <c r="N14961" s="1">
        <v>41913</v>
      </c>
    </row>
    <row r="14962" spans="11:14" x14ac:dyDescent="0.3">
      <c r="K14962" s="1">
        <v>42278</v>
      </c>
      <c r="M14962" t="e">
        <v>#N/A</v>
      </c>
      <c r="N14962" s="1">
        <v>41913</v>
      </c>
    </row>
    <row r="14963" spans="11:14" x14ac:dyDescent="0.3">
      <c r="K14963" s="1">
        <v>42278</v>
      </c>
      <c r="M14963" t="e">
        <v>#N/A</v>
      </c>
      <c r="N14963" s="1">
        <v>41913</v>
      </c>
    </row>
    <row r="14964" spans="11:14" x14ac:dyDescent="0.3">
      <c r="K14964" s="1">
        <v>42278</v>
      </c>
      <c r="M14964" t="e">
        <v>#N/A</v>
      </c>
      <c r="N14964" s="1">
        <v>41913</v>
      </c>
    </row>
    <row r="14965" spans="11:14" x14ac:dyDescent="0.3">
      <c r="K14965" s="1">
        <v>42278</v>
      </c>
      <c r="M14965" t="e">
        <v>#N/A</v>
      </c>
      <c r="N14965" s="1">
        <v>41913</v>
      </c>
    </row>
    <row r="14966" spans="11:14" x14ac:dyDescent="0.3">
      <c r="K14966" s="1">
        <v>42278</v>
      </c>
      <c r="M14966" t="e">
        <v>#N/A</v>
      </c>
      <c r="N14966" s="1">
        <v>41913</v>
      </c>
    </row>
    <row r="14967" spans="11:14" x14ac:dyDescent="0.3">
      <c r="K14967" s="1">
        <v>42278</v>
      </c>
      <c r="M14967" t="e">
        <v>#N/A</v>
      </c>
      <c r="N14967" s="1">
        <v>41913</v>
      </c>
    </row>
    <row r="14968" spans="11:14" x14ac:dyDescent="0.3">
      <c r="K14968" s="1">
        <v>42278</v>
      </c>
      <c r="M14968" t="e">
        <v>#N/A</v>
      </c>
      <c r="N14968" s="1">
        <v>41913</v>
      </c>
    </row>
    <row r="14969" spans="11:14" x14ac:dyDescent="0.3">
      <c r="K14969" s="1">
        <v>42278</v>
      </c>
      <c r="M14969" t="e">
        <v>#N/A</v>
      </c>
      <c r="N14969" s="1">
        <v>41913</v>
      </c>
    </row>
    <row r="14970" spans="11:14" x14ac:dyDescent="0.3">
      <c r="K14970" s="1">
        <v>42278</v>
      </c>
      <c r="M14970" t="e">
        <v>#N/A</v>
      </c>
      <c r="N14970" s="1">
        <v>41913</v>
      </c>
    </row>
    <row r="14971" spans="11:14" x14ac:dyDescent="0.3">
      <c r="K14971" s="1">
        <v>42278</v>
      </c>
      <c r="M14971" t="e">
        <v>#N/A</v>
      </c>
      <c r="N14971" s="1">
        <v>41913</v>
      </c>
    </row>
    <row r="14972" spans="11:14" x14ac:dyDescent="0.3">
      <c r="K14972" s="1">
        <v>42278</v>
      </c>
      <c r="M14972" t="e">
        <v>#N/A</v>
      </c>
      <c r="N14972" s="1">
        <v>41913</v>
      </c>
    </row>
    <row r="14973" spans="11:14" x14ac:dyDescent="0.3">
      <c r="K14973" s="1">
        <v>42278</v>
      </c>
      <c r="M14973" t="e">
        <v>#N/A</v>
      </c>
      <c r="N14973" s="1">
        <v>41913</v>
      </c>
    </row>
    <row r="14974" spans="11:14" x14ac:dyDescent="0.3">
      <c r="K14974" s="1">
        <v>42278</v>
      </c>
      <c r="M14974" t="e">
        <v>#N/A</v>
      </c>
      <c r="N14974" s="1">
        <v>41913</v>
      </c>
    </row>
    <row r="14975" spans="11:14" x14ac:dyDescent="0.3">
      <c r="K14975" s="1">
        <v>42278</v>
      </c>
      <c r="M14975" t="e">
        <v>#N/A</v>
      </c>
      <c r="N14975" s="1">
        <v>41913</v>
      </c>
    </row>
    <row r="14976" spans="11:14" x14ac:dyDescent="0.3">
      <c r="K14976" s="1">
        <v>42278</v>
      </c>
      <c r="M14976" t="e">
        <v>#N/A</v>
      </c>
      <c r="N14976" s="1">
        <v>41913</v>
      </c>
    </row>
    <row r="14977" spans="11:14" x14ac:dyDescent="0.3">
      <c r="K14977" s="1">
        <v>42278</v>
      </c>
      <c r="M14977" t="e">
        <v>#N/A</v>
      </c>
      <c r="N14977" s="1">
        <v>41913</v>
      </c>
    </row>
    <row r="14978" spans="11:14" x14ac:dyDescent="0.3">
      <c r="K14978" s="1">
        <v>42278</v>
      </c>
      <c r="M14978" t="e">
        <v>#N/A</v>
      </c>
      <c r="N14978" s="1">
        <v>41913</v>
      </c>
    </row>
    <row r="14979" spans="11:14" x14ac:dyDescent="0.3">
      <c r="K14979" s="1">
        <v>42278</v>
      </c>
      <c r="M14979" t="e">
        <v>#N/A</v>
      </c>
      <c r="N14979" s="1">
        <v>41913</v>
      </c>
    </row>
    <row r="14980" spans="11:14" x14ac:dyDescent="0.3">
      <c r="K14980" s="1">
        <v>42278</v>
      </c>
      <c r="M14980" t="e">
        <v>#N/A</v>
      </c>
      <c r="N14980" s="1">
        <v>41913</v>
      </c>
    </row>
    <row r="14981" spans="11:14" x14ac:dyDescent="0.3">
      <c r="K14981" s="1">
        <v>42278</v>
      </c>
      <c r="M14981" t="e">
        <v>#N/A</v>
      </c>
      <c r="N14981" s="1">
        <v>41913</v>
      </c>
    </row>
    <row r="14982" spans="11:14" x14ac:dyDescent="0.3">
      <c r="K14982" s="1">
        <v>42278</v>
      </c>
      <c r="M14982" t="e">
        <v>#N/A</v>
      </c>
      <c r="N14982" s="1">
        <v>41913</v>
      </c>
    </row>
    <row r="14983" spans="11:14" x14ac:dyDescent="0.3">
      <c r="K14983" s="1">
        <v>42278</v>
      </c>
      <c r="M14983" t="e">
        <v>#N/A</v>
      </c>
      <c r="N14983" s="1">
        <v>41913</v>
      </c>
    </row>
    <row r="14984" spans="11:14" x14ac:dyDescent="0.3">
      <c r="K14984" s="1">
        <v>42278</v>
      </c>
      <c r="M14984" t="e">
        <v>#N/A</v>
      </c>
      <c r="N14984" s="1">
        <v>41913</v>
      </c>
    </row>
    <row r="14985" spans="11:14" x14ac:dyDescent="0.3">
      <c r="K14985" s="1">
        <v>42278</v>
      </c>
      <c r="M14985" t="e">
        <v>#N/A</v>
      </c>
      <c r="N14985" s="1">
        <v>41913</v>
      </c>
    </row>
    <row r="14986" spans="11:14" x14ac:dyDescent="0.3">
      <c r="K14986" s="1">
        <v>42278</v>
      </c>
      <c r="M14986" t="e">
        <v>#N/A</v>
      </c>
      <c r="N14986" s="1">
        <v>41913</v>
      </c>
    </row>
    <row r="14987" spans="11:14" x14ac:dyDescent="0.3">
      <c r="K14987" s="1">
        <v>42278</v>
      </c>
      <c r="M14987" t="e">
        <v>#N/A</v>
      </c>
      <c r="N14987" s="1">
        <v>41913</v>
      </c>
    </row>
    <row r="14988" spans="11:14" x14ac:dyDescent="0.3">
      <c r="K14988" s="1">
        <v>42278</v>
      </c>
      <c r="M14988" t="e">
        <v>#N/A</v>
      </c>
      <c r="N14988" s="1">
        <v>41913</v>
      </c>
    </row>
    <row r="14989" spans="11:14" x14ac:dyDescent="0.3">
      <c r="K14989" s="1">
        <v>42278</v>
      </c>
      <c r="M14989" t="e">
        <v>#N/A</v>
      </c>
      <c r="N14989" s="1">
        <v>41913</v>
      </c>
    </row>
    <row r="14990" spans="11:14" x14ac:dyDescent="0.3">
      <c r="K14990" s="1">
        <v>42278</v>
      </c>
      <c r="M14990" t="e">
        <v>#N/A</v>
      </c>
      <c r="N14990" s="1">
        <v>41913</v>
      </c>
    </row>
    <row r="14991" spans="11:14" x14ac:dyDescent="0.3">
      <c r="K14991" s="1">
        <v>42278</v>
      </c>
      <c r="M14991" t="e">
        <v>#N/A</v>
      </c>
      <c r="N14991" s="1">
        <v>41913</v>
      </c>
    </row>
    <row r="14992" spans="11:14" x14ac:dyDescent="0.3">
      <c r="K14992" s="1">
        <v>42278</v>
      </c>
      <c r="M14992" t="e">
        <v>#N/A</v>
      </c>
      <c r="N14992" s="1">
        <v>41913</v>
      </c>
    </row>
    <row r="14993" spans="11:14" x14ac:dyDescent="0.3">
      <c r="K14993" s="1">
        <v>42278</v>
      </c>
      <c r="M14993" t="e">
        <v>#N/A</v>
      </c>
      <c r="N14993" s="1">
        <v>41913</v>
      </c>
    </row>
    <row r="14994" spans="11:14" x14ac:dyDescent="0.3">
      <c r="K14994" s="1">
        <v>42278</v>
      </c>
      <c r="M14994" t="e">
        <v>#N/A</v>
      </c>
      <c r="N14994" s="1">
        <v>41913</v>
      </c>
    </row>
    <row r="14995" spans="11:14" x14ac:dyDescent="0.3">
      <c r="K14995" s="1">
        <v>42278</v>
      </c>
      <c r="M14995" t="e">
        <v>#N/A</v>
      </c>
      <c r="N14995" s="1">
        <v>41913</v>
      </c>
    </row>
    <row r="14996" spans="11:14" x14ac:dyDescent="0.3">
      <c r="K14996" s="1">
        <v>42278</v>
      </c>
      <c r="M14996" t="e">
        <v>#N/A</v>
      </c>
      <c r="N14996" s="1">
        <v>41913</v>
      </c>
    </row>
    <row r="14997" spans="11:14" x14ac:dyDescent="0.3">
      <c r="K14997" s="1">
        <v>42278</v>
      </c>
      <c r="M14997" t="e">
        <v>#N/A</v>
      </c>
      <c r="N14997" s="1">
        <v>41913</v>
      </c>
    </row>
    <row r="14998" spans="11:14" x14ac:dyDescent="0.3">
      <c r="K14998" s="1">
        <v>42278</v>
      </c>
      <c r="M14998" t="e">
        <v>#N/A</v>
      </c>
      <c r="N14998" s="1">
        <v>41913</v>
      </c>
    </row>
    <row r="14999" spans="11:14" x14ac:dyDescent="0.3">
      <c r="K14999" s="1">
        <v>42278</v>
      </c>
      <c r="M14999" t="e">
        <v>#N/A</v>
      </c>
      <c r="N14999" s="1">
        <v>41913</v>
      </c>
    </row>
    <row r="15000" spans="11:14" x14ac:dyDescent="0.3">
      <c r="K15000" s="1">
        <v>42278</v>
      </c>
      <c r="M15000" t="e">
        <v>#N/A</v>
      </c>
      <c r="N15000" s="1">
        <v>41913</v>
      </c>
    </row>
    <row r="15001" spans="11:14" x14ac:dyDescent="0.3">
      <c r="K15001" s="1">
        <v>42278</v>
      </c>
      <c r="M15001" t="e">
        <v>#N/A</v>
      </c>
      <c r="N15001" s="1">
        <v>41913</v>
      </c>
    </row>
    <row r="15002" spans="11:14" x14ac:dyDescent="0.3">
      <c r="K15002" s="1">
        <v>42370</v>
      </c>
      <c r="M15002" t="e">
        <v>#N/A</v>
      </c>
      <c r="N15002" s="1">
        <v>41913</v>
      </c>
    </row>
    <row r="15003" spans="11:14" x14ac:dyDescent="0.3">
      <c r="K15003" s="1">
        <v>42370</v>
      </c>
      <c r="M15003" t="e">
        <v>#N/A</v>
      </c>
      <c r="N15003" s="1">
        <v>41913</v>
      </c>
    </row>
    <row r="15004" spans="11:14" x14ac:dyDescent="0.3">
      <c r="K15004" s="1">
        <v>42370</v>
      </c>
      <c r="M15004" t="e">
        <v>#N/A</v>
      </c>
      <c r="N15004" s="1">
        <v>41913</v>
      </c>
    </row>
    <row r="15005" spans="11:14" x14ac:dyDescent="0.3">
      <c r="K15005" s="1">
        <v>42370</v>
      </c>
      <c r="M15005" t="e">
        <v>#N/A</v>
      </c>
      <c r="N15005" s="1">
        <v>41913</v>
      </c>
    </row>
    <row r="15006" spans="11:14" x14ac:dyDescent="0.3">
      <c r="K15006" s="1">
        <v>42370</v>
      </c>
      <c r="M15006" t="e">
        <v>#N/A</v>
      </c>
      <c r="N15006" s="1">
        <v>41913</v>
      </c>
    </row>
    <row r="15007" spans="11:14" x14ac:dyDescent="0.3">
      <c r="K15007" s="1">
        <v>42370</v>
      </c>
      <c r="M15007" t="e">
        <v>#N/A</v>
      </c>
      <c r="N15007" s="1">
        <v>41913</v>
      </c>
    </row>
    <row r="15008" spans="11:14" x14ac:dyDescent="0.3">
      <c r="K15008" s="1">
        <v>42370</v>
      </c>
      <c r="M15008" t="e">
        <v>#N/A</v>
      </c>
      <c r="N15008" s="1">
        <v>41913</v>
      </c>
    </row>
    <row r="15009" spans="11:14" x14ac:dyDescent="0.3">
      <c r="K15009" s="1">
        <v>42370</v>
      </c>
      <c r="M15009" t="e">
        <v>#N/A</v>
      </c>
      <c r="N15009" s="1">
        <v>41913</v>
      </c>
    </row>
    <row r="15010" spans="11:14" x14ac:dyDescent="0.3">
      <c r="K15010" s="1">
        <v>42370</v>
      </c>
      <c r="M15010" t="e">
        <v>#N/A</v>
      </c>
      <c r="N15010" s="1">
        <v>41913</v>
      </c>
    </row>
    <row r="15011" spans="11:14" x14ac:dyDescent="0.3">
      <c r="K15011" s="1">
        <v>42370</v>
      </c>
      <c r="M15011" t="e">
        <v>#N/A</v>
      </c>
      <c r="N15011" s="1">
        <v>41913</v>
      </c>
    </row>
    <row r="15012" spans="11:14" x14ac:dyDescent="0.3">
      <c r="K15012" s="1">
        <v>42370</v>
      </c>
      <c r="M15012" t="e">
        <v>#N/A</v>
      </c>
      <c r="N15012" s="1">
        <v>41913</v>
      </c>
    </row>
    <row r="15013" spans="11:14" x14ac:dyDescent="0.3">
      <c r="K15013" s="1">
        <v>42370</v>
      </c>
      <c r="M15013" t="e">
        <v>#N/A</v>
      </c>
      <c r="N15013" s="1">
        <v>41913</v>
      </c>
    </row>
    <row r="15014" spans="11:14" x14ac:dyDescent="0.3">
      <c r="K15014" s="1">
        <v>42370</v>
      </c>
      <c r="M15014" t="e">
        <v>#N/A</v>
      </c>
      <c r="N15014" s="1">
        <v>41913</v>
      </c>
    </row>
    <row r="15015" spans="11:14" x14ac:dyDescent="0.3">
      <c r="K15015" s="1">
        <v>42370</v>
      </c>
      <c r="M15015" t="e">
        <v>#N/A</v>
      </c>
      <c r="N15015" s="1">
        <v>41913</v>
      </c>
    </row>
    <row r="15016" spans="11:14" x14ac:dyDescent="0.3">
      <c r="K15016" s="1">
        <v>42370</v>
      </c>
      <c r="M15016" t="e">
        <v>#N/A</v>
      </c>
      <c r="N15016" s="1">
        <v>41913</v>
      </c>
    </row>
    <row r="15017" spans="11:14" x14ac:dyDescent="0.3">
      <c r="K15017" s="1">
        <v>42370</v>
      </c>
      <c r="M15017" t="e">
        <v>#N/A</v>
      </c>
      <c r="N15017" s="1">
        <v>41913</v>
      </c>
    </row>
    <row r="15018" spans="11:14" x14ac:dyDescent="0.3">
      <c r="K15018" s="1">
        <v>42370</v>
      </c>
      <c r="M15018" t="e">
        <v>#N/A</v>
      </c>
      <c r="N15018" s="1">
        <v>41913</v>
      </c>
    </row>
    <row r="15019" spans="11:14" x14ac:dyDescent="0.3">
      <c r="K15019" s="1">
        <v>42370</v>
      </c>
      <c r="M15019" t="e">
        <v>#N/A</v>
      </c>
      <c r="N15019" s="1">
        <v>41913</v>
      </c>
    </row>
    <row r="15020" spans="11:14" x14ac:dyDescent="0.3">
      <c r="K15020" s="1">
        <v>42370</v>
      </c>
      <c r="M15020" t="e">
        <v>#N/A</v>
      </c>
      <c r="N15020" s="1">
        <v>41913</v>
      </c>
    </row>
    <row r="15021" spans="11:14" x14ac:dyDescent="0.3">
      <c r="K15021" s="1">
        <v>42370</v>
      </c>
      <c r="M15021" t="e">
        <v>#N/A</v>
      </c>
      <c r="N15021" s="1">
        <v>41913</v>
      </c>
    </row>
    <row r="15022" spans="11:14" x14ac:dyDescent="0.3">
      <c r="K15022" s="1">
        <v>42370</v>
      </c>
      <c r="M15022" t="e">
        <v>#N/A</v>
      </c>
      <c r="N15022" s="1">
        <v>41913</v>
      </c>
    </row>
    <row r="15023" spans="11:14" x14ac:dyDescent="0.3">
      <c r="K15023" s="1">
        <v>42370</v>
      </c>
      <c r="M15023" t="e">
        <v>#N/A</v>
      </c>
      <c r="N15023" s="1">
        <v>41913</v>
      </c>
    </row>
    <row r="15024" spans="11:14" x14ac:dyDescent="0.3">
      <c r="K15024" s="1">
        <v>42370</v>
      </c>
      <c r="M15024" t="e">
        <v>#N/A</v>
      </c>
      <c r="N15024" s="1">
        <v>41913</v>
      </c>
    </row>
    <row r="15025" spans="11:14" x14ac:dyDescent="0.3">
      <c r="K15025" s="1">
        <v>42370</v>
      </c>
      <c r="M15025" t="e">
        <v>#N/A</v>
      </c>
      <c r="N15025" s="1">
        <v>41913</v>
      </c>
    </row>
    <row r="15026" spans="11:14" x14ac:dyDescent="0.3">
      <c r="K15026" s="1">
        <v>42370</v>
      </c>
      <c r="M15026" t="e">
        <v>#N/A</v>
      </c>
      <c r="N15026" s="1">
        <v>41913</v>
      </c>
    </row>
    <row r="15027" spans="11:14" x14ac:dyDescent="0.3">
      <c r="K15027" s="1">
        <v>42370</v>
      </c>
      <c r="M15027" t="e">
        <v>#N/A</v>
      </c>
      <c r="N15027" s="1">
        <v>41913</v>
      </c>
    </row>
    <row r="15028" spans="11:14" x14ac:dyDescent="0.3">
      <c r="K15028" s="1">
        <v>42370</v>
      </c>
      <c r="M15028" t="e">
        <v>#N/A</v>
      </c>
      <c r="N15028" s="1">
        <v>41913</v>
      </c>
    </row>
    <row r="15029" spans="11:14" x14ac:dyDescent="0.3">
      <c r="K15029" s="1">
        <v>42370</v>
      </c>
      <c r="M15029" t="e">
        <v>#N/A</v>
      </c>
      <c r="N15029" s="1">
        <v>41913</v>
      </c>
    </row>
    <row r="15030" spans="11:14" x14ac:dyDescent="0.3">
      <c r="K15030" s="1">
        <v>42370</v>
      </c>
      <c r="M15030" t="e">
        <v>#N/A</v>
      </c>
      <c r="N15030" s="1">
        <v>41913</v>
      </c>
    </row>
    <row r="15031" spans="11:14" x14ac:dyDescent="0.3">
      <c r="K15031" s="1">
        <v>42370</v>
      </c>
      <c r="M15031" t="e">
        <v>#N/A</v>
      </c>
      <c r="N15031" s="1">
        <v>41913</v>
      </c>
    </row>
    <row r="15032" spans="11:14" x14ac:dyDescent="0.3">
      <c r="K15032" s="1">
        <v>42370</v>
      </c>
      <c r="M15032" t="e">
        <v>#N/A</v>
      </c>
      <c r="N15032" s="1">
        <v>41913</v>
      </c>
    </row>
    <row r="15033" spans="11:14" x14ac:dyDescent="0.3">
      <c r="K15033" s="1">
        <v>42370</v>
      </c>
      <c r="M15033" t="e">
        <v>#N/A</v>
      </c>
      <c r="N15033" s="1">
        <v>41913</v>
      </c>
    </row>
    <row r="15034" spans="11:14" x14ac:dyDescent="0.3">
      <c r="K15034" s="1">
        <v>42370</v>
      </c>
      <c r="M15034" t="e">
        <v>#N/A</v>
      </c>
      <c r="N15034" s="1">
        <v>41913</v>
      </c>
    </row>
    <row r="15035" spans="11:14" x14ac:dyDescent="0.3">
      <c r="K15035" s="1">
        <v>42370</v>
      </c>
      <c r="M15035" t="e">
        <v>#N/A</v>
      </c>
      <c r="N15035" s="1">
        <v>41913</v>
      </c>
    </row>
    <row r="15036" spans="11:14" x14ac:dyDescent="0.3">
      <c r="K15036" s="1">
        <v>42370</v>
      </c>
      <c r="M15036" t="e">
        <v>#N/A</v>
      </c>
      <c r="N15036" s="1">
        <v>41913</v>
      </c>
    </row>
    <row r="15037" spans="11:14" x14ac:dyDescent="0.3">
      <c r="K15037" s="1">
        <v>42370</v>
      </c>
      <c r="M15037" t="e">
        <v>#N/A</v>
      </c>
      <c r="N15037" s="1">
        <v>41913</v>
      </c>
    </row>
    <row r="15038" spans="11:14" x14ac:dyDescent="0.3">
      <c r="K15038" s="1">
        <v>42370</v>
      </c>
      <c r="M15038" t="e">
        <v>#N/A</v>
      </c>
      <c r="N15038" s="1">
        <v>41913</v>
      </c>
    </row>
    <row r="15039" spans="11:14" x14ac:dyDescent="0.3">
      <c r="K15039" s="1">
        <v>42370</v>
      </c>
      <c r="M15039" t="e">
        <v>#N/A</v>
      </c>
      <c r="N15039" s="1">
        <v>41913</v>
      </c>
    </row>
    <row r="15040" spans="11:14" x14ac:dyDescent="0.3">
      <c r="K15040" s="1">
        <v>42370</v>
      </c>
      <c r="M15040" t="e">
        <v>#N/A</v>
      </c>
      <c r="N15040" s="1">
        <v>41913</v>
      </c>
    </row>
    <row r="15041" spans="11:14" x14ac:dyDescent="0.3">
      <c r="K15041" s="1">
        <v>42370</v>
      </c>
      <c r="M15041" t="e">
        <v>#N/A</v>
      </c>
      <c r="N15041" s="1">
        <v>41913</v>
      </c>
    </row>
    <row r="15042" spans="11:14" x14ac:dyDescent="0.3">
      <c r="K15042" s="1">
        <v>42370</v>
      </c>
      <c r="M15042" t="e">
        <v>#N/A</v>
      </c>
      <c r="N15042" s="1">
        <v>41913</v>
      </c>
    </row>
    <row r="15043" spans="11:14" x14ac:dyDescent="0.3">
      <c r="K15043" s="1">
        <v>42370</v>
      </c>
      <c r="M15043" t="e">
        <v>#N/A</v>
      </c>
      <c r="N15043" s="1">
        <v>41913</v>
      </c>
    </row>
    <row r="15044" spans="11:14" x14ac:dyDescent="0.3">
      <c r="K15044" s="1">
        <v>42370</v>
      </c>
      <c r="M15044" t="e">
        <v>#N/A</v>
      </c>
      <c r="N15044" s="1">
        <v>41913</v>
      </c>
    </row>
    <row r="15045" spans="11:14" x14ac:dyDescent="0.3">
      <c r="K15045" s="1">
        <v>42370</v>
      </c>
      <c r="M15045" t="e">
        <v>#N/A</v>
      </c>
      <c r="N15045" s="1">
        <v>41913</v>
      </c>
    </row>
    <row r="15046" spans="11:14" x14ac:dyDescent="0.3">
      <c r="K15046" s="1">
        <v>42370</v>
      </c>
      <c r="M15046" t="e">
        <v>#N/A</v>
      </c>
      <c r="N15046" s="1">
        <v>41913</v>
      </c>
    </row>
    <row r="15047" spans="11:14" x14ac:dyDescent="0.3">
      <c r="K15047" s="1">
        <v>42370</v>
      </c>
      <c r="M15047" t="e">
        <v>#N/A</v>
      </c>
      <c r="N15047" s="1">
        <v>41913</v>
      </c>
    </row>
    <row r="15048" spans="11:14" x14ac:dyDescent="0.3">
      <c r="K15048" s="1">
        <v>42370</v>
      </c>
      <c r="M15048" t="e">
        <v>#N/A</v>
      </c>
      <c r="N15048" s="1">
        <v>41913</v>
      </c>
    </row>
    <row r="15049" spans="11:14" x14ac:dyDescent="0.3">
      <c r="K15049" s="1">
        <v>42370</v>
      </c>
      <c r="M15049" t="e">
        <v>#N/A</v>
      </c>
      <c r="N15049" s="1">
        <v>41913</v>
      </c>
    </row>
    <row r="15050" spans="11:14" x14ac:dyDescent="0.3">
      <c r="K15050" s="1">
        <v>42370</v>
      </c>
      <c r="M15050" t="e">
        <v>#N/A</v>
      </c>
      <c r="N15050" s="1">
        <v>41913</v>
      </c>
    </row>
    <row r="15051" spans="11:14" x14ac:dyDescent="0.3">
      <c r="K15051" s="1">
        <v>42370</v>
      </c>
      <c r="M15051" t="e">
        <v>#N/A</v>
      </c>
      <c r="N15051" s="1">
        <v>41913</v>
      </c>
    </row>
    <row r="15052" spans="11:14" x14ac:dyDescent="0.3">
      <c r="K15052" s="1">
        <v>42370</v>
      </c>
      <c r="M15052" t="e">
        <v>#N/A</v>
      </c>
      <c r="N15052" s="1">
        <v>41913</v>
      </c>
    </row>
    <row r="15053" spans="11:14" x14ac:dyDescent="0.3">
      <c r="K15053" s="1">
        <v>42370</v>
      </c>
      <c r="M15053" t="e">
        <v>#N/A</v>
      </c>
      <c r="N15053" s="1">
        <v>41913</v>
      </c>
    </row>
    <row r="15054" spans="11:14" x14ac:dyDescent="0.3">
      <c r="K15054" s="1">
        <v>42370</v>
      </c>
      <c r="M15054" t="e">
        <v>#N/A</v>
      </c>
      <c r="N15054" s="1">
        <v>41913</v>
      </c>
    </row>
    <row r="15055" spans="11:14" x14ac:dyDescent="0.3">
      <c r="K15055" s="1">
        <v>42370</v>
      </c>
      <c r="M15055" t="e">
        <v>#N/A</v>
      </c>
      <c r="N15055" s="1">
        <v>41913</v>
      </c>
    </row>
    <row r="15056" spans="11:14" x14ac:dyDescent="0.3">
      <c r="K15056" s="1">
        <v>42370</v>
      </c>
      <c r="M15056" t="e">
        <v>#N/A</v>
      </c>
      <c r="N15056" s="1">
        <v>41913</v>
      </c>
    </row>
    <row r="15057" spans="11:14" x14ac:dyDescent="0.3">
      <c r="K15057" s="1">
        <v>42370</v>
      </c>
      <c r="M15057" t="e">
        <v>#N/A</v>
      </c>
      <c r="N15057" s="1">
        <v>41913</v>
      </c>
    </row>
    <row r="15058" spans="11:14" x14ac:dyDescent="0.3">
      <c r="K15058" s="1">
        <v>42370</v>
      </c>
      <c r="M15058" t="e">
        <v>#N/A</v>
      </c>
      <c r="N15058" s="1">
        <v>41913</v>
      </c>
    </row>
    <row r="15059" spans="11:14" x14ac:dyDescent="0.3">
      <c r="K15059" s="1">
        <v>42370</v>
      </c>
      <c r="M15059" t="e">
        <v>#N/A</v>
      </c>
      <c r="N15059" s="1">
        <v>41913</v>
      </c>
    </row>
    <row r="15060" spans="11:14" x14ac:dyDescent="0.3">
      <c r="K15060" s="1">
        <v>42370</v>
      </c>
      <c r="M15060" t="e">
        <v>#N/A</v>
      </c>
      <c r="N15060" s="1">
        <v>41913</v>
      </c>
    </row>
    <row r="15061" spans="11:14" x14ac:dyDescent="0.3">
      <c r="K15061" s="1">
        <v>42370</v>
      </c>
      <c r="M15061" t="e">
        <v>#N/A</v>
      </c>
      <c r="N15061" s="1">
        <v>41913</v>
      </c>
    </row>
    <row r="15062" spans="11:14" x14ac:dyDescent="0.3">
      <c r="K15062" s="1">
        <v>42370</v>
      </c>
      <c r="M15062" t="e">
        <v>#N/A</v>
      </c>
      <c r="N15062" s="1">
        <v>41913</v>
      </c>
    </row>
    <row r="15063" spans="11:14" x14ac:dyDescent="0.3">
      <c r="K15063" s="1">
        <v>42370</v>
      </c>
      <c r="M15063" t="e">
        <v>#N/A</v>
      </c>
      <c r="N15063" s="1">
        <v>41913</v>
      </c>
    </row>
    <row r="15064" spans="11:14" x14ac:dyDescent="0.3">
      <c r="K15064" s="1">
        <v>42370</v>
      </c>
      <c r="M15064" t="e">
        <v>#N/A</v>
      </c>
      <c r="N15064" s="1">
        <v>41913</v>
      </c>
    </row>
    <row r="15065" spans="11:14" x14ac:dyDescent="0.3">
      <c r="K15065" s="1">
        <v>42370</v>
      </c>
      <c r="M15065" t="e">
        <v>#N/A</v>
      </c>
      <c r="N15065" s="1">
        <v>41913</v>
      </c>
    </row>
    <row r="15066" spans="11:14" x14ac:dyDescent="0.3">
      <c r="K15066" s="1">
        <v>42370</v>
      </c>
      <c r="M15066" t="e">
        <v>#N/A</v>
      </c>
      <c r="N15066" s="1">
        <v>41913</v>
      </c>
    </row>
    <row r="15067" spans="11:14" x14ac:dyDescent="0.3">
      <c r="K15067" s="1">
        <v>42370</v>
      </c>
      <c r="M15067" t="e">
        <v>#N/A</v>
      </c>
      <c r="N15067" s="1">
        <v>41913</v>
      </c>
    </row>
    <row r="15068" spans="11:14" x14ac:dyDescent="0.3">
      <c r="K15068" s="1">
        <v>42370</v>
      </c>
      <c r="M15068" t="e">
        <v>#N/A</v>
      </c>
      <c r="N15068" s="1">
        <v>41913</v>
      </c>
    </row>
    <row r="15069" spans="11:14" x14ac:dyDescent="0.3">
      <c r="K15069" s="1">
        <v>42370</v>
      </c>
      <c r="M15069" t="e">
        <v>#N/A</v>
      </c>
      <c r="N15069" s="1">
        <v>41913</v>
      </c>
    </row>
    <row r="15070" spans="11:14" x14ac:dyDescent="0.3">
      <c r="K15070" s="1">
        <v>42370</v>
      </c>
      <c r="M15070" t="e">
        <v>#N/A</v>
      </c>
      <c r="N15070" s="1">
        <v>41913</v>
      </c>
    </row>
    <row r="15071" spans="11:14" x14ac:dyDescent="0.3">
      <c r="K15071" s="1">
        <v>42370</v>
      </c>
      <c r="M15071" t="e">
        <v>#N/A</v>
      </c>
      <c r="N15071" s="1">
        <v>41913</v>
      </c>
    </row>
    <row r="15072" spans="11:14" x14ac:dyDescent="0.3">
      <c r="K15072" s="1">
        <v>42370</v>
      </c>
      <c r="M15072" t="e">
        <v>#N/A</v>
      </c>
      <c r="N15072" s="1">
        <v>41913</v>
      </c>
    </row>
    <row r="15073" spans="11:14" x14ac:dyDescent="0.3">
      <c r="K15073" s="1">
        <v>42370</v>
      </c>
      <c r="M15073" t="e">
        <v>#N/A</v>
      </c>
      <c r="N15073" s="1">
        <v>41913</v>
      </c>
    </row>
    <row r="15074" spans="11:14" x14ac:dyDescent="0.3">
      <c r="K15074" s="1">
        <v>42370</v>
      </c>
      <c r="M15074" t="e">
        <v>#N/A</v>
      </c>
      <c r="N15074" s="1">
        <v>41913</v>
      </c>
    </row>
    <row r="15075" spans="11:14" x14ac:dyDescent="0.3">
      <c r="K15075" s="1">
        <v>42370</v>
      </c>
      <c r="M15075" t="e">
        <v>#N/A</v>
      </c>
      <c r="N15075" s="1">
        <v>41913</v>
      </c>
    </row>
    <row r="15076" spans="11:14" x14ac:dyDescent="0.3">
      <c r="K15076" s="1">
        <v>42370</v>
      </c>
      <c r="M15076" t="e">
        <v>#N/A</v>
      </c>
      <c r="N15076" s="1">
        <v>41913</v>
      </c>
    </row>
    <row r="15077" spans="11:14" x14ac:dyDescent="0.3">
      <c r="K15077" s="1">
        <v>42370</v>
      </c>
      <c r="M15077" t="e">
        <v>#N/A</v>
      </c>
      <c r="N15077" s="1">
        <v>41913</v>
      </c>
    </row>
    <row r="15078" spans="11:14" x14ac:dyDescent="0.3">
      <c r="K15078" s="1">
        <v>42370</v>
      </c>
      <c r="M15078" t="e">
        <v>#N/A</v>
      </c>
      <c r="N15078" s="1">
        <v>41913</v>
      </c>
    </row>
    <row r="15079" spans="11:14" x14ac:dyDescent="0.3">
      <c r="K15079" s="1">
        <v>42370</v>
      </c>
      <c r="M15079" t="e">
        <v>#N/A</v>
      </c>
      <c r="N15079" s="1">
        <v>41913</v>
      </c>
    </row>
    <row r="15080" spans="11:14" x14ac:dyDescent="0.3">
      <c r="K15080" s="1">
        <v>42370</v>
      </c>
      <c r="M15080" t="e">
        <v>#N/A</v>
      </c>
      <c r="N15080" s="1">
        <v>41913</v>
      </c>
    </row>
    <row r="15081" spans="11:14" x14ac:dyDescent="0.3">
      <c r="K15081" s="1">
        <v>42370</v>
      </c>
      <c r="M15081" t="e">
        <v>#N/A</v>
      </c>
      <c r="N15081" s="1">
        <v>41913</v>
      </c>
    </row>
    <row r="15082" spans="11:14" x14ac:dyDescent="0.3">
      <c r="K15082" s="1">
        <v>42370</v>
      </c>
      <c r="M15082" t="e">
        <v>#N/A</v>
      </c>
      <c r="N15082" s="1">
        <v>41913</v>
      </c>
    </row>
    <row r="15083" spans="11:14" x14ac:dyDescent="0.3">
      <c r="K15083" s="1">
        <v>42370</v>
      </c>
      <c r="M15083" t="e">
        <v>#N/A</v>
      </c>
      <c r="N15083" s="1">
        <v>41913</v>
      </c>
    </row>
    <row r="15084" spans="11:14" x14ac:dyDescent="0.3">
      <c r="K15084" s="1">
        <v>42370</v>
      </c>
      <c r="M15084" t="e">
        <v>#N/A</v>
      </c>
      <c r="N15084" s="1">
        <v>41913</v>
      </c>
    </row>
    <row r="15085" spans="11:14" x14ac:dyDescent="0.3">
      <c r="K15085" s="1">
        <v>42370</v>
      </c>
      <c r="M15085" t="e">
        <v>#N/A</v>
      </c>
      <c r="N15085" s="1">
        <v>41913</v>
      </c>
    </row>
    <row r="15086" spans="11:14" x14ac:dyDescent="0.3">
      <c r="K15086" s="1">
        <v>42370</v>
      </c>
      <c r="M15086" t="e">
        <v>#N/A</v>
      </c>
      <c r="N15086" s="1">
        <v>41913</v>
      </c>
    </row>
    <row r="15087" spans="11:14" x14ac:dyDescent="0.3">
      <c r="K15087" s="1">
        <v>42370</v>
      </c>
      <c r="M15087" t="e">
        <v>#N/A</v>
      </c>
      <c r="N15087" s="1">
        <v>41913</v>
      </c>
    </row>
    <row r="15088" spans="11:14" x14ac:dyDescent="0.3">
      <c r="K15088" s="1">
        <v>42370</v>
      </c>
      <c r="M15088" t="e">
        <v>#N/A</v>
      </c>
      <c r="N15088" s="1">
        <v>41913</v>
      </c>
    </row>
    <row r="15089" spans="11:14" x14ac:dyDescent="0.3">
      <c r="K15089" s="1">
        <v>42370</v>
      </c>
      <c r="M15089" t="e">
        <v>#N/A</v>
      </c>
      <c r="N15089" s="1">
        <v>41913</v>
      </c>
    </row>
    <row r="15090" spans="11:14" x14ac:dyDescent="0.3">
      <c r="K15090" s="1">
        <v>42370</v>
      </c>
      <c r="M15090" t="e">
        <v>#N/A</v>
      </c>
      <c r="N15090" s="1">
        <v>41913</v>
      </c>
    </row>
    <row r="15091" spans="11:14" x14ac:dyDescent="0.3">
      <c r="K15091" s="1">
        <v>42370</v>
      </c>
      <c r="M15091" t="e">
        <v>#N/A</v>
      </c>
      <c r="N15091" s="1">
        <v>41913</v>
      </c>
    </row>
    <row r="15092" spans="11:14" x14ac:dyDescent="0.3">
      <c r="K15092" s="1">
        <v>42370</v>
      </c>
      <c r="M15092" t="e">
        <v>#N/A</v>
      </c>
      <c r="N15092" s="1">
        <v>41913</v>
      </c>
    </row>
    <row r="15093" spans="11:14" x14ac:dyDescent="0.3">
      <c r="K15093" s="1">
        <v>42370</v>
      </c>
      <c r="M15093" t="e">
        <v>#N/A</v>
      </c>
      <c r="N15093" s="1">
        <v>41913</v>
      </c>
    </row>
    <row r="15094" spans="11:14" x14ac:dyDescent="0.3">
      <c r="K15094" s="1">
        <v>42370</v>
      </c>
      <c r="M15094" t="e">
        <v>#N/A</v>
      </c>
      <c r="N15094" s="1">
        <v>41913</v>
      </c>
    </row>
    <row r="15095" spans="11:14" x14ac:dyDescent="0.3">
      <c r="K15095" s="1">
        <v>42370</v>
      </c>
      <c r="M15095" t="e">
        <v>#N/A</v>
      </c>
      <c r="N15095" s="1">
        <v>41913</v>
      </c>
    </row>
    <row r="15096" spans="11:14" x14ac:dyDescent="0.3">
      <c r="K15096" s="1">
        <v>42370</v>
      </c>
      <c r="M15096" t="e">
        <v>#N/A</v>
      </c>
      <c r="N15096" s="1">
        <v>41913</v>
      </c>
    </row>
    <row r="15097" spans="11:14" x14ac:dyDescent="0.3">
      <c r="K15097" s="1">
        <v>42370</v>
      </c>
      <c r="M15097" t="e">
        <v>#N/A</v>
      </c>
      <c r="N15097" s="1">
        <v>41913</v>
      </c>
    </row>
    <row r="15098" spans="11:14" x14ac:dyDescent="0.3">
      <c r="K15098" s="1">
        <v>42370</v>
      </c>
      <c r="M15098" t="e">
        <v>#N/A</v>
      </c>
      <c r="N15098" s="1">
        <v>41913</v>
      </c>
    </row>
    <row r="15099" spans="11:14" x14ac:dyDescent="0.3">
      <c r="K15099" s="1">
        <v>42370</v>
      </c>
      <c r="M15099" t="e">
        <v>#N/A</v>
      </c>
      <c r="N15099" s="1">
        <v>41913</v>
      </c>
    </row>
    <row r="15100" spans="11:14" x14ac:dyDescent="0.3">
      <c r="K15100" s="1">
        <v>42370</v>
      </c>
      <c r="M15100" t="e">
        <v>#N/A</v>
      </c>
      <c r="N15100" s="1">
        <v>41913</v>
      </c>
    </row>
    <row r="15101" spans="11:14" x14ac:dyDescent="0.3">
      <c r="K15101" s="1">
        <v>42370</v>
      </c>
      <c r="M15101" t="e">
        <v>#N/A</v>
      </c>
      <c r="N15101" s="1">
        <v>41913</v>
      </c>
    </row>
    <row r="15102" spans="11:14" x14ac:dyDescent="0.3">
      <c r="K15102" s="1">
        <v>42370</v>
      </c>
      <c r="M15102" t="e">
        <v>#N/A</v>
      </c>
      <c r="N15102" s="1">
        <v>41913</v>
      </c>
    </row>
    <row r="15103" spans="11:14" x14ac:dyDescent="0.3">
      <c r="K15103" s="1">
        <v>42370</v>
      </c>
      <c r="M15103" t="e">
        <v>#N/A</v>
      </c>
      <c r="N15103" s="1">
        <v>41913</v>
      </c>
    </row>
    <row r="15104" spans="11:14" x14ac:dyDescent="0.3">
      <c r="K15104" s="1">
        <v>42370</v>
      </c>
      <c r="M15104" t="e">
        <v>#N/A</v>
      </c>
      <c r="N15104" s="1">
        <v>41913</v>
      </c>
    </row>
    <row r="15105" spans="11:14" x14ac:dyDescent="0.3">
      <c r="K15105" s="1">
        <v>42370</v>
      </c>
      <c r="M15105" t="e">
        <v>#N/A</v>
      </c>
      <c r="N15105" s="1">
        <v>41913</v>
      </c>
    </row>
    <row r="15106" spans="11:14" x14ac:dyDescent="0.3">
      <c r="K15106" s="1">
        <v>42370</v>
      </c>
      <c r="M15106" t="e">
        <v>#N/A</v>
      </c>
      <c r="N15106" s="1">
        <v>41913</v>
      </c>
    </row>
    <row r="15107" spans="11:14" x14ac:dyDescent="0.3">
      <c r="K15107" s="1">
        <v>42370</v>
      </c>
      <c r="M15107" t="e">
        <v>#N/A</v>
      </c>
      <c r="N15107" s="1">
        <v>41913</v>
      </c>
    </row>
    <row r="15108" spans="11:14" x14ac:dyDescent="0.3">
      <c r="K15108" s="1">
        <v>42370</v>
      </c>
      <c r="M15108" t="e">
        <v>#N/A</v>
      </c>
      <c r="N15108" s="1">
        <v>41913</v>
      </c>
    </row>
    <row r="15109" spans="11:14" x14ac:dyDescent="0.3">
      <c r="K15109" s="1">
        <v>42370</v>
      </c>
      <c r="M15109" t="e">
        <v>#N/A</v>
      </c>
      <c r="N15109" s="1">
        <v>41913</v>
      </c>
    </row>
    <row r="15110" spans="11:14" x14ac:dyDescent="0.3">
      <c r="K15110" s="1">
        <v>42370</v>
      </c>
      <c r="M15110" t="e">
        <v>#N/A</v>
      </c>
      <c r="N15110" s="1">
        <v>41913</v>
      </c>
    </row>
    <row r="15111" spans="11:14" x14ac:dyDescent="0.3">
      <c r="K15111" s="1">
        <v>42370</v>
      </c>
      <c r="M15111" t="e">
        <v>#N/A</v>
      </c>
      <c r="N15111" s="1">
        <v>41913</v>
      </c>
    </row>
    <row r="15112" spans="11:14" x14ac:dyDescent="0.3">
      <c r="K15112" s="1">
        <v>42370</v>
      </c>
      <c r="M15112" t="e">
        <v>#N/A</v>
      </c>
      <c r="N15112" s="1">
        <v>41913</v>
      </c>
    </row>
    <row r="15113" spans="11:14" x14ac:dyDescent="0.3">
      <c r="K15113" s="1">
        <v>42370</v>
      </c>
      <c r="M15113" t="e">
        <v>#N/A</v>
      </c>
      <c r="N15113" s="1">
        <v>42005</v>
      </c>
    </row>
    <row r="15114" spans="11:14" x14ac:dyDescent="0.3">
      <c r="K15114" s="1">
        <v>42370</v>
      </c>
      <c r="M15114" t="e">
        <v>#N/A</v>
      </c>
      <c r="N15114" s="1">
        <v>42005</v>
      </c>
    </row>
    <row r="15115" spans="11:14" x14ac:dyDescent="0.3">
      <c r="K15115" s="1">
        <v>42370</v>
      </c>
      <c r="M15115" t="e">
        <v>#N/A</v>
      </c>
      <c r="N15115" s="1">
        <v>42005</v>
      </c>
    </row>
    <row r="15116" spans="11:14" x14ac:dyDescent="0.3">
      <c r="K15116" s="1">
        <v>42370</v>
      </c>
      <c r="M15116" t="e">
        <v>#N/A</v>
      </c>
      <c r="N15116" s="1">
        <v>42005</v>
      </c>
    </row>
    <row r="15117" spans="11:14" x14ac:dyDescent="0.3">
      <c r="K15117" s="1">
        <v>42370</v>
      </c>
      <c r="M15117" t="e">
        <v>#N/A</v>
      </c>
      <c r="N15117" s="1">
        <v>42005</v>
      </c>
    </row>
    <row r="15118" spans="11:14" x14ac:dyDescent="0.3">
      <c r="K15118" s="1">
        <v>42370</v>
      </c>
      <c r="M15118" t="e">
        <v>#N/A</v>
      </c>
      <c r="N15118" s="1">
        <v>42005</v>
      </c>
    </row>
    <row r="15119" spans="11:14" x14ac:dyDescent="0.3">
      <c r="K15119" s="1">
        <v>42370</v>
      </c>
      <c r="M15119" t="e">
        <v>#N/A</v>
      </c>
      <c r="N15119" s="1">
        <v>42005</v>
      </c>
    </row>
    <row r="15120" spans="11:14" x14ac:dyDescent="0.3">
      <c r="K15120" s="1">
        <v>42370</v>
      </c>
      <c r="M15120" t="e">
        <v>#N/A</v>
      </c>
      <c r="N15120" s="1">
        <v>42005</v>
      </c>
    </row>
    <row r="15121" spans="11:14" x14ac:dyDescent="0.3">
      <c r="K15121" s="1">
        <v>42370</v>
      </c>
      <c r="M15121" t="e">
        <v>#N/A</v>
      </c>
      <c r="N15121" s="1">
        <v>42005</v>
      </c>
    </row>
    <row r="15122" spans="11:14" x14ac:dyDescent="0.3">
      <c r="K15122" s="1">
        <v>42370</v>
      </c>
      <c r="M15122" t="e">
        <v>#N/A</v>
      </c>
      <c r="N15122" s="1">
        <v>42005</v>
      </c>
    </row>
    <row r="15123" spans="11:14" x14ac:dyDescent="0.3">
      <c r="K15123" s="1">
        <v>42370</v>
      </c>
      <c r="M15123" t="e">
        <v>#N/A</v>
      </c>
      <c r="N15123" s="1">
        <v>42005</v>
      </c>
    </row>
    <row r="15124" spans="11:14" x14ac:dyDescent="0.3">
      <c r="K15124" s="1">
        <v>42370</v>
      </c>
      <c r="M15124" t="e">
        <v>#N/A</v>
      </c>
      <c r="N15124" s="1">
        <v>42005</v>
      </c>
    </row>
    <row r="15125" spans="11:14" x14ac:dyDescent="0.3">
      <c r="K15125" s="1">
        <v>42370</v>
      </c>
      <c r="M15125" t="e">
        <v>#N/A</v>
      </c>
      <c r="N15125" s="1">
        <v>42005</v>
      </c>
    </row>
    <row r="15126" spans="11:14" x14ac:dyDescent="0.3">
      <c r="K15126" s="1">
        <v>42370</v>
      </c>
      <c r="M15126" t="e">
        <v>#N/A</v>
      </c>
      <c r="N15126" s="1">
        <v>42005</v>
      </c>
    </row>
    <row r="15127" spans="11:14" x14ac:dyDescent="0.3">
      <c r="K15127" s="1">
        <v>42370</v>
      </c>
      <c r="M15127" t="e">
        <v>#N/A</v>
      </c>
      <c r="N15127" s="1">
        <v>42005</v>
      </c>
    </row>
    <row r="15128" spans="11:14" x14ac:dyDescent="0.3">
      <c r="K15128" s="1">
        <v>42370</v>
      </c>
      <c r="M15128" t="e">
        <v>#N/A</v>
      </c>
      <c r="N15128" s="1">
        <v>42005</v>
      </c>
    </row>
    <row r="15129" spans="11:14" x14ac:dyDescent="0.3">
      <c r="K15129" s="1">
        <v>42370</v>
      </c>
      <c r="M15129" t="e">
        <v>#N/A</v>
      </c>
      <c r="N15129" s="1">
        <v>42005</v>
      </c>
    </row>
    <row r="15130" spans="11:14" x14ac:dyDescent="0.3">
      <c r="K15130" s="1">
        <v>42370</v>
      </c>
      <c r="M15130" t="e">
        <v>#N/A</v>
      </c>
      <c r="N15130" s="1">
        <v>42005</v>
      </c>
    </row>
    <row r="15131" spans="11:14" x14ac:dyDescent="0.3">
      <c r="K15131" s="1">
        <v>42370</v>
      </c>
      <c r="M15131" t="e">
        <v>#N/A</v>
      </c>
      <c r="N15131" s="1">
        <v>42005</v>
      </c>
    </row>
    <row r="15132" spans="11:14" x14ac:dyDescent="0.3">
      <c r="K15132" s="1">
        <v>42370</v>
      </c>
      <c r="M15132" t="e">
        <v>#N/A</v>
      </c>
      <c r="N15132" s="1">
        <v>42005</v>
      </c>
    </row>
    <row r="15133" spans="11:14" x14ac:dyDescent="0.3">
      <c r="K15133" s="1">
        <v>42370</v>
      </c>
      <c r="M15133" t="e">
        <v>#N/A</v>
      </c>
      <c r="N15133" s="1">
        <v>42005</v>
      </c>
    </row>
    <row r="15134" spans="11:14" x14ac:dyDescent="0.3">
      <c r="K15134" s="1">
        <v>42370</v>
      </c>
      <c r="M15134" t="e">
        <v>#N/A</v>
      </c>
      <c r="N15134" s="1">
        <v>42005</v>
      </c>
    </row>
    <row r="15135" spans="11:14" x14ac:dyDescent="0.3">
      <c r="K15135" s="1">
        <v>42370</v>
      </c>
      <c r="M15135" t="e">
        <v>#N/A</v>
      </c>
      <c r="N15135" s="1">
        <v>42005</v>
      </c>
    </row>
    <row r="15136" spans="11:14" x14ac:dyDescent="0.3">
      <c r="K15136" s="1">
        <v>42370</v>
      </c>
      <c r="M15136" t="e">
        <v>#N/A</v>
      </c>
      <c r="N15136" s="1">
        <v>42005</v>
      </c>
    </row>
    <row r="15137" spans="11:14" x14ac:dyDescent="0.3">
      <c r="K15137" s="1">
        <v>42370</v>
      </c>
      <c r="M15137" t="e">
        <v>#N/A</v>
      </c>
      <c r="N15137" s="1">
        <v>42005</v>
      </c>
    </row>
    <row r="15138" spans="11:14" x14ac:dyDescent="0.3">
      <c r="K15138" s="1">
        <v>42370</v>
      </c>
      <c r="M15138" t="e">
        <v>#N/A</v>
      </c>
      <c r="N15138" s="1">
        <v>42005</v>
      </c>
    </row>
    <row r="15139" spans="11:14" x14ac:dyDescent="0.3">
      <c r="K15139" s="1">
        <v>42370</v>
      </c>
      <c r="M15139" t="e">
        <v>#N/A</v>
      </c>
      <c r="N15139" s="1">
        <v>42005</v>
      </c>
    </row>
    <row r="15140" spans="11:14" x14ac:dyDescent="0.3">
      <c r="K15140" s="1">
        <v>42370</v>
      </c>
      <c r="M15140" t="e">
        <v>#N/A</v>
      </c>
      <c r="N15140" s="1">
        <v>42005</v>
      </c>
    </row>
    <row r="15141" spans="11:14" x14ac:dyDescent="0.3">
      <c r="K15141" s="1">
        <v>42370</v>
      </c>
      <c r="M15141" t="e">
        <v>#N/A</v>
      </c>
      <c r="N15141" s="1">
        <v>42005</v>
      </c>
    </row>
    <row r="15142" spans="11:14" x14ac:dyDescent="0.3">
      <c r="K15142" s="1">
        <v>42370</v>
      </c>
      <c r="M15142" t="e">
        <v>#N/A</v>
      </c>
      <c r="N15142" s="1">
        <v>42005</v>
      </c>
    </row>
    <row r="15143" spans="11:14" x14ac:dyDescent="0.3">
      <c r="K15143" s="1">
        <v>42370</v>
      </c>
      <c r="M15143" t="e">
        <v>#N/A</v>
      </c>
      <c r="N15143" s="1">
        <v>42005</v>
      </c>
    </row>
    <row r="15144" spans="11:14" x14ac:dyDescent="0.3">
      <c r="K15144" s="1">
        <v>42370</v>
      </c>
      <c r="M15144" t="e">
        <v>#N/A</v>
      </c>
      <c r="N15144" s="1">
        <v>42005</v>
      </c>
    </row>
    <row r="15145" spans="11:14" x14ac:dyDescent="0.3">
      <c r="K15145" s="1">
        <v>42370</v>
      </c>
      <c r="M15145" t="e">
        <v>#N/A</v>
      </c>
      <c r="N15145" s="1">
        <v>42005</v>
      </c>
    </row>
    <row r="15146" spans="11:14" x14ac:dyDescent="0.3">
      <c r="K15146" s="1">
        <v>42370</v>
      </c>
      <c r="M15146" t="e">
        <v>#N/A</v>
      </c>
      <c r="N15146" s="1">
        <v>42005</v>
      </c>
    </row>
    <row r="15147" spans="11:14" x14ac:dyDescent="0.3">
      <c r="K15147" s="1">
        <v>42370</v>
      </c>
      <c r="M15147" t="e">
        <v>#N/A</v>
      </c>
      <c r="N15147" s="1">
        <v>42005</v>
      </c>
    </row>
    <row r="15148" spans="11:14" x14ac:dyDescent="0.3">
      <c r="K15148" s="1">
        <v>42370</v>
      </c>
      <c r="M15148" t="e">
        <v>#N/A</v>
      </c>
      <c r="N15148" s="1">
        <v>42005</v>
      </c>
    </row>
    <row r="15149" spans="11:14" x14ac:dyDescent="0.3">
      <c r="K15149" s="1">
        <v>42370</v>
      </c>
      <c r="M15149" t="e">
        <v>#N/A</v>
      </c>
      <c r="N15149" s="1">
        <v>42005</v>
      </c>
    </row>
    <row r="15150" spans="11:14" x14ac:dyDescent="0.3">
      <c r="K15150" s="1">
        <v>42370</v>
      </c>
      <c r="M15150" t="e">
        <v>#N/A</v>
      </c>
      <c r="N15150" s="1">
        <v>42005</v>
      </c>
    </row>
    <row r="15151" spans="11:14" x14ac:dyDescent="0.3">
      <c r="K15151" s="1">
        <v>42370</v>
      </c>
      <c r="M15151" t="e">
        <v>#N/A</v>
      </c>
      <c r="N15151" s="1">
        <v>42005</v>
      </c>
    </row>
    <row r="15152" spans="11:14" x14ac:dyDescent="0.3">
      <c r="K15152" s="1">
        <v>42370</v>
      </c>
      <c r="M15152" t="e">
        <v>#N/A</v>
      </c>
      <c r="N15152" s="1">
        <v>42005</v>
      </c>
    </row>
    <row r="15153" spans="11:14" x14ac:dyDescent="0.3">
      <c r="K15153" s="1">
        <v>42370</v>
      </c>
      <c r="M15153" t="e">
        <v>#N/A</v>
      </c>
      <c r="N15153" s="1">
        <v>42005</v>
      </c>
    </row>
    <row r="15154" spans="11:14" x14ac:dyDescent="0.3">
      <c r="K15154" s="1">
        <v>42370</v>
      </c>
      <c r="M15154" t="e">
        <v>#N/A</v>
      </c>
      <c r="N15154" s="1">
        <v>42005</v>
      </c>
    </row>
    <row r="15155" spans="11:14" x14ac:dyDescent="0.3">
      <c r="K15155" s="1">
        <v>42370</v>
      </c>
      <c r="M15155" t="e">
        <v>#N/A</v>
      </c>
      <c r="N15155" s="1">
        <v>42005</v>
      </c>
    </row>
    <row r="15156" spans="11:14" x14ac:dyDescent="0.3">
      <c r="K15156" s="1">
        <v>42370</v>
      </c>
      <c r="M15156" t="e">
        <v>#N/A</v>
      </c>
      <c r="N15156" s="1">
        <v>42005</v>
      </c>
    </row>
    <row r="15157" spans="11:14" x14ac:dyDescent="0.3">
      <c r="K15157" s="1">
        <v>42370</v>
      </c>
      <c r="M15157" t="e">
        <v>#N/A</v>
      </c>
      <c r="N15157" s="1">
        <v>42005</v>
      </c>
    </row>
    <row r="15158" spans="11:14" x14ac:dyDescent="0.3">
      <c r="K15158" s="1">
        <v>42370</v>
      </c>
      <c r="M15158" t="e">
        <v>#N/A</v>
      </c>
      <c r="N15158" s="1">
        <v>42005</v>
      </c>
    </row>
    <row r="15159" spans="11:14" x14ac:dyDescent="0.3">
      <c r="K15159" s="1">
        <v>42370</v>
      </c>
      <c r="M15159" t="e">
        <v>#N/A</v>
      </c>
      <c r="N15159" s="1">
        <v>42005</v>
      </c>
    </row>
    <row r="15160" spans="11:14" x14ac:dyDescent="0.3">
      <c r="K15160" s="1">
        <v>42370</v>
      </c>
      <c r="M15160" t="e">
        <v>#N/A</v>
      </c>
      <c r="N15160" s="1">
        <v>42005</v>
      </c>
    </row>
    <row r="15161" spans="11:14" x14ac:dyDescent="0.3">
      <c r="K15161" s="1">
        <v>42370</v>
      </c>
      <c r="M15161" t="e">
        <v>#N/A</v>
      </c>
      <c r="N15161" s="1">
        <v>42005</v>
      </c>
    </row>
    <row r="15162" spans="11:14" x14ac:dyDescent="0.3">
      <c r="K15162" s="1">
        <v>42370</v>
      </c>
      <c r="M15162" t="e">
        <v>#N/A</v>
      </c>
      <c r="N15162" s="1">
        <v>42005</v>
      </c>
    </row>
    <row r="15163" spans="11:14" x14ac:dyDescent="0.3">
      <c r="K15163" s="1">
        <v>42370</v>
      </c>
      <c r="M15163" t="e">
        <v>#N/A</v>
      </c>
      <c r="N15163" s="1">
        <v>42005</v>
      </c>
    </row>
    <row r="15164" spans="11:14" x14ac:dyDescent="0.3">
      <c r="K15164" s="1">
        <v>42370</v>
      </c>
      <c r="M15164" t="e">
        <v>#N/A</v>
      </c>
      <c r="N15164" s="1">
        <v>42005</v>
      </c>
    </row>
    <row r="15165" spans="11:14" x14ac:dyDescent="0.3">
      <c r="K15165" s="1">
        <v>42370</v>
      </c>
      <c r="M15165" t="e">
        <v>#N/A</v>
      </c>
      <c r="N15165" s="1">
        <v>42005</v>
      </c>
    </row>
    <row r="15166" spans="11:14" x14ac:dyDescent="0.3">
      <c r="K15166" s="1">
        <v>42370</v>
      </c>
      <c r="M15166" t="e">
        <v>#N/A</v>
      </c>
      <c r="N15166" s="1">
        <v>42005</v>
      </c>
    </row>
    <row r="15167" spans="11:14" x14ac:dyDescent="0.3">
      <c r="K15167" s="1">
        <v>42370</v>
      </c>
      <c r="M15167" t="e">
        <v>#N/A</v>
      </c>
      <c r="N15167" s="1">
        <v>42005</v>
      </c>
    </row>
    <row r="15168" spans="11:14" x14ac:dyDescent="0.3">
      <c r="K15168" s="1">
        <v>42370</v>
      </c>
      <c r="M15168" t="e">
        <v>#N/A</v>
      </c>
      <c r="N15168" s="1">
        <v>42005</v>
      </c>
    </row>
    <row r="15169" spans="11:14" x14ac:dyDescent="0.3">
      <c r="K15169" s="1">
        <v>42370</v>
      </c>
      <c r="M15169" t="e">
        <v>#N/A</v>
      </c>
      <c r="N15169" s="1">
        <v>42005</v>
      </c>
    </row>
    <row r="15170" spans="11:14" x14ac:dyDescent="0.3">
      <c r="K15170" s="1">
        <v>42370</v>
      </c>
      <c r="M15170" t="e">
        <v>#N/A</v>
      </c>
      <c r="N15170" s="1">
        <v>42005</v>
      </c>
    </row>
    <row r="15171" spans="11:14" x14ac:dyDescent="0.3">
      <c r="K15171" s="1">
        <v>42370</v>
      </c>
      <c r="M15171" t="e">
        <v>#N/A</v>
      </c>
      <c r="N15171" s="1">
        <v>42005</v>
      </c>
    </row>
    <row r="15172" spans="11:14" x14ac:dyDescent="0.3">
      <c r="K15172" s="1">
        <v>42370</v>
      </c>
      <c r="M15172" t="e">
        <v>#N/A</v>
      </c>
      <c r="N15172" s="1">
        <v>42005</v>
      </c>
    </row>
    <row r="15173" spans="11:14" x14ac:dyDescent="0.3">
      <c r="K15173" s="1">
        <v>42370</v>
      </c>
      <c r="M15173" t="e">
        <v>#N/A</v>
      </c>
      <c r="N15173" s="1">
        <v>42005</v>
      </c>
    </row>
    <row r="15174" spans="11:14" x14ac:dyDescent="0.3">
      <c r="K15174" s="1">
        <v>42370</v>
      </c>
      <c r="M15174" t="e">
        <v>#N/A</v>
      </c>
      <c r="N15174" s="1">
        <v>42005</v>
      </c>
    </row>
    <row r="15175" spans="11:14" x14ac:dyDescent="0.3">
      <c r="K15175" s="1">
        <v>42370</v>
      </c>
      <c r="M15175" t="e">
        <v>#N/A</v>
      </c>
      <c r="N15175" s="1">
        <v>42005</v>
      </c>
    </row>
    <row r="15176" spans="11:14" x14ac:dyDescent="0.3">
      <c r="K15176" s="1">
        <v>42370</v>
      </c>
      <c r="M15176" t="e">
        <v>#N/A</v>
      </c>
      <c r="N15176" s="1">
        <v>42005</v>
      </c>
    </row>
    <row r="15177" spans="11:14" x14ac:dyDescent="0.3">
      <c r="K15177" s="1">
        <v>42370</v>
      </c>
      <c r="M15177" t="e">
        <v>#N/A</v>
      </c>
      <c r="N15177" s="1">
        <v>42005</v>
      </c>
    </row>
    <row r="15178" spans="11:14" x14ac:dyDescent="0.3">
      <c r="K15178" s="1">
        <v>42370</v>
      </c>
      <c r="M15178" t="e">
        <v>#N/A</v>
      </c>
      <c r="N15178" s="1">
        <v>42005</v>
      </c>
    </row>
    <row r="15179" spans="11:14" x14ac:dyDescent="0.3">
      <c r="K15179" s="1">
        <v>42370</v>
      </c>
      <c r="M15179" t="e">
        <v>#N/A</v>
      </c>
      <c r="N15179" s="1">
        <v>42005</v>
      </c>
    </row>
    <row r="15180" spans="11:14" x14ac:dyDescent="0.3">
      <c r="K15180" s="1">
        <v>42370</v>
      </c>
      <c r="M15180" t="e">
        <v>#N/A</v>
      </c>
      <c r="N15180" s="1">
        <v>42005</v>
      </c>
    </row>
    <row r="15181" spans="11:14" x14ac:dyDescent="0.3">
      <c r="K15181" s="1">
        <v>42370</v>
      </c>
      <c r="M15181" t="e">
        <v>#N/A</v>
      </c>
      <c r="N15181" s="1">
        <v>42005</v>
      </c>
    </row>
    <row r="15182" spans="11:14" x14ac:dyDescent="0.3">
      <c r="K15182" s="1">
        <v>42370</v>
      </c>
      <c r="M15182" t="e">
        <v>#N/A</v>
      </c>
      <c r="N15182" s="1">
        <v>42005</v>
      </c>
    </row>
    <row r="15183" spans="11:14" x14ac:dyDescent="0.3">
      <c r="K15183" s="1">
        <v>42370</v>
      </c>
      <c r="M15183" t="e">
        <v>#N/A</v>
      </c>
      <c r="N15183" s="1">
        <v>42005</v>
      </c>
    </row>
    <row r="15184" spans="11:14" x14ac:dyDescent="0.3">
      <c r="K15184" s="1">
        <v>42370</v>
      </c>
      <c r="M15184" t="e">
        <v>#N/A</v>
      </c>
      <c r="N15184" s="1">
        <v>42005</v>
      </c>
    </row>
    <row r="15185" spans="11:14" x14ac:dyDescent="0.3">
      <c r="K15185" s="1">
        <v>42370</v>
      </c>
      <c r="M15185" t="e">
        <v>#N/A</v>
      </c>
      <c r="N15185" s="1">
        <v>42005</v>
      </c>
    </row>
    <row r="15186" spans="11:14" x14ac:dyDescent="0.3">
      <c r="K15186" s="1">
        <v>42370</v>
      </c>
      <c r="M15186" t="e">
        <v>#N/A</v>
      </c>
      <c r="N15186" s="1">
        <v>42005</v>
      </c>
    </row>
    <row r="15187" spans="11:14" x14ac:dyDescent="0.3">
      <c r="K15187" s="1">
        <v>42370</v>
      </c>
      <c r="M15187" t="e">
        <v>#N/A</v>
      </c>
      <c r="N15187" s="1">
        <v>42005</v>
      </c>
    </row>
    <row r="15188" spans="11:14" x14ac:dyDescent="0.3">
      <c r="K15188" s="1">
        <v>42370</v>
      </c>
      <c r="M15188" t="e">
        <v>#N/A</v>
      </c>
      <c r="N15188" s="1">
        <v>42005</v>
      </c>
    </row>
    <row r="15189" spans="11:14" x14ac:dyDescent="0.3">
      <c r="K15189" s="1">
        <v>42370</v>
      </c>
      <c r="M15189" t="e">
        <v>#N/A</v>
      </c>
      <c r="N15189" s="1">
        <v>42005</v>
      </c>
    </row>
    <row r="15190" spans="11:14" x14ac:dyDescent="0.3">
      <c r="K15190" s="1">
        <v>42370</v>
      </c>
      <c r="M15190" t="e">
        <v>#N/A</v>
      </c>
      <c r="N15190" s="1">
        <v>42005</v>
      </c>
    </row>
    <row r="15191" spans="11:14" x14ac:dyDescent="0.3">
      <c r="K15191" s="1">
        <v>42370</v>
      </c>
      <c r="M15191" t="e">
        <v>#N/A</v>
      </c>
      <c r="N15191" s="1">
        <v>42005</v>
      </c>
    </row>
    <row r="15192" spans="11:14" x14ac:dyDescent="0.3">
      <c r="K15192" s="1">
        <v>42370</v>
      </c>
      <c r="M15192" t="e">
        <v>#N/A</v>
      </c>
      <c r="N15192" s="1">
        <v>42005</v>
      </c>
    </row>
    <row r="15193" spans="11:14" x14ac:dyDescent="0.3">
      <c r="K15193" s="1">
        <v>42370</v>
      </c>
      <c r="M15193" t="e">
        <v>#N/A</v>
      </c>
      <c r="N15193" s="1">
        <v>42005</v>
      </c>
    </row>
    <row r="15194" spans="11:14" x14ac:dyDescent="0.3">
      <c r="K15194" s="1">
        <v>42370</v>
      </c>
      <c r="M15194" t="e">
        <v>#N/A</v>
      </c>
      <c r="N15194" s="1">
        <v>42005</v>
      </c>
    </row>
    <row r="15195" spans="11:14" x14ac:dyDescent="0.3">
      <c r="K15195" s="1">
        <v>42370</v>
      </c>
      <c r="M15195" t="e">
        <v>#N/A</v>
      </c>
      <c r="N15195" s="1">
        <v>42005</v>
      </c>
    </row>
    <row r="15196" spans="11:14" x14ac:dyDescent="0.3">
      <c r="K15196" s="1">
        <v>42370</v>
      </c>
      <c r="M15196" t="e">
        <v>#N/A</v>
      </c>
      <c r="N15196" s="1">
        <v>42005</v>
      </c>
    </row>
    <row r="15197" spans="11:14" x14ac:dyDescent="0.3">
      <c r="K15197" s="1">
        <v>42370</v>
      </c>
      <c r="M15197" t="e">
        <v>#N/A</v>
      </c>
      <c r="N15197" s="1">
        <v>42005</v>
      </c>
    </row>
    <row r="15198" spans="11:14" x14ac:dyDescent="0.3">
      <c r="K15198" s="1">
        <v>42370</v>
      </c>
      <c r="M15198" t="e">
        <v>#N/A</v>
      </c>
      <c r="N15198" s="1">
        <v>42005</v>
      </c>
    </row>
    <row r="15199" spans="11:14" x14ac:dyDescent="0.3">
      <c r="K15199" s="1">
        <v>42370</v>
      </c>
      <c r="M15199" t="e">
        <v>#N/A</v>
      </c>
      <c r="N15199" s="1">
        <v>42005</v>
      </c>
    </row>
    <row r="15200" spans="11:14" x14ac:dyDescent="0.3">
      <c r="K15200" s="1">
        <v>42370</v>
      </c>
      <c r="M15200" t="e">
        <v>#N/A</v>
      </c>
      <c r="N15200" s="1">
        <v>42005</v>
      </c>
    </row>
    <row r="15201" spans="11:14" x14ac:dyDescent="0.3">
      <c r="K15201" s="1">
        <v>42370</v>
      </c>
      <c r="M15201" t="e">
        <v>#N/A</v>
      </c>
      <c r="N15201" s="1">
        <v>42005</v>
      </c>
    </row>
    <row r="15202" spans="11:14" x14ac:dyDescent="0.3">
      <c r="K15202" s="1">
        <v>42370</v>
      </c>
      <c r="M15202" t="e">
        <v>#N/A</v>
      </c>
      <c r="N15202" s="1">
        <v>42005</v>
      </c>
    </row>
    <row r="15203" spans="11:14" x14ac:dyDescent="0.3">
      <c r="K15203" s="1">
        <v>42370</v>
      </c>
      <c r="M15203" t="e">
        <v>#N/A</v>
      </c>
      <c r="N15203" s="1">
        <v>42005</v>
      </c>
    </row>
    <row r="15204" spans="11:14" x14ac:dyDescent="0.3">
      <c r="K15204" s="1">
        <v>42370</v>
      </c>
      <c r="M15204" t="e">
        <v>#N/A</v>
      </c>
      <c r="N15204" s="1">
        <v>42005</v>
      </c>
    </row>
    <row r="15205" spans="11:14" x14ac:dyDescent="0.3">
      <c r="K15205" s="1">
        <v>42370</v>
      </c>
      <c r="M15205" t="e">
        <v>#N/A</v>
      </c>
      <c r="N15205" s="1">
        <v>42005</v>
      </c>
    </row>
    <row r="15206" spans="11:14" x14ac:dyDescent="0.3">
      <c r="K15206" s="1">
        <v>42370</v>
      </c>
      <c r="M15206" t="e">
        <v>#N/A</v>
      </c>
      <c r="N15206" s="1">
        <v>42005</v>
      </c>
    </row>
    <row r="15207" spans="11:14" x14ac:dyDescent="0.3">
      <c r="K15207" s="1">
        <v>42370</v>
      </c>
      <c r="M15207" t="e">
        <v>#N/A</v>
      </c>
      <c r="N15207" s="1">
        <v>42005</v>
      </c>
    </row>
    <row r="15208" spans="11:14" x14ac:dyDescent="0.3">
      <c r="K15208" s="1">
        <v>42370</v>
      </c>
      <c r="M15208" t="e">
        <v>#N/A</v>
      </c>
      <c r="N15208" s="1">
        <v>42005</v>
      </c>
    </row>
    <row r="15209" spans="11:14" x14ac:dyDescent="0.3">
      <c r="K15209" s="1">
        <v>42370</v>
      </c>
      <c r="M15209" t="e">
        <v>#N/A</v>
      </c>
      <c r="N15209" s="1">
        <v>42005</v>
      </c>
    </row>
    <row r="15210" spans="11:14" x14ac:dyDescent="0.3">
      <c r="K15210" s="1">
        <v>42370</v>
      </c>
      <c r="M15210" t="e">
        <v>#N/A</v>
      </c>
      <c r="N15210" s="1">
        <v>42005</v>
      </c>
    </row>
    <row r="15211" spans="11:14" x14ac:dyDescent="0.3">
      <c r="K15211" s="1">
        <v>42370</v>
      </c>
      <c r="M15211" t="e">
        <v>#N/A</v>
      </c>
      <c r="N15211" s="1">
        <v>42005</v>
      </c>
    </row>
    <row r="15212" spans="11:14" x14ac:dyDescent="0.3">
      <c r="K15212" s="1">
        <v>42370</v>
      </c>
      <c r="M15212" t="e">
        <v>#N/A</v>
      </c>
      <c r="N15212" s="1">
        <v>42005</v>
      </c>
    </row>
    <row r="15213" spans="11:14" x14ac:dyDescent="0.3">
      <c r="K15213" s="1">
        <v>42370</v>
      </c>
      <c r="M15213" t="e">
        <v>#N/A</v>
      </c>
      <c r="N15213" s="1">
        <v>42005</v>
      </c>
    </row>
    <row r="15214" spans="11:14" x14ac:dyDescent="0.3">
      <c r="K15214" s="1">
        <v>42370</v>
      </c>
      <c r="M15214" t="e">
        <v>#N/A</v>
      </c>
      <c r="N15214" s="1">
        <v>42005</v>
      </c>
    </row>
    <row r="15215" spans="11:14" x14ac:dyDescent="0.3">
      <c r="K15215" s="1">
        <v>42370</v>
      </c>
      <c r="M15215" t="e">
        <v>#N/A</v>
      </c>
      <c r="N15215" s="1">
        <v>42005</v>
      </c>
    </row>
    <row r="15216" spans="11:14" x14ac:dyDescent="0.3">
      <c r="K15216" s="1">
        <v>42370</v>
      </c>
      <c r="M15216" t="e">
        <v>#N/A</v>
      </c>
      <c r="N15216" s="1">
        <v>42005</v>
      </c>
    </row>
    <row r="15217" spans="11:14" x14ac:dyDescent="0.3">
      <c r="K15217" s="1">
        <v>42370</v>
      </c>
      <c r="M15217" t="e">
        <v>#N/A</v>
      </c>
      <c r="N15217" s="1">
        <v>42005</v>
      </c>
    </row>
    <row r="15218" spans="11:14" x14ac:dyDescent="0.3">
      <c r="K15218" s="1">
        <v>42370</v>
      </c>
      <c r="M15218" t="e">
        <v>#N/A</v>
      </c>
      <c r="N15218" s="1">
        <v>42005</v>
      </c>
    </row>
    <row r="15219" spans="11:14" x14ac:dyDescent="0.3">
      <c r="K15219" s="1">
        <v>42370</v>
      </c>
      <c r="M15219" t="e">
        <v>#N/A</v>
      </c>
      <c r="N15219" s="1">
        <v>42005</v>
      </c>
    </row>
    <row r="15220" spans="11:14" x14ac:dyDescent="0.3">
      <c r="K15220" s="1">
        <v>42370</v>
      </c>
      <c r="M15220" t="e">
        <v>#N/A</v>
      </c>
      <c r="N15220" s="1">
        <v>42005</v>
      </c>
    </row>
    <row r="15221" spans="11:14" x14ac:dyDescent="0.3">
      <c r="K15221" s="1">
        <v>42370</v>
      </c>
      <c r="M15221" t="e">
        <v>#N/A</v>
      </c>
      <c r="N15221" s="1">
        <v>42005</v>
      </c>
    </row>
    <row r="15222" spans="11:14" x14ac:dyDescent="0.3">
      <c r="K15222" s="1">
        <v>42370</v>
      </c>
      <c r="M15222" t="e">
        <v>#N/A</v>
      </c>
      <c r="N15222" s="1">
        <v>42005</v>
      </c>
    </row>
    <row r="15223" spans="11:14" x14ac:dyDescent="0.3">
      <c r="K15223" s="1">
        <v>42370</v>
      </c>
      <c r="M15223" t="e">
        <v>#N/A</v>
      </c>
      <c r="N15223" s="1">
        <v>42005</v>
      </c>
    </row>
    <row r="15224" spans="11:14" x14ac:dyDescent="0.3">
      <c r="K15224" s="1">
        <v>42370</v>
      </c>
      <c r="M15224" t="e">
        <v>#N/A</v>
      </c>
      <c r="N15224" s="1">
        <v>42005</v>
      </c>
    </row>
    <row r="15225" spans="11:14" x14ac:dyDescent="0.3">
      <c r="K15225" s="1">
        <v>42370</v>
      </c>
      <c r="M15225" t="e">
        <v>#N/A</v>
      </c>
      <c r="N15225" s="1">
        <v>42005</v>
      </c>
    </row>
    <row r="15226" spans="11:14" x14ac:dyDescent="0.3">
      <c r="K15226" s="1">
        <v>42370</v>
      </c>
      <c r="M15226" t="e">
        <v>#N/A</v>
      </c>
      <c r="N15226" s="1">
        <v>42005</v>
      </c>
    </row>
    <row r="15227" spans="11:14" x14ac:dyDescent="0.3">
      <c r="K15227" s="1">
        <v>42370</v>
      </c>
      <c r="M15227" t="e">
        <v>#N/A</v>
      </c>
      <c r="N15227" s="1">
        <v>42005</v>
      </c>
    </row>
    <row r="15228" spans="11:14" x14ac:dyDescent="0.3">
      <c r="K15228" s="1">
        <v>42370</v>
      </c>
      <c r="M15228" t="e">
        <v>#N/A</v>
      </c>
      <c r="N15228" s="1">
        <v>42005</v>
      </c>
    </row>
    <row r="15229" spans="11:14" x14ac:dyDescent="0.3">
      <c r="K15229" s="1">
        <v>42370</v>
      </c>
      <c r="M15229" t="e">
        <v>#N/A</v>
      </c>
      <c r="N15229" s="1">
        <v>42005</v>
      </c>
    </row>
    <row r="15230" spans="11:14" x14ac:dyDescent="0.3">
      <c r="K15230" s="1">
        <v>42370</v>
      </c>
      <c r="M15230" t="e">
        <v>#N/A</v>
      </c>
      <c r="N15230" s="1">
        <v>42005</v>
      </c>
    </row>
    <row r="15231" spans="11:14" x14ac:dyDescent="0.3">
      <c r="K15231" s="1">
        <v>42370</v>
      </c>
      <c r="M15231" t="e">
        <v>#N/A</v>
      </c>
      <c r="N15231" s="1">
        <v>42005</v>
      </c>
    </row>
    <row r="15232" spans="11:14" x14ac:dyDescent="0.3">
      <c r="K15232" s="1">
        <v>42370</v>
      </c>
      <c r="M15232" t="e">
        <v>#N/A</v>
      </c>
      <c r="N15232" s="1">
        <v>42005</v>
      </c>
    </row>
    <row r="15233" spans="11:14" x14ac:dyDescent="0.3">
      <c r="K15233" s="1">
        <v>42370</v>
      </c>
      <c r="M15233" t="e">
        <v>#N/A</v>
      </c>
      <c r="N15233" s="1">
        <v>42005</v>
      </c>
    </row>
    <row r="15234" spans="11:14" x14ac:dyDescent="0.3">
      <c r="K15234" s="1">
        <v>42370</v>
      </c>
      <c r="M15234" t="e">
        <v>#N/A</v>
      </c>
      <c r="N15234" s="1">
        <v>42005</v>
      </c>
    </row>
    <row r="15235" spans="11:14" x14ac:dyDescent="0.3">
      <c r="K15235" s="1">
        <v>42370</v>
      </c>
      <c r="M15235" t="e">
        <v>#N/A</v>
      </c>
      <c r="N15235" s="1">
        <v>42005</v>
      </c>
    </row>
    <row r="15236" spans="11:14" x14ac:dyDescent="0.3">
      <c r="K15236" s="1">
        <v>42370</v>
      </c>
      <c r="M15236" t="e">
        <v>#N/A</v>
      </c>
      <c r="N15236" s="1">
        <v>42005</v>
      </c>
    </row>
    <row r="15237" spans="11:14" x14ac:dyDescent="0.3">
      <c r="K15237" s="1">
        <v>42370</v>
      </c>
      <c r="M15237" t="e">
        <v>#N/A</v>
      </c>
      <c r="N15237" s="1">
        <v>42005</v>
      </c>
    </row>
    <row r="15238" spans="11:14" x14ac:dyDescent="0.3">
      <c r="K15238" s="1">
        <v>42370</v>
      </c>
      <c r="M15238" t="e">
        <v>#N/A</v>
      </c>
      <c r="N15238" s="1">
        <v>42005</v>
      </c>
    </row>
    <row r="15239" spans="11:14" x14ac:dyDescent="0.3">
      <c r="K15239" s="1">
        <v>42370</v>
      </c>
      <c r="M15239" t="e">
        <v>#N/A</v>
      </c>
      <c r="N15239" s="1">
        <v>42005</v>
      </c>
    </row>
    <row r="15240" spans="11:14" x14ac:dyDescent="0.3">
      <c r="K15240" s="1">
        <v>42370</v>
      </c>
      <c r="M15240" t="e">
        <v>#N/A</v>
      </c>
      <c r="N15240" s="1">
        <v>42005</v>
      </c>
    </row>
    <row r="15241" spans="11:14" x14ac:dyDescent="0.3">
      <c r="K15241" s="1">
        <v>42370</v>
      </c>
      <c r="M15241" t="e">
        <v>#N/A</v>
      </c>
      <c r="N15241" s="1">
        <v>42005</v>
      </c>
    </row>
    <row r="15242" spans="11:14" x14ac:dyDescent="0.3">
      <c r="K15242" s="1">
        <v>42370</v>
      </c>
      <c r="M15242" t="e">
        <v>#N/A</v>
      </c>
      <c r="N15242" s="1">
        <v>42005</v>
      </c>
    </row>
    <row r="15243" spans="11:14" x14ac:dyDescent="0.3">
      <c r="K15243" s="1">
        <v>42370</v>
      </c>
      <c r="M15243" t="e">
        <v>#N/A</v>
      </c>
      <c r="N15243" s="1">
        <v>42005</v>
      </c>
    </row>
    <row r="15244" spans="11:14" x14ac:dyDescent="0.3">
      <c r="K15244" s="1">
        <v>42370</v>
      </c>
      <c r="M15244" t="e">
        <v>#N/A</v>
      </c>
      <c r="N15244" s="1">
        <v>42005</v>
      </c>
    </row>
    <row r="15245" spans="11:14" x14ac:dyDescent="0.3">
      <c r="K15245" s="1">
        <v>42370</v>
      </c>
      <c r="M15245" t="e">
        <v>#N/A</v>
      </c>
      <c r="N15245" s="1">
        <v>42005</v>
      </c>
    </row>
    <row r="15246" spans="11:14" x14ac:dyDescent="0.3">
      <c r="K15246" s="1">
        <v>42370</v>
      </c>
      <c r="M15246" t="e">
        <v>#N/A</v>
      </c>
      <c r="N15246" s="1">
        <v>42005</v>
      </c>
    </row>
    <row r="15247" spans="11:14" x14ac:dyDescent="0.3">
      <c r="K15247" s="1">
        <v>42370</v>
      </c>
      <c r="M15247" t="e">
        <v>#N/A</v>
      </c>
      <c r="N15247" s="1">
        <v>42005</v>
      </c>
    </row>
    <row r="15248" spans="11:14" x14ac:dyDescent="0.3">
      <c r="K15248" s="1">
        <v>42370</v>
      </c>
      <c r="M15248" t="e">
        <v>#N/A</v>
      </c>
      <c r="N15248" s="1">
        <v>42005</v>
      </c>
    </row>
    <row r="15249" spans="11:14" x14ac:dyDescent="0.3">
      <c r="K15249" s="1">
        <v>42370</v>
      </c>
      <c r="M15249" t="e">
        <v>#N/A</v>
      </c>
      <c r="N15249" s="1">
        <v>42005</v>
      </c>
    </row>
    <row r="15250" spans="11:14" x14ac:dyDescent="0.3">
      <c r="K15250" s="1">
        <v>42370</v>
      </c>
      <c r="M15250" t="e">
        <v>#N/A</v>
      </c>
      <c r="N15250" s="1">
        <v>42005</v>
      </c>
    </row>
    <row r="15251" spans="11:14" x14ac:dyDescent="0.3">
      <c r="K15251" s="1">
        <v>42370</v>
      </c>
      <c r="M15251" t="e">
        <v>#N/A</v>
      </c>
      <c r="N15251" s="1">
        <v>42005</v>
      </c>
    </row>
    <row r="15252" spans="11:14" x14ac:dyDescent="0.3">
      <c r="K15252" s="1">
        <v>42370</v>
      </c>
      <c r="M15252" t="e">
        <v>#N/A</v>
      </c>
      <c r="N15252" s="1">
        <v>42005</v>
      </c>
    </row>
    <row r="15253" spans="11:14" x14ac:dyDescent="0.3">
      <c r="K15253" s="1">
        <v>42370</v>
      </c>
      <c r="M15253" t="e">
        <v>#N/A</v>
      </c>
      <c r="N15253" s="1">
        <v>42005</v>
      </c>
    </row>
    <row r="15254" spans="11:14" x14ac:dyDescent="0.3">
      <c r="K15254" s="1">
        <v>42370</v>
      </c>
      <c r="M15254" t="e">
        <v>#N/A</v>
      </c>
      <c r="N15254" s="1">
        <v>42005</v>
      </c>
    </row>
    <row r="15255" spans="11:14" x14ac:dyDescent="0.3">
      <c r="K15255" s="1">
        <v>42370</v>
      </c>
      <c r="M15255" t="e">
        <v>#N/A</v>
      </c>
      <c r="N15255" s="1">
        <v>42005</v>
      </c>
    </row>
    <row r="15256" spans="11:14" x14ac:dyDescent="0.3">
      <c r="K15256" s="1">
        <v>42370</v>
      </c>
      <c r="M15256" t="e">
        <v>#N/A</v>
      </c>
      <c r="N15256" s="1">
        <v>42005</v>
      </c>
    </row>
    <row r="15257" spans="11:14" x14ac:dyDescent="0.3">
      <c r="K15257" s="1">
        <v>42370</v>
      </c>
      <c r="M15257" t="e">
        <v>#N/A</v>
      </c>
      <c r="N15257" s="1">
        <v>42005</v>
      </c>
    </row>
    <row r="15258" spans="11:14" x14ac:dyDescent="0.3">
      <c r="K15258" s="1">
        <v>42370</v>
      </c>
      <c r="M15258" t="e">
        <v>#N/A</v>
      </c>
      <c r="N15258" s="1">
        <v>42005</v>
      </c>
    </row>
    <row r="15259" spans="11:14" x14ac:dyDescent="0.3">
      <c r="K15259" s="1">
        <v>42370</v>
      </c>
      <c r="M15259" t="e">
        <v>#N/A</v>
      </c>
      <c r="N15259" s="1">
        <v>42005</v>
      </c>
    </row>
    <row r="15260" spans="11:14" x14ac:dyDescent="0.3">
      <c r="K15260" s="1">
        <v>42370</v>
      </c>
      <c r="M15260" t="e">
        <v>#N/A</v>
      </c>
      <c r="N15260" s="1">
        <v>42005</v>
      </c>
    </row>
    <row r="15261" spans="11:14" x14ac:dyDescent="0.3">
      <c r="K15261" s="1">
        <v>42370</v>
      </c>
      <c r="M15261" t="e">
        <v>#N/A</v>
      </c>
      <c r="N15261" s="1">
        <v>42005</v>
      </c>
    </row>
    <row r="15262" spans="11:14" x14ac:dyDescent="0.3">
      <c r="K15262" s="1">
        <v>42370</v>
      </c>
      <c r="M15262" t="e">
        <v>#N/A</v>
      </c>
      <c r="N15262" s="1">
        <v>42005</v>
      </c>
    </row>
    <row r="15263" spans="11:14" x14ac:dyDescent="0.3">
      <c r="K15263" s="1">
        <v>42370</v>
      </c>
      <c r="M15263" t="e">
        <v>#N/A</v>
      </c>
      <c r="N15263" s="1">
        <v>42005</v>
      </c>
    </row>
    <row r="15264" spans="11:14" x14ac:dyDescent="0.3">
      <c r="K15264" s="1">
        <v>42370</v>
      </c>
      <c r="M15264" t="e">
        <v>#N/A</v>
      </c>
      <c r="N15264" s="1">
        <v>42005</v>
      </c>
    </row>
    <row r="15265" spans="11:14" x14ac:dyDescent="0.3">
      <c r="K15265" s="1">
        <v>42370</v>
      </c>
      <c r="M15265" t="e">
        <v>#N/A</v>
      </c>
      <c r="N15265" s="1">
        <v>42005</v>
      </c>
    </row>
    <row r="15266" spans="11:14" x14ac:dyDescent="0.3">
      <c r="K15266" s="1">
        <v>42370</v>
      </c>
      <c r="M15266" t="e">
        <v>#N/A</v>
      </c>
      <c r="N15266" s="1">
        <v>42005</v>
      </c>
    </row>
    <row r="15267" spans="11:14" x14ac:dyDescent="0.3">
      <c r="K15267" s="1">
        <v>42370</v>
      </c>
      <c r="M15267" t="e">
        <v>#N/A</v>
      </c>
      <c r="N15267" s="1">
        <v>42005</v>
      </c>
    </row>
    <row r="15268" spans="11:14" x14ac:dyDescent="0.3">
      <c r="K15268" s="1">
        <v>42370</v>
      </c>
      <c r="M15268" t="e">
        <v>#N/A</v>
      </c>
      <c r="N15268" s="1">
        <v>42005</v>
      </c>
    </row>
    <row r="15269" spans="11:14" x14ac:dyDescent="0.3">
      <c r="K15269" s="1">
        <v>42370</v>
      </c>
      <c r="M15269" t="e">
        <v>#N/A</v>
      </c>
      <c r="N15269" s="1">
        <v>42005</v>
      </c>
    </row>
    <row r="15270" spans="11:14" x14ac:dyDescent="0.3">
      <c r="K15270" s="1">
        <v>42370</v>
      </c>
      <c r="M15270" t="e">
        <v>#N/A</v>
      </c>
      <c r="N15270" s="1">
        <v>42005</v>
      </c>
    </row>
    <row r="15271" spans="11:14" x14ac:dyDescent="0.3">
      <c r="K15271" s="1">
        <v>42370</v>
      </c>
      <c r="M15271" t="e">
        <v>#N/A</v>
      </c>
      <c r="N15271" s="1">
        <v>42005</v>
      </c>
    </row>
    <row r="15272" spans="11:14" x14ac:dyDescent="0.3">
      <c r="K15272" s="1">
        <v>42370</v>
      </c>
      <c r="M15272" t="e">
        <v>#N/A</v>
      </c>
      <c r="N15272" s="1">
        <v>42005</v>
      </c>
    </row>
    <row r="15273" spans="11:14" x14ac:dyDescent="0.3">
      <c r="K15273" s="1">
        <v>42370</v>
      </c>
      <c r="M15273" t="e">
        <v>#N/A</v>
      </c>
      <c r="N15273" s="1">
        <v>42005</v>
      </c>
    </row>
    <row r="15274" spans="11:14" x14ac:dyDescent="0.3">
      <c r="K15274" s="1">
        <v>42370</v>
      </c>
      <c r="M15274" t="e">
        <v>#N/A</v>
      </c>
      <c r="N15274" s="1">
        <v>42005</v>
      </c>
    </row>
    <row r="15275" spans="11:14" x14ac:dyDescent="0.3">
      <c r="K15275" s="1">
        <v>42370</v>
      </c>
      <c r="M15275" t="e">
        <v>#N/A</v>
      </c>
      <c r="N15275" s="1">
        <v>42005</v>
      </c>
    </row>
    <row r="15276" spans="11:14" x14ac:dyDescent="0.3">
      <c r="K15276" s="1">
        <v>42370</v>
      </c>
      <c r="M15276" t="e">
        <v>#N/A</v>
      </c>
      <c r="N15276" s="1">
        <v>42005</v>
      </c>
    </row>
    <row r="15277" spans="11:14" x14ac:dyDescent="0.3">
      <c r="K15277" s="1">
        <v>42370</v>
      </c>
      <c r="M15277" t="e">
        <v>#N/A</v>
      </c>
      <c r="N15277" s="1">
        <v>42005</v>
      </c>
    </row>
    <row r="15278" spans="11:14" x14ac:dyDescent="0.3">
      <c r="K15278" s="1">
        <v>42370</v>
      </c>
      <c r="M15278" t="e">
        <v>#N/A</v>
      </c>
      <c r="N15278" s="1">
        <v>42005</v>
      </c>
    </row>
    <row r="15279" spans="11:14" x14ac:dyDescent="0.3">
      <c r="K15279" s="1">
        <v>42370</v>
      </c>
      <c r="M15279" t="e">
        <v>#N/A</v>
      </c>
      <c r="N15279" s="1">
        <v>42005</v>
      </c>
    </row>
    <row r="15280" spans="11:14" x14ac:dyDescent="0.3">
      <c r="K15280" s="1">
        <v>42370</v>
      </c>
      <c r="M15280" t="e">
        <v>#N/A</v>
      </c>
      <c r="N15280" s="1">
        <v>42005</v>
      </c>
    </row>
    <row r="15281" spans="11:14" x14ac:dyDescent="0.3">
      <c r="K15281" s="1">
        <v>42370</v>
      </c>
      <c r="M15281" t="e">
        <v>#N/A</v>
      </c>
      <c r="N15281" s="1">
        <v>42005</v>
      </c>
    </row>
    <row r="15282" spans="11:14" x14ac:dyDescent="0.3">
      <c r="K15282" s="1">
        <v>42370</v>
      </c>
      <c r="M15282" t="e">
        <v>#N/A</v>
      </c>
      <c r="N15282" s="1">
        <v>42005</v>
      </c>
    </row>
    <row r="15283" spans="11:14" x14ac:dyDescent="0.3">
      <c r="K15283" s="1">
        <v>42370</v>
      </c>
      <c r="M15283" t="e">
        <v>#N/A</v>
      </c>
      <c r="N15283" s="1">
        <v>42005</v>
      </c>
    </row>
    <row r="15284" spans="11:14" x14ac:dyDescent="0.3">
      <c r="K15284" s="1">
        <v>42370</v>
      </c>
      <c r="M15284" t="e">
        <v>#N/A</v>
      </c>
      <c r="N15284" s="1">
        <v>42005</v>
      </c>
    </row>
    <row r="15285" spans="11:14" x14ac:dyDescent="0.3">
      <c r="K15285" s="1">
        <v>42370</v>
      </c>
      <c r="M15285" t="e">
        <v>#N/A</v>
      </c>
      <c r="N15285" s="1">
        <v>42005</v>
      </c>
    </row>
    <row r="15286" spans="11:14" x14ac:dyDescent="0.3">
      <c r="K15286" s="1">
        <v>42370</v>
      </c>
      <c r="M15286" t="e">
        <v>#N/A</v>
      </c>
      <c r="N15286" s="1">
        <v>42005</v>
      </c>
    </row>
    <row r="15287" spans="11:14" x14ac:dyDescent="0.3">
      <c r="K15287" s="1">
        <v>42370</v>
      </c>
      <c r="M15287" t="e">
        <v>#N/A</v>
      </c>
      <c r="N15287" s="1">
        <v>42005</v>
      </c>
    </row>
    <row r="15288" spans="11:14" x14ac:dyDescent="0.3">
      <c r="K15288" s="1">
        <v>42370</v>
      </c>
      <c r="M15288" t="e">
        <v>#N/A</v>
      </c>
      <c r="N15288" s="1">
        <v>42005</v>
      </c>
    </row>
    <row r="15289" spans="11:14" x14ac:dyDescent="0.3">
      <c r="K15289" s="1">
        <v>42370</v>
      </c>
      <c r="M15289" t="e">
        <v>#N/A</v>
      </c>
      <c r="N15289" s="1">
        <v>42005</v>
      </c>
    </row>
    <row r="15290" spans="11:14" x14ac:dyDescent="0.3">
      <c r="K15290" s="1">
        <v>42370</v>
      </c>
      <c r="M15290" t="e">
        <v>#N/A</v>
      </c>
      <c r="N15290" s="1">
        <v>42005</v>
      </c>
    </row>
    <row r="15291" spans="11:14" x14ac:dyDescent="0.3">
      <c r="K15291" s="1">
        <v>42370</v>
      </c>
      <c r="M15291" t="e">
        <v>#N/A</v>
      </c>
      <c r="N15291" s="1">
        <v>42005</v>
      </c>
    </row>
    <row r="15292" spans="11:14" x14ac:dyDescent="0.3">
      <c r="K15292" s="1">
        <v>42370</v>
      </c>
      <c r="M15292" t="e">
        <v>#N/A</v>
      </c>
      <c r="N15292" s="1">
        <v>42005</v>
      </c>
    </row>
    <row r="15293" spans="11:14" x14ac:dyDescent="0.3">
      <c r="K15293" s="1">
        <v>42370</v>
      </c>
      <c r="M15293" t="e">
        <v>#N/A</v>
      </c>
      <c r="N15293" s="1">
        <v>42005</v>
      </c>
    </row>
    <row r="15294" spans="11:14" x14ac:dyDescent="0.3">
      <c r="K15294" s="1">
        <v>42370</v>
      </c>
      <c r="M15294" t="e">
        <v>#N/A</v>
      </c>
      <c r="N15294" s="1">
        <v>42005</v>
      </c>
    </row>
    <row r="15295" spans="11:14" x14ac:dyDescent="0.3">
      <c r="K15295" s="1">
        <v>42370</v>
      </c>
      <c r="M15295" t="e">
        <v>#N/A</v>
      </c>
      <c r="N15295" s="1">
        <v>42005</v>
      </c>
    </row>
    <row r="15296" spans="11:14" x14ac:dyDescent="0.3">
      <c r="K15296" s="1">
        <v>42370</v>
      </c>
      <c r="M15296" t="e">
        <v>#N/A</v>
      </c>
      <c r="N15296" s="1">
        <v>42005</v>
      </c>
    </row>
    <row r="15297" spans="11:14" x14ac:dyDescent="0.3">
      <c r="K15297" s="1">
        <v>42370</v>
      </c>
      <c r="M15297" t="e">
        <v>#N/A</v>
      </c>
      <c r="N15297" s="1">
        <v>42005</v>
      </c>
    </row>
    <row r="15298" spans="11:14" x14ac:dyDescent="0.3">
      <c r="K15298" s="1">
        <v>42370</v>
      </c>
      <c r="M15298" t="e">
        <v>#N/A</v>
      </c>
      <c r="N15298" s="1">
        <v>42005</v>
      </c>
    </row>
    <row r="15299" spans="11:14" x14ac:dyDescent="0.3">
      <c r="K15299" s="1">
        <v>42370</v>
      </c>
      <c r="M15299" t="e">
        <v>#N/A</v>
      </c>
      <c r="N15299" s="1">
        <v>42005</v>
      </c>
    </row>
    <row r="15300" spans="11:14" x14ac:dyDescent="0.3">
      <c r="K15300" s="1">
        <v>42370</v>
      </c>
      <c r="M15300" t="e">
        <v>#N/A</v>
      </c>
      <c r="N15300" s="1">
        <v>42005</v>
      </c>
    </row>
    <row r="15301" spans="11:14" x14ac:dyDescent="0.3">
      <c r="K15301" s="1">
        <v>42370</v>
      </c>
      <c r="M15301" t="e">
        <v>#N/A</v>
      </c>
      <c r="N15301" s="1">
        <v>42005</v>
      </c>
    </row>
    <row r="15302" spans="11:14" x14ac:dyDescent="0.3">
      <c r="K15302" s="1">
        <v>42370</v>
      </c>
      <c r="M15302" t="e">
        <v>#N/A</v>
      </c>
      <c r="N15302" s="1">
        <v>42005</v>
      </c>
    </row>
    <row r="15303" spans="11:14" x14ac:dyDescent="0.3">
      <c r="K15303" s="1">
        <v>42370</v>
      </c>
      <c r="M15303" t="e">
        <v>#N/A</v>
      </c>
      <c r="N15303" s="1">
        <v>42005</v>
      </c>
    </row>
    <row r="15304" spans="11:14" x14ac:dyDescent="0.3">
      <c r="K15304" s="1">
        <v>42370</v>
      </c>
      <c r="M15304" t="e">
        <v>#N/A</v>
      </c>
      <c r="N15304" s="1">
        <v>42005</v>
      </c>
    </row>
    <row r="15305" spans="11:14" x14ac:dyDescent="0.3">
      <c r="K15305" s="1">
        <v>42370</v>
      </c>
      <c r="M15305" t="e">
        <v>#N/A</v>
      </c>
      <c r="N15305" s="1">
        <v>42005</v>
      </c>
    </row>
    <row r="15306" spans="11:14" x14ac:dyDescent="0.3">
      <c r="K15306" s="1">
        <v>42370</v>
      </c>
      <c r="M15306" t="e">
        <v>#N/A</v>
      </c>
      <c r="N15306" s="1">
        <v>42005</v>
      </c>
    </row>
    <row r="15307" spans="11:14" x14ac:dyDescent="0.3">
      <c r="K15307" s="1">
        <v>42461</v>
      </c>
      <c r="M15307" t="e">
        <v>#N/A</v>
      </c>
      <c r="N15307" s="1">
        <v>42005</v>
      </c>
    </row>
    <row r="15308" spans="11:14" x14ac:dyDescent="0.3">
      <c r="K15308" s="1">
        <v>42461</v>
      </c>
      <c r="M15308" t="e">
        <v>#N/A</v>
      </c>
      <c r="N15308" s="1">
        <v>42005</v>
      </c>
    </row>
    <row r="15309" spans="11:14" x14ac:dyDescent="0.3">
      <c r="K15309" s="1">
        <v>42461</v>
      </c>
      <c r="M15309" t="e">
        <v>#N/A</v>
      </c>
      <c r="N15309" s="1">
        <v>42005</v>
      </c>
    </row>
    <row r="15310" spans="11:14" x14ac:dyDescent="0.3">
      <c r="K15310" s="1">
        <v>42461</v>
      </c>
      <c r="M15310" t="e">
        <v>#N/A</v>
      </c>
      <c r="N15310" s="1">
        <v>42005</v>
      </c>
    </row>
    <row r="15311" spans="11:14" x14ac:dyDescent="0.3">
      <c r="K15311" s="1">
        <v>42461</v>
      </c>
      <c r="M15311" t="e">
        <v>#N/A</v>
      </c>
      <c r="N15311" s="1">
        <v>42005</v>
      </c>
    </row>
    <row r="15312" spans="11:14" x14ac:dyDescent="0.3">
      <c r="K15312" s="1">
        <v>42461</v>
      </c>
      <c r="M15312" t="e">
        <v>#N/A</v>
      </c>
      <c r="N15312" s="1">
        <v>42005</v>
      </c>
    </row>
    <row r="15313" spans="11:14" x14ac:dyDescent="0.3">
      <c r="K15313" s="1">
        <v>42461</v>
      </c>
      <c r="M15313" t="e">
        <v>#N/A</v>
      </c>
      <c r="N15313" s="1">
        <v>42005</v>
      </c>
    </row>
    <row r="15314" spans="11:14" x14ac:dyDescent="0.3">
      <c r="K15314" s="1">
        <v>42461</v>
      </c>
      <c r="M15314" t="e">
        <v>#N/A</v>
      </c>
      <c r="N15314" s="1">
        <v>42005</v>
      </c>
    </row>
    <row r="15315" spans="11:14" x14ac:dyDescent="0.3">
      <c r="K15315" s="1">
        <v>42461</v>
      </c>
      <c r="M15315" t="e">
        <v>#N/A</v>
      </c>
      <c r="N15315" s="1">
        <v>42005</v>
      </c>
    </row>
    <row r="15316" spans="11:14" x14ac:dyDescent="0.3">
      <c r="K15316" s="1">
        <v>42461</v>
      </c>
      <c r="M15316" t="e">
        <v>#N/A</v>
      </c>
      <c r="N15316" s="1">
        <v>42005</v>
      </c>
    </row>
    <row r="15317" spans="11:14" x14ac:dyDescent="0.3">
      <c r="K15317" s="1">
        <v>42461</v>
      </c>
      <c r="M15317" t="e">
        <v>#N/A</v>
      </c>
      <c r="N15317" s="1">
        <v>42005</v>
      </c>
    </row>
    <row r="15318" spans="11:14" x14ac:dyDescent="0.3">
      <c r="K15318" s="1">
        <v>42461</v>
      </c>
      <c r="M15318" t="e">
        <v>#N/A</v>
      </c>
      <c r="N15318" s="1">
        <v>42005</v>
      </c>
    </row>
    <row r="15319" spans="11:14" x14ac:dyDescent="0.3">
      <c r="K15319" s="1">
        <v>42461</v>
      </c>
      <c r="M15319" t="e">
        <v>#N/A</v>
      </c>
      <c r="N15319" s="1">
        <v>42005</v>
      </c>
    </row>
    <row r="15320" spans="11:14" x14ac:dyDescent="0.3">
      <c r="K15320" s="1">
        <v>42461</v>
      </c>
      <c r="M15320" t="e">
        <v>#N/A</v>
      </c>
      <c r="N15320" s="1">
        <v>42005</v>
      </c>
    </row>
    <row r="15321" spans="11:14" x14ac:dyDescent="0.3">
      <c r="K15321" s="1">
        <v>42461</v>
      </c>
      <c r="M15321" t="e">
        <v>#N/A</v>
      </c>
      <c r="N15321" s="1">
        <v>42005</v>
      </c>
    </row>
    <row r="15322" spans="11:14" x14ac:dyDescent="0.3">
      <c r="K15322" s="1">
        <v>42461</v>
      </c>
      <c r="M15322" t="e">
        <v>#N/A</v>
      </c>
      <c r="N15322" s="1">
        <v>42005</v>
      </c>
    </row>
    <row r="15323" spans="11:14" x14ac:dyDescent="0.3">
      <c r="K15323" s="1">
        <v>42461</v>
      </c>
      <c r="M15323" t="e">
        <v>#N/A</v>
      </c>
      <c r="N15323" s="1">
        <v>42005</v>
      </c>
    </row>
    <row r="15324" spans="11:14" x14ac:dyDescent="0.3">
      <c r="K15324" s="1">
        <v>42461</v>
      </c>
      <c r="M15324" t="e">
        <v>#N/A</v>
      </c>
      <c r="N15324" s="1">
        <v>42005</v>
      </c>
    </row>
    <row r="15325" spans="11:14" x14ac:dyDescent="0.3">
      <c r="K15325" s="1">
        <v>42461</v>
      </c>
      <c r="M15325" t="e">
        <v>#N/A</v>
      </c>
      <c r="N15325" s="1">
        <v>42005</v>
      </c>
    </row>
    <row r="15326" spans="11:14" x14ac:dyDescent="0.3">
      <c r="K15326" s="1">
        <v>42461</v>
      </c>
      <c r="M15326" t="e">
        <v>#N/A</v>
      </c>
      <c r="N15326" s="1">
        <v>42005</v>
      </c>
    </row>
    <row r="15327" spans="11:14" x14ac:dyDescent="0.3">
      <c r="K15327" s="1">
        <v>42461</v>
      </c>
      <c r="M15327" t="e">
        <v>#N/A</v>
      </c>
      <c r="N15327" s="1">
        <v>42005</v>
      </c>
    </row>
    <row r="15328" spans="11:14" x14ac:dyDescent="0.3">
      <c r="K15328" s="1">
        <v>42461</v>
      </c>
      <c r="M15328" t="e">
        <v>#N/A</v>
      </c>
      <c r="N15328" s="1">
        <v>42005</v>
      </c>
    </row>
    <row r="15329" spans="11:14" x14ac:dyDescent="0.3">
      <c r="K15329" s="1">
        <v>42461</v>
      </c>
      <c r="M15329" t="e">
        <v>#N/A</v>
      </c>
      <c r="N15329" s="1">
        <v>42005</v>
      </c>
    </row>
    <row r="15330" spans="11:14" x14ac:dyDescent="0.3">
      <c r="K15330" s="1">
        <v>42461</v>
      </c>
      <c r="M15330" t="e">
        <v>#N/A</v>
      </c>
      <c r="N15330" s="1">
        <v>42005</v>
      </c>
    </row>
    <row r="15331" spans="11:14" x14ac:dyDescent="0.3">
      <c r="K15331" s="1">
        <v>42461</v>
      </c>
      <c r="M15331" t="e">
        <v>#N/A</v>
      </c>
      <c r="N15331" s="1">
        <v>42005</v>
      </c>
    </row>
    <row r="15332" spans="11:14" x14ac:dyDescent="0.3">
      <c r="K15332" s="1">
        <v>42461</v>
      </c>
      <c r="M15332" t="e">
        <v>#N/A</v>
      </c>
      <c r="N15332" s="1">
        <v>42005</v>
      </c>
    </row>
    <row r="15333" spans="11:14" x14ac:dyDescent="0.3">
      <c r="K15333" s="1">
        <v>42461</v>
      </c>
      <c r="M15333" t="e">
        <v>#N/A</v>
      </c>
      <c r="N15333" s="1">
        <v>42005</v>
      </c>
    </row>
    <row r="15334" spans="11:14" x14ac:dyDescent="0.3">
      <c r="K15334" s="1">
        <v>42461</v>
      </c>
      <c r="M15334" t="e">
        <v>#N/A</v>
      </c>
      <c r="N15334" s="1">
        <v>42005</v>
      </c>
    </row>
    <row r="15335" spans="11:14" x14ac:dyDescent="0.3">
      <c r="K15335" s="1">
        <v>42461</v>
      </c>
      <c r="M15335" t="e">
        <v>#N/A</v>
      </c>
      <c r="N15335" s="1">
        <v>42005</v>
      </c>
    </row>
    <row r="15336" spans="11:14" x14ac:dyDescent="0.3">
      <c r="K15336" s="1">
        <v>42461</v>
      </c>
      <c r="M15336" t="e">
        <v>#N/A</v>
      </c>
      <c r="N15336" s="1">
        <v>42005</v>
      </c>
    </row>
    <row r="15337" spans="11:14" x14ac:dyDescent="0.3">
      <c r="K15337" s="1">
        <v>42461</v>
      </c>
      <c r="M15337" t="e">
        <v>#N/A</v>
      </c>
      <c r="N15337" s="1">
        <v>42005</v>
      </c>
    </row>
    <row r="15338" spans="11:14" x14ac:dyDescent="0.3">
      <c r="K15338" s="1">
        <v>42461</v>
      </c>
      <c r="M15338" t="e">
        <v>#N/A</v>
      </c>
      <c r="N15338" s="1">
        <v>42005</v>
      </c>
    </row>
    <row r="15339" spans="11:14" x14ac:dyDescent="0.3">
      <c r="K15339" s="1">
        <v>42461</v>
      </c>
      <c r="M15339" t="e">
        <v>#N/A</v>
      </c>
      <c r="N15339" s="1">
        <v>42005</v>
      </c>
    </row>
    <row r="15340" spans="11:14" x14ac:dyDescent="0.3">
      <c r="K15340" s="1">
        <v>42461</v>
      </c>
      <c r="M15340" t="e">
        <v>#N/A</v>
      </c>
      <c r="N15340" s="1">
        <v>42005</v>
      </c>
    </row>
    <row r="15341" spans="11:14" x14ac:dyDescent="0.3">
      <c r="K15341" s="1">
        <v>42461</v>
      </c>
      <c r="M15341" t="e">
        <v>#N/A</v>
      </c>
      <c r="N15341" s="1">
        <v>42005</v>
      </c>
    </row>
    <row r="15342" spans="11:14" x14ac:dyDescent="0.3">
      <c r="K15342" s="1">
        <v>42461</v>
      </c>
      <c r="M15342" t="e">
        <v>#N/A</v>
      </c>
      <c r="N15342" s="1">
        <v>42005</v>
      </c>
    </row>
    <row r="15343" spans="11:14" x14ac:dyDescent="0.3">
      <c r="K15343" s="1">
        <v>42461</v>
      </c>
      <c r="M15343" t="e">
        <v>#N/A</v>
      </c>
      <c r="N15343" s="1">
        <v>42005</v>
      </c>
    </row>
    <row r="15344" spans="11:14" x14ac:dyDescent="0.3">
      <c r="K15344" s="1">
        <v>42461</v>
      </c>
      <c r="M15344" t="e">
        <v>#N/A</v>
      </c>
      <c r="N15344" s="1">
        <v>42005</v>
      </c>
    </row>
    <row r="15345" spans="11:14" x14ac:dyDescent="0.3">
      <c r="K15345" s="1">
        <v>42461</v>
      </c>
      <c r="M15345" t="e">
        <v>#N/A</v>
      </c>
      <c r="N15345" s="1">
        <v>42005</v>
      </c>
    </row>
    <row r="15346" spans="11:14" x14ac:dyDescent="0.3">
      <c r="K15346" s="1">
        <v>42461</v>
      </c>
      <c r="M15346" t="e">
        <v>#N/A</v>
      </c>
      <c r="N15346" s="1">
        <v>42005</v>
      </c>
    </row>
    <row r="15347" spans="11:14" x14ac:dyDescent="0.3">
      <c r="K15347" s="1">
        <v>42461</v>
      </c>
      <c r="M15347" t="e">
        <v>#N/A</v>
      </c>
      <c r="N15347" s="1">
        <v>42005</v>
      </c>
    </row>
    <row r="15348" spans="11:14" x14ac:dyDescent="0.3">
      <c r="K15348" s="1">
        <v>42461</v>
      </c>
      <c r="M15348" t="e">
        <v>#N/A</v>
      </c>
      <c r="N15348" s="1">
        <v>42005</v>
      </c>
    </row>
    <row r="15349" spans="11:14" x14ac:dyDescent="0.3">
      <c r="K15349" s="1">
        <v>42461</v>
      </c>
      <c r="M15349" t="e">
        <v>#N/A</v>
      </c>
      <c r="N15349" s="1">
        <v>42005</v>
      </c>
    </row>
    <row r="15350" spans="11:14" x14ac:dyDescent="0.3">
      <c r="K15350" s="1">
        <v>42461</v>
      </c>
      <c r="M15350" t="e">
        <v>#N/A</v>
      </c>
      <c r="N15350" s="1">
        <v>42005</v>
      </c>
    </row>
    <row r="15351" spans="11:14" x14ac:dyDescent="0.3">
      <c r="K15351" s="1">
        <v>42461</v>
      </c>
      <c r="M15351" t="e">
        <v>#N/A</v>
      </c>
      <c r="N15351" s="1">
        <v>42005</v>
      </c>
    </row>
    <row r="15352" spans="11:14" x14ac:dyDescent="0.3">
      <c r="K15352" s="1">
        <v>42461</v>
      </c>
      <c r="M15352" t="e">
        <v>#N/A</v>
      </c>
      <c r="N15352" s="1">
        <v>42005</v>
      </c>
    </row>
    <row r="15353" spans="11:14" x14ac:dyDescent="0.3">
      <c r="K15353" s="1">
        <v>42461</v>
      </c>
      <c r="M15353" t="e">
        <v>#N/A</v>
      </c>
      <c r="N15353" s="1">
        <v>42005</v>
      </c>
    </row>
    <row r="15354" spans="11:14" x14ac:dyDescent="0.3">
      <c r="K15354" s="1">
        <v>42461</v>
      </c>
      <c r="M15354" t="e">
        <v>#N/A</v>
      </c>
      <c r="N15354" s="1">
        <v>42005</v>
      </c>
    </row>
    <row r="15355" spans="11:14" x14ac:dyDescent="0.3">
      <c r="K15355" s="1">
        <v>42461</v>
      </c>
      <c r="M15355" t="e">
        <v>#N/A</v>
      </c>
      <c r="N15355" s="1">
        <v>42005</v>
      </c>
    </row>
    <row r="15356" spans="11:14" x14ac:dyDescent="0.3">
      <c r="K15356" s="1">
        <v>42461</v>
      </c>
      <c r="M15356" t="e">
        <v>#N/A</v>
      </c>
      <c r="N15356" s="1">
        <v>42005</v>
      </c>
    </row>
    <row r="15357" spans="11:14" x14ac:dyDescent="0.3">
      <c r="K15357" s="1">
        <v>42461</v>
      </c>
      <c r="M15357" t="e">
        <v>#N/A</v>
      </c>
      <c r="N15357" s="1">
        <v>42005</v>
      </c>
    </row>
    <row r="15358" spans="11:14" x14ac:dyDescent="0.3">
      <c r="K15358" s="1">
        <v>42461</v>
      </c>
      <c r="M15358" t="e">
        <v>#N/A</v>
      </c>
      <c r="N15358" s="1">
        <v>42005</v>
      </c>
    </row>
    <row r="15359" spans="11:14" x14ac:dyDescent="0.3">
      <c r="K15359" s="1">
        <v>42461</v>
      </c>
      <c r="M15359" t="e">
        <v>#N/A</v>
      </c>
      <c r="N15359" s="1">
        <v>42005</v>
      </c>
    </row>
    <row r="15360" spans="11:14" x14ac:dyDescent="0.3">
      <c r="K15360" s="1">
        <v>42461</v>
      </c>
      <c r="M15360" t="e">
        <v>#N/A</v>
      </c>
      <c r="N15360" s="1">
        <v>42005</v>
      </c>
    </row>
    <row r="15361" spans="11:14" x14ac:dyDescent="0.3">
      <c r="K15361" s="1">
        <v>42461</v>
      </c>
      <c r="M15361" t="e">
        <v>#N/A</v>
      </c>
      <c r="N15361" s="1">
        <v>42005</v>
      </c>
    </row>
    <row r="15362" spans="11:14" x14ac:dyDescent="0.3">
      <c r="K15362" s="1">
        <v>42461</v>
      </c>
      <c r="M15362" t="e">
        <v>#N/A</v>
      </c>
      <c r="N15362" s="1">
        <v>42005</v>
      </c>
    </row>
    <row r="15363" spans="11:14" x14ac:dyDescent="0.3">
      <c r="K15363" s="1">
        <v>42461</v>
      </c>
      <c r="M15363" t="e">
        <v>#N/A</v>
      </c>
      <c r="N15363" s="1">
        <v>42005</v>
      </c>
    </row>
    <row r="15364" spans="11:14" x14ac:dyDescent="0.3">
      <c r="K15364" s="1">
        <v>42461</v>
      </c>
      <c r="M15364" t="e">
        <v>#N/A</v>
      </c>
      <c r="N15364" s="1">
        <v>42005</v>
      </c>
    </row>
    <row r="15365" spans="11:14" x14ac:dyDescent="0.3">
      <c r="K15365" s="1">
        <v>42461</v>
      </c>
      <c r="M15365" t="e">
        <v>#N/A</v>
      </c>
      <c r="N15365" s="1">
        <v>42005</v>
      </c>
    </row>
    <row r="15366" spans="11:14" x14ac:dyDescent="0.3">
      <c r="K15366" s="1">
        <v>42461</v>
      </c>
      <c r="M15366" t="e">
        <v>#N/A</v>
      </c>
      <c r="N15366" s="1">
        <v>42005</v>
      </c>
    </row>
    <row r="15367" spans="11:14" x14ac:dyDescent="0.3">
      <c r="K15367" s="1">
        <v>42461</v>
      </c>
      <c r="M15367" t="e">
        <v>#N/A</v>
      </c>
      <c r="N15367" s="1">
        <v>42005</v>
      </c>
    </row>
    <row r="15368" spans="11:14" x14ac:dyDescent="0.3">
      <c r="K15368" s="1">
        <v>42461</v>
      </c>
      <c r="M15368" t="e">
        <v>#N/A</v>
      </c>
      <c r="N15368" s="1">
        <v>42005</v>
      </c>
    </row>
    <row r="15369" spans="11:14" x14ac:dyDescent="0.3">
      <c r="K15369" s="1">
        <v>42461</v>
      </c>
      <c r="M15369" t="e">
        <v>#N/A</v>
      </c>
      <c r="N15369" s="1">
        <v>42005</v>
      </c>
    </row>
    <row r="15370" spans="11:14" x14ac:dyDescent="0.3">
      <c r="K15370" s="1">
        <v>42461</v>
      </c>
      <c r="M15370" t="e">
        <v>#N/A</v>
      </c>
      <c r="N15370" s="1">
        <v>42005</v>
      </c>
    </row>
    <row r="15371" spans="11:14" x14ac:dyDescent="0.3">
      <c r="K15371" s="1">
        <v>42461</v>
      </c>
      <c r="M15371" t="e">
        <v>#N/A</v>
      </c>
      <c r="N15371" s="1">
        <v>42005</v>
      </c>
    </row>
    <row r="15372" spans="11:14" x14ac:dyDescent="0.3">
      <c r="K15372" s="1">
        <v>42461</v>
      </c>
      <c r="M15372" t="e">
        <v>#N/A</v>
      </c>
      <c r="N15372" s="1">
        <v>42005</v>
      </c>
    </row>
    <row r="15373" spans="11:14" x14ac:dyDescent="0.3">
      <c r="K15373" s="1">
        <v>42461</v>
      </c>
      <c r="M15373" t="e">
        <v>#N/A</v>
      </c>
      <c r="N15373" s="1">
        <v>42005</v>
      </c>
    </row>
    <row r="15374" spans="11:14" x14ac:dyDescent="0.3">
      <c r="K15374" s="1">
        <v>42461</v>
      </c>
      <c r="M15374" t="e">
        <v>#N/A</v>
      </c>
      <c r="N15374" s="1">
        <v>42005</v>
      </c>
    </row>
    <row r="15375" spans="11:14" x14ac:dyDescent="0.3">
      <c r="K15375" s="1">
        <v>42461</v>
      </c>
      <c r="M15375" t="e">
        <v>#N/A</v>
      </c>
      <c r="N15375" s="1">
        <v>42005</v>
      </c>
    </row>
    <row r="15376" spans="11:14" x14ac:dyDescent="0.3">
      <c r="K15376" s="1">
        <v>42461</v>
      </c>
      <c r="M15376" t="e">
        <v>#N/A</v>
      </c>
      <c r="N15376" s="1">
        <v>42005</v>
      </c>
    </row>
    <row r="15377" spans="11:14" x14ac:dyDescent="0.3">
      <c r="K15377" s="1">
        <v>42461</v>
      </c>
      <c r="M15377" t="e">
        <v>#N/A</v>
      </c>
      <c r="N15377" s="1">
        <v>42005</v>
      </c>
    </row>
    <row r="15378" spans="11:14" x14ac:dyDescent="0.3">
      <c r="K15378" s="1">
        <v>42461</v>
      </c>
      <c r="M15378" t="e">
        <v>#N/A</v>
      </c>
      <c r="N15378" s="1">
        <v>42005</v>
      </c>
    </row>
    <row r="15379" spans="11:14" x14ac:dyDescent="0.3">
      <c r="K15379" s="1">
        <v>42461</v>
      </c>
      <c r="M15379" t="e">
        <v>#N/A</v>
      </c>
      <c r="N15379" s="1">
        <v>42005</v>
      </c>
    </row>
    <row r="15380" spans="11:14" x14ac:dyDescent="0.3">
      <c r="K15380" s="1">
        <v>42461</v>
      </c>
      <c r="M15380" t="e">
        <v>#N/A</v>
      </c>
      <c r="N15380" s="1">
        <v>42005</v>
      </c>
    </row>
    <row r="15381" spans="11:14" x14ac:dyDescent="0.3">
      <c r="K15381" s="1">
        <v>42461</v>
      </c>
      <c r="M15381" t="e">
        <v>#N/A</v>
      </c>
      <c r="N15381" s="1">
        <v>42005</v>
      </c>
    </row>
    <row r="15382" spans="11:14" x14ac:dyDescent="0.3">
      <c r="K15382" s="1">
        <v>42461</v>
      </c>
      <c r="M15382" t="e">
        <v>#N/A</v>
      </c>
      <c r="N15382" s="1">
        <v>42005</v>
      </c>
    </row>
    <row r="15383" spans="11:14" x14ac:dyDescent="0.3">
      <c r="K15383" s="1">
        <v>42461</v>
      </c>
      <c r="M15383" t="e">
        <v>#N/A</v>
      </c>
      <c r="N15383" s="1">
        <v>42005</v>
      </c>
    </row>
    <row r="15384" spans="11:14" x14ac:dyDescent="0.3">
      <c r="K15384" s="1">
        <v>42461</v>
      </c>
      <c r="M15384" t="e">
        <v>#N/A</v>
      </c>
      <c r="N15384" s="1">
        <v>42005</v>
      </c>
    </row>
    <row r="15385" spans="11:14" x14ac:dyDescent="0.3">
      <c r="K15385" s="1">
        <v>42461</v>
      </c>
      <c r="M15385" t="e">
        <v>#N/A</v>
      </c>
      <c r="N15385" s="1">
        <v>42005</v>
      </c>
    </row>
    <row r="15386" spans="11:14" x14ac:dyDescent="0.3">
      <c r="K15386" s="1">
        <v>42461</v>
      </c>
      <c r="M15386" t="e">
        <v>#N/A</v>
      </c>
      <c r="N15386" s="1">
        <v>42005</v>
      </c>
    </row>
    <row r="15387" spans="11:14" x14ac:dyDescent="0.3">
      <c r="K15387" s="1">
        <v>42461</v>
      </c>
      <c r="M15387" t="e">
        <v>#N/A</v>
      </c>
      <c r="N15387" s="1">
        <v>42005</v>
      </c>
    </row>
    <row r="15388" spans="11:14" x14ac:dyDescent="0.3">
      <c r="K15388" s="1">
        <v>42461</v>
      </c>
      <c r="M15388" t="e">
        <v>#N/A</v>
      </c>
      <c r="N15388" s="1">
        <v>42005</v>
      </c>
    </row>
    <row r="15389" spans="11:14" x14ac:dyDescent="0.3">
      <c r="K15389" s="1">
        <v>42461</v>
      </c>
      <c r="M15389" t="e">
        <v>#N/A</v>
      </c>
      <c r="N15389" s="1">
        <v>42005</v>
      </c>
    </row>
    <row r="15390" spans="11:14" x14ac:dyDescent="0.3">
      <c r="K15390" s="1">
        <v>42461</v>
      </c>
      <c r="M15390" t="e">
        <v>#N/A</v>
      </c>
      <c r="N15390" s="1">
        <v>42005</v>
      </c>
    </row>
    <row r="15391" spans="11:14" x14ac:dyDescent="0.3">
      <c r="K15391" s="1">
        <v>42461</v>
      </c>
      <c r="M15391" t="e">
        <v>#N/A</v>
      </c>
      <c r="N15391" s="1">
        <v>42005</v>
      </c>
    </row>
    <row r="15392" spans="11:14" x14ac:dyDescent="0.3">
      <c r="K15392" s="1">
        <v>42461</v>
      </c>
      <c r="M15392" t="e">
        <v>#N/A</v>
      </c>
      <c r="N15392" s="1">
        <v>42005</v>
      </c>
    </row>
    <row r="15393" spans="11:14" x14ac:dyDescent="0.3">
      <c r="K15393" s="1">
        <v>42461</v>
      </c>
      <c r="M15393" t="e">
        <v>#N/A</v>
      </c>
      <c r="N15393" s="1">
        <v>42005</v>
      </c>
    </row>
    <row r="15394" spans="11:14" x14ac:dyDescent="0.3">
      <c r="K15394" s="1">
        <v>42461</v>
      </c>
      <c r="M15394" t="e">
        <v>#N/A</v>
      </c>
      <c r="N15394" s="1">
        <v>42005</v>
      </c>
    </row>
    <row r="15395" spans="11:14" x14ac:dyDescent="0.3">
      <c r="K15395" s="1">
        <v>42461</v>
      </c>
      <c r="M15395" t="e">
        <v>#N/A</v>
      </c>
      <c r="N15395" s="1">
        <v>42005</v>
      </c>
    </row>
    <row r="15396" spans="11:14" x14ac:dyDescent="0.3">
      <c r="K15396" s="1">
        <v>42461</v>
      </c>
      <c r="M15396" t="e">
        <v>#N/A</v>
      </c>
      <c r="N15396" s="1">
        <v>42005</v>
      </c>
    </row>
    <row r="15397" spans="11:14" x14ac:dyDescent="0.3">
      <c r="K15397" s="1">
        <v>42461</v>
      </c>
      <c r="M15397" t="e">
        <v>#N/A</v>
      </c>
      <c r="N15397" s="1">
        <v>42005</v>
      </c>
    </row>
    <row r="15398" spans="11:14" x14ac:dyDescent="0.3">
      <c r="K15398" s="1">
        <v>42461</v>
      </c>
      <c r="M15398" t="e">
        <v>#N/A</v>
      </c>
      <c r="N15398" s="1">
        <v>42005</v>
      </c>
    </row>
    <row r="15399" spans="11:14" x14ac:dyDescent="0.3">
      <c r="K15399" s="1">
        <v>42461</v>
      </c>
      <c r="M15399" t="e">
        <v>#N/A</v>
      </c>
      <c r="N15399" s="1">
        <v>42005</v>
      </c>
    </row>
    <row r="15400" spans="11:14" x14ac:dyDescent="0.3">
      <c r="K15400" s="1">
        <v>42461</v>
      </c>
      <c r="M15400" t="e">
        <v>#N/A</v>
      </c>
      <c r="N15400" s="1">
        <v>42005</v>
      </c>
    </row>
    <row r="15401" spans="11:14" x14ac:dyDescent="0.3">
      <c r="K15401" s="1">
        <v>42461</v>
      </c>
      <c r="M15401" t="e">
        <v>#N/A</v>
      </c>
      <c r="N15401" s="1">
        <v>42005</v>
      </c>
    </row>
    <row r="15402" spans="11:14" x14ac:dyDescent="0.3">
      <c r="K15402" s="1">
        <v>42461</v>
      </c>
      <c r="M15402" t="e">
        <v>#N/A</v>
      </c>
      <c r="N15402" s="1">
        <v>42005</v>
      </c>
    </row>
    <row r="15403" spans="11:14" x14ac:dyDescent="0.3">
      <c r="K15403" s="1">
        <v>42461</v>
      </c>
      <c r="M15403" t="e">
        <v>#N/A</v>
      </c>
      <c r="N15403" s="1">
        <v>42005</v>
      </c>
    </row>
    <row r="15404" spans="11:14" x14ac:dyDescent="0.3">
      <c r="K15404" s="1">
        <v>42461</v>
      </c>
      <c r="M15404" t="e">
        <v>#N/A</v>
      </c>
      <c r="N15404" s="1">
        <v>42005</v>
      </c>
    </row>
    <row r="15405" spans="11:14" x14ac:dyDescent="0.3">
      <c r="K15405" s="1">
        <v>42461</v>
      </c>
      <c r="M15405" t="e">
        <v>#N/A</v>
      </c>
      <c r="N15405" s="1">
        <v>42005</v>
      </c>
    </row>
    <row r="15406" spans="11:14" x14ac:dyDescent="0.3">
      <c r="K15406" s="1">
        <v>42461</v>
      </c>
      <c r="M15406" t="e">
        <v>#N/A</v>
      </c>
      <c r="N15406" s="1">
        <v>42005</v>
      </c>
    </row>
    <row r="15407" spans="11:14" x14ac:dyDescent="0.3">
      <c r="K15407" s="1">
        <v>42461</v>
      </c>
      <c r="M15407" t="e">
        <v>#N/A</v>
      </c>
      <c r="N15407" s="1">
        <v>42005</v>
      </c>
    </row>
    <row r="15408" spans="11:14" x14ac:dyDescent="0.3">
      <c r="K15408" s="1">
        <v>42461</v>
      </c>
      <c r="M15408" t="e">
        <v>#N/A</v>
      </c>
      <c r="N15408" s="1">
        <v>42005</v>
      </c>
    </row>
    <row r="15409" spans="11:14" x14ac:dyDescent="0.3">
      <c r="K15409" s="1">
        <v>42461</v>
      </c>
      <c r="M15409" t="e">
        <v>#N/A</v>
      </c>
      <c r="N15409" s="1">
        <v>42005</v>
      </c>
    </row>
    <row r="15410" spans="11:14" x14ac:dyDescent="0.3">
      <c r="K15410" s="1">
        <v>42461</v>
      </c>
      <c r="M15410" t="e">
        <v>#N/A</v>
      </c>
      <c r="N15410" s="1">
        <v>42005</v>
      </c>
    </row>
    <row r="15411" spans="11:14" x14ac:dyDescent="0.3">
      <c r="K15411" s="1">
        <v>42461</v>
      </c>
      <c r="M15411" t="e">
        <v>#N/A</v>
      </c>
      <c r="N15411" s="1">
        <v>42005</v>
      </c>
    </row>
    <row r="15412" spans="11:14" x14ac:dyDescent="0.3">
      <c r="K15412" s="1">
        <v>42461</v>
      </c>
      <c r="M15412" t="e">
        <v>#N/A</v>
      </c>
      <c r="N15412" s="1">
        <v>42005</v>
      </c>
    </row>
    <row r="15413" spans="11:14" x14ac:dyDescent="0.3">
      <c r="K15413" s="1">
        <v>42461</v>
      </c>
      <c r="M15413" t="e">
        <v>#N/A</v>
      </c>
      <c r="N15413" s="1">
        <v>42005</v>
      </c>
    </row>
    <row r="15414" spans="11:14" x14ac:dyDescent="0.3">
      <c r="K15414" s="1">
        <v>42461</v>
      </c>
      <c r="M15414" t="e">
        <v>#N/A</v>
      </c>
      <c r="N15414" s="1">
        <v>42005</v>
      </c>
    </row>
    <row r="15415" spans="11:14" x14ac:dyDescent="0.3">
      <c r="K15415" s="1">
        <v>42461</v>
      </c>
      <c r="M15415" t="e">
        <v>#N/A</v>
      </c>
      <c r="N15415" s="1">
        <v>42095</v>
      </c>
    </row>
    <row r="15416" spans="11:14" x14ac:dyDescent="0.3">
      <c r="K15416" s="1">
        <v>42461</v>
      </c>
      <c r="M15416" t="e">
        <v>#N/A</v>
      </c>
      <c r="N15416" s="1">
        <v>42095</v>
      </c>
    </row>
    <row r="15417" spans="11:14" x14ac:dyDescent="0.3">
      <c r="K15417" s="1">
        <v>42461</v>
      </c>
      <c r="M15417" t="e">
        <v>#N/A</v>
      </c>
      <c r="N15417" s="1">
        <v>42095</v>
      </c>
    </row>
    <row r="15418" spans="11:14" x14ac:dyDescent="0.3">
      <c r="K15418" s="1">
        <v>42461</v>
      </c>
      <c r="M15418" t="e">
        <v>#N/A</v>
      </c>
      <c r="N15418" s="1">
        <v>42095</v>
      </c>
    </row>
    <row r="15419" spans="11:14" x14ac:dyDescent="0.3">
      <c r="K15419" s="1">
        <v>42461</v>
      </c>
      <c r="M15419" t="e">
        <v>#N/A</v>
      </c>
      <c r="N15419" s="1">
        <v>42095</v>
      </c>
    </row>
    <row r="15420" spans="11:14" x14ac:dyDescent="0.3">
      <c r="K15420" s="1">
        <v>42461</v>
      </c>
      <c r="M15420" t="e">
        <v>#N/A</v>
      </c>
      <c r="N15420" s="1">
        <v>42095</v>
      </c>
    </row>
    <row r="15421" spans="11:14" x14ac:dyDescent="0.3">
      <c r="K15421" s="1">
        <v>42461</v>
      </c>
      <c r="M15421" t="e">
        <v>#N/A</v>
      </c>
      <c r="N15421" s="1">
        <v>42095</v>
      </c>
    </row>
    <row r="15422" spans="11:14" x14ac:dyDescent="0.3">
      <c r="K15422" s="1">
        <v>42461</v>
      </c>
      <c r="M15422" t="e">
        <v>#N/A</v>
      </c>
      <c r="N15422" s="1">
        <v>42095</v>
      </c>
    </row>
    <row r="15423" spans="11:14" x14ac:dyDescent="0.3">
      <c r="K15423" s="1">
        <v>42461</v>
      </c>
      <c r="M15423" t="e">
        <v>#N/A</v>
      </c>
      <c r="N15423" s="1">
        <v>42095</v>
      </c>
    </row>
    <row r="15424" spans="11:14" x14ac:dyDescent="0.3">
      <c r="K15424" s="1">
        <v>42461</v>
      </c>
      <c r="M15424" t="e">
        <v>#N/A</v>
      </c>
      <c r="N15424" s="1">
        <v>42095</v>
      </c>
    </row>
    <row r="15425" spans="11:14" x14ac:dyDescent="0.3">
      <c r="K15425" s="1">
        <v>42461</v>
      </c>
      <c r="M15425" t="e">
        <v>#N/A</v>
      </c>
      <c r="N15425" s="1">
        <v>42095</v>
      </c>
    </row>
    <row r="15426" spans="11:14" x14ac:dyDescent="0.3">
      <c r="K15426" s="1">
        <v>42461</v>
      </c>
      <c r="M15426" t="e">
        <v>#N/A</v>
      </c>
      <c r="N15426" s="1">
        <v>42095</v>
      </c>
    </row>
    <row r="15427" spans="11:14" x14ac:dyDescent="0.3">
      <c r="K15427" s="1">
        <v>42461</v>
      </c>
      <c r="M15427" t="e">
        <v>#N/A</v>
      </c>
      <c r="N15427" s="1">
        <v>42095</v>
      </c>
    </row>
    <row r="15428" spans="11:14" x14ac:dyDescent="0.3">
      <c r="K15428" s="1">
        <v>42461</v>
      </c>
      <c r="M15428" t="e">
        <v>#N/A</v>
      </c>
      <c r="N15428" s="1">
        <v>42095</v>
      </c>
    </row>
    <row r="15429" spans="11:14" x14ac:dyDescent="0.3">
      <c r="K15429" s="1">
        <v>42461</v>
      </c>
      <c r="M15429" t="e">
        <v>#N/A</v>
      </c>
      <c r="N15429" s="1">
        <v>42095</v>
      </c>
    </row>
    <row r="15430" spans="11:14" x14ac:dyDescent="0.3">
      <c r="K15430" s="1">
        <v>42461</v>
      </c>
      <c r="M15430" t="e">
        <v>#N/A</v>
      </c>
      <c r="N15430" s="1">
        <v>42095</v>
      </c>
    </row>
    <row r="15431" spans="11:14" x14ac:dyDescent="0.3">
      <c r="K15431" s="1">
        <v>42461</v>
      </c>
      <c r="M15431" t="e">
        <v>#N/A</v>
      </c>
      <c r="N15431" s="1">
        <v>42095</v>
      </c>
    </row>
    <row r="15432" spans="11:14" x14ac:dyDescent="0.3">
      <c r="K15432" s="1">
        <v>42461</v>
      </c>
      <c r="M15432" t="e">
        <v>#N/A</v>
      </c>
      <c r="N15432" s="1">
        <v>42095</v>
      </c>
    </row>
    <row r="15433" spans="11:14" x14ac:dyDescent="0.3">
      <c r="K15433" s="1">
        <v>42461</v>
      </c>
      <c r="M15433" t="e">
        <v>#N/A</v>
      </c>
      <c r="N15433" s="1">
        <v>42095</v>
      </c>
    </row>
    <row r="15434" spans="11:14" x14ac:dyDescent="0.3">
      <c r="K15434" s="1">
        <v>42461</v>
      </c>
      <c r="M15434" t="e">
        <v>#N/A</v>
      </c>
      <c r="N15434" s="1">
        <v>42095</v>
      </c>
    </row>
    <row r="15435" spans="11:14" x14ac:dyDescent="0.3">
      <c r="K15435" s="1">
        <v>42461</v>
      </c>
      <c r="M15435" t="e">
        <v>#N/A</v>
      </c>
      <c r="N15435" s="1">
        <v>42095</v>
      </c>
    </row>
    <row r="15436" spans="11:14" x14ac:dyDescent="0.3">
      <c r="K15436" s="1">
        <v>42461</v>
      </c>
      <c r="M15436" t="e">
        <v>#N/A</v>
      </c>
      <c r="N15436" s="1">
        <v>42095</v>
      </c>
    </row>
    <row r="15437" spans="11:14" x14ac:dyDescent="0.3">
      <c r="K15437" s="1">
        <v>42461</v>
      </c>
      <c r="M15437" t="e">
        <v>#N/A</v>
      </c>
      <c r="N15437" s="1">
        <v>42095</v>
      </c>
    </row>
    <row r="15438" spans="11:14" x14ac:dyDescent="0.3">
      <c r="K15438" s="1">
        <v>42461</v>
      </c>
      <c r="M15438" t="e">
        <v>#N/A</v>
      </c>
      <c r="N15438" s="1">
        <v>42095</v>
      </c>
    </row>
    <row r="15439" spans="11:14" x14ac:dyDescent="0.3">
      <c r="K15439" s="1">
        <v>42461</v>
      </c>
      <c r="M15439" t="e">
        <v>#N/A</v>
      </c>
      <c r="N15439" s="1">
        <v>42095</v>
      </c>
    </row>
    <row r="15440" spans="11:14" x14ac:dyDescent="0.3">
      <c r="K15440" s="1">
        <v>42461</v>
      </c>
      <c r="M15440" t="e">
        <v>#N/A</v>
      </c>
      <c r="N15440" s="1">
        <v>42095</v>
      </c>
    </row>
    <row r="15441" spans="11:14" x14ac:dyDescent="0.3">
      <c r="K15441" s="1">
        <v>42461</v>
      </c>
      <c r="M15441" t="e">
        <v>#N/A</v>
      </c>
      <c r="N15441" s="1">
        <v>42095</v>
      </c>
    </row>
    <row r="15442" spans="11:14" x14ac:dyDescent="0.3">
      <c r="K15442" s="1">
        <v>42461</v>
      </c>
      <c r="M15442" t="e">
        <v>#N/A</v>
      </c>
      <c r="N15442" s="1">
        <v>42095</v>
      </c>
    </row>
    <row r="15443" spans="11:14" x14ac:dyDescent="0.3">
      <c r="K15443" s="1">
        <v>42461</v>
      </c>
      <c r="M15443" t="e">
        <v>#N/A</v>
      </c>
      <c r="N15443" s="1">
        <v>42095</v>
      </c>
    </row>
    <row r="15444" spans="11:14" x14ac:dyDescent="0.3">
      <c r="K15444" s="1">
        <v>42461</v>
      </c>
      <c r="M15444" t="e">
        <v>#N/A</v>
      </c>
      <c r="N15444" s="1">
        <v>42095</v>
      </c>
    </row>
    <row r="15445" spans="11:14" x14ac:dyDescent="0.3">
      <c r="K15445" s="1">
        <v>42461</v>
      </c>
      <c r="M15445" t="e">
        <v>#N/A</v>
      </c>
      <c r="N15445" s="1">
        <v>42095</v>
      </c>
    </row>
    <row r="15446" spans="11:14" x14ac:dyDescent="0.3">
      <c r="K15446" s="1">
        <v>42461</v>
      </c>
      <c r="M15446" t="e">
        <v>#N/A</v>
      </c>
      <c r="N15446" s="1">
        <v>42095</v>
      </c>
    </row>
    <row r="15447" spans="11:14" x14ac:dyDescent="0.3">
      <c r="K15447" s="1">
        <v>42461</v>
      </c>
      <c r="M15447" t="e">
        <v>#N/A</v>
      </c>
      <c r="N15447" s="1">
        <v>42095</v>
      </c>
    </row>
    <row r="15448" spans="11:14" x14ac:dyDescent="0.3">
      <c r="K15448" s="1">
        <v>42461</v>
      </c>
      <c r="M15448" t="e">
        <v>#N/A</v>
      </c>
      <c r="N15448" s="1">
        <v>42095</v>
      </c>
    </row>
    <row r="15449" spans="11:14" x14ac:dyDescent="0.3">
      <c r="K15449" s="1">
        <v>42461</v>
      </c>
      <c r="M15449" t="e">
        <v>#N/A</v>
      </c>
      <c r="N15449" s="1">
        <v>42095</v>
      </c>
    </row>
    <row r="15450" spans="11:14" x14ac:dyDescent="0.3">
      <c r="K15450" s="1">
        <v>42461</v>
      </c>
      <c r="M15450" t="e">
        <v>#N/A</v>
      </c>
      <c r="N15450" s="1">
        <v>42095</v>
      </c>
    </row>
    <row r="15451" spans="11:14" x14ac:dyDescent="0.3">
      <c r="K15451" s="1">
        <v>42461</v>
      </c>
      <c r="M15451" t="e">
        <v>#N/A</v>
      </c>
      <c r="N15451" s="1">
        <v>42095</v>
      </c>
    </row>
    <row r="15452" spans="11:14" x14ac:dyDescent="0.3">
      <c r="K15452" s="1">
        <v>42461</v>
      </c>
      <c r="M15452" t="e">
        <v>#N/A</v>
      </c>
      <c r="N15452" s="1">
        <v>42095</v>
      </c>
    </row>
    <row r="15453" spans="11:14" x14ac:dyDescent="0.3">
      <c r="K15453" s="1">
        <v>42461</v>
      </c>
      <c r="M15453" t="e">
        <v>#N/A</v>
      </c>
      <c r="N15453" s="1">
        <v>42095</v>
      </c>
    </row>
    <row r="15454" spans="11:14" x14ac:dyDescent="0.3">
      <c r="K15454" s="1">
        <v>42461</v>
      </c>
      <c r="M15454" t="e">
        <v>#N/A</v>
      </c>
      <c r="N15454" s="1">
        <v>42095</v>
      </c>
    </row>
    <row r="15455" spans="11:14" x14ac:dyDescent="0.3">
      <c r="K15455" s="1">
        <v>42461</v>
      </c>
      <c r="M15455" t="e">
        <v>#N/A</v>
      </c>
      <c r="N15455" s="1">
        <v>42095</v>
      </c>
    </row>
    <row r="15456" spans="11:14" x14ac:dyDescent="0.3">
      <c r="K15456" s="1">
        <v>42461</v>
      </c>
      <c r="M15456" t="e">
        <v>#N/A</v>
      </c>
      <c r="N15456" s="1">
        <v>42095</v>
      </c>
    </row>
    <row r="15457" spans="11:14" x14ac:dyDescent="0.3">
      <c r="K15457" s="1">
        <v>42461</v>
      </c>
      <c r="M15457" t="e">
        <v>#N/A</v>
      </c>
      <c r="N15457" s="1">
        <v>42095</v>
      </c>
    </row>
    <row r="15458" spans="11:14" x14ac:dyDescent="0.3">
      <c r="K15458" s="1">
        <v>42461</v>
      </c>
      <c r="M15458" t="e">
        <v>#N/A</v>
      </c>
      <c r="N15458" s="1">
        <v>42095</v>
      </c>
    </row>
    <row r="15459" spans="11:14" x14ac:dyDescent="0.3">
      <c r="K15459" s="1">
        <v>42461</v>
      </c>
      <c r="M15459" t="e">
        <v>#N/A</v>
      </c>
      <c r="N15459" s="1">
        <v>42095</v>
      </c>
    </row>
    <row r="15460" spans="11:14" x14ac:dyDescent="0.3">
      <c r="K15460" s="1">
        <v>42461</v>
      </c>
      <c r="M15460" t="e">
        <v>#N/A</v>
      </c>
      <c r="N15460" s="1">
        <v>42095</v>
      </c>
    </row>
    <row r="15461" spans="11:14" x14ac:dyDescent="0.3">
      <c r="K15461" s="1">
        <v>42461</v>
      </c>
      <c r="M15461" t="e">
        <v>#N/A</v>
      </c>
      <c r="N15461" s="1">
        <v>42095</v>
      </c>
    </row>
    <row r="15462" spans="11:14" x14ac:dyDescent="0.3">
      <c r="K15462" s="1">
        <v>42461</v>
      </c>
      <c r="M15462" t="e">
        <v>#N/A</v>
      </c>
      <c r="N15462" s="1">
        <v>42095</v>
      </c>
    </row>
    <row r="15463" spans="11:14" x14ac:dyDescent="0.3">
      <c r="K15463" s="1">
        <v>42461</v>
      </c>
      <c r="M15463" t="e">
        <v>#N/A</v>
      </c>
      <c r="N15463" s="1">
        <v>42095</v>
      </c>
    </row>
    <row r="15464" spans="11:14" x14ac:dyDescent="0.3">
      <c r="K15464" s="1">
        <v>42461</v>
      </c>
      <c r="M15464" t="e">
        <v>#N/A</v>
      </c>
      <c r="N15464" s="1">
        <v>42095</v>
      </c>
    </row>
    <row r="15465" spans="11:14" x14ac:dyDescent="0.3">
      <c r="K15465" s="1">
        <v>42461</v>
      </c>
      <c r="M15465" t="e">
        <v>#N/A</v>
      </c>
      <c r="N15465" s="1">
        <v>42095</v>
      </c>
    </row>
    <row r="15466" spans="11:14" x14ac:dyDescent="0.3">
      <c r="K15466" s="1">
        <v>42461</v>
      </c>
      <c r="M15466" t="e">
        <v>#N/A</v>
      </c>
      <c r="N15466" s="1">
        <v>42095</v>
      </c>
    </row>
    <row r="15467" spans="11:14" x14ac:dyDescent="0.3">
      <c r="K15467" s="1">
        <v>42461</v>
      </c>
      <c r="M15467" t="e">
        <v>#N/A</v>
      </c>
      <c r="N15467" s="1">
        <v>42095</v>
      </c>
    </row>
    <row r="15468" spans="11:14" x14ac:dyDescent="0.3">
      <c r="K15468" s="1">
        <v>42461</v>
      </c>
      <c r="M15468" t="e">
        <v>#N/A</v>
      </c>
      <c r="N15468" s="1">
        <v>42095</v>
      </c>
    </row>
    <row r="15469" spans="11:14" x14ac:dyDescent="0.3">
      <c r="K15469" s="1">
        <v>42461</v>
      </c>
      <c r="M15469" t="e">
        <v>#N/A</v>
      </c>
      <c r="N15469" s="1">
        <v>42095</v>
      </c>
    </row>
    <row r="15470" spans="11:14" x14ac:dyDescent="0.3">
      <c r="K15470" s="1">
        <v>42461</v>
      </c>
      <c r="M15470" t="e">
        <v>#N/A</v>
      </c>
      <c r="N15470" s="1">
        <v>42095</v>
      </c>
    </row>
    <row r="15471" spans="11:14" x14ac:dyDescent="0.3">
      <c r="K15471" s="1">
        <v>42461</v>
      </c>
      <c r="M15471" t="e">
        <v>#N/A</v>
      </c>
      <c r="N15471" s="1">
        <v>42095</v>
      </c>
    </row>
    <row r="15472" spans="11:14" x14ac:dyDescent="0.3">
      <c r="K15472" s="1">
        <v>42461</v>
      </c>
      <c r="M15472" t="e">
        <v>#N/A</v>
      </c>
      <c r="N15472" s="1">
        <v>42095</v>
      </c>
    </row>
    <row r="15473" spans="11:14" x14ac:dyDescent="0.3">
      <c r="K15473" s="1">
        <v>42461</v>
      </c>
      <c r="M15473" t="e">
        <v>#N/A</v>
      </c>
      <c r="N15473" s="1">
        <v>42095</v>
      </c>
    </row>
    <row r="15474" spans="11:14" x14ac:dyDescent="0.3">
      <c r="K15474" s="1">
        <v>42461</v>
      </c>
      <c r="M15474" t="e">
        <v>#N/A</v>
      </c>
      <c r="N15474" s="1">
        <v>42095</v>
      </c>
    </row>
    <row r="15475" spans="11:14" x14ac:dyDescent="0.3">
      <c r="K15475" s="1">
        <v>42461</v>
      </c>
      <c r="M15475" t="e">
        <v>#N/A</v>
      </c>
      <c r="N15475" s="1">
        <v>42095</v>
      </c>
    </row>
    <row r="15476" spans="11:14" x14ac:dyDescent="0.3">
      <c r="K15476" s="1">
        <v>42461</v>
      </c>
      <c r="M15476" t="e">
        <v>#N/A</v>
      </c>
      <c r="N15476" s="1">
        <v>42095</v>
      </c>
    </row>
    <row r="15477" spans="11:14" x14ac:dyDescent="0.3">
      <c r="K15477" s="1">
        <v>42461</v>
      </c>
      <c r="M15477" t="e">
        <v>#N/A</v>
      </c>
      <c r="N15477" s="1">
        <v>42095</v>
      </c>
    </row>
    <row r="15478" spans="11:14" x14ac:dyDescent="0.3">
      <c r="K15478" s="1">
        <v>42461</v>
      </c>
      <c r="M15478" t="e">
        <v>#N/A</v>
      </c>
      <c r="N15478" s="1">
        <v>42095</v>
      </c>
    </row>
    <row r="15479" spans="11:14" x14ac:dyDescent="0.3">
      <c r="K15479" s="1">
        <v>42461</v>
      </c>
      <c r="M15479" t="e">
        <v>#N/A</v>
      </c>
      <c r="N15479" s="1">
        <v>42095</v>
      </c>
    </row>
    <row r="15480" spans="11:14" x14ac:dyDescent="0.3">
      <c r="K15480" s="1">
        <v>42461</v>
      </c>
      <c r="M15480" t="e">
        <v>#N/A</v>
      </c>
      <c r="N15480" s="1">
        <v>42095</v>
      </c>
    </row>
    <row r="15481" spans="11:14" x14ac:dyDescent="0.3">
      <c r="K15481" s="1">
        <v>42461</v>
      </c>
      <c r="M15481" t="e">
        <v>#N/A</v>
      </c>
      <c r="N15481" s="1">
        <v>42095</v>
      </c>
    </row>
    <row r="15482" spans="11:14" x14ac:dyDescent="0.3">
      <c r="K15482" s="1">
        <v>42461</v>
      </c>
      <c r="M15482" t="e">
        <v>#N/A</v>
      </c>
      <c r="N15482" s="1">
        <v>42095</v>
      </c>
    </row>
    <row r="15483" spans="11:14" x14ac:dyDescent="0.3">
      <c r="K15483" s="1">
        <v>42461</v>
      </c>
      <c r="M15483" t="e">
        <v>#N/A</v>
      </c>
      <c r="N15483" s="1">
        <v>42095</v>
      </c>
    </row>
    <row r="15484" spans="11:14" x14ac:dyDescent="0.3">
      <c r="K15484" s="1">
        <v>42461</v>
      </c>
      <c r="M15484" t="e">
        <v>#N/A</v>
      </c>
      <c r="N15484" s="1">
        <v>42095</v>
      </c>
    </row>
    <row r="15485" spans="11:14" x14ac:dyDescent="0.3">
      <c r="K15485" s="1">
        <v>42461</v>
      </c>
      <c r="M15485" t="e">
        <v>#N/A</v>
      </c>
      <c r="N15485" s="1">
        <v>42095</v>
      </c>
    </row>
    <row r="15486" spans="11:14" x14ac:dyDescent="0.3">
      <c r="K15486" s="1">
        <v>42461</v>
      </c>
      <c r="M15486" t="e">
        <v>#N/A</v>
      </c>
      <c r="N15486" s="1">
        <v>42095</v>
      </c>
    </row>
    <row r="15487" spans="11:14" x14ac:dyDescent="0.3">
      <c r="K15487" s="1">
        <v>42461</v>
      </c>
      <c r="M15487" t="e">
        <v>#N/A</v>
      </c>
      <c r="N15487" s="1">
        <v>42095</v>
      </c>
    </row>
    <row r="15488" spans="11:14" x14ac:dyDescent="0.3">
      <c r="K15488" s="1">
        <v>42461</v>
      </c>
      <c r="M15488" t="e">
        <v>#N/A</v>
      </c>
      <c r="N15488" s="1">
        <v>42095</v>
      </c>
    </row>
    <row r="15489" spans="11:14" x14ac:dyDescent="0.3">
      <c r="K15489" s="1">
        <v>42461</v>
      </c>
      <c r="M15489" t="e">
        <v>#N/A</v>
      </c>
      <c r="N15489" s="1">
        <v>42095</v>
      </c>
    </row>
    <row r="15490" spans="11:14" x14ac:dyDescent="0.3">
      <c r="K15490" s="1">
        <v>42461</v>
      </c>
      <c r="M15490" t="e">
        <v>#N/A</v>
      </c>
      <c r="N15490" s="1">
        <v>42095</v>
      </c>
    </row>
    <row r="15491" spans="11:14" x14ac:dyDescent="0.3">
      <c r="K15491" s="1">
        <v>42461</v>
      </c>
      <c r="M15491" t="e">
        <v>#N/A</v>
      </c>
      <c r="N15491" s="1">
        <v>42095</v>
      </c>
    </row>
    <row r="15492" spans="11:14" x14ac:dyDescent="0.3">
      <c r="K15492" s="1">
        <v>42461</v>
      </c>
      <c r="M15492" t="e">
        <v>#N/A</v>
      </c>
      <c r="N15492" s="1">
        <v>42095</v>
      </c>
    </row>
    <row r="15493" spans="11:14" x14ac:dyDescent="0.3">
      <c r="K15493" s="1">
        <v>42461</v>
      </c>
      <c r="M15493" t="e">
        <v>#N/A</v>
      </c>
      <c r="N15493" s="1">
        <v>42095</v>
      </c>
    </row>
    <row r="15494" spans="11:14" x14ac:dyDescent="0.3">
      <c r="K15494" s="1">
        <v>42461</v>
      </c>
      <c r="M15494" t="e">
        <v>#N/A</v>
      </c>
      <c r="N15494" s="1">
        <v>42095</v>
      </c>
    </row>
    <row r="15495" spans="11:14" x14ac:dyDescent="0.3">
      <c r="K15495" s="1">
        <v>42461</v>
      </c>
      <c r="M15495" t="e">
        <v>#N/A</v>
      </c>
      <c r="N15495" s="1">
        <v>42095</v>
      </c>
    </row>
    <row r="15496" spans="11:14" x14ac:dyDescent="0.3">
      <c r="K15496" s="1">
        <v>42461</v>
      </c>
      <c r="M15496" t="e">
        <v>#N/A</v>
      </c>
      <c r="N15496" s="1">
        <v>42095</v>
      </c>
    </row>
    <row r="15497" spans="11:14" x14ac:dyDescent="0.3">
      <c r="K15497" s="1">
        <v>42461</v>
      </c>
      <c r="M15497" t="e">
        <v>#N/A</v>
      </c>
      <c r="N15497" s="1">
        <v>42095</v>
      </c>
    </row>
    <row r="15498" spans="11:14" x14ac:dyDescent="0.3">
      <c r="K15498" s="1">
        <v>42461</v>
      </c>
      <c r="M15498" t="e">
        <v>#N/A</v>
      </c>
      <c r="N15498" s="1">
        <v>42095</v>
      </c>
    </row>
    <row r="15499" spans="11:14" x14ac:dyDescent="0.3">
      <c r="K15499" s="1">
        <v>42461</v>
      </c>
      <c r="M15499" t="e">
        <v>#N/A</v>
      </c>
      <c r="N15499" s="1">
        <v>42095</v>
      </c>
    </row>
    <row r="15500" spans="11:14" x14ac:dyDescent="0.3">
      <c r="K15500" s="1">
        <v>42461</v>
      </c>
      <c r="M15500" t="e">
        <v>#N/A</v>
      </c>
      <c r="N15500" s="1">
        <v>42095</v>
      </c>
    </row>
    <row r="15501" spans="11:14" x14ac:dyDescent="0.3">
      <c r="K15501" s="1">
        <v>42461</v>
      </c>
      <c r="M15501" t="e">
        <v>#N/A</v>
      </c>
      <c r="N15501" s="1">
        <v>42095</v>
      </c>
    </row>
    <row r="15502" spans="11:14" x14ac:dyDescent="0.3">
      <c r="K15502" s="1">
        <v>42461</v>
      </c>
      <c r="M15502" t="e">
        <v>#N/A</v>
      </c>
      <c r="N15502" s="1">
        <v>42095</v>
      </c>
    </row>
    <row r="15503" spans="11:14" x14ac:dyDescent="0.3">
      <c r="K15503" s="1">
        <v>42461</v>
      </c>
      <c r="M15503" t="e">
        <v>#N/A</v>
      </c>
      <c r="N15503" s="1">
        <v>42095</v>
      </c>
    </row>
    <row r="15504" spans="11:14" x14ac:dyDescent="0.3">
      <c r="K15504" s="1">
        <v>42461</v>
      </c>
      <c r="M15504" t="e">
        <v>#N/A</v>
      </c>
      <c r="N15504" s="1">
        <v>42095</v>
      </c>
    </row>
    <row r="15505" spans="11:14" x14ac:dyDescent="0.3">
      <c r="K15505" s="1">
        <v>42461</v>
      </c>
      <c r="M15505" t="e">
        <v>#N/A</v>
      </c>
      <c r="N15505" s="1">
        <v>42095</v>
      </c>
    </row>
    <row r="15506" spans="11:14" x14ac:dyDescent="0.3">
      <c r="K15506" s="1">
        <v>42461</v>
      </c>
      <c r="M15506" t="e">
        <v>#N/A</v>
      </c>
      <c r="N15506" s="1">
        <v>42095</v>
      </c>
    </row>
    <row r="15507" spans="11:14" x14ac:dyDescent="0.3">
      <c r="K15507" s="1">
        <v>42461</v>
      </c>
      <c r="M15507" t="e">
        <v>#N/A</v>
      </c>
      <c r="N15507" s="1">
        <v>42095</v>
      </c>
    </row>
    <row r="15508" spans="11:14" x14ac:dyDescent="0.3">
      <c r="K15508" s="1">
        <v>42461</v>
      </c>
      <c r="M15508" t="e">
        <v>#N/A</v>
      </c>
      <c r="N15508" s="1">
        <v>42095</v>
      </c>
    </row>
    <row r="15509" spans="11:14" x14ac:dyDescent="0.3">
      <c r="K15509" s="1">
        <v>42461</v>
      </c>
      <c r="M15509" t="e">
        <v>#N/A</v>
      </c>
      <c r="N15509" s="1">
        <v>42095</v>
      </c>
    </row>
    <row r="15510" spans="11:14" x14ac:dyDescent="0.3">
      <c r="K15510" s="1">
        <v>42461</v>
      </c>
      <c r="M15510" t="e">
        <v>#N/A</v>
      </c>
      <c r="N15510" s="1">
        <v>42095</v>
      </c>
    </row>
    <row r="15511" spans="11:14" x14ac:dyDescent="0.3">
      <c r="K15511" s="1">
        <v>42461</v>
      </c>
      <c r="M15511" t="e">
        <v>#N/A</v>
      </c>
      <c r="N15511" s="1">
        <v>42095</v>
      </c>
    </row>
    <row r="15512" spans="11:14" x14ac:dyDescent="0.3">
      <c r="K15512" s="1">
        <v>42461</v>
      </c>
      <c r="M15512" t="e">
        <v>#N/A</v>
      </c>
      <c r="N15512" s="1">
        <v>42095</v>
      </c>
    </row>
    <row r="15513" spans="11:14" x14ac:dyDescent="0.3">
      <c r="K15513" s="1">
        <v>42461</v>
      </c>
      <c r="M15513" t="e">
        <v>#N/A</v>
      </c>
      <c r="N15513" s="1">
        <v>42095</v>
      </c>
    </row>
    <row r="15514" spans="11:14" x14ac:dyDescent="0.3">
      <c r="K15514" s="1">
        <v>42461</v>
      </c>
      <c r="M15514" t="e">
        <v>#N/A</v>
      </c>
      <c r="N15514" s="1">
        <v>42095</v>
      </c>
    </row>
    <row r="15515" spans="11:14" x14ac:dyDescent="0.3">
      <c r="K15515" s="1">
        <v>42461</v>
      </c>
      <c r="M15515" t="e">
        <v>#N/A</v>
      </c>
      <c r="N15515" s="1">
        <v>42095</v>
      </c>
    </row>
    <row r="15516" spans="11:14" x14ac:dyDescent="0.3">
      <c r="K15516" s="1">
        <v>42461</v>
      </c>
      <c r="M15516" t="e">
        <v>#N/A</v>
      </c>
      <c r="N15516" s="1">
        <v>42095</v>
      </c>
    </row>
    <row r="15517" spans="11:14" x14ac:dyDescent="0.3">
      <c r="K15517" s="1">
        <v>42461</v>
      </c>
      <c r="M15517" t="e">
        <v>#N/A</v>
      </c>
      <c r="N15517" s="1">
        <v>42095</v>
      </c>
    </row>
    <row r="15518" spans="11:14" x14ac:dyDescent="0.3">
      <c r="K15518" s="1">
        <v>42461</v>
      </c>
      <c r="M15518" t="e">
        <v>#N/A</v>
      </c>
      <c r="N15518" s="1">
        <v>42095</v>
      </c>
    </row>
    <row r="15519" spans="11:14" x14ac:dyDescent="0.3">
      <c r="K15519" s="1">
        <v>42461</v>
      </c>
      <c r="M15519" t="e">
        <v>#N/A</v>
      </c>
      <c r="N15519" s="1">
        <v>42095</v>
      </c>
    </row>
    <row r="15520" spans="11:14" x14ac:dyDescent="0.3">
      <c r="K15520" s="1">
        <v>42461</v>
      </c>
      <c r="M15520" t="e">
        <v>#N/A</v>
      </c>
      <c r="N15520" s="1">
        <v>42095</v>
      </c>
    </row>
    <row r="15521" spans="11:14" x14ac:dyDescent="0.3">
      <c r="K15521" s="1">
        <v>42461</v>
      </c>
      <c r="M15521" t="e">
        <v>#N/A</v>
      </c>
      <c r="N15521" s="1">
        <v>42095</v>
      </c>
    </row>
    <row r="15522" spans="11:14" x14ac:dyDescent="0.3">
      <c r="K15522" s="1">
        <v>42461</v>
      </c>
      <c r="M15522" t="e">
        <v>#N/A</v>
      </c>
      <c r="N15522" s="1">
        <v>42095</v>
      </c>
    </row>
    <row r="15523" spans="11:14" x14ac:dyDescent="0.3">
      <c r="K15523" s="1">
        <v>42461</v>
      </c>
      <c r="M15523" t="e">
        <v>#N/A</v>
      </c>
      <c r="N15523" s="1">
        <v>42095</v>
      </c>
    </row>
    <row r="15524" spans="11:14" x14ac:dyDescent="0.3">
      <c r="K15524" s="1">
        <v>42461</v>
      </c>
      <c r="M15524" t="e">
        <v>#N/A</v>
      </c>
      <c r="N15524" s="1">
        <v>42095</v>
      </c>
    </row>
    <row r="15525" spans="11:14" x14ac:dyDescent="0.3">
      <c r="K15525" s="1">
        <v>42461</v>
      </c>
      <c r="M15525" t="e">
        <v>#N/A</v>
      </c>
      <c r="N15525" s="1">
        <v>42095</v>
      </c>
    </row>
    <row r="15526" spans="11:14" x14ac:dyDescent="0.3">
      <c r="K15526" s="1">
        <v>42461</v>
      </c>
      <c r="M15526" t="e">
        <v>#N/A</v>
      </c>
      <c r="N15526" s="1">
        <v>42095</v>
      </c>
    </row>
    <row r="15527" spans="11:14" x14ac:dyDescent="0.3">
      <c r="K15527" s="1">
        <v>42461</v>
      </c>
      <c r="M15527" t="e">
        <v>#N/A</v>
      </c>
      <c r="N15527" s="1">
        <v>42095</v>
      </c>
    </row>
    <row r="15528" spans="11:14" x14ac:dyDescent="0.3">
      <c r="K15528" s="1">
        <v>42461</v>
      </c>
      <c r="M15528" t="e">
        <v>#N/A</v>
      </c>
      <c r="N15528" s="1">
        <v>42095</v>
      </c>
    </row>
    <row r="15529" spans="11:14" x14ac:dyDescent="0.3">
      <c r="K15529" s="1">
        <v>42461</v>
      </c>
      <c r="M15529" t="e">
        <v>#N/A</v>
      </c>
      <c r="N15529" s="1">
        <v>42095</v>
      </c>
    </row>
    <row r="15530" spans="11:14" x14ac:dyDescent="0.3">
      <c r="K15530" s="1">
        <v>42461</v>
      </c>
      <c r="M15530" t="e">
        <v>#N/A</v>
      </c>
      <c r="N15530" s="1">
        <v>42095</v>
      </c>
    </row>
    <row r="15531" spans="11:14" x14ac:dyDescent="0.3">
      <c r="K15531" s="1">
        <v>42461</v>
      </c>
      <c r="M15531" t="e">
        <v>#N/A</v>
      </c>
      <c r="N15531" s="1">
        <v>42095</v>
      </c>
    </row>
    <row r="15532" spans="11:14" x14ac:dyDescent="0.3">
      <c r="K15532" s="1">
        <v>42461</v>
      </c>
      <c r="M15532" t="e">
        <v>#N/A</v>
      </c>
      <c r="N15532" s="1">
        <v>42095</v>
      </c>
    </row>
    <row r="15533" spans="11:14" x14ac:dyDescent="0.3">
      <c r="K15533" s="1">
        <v>42461</v>
      </c>
      <c r="M15533" t="e">
        <v>#N/A</v>
      </c>
      <c r="N15533" s="1">
        <v>42095</v>
      </c>
    </row>
    <row r="15534" spans="11:14" x14ac:dyDescent="0.3">
      <c r="K15534" s="1">
        <v>42461</v>
      </c>
      <c r="M15534" t="e">
        <v>#N/A</v>
      </c>
      <c r="N15534" s="1">
        <v>42095</v>
      </c>
    </row>
    <row r="15535" spans="11:14" x14ac:dyDescent="0.3">
      <c r="K15535" s="1">
        <v>42461</v>
      </c>
      <c r="M15535" t="e">
        <v>#N/A</v>
      </c>
      <c r="N15535" s="1">
        <v>42095</v>
      </c>
    </row>
    <row r="15536" spans="11:14" x14ac:dyDescent="0.3">
      <c r="K15536" s="1">
        <v>42461</v>
      </c>
      <c r="M15536" t="e">
        <v>#N/A</v>
      </c>
      <c r="N15536" s="1">
        <v>42095</v>
      </c>
    </row>
    <row r="15537" spans="11:14" x14ac:dyDescent="0.3">
      <c r="K15537" s="1">
        <v>42461</v>
      </c>
      <c r="M15537" t="e">
        <v>#N/A</v>
      </c>
      <c r="N15537" s="1">
        <v>42095</v>
      </c>
    </row>
    <row r="15538" spans="11:14" x14ac:dyDescent="0.3">
      <c r="K15538" s="1">
        <v>42461</v>
      </c>
      <c r="M15538" t="e">
        <v>#N/A</v>
      </c>
      <c r="N15538" s="1">
        <v>42095</v>
      </c>
    </row>
    <row r="15539" spans="11:14" x14ac:dyDescent="0.3">
      <c r="K15539" s="1">
        <v>42461</v>
      </c>
      <c r="M15539" t="e">
        <v>#N/A</v>
      </c>
      <c r="N15539" s="1">
        <v>42095</v>
      </c>
    </row>
    <row r="15540" spans="11:14" x14ac:dyDescent="0.3">
      <c r="K15540" s="1">
        <v>42461</v>
      </c>
      <c r="M15540" t="e">
        <v>#N/A</v>
      </c>
      <c r="N15540" s="1">
        <v>42095</v>
      </c>
    </row>
    <row r="15541" spans="11:14" x14ac:dyDescent="0.3">
      <c r="K15541" s="1">
        <v>42461</v>
      </c>
      <c r="M15541" t="e">
        <v>#N/A</v>
      </c>
      <c r="N15541" s="1">
        <v>42095</v>
      </c>
    </row>
    <row r="15542" spans="11:14" x14ac:dyDescent="0.3">
      <c r="K15542" s="1">
        <v>42461</v>
      </c>
      <c r="M15542" t="e">
        <v>#N/A</v>
      </c>
      <c r="N15542" s="1">
        <v>42095</v>
      </c>
    </row>
    <row r="15543" spans="11:14" x14ac:dyDescent="0.3">
      <c r="K15543" s="1">
        <v>42461</v>
      </c>
      <c r="M15543" t="e">
        <v>#N/A</v>
      </c>
      <c r="N15543" s="1">
        <v>42095</v>
      </c>
    </row>
    <row r="15544" spans="11:14" x14ac:dyDescent="0.3">
      <c r="K15544" s="1">
        <v>42461</v>
      </c>
      <c r="M15544" t="e">
        <v>#N/A</v>
      </c>
      <c r="N15544" s="1">
        <v>42095</v>
      </c>
    </row>
    <row r="15545" spans="11:14" x14ac:dyDescent="0.3">
      <c r="K15545" s="1">
        <v>42461</v>
      </c>
      <c r="M15545" t="e">
        <v>#N/A</v>
      </c>
      <c r="N15545" s="1">
        <v>42095</v>
      </c>
    </row>
    <row r="15546" spans="11:14" x14ac:dyDescent="0.3">
      <c r="K15546" s="1">
        <v>42461</v>
      </c>
      <c r="M15546" t="e">
        <v>#N/A</v>
      </c>
      <c r="N15546" s="1">
        <v>42095</v>
      </c>
    </row>
    <row r="15547" spans="11:14" x14ac:dyDescent="0.3">
      <c r="K15547" s="1">
        <v>42461</v>
      </c>
      <c r="M15547" t="e">
        <v>#N/A</v>
      </c>
      <c r="N15547" s="1">
        <v>42095</v>
      </c>
    </row>
    <row r="15548" spans="11:14" x14ac:dyDescent="0.3">
      <c r="K15548" s="1">
        <v>42461</v>
      </c>
      <c r="M15548" t="e">
        <v>#N/A</v>
      </c>
      <c r="N15548" s="1">
        <v>42095</v>
      </c>
    </row>
    <row r="15549" spans="11:14" x14ac:dyDescent="0.3">
      <c r="K15549" s="1">
        <v>42461</v>
      </c>
      <c r="M15549" t="e">
        <v>#N/A</v>
      </c>
      <c r="N15549" s="1">
        <v>42095</v>
      </c>
    </row>
    <row r="15550" spans="11:14" x14ac:dyDescent="0.3">
      <c r="K15550" s="1">
        <v>42461</v>
      </c>
      <c r="M15550" t="e">
        <v>#N/A</v>
      </c>
      <c r="N15550" s="1">
        <v>42095</v>
      </c>
    </row>
    <row r="15551" spans="11:14" x14ac:dyDescent="0.3">
      <c r="K15551" s="1">
        <v>42461</v>
      </c>
      <c r="M15551" t="e">
        <v>#N/A</v>
      </c>
      <c r="N15551" s="1">
        <v>42095</v>
      </c>
    </row>
    <row r="15552" spans="11:14" x14ac:dyDescent="0.3">
      <c r="K15552" s="1">
        <v>42461</v>
      </c>
      <c r="M15552" t="e">
        <v>#N/A</v>
      </c>
      <c r="N15552" s="1">
        <v>42095</v>
      </c>
    </row>
    <row r="15553" spans="11:14" x14ac:dyDescent="0.3">
      <c r="K15553" s="1">
        <v>42461</v>
      </c>
      <c r="M15553" t="e">
        <v>#N/A</v>
      </c>
      <c r="N15553" s="1">
        <v>42095</v>
      </c>
    </row>
    <row r="15554" spans="11:14" x14ac:dyDescent="0.3">
      <c r="K15554" s="1">
        <v>42461</v>
      </c>
      <c r="M15554" t="e">
        <v>#N/A</v>
      </c>
      <c r="N15554" s="1">
        <v>42095</v>
      </c>
    </row>
    <row r="15555" spans="11:14" x14ac:dyDescent="0.3">
      <c r="K15555" s="1">
        <v>42461</v>
      </c>
      <c r="M15555" t="e">
        <v>#N/A</v>
      </c>
      <c r="N15555" s="1">
        <v>42095</v>
      </c>
    </row>
    <row r="15556" spans="11:14" x14ac:dyDescent="0.3">
      <c r="K15556" s="1">
        <v>42461</v>
      </c>
      <c r="M15556" t="e">
        <v>#N/A</v>
      </c>
      <c r="N15556" s="1">
        <v>42095</v>
      </c>
    </row>
    <row r="15557" spans="11:14" x14ac:dyDescent="0.3">
      <c r="K15557" s="1">
        <v>42461</v>
      </c>
      <c r="M15557" t="e">
        <v>#N/A</v>
      </c>
      <c r="N15557" s="1">
        <v>42095</v>
      </c>
    </row>
    <row r="15558" spans="11:14" x14ac:dyDescent="0.3">
      <c r="K15558" s="1">
        <v>42461</v>
      </c>
      <c r="M15558" t="e">
        <v>#N/A</v>
      </c>
      <c r="N15558" s="1">
        <v>42095</v>
      </c>
    </row>
    <row r="15559" spans="11:14" x14ac:dyDescent="0.3">
      <c r="K15559" s="1">
        <v>42461</v>
      </c>
      <c r="M15559" t="e">
        <v>#N/A</v>
      </c>
      <c r="N15559" s="1">
        <v>42095</v>
      </c>
    </row>
    <row r="15560" spans="11:14" x14ac:dyDescent="0.3">
      <c r="K15560" s="1">
        <v>42461</v>
      </c>
      <c r="M15560" t="e">
        <v>#N/A</v>
      </c>
      <c r="N15560" s="1">
        <v>42095</v>
      </c>
    </row>
    <row r="15561" spans="11:14" x14ac:dyDescent="0.3">
      <c r="K15561" s="1">
        <v>42461</v>
      </c>
      <c r="M15561" t="e">
        <v>#N/A</v>
      </c>
      <c r="N15561" s="1">
        <v>42095</v>
      </c>
    </row>
    <row r="15562" spans="11:14" x14ac:dyDescent="0.3">
      <c r="K15562" s="1">
        <v>42461</v>
      </c>
      <c r="M15562" t="e">
        <v>#N/A</v>
      </c>
      <c r="N15562" s="1">
        <v>42095</v>
      </c>
    </row>
    <row r="15563" spans="11:14" x14ac:dyDescent="0.3">
      <c r="K15563" s="1">
        <v>42461</v>
      </c>
      <c r="M15563" t="e">
        <v>#N/A</v>
      </c>
      <c r="N15563" s="1">
        <v>42095</v>
      </c>
    </row>
    <row r="15564" spans="11:14" x14ac:dyDescent="0.3">
      <c r="K15564" s="1">
        <v>42461</v>
      </c>
      <c r="M15564" t="e">
        <v>#N/A</v>
      </c>
      <c r="N15564" s="1">
        <v>42095</v>
      </c>
    </row>
    <row r="15565" spans="11:14" x14ac:dyDescent="0.3">
      <c r="K15565" s="1">
        <v>42461</v>
      </c>
      <c r="M15565" t="e">
        <v>#N/A</v>
      </c>
      <c r="N15565" s="1">
        <v>42095</v>
      </c>
    </row>
    <row r="15566" spans="11:14" x14ac:dyDescent="0.3">
      <c r="K15566" s="1">
        <v>42461</v>
      </c>
      <c r="M15566" t="e">
        <v>#N/A</v>
      </c>
      <c r="N15566" s="1">
        <v>42095</v>
      </c>
    </row>
    <row r="15567" spans="11:14" x14ac:dyDescent="0.3">
      <c r="K15567" s="1">
        <v>42461</v>
      </c>
      <c r="M15567" t="e">
        <v>#N/A</v>
      </c>
      <c r="N15567" s="1">
        <v>42095</v>
      </c>
    </row>
    <row r="15568" spans="11:14" x14ac:dyDescent="0.3">
      <c r="K15568" s="1">
        <v>42461</v>
      </c>
      <c r="M15568" t="e">
        <v>#N/A</v>
      </c>
      <c r="N15568" s="1">
        <v>42095</v>
      </c>
    </row>
    <row r="15569" spans="11:14" x14ac:dyDescent="0.3">
      <c r="K15569" s="1">
        <v>42461</v>
      </c>
      <c r="M15569" t="e">
        <v>#N/A</v>
      </c>
      <c r="N15569" s="1">
        <v>42095</v>
      </c>
    </row>
    <row r="15570" spans="11:14" x14ac:dyDescent="0.3">
      <c r="K15570" s="1">
        <v>42461</v>
      </c>
      <c r="M15570" t="e">
        <v>#N/A</v>
      </c>
      <c r="N15570" s="1">
        <v>42095</v>
      </c>
    </row>
    <row r="15571" spans="11:14" x14ac:dyDescent="0.3">
      <c r="K15571" s="1">
        <v>42461</v>
      </c>
      <c r="M15571" t="e">
        <v>#N/A</v>
      </c>
      <c r="N15571" s="1">
        <v>42095</v>
      </c>
    </row>
    <row r="15572" spans="11:14" x14ac:dyDescent="0.3">
      <c r="K15572" s="1">
        <v>42461</v>
      </c>
      <c r="M15572" t="e">
        <v>#N/A</v>
      </c>
      <c r="N15572" s="1">
        <v>42095</v>
      </c>
    </row>
    <row r="15573" spans="11:14" x14ac:dyDescent="0.3">
      <c r="K15573" s="1">
        <v>42461</v>
      </c>
      <c r="M15573" t="e">
        <v>#N/A</v>
      </c>
      <c r="N15573" s="1">
        <v>42095</v>
      </c>
    </row>
    <row r="15574" spans="11:14" x14ac:dyDescent="0.3">
      <c r="K15574" s="1">
        <v>42461</v>
      </c>
      <c r="M15574" t="e">
        <v>#N/A</v>
      </c>
      <c r="N15574" s="1">
        <v>42095</v>
      </c>
    </row>
    <row r="15575" spans="11:14" x14ac:dyDescent="0.3">
      <c r="K15575" s="1">
        <v>42461</v>
      </c>
      <c r="M15575" t="e">
        <v>#N/A</v>
      </c>
      <c r="N15575" s="1">
        <v>42095</v>
      </c>
    </row>
    <row r="15576" spans="11:14" x14ac:dyDescent="0.3">
      <c r="K15576" s="1">
        <v>42461</v>
      </c>
      <c r="M15576" t="e">
        <v>#N/A</v>
      </c>
      <c r="N15576" s="1">
        <v>42095</v>
      </c>
    </row>
    <row r="15577" spans="11:14" x14ac:dyDescent="0.3">
      <c r="K15577" s="1">
        <v>42461</v>
      </c>
      <c r="M15577" t="e">
        <v>#N/A</v>
      </c>
      <c r="N15577" s="1">
        <v>42095</v>
      </c>
    </row>
    <row r="15578" spans="11:14" x14ac:dyDescent="0.3">
      <c r="K15578" s="1">
        <v>42461</v>
      </c>
      <c r="M15578" t="e">
        <v>#N/A</v>
      </c>
      <c r="N15578" s="1">
        <v>42095</v>
      </c>
    </row>
    <row r="15579" spans="11:14" x14ac:dyDescent="0.3">
      <c r="K15579" s="1">
        <v>42461</v>
      </c>
      <c r="M15579" t="e">
        <v>#N/A</v>
      </c>
      <c r="N15579" s="1">
        <v>42095</v>
      </c>
    </row>
    <row r="15580" spans="11:14" x14ac:dyDescent="0.3">
      <c r="K15580" s="1">
        <v>42461</v>
      </c>
      <c r="M15580" t="e">
        <v>#N/A</v>
      </c>
      <c r="N15580" s="1">
        <v>42095</v>
      </c>
    </row>
    <row r="15581" spans="11:14" x14ac:dyDescent="0.3">
      <c r="K15581" s="1">
        <v>42461</v>
      </c>
      <c r="M15581" t="e">
        <v>#N/A</v>
      </c>
      <c r="N15581" s="1">
        <v>42095</v>
      </c>
    </row>
    <row r="15582" spans="11:14" x14ac:dyDescent="0.3">
      <c r="K15582" s="1">
        <v>42461</v>
      </c>
      <c r="M15582" t="e">
        <v>#N/A</v>
      </c>
      <c r="N15582" s="1">
        <v>42095</v>
      </c>
    </row>
    <row r="15583" spans="11:14" x14ac:dyDescent="0.3">
      <c r="K15583" s="1">
        <v>42461</v>
      </c>
      <c r="M15583" t="e">
        <v>#N/A</v>
      </c>
      <c r="N15583" s="1">
        <v>42095</v>
      </c>
    </row>
    <row r="15584" spans="11:14" x14ac:dyDescent="0.3">
      <c r="K15584" s="1">
        <v>42461</v>
      </c>
      <c r="M15584" t="e">
        <v>#N/A</v>
      </c>
      <c r="N15584" s="1">
        <v>42095</v>
      </c>
    </row>
    <row r="15585" spans="11:14" x14ac:dyDescent="0.3">
      <c r="K15585" s="1">
        <v>42461</v>
      </c>
      <c r="M15585" t="e">
        <v>#N/A</v>
      </c>
      <c r="N15585" s="1">
        <v>42095</v>
      </c>
    </row>
    <row r="15586" spans="11:14" x14ac:dyDescent="0.3">
      <c r="K15586" s="1">
        <v>42461</v>
      </c>
      <c r="M15586" t="e">
        <v>#N/A</v>
      </c>
      <c r="N15586" s="1">
        <v>42095</v>
      </c>
    </row>
    <row r="15587" spans="11:14" x14ac:dyDescent="0.3">
      <c r="K15587" s="1">
        <v>42461</v>
      </c>
      <c r="M15587" t="e">
        <v>#N/A</v>
      </c>
      <c r="N15587" s="1">
        <v>42095</v>
      </c>
    </row>
    <row r="15588" spans="11:14" x14ac:dyDescent="0.3">
      <c r="K15588" s="1">
        <v>42461</v>
      </c>
      <c r="M15588" t="e">
        <v>#N/A</v>
      </c>
      <c r="N15588" s="1">
        <v>42095</v>
      </c>
    </row>
    <row r="15589" spans="11:14" x14ac:dyDescent="0.3">
      <c r="K15589" s="1">
        <v>42461</v>
      </c>
      <c r="M15589" t="e">
        <v>#N/A</v>
      </c>
      <c r="N15589" s="1">
        <v>42095</v>
      </c>
    </row>
    <row r="15590" spans="11:14" x14ac:dyDescent="0.3">
      <c r="K15590" s="1">
        <v>42461</v>
      </c>
      <c r="M15590" t="e">
        <v>#N/A</v>
      </c>
      <c r="N15590" s="1">
        <v>42095</v>
      </c>
    </row>
    <row r="15591" spans="11:14" x14ac:dyDescent="0.3">
      <c r="K15591" s="1">
        <v>42461</v>
      </c>
      <c r="M15591" t="e">
        <v>#N/A</v>
      </c>
      <c r="N15591" s="1">
        <v>42095</v>
      </c>
    </row>
    <row r="15592" spans="11:14" x14ac:dyDescent="0.3">
      <c r="K15592" s="1">
        <v>42461</v>
      </c>
      <c r="M15592" t="e">
        <v>#N/A</v>
      </c>
      <c r="N15592" s="1">
        <v>42095</v>
      </c>
    </row>
    <row r="15593" spans="11:14" x14ac:dyDescent="0.3">
      <c r="K15593" s="1">
        <v>42461</v>
      </c>
      <c r="M15593" t="e">
        <v>#N/A</v>
      </c>
      <c r="N15593" s="1">
        <v>42095</v>
      </c>
    </row>
    <row r="15594" spans="11:14" x14ac:dyDescent="0.3">
      <c r="K15594" s="1">
        <v>42461</v>
      </c>
      <c r="M15594" t="e">
        <v>#N/A</v>
      </c>
      <c r="N15594" s="1">
        <v>42095</v>
      </c>
    </row>
    <row r="15595" spans="11:14" x14ac:dyDescent="0.3">
      <c r="K15595" s="1">
        <v>42461</v>
      </c>
      <c r="M15595" t="e">
        <v>#N/A</v>
      </c>
      <c r="N15595" s="1">
        <v>42095</v>
      </c>
    </row>
    <row r="15596" spans="11:14" x14ac:dyDescent="0.3">
      <c r="K15596" s="1">
        <v>42461</v>
      </c>
      <c r="M15596" t="e">
        <v>#N/A</v>
      </c>
      <c r="N15596" s="1">
        <v>42095</v>
      </c>
    </row>
    <row r="15597" spans="11:14" x14ac:dyDescent="0.3">
      <c r="K15597" s="1">
        <v>42461</v>
      </c>
      <c r="M15597" t="e">
        <v>#N/A</v>
      </c>
      <c r="N15597" s="1">
        <v>42095</v>
      </c>
    </row>
    <row r="15598" spans="11:14" x14ac:dyDescent="0.3">
      <c r="K15598" s="1">
        <v>42461</v>
      </c>
      <c r="M15598" t="e">
        <v>#N/A</v>
      </c>
      <c r="N15598" s="1">
        <v>42095</v>
      </c>
    </row>
    <row r="15599" spans="11:14" x14ac:dyDescent="0.3">
      <c r="K15599" s="1">
        <v>42461</v>
      </c>
      <c r="M15599" t="e">
        <v>#N/A</v>
      </c>
      <c r="N15599" s="1">
        <v>42095</v>
      </c>
    </row>
    <row r="15600" spans="11:14" x14ac:dyDescent="0.3">
      <c r="K15600" s="1">
        <v>42461</v>
      </c>
      <c r="M15600" t="e">
        <v>#N/A</v>
      </c>
      <c r="N15600" s="1">
        <v>42095</v>
      </c>
    </row>
    <row r="15601" spans="11:14" x14ac:dyDescent="0.3">
      <c r="K15601" s="1">
        <v>42461</v>
      </c>
      <c r="M15601" t="e">
        <v>#N/A</v>
      </c>
      <c r="N15601" s="1">
        <v>42095</v>
      </c>
    </row>
    <row r="15602" spans="11:14" x14ac:dyDescent="0.3">
      <c r="K15602" s="1">
        <v>42461</v>
      </c>
      <c r="M15602" t="e">
        <v>#N/A</v>
      </c>
      <c r="N15602" s="1">
        <v>42095</v>
      </c>
    </row>
    <row r="15603" spans="11:14" x14ac:dyDescent="0.3">
      <c r="K15603" s="1">
        <v>42461</v>
      </c>
      <c r="M15603" t="e">
        <v>#N/A</v>
      </c>
      <c r="N15603" s="1">
        <v>42095</v>
      </c>
    </row>
    <row r="15604" spans="11:14" x14ac:dyDescent="0.3">
      <c r="K15604" s="1">
        <v>42461</v>
      </c>
      <c r="M15604" t="e">
        <v>#N/A</v>
      </c>
      <c r="N15604" s="1">
        <v>42095</v>
      </c>
    </row>
    <row r="15605" spans="11:14" x14ac:dyDescent="0.3">
      <c r="K15605" s="1">
        <v>42461</v>
      </c>
      <c r="M15605" t="e">
        <v>#N/A</v>
      </c>
      <c r="N15605" s="1">
        <v>42095</v>
      </c>
    </row>
    <row r="15606" spans="11:14" x14ac:dyDescent="0.3">
      <c r="K15606" s="1">
        <v>42461</v>
      </c>
      <c r="M15606" t="e">
        <v>#N/A</v>
      </c>
      <c r="N15606" s="1">
        <v>42095</v>
      </c>
    </row>
    <row r="15607" spans="11:14" x14ac:dyDescent="0.3">
      <c r="K15607" s="1">
        <v>42461</v>
      </c>
      <c r="M15607" t="e">
        <v>#N/A</v>
      </c>
      <c r="N15607" s="1">
        <v>42095</v>
      </c>
    </row>
    <row r="15608" spans="11:14" x14ac:dyDescent="0.3">
      <c r="K15608" s="1">
        <v>42461</v>
      </c>
      <c r="M15608" t="e">
        <v>#N/A</v>
      </c>
      <c r="N15608" s="1">
        <v>42095</v>
      </c>
    </row>
    <row r="15609" spans="11:14" x14ac:dyDescent="0.3">
      <c r="K15609" s="1">
        <v>42461</v>
      </c>
      <c r="M15609" t="e">
        <v>#N/A</v>
      </c>
      <c r="N15609" s="1">
        <v>42095</v>
      </c>
    </row>
    <row r="15610" spans="11:14" x14ac:dyDescent="0.3">
      <c r="K15610" s="1">
        <v>42461</v>
      </c>
      <c r="M15610" t="e">
        <v>#N/A</v>
      </c>
      <c r="N15610" s="1">
        <v>42095</v>
      </c>
    </row>
    <row r="15611" spans="11:14" x14ac:dyDescent="0.3">
      <c r="K15611" s="1">
        <v>42461</v>
      </c>
      <c r="M15611" t="e">
        <v>#N/A</v>
      </c>
      <c r="N15611" s="1">
        <v>42095</v>
      </c>
    </row>
    <row r="15612" spans="11:14" x14ac:dyDescent="0.3">
      <c r="K15612" s="1">
        <v>42461</v>
      </c>
      <c r="M15612" t="e">
        <v>#N/A</v>
      </c>
      <c r="N15612" s="1">
        <v>42095</v>
      </c>
    </row>
    <row r="15613" spans="11:14" x14ac:dyDescent="0.3">
      <c r="K15613" s="1">
        <v>42461</v>
      </c>
      <c r="M15613" t="e">
        <v>#N/A</v>
      </c>
      <c r="N15613" s="1">
        <v>42095</v>
      </c>
    </row>
    <row r="15614" spans="11:14" x14ac:dyDescent="0.3">
      <c r="K15614" s="1">
        <v>42461</v>
      </c>
      <c r="M15614" t="e">
        <v>#N/A</v>
      </c>
      <c r="N15614" s="1">
        <v>42095</v>
      </c>
    </row>
    <row r="15615" spans="11:14" x14ac:dyDescent="0.3">
      <c r="K15615" s="1">
        <v>42461</v>
      </c>
      <c r="M15615" t="e">
        <v>#N/A</v>
      </c>
      <c r="N15615" s="1">
        <v>42095</v>
      </c>
    </row>
    <row r="15616" spans="11:14" x14ac:dyDescent="0.3">
      <c r="K15616" s="1">
        <v>42461</v>
      </c>
      <c r="M15616" t="e">
        <v>#N/A</v>
      </c>
      <c r="N15616" s="1">
        <v>42095</v>
      </c>
    </row>
    <row r="15617" spans="11:14" x14ac:dyDescent="0.3">
      <c r="K15617" s="1">
        <v>42461</v>
      </c>
      <c r="M15617" t="e">
        <v>#N/A</v>
      </c>
      <c r="N15617" s="1">
        <v>42095</v>
      </c>
    </row>
    <row r="15618" spans="11:14" x14ac:dyDescent="0.3">
      <c r="K15618" s="1">
        <v>42461</v>
      </c>
      <c r="M15618" t="e">
        <v>#N/A</v>
      </c>
      <c r="N15618" s="1">
        <v>42095</v>
      </c>
    </row>
    <row r="15619" spans="11:14" x14ac:dyDescent="0.3">
      <c r="K15619" s="1">
        <v>42461</v>
      </c>
      <c r="M15619" t="e">
        <v>#N/A</v>
      </c>
      <c r="N15619" s="1">
        <v>42095</v>
      </c>
    </row>
    <row r="15620" spans="11:14" x14ac:dyDescent="0.3">
      <c r="K15620" s="1">
        <v>42461</v>
      </c>
      <c r="M15620" t="e">
        <v>#N/A</v>
      </c>
      <c r="N15620" s="1">
        <v>42095</v>
      </c>
    </row>
    <row r="15621" spans="11:14" x14ac:dyDescent="0.3">
      <c r="K15621" s="1">
        <v>42461</v>
      </c>
      <c r="M15621" t="e">
        <v>#N/A</v>
      </c>
      <c r="N15621" s="1">
        <v>42095</v>
      </c>
    </row>
    <row r="15622" spans="11:14" x14ac:dyDescent="0.3">
      <c r="K15622" s="1">
        <v>42461</v>
      </c>
      <c r="M15622" t="e">
        <v>#N/A</v>
      </c>
      <c r="N15622" s="1">
        <v>42095</v>
      </c>
    </row>
    <row r="15623" spans="11:14" x14ac:dyDescent="0.3">
      <c r="K15623" s="1">
        <v>42461</v>
      </c>
      <c r="M15623" t="e">
        <v>#N/A</v>
      </c>
      <c r="N15623" s="1">
        <v>42095</v>
      </c>
    </row>
    <row r="15624" spans="11:14" x14ac:dyDescent="0.3">
      <c r="K15624" s="1">
        <v>42461</v>
      </c>
      <c r="M15624" t="e">
        <v>#N/A</v>
      </c>
      <c r="N15624" s="1">
        <v>42095</v>
      </c>
    </row>
    <row r="15625" spans="11:14" x14ac:dyDescent="0.3">
      <c r="K15625" s="1">
        <v>42461</v>
      </c>
      <c r="M15625" t="e">
        <v>#N/A</v>
      </c>
      <c r="N15625" s="1">
        <v>42095</v>
      </c>
    </row>
    <row r="15626" spans="11:14" x14ac:dyDescent="0.3">
      <c r="K15626" s="1">
        <v>42461</v>
      </c>
      <c r="M15626" t="e">
        <v>#N/A</v>
      </c>
      <c r="N15626" s="1">
        <v>42095</v>
      </c>
    </row>
    <row r="15627" spans="11:14" x14ac:dyDescent="0.3">
      <c r="K15627" s="1">
        <v>42461</v>
      </c>
      <c r="M15627" t="e">
        <v>#N/A</v>
      </c>
      <c r="N15627" s="1">
        <v>42095</v>
      </c>
    </row>
    <row r="15628" spans="11:14" x14ac:dyDescent="0.3">
      <c r="K15628" s="1">
        <v>42461</v>
      </c>
      <c r="M15628" t="e">
        <v>#N/A</v>
      </c>
      <c r="N15628" s="1">
        <v>42095</v>
      </c>
    </row>
    <row r="15629" spans="11:14" x14ac:dyDescent="0.3">
      <c r="K15629" s="1">
        <v>42461</v>
      </c>
      <c r="M15629" t="e">
        <v>#N/A</v>
      </c>
      <c r="N15629" s="1">
        <v>42095</v>
      </c>
    </row>
    <row r="15630" spans="11:14" x14ac:dyDescent="0.3">
      <c r="K15630" s="1">
        <v>42461</v>
      </c>
      <c r="M15630" t="e">
        <v>#N/A</v>
      </c>
      <c r="N15630" s="1">
        <v>42095</v>
      </c>
    </row>
    <row r="15631" spans="11:14" x14ac:dyDescent="0.3">
      <c r="K15631" s="1">
        <v>42461</v>
      </c>
      <c r="M15631" t="e">
        <v>#N/A</v>
      </c>
      <c r="N15631" s="1">
        <v>42095</v>
      </c>
    </row>
    <row r="15632" spans="11:14" x14ac:dyDescent="0.3">
      <c r="K15632" s="1">
        <v>42552</v>
      </c>
      <c r="M15632" t="e">
        <v>#N/A</v>
      </c>
      <c r="N15632" s="1">
        <v>42095</v>
      </c>
    </row>
    <row r="15633" spans="11:14" x14ac:dyDescent="0.3">
      <c r="K15633" s="1">
        <v>42552</v>
      </c>
      <c r="M15633" t="e">
        <v>#N/A</v>
      </c>
      <c r="N15633" s="1">
        <v>42095</v>
      </c>
    </row>
    <row r="15634" spans="11:14" x14ac:dyDescent="0.3">
      <c r="K15634" s="1">
        <v>42552</v>
      </c>
      <c r="M15634" t="e">
        <v>#N/A</v>
      </c>
      <c r="N15634" s="1">
        <v>42095</v>
      </c>
    </row>
    <row r="15635" spans="11:14" x14ac:dyDescent="0.3">
      <c r="K15635" s="1">
        <v>42552</v>
      </c>
      <c r="M15635" t="e">
        <v>#N/A</v>
      </c>
      <c r="N15635" s="1">
        <v>42095</v>
      </c>
    </row>
    <row r="15636" spans="11:14" x14ac:dyDescent="0.3">
      <c r="K15636" s="1">
        <v>42552</v>
      </c>
      <c r="M15636" t="e">
        <v>#N/A</v>
      </c>
      <c r="N15636" s="1">
        <v>42095</v>
      </c>
    </row>
    <row r="15637" spans="11:14" x14ac:dyDescent="0.3">
      <c r="K15637" s="1">
        <v>42552</v>
      </c>
      <c r="M15637" t="e">
        <v>#N/A</v>
      </c>
      <c r="N15637" s="1">
        <v>42095</v>
      </c>
    </row>
    <row r="15638" spans="11:14" x14ac:dyDescent="0.3">
      <c r="K15638" s="1">
        <v>42552</v>
      </c>
      <c r="M15638" t="e">
        <v>#N/A</v>
      </c>
      <c r="N15638" s="1">
        <v>42095</v>
      </c>
    </row>
    <row r="15639" spans="11:14" x14ac:dyDescent="0.3">
      <c r="K15639" s="1">
        <v>42552</v>
      </c>
      <c r="M15639" t="e">
        <v>#N/A</v>
      </c>
      <c r="N15639" s="1">
        <v>42095</v>
      </c>
    </row>
    <row r="15640" spans="11:14" x14ac:dyDescent="0.3">
      <c r="K15640" s="1">
        <v>42552</v>
      </c>
      <c r="M15640" t="e">
        <v>#N/A</v>
      </c>
      <c r="N15640" s="1">
        <v>42095</v>
      </c>
    </row>
    <row r="15641" spans="11:14" x14ac:dyDescent="0.3">
      <c r="K15641" s="1">
        <v>42552</v>
      </c>
      <c r="M15641" t="e">
        <v>#N/A</v>
      </c>
      <c r="N15641" s="1">
        <v>42095</v>
      </c>
    </row>
    <row r="15642" spans="11:14" x14ac:dyDescent="0.3">
      <c r="K15642" s="1">
        <v>42552</v>
      </c>
      <c r="M15642" t="e">
        <v>#N/A</v>
      </c>
      <c r="N15642" s="1">
        <v>42095</v>
      </c>
    </row>
    <row r="15643" spans="11:14" x14ac:dyDescent="0.3">
      <c r="K15643" s="1">
        <v>42552</v>
      </c>
      <c r="M15643" t="e">
        <v>#N/A</v>
      </c>
      <c r="N15643" s="1">
        <v>42095</v>
      </c>
    </row>
    <row r="15644" spans="11:14" x14ac:dyDescent="0.3">
      <c r="K15644" s="1">
        <v>42552</v>
      </c>
      <c r="M15644" t="e">
        <v>#N/A</v>
      </c>
      <c r="N15644" s="1">
        <v>42095</v>
      </c>
    </row>
    <row r="15645" spans="11:14" x14ac:dyDescent="0.3">
      <c r="K15645" s="1">
        <v>42552</v>
      </c>
      <c r="M15645" t="e">
        <v>#N/A</v>
      </c>
      <c r="N15645" s="1">
        <v>42095</v>
      </c>
    </row>
    <row r="15646" spans="11:14" x14ac:dyDescent="0.3">
      <c r="K15646" s="1">
        <v>42552</v>
      </c>
      <c r="M15646" t="e">
        <v>#N/A</v>
      </c>
      <c r="N15646" s="1">
        <v>42095</v>
      </c>
    </row>
    <row r="15647" spans="11:14" x14ac:dyDescent="0.3">
      <c r="K15647" s="1">
        <v>42552</v>
      </c>
      <c r="M15647" t="e">
        <v>#N/A</v>
      </c>
      <c r="N15647" s="1">
        <v>42095</v>
      </c>
    </row>
    <row r="15648" spans="11:14" x14ac:dyDescent="0.3">
      <c r="K15648" s="1">
        <v>42552</v>
      </c>
      <c r="M15648" t="e">
        <v>#N/A</v>
      </c>
      <c r="N15648" s="1">
        <v>42095</v>
      </c>
    </row>
    <row r="15649" spans="11:14" x14ac:dyDescent="0.3">
      <c r="K15649" s="1">
        <v>42552</v>
      </c>
      <c r="M15649" t="e">
        <v>#N/A</v>
      </c>
      <c r="N15649" s="1">
        <v>42095</v>
      </c>
    </row>
    <row r="15650" spans="11:14" x14ac:dyDescent="0.3">
      <c r="K15650" s="1">
        <v>42552</v>
      </c>
      <c r="M15650" t="e">
        <v>#N/A</v>
      </c>
      <c r="N15650" s="1">
        <v>42095</v>
      </c>
    </row>
    <row r="15651" spans="11:14" x14ac:dyDescent="0.3">
      <c r="K15651" s="1">
        <v>42552</v>
      </c>
      <c r="M15651" t="e">
        <v>#N/A</v>
      </c>
      <c r="N15651" s="1">
        <v>42095</v>
      </c>
    </row>
    <row r="15652" spans="11:14" x14ac:dyDescent="0.3">
      <c r="K15652" s="1">
        <v>42552</v>
      </c>
      <c r="M15652" t="e">
        <v>#N/A</v>
      </c>
      <c r="N15652" s="1">
        <v>42095</v>
      </c>
    </row>
    <row r="15653" spans="11:14" x14ac:dyDescent="0.3">
      <c r="K15653" s="1">
        <v>42552</v>
      </c>
      <c r="M15653" t="e">
        <v>#N/A</v>
      </c>
      <c r="N15653" s="1">
        <v>42095</v>
      </c>
    </row>
    <row r="15654" spans="11:14" x14ac:dyDescent="0.3">
      <c r="K15654" s="1">
        <v>42552</v>
      </c>
      <c r="M15654" t="e">
        <v>#N/A</v>
      </c>
      <c r="N15654" s="1">
        <v>42095</v>
      </c>
    </row>
    <row r="15655" spans="11:14" x14ac:dyDescent="0.3">
      <c r="K15655" s="1">
        <v>42552</v>
      </c>
      <c r="M15655" t="e">
        <v>#N/A</v>
      </c>
      <c r="N15655" s="1">
        <v>42095</v>
      </c>
    </row>
    <row r="15656" spans="11:14" x14ac:dyDescent="0.3">
      <c r="K15656" s="1">
        <v>42552</v>
      </c>
      <c r="M15656" t="e">
        <v>#N/A</v>
      </c>
      <c r="N15656" s="1">
        <v>42095</v>
      </c>
    </row>
    <row r="15657" spans="11:14" x14ac:dyDescent="0.3">
      <c r="K15657" s="1">
        <v>42552</v>
      </c>
      <c r="M15657" t="e">
        <v>#N/A</v>
      </c>
      <c r="N15657" s="1">
        <v>42095</v>
      </c>
    </row>
    <row r="15658" spans="11:14" x14ac:dyDescent="0.3">
      <c r="K15658" s="1">
        <v>42552</v>
      </c>
      <c r="M15658" t="e">
        <v>#N/A</v>
      </c>
      <c r="N15658" s="1">
        <v>42095</v>
      </c>
    </row>
    <row r="15659" spans="11:14" x14ac:dyDescent="0.3">
      <c r="K15659" s="1">
        <v>42552</v>
      </c>
      <c r="M15659" t="e">
        <v>#N/A</v>
      </c>
      <c r="N15659" s="1">
        <v>42095</v>
      </c>
    </row>
    <row r="15660" spans="11:14" x14ac:dyDescent="0.3">
      <c r="K15660" s="1">
        <v>42552</v>
      </c>
      <c r="M15660" t="e">
        <v>#N/A</v>
      </c>
      <c r="N15660" s="1">
        <v>42095</v>
      </c>
    </row>
    <row r="15661" spans="11:14" x14ac:dyDescent="0.3">
      <c r="K15661" s="1">
        <v>42552</v>
      </c>
      <c r="M15661" t="e">
        <v>#N/A</v>
      </c>
      <c r="N15661" s="1">
        <v>42095</v>
      </c>
    </row>
    <row r="15662" spans="11:14" x14ac:dyDescent="0.3">
      <c r="K15662" s="1">
        <v>42552</v>
      </c>
      <c r="M15662" t="e">
        <v>#N/A</v>
      </c>
      <c r="N15662" s="1">
        <v>42095</v>
      </c>
    </row>
    <row r="15663" spans="11:14" x14ac:dyDescent="0.3">
      <c r="K15663" s="1">
        <v>42552</v>
      </c>
      <c r="M15663" t="e">
        <v>#N/A</v>
      </c>
      <c r="N15663" s="1">
        <v>42095</v>
      </c>
    </row>
    <row r="15664" spans="11:14" x14ac:dyDescent="0.3">
      <c r="K15664" s="1">
        <v>42552</v>
      </c>
      <c r="M15664" t="e">
        <v>#N/A</v>
      </c>
      <c r="N15664" s="1">
        <v>42095</v>
      </c>
    </row>
    <row r="15665" spans="11:14" x14ac:dyDescent="0.3">
      <c r="K15665" s="1">
        <v>42552</v>
      </c>
      <c r="M15665" t="e">
        <v>#N/A</v>
      </c>
      <c r="N15665" s="1">
        <v>42095</v>
      </c>
    </row>
    <row r="15666" spans="11:14" x14ac:dyDescent="0.3">
      <c r="K15666" s="1">
        <v>42552</v>
      </c>
      <c r="M15666" t="e">
        <v>#N/A</v>
      </c>
      <c r="N15666" s="1">
        <v>42095</v>
      </c>
    </row>
    <row r="15667" spans="11:14" x14ac:dyDescent="0.3">
      <c r="K15667" s="1">
        <v>42552</v>
      </c>
      <c r="M15667" t="e">
        <v>#N/A</v>
      </c>
      <c r="N15667" s="1">
        <v>42095</v>
      </c>
    </row>
    <row r="15668" spans="11:14" x14ac:dyDescent="0.3">
      <c r="K15668" s="1">
        <v>42552</v>
      </c>
      <c r="M15668" t="e">
        <v>#N/A</v>
      </c>
      <c r="N15668" s="1">
        <v>42095</v>
      </c>
    </row>
    <row r="15669" spans="11:14" x14ac:dyDescent="0.3">
      <c r="K15669" s="1">
        <v>42552</v>
      </c>
      <c r="M15669" t="e">
        <v>#N/A</v>
      </c>
      <c r="N15669" s="1">
        <v>42095</v>
      </c>
    </row>
    <row r="15670" spans="11:14" x14ac:dyDescent="0.3">
      <c r="K15670" s="1">
        <v>42552</v>
      </c>
      <c r="M15670" t="e">
        <v>#N/A</v>
      </c>
      <c r="N15670" s="1">
        <v>42095</v>
      </c>
    </row>
    <row r="15671" spans="11:14" x14ac:dyDescent="0.3">
      <c r="K15671" s="1">
        <v>42552</v>
      </c>
      <c r="M15671" t="e">
        <v>#N/A</v>
      </c>
      <c r="N15671" s="1">
        <v>42095</v>
      </c>
    </row>
    <row r="15672" spans="11:14" x14ac:dyDescent="0.3">
      <c r="K15672" s="1">
        <v>42552</v>
      </c>
      <c r="M15672" t="e">
        <v>#N/A</v>
      </c>
      <c r="N15672" s="1">
        <v>42095</v>
      </c>
    </row>
    <row r="15673" spans="11:14" x14ac:dyDescent="0.3">
      <c r="K15673" s="1">
        <v>42552</v>
      </c>
      <c r="M15673" t="e">
        <v>#N/A</v>
      </c>
      <c r="N15673" s="1">
        <v>42095</v>
      </c>
    </row>
    <row r="15674" spans="11:14" x14ac:dyDescent="0.3">
      <c r="K15674" s="1">
        <v>42552</v>
      </c>
      <c r="M15674" t="e">
        <v>#N/A</v>
      </c>
      <c r="N15674" s="1">
        <v>42095</v>
      </c>
    </row>
    <row r="15675" spans="11:14" x14ac:dyDescent="0.3">
      <c r="K15675" s="1">
        <v>42552</v>
      </c>
      <c r="M15675" t="e">
        <v>#N/A</v>
      </c>
      <c r="N15675" s="1">
        <v>42095</v>
      </c>
    </row>
    <row r="15676" spans="11:14" x14ac:dyDescent="0.3">
      <c r="K15676" s="1">
        <v>42552</v>
      </c>
      <c r="M15676" t="e">
        <v>#N/A</v>
      </c>
      <c r="N15676" s="1">
        <v>42095</v>
      </c>
    </row>
    <row r="15677" spans="11:14" x14ac:dyDescent="0.3">
      <c r="K15677" s="1">
        <v>42552</v>
      </c>
      <c r="M15677" t="e">
        <v>#N/A</v>
      </c>
      <c r="N15677" s="1">
        <v>42095</v>
      </c>
    </row>
    <row r="15678" spans="11:14" x14ac:dyDescent="0.3">
      <c r="K15678" s="1">
        <v>42552</v>
      </c>
      <c r="M15678" t="e">
        <v>#N/A</v>
      </c>
      <c r="N15678" s="1">
        <v>42095</v>
      </c>
    </row>
    <row r="15679" spans="11:14" x14ac:dyDescent="0.3">
      <c r="K15679" s="1">
        <v>42552</v>
      </c>
      <c r="M15679" t="e">
        <v>#N/A</v>
      </c>
      <c r="N15679" s="1">
        <v>42095</v>
      </c>
    </row>
    <row r="15680" spans="11:14" x14ac:dyDescent="0.3">
      <c r="K15680" s="1">
        <v>42552</v>
      </c>
      <c r="M15680" t="e">
        <v>#N/A</v>
      </c>
      <c r="N15680" s="1">
        <v>42095</v>
      </c>
    </row>
    <row r="15681" spans="11:14" x14ac:dyDescent="0.3">
      <c r="K15681" s="1">
        <v>42552</v>
      </c>
      <c r="M15681" t="e">
        <v>#N/A</v>
      </c>
      <c r="N15681" s="1">
        <v>42095</v>
      </c>
    </row>
    <row r="15682" spans="11:14" x14ac:dyDescent="0.3">
      <c r="K15682" s="1">
        <v>42552</v>
      </c>
      <c r="M15682" t="e">
        <v>#N/A</v>
      </c>
      <c r="N15682" s="1">
        <v>42095</v>
      </c>
    </row>
    <row r="15683" spans="11:14" x14ac:dyDescent="0.3">
      <c r="K15683" s="1">
        <v>42552</v>
      </c>
      <c r="M15683" t="e">
        <v>#N/A</v>
      </c>
      <c r="N15683" s="1">
        <v>42095</v>
      </c>
    </row>
    <row r="15684" spans="11:14" x14ac:dyDescent="0.3">
      <c r="K15684" s="1">
        <v>42552</v>
      </c>
      <c r="M15684" t="e">
        <v>#N/A</v>
      </c>
      <c r="N15684" s="1">
        <v>42095</v>
      </c>
    </row>
    <row r="15685" spans="11:14" x14ac:dyDescent="0.3">
      <c r="K15685" s="1">
        <v>42552</v>
      </c>
      <c r="M15685" t="e">
        <v>#N/A</v>
      </c>
      <c r="N15685" s="1">
        <v>42095</v>
      </c>
    </row>
    <row r="15686" spans="11:14" x14ac:dyDescent="0.3">
      <c r="K15686" s="1">
        <v>42552</v>
      </c>
      <c r="M15686" t="e">
        <v>#N/A</v>
      </c>
      <c r="N15686" s="1">
        <v>42095</v>
      </c>
    </row>
    <row r="15687" spans="11:14" x14ac:dyDescent="0.3">
      <c r="K15687" s="1">
        <v>42552</v>
      </c>
      <c r="M15687" t="e">
        <v>#N/A</v>
      </c>
      <c r="N15687" s="1">
        <v>42095</v>
      </c>
    </row>
    <row r="15688" spans="11:14" x14ac:dyDescent="0.3">
      <c r="K15688" s="1">
        <v>42552</v>
      </c>
      <c r="M15688" t="e">
        <v>#N/A</v>
      </c>
      <c r="N15688" s="1">
        <v>42095</v>
      </c>
    </row>
    <row r="15689" spans="11:14" x14ac:dyDescent="0.3">
      <c r="K15689" s="1">
        <v>42552</v>
      </c>
      <c r="M15689" t="e">
        <v>#N/A</v>
      </c>
      <c r="N15689" s="1">
        <v>42095</v>
      </c>
    </row>
    <row r="15690" spans="11:14" x14ac:dyDescent="0.3">
      <c r="K15690" s="1">
        <v>42552</v>
      </c>
      <c r="M15690" t="e">
        <v>#N/A</v>
      </c>
      <c r="N15690" s="1">
        <v>42095</v>
      </c>
    </row>
    <row r="15691" spans="11:14" x14ac:dyDescent="0.3">
      <c r="K15691" s="1">
        <v>42552</v>
      </c>
      <c r="M15691" t="e">
        <v>#N/A</v>
      </c>
      <c r="N15691" s="1">
        <v>42095</v>
      </c>
    </row>
    <row r="15692" spans="11:14" x14ac:dyDescent="0.3">
      <c r="K15692" s="1">
        <v>42552</v>
      </c>
      <c r="M15692" t="e">
        <v>#N/A</v>
      </c>
      <c r="N15692" s="1">
        <v>42095</v>
      </c>
    </row>
    <row r="15693" spans="11:14" x14ac:dyDescent="0.3">
      <c r="K15693" s="1">
        <v>42552</v>
      </c>
      <c r="M15693" t="e">
        <v>#N/A</v>
      </c>
      <c r="N15693" s="1">
        <v>42095</v>
      </c>
    </row>
    <row r="15694" spans="11:14" x14ac:dyDescent="0.3">
      <c r="K15694" s="1">
        <v>42552</v>
      </c>
      <c r="M15694" t="e">
        <v>#N/A</v>
      </c>
      <c r="N15694" s="1">
        <v>42095</v>
      </c>
    </row>
    <row r="15695" spans="11:14" x14ac:dyDescent="0.3">
      <c r="K15695" s="1">
        <v>42552</v>
      </c>
      <c r="M15695" t="e">
        <v>#N/A</v>
      </c>
      <c r="N15695" s="1">
        <v>42095</v>
      </c>
    </row>
    <row r="15696" spans="11:14" x14ac:dyDescent="0.3">
      <c r="K15696" s="1">
        <v>42552</v>
      </c>
      <c r="M15696" t="e">
        <v>#N/A</v>
      </c>
      <c r="N15696" s="1">
        <v>42095</v>
      </c>
    </row>
    <row r="15697" spans="11:14" x14ac:dyDescent="0.3">
      <c r="K15697" s="1">
        <v>42552</v>
      </c>
      <c r="M15697" t="e">
        <v>#N/A</v>
      </c>
      <c r="N15697" s="1">
        <v>42095</v>
      </c>
    </row>
    <row r="15698" spans="11:14" x14ac:dyDescent="0.3">
      <c r="K15698" s="1">
        <v>42552</v>
      </c>
      <c r="M15698" t="e">
        <v>#N/A</v>
      </c>
      <c r="N15698" s="1">
        <v>42095</v>
      </c>
    </row>
    <row r="15699" spans="11:14" x14ac:dyDescent="0.3">
      <c r="K15699" s="1">
        <v>42552</v>
      </c>
      <c r="M15699" t="e">
        <v>#N/A</v>
      </c>
      <c r="N15699" s="1">
        <v>42095</v>
      </c>
    </row>
    <row r="15700" spans="11:14" x14ac:dyDescent="0.3">
      <c r="K15700" s="1">
        <v>42552</v>
      </c>
      <c r="M15700" t="e">
        <v>#N/A</v>
      </c>
      <c r="N15700" s="1">
        <v>42095</v>
      </c>
    </row>
    <row r="15701" spans="11:14" x14ac:dyDescent="0.3">
      <c r="K15701" s="1">
        <v>42552</v>
      </c>
      <c r="M15701" t="e">
        <v>#N/A</v>
      </c>
      <c r="N15701" s="1">
        <v>42095</v>
      </c>
    </row>
    <row r="15702" spans="11:14" x14ac:dyDescent="0.3">
      <c r="K15702" s="1">
        <v>42552</v>
      </c>
      <c r="M15702" t="e">
        <v>#N/A</v>
      </c>
      <c r="N15702" s="1">
        <v>42095</v>
      </c>
    </row>
    <row r="15703" spans="11:14" x14ac:dyDescent="0.3">
      <c r="K15703" s="1">
        <v>42552</v>
      </c>
      <c r="M15703" t="e">
        <v>#N/A</v>
      </c>
      <c r="N15703" s="1">
        <v>42095</v>
      </c>
    </row>
    <row r="15704" spans="11:14" x14ac:dyDescent="0.3">
      <c r="K15704" s="1">
        <v>42552</v>
      </c>
      <c r="M15704" t="e">
        <v>#N/A</v>
      </c>
      <c r="N15704" s="1">
        <v>42095</v>
      </c>
    </row>
    <row r="15705" spans="11:14" x14ac:dyDescent="0.3">
      <c r="K15705" s="1">
        <v>42552</v>
      </c>
      <c r="M15705" t="e">
        <v>#N/A</v>
      </c>
      <c r="N15705" s="1">
        <v>42095</v>
      </c>
    </row>
    <row r="15706" spans="11:14" x14ac:dyDescent="0.3">
      <c r="K15706" s="1">
        <v>42552</v>
      </c>
      <c r="M15706" t="e">
        <v>#N/A</v>
      </c>
      <c r="N15706" s="1">
        <v>42095</v>
      </c>
    </row>
    <row r="15707" spans="11:14" x14ac:dyDescent="0.3">
      <c r="K15707" s="1">
        <v>42552</v>
      </c>
      <c r="M15707" t="e">
        <v>#N/A</v>
      </c>
      <c r="N15707" s="1">
        <v>42095</v>
      </c>
    </row>
    <row r="15708" spans="11:14" x14ac:dyDescent="0.3">
      <c r="K15708" s="1">
        <v>42552</v>
      </c>
      <c r="M15708" t="e">
        <v>#N/A</v>
      </c>
      <c r="N15708" s="1">
        <v>42095</v>
      </c>
    </row>
    <row r="15709" spans="11:14" x14ac:dyDescent="0.3">
      <c r="K15709" s="1">
        <v>42552</v>
      </c>
      <c r="M15709" t="e">
        <v>#N/A</v>
      </c>
      <c r="N15709" s="1">
        <v>42095</v>
      </c>
    </row>
    <row r="15710" spans="11:14" x14ac:dyDescent="0.3">
      <c r="K15710" s="1">
        <v>42552</v>
      </c>
      <c r="M15710" t="e">
        <v>#N/A</v>
      </c>
      <c r="N15710" s="1">
        <v>42095</v>
      </c>
    </row>
    <row r="15711" spans="11:14" x14ac:dyDescent="0.3">
      <c r="K15711" s="1">
        <v>42552</v>
      </c>
      <c r="M15711" t="e">
        <v>#N/A</v>
      </c>
      <c r="N15711" s="1">
        <v>42095</v>
      </c>
    </row>
    <row r="15712" spans="11:14" x14ac:dyDescent="0.3">
      <c r="K15712" s="1">
        <v>42552</v>
      </c>
      <c r="M15712" t="e">
        <v>#N/A</v>
      </c>
      <c r="N15712" s="1">
        <v>42095</v>
      </c>
    </row>
    <row r="15713" spans="11:14" x14ac:dyDescent="0.3">
      <c r="K15713" s="1">
        <v>42552</v>
      </c>
      <c r="M15713" t="e">
        <v>#N/A</v>
      </c>
      <c r="N15713" s="1">
        <v>42095</v>
      </c>
    </row>
    <row r="15714" spans="11:14" x14ac:dyDescent="0.3">
      <c r="K15714" s="1">
        <v>42552</v>
      </c>
      <c r="M15714" t="e">
        <v>#N/A</v>
      </c>
      <c r="N15714" s="1">
        <v>42186</v>
      </c>
    </row>
    <row r="15715" spans="11:14" x14ac:dyDescent="0.3">
      <c r="K15715" s="1">
        <v>42552</v>
      </c>
      <c r="M15715" t="e">
        <v>#N/A</v>
      </c>
      <c r="N15715" s="1">
        <v>42186</v>
      </c>
    </row>
    <row r="15716" spans="11:14" x14ac:dyDescent="0.3">
      <c r="K15716" s="1">
        <v>42552</v>
      </c>
      <c r="M15716" t="e">
        <v>#N/A</v>
      </c>
      <c r="N15716" s="1">
        <v>42186</v>
      </c>
    </row>
    <row r="15717" spans="11:14" x14ac:dyDescent="0.3">
      <c r="K15717" s="1">
        <v>42552</v>
      </c>
      <c r="M15717" t="e">
        <v>#N/A</v>
      </c>
      <c r="N15717" s="1">
        <v>42186</v>
      </c>
    </row>
    <row r="15718" spans="11:14" x14ac:dyDescent="0.3">
      <c r="K15718" s="1">
        <v>42552</v>
      </c>
      <c r="M15718" t="e">
        <v>#N/A</v>
      </c>
      <c r="N15718" s="1">
        <v>42186</v>
      </c>
    </row>
    <row r="15719" spans="11:14" x14ac:dyDescent="0.3">
      <c r="K15719" s="1">
        <v>42552</v>
      </c>
      <c r="M15719" t="e">
        <v>#N/A</v>
      </c>
      <c r="N15719" s="1">
        <v>42186</v>
      </c>
    </row>
    <row r="15720" spans="11:14" x14ac:dyDescent="0.3">
      <c r="K15720" s="1">
        <v>42552</v>
      </c>
      <c r="M15720" t="e">
        <v>#N/A</v>
      </c>
      <c r="N15720" s="1">
        <v>42186</v>
      </c>
    </row>
    <row r="15721" spans="11:14" x14ac:dyDescent="0.3">
      <c r="K15721" s="1">
        <v>42552</v>
      </c>
      <c r="M15721" t="e">
        <v>#N/A</v>
      </c>
      <c r="N15721" s="1">
        <v>42186</v>
      </c>
    </row>
    <row r="15722" spans="11:14" x14ac:dyDescent="0.3">
      <c r="K15722" s="1">
        <v>42552</v>
      </c>
      <c r="M15722" t="e">
        <v>#N/A</v>
      </c>
      <c r="N15722" s="1">
        <v>42186</v>
      </c>
    </row>
    <row r="15723" spans="11:14" x14ac:dyDescent="0.3">
      <c r="K15723" s="1">
        <v>42552</v>
      </c>
      <c r="M15723" t="e">
        <v>#N/A</v>
      </c>
      <c r="N15723" s="1">
        <v>42186</v>
      </c>
    </row>
    <row r="15724" spans="11:14" x14ac:dyDescent="0.3">
      <c r="K15724" s="1">
        <v>42552</v>
      </c>
      <c r="M15724" t="e">
        <v>#N/A</v>
      </c>
      <c r="N15724" s="1">
        <v>42186</v>
      </c>
    </row>
    <row r="15725" spans="11:14" x14ac:dyDescent="0.3">
      <c r="K15725" s="1">
        <v>42552</v>
      </c>
      <c r="M15725" t="e">
        <v>#N/A</v>
      </c>
      <c r="N15725" s="1">
        <v>42186</v>
      </c>
    </row>
    <row r="15726" spans="11:14" x14ac:dyDescent="0.3">
      <c r="K15726" s="1">
        <v>42552</v>
      </c>
      <c r="M15726" t="e">
        <v>#N/A</v>
      </c>
      <c r="N15726" s="1">
        <v>42186</v>
      </c>
    </row>
    <row r="15727" spans="11:14" x14ac:dyDescent="0.3">
      <c r="K15727" s="1">
        <v>42552</v>
      </c>
      <c r="M15727" t="e">
        <v>#N/A</v>
      </c>
      <c r="N15727" s="1">
        <v>42186</v>
      </c>
    </row>
    <row r="15728" spans="11:14" x14ac:dyDescent="0.3">
      <c r="K15728" s="1">
        <v>42552</v>
      </c>
      <c r="M15728" t="e">
        <v>#N/A</v>
      </c>
      <c r="N15728" s="1">
        <v>42186</v>
      </c>
    </row>
    <row r="15729" spans="11:14" x14ac:dyDescent="0.3">
      <c r="K15729" s="1">
        <v>42552</v>
      </c>
      <c r="M15729" t="e">
        <v>#N/A</v>
      </c>
      <c r="N15729" s="1">
        <v>42186</v>
      </c>
    </row>
    <row r="15730" spans="11:14" x14ac:dyDescent="0.3">
      <c r="K15730" s="1">
        <v>42552</v>
      </c>
      <c r="M15730" t="e">
        <v>#N/A</v>
      </c>
      <c r="N15730" s="1">
        <v>42186</v>
      </c>
    </row>
    <row r="15731" spans="11:14" x14ac:dyDescent="0.3">
      <c r="K15731" s="1">
        <v>42552</v>
      </c>
      <c r="M15731" t="e">
        <v>#N/A</v>
      </c>
      <c r="N15731" s="1">
        <v>42186</v>
      </c>
    </row>
    <row r="15732" spans="11:14" x14ac:dyDescent="0.3">
      <c r="K15732" s="1">
        <v>42552</v>
      </c>
      <c r="M15732" t="e">
        <v>#N/A</v>
      </c>
      <c r="N15732" s="1">
        <v>42186</v>
      </c>
    </row>
    <row r="15733" spans="11:14" x14ac:dyDescent="0.3">
      <c r="K15733" s="1">
        <v>42552</v>
      </c>
      <c r="M15733" t="e">
        <v>#N/A</v>
      </c>
      <c r="N15733" s="1">
        <v>42186</v>
      </c>
    </row>
    <row r="15734" spans="11:14" x14ac:dyDescent="0.3">
      <c r="K15734" s="1">
        <v>42552</v>
      </c>
      <c r="M15734" t="e">
        <v>#N/A</v>
      </c>
      <c r="N15734" s="1">
        <v>42186</v>
      </c>
    </row>
    <row r="15735" spans="11:14" x14ac:dyDescent="0.3">
      <c r="K15735" s="1">
        <v>42552</v>
      </c>
      <c r="M15735" t="e">
        <v>#N/A</v>
      </c>
      <c r="N15735" s="1">
        <v>42186</v>
      </c>
    </row>
    <row r="15736" spans="11:14" x14ac:dyDescent="0.3">
      <c r="K15736" s="1">
        <v>42552</v>
      </c>
      <c r="M15736" t="e">
        <v>#N/A</v>
      </c>
      <c r="N15736" s="1">
        <v>42186</v>
      </c>
    </row>
    <row r="15737" spans="11:14" x14ac:dyDescent="0.3">
      <c r="K15737" s="1">
        <v>42552</v>
      </c>
      <c r="M15737" t="e">
        <v>#N/A</v>
      </c>
      <c r="N15737" s="1">
        <v>42186</v>
      </c>
    </row>
    <row r="15738" spans="11:14" x14ac:dyDescent="0.3">
      <c r="K15738" s="1">
        <v>42552</v>
      </c>
      <c r="M15738" t="e">
        <v>#N/A</v>
      </c>
      <c r="N15738" s="1">
        <v>42186</v>
      </c>
    </row>
    <row r="15739" spans="11:14" x14ac:dyDescent="0.3">
      <c r="K15739" s="1">
        <v>42552</v>
      </c>
      <c r="M15739" t="e">
        <v>#N/A</v>
      </c>
      <c r="N15739" s="1">
        <v>42186</v>
      </c>
    </row>
    <row r="15740" spans="11:14" x14ac:dyDescent="0.3">
      <c r="K15740" s="1">
        <v>42552</v>
      </c>
      <c r="M15740" t="e">
        <v>#N/A</v>
      </c>
      <c r="N15740" s="1">
        <v>42186</v>
      </c>
    </row>
    <row r="15741" spans="11:14" x14ac:dyDescent="0.3">
      <c r="K15741" s="1">
        <v>42552</v>
      </c>
      <c r="M15741" t="e">
        <v>#N/A</v>
      </c>
      <c r="N15741" s="1">
        <v>42186</v>
      </c>
    </row>
    <row r="15742" spans="11:14" x14ac:dyDescent="0.3">
      <c r="K15742" s="1">
        <v>42552</v>
      </c>
      <c r="M15742" t="e">
        <v>#N/A</v>
      </c>
      <c r="N15742" s="1">
        <v>42186</v>
      </c>
    </row>
    <row r="15743" spans="11:14" x14ac:dyDescent="0.3">
      <c r="K15743" s="1">
        <v>42552</v>
      </c>
      <c r="M15743" t="e">
        <v>#N/A</v>
      </c>
      <c r="N15743" s="1">
        <v>42186</v>
      </c>
    </row>
    <row r="15744" spans="11:14" x14ac:dyDescent="0.3">
      <c r="K15744" s="1">
        <v>42552</v>
      </c>
      <c r="M15744" t="e">
        <v>#N/A</v>
      </c>
      <c r="N15744" s="1">
        <v>42186</v>
      </c>
    </row>
    <row r="15745" spans="11:14" x14ac:dyDescent="0.3">
      <c r="K15745" s="1">
        <v>42552</v>
      </c>
      <c r="M15745" t="e">
        <v>#N/A</v>
      </c>
      <c r="N15745" s="1">
        <v>42186</v>
      </c>
    </row>
    <row r="15746" spans="11:14" x14ac:dyDescent="0.3">
      <c r="K15746" s="1">
        <v>42552</v>
      </c>
      <c r="M15746" t="e">
        <v>#N/A</v>
      </c>
      <c r="N15746" s="1">
        <v>42186</v>
      </c>
    </row>
    <row r="15747" spans="11:14" x14ac:dyDescent="0.3">
      <c r="K15747" s="1">
        <v>42552</v>
      </c>
      <c r="M15747" t="e">
        <v>#N/A</v>
      </c>
      <c r="N15747" s="1">
        <v>42186</v>
      </c>
    </row>
    <row r="15748" spans="11:14" x14ac:dyDescent="0.3">
      <c r="K15748" s="1">
        <v>42552</v>
      </c>
      <c r="M15748" t="e">
        <v>#N/A</v>
      </c>
      <c r="N15748" s="1">
        <v>42186</v>
      </c>
    </row>
    <row r="15749" spans="11:14" x14ac:dyDescent="0.3">
      <c r="K15749" s="1">
        <v>42552</v>
      </c>
      <c r="M15749" t="e">
        <v>#N/A</v>
      </c>
      <c r="N15749" s="1">
        <v>42186</v>
      </c>
    </row>
    <row r="15750" spans="11:14" x14ac:dyDescent="0.3">
      <c r="K15750" s="1">
        <v>42552</v>
      </c>
      <c r="M15750" t="e">
        <v>#N/A</v>
      </c>
      <c r="N15750" s="1">
        <v>42186</v>
      </c>
    </row>
    <row r="15751" spans="11:14" x14ac:dyDescent="0.3">
      <c r="K15751" s="1">
        <v>42552</v>
      </c>
      <c r="M15751" t="e">
        <v>#N/A</v>
      </c>
      <c r="N15751" s="1">
        <v>42186</v>
      </c>
    </row>
    <row r="15752" spans="11:14" x14ac:dyDescent="0.3">
      <c r="K15752" s="1">
        <v>42552</v>
      </c>
      <c r="M15752" t="e">
        <v>#N/A</v>
      </c>
      <c r="N15752" s="1">
        <v>42186</v>
      </c>
    </row>
    <row r="15753" spans="11:14" x14ac:dyDescent="0.3">
      <c r="K15753" s="1">
        <v>42552</v>
      </c>
      <c r="M15753" t="e">
        <v>#N/A</v>
      </c>
      <c r="N15753" s="1">
        <v>42186</v>
      </c>
    </row>
    <row r="15754" spans="11:14" x14ac:dyDescent="0.3">
      <c r="K15754" s="1">
        <v>42552</v>
      </c>
      <c r="M15754" t="e">
        <v>#N/A</v>
      </c>
      <c r="N15754" s="1">
        <v>42186</v>
      </c>
    </row>
    <row r="15755" spans="11:14" x14ac:dyDescent="0.3">
      <c r="K15755" s="1">
        <v>42552</v>
      </c>
      <c r="M15755" t="e">
        <v>#N/A</v>
      </c>
      <c r="N15755" s="1">
        <v>42186</v>
      </c>
    </row>
    <row r="15756" spans="11:14" x14ac:dyDescent="0.3">
      <c r="K15756" s="1">
        <v>42552</v>
      </c>
      <c r="M15756" t="e">
        <v>#N/A</v>
      </c>
      <c r="N15756" s="1">
        <v>42186</v>
      </c>
    </row>
    <row r="15757" spans="11:14" x14ac:dyDescent="0.3">
      <c r="K15757" s="1">
        <v>42552</v>
      </c>
      <c r="M15757" t="e">
        <v>#N/A</v>
      </c>
      <c r="N15757" s="1">
        <v>42186</v>
      </c>
    </row>
    <row r="15758" spans="11:14" x14ac:dyDescent="0.3">
      <c r="K15758" s="1">
        <v>42552</v>
      </c>
      <c r="M15758" t="e">
        <v>#N/A</v>
      </c>
      <c r="N15758" s="1">
        <v>42186</v>
      </c>
    </row>
    <row r="15759" spans="11:14" x14ac:dyDescent="0.3">
      <c r="K15759" s="1">
        <v>42552</v>
      </c>
      <c r="M15759" t="e">
        <v>#N/A</v>
      </c>
      <c r="N15759" s="1">
        <v>42186</v>
      </c>
    </row>
    <row r="15760" spans="11:14" x14ac:dyDescent="0.3">
      <c r="K15760" s="1">
        <v>42552</v>
      </c>
      <c r="M15760" t="e">
        <v>#N/A</v>
      </c>
      <c r="N15760" s="1">
        <v>42186</v>
      </c>
    </row>
    <row r="15761" spans="11:14" x14ac:dyDescent="0.3">
      <c r="K15761" s="1">
        <v>42552</v>
      </c>
      <c r="M15761" t="e">
        <v>#N/A</v>
      </c>
      <c r="N15761" s="1">
        <v>42186</v>
      </c>
    </row>
    <row r="15762" spans="11:14" x14ac:dyDescent="0.3">
      <c r="K15762" s="1">
        <v>42552</v>
      </c>
      <c r="M15762" t="e">
        <v>#N/A</v>
      </c>
      <c r="N15762" s="1">
        <v>42186</v>
      </c>
    </row>
    <row r="15763" spans="11:14" x14ac:dyDescent="0.3">
      <c r="K15763" s="1">
        <v>42552</v>
      </c>
      <c r="M15763" t="e">
        <v>#N/A</v>
      </c>
      <c r="N15763" s="1">
        <v>42186</v>
      </c>
    </row>
    <row r="15764" spans="11:14" x14ac:dyDescent="0.3">
      <c r="K15764" s="1">
        <v>42552</v>
      </c>
      <c r="M15764" t="e">
        <v>#N/A</v>
      </c>
      <c r="N15764" s="1">
        <v>42186</v>
      </c>
    </row>
    <row r="15765" spans="11:14" x14ac:dyDescent="0.3">
      <c r="K15765" s="1">
        <v>42552</v>
      </c>
      <c r="M15765" t="e">
        <v>#N/A</v>
      </c>
      <c r="N15765" s="1">
        <v>42186</v>
      </c>
    </row>
    <row r="15766" spans="11:14" x14ac:dyDescent="0.3">
      <c r="K15766" s="1">
        <v>42552</v>
      </c>
      <c r="M15766" t="e">
        <v>#N/A</v>
      </c>
      <c r="N15766" s="1">
        <v>42186</v>
      </c>
    </row>
    <row r="15767" spans="11:14" x14ac:dyDescent="0.3">
      <c r="K15767" s="1">
        <v>42552</v>
      </c>
      <c r="M15767" t="e">
        <v>#N/A</v>
      </c>
      <c r="N15767" s="1">
        <v>42186</v>
      </c>
    </row>
    <row r="15768" spans="11:14" x14ac:dyDescent="0.3">
      <c r="K15768" s="1">
        <v>42552</v>
      </c>
      <c r="M15768" t="e">
        <v>#N/A</v>
      </c>
      <c r="N15768" s="1">
        <v>42186</v>
      </c>
    </row>
    <row r="15769" spans="11:14" x14ac:dyDescent="0.3">
      <c r="K15769" s="1">
        <v>42552</v>
      </c>
      <c r="M15769" t="e">
        <v>#N/A</v>
      </c>
      <c r="N15769" s="1">
        <v>42186</v>
      </c>
    </row>
    <row r="15770" spans="11:14" x14ac:dyDescent="0.3">
      <c r="K15770" s="1">
        <v>42552</v>
      </c>
      <c r="M15770" t="e">
        <v>#N/A</v>
      </c>
      <c r="N15770" s="1">
        <v>42186</v>
      </c>
    </row>
    <row r="15771" spans="11:14" x14ac:dyDescent="0.3">
      <c r="K15771" s="1">
        <v>42552</v>
      </c>
      <c r="M15771" t="e">
        <v>#N/A</v>
      </c>
      <c r="N15771" s="1">
        <v>42186</v>
      </c>
    </row>
    <row r="15772" spans="11:14" x14ac:dyDescent="0.3">
      <c r="K15772" s="1">
        <v>42552</v>
      </c>
      <c r="M15772" t="e">
        <v>#N/A</v>
      </c>
      <c r="N15772" s="1">
        <v>42186</v>
      </c>
    </row>
    <row r="15773" spans="11:14" x14ac:dyDescent="0.3">
      <c r="K15773" s="1">
        <v>42552</v>
      </c>
      <c r="M15773" t="e">
        <v>#N/A</v>
      </c>
      <c r="N15773" s="1">
        <v>42186</v>
      </c>
    </row>
    <row r="15774" spans="11:14" x14ac:dyDescent="0.3">
      <c r="K15774" s="1">
        <v>42552</v>
      </c>
      <c r="M15774" t="e">
        <v>#N/A</v>
      </c>
      <c r="N15774" s="1">
        <v>42186</v>
      </c>
    </row>
    <row r="15775" spans="11:14" x14ac:dyDescent="0.3">
      <c r="K15775" s="1">
        <v>42552</v>
      </c>
      <c r="M15775" t="e">
        <v>#N/A</v>
      </c>
      <c r="N15775" s="1">
        <v>42186</v>
      </c>
    </row>
    <row r="15776" spans="11:14" x14ac:dyDescent="0.3">
      <c r="K15776" s="1">
        <v>42552</v>
      </c>
      <c r="M15776" t="e">
        <v>#N/A</v>
      </c>
      <c r="N15776" s="1">
        <v>42186</v>
      </c>
    </row>
    <row r="15777" spans="11:14" x14ac:dyDescent="0.3">
      <c r="K15777" s="1">
        <v>42552</v>
      </c>
      <c r="M15777" t="e">
        <v>#N/A</v>
      </c>
      <c r="N15777" s="1">
        <v>42186</v>
      </c>
    </row>
    <row r="15778" spans="11:14" x14ac:dyDescent="0.3">
      <c r="K15778" s="1">
        <v>42552</v>
      </c>
      <c r="M15778" t="e">
        <v>#N/A</v>
      </c>
      <c r="N15778" s="1">
        <v>42186</v>
      </c>
    </row>
    <row r="15779" spans="11:14" x14ac:dyDescent="0.3">
      <c r="K15779" s="1">
        <v>42552</v>
      </c>
      <c r="M15779" t="e">
        <v>#N/A</v>
      </c>
      <c r="N15779" s="1">
        <v>42186</v>
      </c>
    </row>
    <row r="15780" spans="11:14" x14ac:dyDescent="0.3">
      <c r="K15780" s="1">
        <v>42552</v>
      </c>
      <c r="M15780" t="e">
        <v>#N/A</v>
      </c>
      <c r="N15780" s="1">
        <v>42186</v>
      </c>
    </row>
    <row r="15781" spans="11:14" x14ac:dyDescent="0.3">
      <c r="K15781" s="1">
        <v>42552</v>
      </c>
      <c r="M15781" t="e">
        <v>#N/A</v>
      </c>
      <c r="N15781" s="1">
        <v>42186</v>
      </c>
    </row>
    <row r="15782" spans="11:14" x14ac:dyDescent="0.3">
      <c r="K15782" s="1">
        <v>42552</v>
      </c>
      <c r="M15782" t="e">
        <v>#N/A</v>
      </c>
      <c r="N15782" s="1">
        <v>42186</v>
      </c>
    </row>
    <row r="15783" spans="11:14" x14ac:dyDescent="0.3">
      <c r="K15783" s="1">
        <v>42552</v>
      </c>
      <c r="M15783" t="e">
        <v>#N/A</v>
      </c>
      <c r="N15783" s="1">
        <v>42186</v>
      </c>
    </row>
    <row r="15784" spans="11:14" x14ac:dyDescent="0.3">
      <c r="K15784" s="1">
        <v>42552</v>
      </c>
      <c r="M15784" t="e">
        <v>#N/A</v>
      </c>
      <c r="N15784" s="1">
        <v>42186</v>
      </c>
    </row>
    <row r="15785" spans="11:14" x14ac:dyDescent="0.3">
      <c r="K15785" s="1">
        <v>42552</v>
      </c>
      <c r="M15785" t="e">
        <v>#N/A</v>
      </c>
      <c r="N15785" s="1">
        <v>42186</v>
      </c>
    </row>
    <row r="15786" spans="11:14" x14ac:dyDescent="0.3">
      <c r="K15786" s="1">
        <v>42552</v>
      </c>
      <c r="M15786" t="e">
        <v>#N/A</v>
      </c>
      <c r="N15786" s="1">
        <v>42186</v>
      </c>
    </row>
    <row r="15787" spans="11:14" x14ac:dyDescent="0.3">
      <c r="K15787" s="1">
        <v>42552</v>
      </c>
      <c r="M15787" t="e">
        <v>#N/A</v>
      </c>
      <c r="N15787" s="1">
        <v>42186</v>
      </c>
    </row>
    <row r="15788" spans="11:14" x14ac:dyDescent="0.3">
      <c r="K15788" s="1">
        <v>42552</v>
      </c>
      <c r="M15788" t="e">
        <v>#N/A</v>
      </c>
      <c r="N15788" s="1">
        <v>42186</v>
      </c>
    </row>
    <row r="15789" spans="11:14" x14ac:dyDescent="0.3">
      <c r="K15789" s="1">
        <v>42552</v>
      </c>
      <c r="M15789" t="e">
        <v>#N/A</v>
      </c>
      <c r="N15789" s="1">
        <v>42186</v>
      </c>
    </row>
    <row r="15790" spans="11:14" x14ac:dyDescent="0.3">
      <c r="K15790" s="1">
        <v>42552</v>
      </c>
      <c r="M15790" t="e">
        <v>#N/A</v>
      </c>
      <c r="N15790" s="1">
        <v>42186</v>
      </c>
    </row>
    <row r="15791" spans="11:14" x14ac:dyDescent="0.3">
      <c r="K15791" s="1">
        <v>42552</v>
      </c>
      <c r="M15791" t="e">
        <v>#N/A</v>
      </c>
      <c r="N15791" s="1">
        <v>42186</v>
      </c>
    </row>
    <row r="15792" spans="11:14" x14ac:dyDescent="0.3">
      <c r="K15792" s="1">
        <v>42552</v>
      </c>
      <c r="M15792" t="e">
        <v>#N/A</v>
      </c>
      <c r="N15792" s="1">
        <v>42186</v>
      </c>
    </row>
    <row r="15793" spans="11:14" x14ac:dyDescent="0.3">
      <c r="K15793" s="1">
        <v>42552</v>
      </c>
      <c r="M15793" t="e">
        <v>#N/A</v>
      </c>
      <c r="N15793" s="1">
        <v>42186</v>
      </c>
    </row>
    <row r="15794" spans="11:14" x14ac:dyDescent="0.3">
      <c r="K15794" s="1">
        <v>42552</v>
      </c>
      <c r="M15794" t="e">
        <v>#N/A</v>
      </c>
      <c r="N15794" s="1">
        <v>42186</v>
      </c>
    </row>
    <row r="15795" spans="11:14" x14ac:dyDescent="0.3">
      <c r="K15795" s="1">
        <v>42552</v>
      </c>
      <c r="M15795" t="e">
        <v>#N/A</v>
      </c>
      <c r="N15795" s="1">
        <v>42186</v>
      </c>
    </row>
    <row r="15796" spans="11:14" x14ac:dyDescent="0.3">
      <c r="K15796" s="1">
        <v>42552</v>
      </c>
      <c r="M15796" t="e">
        <v>#N/A</v>
      </c>
      <c r="N15796" s="1">
        <v>42186</v>
      </c>
    </row>
    <row r="15797" spans="11:14" x14ac:dyDescent="0.3">
      <c r="K15797" s="1">
        <v>42552</v>
      </c>
      <c r="M15797" t="e">
        <v>#N/A</v>
      </c>
      <c r="N15797" s="1">
        <v>42186</v>
      </c>
    </row>
    <row r="15798" spans="11:14" x14ac:dyDescent="0.3">
      <c r="K15798" s="1">
        <v>42552</v>
      </c>
      <c r="M15798" t="e">
        <v>#N/A</v>
      </c>
      <c r="N15798" s="1">
        <v>42186</v>
      </c>
    </row>
    <row r="15799" spans="11:14" x14ac:dyDescent="0.3">
      <c r="K15799" s="1">
        <v>42552</v>
      </c>
      <c r="M15799" t="e">
        <v>#N/A</v>
      </c>
      <c r="N15799" s="1">
        <v>42186</v>
      </c>
    </row>
    <row r="15800" spans="11:14" x14ac:dyDescent="0.3">
      <c r="K15800" s="1">
        <v>42552</v>
      </c>
      <c r="M15800" t="e">
        <v>#N/A</v>
      </c>
      <c r="N15800" s="1">
        <v>42186</v>
      </c>
    </row>
    <row r="15801" spans="11:14" x14ac:dyDescent="0.3">
      <c r="K15801" s="1">
        <v>42552</v>
      </c>
      <c r="M15801" t="e">
        <v>#N/A</v>
      </c>
      <c r="N15801" s="1">
        <v>42186</v>
      </c>
    </row>
    <row r="15802" spans="11:14" x14ac:dyDescent="0.3">
      <c r="K15802" s="1">
        <v>42552</v>
      </c>
      <c r="M15802" t="e">
        <v>#N/A</v>
      </c>
      <c r="N15802" s="1">
        <v>42186</v>
      </c>
    </row>
    <row r="15803" spans="11:14" x14ac:dyDescent="0.3">
      <c r="K15803" s="1">
        <v>42552</v>
      </c>
      <c r="M15803" t="e">
        <v>#N/A</v>
      </c>
      <c r="N15803" s="1">
        <v>42186</v>
      </c>
    </row>
    <row r="15804" spans="11:14" x14ac:dyDescent="0.3">
      <c r="K15804" s="1">
        <v>42552</v>
      </c>
      <c r="M15804" t="e">
        <v>#N/A</v>
      </c>
      <c r="N15804" s="1">
        <v>42186</v>
      </c>
    </row>
    <row r="15805" spans="11:14" x14ac:dyDescent="0.3">
      <c r="K15805" s="1">
        <v>42552</v>
      </c>
      <c r="M15805" t="e">
        <v>#N/A</v>
      </c>
      <c r="N15805" s="1">
        <v>42186</v>
      </c>
    </row>
    <row r="15806" spans="11:14" x14ac:dyDescent="0.3">
      <c r="K15806" s="1">
        <v>42552</v>
      </c>
      <c r="M15806" t="e">
        <v>#N/A</v>
      </c>
      <c r="N15806" s="1">
        <v>42186</v>
      </c>
    </row>
    <row r="15807" spans="11:14" x14ac:dyDescent="0.3">
      <c r="K15807" s="1">
        <v>42552</v>
      </c>
      <c r="M15807" t="e">
        <v>#N/A</v>
      </c>
      <c r="N15807" s="1">
        <v>42186</v>
      </c>
    </row>
    <row r="15808" spans="11:14" x14ac:dyDescent="0.3">
      <c r="K15808" s="1">
        <v>42552</v>
      </c>
      <c r="M15808" t="e">
        <v>#N/A</v>
      </c>
      <c r="N15808" s="1">
        <v>42186</v>
      </c>
    </row>
    <row r="15809" spans="11:14" x14ac:dyDescent="0.3">
      <c r="K15809" s="1">
        <v>42552</v>
      </c>
      <c r="M15809" t="e">
        <v>#N/A</v>
      </c>
      <c r="N15809" s="1">
        <v>42186</v>
      </c>
    </row>
    <row r="15810" spans="11:14" x14ac:dyDescent="0.3">
      <c r="K15810" s="1">
        <v>42552</v>
      </c>
      <c r="M15810" t="e">
        <v>#N/A</v>
      </c>
      <c r="N15810" s="1">
        <v>42186</v>
      </c>
    </row>
    <row r="15811" spans="11:14" x14ac:dyDescent="0.3">
      <c r="K15811" s="1">
        <v>42552</v>
      </c>
      <c r="M15811" t="e">
        <v>#N/A</v>
      </c>
      <c r="N15811" s="1">
        <v>42186</v>
      </c>
    </row>
    <row r="15812" spans="11:14" x14ac:dyDescent="0.3">
      <c r="K15812" s="1">
        <v>42552</v>
      </c>
      <c r="M15812" t="e">
        <v>#N/A</v>
      </c>
      <c r="N15812" s="1">
        <v>42186</v>
      </c>
    </row>
    <row r="15813" spans="11:14" x14ac:dyDescent="0.3">
      <c r="K15813" s="1">
        <v>42552</v>
      </c>
      <c r="M15813" t="e">
        <v>#N/A</v>
      </c>
      <c r="N15813" s="1">
        <v>42186</v>
      </c>
    </row>
    <row r="15814" spans="11:14" x14ac:dyDescent="0.3">
      <c r="K15814" s="1">
        <v>42552</v>
      </c>
      <c r="M15814" t="e">
        <v>#N/A</v>
      </c>
      <c r="N15814" s="1">
        <v>42186</v>
      </c>
    </row>
    <row r="15815" spans="11:14" x14ac:dyDescent="0.3">
      <c r="K15815" s="1">
        <v>42552</v>
      </c>
      <c r="M15815" t="e">
        <v>#N/A</v>
      </c>
      <c r="N15815" s="1">
        <v>42186</v>
      </c>
    </row>
    <row r="15816" spans="11:14" x14ac:dyDescent="0.3">
      <c r="K15816" s="1">
        <v>42552</v>
      </c>
      <c r="M15816" t="e">
        <v>#N/A</v>
      </c>
      <c r="N15816" s="1">
        <v>42186</v>
      </c>
    </row>
    <row r="15817" spans="11:14" x14ac:dyDescent="0.3">
      <c r="K15817" s="1">
        <v>42552</v>
      </c>
      <c r="M15817" t="e">
        <v>#N/A</v>
      </c>
      <c r="N15817" s="1">
        <v>42186</v>
      </c>
    </row>
    <row r="15818" spans="11:14" x14ac:dyDescent="0.3">
      <c r="K15818" s="1">
        <v>42552</v>
      </c>
      <c r="M15818" t="e">
        <v>#N/A</v>
      </c>
      <c r="N15818" s="1">
        <v>42186</v>
      </c>
    </row>
    <row r="15819" spans="11:14" x14ac:dyDescent="0.3">
      <c r="K15819" s="1">
        <v>42552</v>
      </c>
      <c r="M15819" t="e">
        <v>#N/A</v>
      </c>
      <c r="N15819" s="1">
        <v>42186</v>
      </c>
    </row>
    <row r="15820" spans="11:14" x14ac:dyDescent="0.3">
      <c r="K15820" s="1">
        <v>42552</v>
      </c>
      <c r="M15820" t="e">
        <v>#N/A</v>
      </c>
      <c r="N15820" s="1">
        <v>42186</v>
      </c>
    </row>
    <row r="15821" spans="11:14" x14ac:dyDescent="0.3">
      <c r="K15821" s="1">
        <v>42552</v>
      </c>
      <c r="M15821" t="e">
        <v>#N/A</v>
      </c>
      <c r="N15821" s="1">
        <v>42186</v>
      </c>
    </row>
    <row r="15822" spans="11:14" x14ac:dyDescent="0.3">
      <c r="K15822" s="1">
        <v>42552</v>
      </c>
      <c r="M15822" t="e">
        <v>#N/A</v>
      </c>
      <c r="N15822" s="1">
        <v>42186</v>
      </c>
    </row>
    <row r="15823" spans="11:14" x14ac:dyDescent="0.3">
      <c r="K15823" s="1">
        <v>42552</v>
      </c>
      <c r="M15823" t="e">
        <v>#N/A</v>
      </c>
      <c r="N15823" s="1">
        <v>42186</v>
      </c>
    </row>
    <row r="15824" spans="11:14" x14ac:dyDescent="0.3">
      <c r="K15824" s="1">
        <v>42552</v>
      </c>
      <c r="M15824" t="e">
        <v>#N/A</v>
      </c>
      <c r="N15824" s="1">
        <v>42186</v>
      </c>
    </row>
    <row r="15825" spans="11:14" x14ac:dyDescent="0.3">
      <c r="K15825" s="1">
        <v>42552</v>
      </c>
      <c r="M15825" t="e">
        <v>#N/A</v>
      </c>
      <c r="N15825" s="1">
        <v>42186</v>
      </c>
    </row>
    <row r="15826" spans="11:14" x14ac:dyDescent="0.3">
      <c r="K15826" s="1">
        <v>42552</v>
      </c>
      <c r="M15826" t="e">
        <v>#N/A</v>
      </c>
      <c r="N15826" s="1">
        <v>42186</v>
      </c>
    </row>
    <row r="15827" spans="11:14" x14ac:dyDescent="0.3">
      <c r="K15827" s="1">
        <v>42552</v>
      </c>
      <c r="M15827" t="e">
        <v>#N/A</v>
      </c>
      <c r="N15827" s="1">
        <v>42186</v>
      </c>
    </row>
    <row r="15828" spans="11:14" x14ac:dyDescent="0.3">
      <c r="K15828" s="1">
        <v>42552</v>
      </c>
      <c r="M15828" t="e">
        <v>#N/A</v>
      </c>
      <c r="N15828" s="1">
        <v>42186</v>
      </c>
    </row>
    <row r="15829" spans="11:14" x14ac:dyDescent="0.3">
      <c r="K15829" s="1">
        <v>42552</v>
      </c>
      <c r="M15829" t="e">
        <v>#N/A</v>
      </c>
      <c r="N15829" s="1">
        <v>42186</v>
      </c>
    </row>
    <row r="15830" spans="11:14" x14ac:dyDescent="0.3">
      <c r="K15830" s="1">
        <v>42552</v>
      </c>
      <c r="M15830" t="e">
        <v>#N/A</v>
      </c>
      <c r="N15830" s="1">
        <v>42186</v>
      </c>
    </row>
    <row r="15831" spans="11:14" x14ac:dyDescent="0.3">
      <c r="K15831" s="1">
        <v>42552</v>
      </c>
      <c r="M15831" t="e">
        <v>#N/A</v>
      </c>
      <c r="N15831" s="1">
        <v>42186</v>
      </c>
    </row>
    <row r="15832" spans="11:14" x14ac:dyDescent="0.3">
      <c r="K15832" s="1">
        <v>42552</v>
      </c>
      <c r="M15832" t="e">
        <v>#N/A</v>
      </c>
      <c r="N15832" s="1">
        <v>42186</v>
      </c>
    </row>
    <row r="15833" spans="11:14" x14ac:dyDescent="0.3">
      <c r="K15833" s="1">
        <v>42552</v>
      </c>
      <c r="M15833" t="e">
        <v>#N/A</v>
      </c>
      <c r="N15833" s="1">
        <v>42186</v>
      </c>
    </row>
    <row r="15834" spans="11:14" x14ac:dyDescent="0.3">
      <c r="K15834" s="1">
        <v>42552</v>
      </c>
      <c r="M15834" t="e">
        <v>#N/A</v>
      </c>
      <c r="N15834" s="1">
        <v>42186</v>
      </c>
    </row>
    <row r="15835" spans="11:14" x14ac:dyDescent="0.3">
      <c r="K15835" s="1">
        <v>42552</v>
      </c>
      <c r="M15835" t="e">
        <v>#N/A</v>
      </c>
      <c r="N15835" s="1">
        <v>42186</v>
      </c>
    </row>
    <row r="15836" spans="11:14" x14ac:dyDescent="0.3">
      <c r="K15836" s="1">
        <v>42552</v>
      </c>
      <c r="M15836" t="e">
        <v>#N/A</v>
      </c>
      <c r="N15836" s="1">
        <v>42186</v>
      </c>
    </row>
    <row r="15837" spans="11:14" x14ac:dyDescent="0.3">
      <c r="K15837" s="1">
        <v>42552</v>
      </c>
      <c r="M15837" t="e">
        <v>#N/A</v>
      </c>
      <c r="N15837" s="1">
        <v>42186</v>
      </c>
    </row>
    <row r="15838" spans="11:14" x14ac:dyDescent="0.3">
      <c r="K15838" s="1">
        <v>42552</v>
      </c>
      <c r="M15838" t="e">
        <v>#N/A</v>
      </c>
      <c r="N15838" s="1">
        <v>42186</v>
      </c>
    </row>
    <row r="15839" spans="11:14" x14ac:dyDescent="0.3">
      <c r="K15839" s="1">
        <v>42552</v>
      </c>
      <c r="M15839" t="e">
        <v>#N/A</v>
      </c>
      <c r="N15839" s="1">
        <v>42186</v>
      </c>
    </row>
    <row r="15840" spans="11:14" x14ac:dyDescent="0.3">
      <c r="K15840" s="1">
        <v>42552</v>
      </c>
      <c r="M15840" t="e">
        <v>#N/A</v>
      </c>
      <c r="N15840" s="1">
        <v>42186</v>
      </c>
    </row>
    <row r="15841" spans="11:14" x14ac:dyDescent="0.3">
      <c r="K15841" s="1">
        <v>42552</v>
      </c>
      <c r="M15841" t="e">
        <v>#N/A</v>
      </c>
      <c r="N15841" s="1">
        <v>42186</v>
      </c>
    </row>
    <row r="15842" spans="11:14" x14ac:dyDescent="0.3">
      <c r="K15842" s="1">
        <v>42552</v>
      </c>
      <c r="M15842" t="e">
        <v>#N/A</v>
      </c>
      <c r="N15842" s="1">
        <v>42186</v>
      </c>
    </row>
    <row r="15843" spans="11:14" x14ac:dyDescent="0.3">
      <c r="K15843" s="1">
        <v>42552</v>
      </c>
      <c r="M15843" t="e">
        <v>#N/A</v>
      </c>
      <c r="N15843" s="1">
        <v>42186</v>
      </c>
    </row>
    <row r="15844" spans="11:14" x14ac:dyDescent="0.3">
      <c r="K15844" s="1">
        <v>42552</v>
      </c>
      <c r="M15844" t="e">
        <v>#N/A</v>
      </c>
      <c r="N15844" s="1">
        <v>42186</v>
      </c>
    </row>
    <row r="15845" spans="11:14" x14ac:dyDescent="0.3">
      <c r="K15845" s="1">
        <v>42552</v>
      </c>
      <c r="M15845" t="e">
        <v>#N/A</v>
      </c>
      <c r="N15845" s="1">
        <v>42186</v>
      </c>
    </row>
    <row r="15846" spans="11:14" x14ac:dyDescent="0.3">
      <c r="K15846" s="1">
        <v>42552</v>
      </c>
      <c r="M15846" t="e">
        <v>#N/A</v>
      </c>
      <c r="N15846" s="1">
        <v>42186</v>
      </c>
    </row>
    <row r="15847" spans="11:14" x14ac:dyDescent="0.3">
      <c r="K15847" s="1">
        <v>42552</v>
      </c>
      <c r="M15847" t="e">
        <v>#N/A</v>
      </c>
      <c r="N15847" s="1">
        <v>42186</v>
      </c>
    </row>
    <row r="15848" spans="11:14" x14ac:dyDescent="0.3">
      <c r="K15848" s="1">
        <v>42552</v>
      </c>
      <c r="M15848" t="e">
        <v>#N/A</v>
      </c>
      <c r="N15848" s="1">
        <v>42186</v>
      </c>
    </row>
    <row r="15849" spans="11:14" x14ac:dyDescent="0.3">
      <c r="K15849" s="1">
        <v>42552</v>
      </c>
      <c r="M15849" t="e">
        <v>#N/A</v>
      </c>
      <c r="N15849" s="1">
        <v>42186</v>
      </c>
    </row>
    <row r="15850" spans="11:14" x14ac:dyDescent="0.3">
      <c r="K15850" s="1">
        <v>42552</v>
      </c>
      <c r="M15850" t="e">
        <v>#N/A</v>
      </c>
      <c r="N15850" s="1">
        <v>42186</v>
      </c>
    </row>
    <row r="15851" spans="11:14" x14ac:dyDescent="0.3">
      <c r="K15851" s="1">
        <v>42552</v>
      </c>
      <c r="M15851" t="e">
        <v>#N/A</v>
      </c>
      <c r="N15851" s="1">
        <v>42186</v>
      </c>
    </row>
    <row r="15852" spans="11:14" x14ac:dyDescent="0.3">
      <c r="K15852" s="1">
        <v>42552</v>
      </c>
      <c r="M15852" t="e">
        <v>#N/A</v>
      </c>
      <c r="N15852" s="1">
        <v>42186</v>
      </c>
    </row>
    <row r="15853" spans="11:14" x14ac:dyDescent="0.3">
      <c r="K15853" s="1">
        <v>42552</v>
      </c>
      <c r="M15853" t="e">
        <v>#N/A</v>
      </c>
      <c r="N15853" s="1">
        <v>42186</v>
      </c>
    </row>
    <row r="15854" spans="11:14" x14ac:dyDescent="0.3">
      <c r="K15854" s="1">
        <v>42552</v>
      </c>
      <c r="M15854" t="e">
        <v>#N/A</v>
      </c>
      <c r="N15854" s="1">
        <v>42186</v>
      </c>
    </row>
    <row r="15855" spans="11:14" x14ac:dyDescent="0.3">
      <c r="K15855" s="1">
        <v>42552</v>
      </c>
      <c r="M15855" t="e">
        <v>#N/A</v>
      </c>
      <c r="N15855" s="1">
        <v>42186</v>
      </c>
    </row>
    <row r="15856" spans="11:14" x14ac:dyDescent="0.3">
      <c r="K15856" s="1">
        <v>42552</v>
      </c>
      <c r="M15856" t="e">
        <v>#N/A</v>
      </c>
      <c r="N15856" s="1">
        <v>42186</v>
      </c>
    </row>
    <row r="15857" spans="11:14" x14ac:dyDescent="0.3">
      <c r="K15857" s="1">
        <v>42552</v>
      </c>
      <c r="M15857" t="e">
        <v>#N/A</v>
      </c>
      <c r="N15857" s="1">
        <v>42186</v>
      </c>
    </row>
    <row r="15858" spans="11:14" x14ac:dyDescent="0.3">
      <c r="K15858" s="1">
        <v>42552</v>
      </c>
      <c r="M15858" t="e">
        <v>#N/A</v>
      </c>
      <c r="N15858" s="1">
        <v>42186</v>
      </c>
    </row>
    <row r="15859" spans="11:14" x14ac:dyDescent="0.3">
      <c r="K15859" s="1">
        <v>42552</v>
      </c>
      <c r="M15859" t="e">
        <v>#N/A</v>
      </c>
      <c r="N15859" s="1">
        <v>42186</v>
      </c>
    </row>
    <row r="15860" spans="11:14" x14ac:dyDescent="0.3">
      <c r="K15860" s="1">
        <v>42552</v>
      </c>
      <c r="M15860" t="e">
        <v>#N/A</v>
      </c>
      <c r="N15860" s="1">
        <v>42186</v>
      </c>
    </row>
    <row r="15861" spans="11:14" x14ac:dyDescent="0.3">
      <c r="K15861" s="1">
        <v>42552</v>
      </c>
      <c r="M15861" t="e">
        <v>#N/A</v>
      </c>
      <c r="N15861" s="1">
        <v>42186</v>
      </c>
    </row>
    <row r="15862" spans="11:14" x14ac:dyDescent="0.3">
      <c r="K15862" s="1">
        <v>42552</v>
      </c>
      <c r="M15862" t="e">
        <v>#N/A</v>
      </c>
      <c r="N15862" s="1">
        <v>42186</v>
      </c>
    </row>
    <row r="15863" spans="11:14" x14ac:dyDescent="0.3">
      <c r="K15863" s="1">
        <v>42552</v>
      </c>
      <c r="M15863" t="e">
        <v>#N/A</v>
      </c>
      <c r="N15863" s="1">
        <v>42186</v>
      </c>
    </row>
    <row r="15864" spans="11:14" x14ac:dyDescent="0.3">
      <c r="K15864" s="1">
        <v>42552</v>
      </c>
      <c r="M15864" t="e">
        <v>#N/A</v>
      </c>
      <c r="N15864" s="1">
        <v>42186</v>
      </c>
    </row>
    <row r="15865" spans="11:14" x14ac:dyDescent="0.3">
      <c r="K15865" s="1">
        <v>42552</v>
      </c>
      <c r="M15865" t="e">
        <v>#N/A</v>
      </c>
      <c r="N15865" s="1">
        <v>42186</v>
      </c>
    </row>
    <row r="15866" spans="11:14" x14ac:dyDescent="0.3">
      <c r="K15866" s="1">
        <v>42552</v>
      </c>
      <c r="M15866" t="e">
        <v>#N/A</v>
      </c>
      <c r="N15866" s="1">
        <v>42186</v>
      </c>
    </row>
    <row r="15867" spans="11:14" x14ac:dyDescent="0.3">
      <c r="K15867" s="1">
        <v>42552</v>
      </c>
      <c r="M15867" t="e">
        <v>#N/A</v>
      </c>
      <c r="N15867" s="1">
        <v>42186</v>
      </c>
    </row>
    <row r="15868" spans="11:14" x14ac:dyDescent="0.3">
      <c r="K15868" s="1">
        <v>42552</v>
      </c>
      <c r="M15868" t="e">
        <v>#N/A</v>
      </c>
      <c r="N15868" s="1">
        <v>42186</v>
      </c>
    </row>
    <row r="15869" spans="11:14" x14ac:dyDescent="0.3">
      <c r="K15869" s="1">
        <v>42552</v>
      </c>
      <c r="M15869" t="e">
        <v>#N/A</v>
      </c>
      <c r="N15869" s="1">
        <v>42186</v>
      </c>
    </row>
    <row r="15870" spans="11:14" x14ac:dyDescent="0.3">
      <c r="K15870" s="1">
        <v>42552</v>
      </c>
      <c r="M15870" t="e">
        <v>#N/A</v>
      </c>
      <c r="N15870" s="1">
        <v>42186</v>
      </c>
    </row>
    <row r="15871" spans="11:14" x14ac:dyDescent="0.3">
      <c r="K15871" s="1">
        <v>42552</v>
      </c>
      <c r="M15871" t="e">
        <v>#N/A</v>
      </c>
      <c r="N15871" s="1">
        <v>42186</v>
      </c>
    </row>
    <row r="15872" spans="11:14" x14ac:dyDescent="0.3">
      <c r="K15872" s="1">
        <v>42552</v>
      </c>
      <c r="M15872" t="e">
        <v>#N/A</v>
      </c>
      <c r="N15872" s="1">
        <v>42186</v>
      </c>
    </row>
    <row r="15873" spans="11:14" x14ac:dyDescent="0.3">
      <c r="K15873" s="1">
        <v>42552</v>
      </c>
      <c r="M15873" t="e">
        <v>#N/A</v>
      </c>
      <c r="N15873" s="1">
        <v>42186</v>
      </c>
    </row>
    <row r="15874" spans="11:14" x14ac:dyDescent="0.3">
      <c r="K15874" s="1">
        <v>42552</v>
      </c>
      <c r="M15874" t="e">
        <v>#N/A</v>
      </c>
      <c r="N15874" s="1">
        <v>42186</v>
      </c>
    </row>
    <row r="15875" spans="11:14" x14ac:dyDescent="0.3">
      <c r="K15875" s="1">
        <v>42552</v>
      </c>
      <c r="M15875" t="e">
        <v>#N/A</v>
      </c>
      <c r="N15875" s="1">
        <v>42186</v>
      </c>
    </row>
    <row r="15876" spans="11:14" x14ac:dyDescent="0.3">
      <c r="K15876" s="1">
        <v>42552</v>
      </c>
      <c r="M15876" t="e">
        <v>#N/A</v>
      </c>
      <c r="N15876" s="1">
        <v>42186</v>
      </c>
    </row>
    <row r="15877" spans="11:14" x14ac:dyDescent="0.3">
      <c r="K15877" s="1">
        <v>42552</v>
      </c>
      <c r="M15877" t="e">
        <v>#N/A</v>
      </c>
      <c r="N15877" s="1">
        <v>42186</v>
      </c>
    </row>
    <row r="15878" spans="11:14" x14ac:dyDescent="0.3">
      <c r="K15878" s="1">
        <v>42552</v>
      </c>
      <c r="M15878" t="e">
        <v>#N/A</v>
      </c>
      <c r="N15878" s="1">
        <v>42186</v>
      </c>
    </row>
    <row r="15879" spans="11:14" x14ac:dyDescent="0.3">
      <c r="K15879" s="1">
        <v>42552</v>
      </c>
      <c r="M15879" t="e">
        <v>#N/A</v>
      </c>
      <c r="N15879" s="1">
        <v>42186</v>
      </c>
    </row>
    <row r="15880" spans="11:14" x14ac:dyDescent="0.3">
      <c r="K15880" s="1">
        <v>42552</v>
      </c>
      <c r="M15880" t="e">
        <v>#N/A</v>
      </c>
      <c r="N15880" s="1">
        <v>42186</v>
      </c>
    </row>
    <row r="15881" spans="11:14" x14ac:dyDescent="0.3">
      <c r="K15881" s="1">
        <v>42552</v>
      </c>
      <c r="M15881" t="e">
        <v>#N/A</v>
      </c>
      <c r="N15881" s="1">
        <v>42186</v>
      </c>
    </row>
    <row r="15882" spans="11:14" x14ac:dyDescent="0.3">
      <c r="K15882" s="1">
        <v>42552</v>
      </c>
      <c r="M15882" t="e">
        <v>#N/A</v>
      </c>
      <c r="N15882" s="1">
        <v>42186</v>
      </c>
    </row>
    <row r="15883" spans="11:14" x14ac:dyDescent="0.3">
      <c r="K15883" s="1">
        <v>42552</v>
      </c>
      <c r="M15883" t="e">
        <v>#N/A</v>
      </c>
      <c r="N15883" s="1">
        <v>42186</v>
      </c>
    </row>
    <row r="15884" spans="11:14" x14ac:dyDescent="0.3">
      <c r="K15884" s="1">
        <v>42552</v>
      </c>
      <c r="M15884" t="e">
        <v>#N/A</v>
      </c>
      <c r="N15884" s="1">
        <v>42186</v>
      </c>
    </row>
    <row r="15885" spans="11:14" x14ac:dyDescent="0.3">
      <c r="K15885" s="1">
        <v>42552</v>
      </c>
      <c r="M15885" t="e">
        <v>#N/A</v>
      </c>
      <c r="N15885" s="1">
        <v>42186</v>
      </c>
    </row>
    <row r="15886" spans="11:14" x14ac:dyDescent="0.3">
      <c r="K15886" s="1">
        <v>42552</v>
      </c>
      <c r="M15886" t="e">
        <v>#N/A</v>
      </c>
      <c r="N15886" s="1">
        <v>42186</v>
      </c>
    </row>
    <row r="15887" spans="11:14" x14ac:dyDescent="0.3">
      <c r="K15887" s="1">
        <v>42552</v>
      </c>
      <c r="M15887" t="e">
        <v>#N/A</v>
      </c>
      <c r="N15887" s="1">
        <v>42186</v>
      </c>
    </row>
    <row r="15888" spans="11:14" x14ac:dyDescent="0.3">
      <c r="K15888" s="1">
        <v>42552</v>
      </c>
      <c r="M15888" t="e">
        <v>#N/A</v>
      </c>
      <c r="N15888" s="1">
        <v>42186</v>
      </c>
    </row>
    <row r="15889" spans="11:14" x14ac:dyDescent="0.3">
      <c r="K15889" s="1">
        <v>42552</v>
      </c>
      <c r="M15889" t="e">
        <v>#N/A</v>
      </c>
      <c r="N15889" s="1">
        <v>42186</v>
      </c>
    </row>
    <row r="15890" spans="11:14" x14ac:dyDescent="0.3">
      <c r="K15890" s="1">
        <v>42552</v>
      </c>
      <c r="M15890" t="e">
        <v>#N/A</v>
      </c>
      <c r="N15890" s="1">
        <v>42186</v>
      </c>
    </row>
    <row r="15891" spans="11:14" x14ac:dyDescent="0.3">
      <c r="K15891" s="1">
        <v>42552</v>
      </c>
      <c r="M15891" t="e">
        <v>#N/A</v>
      </c>
      <c r="N15891" s="1">
        <v>42186</v>
      </c>
    </row>
    <row r="15892" spans="11:14" x14ac:dyDescent="0.3">
      <c r="K15892" s="1">
        <v>42552</v>
      </c>
      <c r="M15892" t="e">
        <v>#N/A</v>
      </c>
      <c r="N15892" s="1">
        <v>42186</v>
      </c>
    </row>
    <row r="15893" spans="11:14" x14ac:dyDescent="0.3">
      <c r="K15893" s="1">
        <v>42552</v>
      </c>
      <c r="M15893" t="e">
        <v>#N/A</v>
      </c>
      <c r="N15893" s="1">
        <v>42186</v>
      </c>
    </row>
    <row r="15894" spans="11:14" x14ac:dyDescent="0.3">
      <c r="K15894" s="1">
        <v>42552</v>
      </c>
      <c r="M15894" t="e">
        <v>#N/A</v>
      </c>
      <c r="N15894" s="1">
        <v>42186</v>
      </c>
    </row>
    <row r="15895" spans="11:14" x14ac:dyDescent="0.3">
      <c r="K15895" s="1">
        <v>42552</v>
      </c>
      <c r="M15895" t="e">
        <v>#N/A</v>
      </c>
      <c r="N15895" s="1">
        <v>42186</v>
      </c>
    </row>
    <row r="15896" spans="11:14" x14ac:dyDescent="0.3">
      <c r="K15896" s="1">
        <v>42552</v>
      </c>
      <c r="M15896" t="e">
        <v>#N/A</v>
      </c>
      <c r="N15896" s="1">
        <v>42186</v>
      </c>
    </row>
    <row r="15897" spans="11:14" x14ac:dyDescent="0.3">
      <c r="K15897" s="1">
        <v>42552</v>
      </c>
      <c r="M15897" t="e">
        <v>#N/A</v>
      </c>
      <c r="N15897" s="1">
        <v>42186</v>
      </c>
    </row>
    <row r="15898" spans="11:14" x14ac:dyDescent="0.3">
      <c r="K15898" s="1">
        <v>42552</v>
      </c>
      <c r="M15898" t="e">
        <v>#N/A</v>
      </c>
      <c r="N15898" s="1">
        <v>42186</v>
      </c>
    </row>
    <row r="15899" spans="11:14" x14ac:dyDescent="0.3">
      <c r="K15899" s="1">
        <v>42552</v>
      </c>
      <c r="M15899" t="e">
        <v>#N/A</v>
      </c>
      <c r="N15899" s="1">
        <v>42186</v>
      </c>
    </row>
    <row r="15900" spans="11:14" x14ac:dyDescent="0.3">
      <c r="K15900" s="1">
        <v>42552</v>
      </c>
      <c r="M15900" t="e">
        <v>#N/A</v>
      </c>
      <c r="N15900" s="1">
        <v>42186</v>
      </c>
    </row>
    <row r="15901" spans="11:14" x14ac:dyDescent="0.3">
      <c r="K15901" s="1">
        <v>42552</v>
      </c>
      <c r="M15901" t="e">
        <v>#N/A</v>
      </c>
      <c r="N15901" s="1">
        <v>42186</v>
      </c>
    </row>
    <row r="15902" spans="11:14" x14ac:dyDescent="0.3">
      <c r="K15902" s="1">
        <v>42552</v>
      </c>
      <c r="M15902" t="e">
        <v>#N/A</v>
      </c>
      <c r="N15902" s="1">
        <v>42186</v>
      </c>
    </row>
    <row r="15903" spans="11:14" x14ac:dyDescent="0.3">
      <c r="K15903" s="1">
        <v>42552</v>
      </c>
      <c r="M15903" t="e">
        <v>#N/A</v>
      </c>
      <c r="N15903" s="1">
        <v>42186</v>
      </c>
    </row>
    <row r="15904" spans="11:14" x14ac:dyDescent="0.3">
      <c r="K15904" s="1">
        <v>42552</v>
      </c>
      <c r="M15904" t="e">
        <v>#N/A</v>
      </c>
      <c r="N15904" s="1">
        <v>42186</v>
      </c>
    </row>
    <row r="15905" spans="11:14" x14ac:dyDescent="0.3">
      <c r="K15905" s="1">
        <v>42552</v>
      </c>
      <c r="M15905" t="e">
        <v>#N/A</v>
      </c>
      <c r="N15905" s="1">
        <v>42186</v>
      </c>
    </row>
    <row r="15906" spans="11:14" x14ac:dyDescent="0.3">
      <c r="K15906" s="1">
        <v>42552</v>
      </c>
      <c r="M15906" t="e">
        <v>#N/A</v>
      </c>
      <c r="N15906" s="1">
        <v>42186</v>
      </c>
    </row>
    <row r="15907" spans="11:14" x14ac:dyDescent="0.3">
      <c r="K15907" s="1">
        <v>42552</v>
      </c>
      <c r="M15907" t="e">
        <v>#N/A</v>
      </c>
      <c r="N15907" s="1">
        <v>42186</v>
      </c>
    </row>
    <row r="15908" spans="11:14" x14ac:dyDescent="0.3">
      <c r="K15908" s="1">
        <v>42552</v>
      </c>
      <c r="M15908" t="e">
        <v>#N/A</v>
      </c>
      <c r="N15908" s="1">
        <v>42186</v>
      </c>
    </row>
    <row r="15909" spans="11:14" x14ac:dyDescent="0.3">
      <c r="K15909" s="1">
        <v>42552</v>
      </c>
      <c r="M15909" t="e">
        <v>#N/A</v>
      </c>
      <c r="N15909" s="1">
        <v>42186</v>
      </c>
    </row>
    <row r="15910" spans="11:14" x14ac:dyDescent="0.3">
      <c r="K15910" s="1">
        <v>42552</v>
      </c>
      <c r="M15910" t="e">
        <v>#N/A</v>
      </c>
      <c r="N15910" s="1">
        <v>42186</v>
      </c>
    </row>
    <row r="15911" spans="11:14" x14ac:dyDescent="0.3">
      <c r="K15911" s="1">
        <v>42552</v>
      </c>
      <c r="M15911" t="e">
        <v>#N/A</v>
      </c>
      <c r="N15911" s="1">
        <v>42186</v>
      </c>
    </row>
    <row r="15912" spans="11:14" x14ac:dyDescent="0.3">
      <c r="K15912" s="1">
        <v>42552</v>
      </c>
      <c r="M15912" t="e">
        <v>#N/A</v>
      </c>
      <c r="N15912" s="1">
        <v>42186</v>
      </c>
    </row>
    <row r="15913" spans="11:14" x14ac:dyDescent="0.3">
      <c r="K15913" s="1">
        <v>42552</v>
      </c>
      <c r="M15913" t="e">
        <v>#N/A</v>
      </c>
      <c r="N15913" s="1">
        <v>42186</v>
      </c>
    </row>
    <row r="15914" spans="11:14" x14ac:dyDescent="0.3">
      <c r="K15914" s="1">
        <v>42552</v>
      </c>
      <c r="M15914" t="e">
        <v>#N/A</v>
      </c>
      <c r="N15914" s="1">
        <v>42186</v>
      </c>
    </row>
    <row r="15915" spans="11:14" x14ac:dyDescent="0.3">
      <c r="K15915" s="1">
        <v>42552</v>
      </c>
      <c r="M15915" t="e">
        <v>#N/A</v>
      </c>
      <c r="N15915" s="1">
        <v>42186</v>
      </c>
    </row>
    <row r="15916" spans="11:14" x14ac:dyDescent="0.3">
      <c r="K15916" s="1">
        <v>42552</v>
      </c>
      <c r="M15916" t="e">
        <v>#N/A</v>
      </c>
      <c r="N15916" s="1">
        <v>42186</v>
      </c>
    </row>
    <row r="15917" spans="11:14" x14ac:dyDescent="0.3">
      <c r="K15917" s="1">
        <v>42552</v>
      </c>
      <c r="M15917" t="e">
        <v>#N/A</v>
      </c>
      <c r="N15917" s="1">
        <v>42186</v>
      </c>
    </row>
    <row r="15918" spans="11:14" x14ac:dyDescent="0.3">
      <c r="K15918" s="1">
        <v>42552</v>
      </c>
      <c r="M15918" t="e">
        <v>#N/A</v>
      </c>
      <c r="N15918" s="1">
        <v>42186</v>
      </c>
    </row>
    <row r="15919" spans="11:14" x14ac:dyDescent="0.3">
      <c r="K15919" s="1">
        <v>42552</v>
      </c>
      <c r="M15919" t="e">
        <v>#N/A</v>
      </c>
      <c r="N15919" s="1">
        <v>42186</v>
      </c>
    </row>
    <row r="15920" spans="11:14" x14ac:dyDescent="0.3">
      <c r="K15920" s="1">
        <v>42552</v>
      </c>
      <c r="M15920" t="e">
        <v>#N/A</v>
      </c>
      <c r="N15920" s="1">
        <v>42186</v>
      </c>
    </row>
    <row r="15921" spans="11:14" x14ac:dyDescent="0.3">
      <c r="K15921" s="1">
        <v>42552</v>
      </c>
      <c r="M15921" t="e">
        <v>#N/A</v>
      </c>
      <c r="N15921" s="1">
        <v>42186</v>
      </c>
    </row>
    <row r="15922" spans="11:14" x14ac:dyDescent="0.3">
      <c r="K15922" s="1">
        <v>42552</v>
      </c>
      <c r="M15922" t="e">
        <v>#N/A</v>
      </c>
      <c r="N15922" s="1">
        <v>42186</v>
      </c>
    </row>
    <row r="15923" spans="11:14" x14ac:dyDescent="0.3">
      <c r="K15923" s="1">
        <v>42552</v>
      </c>
      <c r="M15923" t="e">
        <v>#N/A</v>
      </c>
      <c r="N15923" s="1">
        <v>42186</v>
      </c>
    </row>
    <row r="15924" spans="11:14" x14ac:dyDescent="0.3">
      <c r="K15924" s="1">
        <v>42552</v>
      </c>
      <c r="M15924" t="e">
        <v>#N/A</v>
      </c>
      <c r="N15924" s="1">
        <v>42186</v>
      </c>
    </row>
    <row r="15925" spans="11:14" x14ac:dyDescent="0.3">
      <c r="K15925" s="1">
        <v>42552</v>
      </c>
      <c r="M15925" t="e">
        <v>#N/A</v>
      </c>
      <c r="N15925" s="1">
        <v>42186</v>
      </c>
    </row>
    <row r="15926" spans="11:14" x14ac:dyDescent="0.3">
      <c r="K15926" s="1">
        <v>42552</v>
      </c>
      <c r="M15926" t="e">
        <v>#N/A</v>
      </c>
      <c r="N15926" s="1">
        <v>42186</v>
      </c>
    </row>
    <row r="15927" spans="11:14" x14ac:dyDescent="0.3">
      <c r="K15927" s="1">
        <v>42552</v>
      </c>
      <c r="M15927" t="e">
        <v>#N/A</v>
      </c>
      <c r="N15927" s="1">
        <v>42186</v>
      </c>
    </row>
    <row r="15928" spans="11:14" x14ac:dyDescent="0.3">
      <c r="K15928" s="1">
        <v>42552</v>
      </c>
      <c r="M15928" t="e">
        <v>#N/A</v>
      </c>
      <c r="N15928" s="1">
        <v>42186</v>
      </c>
    </row>
    <row r="15929" spans="11:14" x14ac:dyDescent="0.3">
      <c r="K15929" s="1">
        <v>42552</v>
      </c>
      <c r="M15929" t="e">
        <v>#N/A</v>
      </c>
      <c r="N15929" s="1">
        <v>42186</v>
      </c>
    </row>
    <row r="15930" spans="11:14" x14ac:dyDescent="0.3">
      <c r="K15930" s="1">
        <v>42552</v>
      </c>
      <c r="M15930" t="e">
        <v>#N/A</v>
      </c>
      <c r="N15930" s="1">
        <v>42186</v>
      </c>
    </row>
    <row r="15931" spans="11:14" x14ac:dyDescent="0.3">
      <c r="K15931" s="1">
        <v>42552</v>
      </c>
      <c r="M15931" t="e">
        <v>#N/A</v>
      </c>
      <c r="N15931" s="1">
        <v>42186</v>
      </c>
    </row>
    <row r="15932" spans="11:14" x14ac:dyDescent="0.3">
      <c r="K15932" s="1">
        <v>42552</v>
      </c>
      <c r="M15932" t="e">
        <v>#N/A</v>
      </c>
      <c r="N15932" s="1">
        <v>42186</v>
      </c>
    </row>
    <row r="15933" spans="11:14" x14ac:dyDescent="0.3">
      <c r="K15933" s="1">
        <v>42552</v>
      </c>
      <c r="M15933" t="e">
        <v>#N/A</v>
      </c>
      <c r="N15933" s="1">
        <v>42186</v>
      </c>
    </row>
    <row r="15934" spans="11:14" x14ac:dyDescent="0.3">
      <c r="K15934" s="1">
        <v>42552</v>
      </c>
      <c r="M15934" t="e">
        <v>#N/A</v>
      </c>
      <c r="N15934" s="1">
        <v>42186</v>
      </c>
    </row>
    <row r="15935" spans="11:14" x14ac:dyDescent="0.3">
      <c r="K15935" s="1">
        <v>42552</v>
      </c>
      <c r="M15935" t="e">
        <v>#N/A</v>
      </c>
      <c r="N15935" s="1">
        <v>42186</v>
      </c>
    </row>
    <row r="15936" spans="11:14" x14ac:dyDescent="0.3">
      <c r="K15936" s="1">
        <v>42552</v>
      </c>
      <c r="M15936" t="e">
        <v>#N/A</v>
      </c>
      <c r="N15936" s="1">
        <v>42186</v>
      </c>
    </row>
    <row r="15937" spans="11:14" x14ac:dyDescent="0.3">
      <c r="K15937" s="1">
        <v>42552</v>
      </c>
      <c r="M15937" t="e">
        <v>#N/A</v>
      </c>
      <c r="N15937" s="1">
        <v>42186</v>
      </c>
    </row>
    <row r="15938" spans="11:14" x14ac:dyDescent="0.3">
      <c r="K15938" s="1">
        <v>42552</v>
      </c>
      <c r="M15938" t="e">
        <v>#N/A</v>
      </c>
      <c r="N15938" s="1">
        <v>42186</v>
      </c>
    </row>
    <row r="15939" spans="11:14" x14ac:dyDescent="0.3">
      <c r="K15939" s="1">
        <v>42552</v>
      </c>
      <c r="M15939" t="e">
        <v>#N/A</v>
      </c>
      <c r="N15939" s="1">
        <v>42186</v>
      </c>
    </row>
    <row r="15940" spans="11:14" x14ac:dyDescent="0.3">
      <c r="K15940" s="1">
        <v>42552</v>
      </c>
      <c r="M15940" t="e">
        <v>#N/A</v>
      </c>
      <c r="N15940" s="1">
        <v>42186</v>
      </c>
    </row>
    <row r="15941" spans="11:14" x14ac:dyDescent="0.3">
      <c r="K15941" s="1">
        <v>42552</v>
      </c>
      <c r="M15941" t="e">
        <v>#N/A</v>
      </c>
      <c r="N15941" s="1">
        <v>42186</v>
      </c>
    </row>
    <row r="15942" spans="11:14" x14ac:dyDescent="0.3">
      <c r="K15942" s="1">
        <v>42552</v>
      </c>
      <c r="M15942" t="e">
        <v>#N/A</v>
      </c>
      <c r="N15942" s="1">
        <v>42186</v>
      </c>
    </row>
    <row r="15943" spans="11:14" x14ac:dyDescent="0.3">
      <c r="K15943" s="1">
        <v>42552</v>
      </c>
      <c r="M15943" t="e">
        <v>#N/A</v>
      </c>
      <c r="N15943" s="1">
        <v>42186</v>
      </c>
    </row>
    <row r="15944" spans="11:14" x14ac:dyDescent="0.3">
      <c r="K15944" s="1">
        <v>42552</v>
      </c>
      <c r="M15944" t="e">
        <v>#N/A</v>
      </c>
      <c r="N15944" s="1">
        <v>42186</v>
      </c>
    </row>
    <row r="15945" spans="11:14" x14ac:dyDescent="0.3">
      <c r="K15945" s="1">
        <v>42552</v>
      </c>
      <c r="M15945" t="e">
        <v>#N/A</v>
      </c>
      <c r="N15945" s="1">
        <v>42186</v>
      </c>
    </row>
    <row r="15946" spans="11:14" x14ac:dyDescent="0.3">
      <c r="K15946" s="1">
        <v>42552</v>
      </c>
      <c r="M15946" t="e">
        <v>#N/A</v>
      </c>
      <c r="N15946" s="1">
        <v>42186</v>
      </c>
    </row>
    <row r="15947" spans="11:14" x14ac:dyDescent="0.3">
      <c r="K15947" s="1">
        <v>42552</v>
      </c>
      <c r="M15947" t="e">
        <v>#N/A</v>
      </c>
      <c r="N15947" s="1">
        <v>42186</v>
      </c>
    </row>
    <row r="15948" spans="11:14" x14ac:dyDescent="0.3">
      <c r="K15948" s="1">
        <v>42552</v>
      </c>
      <c r="M15948" t="e">
        <v>#N/A</v>
      </c>
      <c r="N15948" s="1">
        <v>42186</v>
      </c>
    </row>
    <row r="15949" spans="11:14" x14ac:dyDescent="0.3">
      <c r="K15949" s="1">
        <v>42552</v>
      </c>
      <c r="M15949" t="e">
        <v>#N/A</v>
      </c>
      <c r="N15949" s="1">
        <v>42186</v>
      </c>
    </row>
    <row r="15950" spans="11:14" x14ac:dyDescent="0.3">
      <c r="K15950" s="1">
        <v>42552</v>
      </c>
      <c r="M15950" t="e">
        <v>#N/A</v>
      </c>
      <c r="N15950" s="1">
        <v>42186</v>
      </c>
    </row>
    <row r="15951" spans="11:14" x14ac:dyDescent="0.3">
      <c r="K15951" s="1">
        <v>42552</v>
      </c>
      <c r="M15951" t="e">
        <v>#N/A</v>
      </c>
      <c r="N15951" s="1">
        <v>42186</v>
      </c>
    </row>
    <row r="15952" spans="11:14" x14ac:dyDescent="0.3">
      <c r="K15952" s="1">
        <v>42552</v>
      </c>
      <c r="M15952" t="e">
        <v>#N/A</v>
      </c>
      <c r="N15952" s="1">
        <v>42186</v>
      </c>
    </row>
    <row r="15953" spans="11:14" x14ac:dyDescent="0.3">
      <c r="K15953" s="1">
        <v>42552</v>
      </c>
      <c r="M15953" t="e">
        <v>#N/A</v>
      </c>
      <c r="N15953" s="1">
        <v>42186</v>
      </c>
    </row>
    <row r="15954" spans="11:14" x14ac:dyDescent="0.3">
      <c r="K15954" s="1">
        <v>42552</v>
      </c>
      <c r="M15954" t="e">
        <v>#N/A</v>
      </c>
      <c r="N15954" s="1">
        <v>42186</v>
      </c>
    </row>
    <row r="15955" spans="11:14" x14ac:dyDescent="0.3">
      <c r="K15955" s="1">
        <v>42552</v>
      </c>
      <c r="M15955" t="e">
        <v>#N/A</v>
      </c>
      <c r="N15955" s="1">
        <v>42186</v>
      </c>
    </row>
    <row r="15956" spans="11:14" x14ac:dyDescent="0.3">
      <c r="K15956" s="1">
        <v>42644</v>
      </c>
      <c r="M15956" t="e">
        <v>#N/A</v>
      </c>
      <c r="N15956" s="1">
        <v>42186</v>
      </c>
    </row>
    <row r="15957" spans="11:14" x14ac:dyDescent="0.3">
      <c r="K15957" s="1">
        <v>42644</v>
      </c>
      <c r="M15957" t="e">
        <v>#N/A</v>
      </c>
      <c r="N15957" s="1">
        <v>42186</v>
      </c>
    </row>
    <row r="15958" spans="11:14" x14ac:dyDescent="0.3">
      <c r="K15958" s="1">
        <v>42644</v>
      </c>
      <c r="M15958" t="e">
        <v>#N/A</v>
      </c>
      <c r="N15958" s="1">
        <v>42186</v>
      </c>
    </row>
    <row r="15959" spans="11:14" x14ac:dyDescent="0.3">
      <c r="K15959" s="1">
        <v>42644</v>
      </c>
      <c r="M15959" t="e">
        <v>#N/A</v>
      </c>
      <c r="N15959" s="1">
        <v>42186</v>
      </c>
    </row>
    <row r="15960" spans="11:14" x14ac:dyDescent="0.3">
      <c r="K15960" s="1">
        <v>42644</v>
      </c>
      <c r="M15960" t="e">
        <v>#N/A</v>
      </c>
      <c r="N15960" s="1">
        <v>42186</v>
      </c>
    </row>
    <row r="15961" spans="11:14" x14ac:dyDescent="0.3">
      <c r="K15961" s="1">
        <v>42644</v>
      </c>
      <c r="M15961" t="e">
        <v>#N/A</v>
      </c>
      <c r="N15961" s="1">
        <v>42186</v>
      </c>
    </row>
    <row r="15962" spans="11:14" x14ac:dyDescent="0.3">
      <c r="K15962" s="1">
        <v>42644</v>
      </c>
      <c r="M15962" t="e">
        <v>#N/A</v>
      </c>
      <c r="N15962" s="1">
        <v>42186</v>
      </c>
    </row>
    <row r="15963" spans="11:14" x14ac:dyDescent="0.3">
      <c r="K15963" s="1">
        <v>42644</v>
      </c>
      <c r="M15963" t="e">
        <v>#N/A</v>
      </c>
      <c r="N15963" s="1">
        <v>42186</v>
      </c>
    </row>
    <row r="15964" spans="11:14" x14ac:dyDescent="0.3">
      <c r="K15964" s="1">
        <v>42644</v>
      </c>
      <c r="M15964" t="e">
        <v>#N/A</v>
      </c>
      <c r="N15964" s="1">
        <v>42186</v>
      </c>
    </row>
    <row r="15965" spans="11:14" x14ac:dyDescent="0.3">
      <c r="K15965" s="1">
        <v>42644</v>
      </c>
      <c r="M15965" t="e">
        <v>#N/A</v>
      </c>
      <c r="N15965" s="1">
        <v>42186</v>
      </c>
    </row>
    <row r="15966" spans="11:14" x14ac:dyDescent="0.3">
      <c r="K15966" s="1">
        <v>42644</v>
      </c>
      <c r="M15966" t="e">
        <v>#N/A</v>
      </c>
      <c r="N15966" s="1">
        <v>42186</v>
      </c>
    </row>
    <row r="15967" spans="11:14" x14ac:dyDescent="0.3">
      <c r="K15967" s="1">
        <v>42644</v>
      </c>
      <c r="M15967" t="e">
        <v>#N/A</v>
      </c>
      <c r="N15967" s="1">
        <v>42186</v>
      </c>
    </row>
    <row r="15968" spans="11:14" x14ac:dyDescent="0.3">
      <c r="K15968" s="1">
        <v>42644</v>
      </c>
      <c r="M15968" t="e">
        <v>#N/A</v>
      </c>
      <c r="N15968" s="1">
        <v>42186</v>
      </c>
    </row>
    <row r="15969" spans="11:14" x14ac:dyDescent="0.3">
      <c r="K15969" s="1">
        <v>42644</v>
      </c>
      <c r="M15969" t="e">
        <v>#N/A</v>
      </c>
      <c r="N15969" s="1">
        <v>42186</v>
      </c>
    </row>
    <row r="15970" spans="11:14" x14ac:dyDescent="0.3">
      <c r="K15970" s="1">
        <v>42644</v>
      </c>
      <c r="M15970" t="e">
        <v>#N/A</v>
      </c>
      <c r="N15970" s="1">
        <v>42186</v>
      </c>
    </row>
    <row r="15971" spans="11:14" x14ac:dyDescent="0.3">
      <c r="K15971" s="1">
        <v>42644</v>
      </c>
      <c r="M15971" t="e">
        <v>#N/A</v>
      </c>
      <c r="N15971" s="1">
        <v>42186</v>
      </c>
    </row>
    <row r="15972" spans="11:14" x14ac:dyDescent="0.3">
      <c r="K15972" s="1">
        <v>42644</v>
      </c>
      <c r="M15972" t="e">
        <v>#N/A</v>
      </c>
      <c r="N15972" s="1">
        <v>42186</v>
      </c>
    </row>
    <row r="15973" spans="11:14" x14ac:dyDescent="0.3">
      <c r="K15973" s="1">
        <v>42644</v>
      </c>
      <c r="M15973" t="e">
        <v>#N/A</v>
      </c>
      <c r="N15973" s="1">
        <v>42186</v>
      </c>
    </row>
    <row r="15974" spans="11:14" x14ac:dyDescent="0.3">
      <c r="K15974" s="1">
        <v>42644</v>
      </c>
      <c r="M15974" t="e">
        <v>#N/A</v>
      </c>
      <c r="N15974" s="1">
        <v>42186</v>
      </c>
    </row>
    <row r="15975" spans="11:14" x14ac:dyDescent="0.3">
      <c r="K15975" s="1">
        <v>42644</v>
      </c>
      <c r="M15975" t="e">
        <v>#N/A</v>
      </c>
      <c r="N15975" s="1">
        <v>42186</v>
      </c>
    </row>
    <row r="15976" spans="11:14" x14ac:dyDescent="0.3">
      <c r="K15976" s="1">
        <v>42644</v>
      </c>
      <c r="M15976" t="e">
        <v>#N/A</v>
      </c>
      <c r="N15976" s="1">
        <v>42186</v>
      </c>
    </row>
    <row r="15977" spans="11:14" x14ac:dyDescent="0.3">
      <c r="K15977" s="1">
        <v>42644</v>
      </c>
      <c r="M15977" t="e">
        <v>#N/A</v>
      </c>
      <c r="N15977" s="1">
        <v>42186</v>
      </c>
    </row>
    <row r="15978" spans="11:14" x14ac:dyDescent="0.3">
      <c r="K15978" s="1">
        <v>42644</v>
      </c>
      <c r="M15978" t="e">
        <v>#N/A</v>
      </c>
      <c r="N15978" s="1">
        <v>42186</v>
      </c>
    </row>
    <row r="15979" spans="11:14" x14ac:dyDescent="0.3">
      <c r="K15979" s="1">
        <v>42644</v>
      </c>
      <c r="M15979" t="e">
        <v>#N/A</v>
      </c>
      <c r="N15979" s="1">
        <v>42186</v>
      </c>
    </row>
    <row r="15980" spans="11:14" x14ac:dyDescent="0.3">
      <c r="K15980" s="1">
        <v>42644</v>
      </c>
      <c r="M15980" t="e">
        <v>#N/A</v>
      </c>
      <c r="N15980" s="1">
        <v>42186</v>
      </c>
    </row>
    <row r="15981" spans="11:14" x14ac:dyDescent="0.3">
      <c r="K15981" s="1">
        <v>42644</v>
      </c>
      <c r="M15981" t="e">
        <v>#N/A</v>
      </c>
      <c r="N15981" s="1">
        <v>42186</v>
      </c>
    </row>
    <row r="15982" spans="11:14" x14ac:dyDescent="0.3">
      <c r="K15982" s="1">
        <v>42644</v>
      </c>
      <c r="M15982" t="e">
        <v>#N/A</v>
      </c>
      <c r="N15982" s="1">
        <v>42186</v>
      </c>
    </row>
    <row r="15983" spans="11:14" x14ac:dyDescent="0.3">
      <c r="K15983" s="1">
        <v>42644</v>
      </c>
      <c r="M15983" t="e">
        <v>#N/A</v>
      </c>
      <c r="N15983" s="1">
        <v>42186</v>
      </c>
    </row>
    <row r="15984" spans="11:14" x14ac:dyDescent="0.3">
      <c r="K15984" s="1">
        <v>42644</v>
      </c>
      <c r="M15984" t="e">
        <v>#N/A</v>
      </c>
      <c r="N15984" s="1">
        <v>42186</v>
      </c>
    </row>
    <row r="15985" spans="11:14" x14ac:dyDescent="0.3">
      <c r="K15985" s="1">
        <v>42644</v>
      </c>
      <c r="M15985" t="e">
        <v>#N/A</v>
      </c>
      <c r="N15985" s="1">
        <v>42186</v>
      </c>
    </row>
    <row r="15986" spans="11:14" x14ac:dyDescent="0.3">
      <c r="K15986" s="1">
        <v>42644</v>
      </c>
      <c r="M15986" t="e">
        <v>#N/A</v>
      </c>
      <c r="N15986" s="1">
        <v>42186</v>
      </c>
    </row>
    <row r="15987" spans="11:14" x14ac:dyDescent="0.3">
      <c r="K15987" s="1">
        <v>42644</v>
      </c>
      <c r="M15987" t="e">
        <v>#N/A</v>
      </c>
      <c r="N15987" s="1">
        <v>42186</v>
      </c>
    </row>
    <row r="15988" spans="11:14" x14ac:dyDescent="0.3">
      <c r="K15988" s="1">
        <v>42644</v>
      </c>
      <c r="M15988" t="e">
        <v>#N/A</v>
      </c>
      <c r="N15988" s="1">
        <v>42186</v>
      </c>
    </row>
    <row r="15989" spans="11:14" x14ac:dyDescent="0.3">
      <c r="K15989" s="1">
        <v>42644</v>
      </c>
      <c r="M15989" t="e">
        <v>#N/A</v>
      </c>
      <c r="N15989" s="1">
        <v>42186</v>
      </c>
    </row>
    <row r="15990" spans="11:14" x14ac:dyDescent="0.3">
      <c r="K15990" s="1">
        <v>42644</v>
      </c>
      <c r="M15990" t="e">
        <v>#N/A</v>
      </c>
      <c r="N15990" s="1">
        <v>42186</v>
      </c>
    </row>
    <row r="15991" spans="11:14" x14ac:dyDescent="0.3">
      <c r="K15991" s="1">
        <v>42644</v>
      </c>
      <c r="M15991" t="e">
        <v>#N/A</v>
      </c>
      <c r="N15991" s="1">
        <v>42186</v>
      </c>
    </row>
    <row r="15992" spans="11:14" x14ac:dyDescent="0.3">
      <c r="K15992" s="1">
        <v>42644</v>
      </c>
      <c r="M15992" t="e">
        <v>#N/A</v>
      </c>
      <c r="N15992" s="1">
        <v>42186</v>
      </c>
    </row>
    <row r="15993" spans="11:14" x14ac:dyDescent="0.3">
      <c r="K15993" s="1">
        <v>42644</v>
      </c>
      <c r="M15993" t="e">
        <v>#N/A</v>
      </c>
      <c r="N15993" s="1">
        <v>42186</v>
      </c>
    </row>
    <row r="15994" spans="11:14" x14ac:dyDescent="0.3">
      <c r="K15994" s="1">
        <v>42644</v>
      </c>
      <c r="M15994" t="e">
        <v>#N/A</v>
      </c>
      <c r="N15994" s="1">
        <v>42186</v>
      </c>
    </row>
    <row r="15995" spans="11:14" x14ac:dyDescent="0.3">
      <c r="K15995" s="1">
        <v>42644</v>
      </c>
      <c r="M15995" t="e">
        <v>#N/A</v>
      </c>
      <c r="N15995" s="1">
        <v>42186</v>
      </c>
    </row>
    <row r="15996" spans="11:14" x14ac:dyDescent="0.3">
      <c r="K15996" s="1">
        <v>42644</v>
      </c>
      <c r="M15996" t="e">
        <v>#N/A</v>
      </c>
      <c r="N15996" s="1">
        <v>42186</v>
      </c>
    </row>
    <row r="15997" spans="11:14" x14ac:dyDescent="0.3">
      <c r="K15997" s="1">
        <v>42644</v>
      </c>
      <c r="M15997" t="e">
        <v>#N/A</v>
      </c>
      <c r="N15997" s="1">
        <v>42186</v>
      </c>
    </row>
    <row r="15998" spans="11:14" x14ac:dyDescent="0.3">
      <c r="K15998" s="1">
        <v>42644</v>
      </c>
      <c r="M15998" t="e">
        <v>#N/A</v>
      </c>
      <c r="N15998" s="1">
        <v>42186</v>
      </c>
    </row>
    <row r="15999" spans="11:14" x14ac:dyDescent="0.3">
      <c r="K15999" s="1">
        <v>42644</v>
      </c>
      <c r="M15999" t="e">
        <v>#N/A</v>
      </c>
      <c r="N15999" s="1">
        <v>42186</v>
      </c>
    </row>
    <row r="16000" spans="11:14" x14ac:dyDescent="0.3">
      <c r="K16000" s="1">
        <v>42644</v>
      </c>
      <c r="M16000" t="e">
        <v>#N/A</v>
      </c>
      <c r="N16000" s="1">
        <v>42186</v>
      </c>
    </row>
    <row r="16001" spans="11:14" x14ac:dyDescent="0.3">
      <c r="K16001" s="1">
        <v>42644</v>
      </c>
      <c r="M16001" t="e">
        <v>#N/A</v>
      </c>
      <c r="N16001" s="1">
        <v>42186</v>
      </c>
    </row>
    <row r="16002" spans="11:14" x14ac:dyDescent="0.3">
      <c r="K16002" s="1">
        <v>42644</v>
      </c>
      <c r="M16002" t="e">
        <v>#N/A</v>
      </c>
      <c r="N16002" s="1">
        <v>42186</v>
      </c>
    </row>
    <row r="16003" spans="11:14" x14ac:dyDescent="0.3">
      <c r="K16003" s="1">
        <v>42644</v>
      </c>
      <c r="M16003" t="e">
        <v>#N/A</v>
      </c>
      <c r="N16003" s="1">
        <v>42186</v>
      </c>
    </row>
    <row r="16004" spans="11:14" x14ac:dyDescent="0.3">
      <c r="K16004" s="1">
        <v>42644</v>
      </c>
      <c r="M16004" t="e">
        <v>#N/A</v>
      </c>
      <c r="N16004" s="1">
        <v>42186</v>
      </c>
    </row>
    <row r="16005" spans="11:14" x14ac:dyDescent="0.3">
      <c r="K16005" s="1">
        <v>42644</v>
      </c>
      <c r="M16005" t="e">
        <v>#N/A</v>
      </c>
      <c r="N16005" s="1">
        <v>42186</v>
      </c>
    </row>
    <row r="16006" spans="11:14" x14ac:dyDescent="0.3">
      <c r="K16006" s="1">
        <v>42644</v>
      </c>
      <c r="M16006" t="e">
        <v>#N/A</v>
      </c>
      <c r="N16006" s="1">
        <v>42186</v>
      </c>
    </row>
    <row r="16007" spans="11:14" x14ac:dyDescent="0.3">
      <c r="K16007" s="1">
        <v>42644</v>
      </c>
      <c r="M16007" t="e">
        <v>#N/A</v>
      </c>
      <c r="N16007" s="1">
        <v>42186</v>
      </c>
    </row>
    <row r="16008" spans="11:14" x14ac:dyDescent="0.3">
      <c r="K16008" s="1">
        <v>42644</v>
      </c>
      <c r="M16008" t="e">
        <v>#N/A</v>
      </c>
      <c r="N16008" s="1">
        <v>42186</v>
      </c>
    </row>
    <row r="16009" spans="11:14" x14ac:dyDescent="0.3">
      <c r="K16009" s="1">
        <v>42644</v>
      </c>
      <c r="M16009" t="e">
        <v>#N/A</v>
      </c>
      <c r="N16009" s="1">
        <v>42186</v>
      </c>
    </row>
    <row r="16010" spans="11:14" x14ac:dyDescent="0.3">
      <c r="K16010" s="1">
        <v>42644</v>
      </c>
      <c r="M16010" t="e">
        <v>#N/A</v>
      </c>
      <c r="N16010" s="1">
        <v>42186</v>
      </c>
    </row>
    <row r="16011" spans="11:14" x14ac:dyDescent="0.3">
      <c r="K16011" s="1">
        <v>42644</v>
      </c>
      <c r="M16011" t="e">
        <v>#N/A</v>
      </c>
      <c r="N16011" s="1">
        <v>42186</v>
      </c>
    </row>
    <row r="16012" spans="11:14" x14ac:dyDescent="0.3">
      <c r="K16012" s="1">
        <v>42644</v>
      </c>
      <c r="M16012" t="e">
        <v>#N/A</v>
      </c>
      <c r="N16012" s="1">
        <v>42186</v>
      </c>
    </row>
    <row r="16013" spans="11:14" x14ac:dyDescent="0.3">
      <c r="K16013" s="1">
        <v>42644</v>
      </c>
      <c r="M16013" t="e">
        <v>#N/A</v>
      </c>
      <c r="N16013" s="1">
        <v>42186</v>
      </c>
    </row>
    <row r="16014" spans="11:14" x14ac:dyDescent="0.3">
      <c r="K16014" s="1">
        <v>42644</v>
      </c>
      <c r="M16014" t="e">
        <v>#N/A</v>
      </c>
      <c r="N16014" s="1">
        <v>42186</v>
      </c>
    </row>
    <row r="16015" spans="11:14" x14ac:dyDescent="0.3">
      <c r="K16015" s="1">
        <v>42644</v>
      </c>
      <c r="M16015" t="e">
        <v>#N/A</v>
      </c>
      <c r="N16015" s="1">
        <v>42186</v>
      </c>
    </row>
    <row r="16016" spans="11:14" x14ac:dyDescent="0.3">
      <c r="K16016" s="1">
        <v>42644</v>
      </c>
      <c r="M16016" t="e">
        <v>#N/A</v>
      </c>
      <c r="N16016" s="1">
        <v>42186</v>
      </c>
    </row>
    <row r="16017" spans="11:14" x14ac:dyDescent="0.3">
      <c r="K16017" s="1">
        <v>42644</v>
      </c>
      <c r="M16017" t="e">
        <v>#N/A</v>
      </c>
      <c r="N16017" s="1">
        <v>42186</v>
      </c>
    </row>
    <row r="16018" spans="11:14" x14ac:dyDescent="0.3">
      <c r="K16018" s="1">
        <v>42644</v>
      </c>
      <c r="M16018" t="e">
        <v>#N/A</v>
      </c>
      <c r="N16018" s="1">
        <v>42186</v>
      </c>
    </row>
    <row r="16019" spans="11:14" x14ac:dyDescent="0.3">
      <c r="K16019" s="1">
        <v>42644</v>
      </c>
      <c r="M16019" t="e">
        <v>#N/A</v>
      </c>
      <c r="N16019" s="1">
        <v>42186</v>
      </c>
    </row>
    <row r="16020" spans="11:14" x14ac:dyDescent="0.3">
      <c r="K16020" s="1">
        <v>42644</v>
      </c>
      <c r="M16020" t="e">
        <v>#N/A</v>
      </c>
      <c r="N16020" s="1">
        <v>42186</v>
      </c>
    </row>
    <row r="16021" spans="11:14" x14ac:dyDescent="0.3">
      <c r="K16021" s="1">
        <v>42644</v>
      </c>
      <c r="M16021" t="e">
        <v>#N/A</v>
      </c>
      <c r="N16021" s="1">
        <v>42186</v>
      </c>
    </row>
    <row r="16022" spans="11:14" x14ac:dyDescent="0.3">
      <c r="K16022" s="1">
        <v>42644</v>
      </c>
      <c r="M16022" t="e">
        <v>#N/A</v>
      </c>
      <c r="N16022" s="1">
        <v>42186</v>
      </c>
    </row>
    <row r="16023" spans="11:14" x14ac:dyDescent="0.3">
      <c r="K16023" s="1">
        <v>42644</v>
      </c>
      <c r="M16023" t="e">
        <v>#N/A</v>
      </c>
      <c r="N16023" s="1">
        <v>42186</v>
      </c>
    </row>
    <row r="16024" spans="11:14" x14ac:dyDescent="0.3">
      <c r="K16024" s="1">
        <v>42644</v>
      </c>
      <c r="M16024" t="e">
        <v>#N/A</v>
      </c>
      <c r="N16024" s="1">
        <v>42186</v>
      </c>
    </row>
    <row r="16025" spans="11:14" x14ac:dyDescent="0.3">
      <c r="K16025" s="1">
        <v>42644</v>
      </c>
      <c r="M16025" t="e">
        <v>#N/A</v>
      </c>
      <c r="N16025" s="1">
        <v>42186</v>
      </c>
    </row>
    <row r="16026" spans="11:14" x14ac:dyDescent="0.3">
      <c r="K16026" s="1">
        <v>42644</v>
      </c>
      <c r="M16026" t="e">
        <v>#N/A</v>
      </c>
      <c r="N16026" s="1">
        <v>42186</v>
      </c>
    </row>
    <row r="16027" spans="11:14" x14ac:dyDescent="0.3">
      <c r="K16027" s="1">
        <v>42644</v>
      </c>
      <c r="M16027" t="e">
        <v>#N/A</v>
      </c>
      <c r="N16027" s="1">
        <v>42186</v>
      </c>
    </row>
    <row r="16028" spans="11:14" x14ac:dyDescent="0.3">
      <c r="K16028" s="1">
        <v>42644</v>
      </c>
      <c r="M16028" t="e">
        <v>#N/A</v>
      </c>
      <c r="N16028" s="1">
        <v>42186</v>
      </c>
    </row>
    <row r="16029" spans="11:14" x14ac:dyDescent="0.3">
      <c r="K16029" s="1">
        <v>42644</v>
      </c>
      <c r="M16029" t="e">
        <v>#N/A</v>
      </c>
      <c r="N16029" s="1">
        <v>42186</v>
      </c>
    </row>
    <row r="16030" spans="11:14" x14ac:dyDescent="0.3">
      <c r="K16030" s="1">
        <v>42644</v>
      </c>
      <c r="M16030" t="e">
        <v>#N/A</v>
      </c>
      <c r="N16030" s="1">
        <v>42186</v>
      </c>
    </row>
    <row r="16031" spans="11:14" x14ac:dyDescent="0.3">
      <c r="K16031" s="1">
        <v>42644</v>
      </c>
      <c r="M16031" t="e">
        <v>#N/A</v>
      </c>
      <c r="N16031" s="1">
        <v>42186</v>
      </c>
    </row>
    <row r="16032" spans="11:14" x14ac:dyDescent="0.3">
      <c r="K16032" s="1">
        <v>42644</v>
      </c>
      <c r="M16032" t="e">
        <v>#N/A</v>
      </c>
      <c r="N16032" s="1">
        <v>42186</v>
      </c>
    </row>
    <row r="16033" spans="11:14" x14ac:dyDescent="0.3">
      <c r="K16033" s="1">
        <v>42644</v>
      </c>
      <c r="M16033" t="e">
        <v>#N/A</v>
      </c>
      <c r="N16033" s="1">
        <v>42186</v>
      </c>
    </row>
    <row r="16034" spans="11:14" x14ac:dyDescent="0.3">
      <c r="K16034" s="1">
        <v>42644</v>
      </c>
      <c r="M16034" t="e">
        <v>#N/A</v>
      </c>
      <c r="N16034" s="1">
        <v>42186</v>
      </c>
    </row>
    <row r="16035" spans="11:14" x14ac:dyDescent="0.3">
      <c r="K16035" s="1">
        <v>42644</v>
      </c>
      <c r="M16035" t="e">
        <v>#N/A</v>
      </c>
      <c r="N16035" s="1">
        <v>42186</v>
      </c>
    </row>
    <row r="16036" spans="11:14" x14ac:dyDescent="0.3">
      <c r="K16036" s="1">
        <v>42644</v>
      </c>
      <c r="M16036" t="e">
        <v>#N/A</v>
      </c>
      <c r="N16036" s="1">
        <v>42186</v>
      </c>
    </row>
    <row r="16037" spans="11:14" x14ac:dyDescent="0.3">
      <c r="K16037" s="1">
        <v>42644</v>
      </c>
      <c r="M16037" t="e">
        <v>#N/A</v>
      </c>
      <c r="N16037" s="1">
        <v>42186</v>
      </c>
    </row>
    <row r="16038" spans="11:14" x14ac:dyDescent="0.3">
      <c r="K16038" s="1">
        <v>42644</v>
      </c>
      <c r="M16038" t="e">
        <v>#N/A</v>
      </c>
      <c r="N16038" s="1">
        <v>42186</v>
      </c>
    </row>
    <row r="16039" spans="11:14" x14ac:dyDescent="0.3">
      <c r="K16039" s="1">
        <v>42644</v>
      </c>
      <c r="M16039" t="e">
        <v>#N/A</v>
      </c>
      <c r="N16039" s="1">
        <v>42186</v>
      </c>
    </row>
    <row r="16040" spans="11:14" x14ac:dyDescent="0.3">
      <c r="K16040" s="1">
        <v>42644</v>
      </c>
      <c r="M16040" t="e">
        <v>#N/A</v>
      </c>
      <c r="N16040" s="1">
        <v>42186</v>
      </c>
    </row>
    <row r="16041" spans="11:14" x14ac:dyDescent="0.3">
      <c r="K16041" s="1">
        <v>42644</v>
      </c>
      <c r="M16041" t="e">
        <v>#N/A</v>
      </c>
      <c r="N16041" s="1">
        <v>42186</v>
      </c>
    </row>
    <row r="16042" spans="11:14" x14ac:dyDescent="0.3">
      <c r="K16042" s="1">
        <v>42644</v>
      </c>
      <c r="M16042" t="e">
        <v>#N/A</v>
      </c>
      <c r="N16042" s="1">
        <v>42186</v>
      </c>
    </row>
    <row r="16043" spans="11:14" x14ac:dyDescent="0.3">
      <c r="K16043" s="1">
        <v>42644</v>
      </c>
      <c r="M16043" t="e">
        <v>#N/A</v>
      </c>
      <c r="N16043" s="1">
        <v>42186</v>
      </c>
    </row>
    <row r="16044" spans="11:14" x14ac:dyDescent="0.3">
      <c r="K16044" s="1">
        <v>42644</v>
      </c>
      <c r="M16044" t="e">
        <v>#N/A</v>
      </c>
      <c r="N16044" s="1">
        <v>42278</v>
      </c>
    </row>
    <row r="16045" spans="11:14" x14ac:dyDescent="0.3">
      <c r="K16045" s="1">
        <v>42644</v>
      </c>
      <c r="M16045" t="e">
        <v>#N/A</v>
      </c>
      <c r="N16045" s="1">
        <v>42278</v>
      </c>
    </row>
    <row r="16046" spans="11:14" x14ac:dyDescent="0.3">
      <c r="K16046" s="1">
        <v>42644</v>
      </c>
      <c r="M16046" t="e">
        <v>#N/A</v>
      </c>
      <c r="N16046" s="1">
        <v>42278</v>
      </c>
    </row>
    <row r="16047" spans="11:14" x14ac:dyDescent="0.3">
      <c r="K16047" s="1">
        <v>42644</v>
      </c>
      <c r="M16047" t="e">
        <v>#N/A</v>
      </c>
      <c r="N16047" s="1">
        <v>42278</v>
      </c>
    </row>
    <row r="16048" spans="11:14" x14ac:dyDescent="0.3">
      <c r="K16048" s="1">
        <v>42644</v>
      </c>
      <c r="M16048" t="e">
        <v>#N/A</v>
      </c>
      <c r="N16048" s="1">
        <v>42278</v>
      </c>
    </row>
    <row r="16049" spans="11:14" x14ac:dyDescent="0.3">
      <c r="K16049" s="1">
        <v>42644</v>
      </c>
      <c r="M16049" t="e">
        <v>#N/A</v>
      </c>
      <c r="N16049" s="1">
        <v>42278</v>
      </c>
    </row>
    <row r="16050" spans="11:14" x14ac:dyDescent="0.3">
      <c r="K16050" s="1">
        <v>42644</v>
      </c>
      <c r="M16050" t="e">
        <v>#N/A</v>
      </c>
      <c r="N16050" s="1">
        <v>42278</v>
      </c>
    </row>
    <row r="16051" spans="11:14" x14ac:dyDescent="0.3">
      <c r="K16051" s="1">
        <v>42644</v>
      </c>
      <c r="M16051" t="e">
        <v>#N/A</v>
      </c>
      <c r="N16051" s="1">
        <v>42278</v>
      </c>
    </row>
    <row r="16052" spans="11:14" x14ac:dyDescent="0.3">
      <c r="K16052" s="1">
        <v>42644</v>
      </c>
      <c r="M16052" t="e">
        <v>#N/A</v>
      </c>
      <c r="N16052" s="1">
        <v>42278</v>
      </c>
    </row>
    <row r="16053" spans="11:14" x14ac:dyDescent="0.3">
      <c r="K16053" s="1">
        <v>42644</v>
      </c>
      <c r="M16053" t="e">
        <v>#N/A</v>
      </c>
      <c r="N16053" s="1">
        <v>42278</v>
      </c>
    </row>
    <row r="16054" spans="11:14" x14ac:dyDescent="0.3">
      <c r="K16054" s="1">
        <v>42644</v>
      </c>
      <c r="M16054" t="e">
        <v>#N/A</v>
      </c>
      <c r="N16054" s="1">
        <v>42278</v>
      </c>
    </row>
    <row r="16055" spans="11:14" x14ac:dyDescent="0.3">
      <c r="K16055" s="1">
        <v>42644</v>
      </c>
      <c r="M16055" t="e">
        <v>#N/A</v>
      </c>
      <c r="N16055" s="1">
        <v>42278</v>
      </c>
    </row>
    <row r="16056" spans="11:14" x14ac:dyDescent="0.3">
      <c r="K16056" s="1">
        <v>42644</v>
      </c>
      <c r="M16056" t="e">
        <v>#N/A</v>
      </c>
      <c r="N16056" s="1">
        <v>42278</v>
      </c>
    </row>
    <row r="16057" spans="11:14" x14ac:dyDescent="0.3">
      <c r="K16057" s="1">
        <v>42644</v>
      </c>
      <c r="M16057" t="e">
        <v>#N/A</v>
      </c>
      <c r="N16057" s="1">
        <v>42278</v>
      </c>
    </row>
    <row r="16058" spans="11:14" x14ac:dyDescent="0.3">
      <c r="K16058" s="1">
        <v>42644</v>
      </c>
      <c r="M16058" t="e">
        <v>#N/A</v>
      </c>
      <c r="N16058" s="1">
        <v>42278</v>
      </c>
    </row>
    <row r="16059" spans="11:14" x14ac:dyDescent="0.3">
      <c r="K16059" s="1">
        <v>42644</v>
      </c>
      <c r="M16059" t="e">
        <v>#N/A</v>
      </c>
      <c r="N16059" s="1">
        <v>42278</v>
      </c>
    </row>
    <row r="16060" spans="11:14" x14ac:dyDescent="0.3">
      <c r="K16060" s="1">
        <v>42644</v>
      </c>
      <c r="M16060" t="e">
        <v>#N/A</v>
      </c>
      <c r="N16060" s="1">
        <v>42278</v>
      </c>
    </row>
    <row r="16061" spans="11:14" x14ac:dyDescent="0.3">
      <c r="K16061" s="1">
        <v>42644</v>
      </c>
      <c r="M16061" t="e">
        <v>#N/A</v>
      </c>
      <c r="N16061" s="1">
        <v>42278</v>
      </c>
    </row>
    <row r="16062" spans="11:14" x14ac:dyDescent="0.3">
      <c r="K16062" s="1">
        <v>42644</v>
      </c>
      <c r="M16062" t="e">
        <v>#N/A</v>
      </c>
      <c r="N16062" s="1">
        <v>42278</v>
      </c>
    </row>
    <row r="16063" spans="11:14" x14ac:dyDescent="0.3">
      <c r="K16063" s="1">
        <v>42644</v>
      </c>
      <c r="M16063" t="e">
        <v>#N/A</v>
      </c>
      <c r="N16063" s="1">
        <v>42278</v>
      </c>
    </row>
    <row r="16064" spans="11:14" x14ac:dyDescent="0.3">
      <c r="K16064" s="1">
        <v>42644</v>
      </c>
      <c r="M16064" t="e">
        <v>#N/A</v>
      </c>
      <c r="N16064" s="1">
        <v>42278</v>
      </c>
    </row>
    <row r="16065" spans="11:14" x14ac:dyDescent="0.3">
      <c r="K16065" s="1">
        <v>42644</v>
      </c>
      <c r="M16065" t="e">
        <v>#N/A</v>
      </c>
      <c r="N16065" s="1">
        <v>42278</v>
      </c>
    </row>
    <row r="16066" spans="11:14" x14ac:dyDescent="0.3">
      <c r="K16066" s="1">
        <v>42644</v>
      </c>
      <c r="M16066" t="e">
        <v>#N/A</v>
      </c>
      <c r="N16066" s="1">
        <v>42278</v>
      </c>
    </row>
    <row r="16067" spans="11:14" x14ac:dyDescent="0.3">
      <c r="K16067" s="1">
        <v>42644</v>
      </c>
      <c r="M16067" t="e">
        <v>#N/A</v>
      </c>
      <c r="N16067" s="1">
        <v>42278</v>
      </c>
    </row>
    <row r="16068" spans="11:14" x14ac:dyDescent="0.3">
      <c r="K16068" s="1">
        <v>42644</v>
      </c>
      <c r="M16068" t="e">
        <v>#N/A</v>
      </c>
      <c r="N16068" s="1">
        <v>42278</v>
      </c>
    </row>
    <row r="16069" spans="11:14" x14ac:dyDescent="0.3">
      <c r="K16069" s="1">
        <v>42644</v>
      </c>
      <c r="M16069" t="e">
        <v>#N/A</v>
      </c>
      <c r="N16069" s="1">
        <v>42278</v>
      </c>
    </row>
    <row r="16070" spans="11:14" x14ac:dyDescent="0.3">
      <c r="K16070" s="1">
        <v>42644</v>
      </c>
      <c r="M16070" t="e">
        <v>#N/A</v>
      </c>
      <c r="N16070" s="1">
        <v>42278</v>
      </c>
    </row>
    <row r="16071" spans="11:14" x14ac:dyDescent="0.3">
      <c r="K16071" s="1">
        <v>42644</v>
      </c>
      <c r="M16071" t="e">
        <v>#N/A</v>
      </c>
      <c r="N16071" s="1">
        <v>42278</v>
      </c>
    </row>
    <row r="16072" spans="11:14" x14ac:dyDescent="0.3">
      <c r="K16072" s="1">
        <v>42644</v>
      </c>
      <c r="M16072" t="e">
        <v>#N/A</v>
      </c>
      <c r="N16072" s="1">
        <v>42278</v>
      </c>
    </row>
    <row r="16073" spans="11:14" x14ac:dyDescent="0.3">
      <c r="K16073" s="1">
        <v>42644</v>
      </c>
      <c r="M16073" t="e">
        <v>#N/A</v>
      </c>
      <c r="N16073" s="1">
        <v>42278</v>
      </c>
    </row>
    <row r="16074" spans="11:14" x14ac:dyDescent="0.3">
      <c r="K16074" s="1">
        <v>42644</v>
      </c>
      <c r="M16074" t="e">
        <v>#N/A</v>
      </c>
      <c r="N16074" s="1">
        <v>42278</v>
      </c>
    </row>
    <row r="16075" spans="11:14" x14ac:dyDescent="0.3">
      <c r="K16075" s="1">
        <v>42644</v>
      </c>
      <c r="M16075" t="e">
        <v>#N/A</v>
      </c>
      <c r="N16075" s="1">
        <v>42278</v>
      </c>
    </row>
    <row r="16076" spans="11:14" x14ac:dyDescent="0.3">
      <c r="K16076" s="1">
        <v>42644</v>
      </c>
      <c r="M16076" t="e">
        <v>#N/A</v>
      </c>
      <c r="N16076" s="1">
        <v>42278</v>
      </c>
    </row>
    <row r="16077" spans="11:14" x14ac:dyDescent="0.3">
      <c r="K16077" s="1">
        <v>42644</v>
      </c>
      <c r="M16077" t="e">
        <v>#N/A</v>
      </c>
      <c r="N16077" s="1">
        <v>42278</v>
      </c>
    </row>
    <row r="16078" spans="11:14" x14ac:dyDescent="0.3">
      <c r="K16078" s="1">
        <v>42644</v>
      </c>
      <c r="M16078" t="e">
        <v>#N/A</v>
      </c>
      <c r="N16078" s="1">
        <v>42278</v>
      </c>
    </row>
    <row r="16079" spans="11:14" x14ac:dyDescent="0.3">
      <c r="K16079" s="1">
        <v>42644</v>
      </c>
      <c r="M16079" t="e">
        <v>#N/A</v>
      </c>
      <c r="N16079" s="1">
        <v>42278</v>
      </c>
    </row>
    <row r="16080" spans="11:14" x14ac:dyDescent="0.3">
      <c r="K16080" s="1">
        <v>42644</v>
      </c>
      <c r="M16080" t="e">
        <v>#N/A</v>
      </c>
      <c r="N16080" s="1">
        <v>42278</v>
      </c>
    </row>
    <row r="16081" spans="11:14" x14ac:dyDescent="0.3">
      <c r="K16081" s="1">
        <v>42644</v>
      </c>
      <c r="M16081" t="e">
        <v>#N/A</v>
      </c>
      <c r="N16081" s="1">
        <v>42278</v>
      </c>
    </row>
    <row r="16082" spans="11:14" x14ac:dyDescent="0.3">
      <c r="K16082" s="1">
        <v>42644</v>
      </c>
      <c r="M16082" t="e">
        <v>#N/A</v>
      </c>
      <c r="N16082" s="1">
        <v>42278</v>
      </c>
    </row>
    <row r="16083" spans="11:14" x14ac:dyDescent="0.3">
      <c r="K16083" s="1">
        <v>42644</v>
      </c>
      <c r="M16083" t="e">
        <v>#N/A</v>
      </c>
      <c r="N16083" s="1">
        <v>42278</v>
      </c>
    </row>
    <row r="16084" spans="11:14" x14ac:dyDescent="0.3">
      <c r="K16084" s="1">
        <v>42644</v>
      </c>
      <c r="M16084" t="e">
        <v>#N/A</v>
      </c>
      <c r="N16084" s="1">
        <v>42278</v>
      </c>
    </row>
    <row r="16085" spans="11:14" x14ac:dyDescent="0.3">
      <c r="K16085" s="1">
        <v>42644</v>
      </c>
      <c r="M16085" t="e">
        <v>#N/A</v>
      </c>
      <c r="N16085" s="1">
        <v>42278</v>
      </c>
    </row>
    <row r="16086" spans="11:14" x14ac:dyDescent="0.3">
      <c r="K16086" s="1">
        <v>42644</v>
      </c>
      <c r="M16086" t="e">
        <v>#N/A</v>
      </c>
      <c r="N16086" s="1">
        <v>42278</v>
      </c>
    </row>
    <row r="16087" spans="11:14" x14ac:dyDescent="0.3">
      <c r="K16087" s="1">
        <v>42644</v>
      </c>
      <c r="M16087" t="e">
        <v>#N/A</v>
      </c>
      <c r="N16087" s="1">
        <v>42278</v>
      </c>
    </row>
    <row r="16088" spans="11:14" x14ac:dyDescent="0.3">
      <c r="K16088" s="1">
        <v>42644</v>
      </c>
      <c r="M16088" t="e">
        <v>#N/A</v>
      </c>
      <c r="N16088" s="1">
        <v>42278</v>
      </c>
    </row>
    <row r="16089" spans="11:14" x14ac:dyDescent="0.3">
      <c r="K16089" s="1">
        <v>42644</v>
      </c>
      <c r="M16089" t="e">
        <v>#N/A</v>
      </c>
      <c r="N16089" s="1">
        <v>42278</v>
      </c>
    </row>
    <row r="16090" spans="11:14" x14ac:dyDescent="0.3">
      <c r="K16090" s="1">
        <v>42644</v>
      </c>
      <c r="M16090" t="e">
        <v>#N/A</v>
      </c>
      <c r="N16090" s="1">
        <v>42278</v>
      </c>
    </row>
    <row r="16091" spans="11:14" x14ac:dyDescent="0.3">
      <c r="K16091" s="1">
        <v>42644</v>
      </c>
      <c r="M16091" t="e">
        <v>#N/A</v>
      </c>
      <c r="N16091" s="1">
        <v>42278</v>
      </c>
    </row>
    <row r="16092" spans="11:14" x14ac:dyDescent="0.3">
      <c r="K16092" s="1">
        <v>42644</v>
      </c>
      <c r="M16092" t="e">
        <v>#N/A</v>
      </c>
      <c r="N16092" s="1">
        <v>42278</v>
      </c>
    </row>
    <row r="16093" spans="11:14" x14ac:dyDescent="0.3">
      <c r="K16093" s="1">
        <v>42644</v>
      </c>
      <c r="M16093" t="e">
        <v>#N/A</v>
      </c>
      <c r="N16093" s="1">
        <v>42278</v>
      </c>
    </row>
    <row r="16094" spans="11:14" x14ac:dyDescent="0.3">
      <c r="K16094" s="1">
        <v>42644</v>
      </c>
      <c r="M16094" t="e">
        <v>#N/A</v>
      </c>
      <c r="N16094" s="1">
        <v>42278</v>
      </c>
    </row>
    <row r="16095" spans="11:14" x14ac:dyDescent="0.3">
      <c r="K16095" s="1">
        <v>42644</v>
      </c>
      <c r="M16095" t="e">
        <v>#N/A</v>
      </c>
      <c r="N16095" s="1">
        <v>42278</v>
      </c>
    </row>
    <row r="16096" spans="11:14" x14ac:dyDescent="0.3">
      <c r="K16096" s="1">
        <v>42644</v>
      </c>
      <c r="M16096" t="e">
        <v>#N/A</v>
      </c>
      <c r="N16096" s="1">
        <v>42278</v>
      </c>
    </row>
    <row r="16097" spans="11:14" x14ac:dyDescent="0.3">
      <c r="K16097" s="1">
        <v>42644</v>
      </c>
      <c r="M16097" t="e">
        <v>#N/A</v>
      </c>
      <c r="N16097" s="1">
        <v>42278</v>
      </c>
    </row>
    <row r="16098" spans="11:14" x14ac:dyDescent="0.3">
      <c r="K16098" s="1">
        <v>42644</v>
      </c>
      <c r="M16098" t="e">
        <v>#N/A</v>
      </c>
      <c r="N16098" s="1">
        <v>42278</v>
      </c>
    </row>
    <row r="16099" spans="11:14" x14ac:dyDescent="0.3">
      <c r="K16099" s="1">
        <v>42644</v>
      </c>
      <c r="M16099" t="e">
        <v>#N/A</v>
      </c>
      <c r="N16099" s="1">
        <v>42278</v>
      </c>
    </row>
    <row r="16100" spans="11:14" x14ac:dyDescent="0.3">
      <c r="K16100" s="1">
        <v>42644</v>
      </c>
      <c r="M16100" t="e">
        <v>#N/A</v>
      </c>
      <c r="N16100" s="1">
        <v>42278</v>
      </c>
    </row>
    <row r="16101" spans="11:14" x14ac:dyDescent="0.3">
      <c r="K16101" s="1">
        <v>42644</v>
      </c>
      <c r="M16101" t="e">
        <v>#N/A</v>
      </c>
      <c r="N16101" s="1">
        <v>42278</v>
      </c>
    </row>
    <row r="16102" spans="11:14" x14ac:dyDescent="0.3">
      <c r="K16102" s="1">
        <v>42644</v>
      </c>
      <c r="M16102" t="e">
        <v>#N/A</v>
      </c>
      <c r="N16102" s="1">
        <v>42278</v>
      </c>
    </row>
    <row r="16103" spans="11:14" x14ac:dyDescent="0.3">
      <c r="K16103" s="1">
        <v>42644</v>
      </c>
      <c r="M16103" t="e">
        <v>#N/A</v>
      </c>
      <c r="N16103" s="1">
        <v>42278</v>
      </c>
    </row>
    <row r="16104" spans="11:14" x14ac:dyDescent="0.3">
      <c r="K16104" s="1">
        <v>42644</v>
      </c>
      <c r="M16104" t="e">
        <v>#N/A</v>
      </c>
      <c r="N16104" s="1">
        <v>42278</v>
      </c>
    </row>
    <row r="16105" spans="11:14" x14ac:dyDescent="0.3">
      <c r="K16105" s="1">
        <v>42644</v>
      </c>
      <c r="M16105" t="e">
        <v>#N/A</v>
      </c>
      <c r="N16105" s="1">
        <v>42278</v>
      </c>
    </row>
    <row r="16106" spans="11:14" x14ac:dyDescent="0.3">
      <c r="K16106" s="1">
        <v>42644</v>
      </c>
      <c r="M16106" t="e">
        <v>#N/A</v>
      </c>
      <c r="N16106" s="1">
        <v>42278</v>
      </c>
    </row>
    <row r="16107" spans="11:14" x14ac:dyDescent="0.3">
      <c r="K16107" s="1">
        <v>42644</v>
      </c>
      <c r="M16107" t="e">
        <v>#N/A</v>
      </c>
      <c r="N16107" s="1">
        <v>42278</v>
      </c>
    </row>
    <row r="16108" spans="11:14" x14ac:dyDescent="0.3">
      <c r="K16108" s="1">
        <v>42644</v>
      </c>
      <c r="M16108" t="e">
        <v>#N/A</v>
      </c>
      <c r="N16108" s="1">
        <v>42278</v>
      </c>
    </row>
    <row r="16109" spans="11:14" x14ac:dyDescent="0.3">
      <c r="K16109" s="1">
        <v>42644</v>
      </c>
      <c r="M16109" t="e">
        <v>#N/A</v>
      </c>
      <c r="N16109" s="1">
        <v>42278</v>
      </c>
    </row>
    <row r="16110" spans="11:14" x14ac:dyDescent="0.3">
      <c r="K16110" s="1">
        <v>42644</v>
      </c>
      <c r="M16110" t="e">
        <v>#N/A</v>
      </c>
      <c r="N16110" s="1">
        <v>42278</v>
      </c>
    </row>
    <row r="16111" spans="11:14" x14ac:dyDescent="0.3">
      <c r="K16111" s="1">
        <v>42644</v>
      </c>
      <c r="M16111" t="e">
        <v>#N/A</v>
      </c>
      <c r="N16111" s="1">
        <v>42278</v>
      </c>
    </row>
    <row r="16112" spans="11:14" x14ac:dyDescent="0.3">
      <c r="K16112" s="1">
        <v>42644</v>
      </c>
      <c r="M16112" t="e">
        <v>#N/A</v>
      </c>
      <c r="N16112" s="1">
        <v>42278</v>
      </c>
    </row>
    <row r="16113" spans="11:14" x14ac:dyDescent="0.3">
      <c r="K16113" s="1">
        <v>42644</v>
      </c>
      <c r="M16113" t="e">
        <v>#N/A</v>
      </c>
      <c r="N16113" s="1">
        <v>42278</v>
      </c>
    </row>
    <row r="16114" spans="11:14" x14ac:dyDescent="0.3">
      <c r="K16114" s="1">
        <v>42644</v>
      </c>
      <c r="M16114" t="e">
        <v>#N/A</v>
      </c>
      <c r="N16114" s="1">
        <v>42278</v>
      </c>
    </row>
    <row r="16115" spans="11:14" x14ac:dyDescent="0.3">
      <c r="K16115" s="1">
        <v>42644</v>
      </c>
      <c r="M16115" t="e">
        <v>#N/A</v>
      </c>
      <c r="N16115" s="1">
        <v>42278</v>
      </c>
    </row>
    <row r="16116" spans="11:14" x14ac:dyDescent="0.3">
      <c r="K16116" s="1">
        <v>42644</v>
      </c>
      <c r="M16116" t="e">
        <v>#N/A</v>
      </c>
      <c r="N16116" s="1">
        <v>42278</v>
      </c>
    </row>
    <row r="16117" spans="11:14" x14ac:dyDescent="0.3">
      <c r="K16117" s="1">
        <v>42644</v>
      </c>
      <c r="M16117" t="e">
        <v>#N/A</v>
      </c>
      <c r="N16117" s="1">
        <v>42278</v>
      </c>
    </row>
    <row r="16118" spans="11:14" x14ac:dyDescent="0.3">
      <c r="K16118" s="1">
        <v>42644</v>
      </c>
      <c r="M16118" t="e">
        <v>#N/A</v>
      </c>
      <c r="N16118" s="1">
        <v>42278</v>
      </c>
    </row>
    <row r="16119" spans="11:14" x14ac:dyDescent="0.3">
      <c r="K16119" s="1">
        <v>42644</v>
      </c>
      <c r="M16119" t="e">
        <v>#N/A</v>
      </c>
      <c r="N16119" s="1">
        <v>42278</v>
      </c>
    </row>
    <row r="16120" spans="11:14" x14ac:dyDescent="0.3">
      <c r="K16120" s="1">
        <v>42644</v>
      </c>
      <c r="M16120" t="e">
        <v>#N/A</v>
      </c>
      <c r="N16120" s="1">
        <v>42278</v>
      </c>
    </row>
    <row r="16121" spans="11:14" x14ac:dyDescent="0.3">
      <c r="K16121" s="1">
        <v>42644</v>
      </c>
      <c r="M16121" t="e">
        <v>#N/A</v>
      </c>
      <c r="N16121" s="1">
        <v>42278</v>
      </c>
    </row>
    <row r="16122" spans="11:14" x14ac:dyDescent="0.3">
      <c r="K16122" s="1">
        <v>42644</v>
      </c>
      <c r="M16122" t="e">
        <v>#N/A</v>
      </c>
      <c r="N16122" s="1">
        <v>42278</v>
      </c>
    </row>
    <row r="16123" spans="11:14" x14ac:dyDescent="0.3">
      <c r="K16123" s="1">
        <v>42644</v>
      </c>
      <c r="M16123" t="e">
        <v>#N/A</v>
      </c>
      <c r="N16123" s="1">
        <v>42278</v>
      </c>
    </row>
    <row r="16124" spans="11:14" x14ac:dyDescent="0.3">
      <c r="K16124" s="1">
        <v>42644</v>
      </c>
      <c r="M16124" t="e">
        <v>#N/A</v>
      </c>
      <c r="N16124" s="1">
        <v>42278</v>
      </c>
    </row>
    <row r="16125" spans="11:14" x14ac:dyDescent="0.3">
      <c r="K16125" s="1">
        <v>42644</v>
      </c>
      <c r="M16125" t="e">
        <v>#N/A</v>
      </c>
      <c r="N16125" s="1">
        <v>42278</v>
      </c>
    </row>
    <row r="16126" spans="11:14" x14ac:dyDescent="0.3">
      <c r="K16126" s="1">
        <v>42644</v>
      </c>
      <c r="M16126" t="e">
        <v>#N/A</v>
      </c>
      <c r="N16126" s="1">
        <v>42278</v>
      </c>
    </row>
    <row r="16127" spans="11:14" x14ac:dyDescent="0.3">
      <c r="K16127" s="1">
        <v>42644</v>
      </c>
      <c r="M16127" t="e">
        <v>#N/A</v>
      </c>
      <c r="N16127" s="1">
        <v>42278</v>
      </c>
    </row>
    <row r="16128" spans="11:14" x14ac:dyDescent="0.3">
      <c r="K16128" s="1">
        <v>42644</v>
      </c>
      <c r="M16128" t="e">
        <v>#N/A</v>
      </c>
      <c r="N16128" s="1">
        <v>42278</v>
      </c>
    </row>
    <row r="16129" spans="11:14" x14ac:dyDescent="0.3">
      <c r="K16129" s="1">
        <v>42644</v>
      </c>
      <c r="M16129" t="e">
        <v>#N/A</v>
      </c>
      <c r="N16129" s="1">
        <v>42278</v>
      </c>
    </row>
    <row r="16130" spans="11:14" x14ac:dyDescent="0.3">
      <c r="K16130" s="1">
        <v>42644</v>
      </c>
      <c r="M16130" t="e">
        <v>#N/A</v>
      </c>
      <c r="N16130" s="1">
        <v>42278</v>
      </c>
    </row>
    <row r="16131" spans="11:14" x14ac:dyDescent="0.3">
      <c r="K16131" s="1">
        <v>42644</v>
      </c>
      <c r="M16131" t="e">
        <v>#N/A</v>
      </c>
      <c r="N16131" s="1">
        <v>42278</v>
      </c>
    </row>
    <row r="16132" spans="11:14" x14ac:dyDescent="0.3">
      <c r="K16132" s="1">
        <v>42644</v>
      </c>
      <c r="M16132" t="e">
        <v>#N/A</v>
      </c>
      <c r="N16132" s="1">
        <v>42278</v>
      </c>
    </row>
    <row r="16133" spans="11:14" x14ac:dyDescent="0.3">
      <c r="K16133" s="1">
        <v>42644</v>
      </c>
      <c r="M16133" t="e">
        <v>#N/A</v>
      </c>
      <c r="N16133" s="1">
        <v>42278</v>
      </c>
    </row>
    <row r="16134" spans="11:14" x14ac:dyDescent="0.3">
      <c r="K16134" s="1">
        <v>42644</v>
      </c>
      <c r="M16134" t="e">
        <v>#N/A</v>
      </c>
      <c r="N16134" s="1">
        <v>42278</v>
      </c>
    </row>
    <row r="16135" spans="11:14" x14ac:dyDescent="0.3">
      <c r="K16135" s="1">
        <v>42644</v>
      </c>
      <c r="M16135" t="e">
        <v>#N/A</v>
      </c>
      <c r="N16135" s="1">
        <v>42278</v>
      </c>
    </row>
    <row r="16136" spans="11:14" x14ac:dyDescent="0.3">
      <c r="K16136" s="1">
        <v>42644</v>
      </c>
      <c r="M16136" t="e">
        <v>#N/A</v>
      </c>
      <c r="N16136" s="1">
        <v>42278</v>
      </c>
    </row>
    <row r="16137" spans="11:14" x14ac:dyDescent="0.3">
      <c r="K16137" s="1">
        <v>42644</v>
      </c>
      <c r="M16137" t="e">
        <v>#N/A</v>
      </c>
      <c r="N16137" s="1">
        <v>42278</v>
      </c>
    </row>
    <row r="16138" spans="11:14" x14ac:dyDescent="0.3">
      <c r="K16138" s="1">
        <v>42644</v>
      </c>
      <c r="M16138" t="e">
        <v>#N/A</v>
      </c>
      <c r="N16138" s="1">
        <v>42278</v>
      </c>
    </row>
    <row r="16139" spans="11:14" x14ac:dyDescent="0.3">
      <c r="K16139" s="1">
        <v>42644</v>
      </c>
      <c r="M16139" t="e">
        <v>#N/A</v>
      </c>
      <c r="N16139" s="1">
        <v>42278</v>
      </c>
    </row>
    <row r="16140" spans="11:14" x14ac:dyDescent="0.3">
      <c r="K16140" s="1">
        <v>42644</v>
      </c>
      <c r="M16140" t="e">
        <v>#N/A</v>
      </c>
      <c r="N16140" s="1">
        <v>42278</v>
      </c>
    </row>
    <row r="16141" spans="11:14" x14ac:dyDescent="0.3">
      <c r="K16141" s="1">
        <v>42644</v>
      </c>
      <c r="M16141" t="e">
        <v>#N/A</v>
      </c>
      <c r="N16141" s="1">
        <v>42278</v>
      </c>
    </row>
    <row r="16142" spans="11:14" x14ac:dyDescent="0.3">
      <c r="K16142" s="1">
        <v>42644</v>
      </c>
      <c r="M16142" t="e">
        <v>#N/A</v>
      </c>
      <c r="N16142" s="1">
        <v>42278</v>
      </c>
    </row>
    <row r="16143" spans="11:14" x14ac:dyDescent="0.3">
      <c r="K16143" s="1">
        <v>42644</v>
      </c>
      <c r="M16143" t="e">
        <v>#N/A</v>
      </c>
      <c r="N16143" s="1">
        <v>42278</v>
      </c>
    </row>
    <row r="16144" spans="11:14" x14ac:dyDescent="0.3">
      <c r="K16144" s="1">
        <v>42644</v>
      </c>
      <c r="M16144" t="e">
        <v>#N/A</v>
      </c>
      <c r="N16144" s="1">
        <v>42278</v>
      </c>
    </row>
    <row r="16145" spans="11:14" x14ac:dyDescent="0.3">
      <c r="K16145" s="1">
        <v>42644</v>
      </c>
      <c r="M16145" t="e">
        <v>#N/A</v>
      </c>
      <c r="N16145" s="1">
        <v>42278</v>
      </c>
    </row>
    <row r="16146" spans="11:14" x14ac:dyDescent="0.3">
      <c r="K16146" s="1">
        <v>42644</v>
      </c>
      <c r="M16146" t="e">
        <v>#N/A</v>
      </c>
      <c r="N16146" s="1">
        <v>42278</v>
      </c>
    </row>
    <row r="16147" spans="11:14" x14ac:dyDescent="0.3">
      <c r="K16147" s="1">
        <v>42644</v>
      </c>
      <c r="M16147" t="e">
        <v>#N/A</v>
      </c>
      <c r="N16147" s="1">
        <v>42278</v>
      </c>
    </row>
    <row r="16148" spans="11:14" x14ac:dyDescent="0.3">
      <c r="K16148" s="1">
        <v>42644</v>
      </c>
      <c r="M16148" t="e">
        <v>#N/A</v>
      </c>
      <c r="N16148" s="1">
        <v>42278</v>
      </c>
    </row>
    <row r="16149" spans="11:14" x14ac:dyDescent="0.3">
      <c r="K16149" s="1">
        <v>42644</v>
      </c>
      <c r="M16149" t="e">
        <v>#N/A</v>
      </c>
      <c r="N16149" s="1">
        <v>42278</v>
      </c>
    </row>
    <row r="16150" spans="11:14" x14ac:dyDescent="0.3">
      <c r="K16150" s="1">
        <v>42644</v>
      </c>
      <c r="M16150" t="e">
        <v>#N/A</v>
      </c>
      <c r="N16150" s="1">
        <v>42278</v>
      </c>
    </row>
    <row r="16151" spans="11:14" x14ac:dyDescent="0.3">
      <c r="K16151" s="1">
        <v>42644</v>
      </c>
      <c r="M16151" t="e">
        <v>#N/A</v>
      </c>
      <c r="N16151" s="1">
        <v>42278</v>
      </c>
    </row>
    <row r="16152" spans="11:14" x14ac:dyDescent="0.3">
      <c r="K16152" s="1">
        <v>42644</v>
      </c>
      <c r="M16152" t="e">
        <v>#N/A</v>
      </c>
      <c r="N16152" s="1">
        <v>42278</v>
      </c>
    </row>
    <row r="16153" spans="11:14" x14ac:dyDescent="0.3">
      <c r="K16153" s="1">
        <v>42644</v>
      </c>
      <c r="M16153" t="e">
        <v>#N/A</v>
      </c>
      <c r="N16153" s="1">
        <v>42278</v>
      </c>
    </row>
    <row r="16154" spans="11:14" x14ac:dyDescent="0.3">
      <c r="K16154" s="1">
        <v>42644</v>
      </c>
      <c r="M16154" t="e">
        <v>#N/A</v>
      </c>
      <c r="N16154" s="1">
        <v>42278</v>
      </c>
    </row>
    <row r="16155" spans="11:14" x14ac:dyDescent="0.3">
      <c r="K16155" s="1">
        <v>42644</v>
      </c>
      <c r="M16155" t="e">
        <v>#N/A</v>
      </c>
      <c r="N16155" s="1">
        <v>42278</v>
      </c>
    </row>
    <row r="16156" spans="11:14" x14ac:dyDescent="0.3">
      <c r="K16156" s="1">
        <v>42644</v>
      </c>
      <c r="M16156" t="e">
        <v>#N/A</v>
      </c>
      <c r="N16156" s="1">
        <v>42278</v>
      </c>
    </row>
    <row r="16157" spans="11:14" x14ac:dyDescent="0.3">
      <c r="K16157" s="1">
        <v>42644</v>
      </c>
      <c r="M16157" t="e">
        <v>#N/A</v>
      </c>
      <c r="N16157" s="1">
        <v>42278</v>
      </c>
    </row>
    <row r="16158" spans="11:14" x14ac:dyDescent="0.3">
      <c r="K16158" s="1">
        <v>42644</v>
      </c>
      <c r="M16158" t="e">
        <v>#N/A</v>
      </c>
      <c r="N16158" s="1">
        <v>42278</v>
      </c>
    </row>
    <row r="16159" spans="11:14" x14ac:dyDescent="0.3">
      <c r="K16159" s="1">
        <v>42644</v>
      </c>
      <c r="M16159" t="e">
        <v>#N/A</v>
      </c>
      <c r="N16159" s="1">
        <v>42278</v>
      </c>
    </row>
    <row r="16160" spans="11:14" x14ac:dyDescent="0.3">
      <c r="K16160" s="1">
        <v>42644</v>
      </c>
      <c r="M16160" t="e">
        <v>#N/A</v>
      </c>
      <c r="N16160" s="1">
        <v>42278</v>
      </c>
    </row>
    <row r="16161" spans="11:14" x14ac:dyDescent="0.3">
      <c r="K16161" s="1">
        <v>42644</v>
      </c>
      <c r="M16161" t="e">
        <v>#N/A</v>
      </c>
      <c r="N16161" s="1">
        <v>42278</v>
      </c>
    </row>
    <row r="16162" spans="11:14" x14ac:dyDescent="0.3">
      <c r="K16162" s="1">
        <v>42644</v>
      </c>
      <c r="M16162" t="e">
        <v>#N/A</v>
      </c>
      <c r="N16162" s="1">
        <v>42278</v>
      </c>
    </row>
    <row r="16163" spans="11:14" x14ac:dyDescent="0.3">
      <c r="K16163" s="1">
        <v>42644</v>
      </c>
      <c r="M16163" t="e">
        <v>#N/A</v>
      </c>
      <c r="N16163" s="1">
        <v>42278</v>
      </c>
    </row>
    <row r="16164" spans="11:14" x14ac:dyDescent="0.3">
      <c r="K16164" s="1">
        <v>42644</v>
      </c>
      <c r="M16164" t="e">
        <v>#N/A</v>
      </c>
      <c r="N16164" s="1">
        <v>42278</v>
      </c>
    </row>
    <row r="16165" spans="11:14" x14ac:dyDescent="0.3">
      <c r="K16165" s="1">
        <v>42644</v>
      </c>
      <c r="M16165" t="e">
        <v>#N/A</v>
      </c>
      <c r="N16165" s="1">
        <v>42278</v>
      </c>
    </row>
    <row r="16166" spans="11:14" x14ac:dyDescent="0.3">
      <c r="K16166" s="1">
        <v>42644</v>
      </c>
      <c r="M16166" t="e">
        <v>#N/A</v>
      </c>
      <c r="N16166" s="1">
        <v>42278</v>
      </c>
    </row>
    <row r="16167" spans="11:14" x14ac:dyDescent="0.3">
      <c r="K16167" s="1">
        <v>42644</v>
      </c>
      <c r="M16167" t="e">
        <v>#N/A</v>
      </c>
      <c r="N16167" s="1">
        <v>42278</v>
      </c>
    </row>
    <row r="16168" spans="11:14" x14ac:dyDescent="0.3">
      <c r="K16168" s="1">
        <v>42644</v>
      </c>
      <c r="M16168" t="e">
        <v>#N/A</v>
      </c>
      <c r="N16168" s="1">
        <v>42278</v>
      </c>
    </row>
    <row r="16169" spans="11:14" x14ac:dyDescent="0.3">
      <c r="K16169" s="1">
        <v>42644</v>
      </c>
      <c r="M16169" t="e">
        <v>#N/A</v>
      </c>
      <c r="N16169" s="1">
        <v>42278</v>
      </c>
    </row>
    <row r="16170" spans="11:14" x14ac:dyDescent="0.3">
      <c r="K16170" s="1">
        <v>42644</v>
      </c>
      <c r="M16170" t="e">
        <v>#N/A</v>
      </c>
      <c r="N16170" s="1">
        <v>42278</v>
      </c>
    </row>
    <row r="16171" spans="11:14" x14ac:dyDescent="0.3">
      <c r="K16171" s="1">
        <v>42644</v>
      </c>
      <c r="M16171" t="e">
        <v>#N/A</v>
      </c>
      <c r="N16171" s="1">
        <v>42278</v>
      </c>
    </row>
    <row r="16172" spans="11:14" x14ac:dyDescent="0.3">
      <c r="K16172" s="1">
        <v>42644</v>
      </c>
      <c r="M16172" t="e">
        <v>#N/A</v>
      </c>
      <c r="N16172" s="1">
        <v>42278</v>
      </c>
    </row>
    <row r="16173" spans="11:14" x14ac:dyDescent="0.3">
      <c r="K16173" s="1">
        <v>42644</v>
      </c>
      <c r="M16173" t="e">
        <v>#N/A</v>
      </c>
      <c r="N16173" s="1">
        <v>42278</v>
      </c>
    </row>
    <row r="16174" spans="11:14" x14ac:dyDescent="0.3">
      <c r="K16174" s="1">
        <v>42644</v>
      </c>
      <c r="M16174" t="e">
        <v>#N/A</v>
      </c>
      <c r="N16174" s="1">
        <v>42278</v>
      </c>
    </row>
    <row r="16175" spans="11:14" x14ac:dyDescent="0.3">
      <c r="K16175" s="1">
        <v>42644</v>
      </c>
      <c r="M16175" t="e">
        <v>#N/A</v>
      </c>
      <c r="N16175" s="1">
        <v>42278</v>
      </c>
    </row>
    <row r="16176" spans="11:14" x14ac:dyDescent="0.3">
      <c r="K16176" s="1">
        <v>42644</v>
      </c>
      <c r="M16176" t="e">
        <v>#N/A</v>
      </c>
      <c r="N16176" s="1">
        <v>42278</v>
      </c>
    </row>
    <row r="16177" spans="11:14" x14ac:dyDescent="0.3">
      <c r="K16177" s="1">
        <v>42644</v>
      </c>
      <c r="M16177" t="e">
        <v>#N/A</v>
      </c>
      <c r="N16177" s="1">
        <v>42278</v>
      </c>
    </row>
    <row r="16178" spans="11:14" x14ac:dyDescent="0.3">
      <c r="K16178" s="1">
        <v>42644</v>
      </c>
      <c r="M16178" t="e">
        <v>#N/A</v>
      </c>
      <c r="N16178" s="1">
        <v>42278</v>
      </c>
    </row>
    <row r="16179" spans="11:14" x14ac:dyDescent="0.3">
      <c r="K16179" s="1">
        <v>42644</v>
      </c>
      <c r="M16179" t="e">
        <v>#N/A</v>
      </c>
      <c r="N16179" s="1">
        <v>42278</v>
      </c>
    </row>
    <row r="16180" spans="11:14" x14ac:dyDescent="0.3">
      <c r="K16180" s="1">
        <v>42644</v>
      </c>
      <c r="M16180" t="e">
        <v>#N/A</v>
      </c>
      <c r="N16180" s="1">
        <v>42278</v>
      </c>
    </row>
    <row r="16181" spans="11:14" x14ac:dyDescent="0.3">
      <c r="K16181" s="1">
        <v>42644</v>
      </c>
      <c r="M16181" t="e">
        <v>#N/A</v>
      </c>
      <c r="N16181" s="1">
        <v>42278</v>
      </c>
    </row>
    <row r="16182" spans="11:14" x14ac:dyDescent="0.3">
      <c r="K16182" s="1">
        <v>42644</v>
      </c>
      <c r="M16182" t="e">
        <v>#N/A</v>
      </c>
      <c r="N16182" s="1">
        <v>42278</v>
      </c>
    </row>
    <row r="16183" spans="11:14" x14ac:dyDescent="0.3">
      <c r="K16183" s="1">
        <v>42644</v>
      </c>
      <c r="M16183" t="e">
        <v>#N/A</v>
      </c>
      <c r="N16183" s="1">
        <v>42278</v>
      </c>
    </row>
    <row r="16184" spans="11:14" x14ac:dyDescent="0.3">
      <c r="K16184" s="1">
        <v>42644</v>
      </c>
      <c r="M16184" t="e">
        <v>#N/A</v>
      </c>
      <c r="N16184" s="1">
        <v>42278</v>
      </c>
    </row>
    <row r="16185" spans="11:14" x14ac:dyDescent="0.3">
      <c r="K16185" s="1">
        <v>42644</v>
      </c>
      <c r="M16185" t="e">
        <v>#N/A</v>
      </c>
      <c r="N16185" s="1">
        <v>42278</v>
      </c>
    </row>
    <row r="16186" spans="11:14" x14ac:dyDescent="0.3">
      <c r="K16186" s="1">
        <v>42644</v>
      </c>
      <c r="M16186" t="e">
        <v>#N/A</v>
      </c>
      <c r="N16186" s="1">
        <v>42278</v>
      </c>
    </row>
    <row r="16187" spans="11:14" x14ac:dyDescent="0.3">
      <c r="K16187" s="1">
        <v>42644</v>
      </c>
      <c r="M16187" t="e">
        <v>#N/A</v>
      </c>
      <c r="N16187" s="1">
        <v>42278</v>
      </c>
    </row>
    <row r="16188" spans="11:14" x14ac:dyDescent="0.3">
      <c r="K16188" s="1">
        <v>42644</v>
      </c>
      <c r="M16188" t="e">
        <v>#N/A</v>
      </c>
      <c r="N16188" s="1">
        <v>42278</v>
      </c>
    </row>
    <row r="16189" spans="11:14" x14ac:dyDescent="0.3">
      <c r="K16189" s="1">
        <v>42644</v>
      </c>
      <c r="M16189" t="e">
        <v>#N/A</v>
      </c>
      <c r="N16189" s="1">
        <v>42278</v>
      </c>
    </row>
    <row r="16190" spans="11:14" x14ac:dyDescent="0.3">
      <c r="K16190" s="1">
        <v>42644</v>
      </c>
      <c r="M16190" t="e">
        <v>#N/A</v>
      </c>
      <c r="N16190" s="1">
        <v>42278</v>
      </c>
    </row>
    <row r="16191" spans="11:14" x14ac:dyDescent="0.3">
      <c r="K16191" s="1">
        <v>42644</v>
      </c>
      <c r="M16191" t="e">
        <v>#N/A</v>
      </c>
      <c r="N16191" s="1">
        <v>42278</v>
      </c>
    </row>
    <row r="16192" spans="11:14" x14ac:dyDescent="0.3">
      <c r="K16192" s="1">
        <v>42644</v>
      </c>
      <c r="M16192" t="e">
        <v>#N/A</v>
      </c>
      <c r="N16192" s="1">
        <v>42278</v>
      </c>
    </row>
    <row r="16193" spans="11:14" x14ac:dyDescent="0.3">
      <c r="K16193" s="1">
        <v>42644</v>
      </c>
      <c r="M16193" t="e">
        <v>#N/A</v>
      </c>
      <c r="N16193" s="1">
        <v>42278</v>
      </c>
    </row>
    <row r="16194" spans="11:14" x14ac:dyDescent="0.3">
      <c r="K16194" s="1">
        <v>42644</v>
      </c>
      <c r="M16194" t="e">
        <v>#N/A</v>
      </c>
      <c r="N16194" s="1">
        <v>42278</v>
      </c>
    </row>
    <row r="16195" spans="11:14" x14ac:dyDescent="0.3">
      <c r="K16195" s="1">
        <v>42644</v>
      </c>
      <c r="M16195" t="e">
        <v>#N/A</v>
      </c>
      <c r="N16195" s="1">
        <v>42278</v>
      </c>
    </row>
    <row r="16196" spans="11:14" x14ac:dyDescent="0.3">
      <c r="K16196" s="1">
        <v>42644</v>
      </c>
      <c r="M16196" t="e">
        <v>#N/A</v>
      </c>
      <c r="N16196" s="1">
        <v>42278</v>
      </c>
    </row>
    <row r="16197" spans="11:14" x14ac:dyDescent="0.3">
      <c r="K16197" s="1">
        <v>42644</v>
      </c>
      <c r="M16197" t="e">
        <v>#N/A</v>
      </c>
      <c r="N16197" s="1">
        <v>42278</v>
      </c>
    </row>
    <row r="16198" spans="11:14" x14ac:dyDescent="0.3">
      <c r="K16198" s="1">
        <v>42644</v>
      </c>
      <c r="M16198" t="e">
        <v>#N/A</v>
      </c>
      <c r="N16198" s="1">
        <v>42278</v>
      </c>
    </row>
    <row r="16199" spans="11:14" x14ac:dyDescent="0.3">
      <c r="K16199" s="1">
        <v>42644</v>
      </c>
      <c r="M16199" t="e">
        <v>#N/A</v>
      </c>
      <c r="N16199" s="1">
        <v>42278</v>
      </c>
    </row>
    <row r="16200" spans="11:14" x14ac:dyDescent="0.3">
      <c r="K16200" s="1">
        <v>42644</v>
      </c>
      <c r="M16200" t="e">
        <v>#N/A</v>
      </c>
      <c r="N16200" s="1">
        <v>42278</v>
      </c>
    </row>
    <row r="16201" spans="11:14" x14ac:dyDescent="0.3">
      <c r="K16201" s="1">
        <v>42644</v>
      </c>
      <c r="M16201" t="e">
        <v>#N/A</v>
      </c>
      <c r="N16201" s="1">
        <v>42278</v>
      </c>
    </row>
    <row r="16202" spans="11:14" x14ac:dyDescent="0.3">
      <c r="K16202" s="1">
        <v>42644</v>
      </c>
      <c r="M16202" t="e">
        <v>#N/A</v>
      </c>
      <c r="N16202" s="1">
        <v>42278</v>
      </c>
    </row>
    <row r="16203" spans="11:14" x14ac:dyDescent="0.3">
      <c r="K16203" s="1">
        <v>42644</v>
      </c>
      <c r="M16203" t="e">
        <v>#N/A</v>
      </c>
      <c r="N16203" s="1">
        <v>42278</v>
      </c>
    </row>
    <row r="16204" spans="11:14" x14ac:dyDescent="0.3">
      <c r="K16204" s="1">
        <v>42644</v>
      </c>
      <c r="M16204" t="e">
        <v>#N/A</v>
      </c>
      <c r="N16204" s="1">
        <v>42278</v>
      </c>
    </row>
    <row r="16205" spans="11:14" x14ac:dyDescent="0.3">
      <c r="K16205" s="1">
        <v>42644</v>
      </c>
      <c r="M16205" t="e">
        <v>#N/A</v>
      </c>
      <c r="N16205" s="1">
        <v>42278</v>
      </c>
    </row>
    <row r="16206" spans="11:14" x14ac:dyDescent="0.3">
      <c r="K16206" s="1">
        <v>42644</v>
      </c>
      <c r="M16206" t="e">
        <v>#N/A</v>
      </c>
      <c r="N16206" s="1">
        <v>42278</v>
      </c>
    </row>
    <row r="16207" spans="11:14" x14ac:dyDescent="0.3">
      <c r="K16207" s="1">
        <v>42644</v>
      </c>
      <c r="M16207" t="e">
        <v>#N/A</v>
      </c>
      <c r="N16207" s="1">
        <v>42278</v>
      </c>
    </row>
    <row r="16208" spans="11:14" x14ac:dyDescent="0.3">
      <c r="K16208" s="1">
        <v>42644</v>
      </c>
      <c r="M16208" t="e">
        <v>#N/A</v>
      </c>
      <c r="N16208" s="1">
        <v>42278</v>
      </c>
    </row>
    <row r="16209" spans="11:14" x14ac:dyDescent="0.3">
      <c r="K16209" s="1">
        <v>42644</v>
      </c>
      <c r="M16209" t="e">
        <v>#N/A</v>
      </c>
      <c r="N16209" s="1">
        <v>42278</v>
      </c>
    </row>
    <row r="16210" spans="11:14" x14ac:dyDescent="0.3">
      <c r="K16210" s="1">
        <v>42644</v>
      </c>
      <c r="M16210" t="e">
        <v>#N/A</v>
      </c>
      <c r="N16210" s="1">
        <v>42278</v>
      </c>
    </row>
    <row r="16211" spans="11:14" x14ac:dyDescent="0.3">
      <c r="K16211" s="1">
        <v>42644</v>
      </c>
      <c r="M16211" t="e">
        <v>#N/A</v>
      </c>
      <c r="N16211" s="1">
        <v>42278</v>
      </c>
    </row>
    <row r="16212" spans="11:14" x14ac:dyDescent="0.3">
      <c r="K16212" s="1">
        <v>42644</v>
      </c>
      <c r="M16212" t="e">
        <v>#N/A</v>
      </c>
      <c r="N16212" s="1">
        <v>42278</v>
      </c>
    </row>
    <row r="16213" spans="11:14" x14ac:dyDescent="0.3">
      <c r="K16213" s="1">
        <v>42644</v>
      </c>
      <c r="M16213" t="e">
        <v>#N/A</v>
      </c>
      <c r="N16213" s="1">
        <v>42278</v>
      </c>
    </row>
    <row r="16214" spans="11:14" x14ac:dyDescent="0.3">
      <c r="K16214" s="1">
        <v>42644</v>
      </c>
      <c r="M16214" t="e">
        <v>#N/A</v>
      </c>
      <c r="N16214" s="1">
        <v>42278</v>
      </c>
    </row>
    <row r="16215" spans="11:14" x14ac:dyDescent="0.3">
      <c r="K16215" s="1">
        <v>42644</v>
      </c>
      <c r="M16215" t="e">
        <v>#N/A</v>
      </c>
      <c r="N16215" s="1">
        <v>42278</v>
      </c>
    </row>
    <row r="16216" spans="11:14" x14ac:dyDescent="0.3">
      <c r="K16216" s="1">
        <v>42644</v>
      </c>
      <c r="M16216" t="e">
        <v>#N/A</v>
      </c>
      <c r="N16216" s="1">
        <v>42278</v>
      </c>
    </row>
    <row r="16217" spans="11:14" x14ac:dyDescent="0.3">
      <c r="K16217" s="1">
        <v>42644</v>
      </c>
      <c r="M16217" t="e">
        <v>#N/A</v>
      </c>
      <c r="N16217" s="1">
        <v>42278</v>
      </c>
    </row>
    <row r="16218" spans="11:14" x14ac:dyDescent="0.3">
      <c r="K16218" s="1">
        <v>42644</v>
      </c>
      <c r="M16218" t="e">
        <v>#N/A</v>
      </c>
      <c r="N16218" s="1">
        <v>42278</v>
      </c>
    </row>
    <row r="16219" spans="11:14" x14ac:dyDescent="0.3">
      <c r="K16219" s="1">
        <v>42644</v>
      </c>
      <c r="M16219" t="e">
        <v>#N/A</v>
      </c>
      <c r="N16219" s="1">
        <v>42278</v>
      </c>
    </row>
    <row r="16220" spans="11:14" x14ac:dyDescent="0.3">
      <c r="K16220" s="1">
        <v>42644</v>
      </c>
      <c r="M16220" t="e">
        <v>#N/A</v>
      </c>
      <c r="N16220" s="1">
        <v>42278</v>
      </c>
    </row>
    <row r="16221" spans="11:14" x14ac:dyDescent="0.3">
      <c r="K16221" s="1">
        <v>42644</v>
      </c>
      <c r="M16221" t="e">
        <v>#N/A</v>
      </c>
      <c r="N16221" s="1">
        <v>42278</v>
      </c>
    </row>
    <row r="16222" spans="11:14" x14ac:dyDescent="0.3">
      <c r="K16222" s="1">
        <v>42644</v>
      </c>
      <c r="M16222" t="e">
        <v>#N/A</v>
      </c>
      <c r="N16222" s="1">
        <v>42278</v>
      </c>
    </row>
    <row r="16223" spans="11:14" x14ac:dyDescent="0.3">
      <c r="K16223" s="1">
        <v>42644</v>
      </c>
      <c r="M16223" t="e">
        <v>#N/A</v>
      </c>
      <c r="N16223" s="1">
        <v>42278</v>
      </c>
    </row>
    <row r="16224" spans="11:14" x14ac:dyDescent="0.3">
      <c r="K16224" s="1">
        <v>42644</v>
      </c>
      <c r="M16224" t="e">
        <v>#N/A</v>
      </c>
      <c r="N16224" s="1">
        <v>42278</v>
      </c>
    </row>
    <row r="16225" spans="11:14" x14ac:dyDescent="0.3">
      <c r="K16225" s="1">
        <v>42644</v>
      </c>
      <c r="M16225" t="e">
        <v>#N/A</v>
      </c>
      <c r="N16225" s="1">
        <v>42278</v>
      </c>
    </row>
    <row r="16226" spans="11:14" x14ac:dyDescent="0.3">
      <c r="K16226" s="1">
        <v>42644</v>
      </c>
      <c r="M16226" t="e">
        <v>#N/A</v>
      </c>
      <c r="N16226" s="1">
        <v>42278</v>
      </c>
    </row>
    <row r="16227" spans="11:14" x14ac:dyDescent="0.3">
      <c r="K16227" s="1">
        <v>42644</v>
      </c>
      <c r="M16227" t="e">
        <v>#N/A</v>
      </c>
      <c r="N16227" s="1">
        <v>42278</v>
      </c>
    </row>
    <row r="16228" spans="11:14" x14ac:dyDescent="0.3">
      <c r="K16228" s="1">
        <v>42644</v>
      </c>
      <c r="M16228" t="e">
        <v>#N/A</v>
      </c>
      <c r="N16228" s="1">
        <v>42278</v>
      </c>
    </row>
    <row r="16229" spans="11:14" x14ac:dyDescent="0.3">
      <c r="K16229" s="1">
        <v>42644</v>
      </c>
      <c r="M16229" t="e">
        <v>#N/A</v>
      </c>
      <c r="N16229" s="1">
        <v>42278</v>
      </c>
    </row>
    <row r="16230" spans="11:14" x14ac:dyDescent="0.3">
      <c r="K16230" s="1">
        <v>42644</v>
      </c>
      <c r="M16230" t="e">
        <v>#N/A</v>
      </c>
      <c r="N16230" s="1">
        <v>42278</v>
      </c>
    </row>
    <row r="16231" spans="11:14" x14ac:dyDescent="0.3">
      <c r="K16231" s="1">
        <v>42644</v>
      </c>
      <c r="M16231" t="e">
        <v>#N/A</v>
      </c>
      <c r="N16231" s="1">
        <v>42278</v>
      </c>
    </row>
    <row r="16232" spans="11:14" x14ac:dyDescent="0.3">
      <c r="K16232" s="1">
        <v>42644</v>
      </c>
      <c r="M16232" t="e">
        <v>#N/A</v>
      </c>
      <c r="N16232" s="1">
        <v>42278</v>
      </c>
    </row>
    <row r="16233" spans="11:14" x14ac:dyDescent="0.3">
      <c r="K16233" s="1">
        <v>42644</v>
      </c>
      <c r="M16233" t="e">
        <v>#N/A</v>
      </c>
      <c r="N16233" s="1">
        <v>42278</v>
      </c>
    </row>
    <row r="16234" spans="11:14" x14ac:dyDescent="0.3">
      <c r="K16234" s="1">
        <v>42644</v>
      </c>
      <c r="M16234" t="e">
        <v>#N/A</v>
      </c>
      <c r="N16234" s="1">
        <v>42278</v>
      </c>
    </row>
    <row r="16235" spans="11:14" x14ac:dyDescent="0.3">
      <c r="K16235" s="1">
        <v>42644</v>
      </c>
      <c r="M16235" t="e">
        <v>#N/A</v>
      </c>
      <c r="N16235" s="1">
        <v>42278</v>
      </c>
    </row>
    <row r="16236" spans="11:14" x14ac:dyDescent="0.3">
      <c r="K16236" s="1">
        <v>42644</v>
      </c>
      <c r="M16236" t="e">
        <v>#N/A</v>
      </c>
      <c r="N16236" s="1">
        <v>42278</v>
      </c>
    </row>
    <row r="16237" spans="11:14" x14ac:dyDescent="0.3">
      <c r="K16237" s="1">
        <v>42644</v>
      </c>
      <c r="M16237" t="e">
        <v>#N/A</v>
      </c>
      <c r="N16237" s="1">
        <v>42278</v>
      </c>
    </row>
    <row r="16238" spans="11:14" x14ac:dyDescent="0.3">
      <c r="K16238" s="1">
        <v>42644</v>
      </c>
      <c r="M16238" t="e">
        <v>#N/A</v>
      </c>
      <c r="N16238" s="1">
        <v>42278</v>
      </c>
    </row>
    <row r="16239" spans="11:14" x14ac:dyDescent="0.3">
      <c r="K16239" s="1">
        <v>42644</v>
      </c>
      <c r="M16239" t="e">
        <v>#N/A</v>
      </c>
      <c r="N16239" s="1">
        <v>42278</v>
      </c>
    </row>
    <row r="16240" spans="11:14" x14ac:dyDescent="0.3">
      <c r="K16240" s="1">
        <v>42644</v>
      </c>
      <c r="M16240" t="e">
        <v>#N/A</v>
      </c>
      <c r="N16240" s="1">
        <v>42278</v>
      </c>
    </row>
    <row r="16241" spans="11:14" x14ac:dyDescent="0.3">
      <c r="K16241" s="1">
        <v>42644</v>
      </c>
      <c r="M16241" t="e">
        <v>#N/A</v>
      </c>
      <c r="N16241" s="1">
        <v>42278</v>
      </c>
    </row>
    <row r="16242" spans="11:14" x14ac:dyDescent="0.3">
      <c r="K16242" s="1">
        <v>42644</v>
      </c>
      <c r="M16242" t="e">
        <v>#N/A</v>
      </c>
      <c r="N16242" s="1">
        <v>42278</v>
      </c>
    </row>
    <row r="16243" spans="11:14" x14ac:dyDescent="0.3">
      <c r="K16243" s="1">
        <v>42644</v>
      </c>
      <c r="M16243" t="e">
        <v>#N/A</v>
      </c>
      <c r="N16243" s="1">
        <v>42278</v>
      </c>
    </row>
    <row r="16244" spans="11:14" x14ac:dyDescent="0.3">
      <c r="K16244" s="1">
        <v>42644</v>
      </c>
      <c r="M16244" t="e">
        <v>#N/A</v>
      </c>
      <c r="N16244" s="1">
        <v>42278</v>
      </c>
    </row>
    <row r="16245" spans="11:14" x14ac:dyDescent="0.3">
      <c r="K16245" s="1">
        <v>42644</v>
      </c>
      <c r="M16245" t="e">
        <v>#N/A</v>
      </c>
      <c r="N16245" s="1">
        <v>42278</v>
      </c>
    </row>
    <row r="16246" spans="11:14" x14ac:dyDescent="0.3">
      <c r="K16246" s="1">
        <v>42644</v>
      </c>
      <c r="M16246" t="e">
        <v>#N/A</v>
      </c>
      <c r="N16246" s="1">
        <v>42278</v>
      </c>
    </row>
    <row r="16247" spans="11:14" x14ac:dyDescent="0.3">
      <c r="K16247" s="1">
        <v>42644</v>
      </c>
      <c r="M16247" t="e">
        <v>#N/A</v>
      </c>
      <c r="N16247" s="1">
        <v>42278</v>
      </c>
    </row>
    <row r="16248" spans="11:14" x14ac:dyDescent="0.3">
      <c r="K16248" s="1">
        <v>42644</v>
      </c>
      <c r="M16248" t="e">
        <v>#N/A</v>
      </c>
      <c r="N16248" s="1">
        <v>42278</v>
      </c>
    </row>
    <row r="16249" spans="11:14" x14ac:dyDescent="0.3">
      <c r="K16249" s="1">
        <v>42644</v>
      </c>
      <c r="M16249" t="e">
        <v>#N/A</v>
      </c>
      <c r="N16249" s="1">
        <v>42278</v>
      </c>
    </row>
    <row r="16250" spans="11:14" x14ac:dyDescent="0.3">
      <c r="K16250" s="1">
        <v>42644</v>
      </c>
      <c r="M16250" t="e">
        <v>#N/A</v>
      </c>
      <c r="N16250" s="1">
        <v>42278</v>
      </c>
    </row>
    <row r="16251" spans="11:14" x14ac:dyDescent="0.3">
      <c r="K16251" s="1">
        <v>42644</v>
      </c>
      <c r="M16251" t="e">
        <v>#N/A</v>
      </c>
      <c r="N16251" s="1">
        <v>42278</v>
      </c>
    </row>
    <row r="16252" spans="11:14" x14ac:dyDescent="0.3">
      <c r="K16252" s="1">
        <v>42644</v>
      </c>
      <c r="M16252" t="e">
        <v>#N/A</v>
      </c>
      <c r="N16252" s="1">
        <v>42278</v>
      </c>
    </row>
    <row r="16253" spans="11:14" x14ac:dyDescent="0.3">
      <c r="K16253" s="1">
        <v>42644</v>
      </c>
      <c r="M16253" t="e">
        <v>#N/A</v>
      </c>
      <c r="N16253" s="1">
        <v>42278</v>
      </c>
    </row>
    <row r="16254" spans="11:14" x14ac:dyDescent="0.3">
      <c r="K16254" s="1">
        <v>42644</v>
      </c>
      <c r="M16254" t="e">
        <v>#N/A</v>
      </c>
      <c r="N16254" s="1">
        <v>42278</v>
      </c>
    </row>
    <row r="16255" spans="11:14" x14ac:dyDescent="0.3">
      <c r="K16255" s="1">
        <v>42644</v>
      </c>
      <c r="M16255" t="e">
        <v>#N/A</v>
      </c>
      <c r="N16255" s="1">
        <v>42278</v>
      </c>
    </row>
    <row r="16256" spans="11:14" x14ac:dyDescent="0.3">
      <c r="K16256" s="1">
        <v>42644</v>
      </c>
      <c r="M16256" t="e">
        <v>#N/A</v>
      </c>
      <c r="N16256" s="1">
        <v>42278</v>
      </c>
    </row>
    <row r="16257" spans="11:14" x14ac:dyDescent="0.3">
      <c r="K16257" s="1">
        <v>42644</v>
      </c>
      <c r="M16257" t="e">
        <v>#N/A</v>
      </c>
      <c r="N16257" s="1">
        <v>42278</v>
      </c>
    </row>
    <row r="16258" spans="11:14" x14ac:dyDescent="0.3">
      <c r="K16258" s="1">
        <v>42644</v>
      </c>
      <c r="M16258" t="e">
        <v>#N/A</v>
      </c>
      <c r="N16258" s="1">
        <v>42278</v>
      </c>
    </row>
    <row r="16259" spans="11:14" x14ac:dyDescent="0.3">
      <c r="K16259" s="1">
        <v>42644</v>
      </c>
      <c r="M16259" t="e">
        <v>#N/A</v>
      </c>
      <c r="N16259" s="1">
        <v>42278</v>
      </c>
    </row>
    <row r="16260" spans="11:14" x14ac:dyDescent="0.3">
      <c r="K16260" s="1">
        <v>42644</v>
      </c>
      <c r="M16260" t="e">
        <v>#N/A</v>
      </c>
      <c r="N16260" s="1">
        <v>42278</v>
      </c>
    </row>
    <row r="16261" spans="11:14" x14ac:dyDescent="0.3">
      <c r="K16261" s="1">
        <v>42644</v>
      </c>
      <c r="M16261" t="e">
        <v>#N/A</v>
      </c>
      <c r="N16261" s="1">
        <v>42278</v>
      </c>
    </row>
    <row r="16262" spans="11:14" x14ac:dyDescent="0.3">
      <c r="K16262" s="1">
        <v>42644</v>
      </c>
      <c r="M16262" t="e">
        <v>#N/A</v>
      </c>
      <c r="N16262" s="1">
        <v>42278</v>
      </c>
    </row>
    <row r="16263" spans="11:14" x14ac:dyDescent="0.3">
      <c r="K16263" s="1">
        <v>42644</v>
      </c>
      <c r="M16263" t="e">
        <v>#N/A</v>
      </c>
      <c r="N16263" s="1">
        <v>42278</v>
      </c>
    </row>
    <row r="16264" spans="11:14" x14ac:dyDescent="0.3">
      <c r="K16264" s="1">
        <v>42644</v>
      </c>
      <c r="M16264" t="e">
        <v>#N/A</v>
      </c>
      <c r="N16264" s="1">
        <v>42278</v>
      </c>
    </row>
    <row r="16265" spans="11:14" x14ac:dyDescent="0.3">
      <c r="K16265" s="1">
        <v>42644</v>
      </c>
      <c r="M16265" t="e">
        <v>#N/A</v>
      </c>
      <c r="N16265" s="1">
        <v>42278</v>
      </c>
    </row>
    <row r="16266" spans="11:14" x14ac:dyDescent="0.3">
      <c r="K16266" s="1">
        <v>42644</v>
      </c>
      <c r="M16266" t="e">
        <v>#N/A</v>
      </c>
      <c r="N16266" s="1">
        <v>42278</v>
      </c>
    </row>
    <row r="16267" spans="11:14" x14ac:dyDescent="0.3">
      <c r="K16267" s="1">
        <v>42644</v>
      </c>
      <c r="M16267" t="e">
        <v>#N/A</v>
      </c>
      <c r="N16267" s="1">
        <v>42278</v>
      </c>
    </row>
    <row r="16268" spans="11:14" x14ac:dyDescent="0.3">
      <c r="K16268" s="1">
        <v>42644</v>
      </c>
      <c r="M16268" t="e">
        <v>#N/A</v>
      </c>
      <c r="N16268" s="1">
        <v>42278</v>
      </c>
    </row>
    <row r="16269" spans="11:14" x14ac:dyDescent="0.3">
      <c r="K16269" s="1">
        <v>42644</v>
      </c>
      <c r="M16269" t="e">
        <v>#N/A</v>
      </c>
      <c r="N16269" s="1">
        <v>42278</v>
      </c>
    </row>
    <row r="16270" spans="11:14" x14ac:dyDescent="0.3">
      <c r="K16270" s="1">
        <v>42644</v>
      </c>
      <c r="M16270" t="e">
        <v>#N/A</v>
      </c>
      <c r="N16270" s="1">
        <v>42278</v>
      </c>
    </row>
    <row r="16271" spans="11:14" x14ac:dyDescent="0.3">
      <c r="K16271" s="1">
        <v>42644</v>
      </c>
      <c r="M16271" t="e">
        <v>#N/A</v>
      </c>
      <c r="N16271" s="1">
        <v>42278</v>
      </c>
    </row>
    <row r="16272" spans="11:14" x14ac:dyDescent="0.3">
      <c r="K16272" s="1">
        <v>42644</v>
      </c>
      <c r="M16272" t="e">
        <v>#N/A</v>
      </c>
      <c r="N16272" s="1">
        <v>42278</v>
      </c>
    </row>
    <row r="16273" spans="11:14" x14ac:dyDescent="0.3">
      <c r="K16273" s="1">
        <v>42644</v>
      </c>
      <c r="M16273" t="e">
        <v>#N/A</v>
      </c>
      <c r="N16273" s="1">
        <v>42278</v>
      </c>
    </row>
    <row r="16274" spans="11:14" x14ac:dyDescent="0.3">
      <c r="K16274" s="1">
        <v>42644</v>
      </c>
      <c r="M16274" t="e">
        <v>#N/A</v>
      </c>
      <c r="N16274" s="1">
        <v>42278</v>
      </c>
    </row>
    <row r="16275" spans="11:14" x14ac:dyDescent="0.3">
      <c r="K16275" s="1">
        <v>42644</v>
      </c>
      <c r="M16275" t="e">
        <v>#N/A</v>
      </c>
      <c r="N16275" s="1">
        <v>42278</v>
      </c>
    </row>
    <row r="16276" spans="11:14" x14ac:dyDescent="0.3">
      <c r="K16276" s="1">
        <v>42644</v>
      </c>
      <c r="M16276" t="e">
        <v>#N/A</v>
      </c>
      <c r="N16276" s="1">
        <v>42278</v>
      </c>
    </row>
    <row r="16277" spans="11:14" x14ac:dyDescent="0.3">
      <c r="K16277" s="1">
        <v>42644</v>
      </c>
      <c r="M16277" t="e">
        <v>#N/A</v>
      </c>
      <c r="N16277" s="1">
        <v>42278</v>
      </c>
    </row>
    <row r="16278" spans="11:14" x14ac:dyDescent="0.3">
      <c r="K16278" s="1">
        <v>42644</v>
      </c>
      <c r="M16278" t="e">
        <v>#N/A</v>
      </c>
      <c r="N16278" s="1">
        <v>42278</v>
      </c>
    </row>
    <row r="16279" spans="11:14" x14ac:dyDescent="0.3">
      <c r="K16279" s="1">
        <v>42644</v>
      </c>
      <c r="M16279" t="e">
        <v>#N/A</v>
      </c>
      <c r="N16279" s="1">
        <v>42278</v>
      </c>
    </row>
    <row r="16280" spans="11:14" x14ac:dyDescent="0.3">
      <c r="K16280" s="1">
        <v>42644</v>
      </c>
      <c r="M16280" t="e">
        <v>#N/A</v>
      </c>
      <c r="N16280" s="1">
        <v>42278</v>
      </c>
    </row>
    <row r="16281" spans="11:14" x14ac:dyDescent="0.3">
      <c r="K16281" s="1">
        <v>42644</v>
      </c>
      <c r="M16281" t="e">
        <v>#N/A</v>
      </c>
      <c r="N16281" s="1">
        <v>42278</v>
      </c>
    </row>
    <row r="16282" spans="11:14" x14ac:dyDescent="0.3">
      <c r="K16282" s="1">
        <v>42644</v>
      </c>
      <c r="M16282" t="e">
        <v>#N/A</v>
      </c>
      <c r="N16282" s="1">
        <v>42278</v>
      </c>
    </row>
    <row r="16283" spans="11:14" x14ac:dyDescent="0.3">
      <c r="K16283" s="1">
        <v>42644</v>
      </c>
      <c r="M16283" t="e">
        <v>#N/A</v>
      </c>
      <c r="N16283" s="1">
        <v>42278</v>
      </c>
    </row>
    <row r="16284" spans="11:14" x14ac:dyDescent="0.3">
      <c r="K16284" s="1">
        <v>42644</v>
      </c>
      <c r="M16284" t="e">
        <v>#N/A</v>
      </c>
      <c r="N16284" s="1">
        <v>42278</v>
      </c>
    </row>
    <row r="16285" spans="11:14" x14ac:dyDescent="0.3">
      <c r="K16285" s="1">
        <v>42644</v>
      </c>
      <c r="M16285" t="e">
        <v>#N/A</v>
      </c>
      <c r="N16285" s="1">
        <v>42278</v>
      </c>
    </row>
    <row r="16286" spans="11:14" x14ac:dyDescent="0.3">
      <c r="K16286" s="1">
        <v>42644</v>
      </c>
      <c r="M16286" t="e">
        <v>#N/A</v>
      </c>
      <c r="N16286" s="1">
        <v>42278</v>
      </c>
    </row>
    <row r="16287" spans="11:14" x14ac:dyDescent="0.3">
      <c r="K16287" s="1">
        <v>42644</v>
      </c>
      <c r="M16287" t="e">
        <v>#N/A</v>
      </c>
      <c r="N16287" s="1">
        <v>42278</v>
      </c>
    </row>
    <row r="16288" spans="11:14" x14ac:dyDescent="0.3">
      <c r="K16288" s="1">
        <v>42644</v>
      </c>
      <c r="M16288" t="e">
        <v>#N/A</v>
      </c>
      <c r="N16288" s="1">
        <v>42278</v>
      </c>
    </row>
    <row r="16289" spans="11:14" x14ac:dyDescent="0.3">
      <c r="K16289" s="1">
        <v>42644</v>
      </c>
      <c r="M16289" t="e">
        <v>#N/A</v>
      </c>
      <c r="N16289" s="1">
        <v>42278</v>
      </c>
    </row>
    <row r="16290" spans="11:14" x14ac:dyDescent="0.3">
      <c r="K16290" s="1">
        <v>42736</v>
      </c>
      <c r="M16290" t="e">
        <v>#N/A</v>
      </c>
      <c r="N16290" s="1">
        <v>42278</v>
      </c>
    </row>
    <row r="16291" spans="11:14" x14ac:dyDescent="0.3">
      <c r="K16291" s="1">
        <v>42736</v>
      </c>
      <c r="M16291" t="e">
        <v>#N/A</v>
      </c>
      <c r="N16291" s="1">
        <v>42278</v>
      </c>
    </row>
    <row r="16292" spans="11:14" x14ac:dyDescent="0.3">
      <c r="K16292" s="1">
        <v>42736</v>
      </c>
      <c r="M16292" t="e">
        <v>#N/A</v>
      </c>
      <c r="N16292" s="1">
        <v>42278</v>
      </c>
    </row>
    <row r="16293" spans="11:14" x14ac:dyDescent="0.3">
      <c r="K16293" s="1">
        <v>42736</v>
      </c>
      <c r="M16293" t="e">
        <v>#N/A</v>
      </c>
      <c r="N16293" s="1">
        <v>42278</v>
      </c>
    </row>
    <row r="16294" spans="11:14" x14ac:dyDescent="0.3">
      <c r="K16294" s="1">
        <v>42736</v>
      </c>
      <c r="M16294" t="e">
        <v>#N/A</v>
      </c>
      <c r="N16294" s="1">
        <v>42278</v>
      </c>
    </row>
    <row r="16295" spans="11:14" x14ac:dyDescent="0.3">
      <c r="K16295" s="1">
        <v>42736</v>
      </c>
      <c r="M16295" t="e">
        <v>#N/A</v>
      </c>
      <c r="N16295" s="1">
        <v>42278</v>
      </c>
    </row>
    <row r="16296" spans="11:14" x14ac:dyDescent="0.3">
      <c r="K16296" s="1">
        <v>42736</v>
      </c>
      <c r="M16296" t="e">
        <v>#N/A</v>
      </c>
      <c r="N16296" s="1">
        <v>42278</v>
      </c>
    </row>
    <row r="16297" spans="11:14" x14ac:dyDescent="0.3">
      <c r="K16297" s="1">
        <v>42736</v>
      </c>
      <c r="M16297" t="e">
        <v>#N/A</v>
      </c>
      <c r="N16297" s="1">
        <v>42278</v>
      </c>
    </row>
    <row r="16298" spans="11:14" x14ac:dyDescent="0.3">
      <c r="K16298" s="1">
        <v>42736</v>
      </c>
      <c r="M16298" t="e">
        <v>#N/A</v>
      </c>
      <c r="N16298" s="1">
        <v>42278</v>
      </c>
    </row>
    <row r="16299" spans="11:14" x14ac:dyDescent="0.3">
      <c r="K16299" s="1">
        <v>42736</v>
      </c>
      <c r="M16299" t="e">
        <v>#N/A</v>
      </c>
      <c r="N16299" s="1">
        <v>42278</v>
      </c>
    </row>
    <row r="16300" spans="11:14" x14ac:dyDescent="0.3">
      <c r="K16300" s="1">
        <v>42736</v>
      </c>
      <c r="M16300" t="e">
        <v>#N/A</v>
      </c>
      <c r="N16300" s="1">
        <v>42278</v>
      </c>
    </row>
    <row r="16301" spans="11:14" x14ac:dyDescent="0.3">
      <c r="K16301" s="1">
        <v>42736</v>
      </c>
      <c r="M16301" t="e">
        <v>#N/A</v>
      </c>
      <c r="N16301" s="1">
        <v>42278</v>
      </c>
    </row>
    <row r="16302" spans="11:14" x14ac:dyDescent="0.3">
      <c r="K16302" s="1">
        <v>42736</v>
      </c>
      <c r="M16302" t="e">
        <v>#N/A</v>
      </c>
      <c r="N16302" s="1">
        <v>42278</v>
      </c>
    </row>
    <row r="16303" spans="11:14" x14ac:dyDescent="0.3">
      <c r="K16303" s="1">
        <v>42736</v>
      </c>
      <c r="M16303" t="e">
        <v>#N/A</v>
      </c>
      <c r="N16303" s="1">
        <v>42278</v>
      </c>
    </row>
    <row r="16304" spans="11:14" x14ac:dyDescent="0.3">
      <c r="K16304" s="1">
        <v>42736</v>
      </c>
      <c r="M16304" t="e">
        <v>#N/A</v>
      </c>
      <c r="N16304" s="1">
        <v>42278</v>
      </c>
    </row>
    <row r="16305" spans="11:14" x14ac:dyDescent="0.3">
      <c r="K16305" s="1">
        <v>42736</v>
      </c>
      <c r="M16305" t="e">
        <v>#N/A</v>
      </c>
      <c r="N16305" s="1">
        <v>42278</v>
      </c>
    </row>
    <row r="16306" spans="11:14" x14ac:dyDescent="0.3">
      <c r="K16306" s="1">
        <v>42736</v>
      </c>
      <c r="M16306" t="e">
        <v>#N/A</v>
      </c>
      <c r="N16306" s="1">
        <v>42278</v>
      </c>
    </row>
    <row r="16307" spans="11:14" x14ac:dyDescent="0.3">
      <c r="K16307" s="1">
        <v>42736</v>
      </c>
      <c r="M16307" t="e">
        <v>#N/A</v>
      </c>
      <c r="N16307" s="1">
        <v>42278</v>
      </c>
    </row>
    <row r="16308" spans="11:14" x14ac:dyDescent="0.3">
      <c r="K16308" s="1">
        <v>42736</v>
      </c>
      <c r="M16308" t="e">
        <v>#N/A</v>
      </c>
      <c r="N16308" s="1">
        <v>42278</v>
      </c>
    </row>
    <row r="16309" spans="11:14" x14ac:dyDescent="0.3">
      <c r="K16309" s="1">
        <v>42736</v>
      </c>
      <c r="M16309" t="e">
        <v>#N/A</v>
      </c>
      <c r="N16309" s="1">
        <v>42278</v>
      </c>
    </row>
    <row r="16310" spans="11:14" x14ac:dyDescent="0.3">
      <c r="K16310" s="1">
        <v>42736</v>
      </c>
      <c r="M16310" t="e">
        <v>#N/A</v>
      </c>
      <c r="N16310" s="1">
        <v>42278</v>
      </c>
    </row>
    <row r="16311" spans="11:14" x14ac:dyDescent="0.3">
      <c r="K16311" s="1">
        <v>42736</v>
      </c>
      <c r="M16311" t="e">
        <v>#N/A</v>
      </c>
      <c r="N16311" s="1">
        <v>42278</v>
      </c>
    </row>
    <row r="16312" spans="11:14" x14ac:dyDescent="0.3">
      <c r="K16312" s="1">
        <v>42736</v>
      </c>
      <c r="M16312" t="e">
        <v>#N/A</v>
      </c>
      <c r="N16312" s="1">
        <v>42278</v>
      </c>
    </row>
    <row r="16313" spans="11:14" x14ac:dyDescent="0.3">
      <c r="K16313" s="1">
        <v>42736</v>
      </c>
      <c r="M16313" t="e">
        <v>#N/A</v>
      </c>
      <c r="N16313" s="1">
        <v>42278</v>
      </c>
    </row>
    <row r="16314" spans="11:14" x14ac:dyDescent="0.3">
      <c r="K16314" s="1">
        <v>42736</v>
      </c>
      <c r="M16314" t="e">
        <v>#N/A</v>
      </c>
      <c r="N16314" s="1">
        <v>42278</v>
      </c>
    </row>
    <row r="16315" spans="11:14" x14ac:dyDescent="0.3">
      <c r="K16315" s="1">
        <v>42736</v>
      </c>
      <c r="M16315" t="e">
        <v>#N/A</v>
      </c>
      <c r="N16315" s="1">
        <v>42278</v>
      </c>
    </row>
    <row r="16316" spans="11:14" x14ac:dyDescent="0.3">
      <c r="K16316" s="1">
        <v>42736</v>
      </c>
      <c r="M16316" t="e">
        <v>#N/A</v>
      </c>
      <c r="N16316" s="1">
        <v>42278</v>
      </c>
    </row>
    <row r="16317" spans="11:14" x14ac:dyDescent="0.3">
      <c r="K16317" s="1">
        <v>42736</v>
      </c>
      <c r="M16317" t="e">
        <v>#N/A</v>
      </c>
      <c r="N16317" s="1">
        <v>42278</v>
      </c>
    </row>
    <row r="16318" spans="11:14" x14ac:dyDescent="0.3">
      <c r="K16318" s="1">
        <v>42736</v>
      </c>
      <c r="M16318" t="e">
        <v>#N/A</v>
      </c>
      <c r="N16318" s="1">
        <v>42278</v>
      </c>
    </row>
    <row r="16319" spans="11:14" x14ac:dyDescent="0.3">
      <c r="K16319" s="1">
        <v>42736</v>
      </c>
      <c r="M16319" t="e">
        <v>#N/A</v>
      </c>
      <c r="N16319" s="1">
        <v>42278</v>
      </c>
    </row>
    <row r="16320" spans="11:14" x14ac:dyDescent="0.3">
      <c r="K16320" s="1">
        <v>42736</v>
      </c>
      <c r="M16320" t="e">
        <v>#N/A</v>
      </c>
      <c r="N16320" s="1">
        <v>42278</v>
      </c>
    </row>
    <row r="16321" spans="11:14" x14ac:dyDescent="0.3">
      <c r="K16321" s="1">
        <v>42736</v>
      </c>
      <c r="M16321" t="e">
        <v>#N/A</v>
      </c>
      <c r="N16321" s="1">
        <v>42278</v>
      </c>
    </row>
    <row r="16322" spans="11:14" x14ac:dyDescent="0.3">
      <c r="K16322" s="1">
        <v>42736</v>
      </c>
      <c r="M16322" t="e">
        <v>#N/A</v>
      </c>
      <c r="N16322" s="1">
        <v>42278</v>
      </c>
    </row>
    <row r="16323" spans="11:14" x14ac:dyDescent="0.3">
      <c r="K16323" s="1">
        <v>42736</v>
      </c>
      <c r="M16323" t="e">
        <v>#N/A</v>
      </c>
      <c r="N16323" s="1">
        <v>42278</v>
      </c>
    </row>
    <row r="16324" spans="11:14" x14ac:dyDescent="0.3">
      <c r="K16324" s="1">
        <v>42736</v>
      </c>
      <c r="M16324" t="e">
        <v>#N/A</v>
      </c>
      <c r="N16324" s="1">
        <v>42278</v>
      </c>
    </row>
    <row r="16325" spans="11:14" x14ac:dyDescent="0.3">
      <c r="K16325" s="1">
        <v>42736</v>
      </c>
      <c r="M16325" t="e">
        <v>#N/A</v>
      </c>
      <c r="N16325" s="1">
        <v>42278</v>
      </c>
    </row>
    <row r="16326" spans="11:14" x14ac:dyDescent="0.3">
      <c r="K16326" s="1">
        <v>42736</v>
      </c>
      <c r="M16326" t="e">
        <v>#N/A</v>
      </c>
      <c r="N16326" s="1">
        <v>42278</v>
      </c>
    </row>
    <row r="16327" spans="11:14" x14ac:dyDescent="0.3">
      <c r="K16327" s="1">
        <v>42736</v>
      </c>
      <c r="M16327" t="e">
        <v>#N/A</v>
      </c>
      <c r="N16327" s="1">
        <v>42278</v>
      </c>
    </row>
    <row r="16328" spans="11:14" x14ac:dyDescent="0.3">
      <c r="K16328" s="1">
        <v>42736</v>
      </c>
      <c r="M16328" t="e">
        <v>#N/A</v>
      </c>
      <c r="N16328" s="1">
        <v>42278</v>
      </c>
    </row>
    <row r="16329" spans="11:14" x14ac:dyDescent="0.3">
      <c r="K16329" s="1">
        <v>42736</v>
      </c>
      <c r="M16329" t="e">
        <v>#N/A</v>
      </c>
      <c r="N16329" s="1">
        <v>42278</v>
      </c>
    </row>
    <row r="16330" spans="11:14" x14ac:dyDescent="0.3">
      <c r="K16330" s="1">
        <v>42736</v>
      </c>
      <c r="M16330" t="e">
        <v>#N/A</v>
      </c>
      <c r="N16330" s="1">
        <v>42278</v>
      </c>
    </row>
    <row r="16331" spans="11:14" x14ac:dyDescent="0.3">
      <c r="K16331" s="1">
        <v>42736</v>
      </c>
      <c r="M16331" t="e">
        <v>#N/A</v>
      </c>
      <c r="N16331" s="1">
        <v>42278</v>
      </c>
    </row>
    <row r="16332" spans="11:14" x14ac:dyDescent="0.3">
      <c r="K16332" s="1">
        <v>42736</v>
      </c>
      <c r="M16332" t="e">
        <v>#N/A</v>
      </c>
      <c r="N16332" s="1">
        <v>42278</v>
      </c>
    </row>
    <row r="16333" spans="11:14" x14ac:dyDescent="0.3">
      <c r="K16333" s="1">
        <v>42736</v>
      </c>
      <c r="M16333" t="e">
        <v>#N/A</v>
      </c>
      <c r="N16333" s="1">
        <v>42278</v>
      </c>
    </row>
    <row r="16334" spans="11:14" x14ac:dyDescent="0.3">
      <c r="K16334" s="1">
        <v>42736</v>
      </c>
      <c r="M16334" t="e">
        <v>#N/A</v>
      </c>
      <c r="N16334" s="1">
        <v>42370</v>
      </c>
    </row>
    <row r="16335" spans="11:14" x14ac:dyDescent="0.3">
      <c r="K16335" s="1">
        <v>42736</v>
      </c>
      <c r="M16335" t="e">
        <v>#N/A</v>
      </c>
      <c r="N16335" s="1">
        <v>42370</v>
      </c>
    </row>
    <row r="16336" spans="11:14" x14ac:dyDescent="0.3">
      <c r="K16336" s="1">
        <v>42736</v>
      </c>
      <c r="M16336" t="e">
        <v>#N/A</v>
      </c>
      <c r="N16336" s="1">
        <v>42370</v>
      </c>
    </row>
    <row r="16337" spans="11:14" x14ac:dyDescent="0.3">
      <c r="K16337" s="1">
        <v>42736</v>
      </c>
      <c r="M16337" t="e">
        <v>#N/A</v>
      </c>
      <c r="N16337" s="1">
        <v>42370</v>
      </c>
    </row>
    <row r="16338" spans="11:14" x14ac:dyDescent="0.3">
      <c r="K16338" s="1">
        <v>42736</v>
      </c>
      <c r="M16338" t="e">
        <v>#N/A</v>
      </c>
      <c r="N16338" s="1">
        <v>42370</v>
      </c>
    </row>
    <row r="16339" spans="11:14" x14ac:dyDescent="0.3">
      <c r="K16339" s="1">
        <v>42736</v>
      </c>
      <c r="M16339" t="e">
        <v>#N/A</v>
      </c>
      <c r="N16339" s="1">
        <v>42370</v>
      </c>
    </row>
    <row r="16340" spans="11:14" x14ac:dyDescent="0.3">
      <c r="K16340" s="1">
        <v>42736</v>
      </c>
      <c r="M16340" t="e">
        <v>#N/A</v>
      </c>
      <c r="N16340" s="1">
        <v>42370</v>
      </c>
    </row>
    <row r="16341" spans="11:14" x14ac:dyDescent="0.3">
      <c r="K16341" s="1">
        <v>42736</v>
      </c>
      <c r="M16341" t="e">
        <v>#N/A</v>
      </c>
      <c r="N16341" s="1">
        <v>42370</v>
      </c>
    </row>
    <row r="16342" spans="11:14" x14ac:dyDescent="0.3">
      <c r="K16342" s="1">
        <v>42736</v>
      </c>
      <c r="M16342" t="e">
        <v>#N/A</v>
      </c>
      <c r="N16342" s="1">
        <v>42370</v>
      </c>
    </row>
    <row r="16343" spans="11:14" x14ac:dyDescent="0.3">
      <c r="K16343" s="1">
        <v>42736</v>
      </c>
      <c r="M16343" t="e">
        <v>#N/A</v>
      </c>
      <c r="N16343" s="1">
        <v>42370</v>
      </c>
    </row>
    <row r="16344" spans="11:14" x14ac:dyDescent="0.3">
      <c r="K16344" s="1">
        <v>42736</v>
      </c>
      <c r="M16344" t="e">
        <v>#N/A</v>
      </c>
      <c r="N16344" s="1">
        <v>42370</v>
      </c>
    </row>
    <row r="16345" spans="11:14" x14ac:dyDescent="0.3">
      <c r="K16345" s="1">
        <v>42736</v>
      </c>
      <c r="M16345" t="e">
        <v>#N/A</v>
      </c>
      <c r="N16345" s="1">
        <v>42370</v>
      </c>
    </row>
    <row r="16346" spans="11:14" x14ac:dyDescent="0.3">
      <c r="K16346" s="1">
        <v>42736</v>
      </c>
      <c r="M16346" t="e">
        <v>#N/A</v>
      </c>
      <c r="N16346" s="1">
        <v>42370</v>
      </c>
    </row>
    <row r="16347" spans="11:14" x14ac:dyDescent="0.3">
      <c r="K16347" s="1">
        <v>42736</v>
      </c>
      <c r="M16347" t="e">
        <v>#N/A</v>
      </c>
      <c r="N16347" s="1">
        <v>42370</v>
      </c>
    </row>
    <row r="16348" spans="11:14" x14ac:dyDescent="0.3">
      <c r="K16348" s="1">
        <v>42736</v>
      </c>
      <c r="M16348" t="e">
        <v>#N/A</v>
      </c>
      <c r="N16348" s="1">
        <v>42370</v>
      </c>
    </row>
    <row r="16349" spans="11:14" x14ac:dyDescent="0.3">
      <c r="K16349" s="1">
        <v>42736</v>
      </c>
      <c r="M16349" t="e">
        <v>#N/A</v>
      </c>
      <c r="N16349" s="1">
        <v>42370</v>
      </c>
    </row>
    <row r="16350" spans="11:14" x14ac:dyDescent="0.3">
      <c r="K16350" s="1">
        <v>42736</v>
      </c>
      <c r="M16350" t="e">
        <v>#N/A</v>
      </c>
      <c r="N16350" s="1">
        <v>42370</v>
      </c>
    </row>
    <row r="16351" spans="11:14" x14ac:dyDescent="0.3">
      <c r="K16351" s="1">
        <v>42736</v>
      </c>
      <c r="M16351" t="e">
        <v>#N/A</v>
      </c>
      <c r="N16351" s="1">
        <v>42370</v>
      </c>
    </row>
    <row r="16352" spans="11:14" x14ac:dyDescent="0.3">
      <c r="K16352" s="1">
        <v>42736</v>
      </c>
      <c r="M16352" t="e">
        <v>#N/A</v>
      </c>
      <c r="N16352" s="1">
        <v>42370</v>
      </c>
    </row>
    <row r="16353" spans="11:14" x14ac:dyDescent="0.3">
      <c r="K16353" s="1">
        <v>42736</v>
      </c>
      <c r="M16353" t="e">
        <v>#N/A</v>
      </c>
      <c r="N16353" s="1">
        <v>42370</v>
      </c>
    </row>
    <row r="16354" spans="11:14" x14ac:dyDescent="0.3">
      <c r="K16354" s="1">
        <v>42736</v>
      </c>
      <c r="M16354" t="e">
        <v>#N/A</v>
      </c>
      <c r="N16354" s="1">
        <v>42370</v>
      </c>
    </row>
    <row r="16355" spans="11:14" x14ac:dyDescent="0.3">
      <c r="K16355" s="1">
        <v>42736</v>
      </c>
      <c r="M16355" t="e">
        <v>#N/A</v>
      </c>
      <c r="N16355" s="1">
        <v>42370</v>
      </c>
    </row>
    <row r="16356" spans="11:14" x14ac:dyDescent="0.3">
      <c r="K16356" s="1">
        <v>42736</v>
      </c>
      <c r="M16356" t="e">
        <v>#N/A</v>
      </c>
      <c r="N16356" s="1">
        <v>42370</v>
      </c>
    </row>
    <row r="16357" spans="11:14" x14ac:dyDescent="0.3">
      <c r="K16357" s="1">
        <v>42736</v>
      </c>
      <c r="M16357" t="e">
        <v>#N/A</v>
      </c>
      <c r="N16357" s="1">
        <v>42370</v>
      </c>
    </row>
    <row r="16358" spans="11:14" x14ac:dyDescent="0.3">
      <c r="K16358" s="1">
        <v>42736</v>
      </c>
      <c r="M16358" t="e">
        <v>#N/A</v>
      </c>
      <c r="N16358" s="1">
        <v>42370</v>
      </c>
    </row>
    <row r="16359" spans="11:14" x14ac:dyDescent="0.3">
      <c r="K16359" s="1">
        <v>42736</v>
      </c>
      <c r="M16359" t="e">
        <v>#N/A</v>
      </c>
      <c r="N16359" s="1">
        <v>42370</v>
      </c>
    </row>
    <row r="16360" spans="11:14" x14ac:dyDescent="0.3">
      <c r="K16360" s="1">
        <v>42736</v>
      </c>
      <c r="M16360" t="e">
        <v>#N/A</v>
      </c>
      <c r="N16360" s="1">
        <v>42370</v>
      </c>
    </row>
    <row r="16361" spans="11:14" x14ac:dyDescent="0.3">
      <c r="K16361" s="1">
        <v>42736</v>
      </c>
      <c r="M16361" t="e">
        <v>#N/A</v>
      </c>
      <c r="N16361" s="1">
        <v>42370</v>
      </c>
    </row>
    <row r="16362" spans="11:14" x14ac:dyDescent="0.3">
      <c r="K16362" s="1">
        <v>42736</v>
      </c>
      <c r="M16362" t="e">
        <v>#N/A</v>
      </c>
      <c r="N16362" s="1">
        <v>42370</v>
      </c>
    </row>
    <row r="16363" spans="11:14" x14ac:dyDescent="0.3">
      <c r="K16363" s="1">
        <v>42736</v>
      </c>
      <c r="M16363" t="e">
        <v>#N/A</v>
      </c>
      <c r="N16363" s="1">
        <v>42370</v>
      </c>
    </row>
    <row r="16364" spans="11:14" x14ac:dyDescent="0.3">
      <c r="K16364" s="1">
        <v>42736</v>
      </c>
      <c r="M16364" t="e">
        <v>#N/A</v>
      </c>
      <c r="N16364" s="1">
        <v>42370</v>
      </c>
    </row>
    <row r="16365" spans="11:14" x14ac:dyDescent="0.3">
      <c r="K16365" s="1">
        <v>42736</v>
      </c>
      <c r="M16365" t="e">
        <v>#N/A</v>
      </c>
      <c r="N16365" s="1">
        <v>42370</v>
      </c>
    </row>
    <row r="16366" spans="11:14" x14ac:dyDescent="0.3">
      <c r="K16366" s="1">
        <v>42736</v>
      </c>
      <c r="M16366" t="e">
        <v>#N/A</v>
      </c>
      <c r="N16366" s="1">
        <v>42370</v>
      </c>
    </row>
    <row r="16367" spans="11:14" x14ac:dyDescent="0.3">
      <c r="K16367" s="1">
        <v>42736</v>
      </c>
      <c r="M16367" t="e">
        <v>#N/A</v>
      </c>
      <c r="N16367" s="1">
        <v>42370</v>
      </c>
    </row>
    <row r="16368" spans="11:14" x14ac:dyDescent="0.3">
      <c r="K16368" s="1">
        <v>42736</v>
      </c>
      <c r="M16368" t="e">
        <v>#N/A</v>
      </c>
      <c r="N16368" s="1">
        <v>42370</v>
      </c>
    </row>
    <row r="16369" spans="11:14" x14ac:dyDescent="0.3">
      <c r="K16369" s="1">
        <v>42736</v>
      </c>
      <c r="M16369" t="e">
        <v>#N/A</v>
      </c>
      <c r="N16369" s="1">
        <v>42370</v>
      </c>
    </row>
    <row r="16370" spans="11:14" x14ac:dyDescent="0.3">
      <c r="K16370" s="1">
        <v>42736</v>
      </c>
      <c r="M16370" t="e">
        <v>#N/A</v>
      </c>
      <c r="N16370" s="1">
        <v>42370</v>
      </c>
    </row>
    <row r="16371" spans="11:14" x14ac:dyDescent="0.3">
      <c r="K16371" s="1">
        <v>42736</v>
      </c>
      <c r="M16371" t="e">
        <v>#N/A</v>
      </c>
      <c r="N16371" s="1">
        <v>42370</v>
      </c>
    </row>
    <row r="16372" spans="11:14" x14ac:dyDescent="0.3">
      <c r="K16372" s="1">
        <v>42736</v>
      </c>
      <c r="M16372" t="e">
        <v>#N/A</v>
      </c>
      <c r="N16372" s="1">
        <v>42370</v>
      </c>
    </row>
    <row r="16373" spans="11:14" x14ac:dyDescent="0.3">
      <c r="K16373" s="1">
        <v>42736</v>
      </c>
      <c r="M16373" t="e">
        <v>#N/A</v>
      </c>
      <c r="N16373" s="1">
        <v>42370</v>
      </c>
    </row>
    <row r="16374" spans="11:14" x14ac:dyDescent="0.3">
      <c r="K16374" s="1">
        <v>42736</v>
      </c>
      <c r="M16374" t="e">
        <v>#N/A</v>
      </c>
      <c r="N16374" s="1">
        <v>42370</v>
      </c>
    </row>
    <row r="16375" spans="11:14" x14ac:dyDescent="0.3">
      <c r="K16375" s="1">
        <v>42736</v>
      </c>
      <c r="M16375" t="e">
        <v>#N/A</v>
      </c>
      <c r="N16375" s="1">
        <v>42370</v>
      </c>
    </row>
    <row r="16376" spans="11:14" x14ac:dyDescent="0.3">
      <c r="K16376" s="1">
        <v>42736</v>
      </c>
      <c r="M16376" t="e">
        <v>#N/A</v>
      </c>
      <c r="N16376" s="1">
        <v>42370</v>
      </c>
    </row>
    <row r="16377" spans="11:14" x14ac:dyDescent="0.3">
      <c r="K16377" s="1">
        <v>42736</v>
      </c>
      <c r="M16377" t="e">
        <v>#N/A</v>
      </c>
      <c r="N16377" s="1">
        <v>42370</v>
      </c>
    </row>
    <row r="16378" spans="11:14" x14ac:dyDescent="0.3">
      <c r="K16378" s="1">
        <v>42736</v>
      </c>
      <c r="M16378" t="e">
        <v>#N/A</v>
      </c>
      <c r="N16378" s="1">
        <v>42370</v>
      </c>
    </row>
    <row r="16379" spans="11:14" x14ac:dyDescent="0.3">
      <c r="K16379" s="1">
        <v>42736</v>
      </c>
      <c r="M16379" t="e">
        <v>#N/A</v>
      </c>
      <c r="N16379" s="1">
        <v>42370</v>
      </c>
    </row>
    <row r="16380" spans="11:14" x14ac:dyDescent="0.3">
      <c r="K16380" s="1">
        <v>42736</v>
      </c>
      <c r="M16380" t="e">
        <v>#N/A</v>
      </c>
      <c r="N16380" s="1">
        <v>42370</v>
      </c>
    </row>
    <row r="16381" spans="11:14" x14ac:dyDescent="0.3">
      <c r="K16381" s="1">
        <v>42736</v>
      </c>
      <c r="M16381" t="e">
        <v>#N/A</v>
      </c>
      <c r="N16381" s="1">
        <v>42370</v>
      </c>
    </row>
    <row r="16382" spans="11:14" x14ac:dyDescent="0.3">
      <c r="K16382" s="1">
        <v>42736</v>
      </c>
      <c r="M16382" t="e">
        <v>#N/A</v>
      </c>
      <c r="N16382" s="1">
        <v>42370</v>
      </c>
    </row>
    <row r="16383" spans="11:14" x14ac:dyDescent="0.3">
      <c r="K16383" s="1">
        <v>42736</v>
      </c>
      <c r="M16383" t="e">
        <v>#N/A</v>
      </c>
      <c r="N16383" s="1">
        <v>42370</v>
      </c>
    </row>
    <row r="16384" spans="11:14" x14ac:dyDescent="0.3">
      <c r="K16384" s="1">
        <v>42736</v>
      </c>
      <c r="M16384" t="e">
        <v>#N/A</v>
      </c>
      <c r="N16384" s="1">
        <v>42370</v>
      </c>
    </row>
    <row r="16385" spans="11:14" x14ac:dyDescent="0.3">
      <c r="K16385" s="1">
        <v>42736</v>
      </c>
      <c r="M16385" t="e">
        <v>#N/A</v>
      </c>
      <c r="N16385" s="1">
        <v>42370</v>
      </c>
    </row>
    <row r="16386" spans="11:14" x14ac:dyDescent="0.3">
      <c r="K16386" s="1">
        <v>42736</v>
      </c>
      <c r="M16386" t="e">
        <v>#N/A</v>
      </c>
      <c r="N16386" s="1">
        <v>42370</v>
      </c>
    </row>
    <row r="16387" spans="11:14" x14ac:dyDescent="0.3">
      <c r="K16387" s="1">
        <v>42736</v>
      </c>
      <c r="M16387" t="e">
        <v>#N/A</v>
      </c>
      <c r="N16387" s="1">
        <v>42370</v>
      </c>
    </row>
    <row r="16388" spans="11:14" x14ac:dyDescent="0.3">
      <c r="K16388" s="1">
        <v>42736</v>
      </c>
      <c r="M16388" t="e">
        <v>#N/A</v>
      </c>
      <c r="N16388" s="1">
        <v>42370</v>
      </c>
    </row>
    <row r="16389" spans="11:14" x14ac:dyDescent="0.3">
      <c r="K16389" s="1">
        <v>42736</v>
      </c>
      <c r="M16389" t="e">
        <v>#N/A</v>
      </c>
      <c r="N16389" s="1">
        <v>42370</v>
      </c>
    </row>
    <row r="16390" spans="11:14" x14ac:dyDescent="0.3">
      <c r="K16390" s="1">
        <v>42736</v>
      </c>
      <c r="M16390" t="e">
        <v>#N/A</v>
      </c>
      <c r="N16390" s="1">
        <v>42370</v>
      </c>
    </row>
    <row r="16391" spans="11:14" x14ac:dyDescent="0.3">
      <c r="K16391" s="1">
        <v>42736</v>
      </c>
      <c r="M16391" t="e">
        <v>#N/A</v>
      </c>
      <c r="N16391" s="1">
        <v>42370</v>
      </c>
    </row>
    <row r="16392" spans="11:14" x14ac:dyDescent="0.3">
      <c r="K16392" s="1">
        <v>42736</v>
      </c>
      <c r="M16392" t="e">
        <v>#N/A</v>
      </c>
      <c r="N16392" s="1">
        <v>42370</v>
      </c>
    </row>
    <row r="16393" spans="11:14" x14ac:dyDescent="0.3">
      <c r="K16393" s="1">
        <v>42736</v>
      </c>
      <c r="M16393" t="e">
        <v>#N/A</v>
      </c>
      <c r="N16393" s="1">
        <v>42370</v>
      </c>
    </row>
    <row r="16394" spans="11:14" x14ac:dyDescent="0.3">
      <c r="K16394" s="1">
        <v>42736</v>
      </c>
      <c r="M16394" t="e">
        <v>#N/A</v>
      </c>
      <c r="N16394" s="1">
        <v>42370</v>
      </c>
    </row>
    <row r="16395" spans="11:14" x14ac:dyDescent="0.3">
      <c r="K16395" s="1">
        <v>42736</v>
      </c>
      <c r="M16395" t="e">
        <v>#N/A</v>
      </c>
      <c r="N16395" s="1">
        <v>42370</v>
      </c>
    </row>
    <row r="16396" spans="11:14" x14ac:dyDescent="0.3">
      <c r="K16396" s="1">
        <v>42736</v>
      </c>
      <c r="M16396" t="e">
        <v>#N/A</v>
      </c>
      <c r="N16396" s="1">
        <v>42370</v>
      </c>
    </row>
    <row r="16397" spans="11:14" x14ac:dyDescent="0.3">
      <c r="K16397" s="1">
        <v>42736</v>
      </c>
      <c r="M16397" t="e">
        <v>#N/A</v>
      </c>
      <c r="N16397" s="1">
        <v>42370</v>
      </c>
    </row>
    <row r="16398" spans="11:14" x14ac:dyDescent="0.3">
      <c r="K16398" s="1">
        <v>42736</v>
      </c>
      <c r="M16398" t="e">
        <v>#N/A</v>
      </c>
      <c r="N16398" s="1">
        <v>42370</v>
      </c>
    </row>
    <row r="16399" spans="11:14" x14ac:dyDescent="0.3">
      <c r="K16399" s="1">
        <v>42736</v>
      </c>
      <c r="M16399" t="e">
        <v>#N/A</v>
      </c>
      <c r="N16399" s="1">
        <v>42370</v>
      </c>
    </row>
    <row r="16400" spans="11:14" x14ac:dyDescent="0.3">
      <c r="K16400" s="1">
        <v>42736</v>
      </c>
      <c r="M16400" t="e">
        <v>#N/A</v>
      </c>
      <c r="N16400" s="1">
        <v>42370</v>
      </c>
    </row>
    <row r="16401" spans="11:14" x14ac:dyDescent="0.3">
      <c r="K16401" s="1">
        <v>42736</v>
      </c>
      <c r="M16401" t="e">
        <v>#N/A</v>
      </c>
      <c r="N16401" s="1">
        <v>42370</v>
      </c>
    </row>
    <row r="16402" spans="11:14" x14ac:dyDescent="0.3">
      <c r="K16402" s="1">
        <v>42736</v>
      </c>
      <c r="M16402" t="e">
        <v>#N/A</v>
      </c>
      <c r="N16402" s="1">
        <v>42370</v>
      </c>
    </row>
    <row r="16403" spans="11:14" x14ac:dyDescent="0.3">
      <c r="K16403" s="1">
        <v>42736</v>
      </c>
      <c r="M16403" t="e">
        <v>#N/A</v>
      </c>
      <c r="N16403" s="1">
        <v>42370</v>
      </c>
    </row>
    <row r="16404" spans="11:14" x14ac:dyDescent="0.3">
      <c r="K16404" s="1">
        <v>42736</v>
      </c>
      <c r="M16404" t="e">
        <v>#N/A</v>
      </c>
      <c r="N16404" s="1">
        <v>42370</v>
      </c>
    </row>
    <row r="16405" spans="11:14" x14ac:dyDescent="0.3">
      <c r="K16405" s="1">
        <v>42736</v>
      </c>
      <c r="M16405" t="e">
        <v>#N/A</v>
      </c>
      <c r="N16405" s="1">
        <v>42370</v>
      </c>
    </row>
    <row r="16406" spans="11:14" x14ac:dyDescent="0.3">
      <c r="K16406" s="1">
        <v>42736</v>
      </c>
      <c r="M16406" t="e">
        <v>#N/A</v>
      </c>
      <c r="N16406" s="1">
        <v>42370</v>
      </c>
    </row>
    <row r="16407" spans="11:14" x14ac:dyDescent="0.3">
      <c r="K16407" s="1">
        <v>42736</v>
      </c>
      <c r="M16407" t="e">
        <v>#N/A</v>
      </c>
      <c r="N16407" s="1">
        <v>42370</v>
      </c>
    </row>
    <row r="16408" spans="11:14" x14ac:dyDescent="0.3">
      <c r="K16408" s="1">
        <v>42736</v>
      </c>
      <c r="M16408" t="e">
        <v>#N/A</v>
      </c>
      <c r="N16408" s="1">
        <v>42370</v>
      </c>
    </row>
    <row r="16409" spans="11:14" x14ac:dyDescent="0.3">
      <c r="K16409" s="1">
        <v>42736</v>
      </c>
      <c r="M16409" t="e">
        <v>#N/A</v>
      </c>
      <c r="N16409" s="1">
        <v>42370</v>
      </c>
    </row>
    <row r="16410" spans="11:14" x14ac:dyDescent="0.3">
      <c r="K16410" s="1">
        <v>42736</v>
      </c>
      <c r="M16410" t="e">
        <v>#N/A</v>
      </c>
      <c r="N16410" s="1">
        <v>42370</v>
      </c>
    </row>
    <row r="16411" spans="11:14" x14ac:dyDescent="0.3">
      <c r="K16411" s="1">
        <v>42736</v>
      </c>
      <c r="M16411" t="e">
        <v>#N/A</v>
      </c>
      <c r="N16411" s="1">
        <v>42370</v>
      </c>
    </row>
    <row r="16412" spans="11:14" x14ac:dyDescent="0.3">
      <c r="K16412" s="1">
        <v>42736</v>
      </c>
      <c r="M16412" t="e">
        <v>#N/A</v>
      </c>
      <c r="N16412" s="1">
        <v>42370</v>
      </c>
    </row>
    <row r="16413" spans="11:14" x14ac:dyDescent="0.3">
      <c r="K16413" s="1">
        <v>42736</v>
      </c>
      <c r="M16413" t="e">
        <v>#N/A</v>
      </c>
      <c r="N16413" s="1">
        <v>42370</v>
      </c>
    </row>
    <row r="16414" spans="11:14" x14ac:dyDescent="0.3">
      <c r="K16414" s="1">
        <v>42736</v>
      </c>
      <c r="M16414" t="e">
        <v>#N/A</v>
      </c>
      <c r="N16414" s="1">
        <v>42370</v>
      </c>
    </row>
    <row r="16415" spans="11:14" x14ac:dyDescent="0.3">
      <c r="K16415" s="1">
        <v>42736</v>
      </c>
      <c r="M16415" t="e">
        <v>#N/A</v>
      </c>
      <c r="N16415" s="1">
        <v>42370</v>
      </c>
    </row>
    <row r="16416" spans="11:14" x14ac:dyDescent="0.3">
      <c r="K16416" s="1">
        <v>42736</v>
      </c>
      <c r="M16416" t="e">
        <v>#N/A</v>
      </c>
      <c r="N16416" s="1">
        <v>42370</v>
      </c>
    </row>
    <row r="16417" spans="11:14" x14ac:dyDescent="0.3">
      <c r="K16417" s="1">
        <v>42736</v>
      </c>
      <c r="M16417" t="e">
        <v>#N/A</v>
      </c>
      <c r="N16417" s="1">
        <v>42370</v>
      </c>
    </row>
    <row r="16418" spans="11:14" x14ac:dyDescent="0.3">
      <c r="K16418" s="1">
        <v>42736</v>
      </c>
      <c r="M16418" t="e">
        <v>#N/A</v>
      </c>
      <c r="N16418" s="1">
        <v>42370</v>
      </c>
    </row>
    <row r="16419" spans="11:14" x14ac:dyDescent="0.3">
      <c r="K16419" s="1">
        <v>42736</v>
      </c>
      <c r="M16419" t="e">
        <v>#N/A</v>
      </c>
      <c r="N16419" s="1">
        <v>42370</v>
      </c>
    </row>
    <row r="16420" spans="11:14" x14ac:dyDescent="0.3">
      <c r="K16420" s="1">
        <v>42736</v>
      </c>
      <c r="M16420" t="e">
        <v>#N/A</v>
      </c>
      <c r="N16420" s="1">
        <v>42370</v>
      </c>
    </row>
    <row r="16421" spans="11:14" x14ac:dyDescent="0.3">
      <c r="K16421" s="1">
        <v>42736</v>
      </c>
      <c r="M16421" t="e">
        <v>#N/A</v>
      </c>
      <c r="N16421" s="1">
        <v>42370</v>
      </c>
    </row>
    <row r="16422" spans="11:14" x14ac:dyDescent="0.3">
      <c r="K16422" s="1">
        <v>42736</v>
      </c>
      <c r="M16422" t="e">
        <v>#N/A</v>
      </c>
      <c r="N16422" s="1">
        <v>42370</v>
      </c>
    </row>
    <row r="16423" spans="11:14" x14ac:dyDescent="0.3">
      <c r="K16423" s="1">
        <v>42736</v>
      </c>
      <c r="M16423" t="e">
        <v>#N/A</v>
      </c>
      <c r="N16423" s="1">
        <v>42370</v>
      </c>
    </row>
    <row r="16424" spans="11:14" x14ac:dyDescent="0.3">
      <c r="K16424" s="1">
        <v>42736</v>
      </c>
      <c r="M16424" t="e">
        <v>#N/A</v>
      </c>
      <c r="N16424" s="1">
        <v>42370</v>
      </c>
    </row>
    <row r="16425" spans="11:14" x14ac:dyDescent="0.3">
      <c r="K16425" s="1">
        <v>42736</v>
      </c>
      <c r="M16425" t="e">
        <v>#N/A</v>
      </c>
      <c r="N16425" s="1">
        <v>42370</v>
      </c>
    </row>
    <row r="16426" spans="11:14" x14ac:dyDescent="0.3">
      <c r="K16426" s="1">
        <v>42736</v>
      </c>
      <c r="M16426" t="e">
        <v>#N/A</v>
      </c>
      <c r="N16426" s="1">
        <v>42370</v>
      </c>
    </row>
    <row r="16427" spans="11:14" x14ac:dyDescent="0.3">
      <c r="K16427" s="1">
        <v>42736</v>
      </c>
      <c r="M16427" t="e">
        <v>#N/A</v>
      </c>
      <c r="N16427" s="1">
        <v>42370</v>
      </c>
    </row>
    <row r="16428" spans="11:14" x14ac:dyDescent="0.3">
      <c r="K16428" s="1">
        <v>42736</v>
      </c>
      <c r="M16428" t="e">
        <v>#N/A</v>
      </c>
      <c r="N16428" s="1">
        <v>42370</v>
      </c>
    </row>
    <row r="16429" spans="11:14" x14ac:dyDescent="0.3">
      <c r="K16429" s="1">
        <v>42736</v>
      </c>
      <c r="M16429" t="e">
        <v>#N/A</v>
      </c>
      <c r="N16429" s="1">
        <v>42370</v>
      </c>
    </row>
    <row r="16430" spans="11:14" x14ac:dyDescent="0.3">
      <c r="K16430" s="1">
        <v>42736</v>
      </c>
      <c r="M16430" t="e">
        <v>#N/A</v>
      </c>
      <c r="N16430" s="1">
        <v>42370</v>
      </c>
    </row>
    <row r="16431" spans="11:14" x14ac:dyDescent="0.3">
      <c r="K16431" s="1">
        <v>42736</v>
      </c>
      <c r="M16431" t="e">
        <v>#N/A</v>
      </c>
      <c r="N16431" s="1">
        <v>42370</v>
      </c>
    </row>
    <row r="16432" spans="11:14" x14ac:dyDescent="0.3">
      <c r="K16432" s="1">
        <v>42736</v>
      </c>
      <c r="M16432" t="e">
        <v>#N/A</v>
      </c>
      <c r="N16432" s="1">
        <v>42370</v>
      </c>
    </row>
    <row r="16433" spans="11:14" x14ac:dyDescent="0.3">
      <c r="K16433" s="1">
        <v>42736</v>
      </c>
      <c r="M16433" t="e">
        <v>#N/A</v>
      </c>
      <c r="N16433" s="1">
        <v>42370</v>
      </c>
    </row>
    <row r="16434" spans="11:14" x14ac:dyDescent="0.3">
      <c r="K16434" s="1">
        <v>42736</v>
      </c>
      <c r="M16434" t="e">
        <v>#N/A</v>
      </c>
      <c r="N16434" s="1">
        <v>42370</v>
      </c>
    </row>
    <row r="16435" spans="11:14" x14ac:dyDescent="0.3">
      <c r="K16435" s="1">
        <v>42736</v>
      </c>
      <c r="M16435" t="e">
        <v>#N/A</v>
      </c>
      <c r="N16435" s="1">
        <v>42370</v>
      </c>
    </row>
    <row r="16436" spans="11:14" x14ac:dyDescent="0.3">
      <c r="K16436" s="1">
        <v>42736</v>
      </c>
      <c r="M16436" t="e">
        <v>#N/A</v>
      </c>
      <c r="N16436" s="1">
        <v>42370</v>
      </c>
    </row>
    <row r="16437" spans="11:14" x14ac:dyDescent="0.3">
      <c r="K16437" s="1">
        <v>42736</v>
      </c>
      <c r="M16437" t="e">
        <v>#N/A</v>
      </c>
      <c r="N16437" s="1">
        <v>42370</v>
      </c>
    </row>
    <row r="16438" spans="11:14" x14ac:dyDescent="0.3">
      <c r="K16438" s="1">
        <v>42736</v>
      </c>
      <c r="M16438" t="e">
        <v>#N/A</v>
      </c>
      <c r="N16438" s="1">
        <v>42370</v>
      </c>
    </row>
    <row r="16439" spans="11:14" x14ac:dyDescent="0.3">
      <c r="K16439" s="1">
        <v>42736</v>
      </c>
      <c r="M16439" t="e">
        <v>#N/A</v>
      </c>
      <c r="N16439" s="1">
        <v>42370</v>
      </c>
    </row>
    <row r="16440" spans="11:14" x14ac:dyDescent="0.3">
      <c r="K16440" s="1">
        <v>42736</v>
      </c>
      <c r="M16440" t="e">
        <v>#N/A</v>
      </c>
      <c r="N16440" s="1">
        <v>42370</v>
      </c>
    </row>
    <row r="16441" spans="11:14" x14ac:dyDescent="0.3">
      <c r="K16441" s="1">
        <v>42736</v>
      </c>
      <c r="M16441" t="e">
        <v>#N/A</v>
      </c>
      <c r="N16441" s="1">
        <v>42370</v>
      </c>
    </row>
    <row r="16442" spans="11:14" x14ac:dyDescent="0.3">
      <c r="K16442" s="1">
        <v>42736</v>
      </c>
      <c r="M16442" t="e">
        <v>#N/A</v>
      </c>
      <c r="N16442" s="1">
        <v>42370</v>
      </c>
    </row>
    <row r="16443" spans="11:14" x14ac:dyDescent="0.3">
      <c r="K16443" s="1">
        <v>42736</v>
      </c>
      <c r="M16443" t="e">
        <v>#N/A</v>
      </c>
      <c r="N16443" s="1">
        <v>42370</v>
      </c>
    </row>
    <row r="16444" spans="11:14" x14ac:dyDescent="0.3">
      <c r="K16444" s="1">
        <v>42736</v>
      </c>
      <c r="M16444" t="e">
        <v>#N/A</v>
      </c>
      <c r="N16444" s="1">
        <v>42370</v>
      </c>
    </row>
    <row r="16445" spans="11:14" x14ac:dyDescent="0.3">
      <c r="K16445" s="1">
        <v>42736</v>
      </c>
      <c r="M16445" t="e">
        <v>#N/A</v>
      </c>
      <c r="N16445" s="1">
        <v>42370</v>
      </c>
    </row>
    <row r="16446" spans="11:14" x14ac:dyDescent="0.3">
      <c r="K16446" s="1">
        <v>42736</v>
      </c>
      <c r="M16446" t="e">
        <v>#N/A</v>
      </c>
      <c r="N16446" s="1">
        <v>42370</v>
      </c>
    </row>
    <row r="16447" spans="11:14" x14ac:dyDescent="0.3">
      <c r="K16447" s="1">
        <v>42736</v>
      </c>
      <c r="M16447" t="e">
        <v>#N/A</v>
      </c>
      <c r="N16447" s="1">
        <v>42370</v>
      </c>
    </row>
    <row r="16448" spans="11:14" x14ac:dyDescent="0.3">
      <c r="K16448" s="1">
        <v>42736</v>
      </c>
      <c r="M16448" t="e">
        <v>#N/A</v>
      </c>
      <c r="N16448" s="1">
        <v>42370</v>
      </c>
    </row>
    <row r="16449" spans="11:14" x14ac:dyDescent="0.3">
      <c r="K16449" s="1">
        <v>42736</v>
      </c>
      <c r="M16449" t="e">
        <v>#N/A</v>
      </c>
      <c r="N16449" s="1">
        <v>42370</v>
      </c>
    </row>
    <row r="16450" spans="11:14" x14ac:dyDescent="0.3">
      <c r="K16450" s="1">
        <v>42736</v>
      </c>
      <c r="M16450" t="e">
        <v>#N/A</v>
      </c>
      <c r="N16450" s="1">
        <v>42370</v>
      </c>
    </row>
    <row r="16451" spans="11:14" x14ac:dyDescent="0.3">
      <c r="K16451" s="1">
        <v>42736</v>
      </c>
      <c r="M16451" t="e">
        <v>#N/A</v>
      </c>
      <c r="N16451" s="1">
        <v>42370</v>
      </c>
    </row>
    <row r="16452" spans="11:14" x14ac:dyDescent="0.3">
      <c r="K16452" s="1">
        <v>42736</v>
      </c>
      <c r="M16452" t="e">
        <v>#N/A</v>
      </c>
      <c r="N16452" s="1">
        <v>42370</v>
      </c>
    </row>
    <row r="16453" spans="11:14" x14ac:dyDescent="0.3">
      <c r="K16453" s="1">
        <v>42736</v>
      </c>
      <c r="M16453" t="e">
        <v>#N/A</v>
      </c>
      <c r="N16453" s="1">
        <v>42370</v>
      </c>
    </row>
    <row r="16454" spans="11:14" x14ac:dyDescent="0.3">
      <c r="K16454" s="1">
        <v>42736</v>
      </c>
      <c r="M16454" t="e">
        <v>#N/A</v>
      </c>
      <c r="N16454" s="1">
        <v>42370</v>
      </c>
    </row>
    <row r="16455" spans="11:14" x14ac:dyDescent="0.3">
      <c r="K16455" s="1">
        <v>42736</v>
      </c>
      <c r="M16455" t="e">
        <v>#N/A</v>
      </c>
      <c r="N16455" s="1">
        <v>42370</v>
      </c>
    </row>
    <row r="16456" spans="11:14" x14ac:dyDescent="0.3">
      <c r="K16456" s="1">
        <v>42736</v>
      </c>
      <c r="M16456" t="e">
        <v>#N/A</v>
      </c>
      <c r="N16456" s="1">
        <v>42370</v>
      </c>
    </row>
    <row r="16457" spans="11:14" x14ac:dyDescent="0.3">
      <c r="K16457" s="1">
        <v>42736</v>
      </c>
      <c r="M16457" t="e">
        <v>#N/A</v>
      </c>
      <c r="N16457" s="1">
        <v>42370</v>
      </c>
    </row>
    <row r="16458" spans="11:14" x14ac:dyDescent="0.3">
      <c r="K16458" s="1">
        <v>42736</v>
      </c>
      <c r="M16458" t="e">
        <v>#N/A</v>
      </c>
      <c r="N16458" s="1">
        <v>42370</v>
      </c>
    </row>
    <row r="16459" spans="11:14" x14ac:dyDescent="0.3">
      <c r="K16459" s="1">
        <v>42736</v>
      </c>
      <c r="M16459" t="e">
        <v>#N/A</v>
      </c>
      <c r="N16459" s="1">
        <v>42370</v>
      </c>
    </row>
    <row r="16460" spans="11:14" x14ac:dyDescent="0.3">
      <c r="K16460" s="1">
        <v>42736</v>
      </c>
      <c r="M16460" t="e">
        <v>#N/A</v>
      </c>
      <c r="N16460" s="1">
        <v>42370</v>
      </c>
    </row>
    <row r="16461" spans="11:14" x14ac:dyDescent="0.3">
      <c r="K16461" s="1">
        <v>42736</v>
      </c>
      <c r="M16461" t="e">
        <v>#N/A</v>
      </c>
      <c r="N16461" s="1">
        <v>42370</v>
      </c>
    </row>
    <row r="16462" spans="11:14" x14ac:dyDescent="0.3">
      <c r="K16462" s="1">
        <v>42736</v>
      </c>
      <c r="M16462" t="e">
        <v>#N/A</v>
      </c>
      <c r="N16462" s="1">
        <v>42370</v>
      </c>
    </row>
    <row r="16463" spans="11:14" x14ac:dyDescent="0.3">
      <c r="K16463" s="1">
        <v>42736</v>
      </c>
      <c r="M16463" t="e">
        <v>#N/A</v>
      </c>
      <c r="N16463" s="1">
        <v>42370</v>
      </c>
    </row>
    <row r="16464" spans="11:14" x14ac:dyDescent="0.3">
      <c r="K16464" s="1">
        <v>42736</v>
      </c>
      <c r="M16464" t="e">
        <v>#N/A</v>
      </c>
      <c r="N16464" s="1">
        <v>42370</v>
      </c>
    </row>
    <row r="16465" spans="11:14" x14ac:dyDescent="0.3">
      <c r="K16465" s="1">
        <v>42736</v>
      </c>
      <c r="M16465" t="e">
        <v>#N/A</v>
      </c>
      <c r="N16465" s="1">
        <v>42370</v>
      </c>
    </row>
    <row r="16466" spans="11:14" x14ac:dyDescent="0.3">
      <c r="K16466" s="1">
        <v>42736</v>
      </c>
      <c r="M16466" t="e">
        <v>#N/A</v>
      </c>
      <c r="N16466" s="1">
        <v>42370</v>
      </c>
    </row>
    <row r="16467" spans="11:14" x14ac:dyDescent="0.3">
      <c r="K16467" s="1">
        <v>42736</v>
      </c>
      <c r="M16467" t="e">
        <v>#N/A</v>
      </c>
      <c r="N16467" s="1">
        <v>42370</v>
      </c>
    </row>
    <row r="16468" spans="11:14" x14ac:dyDescent="0.3">
      <c r="K16468" s="1">
        <v>42736</v>
      </c>
      <c r="M16468" t="e">
        <v>#N/A</v>
      </c>
      <c r="N16468" s="1">
        <v>42370</v>
      </c>
    </row>
    <row r="16469" spans="11:14" x14ac:dyDescent="0.3">
      <c r="K16469" s="1">
        <v>42736</v>
      </c>
      <c r="M16469" t="e">
        <v>#N/A</v>
      </c>
      <c r="N16469" s="1">
        <v>42370</v>
      </c>
    </row>
    <row r="16470" spans="11:14" x14ac:dyDescent="0.3">
      <c r="K16470" s="1">
        <v>42736</v>
      </c>
      <c r="M16470" t="e">
        <v>#N/A</v>
      </c>
      <c r="N16470" s="1">
        <v>42370</v>
      </c>
    </row>
    <row r="16471" spans="11:14" x14ac:dyDescent="0.3">
      <c r="K16471" s="1">
        <v>42736</v>
      </c>
      <c r="M16471" t="e">
        <v>#N/A</v>
      </c>
      <c r="N16471" s="1">
        <v>42370</v>
      </c>
    </row>
    <row r="16472" spans="11:14" x14ac:dyDescent="0.3">
      <c r="K16472" s="1">
        <v>42736</v>
      </c>
      <c r="M16472" t="e">
        <v>#N/A</v>
      </c>
      <c r="N16472" s="1">
        <v>42370</v>
      </c>
    </row>
    <row r="16473" spans="11:14" x14ac:dyDescent="0.3">
      <c r="K16473" s="1">
        <v>42736</v>
      </c>
      <c r="M16473" t="e">
        <v>#N/A</v>
      </c>
      <c r="N16473" s="1">
        <v>42370</v>
      </c>
    </row>
    <row r="16474" spans="11:14" x14ac:dyDescent="0.3">
      <c r="K16474" s="1">
        <v>42736</v>
      </c>
      <c r="M16474" t="e">
        <v>#N/A</v>
      </c>
      <c r="N16474" s="1">
        <v>42370</v>
      </c>
    </row>
    <row r="16475" spans="11:14" x14ac:dyDescent="0.3">
      <c r="K16475" s="1">
        <v>42736</v>
      </c>
      <c r="M16475" t="e">
        <v>#N/A</v>
      </c>
      <c r="N16475" s="1">
        <v>42370</v>
      </c>
    </row>
    <row r="16476" spans="11:14" x14ac:dyDescent="0.3">
      <c r="K16476" s="1">
        <v>42736</v>
      </c>
      <c r="M16476" t="e">
        <v>#N/A</v>
      </c>
      <c r="N16476" s="1">
        <v>42370</v>
      </c>
    </row>
    <row r="16477" spans="11:14" x14ac:dyDescent="0.3">
      <c r="K16477" s="1">
        <v>42736</v>
      </c>
      <c r="M16477" t="e">
        <v>#N/A</v>
      </c>
      <c r="N16477" s="1">
        <v>42370</v>
      </c>
    </row>
    <row r="16478" spans="11:14" x14ac:dyDescent="0.3">
      <c r="K16478" s="1">
        <v>42736</v>
      </c>
      <c r="M16478" t="e">
        <v>#N/A</v>
      </c>
      <c r="N16478" s="1">
        <v>42370</v>
      </c>
    </row>
    <row r="16479" spans="11:14" x14ac:dyDescent="0.3">
      <c r="K16479" s="1">
        <v>42736</v>
      </c>
      <c r="M16479" t="e">
        <v>#N/A</v>
      </c>
      <c r="N16479" s="1">
        <v>42370</v>
      </c>
    </row>
    <row r="16480" spans="11:14" x14ac:dyDescent="0.3">
      <c r="K16480" s="1">
        <v>42736</v>
      </c>
      <c r="M16480" t="e">
        <v>#N/A</v>
      </c>
      <c r="N16480" s="1">
        <v>42370</v>
      </c>
    </row>
    <row r="16481" spans="11:14" x14ac:dyDescent="0.3">
      <c r="K16481" s="1">
        <v>42736</v>
      </c>
      <c r="M16481" t="e">
        <v>#N/A</v>
      </c>
      <c r="N16481" s="1">
        <v>42370</v>
      </c>
    </row>
    <row r="16482" spans="11:14" x14ac:dyDescent="0.3">
      <c r="K16482" s="1">
        <v>42736</v>
      </c>
      <c r="M16482" t="e">
        <v>#N/A</v>
      </c>
      <c r="N16482" s="1">
        <v>42370</v>
      </c>
    </row>
    <row r="16483" spans="11:14" x14ac:dyDescent="0.3">
      <c r="K16483" s="1">
        <v>42736</v>
      </c>
      <c r="M16483" t="e">
        <v>#N/A</v>
      </c>
      <c r="N16483" s="1">
        <v>42370</v>
      </c>
    </row>
    <row r="16484" spans="11:14" x14ac:dyDescent="0.3">
      <c r="K16484" s="1">
        <v>42736</v>
      </c>
      <c r="M16484" t="e">
        <v>#N/A</v>
      </c>
      <c r="N16484" s="1">
        <v>42370</v>
      </c>
    </row>
    <row r="16485" spans="11:14" x14ac:dyDescent="0.3">
      <c r="K16485" s="1">
        <v>42736</v>
      </c>
      <c r="M16485" t="e">
        <v>#N/A</v>
      </c>
      <c r="N16485" s="1">
        <v>42370</v>
      </c>
    </row>
    <row r="16486" spans="11:14" x14ac:dyDescent="0.3">
      <c r="K16486" s="1">
        <v>42736</v>
      </c>
      <c r="M16486" t="e">
        <v>#N/A</v>
      </c>
      <c r="N16486" s="1">
        <v>42370</v>
      </c>
    </row>
    <row r="16487" spans="11:14" x14ac:dyDescent="0.3">
      <c r="K16487" s="1">
        <v>42736</v>
      </c>
      <c r="M16487" t="e">
        <v>#N/A</v>
      </c>
      <c r="N16487" s="1">
        <v>42370</v>
      </c>
    </row>
    <row r="16488" spans="11:14" x14ac:dyDescent="0.3">
      <c r="K16488" s="1">
        <v>42736</v>
      </c>
      <c r="M16488" t="e">
        <v>#N/A</v>
      </c>
      <c r="N16488" s="1">
        <v>42370</v>
      </c>
    </row>
    <row r="16489" spans="11:14" x14ac:dyDescent="0.3">
      <c r="K16489" s="1">
        <v>42736</v>
      </c>
      <c r="M16489" t="e">
        <v>#N/A</v>
      </c>
      <c r="N16489" s="1">
        <v>42370</v>
      </c>
    </row>
    <row r="16490" spans="11:14" x14ac:dyDescent="0.3">
      <c r="K16490" s="1">
        <v>42736</v>
      </c>
      <c r="M16490" t="e">
        <v>#N/A</v>
      </c>
      <c r="N16490" s="1">
        <v>42370</v>
      </c>
    </row>
    <row r="16491" spans="11:14" x14ac:dyDescent="0.3">
      <c r="K16491" s="1">
        <v>42736</v>
      </c>
      <c r="M16491" t="e">
        <v>#N/A</v>
      </c>
      <c r="N16491" s="1">
        <v>42370</v>
      </c>
    </row>
    <row r="16492" spans="11:14" x14ac:dyDescent="0.3">
      <c r="K16492" s="1">
        <v>42736</v>
      </c>
      <c r="M16492" t="e">
        <v>#N/A</v>
      </c>
      <c r="N16492" s="1">
        <v>42370</v>
      </c>
    </row>
    <row r="16493" spans="11:14" x14ac:dyDescent="0.3">
      <c r="K16493" s="1">
        <v>42736</v>
      </c>
      <c r="M16493" t="e">
        <v>#N/A</v>
      </c>
      <c r="N16493" s="1">
        <v>42370</v>
      </c>
    </row>
    <row r="16494" spans="11:14" x14ac:dyDescent="0.3">
      <c r="K16494" s="1">
        <v>42736</v>
      </c>
      <c r="M16494" t="e">
        <v>#N/A</v>
      </c>
      <c r="N16494" s="1">
        <v>42370</v>
      </c>
    </row>
    <row r="16495" spans="11:14" x14ac:dyDescent="0.3">
      <c r="K16495" s="1">
        <v>42736</v>
      </c>
      <c r="M16495" t="e">
        <v>#N/A</v>
      </c>
      <c r="N16495" s="1">
        <v>42370</v>
      </c>
    </row>
    <row r="16496" spans="11:14" x14ac:dyDescent="0.3">
      <c r="K16496" s="1">
        <v>42736</v>
      </c>
      <c r="M16496" t="e">
        <v>#N/A</v>
      </c>
      <c r="N16496" s="1">
        <v>42370</v>
      </c>
    </row>
    <row r="16497" spans="11:14" x14ac:dyDescent="0.3">
      <c r="K16497" s="1">
        <v>42736</v>
      </c>
      <c r="M16497" t="e">
        <v>#N/A</v>
      </c>
      <c r="N16497" s="1">
        <v>42370</v>
      </c>
    </row>
    <row r="16498" spans="11:14" x14ac:dyDescent="0.3">
      <c r="K16498" s="1">
        <v>42736</v>
      </c>
      <c r="M16498" t="e">
        <v>#N/A</v>
      </c>
      <c r="N16498" s="1">
        <v>42370</v>
      </c>
    </row>
    <row r="16499" spans="11:14" x14ac:dyDescent="0.3">
      <c r="K16499" s="1">
        <v>42736</v>
      </c>
      <c r="M16499" t="e">
        <v>#N/A</v>
      </c>
      <c r="N16499" s="1">
        <v>42370</v>
      </c>
    </row>
    <row r="16500" spans="11:14" x14ac:dyDescent="0.3">
      <c r="K16500" s="1">
        <v>42736</v>
      </c>
      <c r="M16500" t="e">
        <v>#N/A</v>
      </c>
      <c r="N16500" s="1">
        <v>42370</v>
      </c>
    </row>
    <row r="16501" spans="11:14" x14ac:dyDescent="0.3">
      <c r="K16501" s="1">
        <v>42736</v>
      </c>
      <c r="M16501" t="e">
        <v>#N/A</v>
      </c>
      <c r="N16501" s="1">
        <v>42370</v>
      </c>
    </row>
    <row r="16502" spans="11:14" x14ac:dyDescent="0.3">
      <c r="K16502" s="1">
        <v>42736</v>
      </c>
      <c r="M16502" t="e">
        <v>#N/A</v>
      </c>
      <c r="N16502" s="1">
        <v>42370</v>
      </c>
    </row>
    <row r="16503" spans="11:14" x14ac:dyDescent="0.3">
      <c r="K16503" s="1">
        <v>42736</v>
      </c>
      <c r="M16503" t="e">
        <v>#N/A</v>
      </c>
      <c r="N16503" s="1">
        <v>42370</v>
      </c>
    </row>
    <row r="16504" spans="11:14" x14ac:dyDescent="0.3">
      <c r="K16504" s="1">
        <v>42736</v>
      </c>
      <c r="M16504" t="e">
        <v>#N/A</v>
      </c>
      <c r="N16504" s="1">
        <v>42370</v>
      </c>
    </row>
    <row r="16505" spans="11:14" x14ac:dyDescent="0.3">
      <c r="K16505" s="1">
        <v>42736</v>
      </c>
      <c r="M16505" t="e">
        <v>#N/A</v>
      </c>
      <c r="N16505" s="1">
        <v>42370</v>
      </c>
    </row>
    <row r="16506" spans="11:14" x14ac:dyDescent="0.3">
      <c r="K16506" s="1">
        <v>42736</v>
      </c>
      <c r="M16506" t="e">
        <v>#N/A</v>
      </c>
      <c r="N16506" s="1">
        <v>42370</v>
      </c>
    </row>
    <row r="16507" spans="11:14" x14ac:dyDescent="0.3">
      <c r="K16507" s="1">
        <v>42736</v>
      </c>
      <c r="M16507" t="e">
        <v>#N/A</v>
      </c>
      <c r="N16507" s="1">
        <v>42370</v>
      </c>
    </row>
    <row r="16508" spans="11:14" x14ac:dyDescent="0.3">
      <c r="K16508" s="1">
        <v>42736</v>
      </c>
      <c r="M16508" t="e">
        <v>#N/A</v>
      </c>
      <c r="N16508" s="1">
        <v>42370</v>
      </c>
    </row>
    <row r="16509" spans="11:14" x14ac:dyDescent="0.3">
      <c r="K16509" s="1">
        <v>42736</v>
      </c>
      <c r="M16509" t="e">
        <v>#N/A</v>
      </c>
      <c r="N16509" s="1">
        <v>42370</v>
      </c>
    </row>
    <row r="16510" spans="11:14" x14ac:dyDescent="0.3">
      <c r="K16510" s="1">
        <v>42736</v>
      </c>
      <c r="M16510" t="e">
        <v>#N/A</v>
      </c>
      <c r="N16510" s="1">
        <v>42370</v>
      </c>
    </row>
    <row r="16511" spans="11:14" x14ac:dyDescent="0.3">
      <c r="K16511" s="1">
        <v>42736</v>
      </c>
      <c r="M16511" t="e">
        <v>#N/A</v>
      </c>
      <c r="N16511" s="1">
        <v>42370</v>
      </c>
    </row>
    <row r="16512" spans="11:14" x14ac:dyDescent="0.3">
      <c r="K16512" s="1">
        <v>42736</v>
      </c>
      <c r="M16512" t="e">
        <v>#N/A</v>
      </c>
      <c r="N16512" s="1">
        <v>42370</v>
      </c>
    </row>
    <row r="16513" spans="11:14" x14ac:dyDescent="0.3">
      <c r="K16513" s="1">
        <v>42736</v>
      </c>
      <c r="M16513" t="e">
        <v>#N/A</v>
      </c>
      <c r="N16513" s="1">
        <v>42370</v>
      </c>
    </row>
    <row r="16514" spans="11:14" x14ac:dyDescent="0.3">
      <c r="K16514" s="1">
        <v>42736</v>
      </c>
      <c r="M16514" t="e">
        <v>#N/A</v>
      </c>
      <c r="N16514" s="1">
        <v>42370</v>
      </c>
    </row>
    <row r="16515" spans="11:14" x14ac:dyDescent="0.3">
      <c r="K16515" s="1">
        <v>42736</v>
      </c>
      <c r="M16515" t="e">
        <v>#N/A</v>
      </c>
      <c r="N16515" s="1">
        <v>42370</v>
      </c>
    </row>
    <row r="16516" spans="11:14" x14ac:dyDescent="0.3">
      <c r="K16516" s="1">
        <v>42736</v>
      </c>
      <c r="M16516" t="e">
        <v>#N/A</v>
      </c>
      <c r="N16516" s="1">
        <v>42370</v>
      </c>
    </row>
    <row r="16517" spans="11:14" x14ac:dyDescent="0.3">
      <c r="K16517" s="1">
        <v>42736</v>
      </c>
      <c r="M16517" t="e">
        <v>#N/A</v>
      </c>
      <c r="N16517" s="1">
        <v>42370</v>
      </c>
    </row>
    <row r="16518" spans="11:14" x14ac:dyDescent="0.3">
      <c r="K16518" s="1">
        <v>42736</v>
      </c>
      <c r="M16518" t="e">
        <v>#N/A</v>
      </c>
      <c r="N16518" s="1">
        <v>42370</v>
      </c>
    </row>
    <row r="16519" spans="11:14" x14ac:dyDescent="0.3">
      <c r="K16519" s="1">
        <v>42736</v>
      </c>
      <c r="M16519" t="e">
        <v>#N/A</v>
      </c>
      <c r="N16519" s="1">
        <v>42370</v>
      </c>
    </row>
    <row r="16520" spans="11:14" x14ac:dyDescent="0.3">
      <c r="K16520" s="1">
        <v>42736</v>
      </c>
      <c r="M16520" t="e">
        <v>#N/A</v>
      </c>
      <c r="N16520" s="1">
        <v>42370</v>
      </c>
    </row>
    <row r="16521" spans="11:14" x14ac:dyDescent="0.3">
      <c r="K16521" s="1">
        <v>42736</v>
      </c>
      <c r="M16521" t="e">
        <v>#N/A</v>
      </c>
      <c r="N16521" s="1">
        <v>42370</v>
      </c>
    </row>
    <row r="16522" spans="11:14" x14ac:dyDescent="0.3">
      <c r="K16522" s="1">
        <v>42736</v>
      </c>
      <c r="M16522" t="e">
        <v>#N/A</v>
      </c>
      <c r="N16522" s="1">
        <v>42370</v>
      </c>
    </row>
    <row r="16523" spans="11:14" x14ac:dyDescent="0.3">
      <c r="K16523" s="1">
        <v>42736</v>
      </c>
      <c r="M16523" t="e">
        <v>#N/A</v>
      </c>
      <c r="N16523" s="1">
        <v>42370</v>
      </c>
    </row>
    <row r="16524" spans="11:14" x14ac:dyDescent="0.3">
      <c r="K16524" s="1">
        <v>42736</v>
      </c>
      <c r="M16524" t="e">
        <v>#N/A</v>
      </c>
      <c r="N16524" s="1">
        <v>42370</v>
      </c>
    </row>
    <row r="16525" spans="11:14" x14ac:dyDescent="0.3">
      <c r="K16525" s="1">
        <v>42736</v>
      </c>
      <c r="M16525" t="e">
        <v>#N/A</v>
      </c>
      <c r="N16525" s="1">
        <v>42370</v>
      </c>
    </row>
    <row r="16526" spans="11:14" x14ac:dyDescent="0.3">
      <c r="K16526" s="1">
        <v>42736</v>
      </c>
      <c r="M16526" t="e">
        <v>#N/A</v>
      </c>
      <c r="N16526" s="1">
        <v>42370</v>
      </c>
    </row>
    <row r="16527" spans="11:14" x14ac:dyDescent="0.3">
      <c r="K16527" s="1">
        <v>42736</v>
      </c>
      <c r="M16527" t="e">
        <v>#N/A</v>
      </c>
      <c r="N16527" s="1">
        <v>42370</v>
      </c>
    </row>
    <row r="16528" spans="11:14" x14ac:dyDescent="0.3">
      <c r="K16528" s="1">
        <v>42736</v>
      </c>
      <c r="M16528" t="e">
        <v>#N/A</v>
      </c>
      <c r="N16528" s="1">
        <v>42370</v>
      </c>
    </row>
    <row r="16529" spans="11:14" x14ac:dyDescent="0.3">
      <c r="K16529" s="1">
        <v>42736</v>
      </c>
      <c r="M16529" t="e">
        <v>#N/A</v>
      </c>
      <c r="N16529" s="1">
        <v>42370</v>
      </c>
    </row>
    <row r="16530" spans="11:14" x14ac:dyDescent="0.3">
      <c r="K16530" s="1">
        <v>42736</v>
      </c>
      <c r="M16530" t="e">
        <v>#N/A</v>
      </c>
      <c r="N16530" s="1">
        <v>42370</v>
      </c>
    </row>
    <row r="16531" spans="11:14" x14ac:dyDescent="0.3">
      <c r="K16531" s="1">
        <v>42736</v>
      </c>
      <c r="M16531" t="e">
        <v>#N/A</v>
      </c>
      <c r="N16531" s="1">
        <v>42370</v>
      </c>
    </row>
    <row r="16532" spans="11:14" x14ac:dyDescent="0.3">
      <c r="K16532" s="1">
        <v>42736</v>
      </c>
      <c r="M16532" t="e">
        <v>#N/A</v>
      </c>
      <c r="N16532" s="1">
        <v>42370</v>
      </c>
    </row>
    <row r="16533" spans="11:14" x14ac:dyDescent="0.3">
      <c r="K16533" s="1">
        <v>42736</v>
      </c>
      <c r="M16533" t="e">
        <v>#N/A</v>
      </c>
      <c r="N16533" s="1">
        <v>42370</v>
      </c>
    </row>
    <row r="16534" spans="11:14" x14ac:dyDescent="0.3">
      <c r="K16534" s="1">
        <v>42736</v>
      </c>
      <c r="M16534" t="e">
        <v>#N/A</v>
      </c>
      <c r="N16534" s="1">
        <v>42370</v>
      </c>
    </row>
    <row r="16535" spans="11:14" x14ac:dyDescent="0.3">
      <c r="K16535" s="1">
        <v>42736</v>
      </c>
      <c r="M16535" t="e">
        <v>#N/A</v>
      </c>
      <c r="N16535" s="1">
        <v>42370</v>
      </c>
    </row>
    <row r="16536" spans="11:14" x14ac:dyDescent="0.3">
      <c r="K16536" s="1">
        <v>42736</v>
      </c>
      <c r="M16536" t="e">
        <v>#N/A</v>
      </c>
      <c r="N16536" s="1">
        <v>42370</v>
      </c>
    </row>
    <row r="16537" spans="11:14" x14ac:dyDescent="0.3">
      <c r="K16537" s="1">
        <v>42736</v>
      </c>
      <c r="M16537" t="e">
        <v>#N/A</v>
      </c>
      <c r="N16537" s="1">
        <v>42370</v>
      </c>
    </row>
    <row r="16538" spans="11:14" x14ac:dyDescent="0.3">
      <c r="K16538" s="1">
        <v>42736</v>
      </c>
      <c r="M16538" t="e">
        <v>#N/A</v>
      </c>
      <c r="N16538" s="1">
        <v>42370</v>
      </c>
    </row>
    <row r="16539" spans="11:14" x14ac:dyDescent="0.3">
      <c r="K16539" s="1">
        <v>42736</v>
      </c>
      <c r="M16539" t="e">
        <v>#N/A</v>
      </c>
      <c r="N16539" s="1">
        <v>42370</v>
      </c>
    </row>
    <row r="16540" spans="11:14" x14ac:dyDescent="0.3">
      <c r="K16540" s="1">
        <v>42736</v>
      </c>
      <c r="M16540" t="e">
        <v>#N/A</v>
      </c>
      <c r="N16540" s="1">
        <v>42370</v>
      </c>
    </row>
    <row r="16541" spans="11:14" x14ac:dyDescent="0.3">
      <c r="K16541" s="1">
        <v>42736</v>
      </c>
      <c r="M16541" t="e">
        <v>#N/A</v>
      </c>
      <c r="N16541" s="1">
        <v>42370</v>
      </c>
    </row>
    <row r="16542" spans="11:14" x14ac:dyDescent="0.3">
      <c r="K16542" s="1">
        <v>42736</v>
      </c>
      <c r="M16542" t="e">
        <v>#N/A</v>
      </c>
      <c r="N16542" s="1">
        <v>42370</v>
      </c>
    </row>
    <row r="16543" spans="11:14" x14ac:dyDescent="0.3">
      <c r="K16543" s="1">
        <v>42736</v>
      </c>
      <c r="M16543" t="e">
        <v>#N/A</v>
      </c>
      <c r="N16543" s="1">
        <v>42370</v>
      </c>
    </row>
    <row r="16544" spans="11:14" x14ac:dyDescent="0.3">
      <c r="K16544" s="1">
        <v>42736</v>
      </c>
      <c r="M16544" t="e">
        <v>#N/A</v>
      </c>
      <c r="N16544" s="1">
        <v>42370</v>
      </c>
    </row>
    <row r="16545" spans="11:14" x14ac:dyDescent="0.3">
      <c r="K16545" s="1">
        <v>42736</v>
      </c>
      <c r="M16545" t="e">
        <v>#N/A</v>
      </c>
      <c r="N16545" s="1">
        <v>42370</v>
      </c>
    </row>
    <row r="16546" spans="11:14" x14ac:dyDescent="0.3">
      <c r="K16546" s="1">
        <v>42736</v>
      </c>
      <c r="M16546" t="e">
        <v>#N/A</v>
      </c>
      <c r="N16546" s="1">
        <v>42370</v>
      </c>
    </row>
    <row r="16547" spans="11:14" x14ac:dyDescent="0.3">
      <c r="K16547" s="1">
        <v>42736</v>
      </c>
      <c r="M16547" t="e">
        <v>#N/A</v>
      </c>
      <c r="N16547" s="1">
        <v>42370</v>
      </c>
    </row>
    <row r="16548" spans="11:14" x14ac:dyDescent="0.3">
      <c r="K16548" s="1">
        <v>42736</v>
      </c>
      <c r="M16548" t="e">
        <v>#N/A</v>
      </c>
      <c r="N16548" s="1">
        <v>42370</v>
      </c>
    </row>
    <row r="16549" spans="11:14" x14ac:dyDescent="0.3">
      <c r="K16549" s="1">
        <v>42736</v>
      </c>
      <c r="M16549" t="e">
        <v>#N/A</v>
      </c>
      <c r="N16549" s="1">
        <v>42370</v>
      </c>
    </row>
    <row r="16550" spans="11:14" x14ac:dyDescent="0.3">
      <c r="K16550" s="1">
        <v>42736</v>
      </c>
      <c r="M16550" t="e">
        <v>#N/A</v>
      </c>
      <c r="N16550" s="1">
        <v>42370</v>
      </c>
    </row>
    <row r="16551" spans="11:14" x14ac:dyDescent="0.3">
      <c r="K16551" s="1">
        <v>42736</v>
      </c>
      <c r="M16551" t="e">
        <v>#N/A</v>
      </c>
      <c r="N16551" s="1">
        <v>42370</v>
      </c>
    </row>
    <row r="16552" spans="11:14" x14ac:dyDescent="0.3">
      <c r="K16552" s="1">
        <v>42736</v>
      </c>
      <c r="M16552" t="e">
        <v>#N/A</v>
      </c>
      <c r="N16552" s="1">
        <v>42370</v>
      </c>
    </row>
    <row r="16553" spans="11:14" x14ac:dyDescent="0.3">
      <c r="K16553" s="1">
        <v>42736</v>
      </c>
      <c r="M16553" t="e">
        <v>#N/A</v>
      </c>
      <c r="N16553" s="1">
        <v>42370</v>
      </c>
    </row>
    <row r="16554" spans="11:14" x14ac:dyDescent="0.3">
      <c r="K16554" s="1">
        <v>42736</v>
      </c>
      <c r="M16554" t="e">
        <v>#N/A</v>
      </c>
      <c r="N16554" s="1">
        <v>42370</v>
      </c>
    </row>
    <row r="16555" spans="11:14" x14ac:dyDescent="0.3">
      <c r="K16555" s="1">
        <v>42736</v>
      </c>
      <c r="M16555" t="e">
        <v>#N/A</v>
      </c>
      <c r="N16555" s="1">
        <v>42370</v>
      </c>
    </row>
    <row r="16556" spans="11:14" x14ac:dyDescent="0.3">
      <c r="K16556" s="1">
        <v>42736</v>
      </c>
      <c r="M16556" t="e">
        <v>#N/A</v>
      </c>
      <c r="N16556" s="1">
        <v>42370</v>
      </c>
    </row>
    <row r="16557" spans="11:14" x14ac:dyDescent="0.3">
      <c r="K16557" s="1">
        <v>42736</v>
      </c>
      <c r="M16557" t="e">
        <v>#N/A</v>
      </c>
      <c r="N16557" s="1">
        <v>42370</v>
      </c>
    </row>
    <row r="16558" spans="11:14" x14ac:dyDescent="0.3">
      <c r="K16558" s="1">
        <v>42736</v>
      </c>
      <c r="M16558" t="e">
        <v>#N/A</v>
      </c>
      <c r="N16558" s="1">
        <v>42370</v>
      </c>
    </row>
    <row r="16559" spans="11:14" x14ac:dyDescent="0.3">
      <c r="K16559" s="1">
        <v>42736</v>
      </c>
      <c r="M16559" t="e">
        <v>#N/A</v>
      </c>
      <c r="N16559" s="1">
        <v>42370</v>
      </c>
    </row>
    <row r="16560" spans="11:14" x14ac:dyDescent="0.3">
      <c r="K16560" s="1">
        <v>42736</v>
      </c>
      <c r="M16560" t="e">
        <v>#N/A</v>
      </c>
      <c r="N16560" s="1">
        <v>42370</v>
      </c>
    </row>
    <row r="16561" spans="11:14" x14ac:dyDescent="0.3">
      <c r="K16561" s="1">
        <v>42736</v>
      </c>
      <c r="M16561" t="e">
        <v>#N/A</v>
      </c>
      <c r="N16561" s="1">
        <v>42370</v>
      </c>
    </row>
    <row r="16562" spans="11:14" x14ac:dyDescent="0.3">
      <c r="K16562" s="1">
        <v>42736</v>
      </c>
      <c r="M16562" t="e">
        <v>#N/A</v>
      </c>
      <c r="N16562" s="1">
        <v>42370</v>
      </c>
    </row>
    <row r="16563" spans="11:14" x14ac:dyDescent="0.3">
      <c r="K16563" s="1">
        <v>42736</v>
      </c>
      <c r="M16563" t="e">
        <v>#N/A</v>
      </c>
      <c r="N16563" s="1">
        <v>42370</v>
      </c>
    </row>
    <row r="16564" spans="11:14" x14ac:dyDescent="0.3">
      <c r="K16564" s="1">
        <v>42736</v>
      </c>
      <c r="M16564" t="e">
        <v>#N/A</v>
      </c>
      <c r="N16564" s="1">
        <v>42370</v>
      </c>
    </row>
    <row r="16565" spans="11:14" x14ac:dyDescent="0.3">
      <c r="K16565" s="1">
        <v>42736</v>
      </c>
      <c r="M16565" t="e">
        <v>#N/A</v>
      </c>
      <c r="N16565" s="1">
        <v>42370</v>
      </c>
    </row>
    <row r="16566" spans="11:14" x14ac:dyDescent="0.3">
      <c r="K16566" s="1">
        <v>42736</v>
      </c>
      <c r="M16566" t="e">
        <v>#N/A</v>
      </c>
      <c r="N16566" s="1">
        <v>42370</v>
      </c>
    </row>
    <row r="16567" spans="11:14" x14ac:dyDescent="0.3">
      <c r="K16567" s="1">
        <v>42736</v>
      </c>
      <c r="M16567" t="e">
        <v>#N/A</v>
      </c>
      <c r="N16567" s="1">
        <v>42370</v>
      </c>
    </row>
    <row r="16568" spans="11:14" x14ac:dyDescent="0.3">
      <c r="K16568" s="1">
        <v>42736</v>
      </c>
      <c r="M16568" t="e">
        <v>#N/A</v>
      </c>
      <c r="N16568" s="1">
        <v>42370</v>
      </c>
    </row>
    <row r="16569" spans="11:14" x14ac:dyDescent="0.3">
      <c r="K16569" s="1">
        <v>42736</v>
      </c>
      <c r="M16569" t="e">
        <v>#N/A</v>
      </c>
      <c r="N16569" s="1">
        <v>42370</v>
      </c>
    </row>
    <row r="16570" spans="11:14" x14ac:dyDescent="0.3">
      <c r="K16570" s="1">
        <v>42736</v>
      </c>
      <c r="M16570" t="e">
        <v>#N/A</v>
      </c>
      <c r="N16570" s="1">
        <v>42370</v>
      </c>
    </row>
    <row r="16571" spans="11:14" x14ac:dyDescent="0.3">
      <c r="K16571" s="1">
        <v>42736</v>
      </c>
      <c r="M16571" t="e">
        <v>#N/A</v>
      </c>
      <c r="N16571" s="1">
        <v>42370</v>
      </c>
    </row>
    <row r="16572" spans="11:14" x14ac:dyDescent="0.3">
      <c r="K16572" s="1">
        <v>42736</v>
      </c>
      <c r="M16572" t="e">
        <v>#N/A</v>
      </c>
      <c r="N16572" s="1">
        <v>42370</v>
      </c>
    </row>
    <row r="16573" spans="11:14" x14ac:dyDescent="0.3">
      <c r="K16573" s="1">
        <v>42736</v>
      </c>
      <c r="M16573" t="e">
        <v>#N/A</v>
      </c>
      <c r="N16573" s="1">
        <v>42370</v>
      </c>
    </row>
    <row r="16574" spans="11:14" x14ac:dyDescent="0.3">
      <c r="K16574" s="1">
        <v>42736</v>
      </c>
      <c r="M16574" t="e">
        <v>#N/A</v>
      </c>
      <c r="N16574" s="1">
        <v>42370</v>
      </c>
    </row>
    <row r="16575" spans="11:14" x14ac:dyDescent="0.3">
      <c r="K16575" s="1">
        <v>42736</v>
      </c>
      <c r="M16575" t="e">
        <v>#N/A</v>
      </c>
      <c r="N16575" s="1">
        <v>42370</v>
      </c>
    </row>
    <row r="16576" spans="11:14" x14ac:dyDescent="0.3">
      <c r="K16576" s="1">
        <v>42736</v>
      </c>
      <c r="M16576" t="e">
        <v>#N/A</v>
      </c>
      <c r="N16576" s="1">
        <v>42370</v>
      </c>
    </row>
    <row r="16577" spans="11:14" x14ac:dyDescent="0.3">
      <c r="K16577" s="1">
        <v>42736</v>
      </c>
      <c r="M16577" t="e">
        <v>#N/A</v>
      </c>
      <c r="N16577" s="1">
        <v>42370</v>
      </c>
    </row>
    <row r="16578" spans="11:14" x14ac:dyDescent="0.3">
      <c r="K16578" s="1">
        <v>42736</v>
      </c>
      <c r="M16578" t="e">
        <v>#N/A</v>
      </c>
      <c r="N16578" s="1">
        <v>42370</v>
      </c>
    </row>
    <row r="16579" spans="11:14" x14ac:dyDescent="0.3">
      <c r="K16579" s="1">
        <v>42736</v>
      </c>
      <c r="M16579" t="e">
        <v>#N/A</v>
      </c>
      <c r="N16579" s="1">
        <v>42370</v>
      </c>
    </row>
    <row r="16580" spans="11:14" x14ac:dyDescent="0.3">
      <c r="K16580" s="1">
        <v>42736</v>
      </c>
      <c r="M16580" t="e">
        <v>#N/A</v>
      </c>
      <c r="N16580" s="1">
        <v>42370</v>
      </c>
    </row>
    <row r="16581" spans="11:14" x14ac:dyDescent="0.3">
      <c r="K16581" s="1">
        <v>42736</v>
      </c>
      <c r="M16581" t="e">
        <v>#N/A</v>
      </c>
      <c r="N16581" s="1">
        <v>42370</v>
      </c>
    </row>
    <row r="16582" spans="11:14" x14ac:dyDescent="0.3">
      <c r="K16582" s="1">
        <v>42736</v>
      </c>
      <c r="M16582" t="e">
        <v>#N/A</v>
      </c>
      <c r="N16582" s="1">
        <v>42370</v>
      </c>
    </row>
    <row r="16583" spans="11:14" x14ac:dyDescent="0.3">
      <c r="K16583" s="1">
        <v>42736</v>
      </c>
      <c r="M16583" t="e">
        <v>#N/A</v>
      </c>
      <c r="N16583" s="1">
        <v>42370</v>
      </c>
    </row>
    <row r="16584" spans="11:14" x14ac:dyDescent="0.3">
      <c r="K16584" s="1">
        <v>42736</v>
      </c>
      <c r="M16584" t="e">
        <v>#N/A</v>
      </c>
      <c r="N16584" s="1">
        <v>42370</v>
      </c>
    </row>
    <row r="16585" spans="11:14" x14ac:dyDescent="0.3">
      <c r="K16585" s="1">
        <v>42736</v>
      </c>
      <c r="M16585" t="e">
        <v>#N/A</v>
      </c>
      <c r="N16585" s="1">
        <v>42370</v>
      </c>
    </row>
    <row r="16586" spans="11:14" x14ac:dyDescent="0.3">
      <c r="K16586" s="1">
        <v>42826</v>
      </c>
      <c r="M16586" t="e">
        <v>#N/A</v>
      </c>
      <c r="N16586" s="1">
        <v>42370</v>
      </c>
    </row>
    <row r="16587" spans="11:14" x14ac:dyDescent="0.3">
      <c r="K16587" s="1">
        <v>42826</v>
      </c>
      <c r="M16587" t="e">
        <v>#N/A</v>
      </c>
      <c r="N16587" s="1">
        <v>42370</v>
      </c>
    </row>
    <row r="16588" spans="11:14" x14ac:dyDescent="0.3">
      <c r="K16588" s="1">
        <v>42826</v>
      </c>
      <c r="M16588" t="e">
        <v>#N/A</v>
      </c>
      <c r="N16588" s="1">
        <v>42370</v>
      </c>
    </row>
    <row r="16589" spans="11:14" x14ac:dyDescent="0.3">
      <c r="K16589" s="1">
        <v>42826</v>
      </c>
      <c r="M16589" t="e">
        <v>#N/A</v>
      </c>
      <c r="N16589" s="1">
        <v>42370</v>
      </c>
    </row>
    <row r="16590" spans="11:14" x14ac:dyDescent="0.3">
      <c r="K16590" s="1">
        <v>42826</v>
      </c>
      <c r="M16590" t="e">
        <v>#N/A</v>
      </c>
      <c r="N16590" s="1">
        <v>42370</v>
      </c>
    </row>
    <row r="16591" spans="11:14" x14ac:dyDescent="0.3">
      <c r="K16591" s="1">
        <v>42826</v>
      </c>
      <c r="M16591" t="e">
        <v>#N/A</v>
      </c>
      <c r="N16591" s="1">
        <v>42370</v>
      </c>
    </row>
    <row r="16592" spans="11:14" x14ac:dyDescent="0.3">
      <c r="K16592" s="1">
        <v>42826</v>
      </c>
      <c r="M16592" t="e">
        <v>#N/A</v>
      </c>
      <c r="N16592" s="1">
        <v>42370</v>
      </c>
    </row>
    <row r="16593" spans="11:14" x14ac:dyDescent="0.3">
      <c r="K16593" s="1">
        <v>42826</v>
      </c>
      <c r="M16593" t="e">
        <v>#N/A</v>
      </c>
      <c r="N16593" s="1">
        <v>42370</v>
      </c>
    </row>
    <row r="16594" spans="11:14" x14ac:dyDescent="0.3">
      <c r="K16594" s="1">
        <v>42826</v>
      </c>
      <c r="M16594" t="e">
        <v>#N/A</v>
      </c>
      <c r="N16594" s="1">
        <v>42370</v>
      </c>
    </row>
    <row r="16595" spans="11:14" x14ac:dyDescent="0.3">
      <c r="K16595" s="1">
        <v>42826</v>
      </c>
      <c r="M16595" t="e">
        <v>#N/A</v>
      </c>
      <c r="N16595" s="1">
        <v>42370</v>
      </c>
    </row>
    <row r="16596" spans="11:14" x14ac:dyDescent="0.3">
      <c r="K16596" s="1">
        <v>42826</v>
      </c>
      <c r="M16596" t="e">
        <v>#N/A</v>
      </c>
      <c r="N16596" s="1">
        <v>42370</v>
      </c>
    </row>
    <row r="16597" spans="11:14" x14ac:dyDescent="0.3">
      <c r="K16597" s="1">
        <v>42826</v>
      </c>
      <c r="M16597" t="e">
        <v>#N/A</v>
      </c>
      <c r="N16597" s="1">
        <v>42370</v>
      </c>
    </row>
    <row r="16598" spans="11:14" x14ac:dyDescent="0.3">
      <c r="K16598" s="1">
        <v>42826</v>
      </c>
      <c r="M16598" t="e">
        <v>#N/A</v>
      </c>
      <c r="N16598" s="1">
        <v>42370</v>
      </c>
    </row>
    <row r="16599" spans="11:14" x14ac:dyDescent="0.3">
      <c r="K16599" s="1">
        <v>42826</v>
      </c>
      <c r="M16599" t="e">
        <v>#N/A</v>
      </c>
      <c r="N16599" s="1">
        <v>42370</v>
      </c>
    </row>
    <row r="16600" spans="11:14" x14ac:dyDescent="0.3">
      <c r="K16600" s="1">
        <v>42826</v>
      </c>
      <c r="M16600" t="e">
        <v>#N/A</v>
      </c>
      <c r="N16600" s="1">
        <v>42370</v>
      </c>
    </row>
    <row r="16601" spans="11:14" x14ac:dyDescent="0.3">
      <c r="K16601" s="1">
        <v>42826</v>
      </c>
      <c r="M16601" t="e">
        <v>#N/A</v>
      </c>
      <c r="N16601" s="1">
        <v>42370</v>
      </c>
    </row>
    <row r="16602" spans="11:14" x14ac:dyDescent="0.3">
      <c r="K16602" s="1">
        <v>42826</v>
      </c>
      <c r="M16602" t="e">
        <v>#N/A</v>
      </c>
      <c r="N16602" s="1">
        <v>42370</v>
      </c>
    </row>
    <row r="16603" spans="11:14" x14ac:dyDescent="0.3">
      <c r="K16603" s="1">
        <v>42826</v>
      </c>
      <c r="M16603" t="e">
        <v>#N/A</v>
      </c>
      <c r="N16603" s="1">
        <v>42370</v>
      </c>
    </row>
    <row r="16604" spans="11:14" x14ac:dyDescent="0.3">
      <c r="K16604" s="1">
        <v>42826</v>
      </c>
      <c r="M16604" t="e">
        <v>#N/A</v>
      </c>
      <c r="N16604" s="1">
        <v>42370</v>
      </c>
    </row>
    <row r="16605" spans="11:14" x14ac:dyDescent="0.3">
      <c r="K16605" s="1">
        <v>42826</v>
      </c>
      <c r="M16605" t="e">
        <v>#N/A</v>
      </c>
      <c r="N16605" s="1">
        <v>42370</v>
      </c>
    </row>
    <row r="16606" spans="11:14" x14ac:dyDescent="0.3">
      <c r="K16606" s="1">
        <v>42826</v>
      </c>
      <c r="M16606" t="e">
        <v>#N/A</v>
      </c>
      <c r="N16606" s="1">
        <v>42370</v>
      </c>
    </row>
    <row r="16607" spans="11:14" x14ac:dyDescent="0.3">
      <c r="K16607" s="1">
        <v>42826</v>
      </c>
      <c r="M16607" t="e">
        <v>#N/A</v>
      </c>
      <c r="N16607" s="1">
        <v>42370</v>
      </c>
    </row>
    <row r="16608" spans="11:14" x14ac:dyDescent="0.3">
      <c r="K16608" s="1">
        <v>42826</v>
      </c>
      <c r="M16608" t="e">
        <v>#N/A</v>
      </c>
      <c r="N16608" s="1">
        <v>42370</v>
      </c>
    </row>
    <row r="16609" spans="11:14" x14ac:dyDescent="0.3">
      <c r="K16609" s="1">
        <v>42826</v>
      </c>
      <c r="M16609" t="e">
        <v>#N/A</v>
      </c>
      <c r="N16609" s="1">
        <v>42370</v>
      </c>
    </row>
    <row r="16610" spans="11:14" x14ac:dyDescent="0.3">
      <c r="K16610" s="1">
        <v>42826</v>
      </c>
      <c r="M16610" t="e">
        <v>#N/A</v>
      </c>
      <c r="N16610" s="1">
        <v>42370</v>
      </c>
    </row>
    <row r="16611" spans="11:14" x14ac:dyDescent="0.3">
      <c r="K16611" s="1">
        <v>42826</v>
      </c>
      <c r="M16611" t="e">
        <v>#N/A</v>
      </c>
      <c r="N16611" s="1">
        <v>42370</v>
      </c>
    </row>
    <row r="16612" spans="11:14" x14ac:dyDescent="0.3">
      <c r="K16612" s="1">
        <v>42826</v>
      </c>
      <c r="M16612" t="e">
        <v>#N/A</v>
      </c>
      <c r="N16612" s="1">
        <v>42370</v>
      </c>
    </row>
    <row r="16613" spans="11:14" x14ac:dyDescent="0.3">
      <c r="K16613" s="1">
        <v>42826</v>
      </c>
      <c r="M16613" t="e">
        <v>#N/A</v>
      </c>
      <c r="N16613" s="1">
        <v>42370</v>
      </c>
    </row>
    <row r="16614" spans="11:14" x14ac:dyDescent="0.3">
      <c r="K16614" s="1">
        <v>42826</v>
      </c>
      <c r="M16614" t="e">
        <v>#N/A</v>
      </c>
      <c r="N16614" s="1">
        <v>42370</v>
      </c>
    </row>
    <row r="16615" spans="11:14" x14ac:dyDescent="0.3">
      <c r="K16615" s="1">
        <v>42826</v>
      </c>
      <c r="M16615" t="e">
        <v>#N/A</v>
      </c>
      <c r="N16615" s="1">
        <v>42370</v>
      </c>
    </row>
    <row r="16616" spans="11:14" x14ac:dyDescent="0.3">
      <c r="K16616" s="1">
        <v>42826</v>
      </c>
      <c r="M16616" t="e">
        <v>#N/A</v>
      </c>
      <c r="N16616" s="1">
        <v>42370</v>
      </c>
    </row>
    <row r="16617" spans="11:14" x14ac:dyDescent="0.3">
      <c r="K16617" s="1">
        <v>42826</v>
      </c>
      <c r="M16617" t="e">
        <v>#N/A</v>
      </c>
      <c r="N16617" s="1">
        <v>42370</v>
      </c>
    </row>
    <row r="16618" spans="11:14" x14ac:dyDescent="0.3">
      <c r="K16618" s="1">
        <v>42826</v>
      </c>
      <c r="M16618" t="e">
        <v>#N/A</v>
      </c>
      <c r="N16618" s="1">
        <v>42370</v>
      </c>
    </row>
    <row r="16619" spans="11:14" x14ac:dyDescent="0.3">
      <c r="K16619" s="1">
        <v>42826</v>
      </c>
      <c r="M16619" t="e">
        <v>#N/A</v>
      </c>
      <c r="N16619" s="1">
        <v>42370</v>
      </c>
    </row>
    <row r="16620" spans="11:14" x14ac:dyDescent="0.3">
      <c r="K16620" s="1">
        <v>42826</v>
      </c>
      <c r="M16620" t="e">
        <v>#N/A</v>
      </c>
      <c r="N16620" s="1">
        <v>42370</v>
      </c>
    </row>
    <row r="16621" spans="11:14" x14ac:dyDescent="0.3">
      <c r="K16621" s="1">
        <v>42826</v>
      </c>
      <c r="M16621" t="e">
        <v>#N/A</v>
      </c>
      <c r="N16621" s="1">
        <v>42370</v>
      </c>
    </row>
    <row r="16622" spans="11:14" x14ac:dyDescent="0.3">
      <c r="K16622" s="1">
        <v>42826</v>
      </c>
      <c r="M16622" t="e">
        <v>#N/A</v>
      </c>
      <c r="N16622" s="1">
        <v>42370</v>
      </c>
    </row>
    <row r="16623" spans="11:14" x14ac:dyDescent="0.3">
      <c r="K16623" s="1">
        <v>42826</v>
      </c>
      <c r="M16623" t="e">
        <v>#N/A</v>
      </c>
      <c r="N16623" s="1">
        <v>42370</v>
      </c>
    </row>
    <row r="16624" spans="11:14" x14ac:dyDescent="0.3">
      <c r="K16624" s="1">
        <v>42826</v>
      </c>
      <c r="M16624" t="e">
        <v>#N/A</v>
      </c>
      <c r="N16624" s="1">
        <v>42370</v>
      </c>
    </row>
    <row r="16625" spans="11:14" x14ac:dyDescent="0.3">
      <c r="K16625" s="1">
        <v>42826</v>
      </c>
      <c r="M16625" t="e">
        <v>#N/A</v>
      </c>
      <c r="N16625" s="1">
        <v>42370</v>
      </c>
    </row>
    <row r="16626" spans="11:14" x14ac:dyDescent="0.3">
      <c r="K16626" s="1">
        <v>42826</v>
      </c>
      <c r="M16626" t="e">
        <v>#N/A</v>
      </c>
      <c r="N16626" s="1">
        <v>42370</v>
      </c>
    </row>
    <row r="16627" spans="11:14" x14ac:dyDescent="0.3">
      <c r="K16627" s="1">
        <v>42826</v>
      </c>
      <c r="M16627" t="e">
        <v>#N/A</v>
      </c>
      <c r="N16627" s="1">
        <v>42370</v>
      </c>
    </row>
    <row r="16628" spans="11:14" x14ac:dyDescent="0.3">
      <c r="K16628" s="1">
        <v>42826</v>
      </c>
      <c r="M16628" t="e">
        <v>#N/A</v>
      </c>
      <c r="N16628" s="1">
        <v>42370</v>
      </c>
    </row>
    <row r="16629" spans="11:14" x14ac:dyDescent="0.3">
      <c r="K16629" s="1">
        <v>42826</v>
      </c>
      <c r="M16629" t="e">
        <v>#N/A</v>
      </c>
      <c r="N16629" s="1">
        <v>42370</v>
      </c>
    </row>
    <row r="16630" spans="11:14" x14ac:dyDescent="0.3">
      <c r="K16630" s="1">
        <v>42826</v>
      </c>
      <c r="M16630" t="e">
        <v>#N/A</v>
      </c>
      <c r="N16630" s="1">
        <v>42370</v>
      </c>
    </row>
    <row r="16631" spans="11:14" x14ac:dyDescent="0.3">
      <c r="K16631" s="1">
        <v>42826</v>
      </c>
      <c r="M16631" t="e">
        <v>#N/A</v>
      </c>
      <c r="N16631" s="1">
        <v>42370</v>
      </c>
    </row>
    <row r="16632" spans="11:14" x14ac:dyDescent="0.3">
      <c r="K16632" s="1">
        <v>42826</v>
      </c>
      <c r="M16632" t="e">
        <v>#N/A</v>
      </c>
      <c r="N16632" s="1">
        <v>42370</v>
      </c>
    </row>
    <row r="16633" spans="11:14" x14ac:dyDescent="0.3">
      <c r="K16633" s="1">
        <v>42826</v>
      </c>
      <c r="M16633" t="e">
        <v>#N/A</v>
      </c>
      <c r="N16633" s="1">
        <v>42370</v>
      </c>
    </row>
    <row r="16634" spans="11:14" x14ac:dyDescent="0.3">
      <c r="K16634" s="1">
        <v>42826</v>
      </c>
      <c r="M16634" t="e">
        <v>#N/A</v>
      </c>
      <c r="N16634" s="1">
        <v>42370</v>
      </c>
    </row>
    <row r="16635" spans="11:14" x14ac:dyDescent="0.3">
      <c r="K16635" s="1">
        <v>42826</v>
      </c>
      <c r="M16635" t="e">
        <v>#N/A</v>
      </c>
      <c r="N16635" s="1">
        <v>42370</v>
      </c>
    </row>
    <row r="16636" spans="11:14" x14ac:dyDescent="0.3">
      <c r="K16636" s="1">
        <v>42826</v>
      </c>
      <c r="M16636" t="e">
        <v>#N/A</v>
      </c>
      <c r="N16636" s="1">
        <v>42370</v>
      </c>
    </row>
    <row r="16637" spans="11:14" x14ac:dyDescent="0.3">
      <c r="K16637" s="1">
        <v>42826</v>
      </c>
      <c r="M16637" t="e">
        <v>#N/A</v>
      </c>
      <c r="N16637" s="1">
        <v>42370</v>
      </c>
    </row>
    <row r="16638" spans="11:14" x14ac:dyDescent="0.3">
      <c r="K16638" s="1">
        <v>42826</v>
      </c>
      <c r="M16638" t="e">
        <v>#N/A</v>
      </c>
      <c r="N16638" s="1">
        <v>42370</v>
      </c>
    </row>
    <row r="16639" spans="11:14" x14ac:dyDescent="0.3">
      <c r="K16639" s="1">
        <v>42826</v>
      </c>
      <c r="M16639" t="e">
        <v>#N/A</v>
      </c>
      <c r="N16639" s="1">
        <v>42461</v>
      </c>
    </row>
    <row r="16640" spans="11:14" x14ac:dyDescent="0.3">
      <c r="K16640" s="1">
        <v>42826</v>
      </c>
      <c r="M16640" t="e">
        <v>#N/A</v>
      </c>
      <c r="N16640" s="1">
        <v>42461</v>
      </c>
    </row>
    <row r="16641" spans="11:14" x14ac:dyDescent="0.3">
      <c r="K16641" s="1">
        <v>42826</v>
      </c>
      <c r="M16641" t="e">
        <v>#N/A</v>
      </c>
      <c r="N16641" s="1">
        <v>42461</v>
      </c>
    </row>
    <row r="16642" spans="11:14" x14ac:dyDescent="0.3">
      <c r="K16642" s="1">
        <v>42826</v>
      </c>
      <c r="M16642" t="e">
        <v>#N/A</v>
      </c>
      <c r="N16642" s="1">
        <v>42461</v>
      </c>
    </row>
    <row r="16643" spans="11:14" x14ac:dyDescent="0.3">
      <c r="K16643" s="1">
        <v>42826</v>
      </c>
      <c r="M16643" t="e">
        <v>#N/A</v>
      </c>
      <c r="N16643" s="1">
        <v>42461</v>
      </c>
    </row>
    <row r="16644" spans="11:14" x14ac:dyDescent="0.3">
      <c r="K16644" s="1">
        <v>42826</v>
      </c>
      <c r="M16644" t="e">
        <v>#N/A</v>
      </c>
      <c r="N16644" s="1">
        <v>42461</v>
      </c>
    </row>
    <row r="16645" spans="11:14" x14ac:dyDescent="0.3">
      <c r="K16645" s="1">
        <v>42826</v>
      </c>
      <c r="M16645" t="e">
        <v>#N/A</v>
      </c>
      <c r="N16645" s="1">
        <v>42461</v>
      </c>
    </row>
    <row r="16646" spans="11:14" x14ac:dyDescent="0.3">
      <c r="K16646" s="1">
        <v>42826</v>
      </c>
      <c r="M16646" t="e">
        <v>#N/A</v>
      </c>
      <c r="N16646" s="1">
        <v>42461</v>
      </c>
    </row>
    <row r="16647" spans="11:14" x14ac:dyDescent="0.3">
      <c r="K16647" s="1">
        <v>42826</v>
      </c>
      <c r="M16647" t="e">
        <v>#N/A</v>
      </c>
      <c r="N16647" s="1">
        <v>42461</v>
      </c>
    </row>
    <row r="16648" spans="11:14" x14ac:dyDescent="0.3">
      <c r="K16648" s="1">
        <v>42826</v>
      </c>
      <c r="M16648" t="e">
        <v>#N/A</v>
      </c>
      <c r="N16648" s="1">
        <v>42461</v>
      </c>
    </row>
    <row r="16649" spans="11:14" x14ac:dyDescent="0.3">
      <c r="K16649" s="1">
        <v>42826</v>
      </c>
      <c r="M16649" t="e">
        <v>#N/A</v>
      </c>
      <c r="N16649" s="1">
        <v>42461</v>
      </c>
    </row>
    <row r="16650" spans="11:14" x14ac:dyDescent="0.3">
      <c r="K16650" s="1">
        <v>42826</v>
      </c>
      <c r="M16650" t="e">
        <v>#N/A</v>
      </c>
      <c r="N16650" s="1">
        <v>42461</v>
      </c>
    </row>
    <row r="16651" spans="11:14" x14ac:dyDescent="0.3">
      <c r="K16651" s="1">
        <v>42826</v>
      </c>
      <c r="M16651" t="e">
        <v>#N/A</v>
      </c>
      <c r="N16651" s="1">
        <v>42461</v>
      </c>
    </row>
    <row r="16652" spans="11:14" x14ac:dyDescent="0.3">
      <c r="K16652" s="1">
        <v>42826</v>
      </c>
      <c r="M16652" t="e">
        <v>#N/A</v>
      </c>
      <c r="N16652" s="1">
        <v>42461</v>
      </c>
    </row>
    <row r="16653" spans="11:14" x14ac:dyDescent="0.3">
      <c r="K16653" s="1">
        <v>42826</v>
      </c>
      <c r="M16653" t="e">
        <v>#N/A</v>
      </c>
      <c r="N16653" s="1">
        <v>42461</v>
      </c>
    </row>
    <row r="16654" spans="11:14" x14ac:dyDescent="0.3">
      <c r="K16654" s="1">
        <v>42826</v>
      </c>
      <c r="M16654" t="e">
        <v>#N/A</v>
      </c>
      <c r="N16654" s="1">
        <v>42461</v>
      </c>
    </row>
    <row r="16655" spans="11:14" x14ac:dyDescent="0.3">
      <c r="K16655" s="1">
        <v>42826</v>
      </c>
      <c r="M16655" t="e">
        <v>#N/A</v>
      </c>
      <c r="N16655" s="1">
        <v>42461</v>
      </c>
    </row>
    <row r="16656" spans="11:14" x14ac:dyDescent="0.3">
      <c r="K16656" s="1">
        <v>42826</v>
      </c>
      <c r="M16656" t="e">
        <v>#N/A</v>
      </c>
      <c r="N16656" s="1">
        <v>42461</v>
      </c>
    </row>
    <row r="16657" spans="11:14" x14ac:dyDescent="0.3">
      <c r="K16657" s="1">
        <v>42826</v>
      </c>
      <c r="M16657" t="e">
        <v>#N/A</v>
      </c>
      <c r="N16657" s="1">
        <v>42461</v>
      </c>
    </row>
    <row r="16658" spans="11:14" x14ac:dyDescent="0.3">
      <c r="K16658" s="1">
        <v>42826</v>
      </c>
      <c r="M16658" t="e">
        <v>#N/A</v>
      </c>
      <c r="N16658" s="1">
        <v>42461</v>
      </c>
    </row>
    <row r="16659" spans="11:14" x14ac:dyDescent="0.3">
      <c r="K16659" s="1">
        <v>42826</v>
      </c>
      <c r="M16659" t="e">
        <v>#N/A</v>
      </c>
      <c r="N16659" s="1">
        <v>42461</v>
      </c>
    </row>
    <row r="16660" spans="11:14" x14ac:dyDescent="0.3">
      <c r="K16660" s="1">
        <v>42826</v>
      </c>
      <c r="M16660" t="e">
        <v>#N/A</v>
      </c>
      <c r="N16660" s="1">
        <v>42461</v>
      </c>
    </row>
    <row r="16661" spans="11:14" x14ac:dyDescent="0.3">
      <c r="K16661" s="1">
        <v>42826</v>
      </c>
      <c r="M16661" t="e">
        <v>#N/A</v>
      </c>
      <c r="N16661" s="1">
        <v>42461</v>
      </c>
    </row>
    <row r="16662" spans="11:14" x14ac:dyDescent="0.3">
      <c r="K16662" s="1">
        <v>42826</v>
      </c>
      <c r="M16662" t="e">
        <v>#N/A</v>
      </c>
      <c r="N16662" s="1">
        <v>42461</v>
      </c>
    </row>
    <row r="16663" spans="11:14" x14ac:dyDescent="0.3">
      <c r="K16663" s="1">
        <v>42826</v>
      </c>
      <c r="M16663" t="e">
        <v>#N/A</v>
      </c>
      <c r="N16663" s="1">
        <v>42461</v>
      </c>
    </row>
    <row r="16664" spans="11:14" x14ac:dyDescent="0.3">
      <c r="K16664" s="1">
        <v>42826</v>
      </c>
      <c r="M16664" t="e">
        <v>#N/A</v>
      </c>
      <c r="N16664" s="1">
        <v>42461</v>
      </c>
    </row>
    <row r="16665" spans="11:14" x14ac:dyDescent="0.3">
      <c r="K16665" s="1">
        <v>42826</v>
      </c>
      <c r="M16665" t="e">
        <v>#N/A</v>
      </c>
      <c r="N16665" s="1">
        <v>42461</v>
      </c>
    </row>
    <row r="16666" spans="11:14" x14ac:dyDescent="0.3">
      <c r="K16666" s="1">
        <v>42826</v>
      </c>
      <c r="M16666" t="e">
        <v>#N/A</v>
      </c>
      <c r="N16666" s="1">
        <v>42461</v>
      </c>
    </row>
    <row r="16667" spans="11:14" x14ac:dyDescent="0.3">
      <c r="K16667" s="1">
        <v>42826</v>
      </c>
      <c r="M16667" t="e">
        <v>#N/A</v>
      </c>
      <c r="N16667" s="1">
        <v>42461</v>
      </c>
    </row>
    <row r="16668" spans="11:14" x14ac:dyDescent="0.3">
      <c r="K16668" s="1">
        <v>42826</v>
      </c>
      <c r="M16668" t="e">
        <v>#N/A</v>
      </c>
      <c r="N16668" s="1">
        <v>42461</v>
      </c>
    </row>
    <row r="16669" spans="11:14" x14ac:dyDescent="0.3">
      <c r="K16669" s="1">
        <v>42826</v>
      </c>
      <c r="M16669" t="e">
        <v>#N/A</v>
      </c>
      <c r="N16669" s="1">
        <v>42461</v>
      </c>
    </row>
    <row r="16670" spans="11:14" x14ac:dyDescent="0.3">
      <c r="K16670" s="1">
        <v>42826</v>
      </c>
      <c r="M16670" t="e">
        <v>#N/A</v>
      </c>
      <c r="N16670" s="1">
        <v>42461</v>
      </c>
    </row>
    <row r="16671" spans="11:14" x14ac:dyDescent="0.3">
      <c r="K16671" s="1">
        <v>42826</v>
      </c>
      <c r="M16671" t="e">
        <v>#N/A</v>
      </c>
      <c r="N16671" s="1">
        <v>42461</v>
      </c>
    </row>
    <row r="16672" spans="11:14" x14ac:dyDescent="0.3">
      <c r="K16672" s="1">
        <v>42826</v>
      </c>
      <c r="M16672" t="e">
        <v>#N/A</v>
      </c>
      <c r="N16672" s="1">
        <v>42461</v>
      </c>
    </row>
    <row r="16673" spans="11:14" x14ac:dyDescent="0.3">
      <c r="K16673" s="1">
        <v>42826</v>
      </c>
      <c r="M16673" t="e">
        <v>#N/A</v>
      </c>
      <c r="N16673" s="1">
        <v>42461</v>
      </c>
    </row>
    <row r="16674" spans="11:14" x14ac:dyDescent="0.3">
      <c r="K16674" s="1">
        <v>42826</v>
      </c>
      <c r="M16674" t="e">
        <v>#N/A</v>
      </c>
      <c r="N16674" s="1">
        <v>42461</v>
      </c>
    </row>
    <row r="16675" spans="11:14" x14ac:dyDescent="0.3">
      <c r="K16675" s="1">
        <v>42826</v>
      </c>
      <c r="M16675" t="e">
        <v>#N/A</v>
      </c>
      <c r="N16675" s="1">
        <v>42461</v>
      </c>
    </row>
    <row r="16676" spans="11:14" x14ac:dyDescent="0.3">
      <c r="K16676" s="1">
        <v>42826</v>
      </c>
      <c r="M16676" t="e">
        <v>#N/A</v>
      </c>
      <c r="N16676" s="1">
        <v>42461</v>
      </c>
    </row>
    <row r="16677" spans="11:14" x14ac:dyDescent="0.3">
      <c r="K16677" s="1">
        <v>42826</v>
      </c>
      <c r="M16677" t="e">
        <v>#N/A</v>
      </c>
      <c r="N16677" s="1">
        <v>42461</v>
      </c>
    </row>
    <row r="16678" spans="11:14" x14ac:dyDescent="0.3">
      <c r="K16678" s="1">
        <v>42826</v>
      </c>
      <c r="M16678" t="e">
        <v>#N/A</v>
      </c>
      <c r="N16678" s="1">
        <v>42461</v>
      </c>
    </row>
    <row r="16679" spans="11:14" x14ac:dyDescent="0.3">
      <c r="K16679" s="1">
        <v>42826</v>
      </c>
      <c r="M16679" t="e">
        <v>#N/A</v>
      </c>
      <c r="N16679" s="1">
        <v>42461</v>
      </c>
    </row>
    <row r="16680" spans="11:14" x14ac:dyDescent="0.3">
      <c r="K16680" s="1">
        <v>42826</v>
      </c>
      <c r="M16680" t="e">
        <v>#N/A</v>
      </c>
      <c r="N16680" s="1">
        <v>42461</v>
      </c>
    </row>
    <row r="16681" spans="11:14" x14ac:dyDescent="0.3">
      <c r="K16681" s="1">
        <v>42826</v>
      </c>
      <c r="M16681" t="e">
        <v>#N/A</v>
      </c>
      <c r="N16681" s="1">
        <v>42461</v>
      </c>
    </row>
    <row r="16682" spans="11:14" x14ac:dyDescent="0.3">
      <c r="K16682" s="1">
        <v>42826</v>
      </c>
      <c r="M16682" t="e">
        <v>#N/A</v>
      </c>
      <c r="N16682" s="1">
        <v>42461</v>
      </c>
    </row>
    <row r="16683" spans="11:14" x14ac:dyDescent="0.3">
      <c r="K16683" s="1">
        <v>42826</v>
      </c>
      <c r="M16683" t="e">
        <v>#N/A</v>
      </c>
      <c r="N16683" s="1">
        <v>42461</v>
      </c>
    </row>
    <row r="16684" spans="11:14" x14ac:dyDescent="0.3">
      <c r="K16684" s="1">
        <v>42826</v>
      </c>
      <c r="M16684" t="e">
        <v>#N/A</v>
      </c>
      <c r="N16684" s="1">
        <v>42461</v>
      </c>
    </row>
    <row r="16685" spans="11:14" x14ac:dyDescent="0.3">
      <c r="K16685" s="1">
        <v>42826</v>
      </c>
      <c r="M16685" t="e">
        <v>#N/A</v>
      </c>
      <c r="N16685" s="1">
        <v>42461</v>
      </c>
    </row>
    <row r="16686" spans="11:14" x14ac:dyDescent="0.3">
      <c r="K16686" s="1">
        <v>42826</v>
      </c>
      <c r="M16686" t="e">
        <v>#N/A</v>
      </c>
      <c r="N16686" s="1">
        <v>42461</v>
      </c>
    </row>
    <row r="16687" spans="11:14" x14ac:dyDescent="0.3">
      <c r="K16687" s="1">
        <v>42826</v>
      </c>
      <c r="M16687" t="e">
        <v>#N/A</v>
      </c>
      <c r="N16687" s="1">
        <v>42461</v>
      </c>
    </row>
    <row r="16688" spans="11:14" x14ac:dyDescent="0.3">
      <c r="K16688" s="1">
        <v>42826</v>
      </c>
      <c r="M16688" t="e">
        <v>#N/A</v>
      </c>
      <c r="N16688" s="1">
        <v>42461</v>
      </c>
    </row>
    <row r="16689" spans="11:14" x14ac:dyDescent="0.3">
      <c r="K16689" s="1">
        <v>42826</v>
      </c>
      <c r="M16689" t="e">
        <v>#N/A</v>
      </c>
      <c r="N16689" s="1">
        <v>42461</v>
      </c>
    </row>
    <row r="16690" spans="11:14" x14ac:dyDescent="0.3">
      <c r="K16690" s="1">
        <v>42826</v>
      </c>
      <c r="M16690" t="e">
        <v>#N/A</v>
      </c>
      <c r="N16690" s="1">
        <v>42461</v>
      </c>
    </row>
    <row r="16691" spans="11:14" x14ac:dyDescent="0.3">
      <c r="K16691" s="1">
        <v>42826</v>
      </c>
      <c r="M16691" t="e">
        <v>#N/A</v>
      </c>
      <c r="N16691" s="1">
        <v>42461</v>
      </c>
    </row>
    <row r="16692" spans="11:14" x14ac:dyDescent="0.3">
      <c r="K16692" s="1">
        <v>42826</v>
      </c>
      <c r="M16692" t="e">
        <v>#N/A</v>
      </c>
      <c r="N16692" s="1">
        <v>42461</v>
      </c>
    </row>
    <row r="16693" spans="11:14" x14ac:dyDescent="0.3">
      <c r="K16693" s="1">
        <v>42826</v>
      </c>
      <c r="M16693" t="e">
        <v>#N/A</v>
      </c>
      <c r="N16693" s="1">
        <v>42461</v>
      </c>
    </row>
    <row r="16694" spans="11:14" x14ac:dyDescent="0.3">
      <c r="K16694" s="1">
        <v>42826</v>
      </c>
      <c r="M16694" t="e">
        <v>#N/A</v>
      </c>
      <c r="N16694" s="1">
        <v>42461</v>
      </c>
    </row>
    <row r="16695" spans="11:14" x14ac:dyDescent="0.3">
      <c r="K16695" s="1">
        <v>42826</v>
      </c>
      <c r="M16695" t="e">
        <v>#N/A</v>
      </c>
      <c r="N16695" s="1">
        <v>42461</v>
      </c>
    </row>
    <row r="16696" spans="11:14" x14ac:dyDescent="0.3">
      <c r="K16696" s="1">
        <v>42826</v>
      </c>
      <c r="M16696" t="e">
        <v>#N/A</v>
      </c>
      <c r="N16696" s="1">
        <v>42461</v>
      </c>
    </row>
    <row r="16697" spans="11:14" x14ac:dyDescent="0.3">
      <c r="K16697" s="1">
        <v>42826</v>
      </c>
      <c r="M16697" t="e">
        <v>#N/A</v>
      </c>
      <c r="N16697" s="1">
        <v>42461</v>
      </c>
    </row>
    <row r="16698" spans="11:14" x14ac:dyDescent="0.3">
      <c r="K16698" s="1">
        <v>42826</v>
      </c>
      <c r="M16698" t="e">
        <v>#N/A</v>
      </c>
      <c r="N16698" s="1">
        <v>42461</v>
      </c>
    </row>
    <row r="16699" spans="11:14" x14ac:dyDescent="0.3">
      <c r="K16699" s="1">
        <v>42826</v>
      </c>
      <c r="M16699" t="e">
        <v>#N/A</v>
      </c>
      <c r="N16699" s="1">
        <v>42461</v>
      </c>
    </row>
    <row r="16700" spans="11:14" x14ac:dyDescent="0.3">
      <c r="K16700" s="1">
        <v>42826</v>
      </c>
      <c r="M16700" t="e">
        <v>#N/A</v>
      </c>
      <c r="N16700" s="1">
        <v>42461</v>
      </c>
    </row>
    <row r="16701" spans="11:14" x14ac:dyDescent="0.3">
      <c r="K16701" s="1">
        <v>42826</v>
      </c>
      <c r="M16701" t="e">
        <v>#N/A</v>
      </c>
      <c r="N16701" s="1">
        <v>42461</v>
      </c>
    </row>
    <row r="16702" spans="11:14" x14ac:dyDescent="0.3">
      <c r="K16702" s="1">
        <v>42826</v>
      </c>
      <c r="M16702" t="e">
        <v>#N/A</v>
      </c>
      <c r="N16702" s="1">
        <v>42461</v>
      </c>
    </row>
    <row r="16703" spans="11:14" x14ac:dyDescent="0.3">
      <c r="K16703" s="1">
        <v>42826</v>
      </c>
      <c r="M16703" t="e">
        <v>#N/A</v>
      </c>
      <c r="N16703" s="1">
        <v>42461</v>
      </c>
    </row>
    <row r="16704" spans="11:14" x14ac:dyDescent="0.3">
      <c r="K16704" s="1">
        <v>42826</v>
      </c>
      <c r="M16704" t="e">
        <v>#N/A</v>
      </c>
      <c r="N16704" s="1">
        <v>42461</v>
      </c>
    </row>
    <row r="16705" spans="11:14" x14ac:dyDescent="0.3">
      <c r="K16705" s="1">
        <v>42826</v>
      </c>
      <c r="M16705" t="e">
        <v>#N/A</v>
      </c>
      <c r="N16705" s="1">
        <v>42461</v>
      </c>
    </row>
    <row r="16706" spans="11:14" x14ac:dyDescent="0.3">
      <c r="K16706" s="1">
        <v>42826</v>
      </c>
      <c r="M16706" t="e">
        <v>#N/A</v>
      </c>
      <c r="N16706" s="1">
        <v>42461</v>
      </c>
    </row>
    <row r="16707" spans="11:14" x14ac:dyDescent="0.3">
      <c r="K16707" s="1">
        <v>42826</v>
      </c>
      <c r="M16707" t="e">
        <v>#N/A</v>
      </c>
      <c r="N16707" s="1">
        <v>42461</v>
      </c>
    </row>
    <row r="16708" spans="11:14" x14ac:dyDescent="0.3">
      <c r="K16708" s="1">
        <v>42826</v>
      </c>
      <c r="M16708" t="e">
        <v>#N/A</v>
      </c>
      <c r="N16708" s="1">
        <v>42461</v>
      </c>
    </row>
    <row r="16709" spans="11:14" x14ac:dyDescent="0.3">
      <c r="K16709" s="1">
        <v>42826</v>
      </c>
      <c r="M16709" t="e">
        <v>#N/A</v>
      </c>
      <c r="N16709" s="1">
        <v>42461</v>
      </c>
    </row>
    <row r="16710" spans="11:14" x14ac:dyDescent="0.3">
      <c r="K16710" s="1">
        <v>42826</v>
      </c>
      <c r="M16710" t="e">
        <v>#N/A</v>
      </c>
      <c r="N16710" s="1">
        <v>42461</v>
      </c>
    </row>
    <row r="16711" spans="11:14" x14ac:dyDescent="0.3">
      <c r="K16711" s="1">
        <v>42826</v>
      </c>
      <c r="M16711" t="e">
        <v>#N/A</v>
      </c>
      <c r="N16711" s="1">
        <v>42461</v>
      </c>
    </row>
    <row r="16712" spans="11:14" x14ac:dyDescent="0.3">
      <c r="K16712" s="1">
        <v>42826</v>
      </c>
      <c r="M16712" t="e">
        <v>#N/A</v>
      </c>
      <c r="N16712" s="1">
        <v>42461</v>
      </c>
    </row>
    <row r="16713" spans="11:14" x14ac:dyDescent="0.3">
      <c r="K16713" s="1">
        <v>42826</v>
      </c>
      <c r="M16713" t="e">
        <v>#N/A</v>
      </c>
      <c r="N16713" s="1">
        <v>42461</v>
      </c>
    </row>
    <row r="16714" spans="11:14" x14ac:dyDescent="0.3">
      <c r="K16714" s="1">
        <v>42826</v>
      </c>
      <c r="M16714" t="e">
        <v>#N/A</v>
      </c>
      <c r="N16714" s="1">
        <v>42461</v>
      </c>
    </row>
    <row r="16715" spans="11:14" x14ac:dyDescent="0.3">
      <c r="K16715" s="1">
        <v>42826</v>
      </c>
      <c r="M16715" t="e">
        <v>#N/A</v>
      </c>
      <c r="N16715" s="1">
        <v>42461</v>
      </c>
    </row>
    <row r="16716" spans="11:14" x14ac:dyDescent="0.3">
      <c r="K16716" s="1">
        <v>42826</v>
      </c>
      <c r="M16716" t="e">
        <v>#N/A</v>
      </c>
      <c r="N16716" s="1">
        <v>42461</v>
      </c>
    </row>
    <row r="16717" spans="11:14" x14ac:dyDescent="0.3">
      <c r="K16717" s="1">
        <v>42826</v>
      </c>
      <c r="M16717" t="e">
        <v>#N/A</v>
      </c>
      <c r="N16717" s="1">
        <v>42461</v>
      </c>
    </row>
    <row r="16718" spans="11:14" x14ac:dyDescent="0.3">
      <c r="K16718" s="1">
        <v>42826</v>
      </c>
      <c r="M16718" t="e">
        <v>#N/A</v>
      </c>
      <c r="N16718" s="1">
        <v>42461</v>
      </c>
    </row>
    <row r="16719" spans="11:14" x14ac:dyDescent="0.3">
      <c r="K16719" s="1">
        <v>42826</v>
      </c>
      <c r="M16719" t="e">
        <v>#N/A</v>
      </c>
      <c r="N16719" s="1">
        <v>42461</v>
      </c>
    </row>
    <row r="16720" spans="11:14" x14ac:dyDescent="0.3">
      <c r="K16720" s="1">
        <v>42826</v>
      </c>
      <c r="M16720" t="e">
        <v>#N/A</v>
      </c>
      <c r="N16720" s="1">
        <v>42461</v>
      </c>
    </row>
    <row r="16721" spans="11:14" x14ac:dyDescent="0.3">
      <c r="K16721" s="1">
        <v>42826</v>
      </c>
      <c r="M16721" t="e">
        <v>#N/A</v>
      </c>
      <c r="N16721" s="1">
        <v>42461</v>
      </c>
    </row>
    <row r="16722" spans="11:14" x14ac:dyDescent="0.3">
      <c r="K16722" s="1">
        <v>42826</v>
      </c>
      <c r="M16722" t="e">
        <v>#N/A</v>
      </c>
      <c r="N16722" s="1">
        <v>42461</v>
      </c>
    </row>
    <row r="16723" spans="11:14" x14ac:dyDescent="0.3">
      <c r="K16723" s="1">
        <v>42826</v>
      </c>
      <c r="M16723" t="e">
        <v>#N/A</v>
      </c>
      <c r="N16723" s="1">
        <v>42461</v>
      </c>
    </row>
    <row r="16724" spans="11:14" x14ac:dyDescent="0.3">
      <c r="K16724" s="1">
        <v>42826</v>
      </c>
      <c r="M16724" t="e">
        <v>#N/A</v>
      </c>
      <c r="N16724" s="1">
        <v>42461</v>
      </c>
    </row>
    <row r="16725" spans="11:14" x14ac:dyDescent="0.3">
      <c r="K16725" s="1">
        <v>42826</v>
      </c>
      <c r="M16725" t="e">
        <v>#N/A</v>
      </c>
      <c r="N16725" s="1">
        <v>42461</v>
      </c>
    </row>
    <row r="16726" spans="11:14" x14ac:dyDescent="0.3">
      <c r="K16726" s="1">
        <v>42826</v>
      </c>
      <c r="M16726" t="e">
        <v>#N/A</v>
      </c>
      <c r="N16726" s="1">
        <v>42461</v>
      </c>
    </row>
    <row r="16727" spans="11:14" x14ac:dyDescent="0.3">
      <c r="K16727" s="1">
        <v>42826</v>
      </c>
      <c r="M16727" t="e">
        <v>#N/A</v>
      </c>
      <c r="N16727" s="1">
        <v>42461</v>
      </c>
    </row>
    <row r="16728" spans="11:14" x14ac:dyDescent="0.3">
      <c r="K16728" s="1">
        <v>42826</v>
      </c>
      <c r="M16728" t="e">
        <v>#N/A</v>
      </c>
      <c r="N16728" s="1">
        <v>42461</v>
      </c>
    </row>
    <row r="16729" spans="11:14" x14ac:dyDescent="0.3">
      <c r="K16729" s="1">
        <v>42826</v>
      </c>
      <c r="M16729" t="e">
        <v>#N/A</v>
      </c>
      <c r="N16729" s="1">
        <v>42461</v>
      </c>
    </row>
    <row r="16730" spans="11:14" x14ac:dyDescent="0.3">
      <c r="K16730" s="1">
        <v>42826</v>
      </c>
      <c r="M16730" t="e">
        <v>#N/A</v>
      </c>
      <c r="N16730" s="1">
        <v>42461</v>
      </c>
    </row>
    <row r="16731" spans="11:14" x14ac:dyDescent="0.3">
      <c r="K16731" s="1">
        <v>42826</v>
      </c>
      <c r="M16731" t="e">
        <v>#N/A</v>
      </c>
      <c r="N16731" s="1">
        <v>42461</v>
      </c>
    </row>
    <row r="16732" spans="11:14" x14ac:dyDescent="0.3">
      <c r="K16732" s="1">
        <v>42826</v>
      </c>
      <c r="M16732" t="e">
        <v>#N/A</v>
      </c>
      <c r="N16732" s="1">
        <v>42461</v>
      </c>
    </row>
    <row r="16733" spans="11:14" x14ac:dyDescent="0.3">
      <c r="K16733" s="1">
        <v>42826</v>
      </c>
      <c r="M16733" t="e">
        <v>#N/A</v>
      </c>
      <c r="N16733" s="1">
        <v>42461</v>
      </c>
    </row>
    <row r="16734" spans="11:14" x14ac:dyDescent="0.3">
      <c r="K16734" s="1">
        <v>42826</v>
      </c>
      <c r="M16734" t="e">
        <v>#N/A</v>
      </c>
      <c r="N16734" s="1">
        <v>42461</v>
      </c>
    </row>
    <row r="16735" spans="11:14" x14ac:dyDescent="0.3">
      <c r="K16735" s="1">
        <v>42826</v>
      </c>
      <c r="M16735" t="e">
        <v>#N/A</v>
      </c>
      <c r="N16735" s="1">
        <v>42461</v>
      </c>
    </row>
    <row r="16736" spans="11:14" x14ac:dyDescent="0.3">
      <c r="K16736" s="1">
        <v>42826</v>
      </c>
      <c r="M16736" t="e">
        <v>#N/A</v>
      </c>
      <c r="N16736" s="1">
        <v>42461</v>
      </c>
    </row>
    <row r="16737" spans="11:14" x14ac:dyDescent="0.3">
      <c r="K16737" s="1">
        <v>42826</v>
      </c>
      <c r="M16737" t="e">
        <v>#N/A</v>
      </c>
      <c r="N16737" s="1">
        <v>42461</v>
      </c>
    </row>
    <row r="16738" spans="11:14" x14ac:dyDescent="0.3">
      <c r="K16738" s="1">
        <v>42826</v>
      </c>
      <c r="M16738" t="e">
        <v>#N/A</v>
      </c>
      <c r="N16738" s="1">
        <v>42461</v>
      </c>
    </row>
    <row r="16739" spans="11:14" x14ac:dyDescent="0.3">
      <c r="K16739" s="1">
        <v>42826</v>
      </c>
      <c r="M16739" t="e">
        <v>#N/A</v>
      </c>
      <c r="N16739" s="1">
        <v>42461</v>
      </c>
    </row>
    <row r="16740" spans="11:14" x14ac:dyDescent="0.3">
      <c r="K16740" s="1">
        <v>42826</v>
      </c>
      <c r="M16740" t="e">
        <v>#N/A</v>
      </c>
      <c r="N16740" s="1">
        <v>42461</v>
      </c>
    </row>
    <row r="16741" spans="11:14" x14ac:dyDescent="0.3">
      <c r="K16741" s="1">
        <v>42826</v>
      </c>
      <c r="M16741" t="e">
        <v>#N/A</v>
      </c>
      <c r="N16741" s="1">
        <v>42461</v>
      </c>
    </row>
    <row r="16742" spans="11:14" x14ac:dyDescent="0.3">
      <c r="K16742" s="1">
        <v>42826</v>
      </c>
      <c r="M16742" t="e">
        <v>#N/A</v>
      </c>
      <c r="N16742" s="1">
        <v>42461</v>
      </c>
    </row>
    <row r="16743" spans="11:14" x14ac:dyDescent="0.3">
      <c r="K16743" s="1">
        <v>42826</v>
      </c>
      <c r="M16743" t="e">
        <v>#N/A</v>
      </c>
      <c r="N16743" s="1">
        <v>42461</v>
      </c>
    </row>
    <row r="16744" spans="11:14" x14ac:dyDescent="0.3">
      <c r="K16744" s="1">
        <v>42826</v>
      </c>
      <c r="M16744" t="e">
        <v>#N/A</v>
      </c>
      <c r="N16744" s="1">
        <v>42461</v>
      </c>
    </row>
    <row r="16745" spans="11:14" x14ac:dyDescent="0.3">
      <c r="K16745" s="1">
        <v>42826</v>
      </c>
      <c r="M16745" t="e">
        <v>#N/A</v>
      </c>
      <c r="N16745" s="1">
        <v>42461</v>
      </c>
    </row>
    <row r="16746" spans="11:14" x14ac:dyDescent="0.3">
      <c r="K16746" s="1">
        <v>42826</v>
      </c>
      <c r="M16746" t="e">
        <v>#N/A</v>
      </c>
      <c r="N16746" s="1">
        <v>42461</v>
      </c>
    </row>
    <row r="16747" spans="11:14" x14ac:dyDescent="0.3">
      <c r="K16747" s="1">
        <v>42826</v>
      </c>
      <c r="M16747" t="e">
        <v>#N/A</v>
      </c>
      <c r="N16747" s="1">
        <v>42461</v>
      </c>
    </row>
    <row r="16748" spans="11:14" x14ac:dyDescent="0.3">
      <c r="K16748" s="1">
        <v>42826</v>
      </c>
      <c r="M16748" t="e">
        <v>#N/A</v>
      </c>
      <c r="N16748" s="1">
        <v>42461</v>
      </c>
    </row>
    <row r="16749" spans="11:14" x14ac:dyDescent="0.3">
      <c r="K16749" s="1">
        <v>42826</v>
      </c>
      <c r="M16749" t="e">
        <v>#N/A</v>
      </c>
      <c r="N16749" s="1">
        <v>42461</v>
      </c>
    </row>
    <row r="16750" spans="11:14" x14ac:dyDescent="0.3">
      <c r="K16750" s="1">
        <v>42826</v>
      </c>
      <c r="M16750" t="e">
        <v>#N/A</v>
      </c>
      <c r="N16750" s="1">
        <v>42461</v>
      </c>
    </row>
    <row r="16751" spans="11:14" x14ac:dyDescent="0.3">
      <c r="K16751" s="1">
        <v>42826</v>
      </c>
      <c r="M16751" t="e">
        <v>#N/A</v>
      </c>
      <c r="N16751" s="1">
        <v>42461</v>
      </c>
    </row>
    <row r="16752" spans="11:14" x14ac:dyDescent="0.3">
      <c r="K16752" s="1">
        <v>42826</v>
      </c>
      <c r="M16752" t="e">
        <v>#N/A</v>
      </c>
      <c r="N16752" s="1">
        <v>42461</v>
      </c>
    </row>
    <row r="16753" spans="11:14" x14ac:dyDescent="0.3">
      <c r="K16753" s="1">
        <v>42826</v>
      </c>
      <c r="M16753" t="e">
        <v>#N/A</v>
      </c>
      <c r="N16753" s="1">
        <v>42461</v>
      </c>
    </row>
    <row r="16754" spans="11:14" x14ac:dyDescent="0.3">
      <c r="K16754" s="1">
        <v>42826</v>
      </c>
      <c r="M16754" t="e">
        <v>#N/A</v>
      </c>
      <c r="N16754" s="1">
        <v>42461</v>
      </c>
    </row>
    <row r="16755" spans="11:14" x14ac:dyDescent="0.3">
      <c r="K16755" s="1">
        <v>42826</v>
      </c>
      <c r="M16755" t="e">
        <v>#N/A</v>
      </c>
      <c r="N16755" s="1">
        <v>42461</v>
      </c>
    </row>
    <row r="16756" spans="11:14" x14ac:dyDescent="0.3">
      <c r="K16756" s="1">
        <v>42826</v>
      </c>
      <c r="M16756" t="e">
        <v>#N/A</v>
      </c>
      <c r="N16756" s="1">
        <v>42461</v>
      </c>
    </row>
    <row r="16757" spans="11:14" x14ac:dyDescent="0.3">
      <c r="K16757" s="1">
        <v>42826</v>
      </c>
      <c r="M16757" t="e">
        <v>#N/A</v>
      </c>
      <c r="N16757" s="1">
        <v>42461</v>
      </c>
    </row>
    <row r="16758" spans="11:14" x14ac:dyDescent="0.3">
      <c r="K16758" s="1">
        <v>42826</v>
      </c>
      <c r="M16758" t="e">
        <v>#N/A</v>
      </c>
      <c r="N16758" s="1">
        <v>42461</v>
      </c>
    </row>
    <row r="16759" spans="11:14" x14ac:dyDescent="0.3">
      <c r="K16759" s="1">
        <v>42826</v>
      </c>
      <c r="M16759" t="e">
        <v>#N/A</v>
      </c>
      <c r="N16759" s="1">
        <v>42461</v>
      </c>
    </row>
    <row r="16760" spans="11:14" x14ac:dyDescent="0.3">
      <c r="K16760" s="1">
        <v>42826</v>
      </c>
      <c r="M16760" t="e">
        <v>#N/A</v>
      </c>
      <c r="N16760" s="1">
        <v>42461</v>
      </c>
    </row>
    <row r="16761" spans="11:14" x14ac:dyDescent="0.3">
      <c r="K16761" s="1">
        <v>42826</v>
      </c>
      <c r="M16761" t="e">
        <v>#N/A</v>
      </c>
      <c r="N16761" s="1">
        <v>42461</v>
      </c>
    </row>
    <row r="16762" spans="11:14" x14ac:dyDescent="0.3">
      <c r="K16762" s="1">
        <v>42826</v>
      </c>
      <c r="M16762" t="e">
        <v>#N/A</v>
      </c>
      <c r="N16762" s="1">
        <v>42461</v>
      </c>
    </row>
    <row r="16763" spans="11:14" x14ac:dyDescent="0.3">
      <c r="K16763" s="1">
        <v>42826</v>
      </c>
      <c r="M16763" t="e">
        <v>#N/A</v>
      </c>
      <c r="N16763" s="1">
        <v>42461</v>
      </c>
    </row>
    <row r="16764" spans="11:14" x14ac:dyDescent="0.3">
      <c r="K16764" s="1">
        <v>42826</v>
      </c>
      <c r="M16764" t="e">
        <v>#N/A</v>
      </c>
      <c r="N16764" s="1">
        <v>42461</v>
      </c>
    </row>
    <row r="16765" spans="11:14" x14ac:dyDescent="0.3">
      <c r="K16765" s="1">
        <v>42826</v>
      </c>
      <c r="M16765" t="e">
        <v>#N/A</v>
      </c>
      <c r="N16765" s="1">
        <v>42461</v>
      </c>
    </row>
    <row r="16766" spans="11:14" x14ac:dyDescent="0.3">
      <c r="K16766" s="1">
        <v>42826</v>
      </c>
      <c r="M16766" t="e">
        <v>#N/A</v>
      </c>
      <c r="N16766" s="1">
        <v>42461</v>
      </c>
    </row>
    <row r="16767" spans="11:14" x14ac:dyDescent="0.3">
      <c r="K16767" s="1">
        <v>42826</v>
      </c>
      <c r="M16767" t="e">
        <v>#N/A</v>
      </c>
      <c r="N16767" s="1">
        <v>42461</v>
      </c>
    </row>
    <row r="16768" spans="11:14" x14ac:dyDescent="0.3">
      <c r="K16768" s="1">
        <v>42826</v>
      </c>
      <c r="M16768" t="e">
        <v>#N/A</v>
      </c>
      <c r="N16768" s="1">
        <v>42461</v>
      </c>
    </row>
    <row r="16769" spans="11:14" x14ac:dyDescent="0.3">
      <c r="K16769" s="1">
        <v>42826</v>
      </c>
      <c r="M16769" t="e">
        <v>#N/A</v>
      </c>
      <c r="N16769" s="1">
        <v>42461</v>
      </c>
    </row>
    <row r="16770" spans="11:14" x14ac:dyDescent="0.3">
      <c r="K16770" s="1">
        <v>42826</v>
      </c>
      <c r="M16770" t="e">
        <v>#N/A</v>
      </c>
      <c r="N16770" s="1">
        <v>42461</v>
      </c>
    </row>
    <row r="16771" spans="11:14" x14ac:dyDescent="0.3">
      <c r="K16771" s="1">
        <v>42826</v>
      </c>
      <c r="M16771" t="e">
        <v>#N/A</v>
      </c>
      <c r="N16771" s="1">
        <v>42461</v>
      </c>
    </row>
    <row r="16772" spans="11:14" x14ac:dyDescent="0.3">
      <c r="K16772" s="1">
        <v>42826</v>
      </c>
      <c r="M16772" t="e">
        <v>#N/A</v>
      </c>
      <c r="N16772" s="1">
        <v>42461</v>
      </c>
    </row>
    <row r="16773" spans="11:14" x14ac:dyDescent="0.3">
      <c r="K16773" s="1">
        <v>42826</v>
      </c>
      <c r="M16773" t="e">
        <v>#N/A</v>
      </c>
      <c r="N16773" s="1">
        <v>42461</v>
      </c>
    </row>
    <row r="16774" spans="11:14" x14ac:dyDescent="0.3">
      <c r="K16774" s="1">
        <v>42826</v>
      </c>
      <c r="M16774" t="e">
        <v>#N/A</v>
      </c>
      <c r="N16774" s="1">
        <v>42461</v>
      </c>
    </row>
    <row r="16775" spans="11:14" x14ac:dyDescent="0.3">
      <c r="K16775" s="1">
        <v>42826</v>
      </c>
      <c r="M16775" t="e">
        <v>#N/A</v>
      </c>
      <c r="N16775" s="1">
        <v>42461</v>
      </c>
    </row>
    <row r="16776" spans="11:14" x14ac:dyDescent="0.3">
      <c r="K16776" s="1">
        <v>42826</v>
      </c>
      <c r="M16776" t="e">
        <v>#N/A</v>
      </c>
      <c r="N16776" s="1">
        <v>42461</v>
      </c>
    </row>
    <row r="16777" spans="11:14" x14ac:dyDescent="0.3">
      <c r="K16777" s="1">
        <v>42826</v>
      </c>
      <c r="M16777" t="e">
        <v>#N/A</v>
      </c>
      <c r="N16777" s="1">
        <v>42461</v>
      </c>
    </row>
    <row r="16778" spans="11:14" x14ac:dyDescent="0.3">
      <c r="K16778" s="1">
        <v>42826</v>
      </c>
      <c r="M16778" t="e">
        <v>#N/A</v>
      </c>
      <c r="N16778" s="1">
        <v>42461</v>
      </c>
    </row>
    <row r="16779" spans="11:14" x14ac:dyDescent="0.3">
      <c r="K16779" s="1">
        <v>42826</v>
      </c>
      <c r="M16779" t="e">
        <v>#N/A</v>
      </c>
      <c r="N16779" s="1">
        <v>42461</v>
      </c>
    </row>
    <row r="16780" spans="11:14" x14ac:dyDescent="0.3">
      <c r="K16780" s="1">
        <v>42826</v>
      </c>
      <c r="M16780" t="e">
        <v>#N/A</v>
      </c>
      <c r="N16780" s="1">
        <v>42461</v>
      </c>
    </row>
    <row r="16781" spans="11:14" x14ac:dyDescent="0.3">
      <c r="K16781" s="1">
        <v>42826</v>
      </c>
      <c r="M16781" t="e">
        <v>#N/A</v>
      </c>
      <c r="N16781" s="1">
        <v>42461</v>
      </c>
    </row>
    <row r="16782" spans="11:14" x14ac:dyDescent="0.3">
      <c r="K16782" s="1">
        <v>42826</v>
      </c>
      <c r="M16782" t="e">
        <v>#N/A</v>
      </c>
      <c r="N16782" s="1">
        <v>42461</v>
      </c>
    </row>
    <row r="16783" spans="11:14" x14ac:dyDescent="0.3">
      <c r="K16783" s="1">
        <v>42826</v>
      </c>
      <c r="M16783" t="e">
        <v>#N/A</v>
      </c>
      <c r="N16783" s="1">
        <v>42461</v>
      </c>
    </row>
    <row r="16784" spans="11:14" x14ac:dyDescent="0.3">
      <c r="K16784" s="1">
        <v>42826</v>
      </c>
      <c r="M16784" t="e">
        <v>#N/A</v>
      </c>
      <c r="N16784" s="1">
        <v>42461</v>
      </c>
    </row>
    <row r="16785" spans="11:14" x14ac:dyDescent="0.3">
      <c r="K16785" s="1">
        <v>42826</v>
      </c>
      <c r="M16785" t="e">
        <v>#N/A</v>
      </c>
      <c r="N16785" s="1">
        <v>42461</v>
      </c>
    </row>
    <row r="16786" spans="11:14" x14ac:dyDescent="0.3">
      <c r="K16786" s="1">
        <v>42826</v>
      </c>
      <c r="M16786" t="e">
        <v>#N/A</v>
      </c>
      <c r="N16786" s="1">
        <v>42461</v>
      </c>
    </row>
    <row r="16787" spans="11:14" x14ac:dyDescent="0.3">
      <c r="K16787" s="1">
        <v>42826</v>
      </c>
      <c r="M16787" t="e">
        <v>#N/A</v>
      </c>
      <c r="N16787" s="1">
        <v>42461</v>
      </c>
    </row>
    <row r="16788" spans="11:14" x14ac:dyDescent="0.3">
      <c r="K16788" s="1">
        <v>42826</v>
      </c>
      <c r="M16788" t="e">
        <v>#N/A</v>
      </c>
      <c r="N16788" s="1">
        <v>42461</v>
      </c>
    </row>
    <row r="16789" spans="11:14" x14ac:dyDescent="0.3">
      <c r="K16789" s="1">
        <v>42826</v>
      </c>
      <c r="M16789" t="e">
        <v>#N/A</v>
      </c>
      <c r="N16789" s="1">
        <v>42461</v>
      </c>
    </row>
    <row r="16790" spans="11:14" x14ac:dyDescent="0.3">
      <c r="K16790" s="1">
        <v>42826</v>
      </c>
      <c r="M16790" t="e">
        <v>#N/A</v>
      </c>
      <c r="N16790" s="1">
        <v>42461</v>
      </c>
    </row>
    <row r="16791" spans="11:14" x14ac:dyDescent="0.3">
      <c r="K16791" s="1">
        <v>42826</v>
      </c>
      <c r="M16791" t="e">
        <v>#N/A</v>
      </c>
      <c r="N16791" s="1">
        <v>42461</v>
      </c>
    </row>
    <row r="16792" spans="11:14" x14ac:dyDescent="0.3">
      <c r="K16792" s="1">
        <v>42826</v>
      </c>
      <c r="M16792" t="e">
        <v>#N/A</v>
      </c>
      <c r="N16792" s="1">
        <v>42461</v>
      </c>
    </row>
    <row r="16793" spans="11:14" x14ac:dyDescent="0.3">
      <c r="K16793" s="1">
        <v>42826</v>
      </c>
      <c r="M16793" t="e">
        <v>#N/A</v>
      </c>
      <c r="N16793" s="1">
        <v>42461</v>
      </c>
    </row>
    <row r="16794" spans="11:14" x14ac:dyDescent="0.3">
      <c r="K16794" s="1">
        <v>42826</v>
      </c>
      <c r="M16794" t="e">
        <v>#N/A</v>
      </c>
      <c r="N16794" s="1">
        <v>42461</v>
      </c>
    </row>
    <row r="16795" spans="11:14" x14ac:dyDescent="0.3">
      <c r="K16795" s="1">
        <v>42826</v>
      </c>
      <c r="M16795" t="e">
        <v>#N/A</v>
      </c>
      <c r="N16795" s="1">
        <v>42461</v>
      </c>
    </row>
    <row r="16796" spans="11:14" x14ac:dyDescent="0.3">
      <c r="K16796" s="1">
        <v>42826</v>
      </c>
      <c r="M16796" t="e">
        <v>#N/A</v>
      </c>
      <c r="N16796" s="1">
        <v>42461</v>
      </c>
    </row>
    <row r="16797" spans="11:14" x14ac:dyDescent="0.3">
      <c r="K16797" s="1">
        <v>42826</v>
      </c>
      <c r="M16797" t="e">
        <v>#N/A</v>
      </c>
      <c r="N16797" s="1">
        <v>42461</v>
      </c>
    </row>
    <row r="16798" spans="11:14" x14ac:dyDescent="0.3">
      <c r="K16798" s="1">
        <v>42826</v>
      </c>
      <c r="M16798" t="e">
        <v>#N/A</v>
      </c>
      <c r="N16798" s="1">
        <v>42461</v>
      </c>
    </row>
    <row r="16799" spans="11:14" x14ac:dyDescent="0.3">
      <c r="K16799" s="1">
        <v>42826</v>
      </c>
      <c r="M16799" t="e">
        <v>#N/A</v>
      </c>
      <c r="N16799" s="1">
        <v>42461</v>
      </c>
    </row>
    <row r="16800" spans="11:14" x14ac:dyDescent="0.3">
      <c r="K16800" s="1">
        <v>42826</v>
      </c>
      <c r="M16800" t="e">
        <v>#N/A</v>
      </c>
      <c r="N16800" s="1">
        <v>42461</v>
      </c>
    </row>
    <row r="16801" spans="11:14" x14ac:dyDescent="0.3">
      <c r="K16801" s="1">
        <v>42826</v>
      </c>
      <c r="M16801" t="e">
        <v>#N/A</v>
      </c>
      <c r="N16801" s="1">
        <v>42461</v>
      </c>
    </row>
    <row r="16802" spans="11:14" x14ac:dyDescent="0.3">
      <c r="K16802" s="1">
        <v>42826</v>
      </c>
      <c r="M16802" t="e">
        <v>#N/A</v>
      </c>
      <c r="N16802" s="1">
        <v>42461</v>
      </c>
    </row>
    <row r="16803" spans="11:14" x14ac:dyDescent="0.3">
      <c r="K16803" s="1">
        <v>42826</v>
      </c>
      <c r="M16803" t="e">
        <v>#N/A</v>
      </c>
      <c r="N16803" s="1">
        <v>42461</v>
      </c>
    </row>
    <row r="16804" spans="11:14" x14ac:dyDescent="0.3">
      <c r="K16804" s="1">
        <v>42826</v>
      </c>
      <c r="M16804" t="e">
        <v>#N/A</v>
      </c>
      <c r="N16804" s="1">
        <v>42461</v>
      </c>
    </row>
    <row r="16805" spans="11:14" x14ac:dyDescent="0.3">
      <c r="K16805" s="1">
        <v>42826</v>
      </c>
      <c r="M16805" t="e">
        <v>#N/A</v>
      </c>
      <c r="N16805" s="1">
        <v>42461</v>
      </c>
    </row>
    <row r="16806" spans="11:14" x14ac:dyDescent="0.3">
      <c r="K16806" s="1">
        <v>42826</v>
      </c>
      <c r="M16806" t="e">
        <v>#N/A</v>
      </c>
      <c r="N16806" s="1">
        <v>42461</v>
      </c>
    </row>
    <row r="16807" spans="11:14" x14ac:dyDescent="0.3">
      <c r="K16807" s="1">
        <v>42826</v>
      </c>
      <c r="M16807" t="e">
        <v>#N/A</v>
      </c>
      <c r="N16807" s="1">
        <v>42461</v>
      </c>
    </row>
    <row r="16808" spans="11:14" x14ac:dyDescent="0.3">
      <c r="K16808" s="1">
        <v>42826</v>
      </c>
      <c r="M16808" t="e">
        <v>#N/A</v>
      </c>
      <c r="N16808" s="1">
        <v>42461</v>
      </c>
    </row>
    <row r="16809" spans="11:14" x14ac:dyDescent="0.3">
      <c r="K16809" s="1">
        <v>42826</v>
      </c>
      <c r="M16809" t="e">
        <v>#N/A</v>
      </c>
      <c r="N16809" s="1">
        <v>42461</v>
      </c>
    </row>
    <row r="16810" spans="11:14" x14ac:dyDescent="0.3">
      <c r="K16810" s="1">
        <v>42826</v>
      </c>
      <c r="M16810" t="e">
        <v>#N/A</v>
      </c>
      <c r="N16810" s="1">
        <v>42461</v>
      </c>
    </row>
    <row r="16811" spans="11:14" x14ac:dyDescent="0.3">
      <c r="K16811" s="1">
        <v>42826</v>
      </c>
      <c r="M16811" t="e">
        <v>#N/A</v>
      </c>
      <c r="N16811" s="1">
        <v>42461</v>
      </c>
    </row>
    <row r="16812" spans="11:14" x14ac:dyDescent="0.3">
      <c r="K16812" s="1">
        <v>42826</v>
      </c>
      <c r="M16812" t="e">
        <v>#N/A</v>
      </c>
      <c r="N16812" s="1">
        <v>42461</v>
      </c>
    </row>
    <row r="16813" spans="11:14" x14ac:dyDescent="0.3">
      <c r="K16813" s="1">
        <v>42826</v>
      </c>
      <c r="M16813" t="e">
        <v>#N/A</v>
      </c>
      <c r="N16813" s="1">
        <v>42461</v>
      </c>
    </row>
    <row r="16814" spans="11:14" x14ac:dyDescent="0.3">
      <c r="K16814" s="1">
        <v>42826</v>
      </c>
      <c r="M16814" t="e">
        <v>#N/A</v>
      </c>
      <c r="N16814" s="1">
        <v>42461</v>
      </c>
    </row>
    <row r="16815" spans="11:14" x14ac:dyDescent="0.3">
      <c r="K16815" s="1">
        <v>42826</v>
      </c>
      <c r="M16815" t="e">
        <v>#N/A</v>
      </c>
      <c r="N16815" s="1">
        <v>42461</v>
      </c>
    </row>
    <row r="16816" spans="11:14" x14ac:dyDescent="0.3">
      <c r="K16816" s="1">
        <v>42826</v>
      </c>
      <c r="M16816" t="e">
        <v>#N/A</v>
      </c>
      <c r="N16816" s="1">
        <v>42461</v>
      </c>
    </row>
    <row r="16817" spans="11:14" x14ac:dyDescent="0.3">
      <c r="K16817" s="1">
        <v>42826</v>
      </c>
      <c r="M16817" t="e">
        <v>#N/A</v>
      </c>
      <c r="N16817" s="1">
        <v>42461</v>
      </c>
    </row>
    <row r="16818" spans="11:14" x14ac:dyDescent="0.3">
      <c r="K16818" s="1">
        <v>42826</v>
      </c>
      <c r="M16818" t="e">
        <v>#N/A</v>
      </c>
      <c r="N16818" s="1">
        <v>42461</v>
      </c>
    </row>
    <row r="16819" spans="11:14" x14ac:dyDescent="0.3">
      <c r="K16819" s="1">
        <v>42826</v>
      </c>
      <c r="M16819" t="e">
        <v>#N/A</v>
      </c>
      <c r="N16819" s="1">
        <v>42461</v>
      </c>
    </row>
    <row r="16820" spans="11:14" x14ac:dyDescent="0.3">
      <c r="K16820" s="1">
        <v>42826</v>
      </c>
      <c r="M16820" t="e">
        <v>#N/A</v>
      </c>
      <c r="N16820" s="1">
        <v>42461</v>
      </c>
    </row>
    <row r="16821" spans="11:14" x14ac:dyDescent="0.3">
      <c r="K16821" s="1">
        <v>42826</v>
      </c>
      <c r="M16821" t="e">
        <v>#N/A</v>
      </c>
      <c r="N16821" s="1">
        <v>42461</v>
      </c>
    </row>
    <row r="16822" spans="11:14" x14ac:dyDescent="0.3">
      <c r="K16822" s="1">
        <v>42826</v>
      </c>
      <c r="M16822" t="e">
        <v>#N/A</v>
      </c>
      <c r="N16822" s="1">
        <v>42461</v>
      </c>
    </row>
    <row r="16823" spans="11:14" x14ac:dyDescent="0.3">
      <c r="K16823" s="1">
        <v>42826</v>
      </c>
      <c r="M16823" t="e">
        <v>#N/A</v>
      </c>
      <c r="N16823" s="1">
        <v>42461</v>
      </c>
    </row>
    <row r="16824" spans="11:14" x14ac:dyDescent="0.3">
      <c r="K16824" s="1">
        <v>42826</v>
      </c>
      <c r="M16824" t="e">
        <v>#N/A</v>
      </c>
      <c r="N16824" s="1">
        <v>42461</v>
      </c>
    </row>
    <row r="16825" spans="11:14" x14ac:dyDescent="0.3">
      <c r="K16825" s="1">
        <v>42826</v>
      </c>
      <c r="M16825" t="e">
        <v>#N/A</v>
      </c>
      <c r="N16825" s="1">
        <v>42461</v>
      </c>
    </row>
    <row r="16826" spans="11:14" x14ac:dyDescent="0.3">
      <c r="K16826" s="1">
        <v>42826</v>
      </c>
      <c r="M16826" t="e">
        <v>#N/A</v>
      </c>
      <c r="N16826" s="1">
        <v>42461</v>
      </c>
    </row>
    <row r="16827" spans="11:14" x14ac:dyDescent="0.3">
      <c r="K16827" s="1">
        <v>42826</v>
      </c>
      <c r="M16827" t="e">
        <v>#N/A</v>
      </c>
      <c r="N16827" s="1">
        <v>42461</v>
      </c>
    </row>
    <row r="16828" spans="11:14" x14ac:dyDescent="0.3">
      <c r="K16828" s="1">
        <v>42826</v>
      </c>
      <c r="M16828" t="e">
        <v>#N/A</v>
      </c>
      <c r="N16828" s="1">
        <v>42461</v>
      </c>
    </row>
    <row r="16829" spans="11:14" x14ac:dyDescent="0.3">
      <c r="K16829" s="1">
        <v>42826</v>
      </c>
      <c r="M16829" t="e">
        <v>#N/A</v>
      </c>
      <c r="N16829" s="1">
        <v>42461</v>
      </c>
    </row>
    <row r="16830" spans="11:14" x14ac:dyDescent="0.3">
      <c r="K16830" s="1">
        <v>42826</v>
      </c>
      <c r="M16830" t="e">
        <v>#N/A</v>
      </c>
      <c r="N16830" s="1">
        <v>42461</v>
      </c>
    </row>
    <row r="16831" spans="11:14" x14ac:dyDescent="0.3">
      <c r="K16831" s="1">
        <v>42826</v>
      </c>
      <c r="M16831" t="e">
        <v>#N/A</v>
      </c>
      <c r="N16831" s="1">
        <v>42461</v>
      </c>
    </row>
    <row r="16832" spans="11:14" x14ac:dyDescent="0.3">
      <c r="K16832" s="1">
        <v>42826</v>
      </c>
      <c r="M16832" t="e">
        <v>#N/A</v>
      </c>
      <c r="N16832" s="1">
        <v>42461</v>
      </c>
    </row>
    <row r="16833" spans="11:14" x14ac:dyDescent="0.3">
      <c r="K16833" s="1">
        <v>42826</v>
      </c>
      <c r="M16833" t="e">
        <v>#N/A</v>
      </c>
      <c r="N16833" s="1">
        <v>42461</v>
      </c>
    </row>
    <row r="16834" spans="11:14" x14ac:dyDescent="0.3">
      <c r="K16834" s="1">
        <v>42826</v>
      </c>
      <c r="M16834" t="e">
        <v>#N/A</v>
      </c>
      <c r="N16834" s="1">
        <v>42461</v>
      </c>
    </row>
    <row r="16835" spans="11:14" x14ac:dyDescent="0.3">
      <c r="K16835" s="1">
        <v>42826</v>
      </c>
      <c r="M16835" t="e">
        <v>#N/A</v>
      </c>
      <c r="N16835" s="1">
        <v>42461</v>
      </c>
    </row>
    <row r="16836" spans="11:14" x14ac:dyDescent="0.3">
      <c r="K16836" s="1">
        <v>42826</v>
      </c>
      <c r="M16836" t="e">
        <v>#N/A</v>
      </c>
      <c r="N16836" s="1">
        <v>42461</v>
      </c>
    </row>
    <row r="16837" spans="11:14" x14ac:dyDescent="0.3">
      <c r="K16837" s="1">
        <v>42826</v>
      </c>
      <c r="M16837" t="e">
        <v>#N/A</v>
      </c>
      <c r="N16837" s="1">
        <v>42461</v>
      </c>
    </row>
    <row r="16838" spans="11:14" x14ac:dyDescent="0.3">
      <c r="K16838" s="1">
        <v>42826</v>
      </c>
      <c r="M16838" t="e">
        <v>#N/A</v>
      </c>
      <c r="N16838" s="1">
        <v>42461</v>
      </c>
    </row>
    <row r="16839" spans="11:14" x14ac:dyDescent="0.3">
      <c r="K16839" s="1">
        <v>42826</v>
      </c>
      <c r="M16839" t="e">
        <v>#N/A</v>
      </c>
      <c r="N16839" s="1">
        <v>42461</v>
      </c>
    </row>
    <row r="16840" spans="11:14" x14ac:dyDescent="0.3">
      <c r="K16840" s="1">
        <v>42826</v>
      </c>
      <c r="M16840" t="e">
        <v>#N/A</v>
      </c>
      <c r="N16840" s="1">
        <v>42461</v>
      </c>
    </row>
    <row r="16841" spans="11:14" x14ac:dyDescent="0.3">
      <c r="K16841" s="1">
        <v>42826</v>
      </c>
      <c r="M16841" t="e">
        <v>#N/A</v>
      </c>
      <c r="N16841" s="1">
        <v>42461</v>
      </c>
    </row>
    <row r="16842" spans="11:14" x14ac:dyDescent="0.3">
      <c r="K16842" s="1">
        <v>42826</v>
      </c>
      <c r="M16842" t="e">
        <v>#N/A</v>
      </c>
      <c r="N16842" s="1">
        <v>42461</v>
      </c>
    </row>
    <row r="16843" spans="11:14" x14ac:dyDescent="0.3">
      <c r="K16843" s="1">
        <v>42826</v>
      </c>
      <c r="M16843" t="e">
        <v>#N/A</v>
      </c>
      <c r="N16843" s="1">
        <v>42461</v>
      </c>
    </row>
    <row r="16844" spans="11:14" x14ac:dyDescent="0.3">
      <c r="K16844" s="1">
        <v>42826</v>
      </c>
      <c r="M16844" t="e">
        <v>#N/A</v>
      </c>
      <c r="N16844" s="1">
        <v>42461</v>
      </c>
    </row>
    <row r="16845" spans="11:14" x14ac:dyDescent="0.3">
      <c r="K16845" s="1">
        <v>42826</v>
      </c>
      <c r="M16845" t="e">
        <v>#N/A</v>
      </c>
      <c r="N16845" s="1">
        <v>42461</v>
      </c>
    </row>
    <row r="16846" spans="11:14" x14ac:dyDescent="0.3">
      <c r="K16846" s="1">
        <v>42826</v>
      </c>
      <c r="M16846" t="e">
        <v>#N/A</v>
      </c>
      <c r="N16846" s="1">
        <v>42461</v>
      </c>
    </row>
    <row r="16847" spans="11:14" x14ac:dyDescent="0.3">
      <c r="K16847" s="1">
        <v>42826</v>
      </c>
      <c r="M16847" t="e">
        <v>#N/A</v>
      </c>
      <c r="N16847" s="1">
        <v>42461</v>
      </c>
    </row>
    <row r="16848" spans="11:14" x14ac:dyDescent="0.3">
      <c r="K16848" s="1">
        <v>42826</v>
      </c>
      <c r="M16848" t="e">
        <v>#N/A</v>
      </c>
      <c r="N16848" s="1">
        <v>42461</v>
      </c>
    </row>
    <row r="16849" spans="11:14" x14ac:dyDescent="0.3">
      <c r="K16849" s="1">
        <v>42826</v>
      </c>
      <c r="M16849" t="e">
        <v>#N/A</v>
      </c>
      <c r="N16849" s="1">
        <v>42461</v>
      </c>
    </row>
    <row r="16850" spans="11:14" x14ac:dyDescent="0.3">
      <c r="K16850" s="1">
        <v>42826</v>
      </c>
      <c r="M16850" t="e">
        <v>#N/A</v>
      </c>
      <c r="N16850" s="1">
        <v>42461</v>
      </c>
    </row>
    <row r="16851" spans="11:14" x14ac:dyDescent="0.3">
      <c r="K16851" s="1">
        <v>42826</v>
      </c>
      <c r="M16851" t="e">
        <v>#N/A</v>
      </c>
      <c r="N16851" s="1">
        <v>42461</v>
      </c>
    </row>
    <row r="16852" spans="11:14" x14ac:dyDescent="0.3">
      <c r="K16852" s="1">
        <v>42826</v>
      </c>
      <c r="M16852" t="e">
        <v>#N/A</v>
      </c>
      <c r="N16852" s="1">
        <v>42461</v>
      </c>
    </row>
    <row r="16853" spans="11:14" x14ac:dyDescent="0.3">
      <c r="K16853" s="1">
        <v>42826</v>
      </c>
      <c r="M16853" t="e">
        <v>#N/A</v>
      </c>
      <c r="N16853" s="1">
        <v>42461</v>
      </c>
    </row>
    <row r="16854" spans="11:14" x14ac:dyDescent="0.3">
      <c r="K16854" s="1">
        <v>42826</v>
      </c>
      <c r="M16854" t="e">
        <v>#N/A</v>
      </c>
      <c r="N16854" s="1">
        <v>42461</v>
      </c>
    </row>
    <row r="16855" spans="11:14" x14ac:dyDescent="0.3">
      <c r="K16855" s="1">
        <v>42826</v>
      </c>
      <c r="M16855" t="e">
        <v>#N/A</v>
      </c>
      <c r="N16855" s="1">
        <v>42461</v>
      </c>
    </row>
    <row r="16856" spans="11:14" x14ac:dyDescent="0.3">
      <c r="K16856" s="1">
        <v>42826</v>
      </c>
      <c r="M16856" t="e">
        <v>#N/A</v>
      </c>
      <c r="N16856" s="1">
        <v>42461</v>
      </c>
    </row>
    <row r="16857" spans="11:14" x14ac:dyDescent="0.3">
      <c r="K16857" s="1">
        <v>42826</v>
      </c>
      <c r="M16857" t="e">
        <v>#N/A</v>
      </c>
      <c r="N16857" s="1">
        <v>42461</v>
      </c>
    </row>
    <row r="16858" spans="11:14" x14ac:dyDescent="0.3">
      <c r="K16858" s="1">
        <v>42826</v>
      </c>
      <c r="M16858" t="e">
        <v>#N/A</v>
      </c>
      <c r="N16858" s="1">
        <v>42461</v>
      </c>
    </row>
    <row r="16859" spans="11:14" x14ac:dyDescent="0.3">
      <c r="K16859" s="1">
        <v>42826</v>
      </c>
      <c r="M16859" t="e">
        <v>#N/A</v>
      </c>
      <c r="N16859" s="1">
        <v>42461</v>
      </c>
    </row>
    <row r="16860" spans="11:14" x14ac:dyDescent="0.3">
      <c r="K16860" s="1">
        <v>42826</v>
      </c>
      <c r="M16860" t="e">
        <v>#N/A</v>
      </c>
      <c r="N16860" s="1">
        <v>42461</v>
      </c>
    </row>
    <row r="16861" spans="11:14" x14ac:dyDescent="0.3">
      <c r="K16861" s="1">
        <v>42826</v>
      </c>
      <c r="M16861" t="e">
        <v>#N/A</v>
      </c>
      <c r="N16861" s="1">
        <v>42461</v>
      </c>
    </row>
    <row r="16862" spans="11:14" x14ac:dyDescent="0.3">
      <c r="K16862" s="1">
        <v>42826</v>
      </c>
      <c r="M16862" t="e">
        <v>#N/A</v>
      </c>
      <c r="N16862" s="1">
        <v>42461</v>
      </c>
    </row>
    <row r="16863" spans="11:14" x14ac:dyDescent="0.3">
      <c r="K16863" s="1">
        <v>42826</v>
      </c>
      <c r="M16863" t="e">
        <v>#N/A</v>
      </c>
      <c r="N16863" s="1">
        <v>42461</v>
      </c>
    </row>
    <row r="16864" spans="11:14" x14ac:dyDescent="0.3">
      <c r="K16864" s="1">
        <v>42826</v>
      </c>
      <c r="M16864" t="e">
        <v>#N/A</v>
      </c>
      <c r="N16864" s="1">
        <v>42461</v>
      </c>
    </row>
    <row r="16865" spans="11:14" x14ac:dyDescent="0.3">
      <c r="K16865" s="1">
        <v>42826</v>
      </c>
      <c r="M16865" t="e">
        <v>#N/A</v>
      </c>
      <c r="N16865" s="1">
        <v>42461</v>
      </c>
    </row>
    <row r="16866" spans="11:14" x14ac:dyDescent="0.3">
      <c r="K16866" s="1">
        <v>42826</v>
      </c>
      <c r="M16866" t="e">
        <v>#N/A</v>
      </c>
      <c r="N16866" s="1">
        <v>42461</v>
      </c>
    </row>
    <row r="16867" spans="11:14" x14ac:dyDescent="0.3">
      <c r="K16867" s="1">
        <v>42826</v>
      </c>
      <c r="M16867" t="e">
        <v>#N/A</v>
      </c>
      <c r="N16867" s="1">
        <v>42461</v>
      </c>
    </row>
    <row r="16868" spans="11:14" x14ac:dyDescent="0.3">
      <c r="K16868" s="1">
        <v>42826</v>
      </c>
      <c r="M16868" t="e">
        <v>#N/A</v>
      </c>
      <c r="N16868" s="1">
        <v>42461</v>
      </c>
    </row>
    <row r="16869" spans="11:14" x14ac:dyDescent="0.3">
      <c r="K16869" s="1">
        <v>42826</v>
      </c>
      <c r="M16869" t="e">
        <v>#N/A</v>
      </c>
      <c r="N16869" s="1">
        <v>42461</v>
      </c>
    </row>
    <row r="16870" spans="11:14" x14ac:dyDescent="0.3">
      <c r="K16870" s="1">
        <v>42826</v>
      </c>
      <c r="M16870" t="e">
        <v>#N/A</v>
      </c>
      <c r="N16870" s="1">
        <v>42461</v>
      </c>
    </row>
    <row r="16871" spans="11:14" x14ac:dyDescent="0.3">
      <c r="K16871" s="1">
        <v>42826</v>
      </c>
      <c r="M16871" t="e">
        <v>#N/A</v>
      </c>
      <c r="N16871" s="1">
        <v>42461</v>
      </c>
    </row>
    <row r="16872" spans="11:14" x14ac:dyDescent="0.3">
      <c r="K16872" s="1">
        <v>42826</v>
      </c>
      <c r="M16872" t="e">
        <v>#N/A</v>
      </c>
      <c r="N16872" s="1">
        <v>42461</v>
      </c>
    </row>
    <row r="16873" spans="11:14" x14ac:dyDescent="0.3">
      <c r="K16873" s="1">
        <v>42826</v>
      </c>
      <c r="M16873" t="e">
        <v>#N/A</v>
      </c>
      <c r="N16873" s="1">
        <v>42461</v>
      </c>
    </row>
    <row r="16874" spans="11:14" x14ac:dyDescent="0.3">
      <c r="K16874" s="1">
        <v>42826</v>
      </c>
      <c r="M16874" t="e">
        <v>#N/A</v>
      </c>
      <c r="N16874" s="1">
        <v>42461</v>
      </c>
    </row>
    <row r="16875" spans="11:14" x14ac:dyDescent="0.3">
      <c r="K16875" s="1">
        <v>42826</v>
      </c>
      <c r="M16875" t="e">
        <v>#N/A</v>
      </c>
      <c r="N16875" s="1">
        <v>42461</v>
      </c>
    </row>
    <row r="16876" spans="11:14" x14ac:dyDescent="0.3">
      <c r="K16876" s="1">
        <v>42826</v>
      </c>
      <c r="M16876" t="e">
        <v>#N/A</v>
      </c>
      <c r="N16876" s="1">
        <v>42461</v>
      </c>
    </row>
    <row r="16877" spans="11:14" x14ac:dyDescent="0.3">
      <c r="K16877" s="1">
        <v>42826</v>
      </c>
      <c r="M16877" t="e">
        <v>#N/A</v>
      </c>
      <c r="N16877" s="1">
        <v>42461</v>
      </c>
    </row>
    <row r="16878" spans="11:14" x14ac:dyDescent="0.3">
      <c r="K16878" s="1">
        <v>42826</v>
      </c>
      <c r="M16878" t="e">
        <v>#N/A</v>
      </c>
      <c r="N16878" s="1">
        <v>42461</v>
      </c>
    </row>
    <row r="16879" spans="11:14" x14ac:dyDescent="0.3">
      <c r="K16879" s="1">
        <v>42826</v>
      </c>
      <c r="M16879" t="e">
        <v>#N/A</v>
      </c>
      <c r="N16879" s="1">
        <v>42461</v>
      </c>
    </row>
    <row r="16880" spans="11:14" x14ac:dyDescent="0.3">
      <c r="K16880" s="1">
        <v>42826</v>
      </c>
      <c r="M16880" t="e">
        <v>#N/A</v>
      </c>
      <c r="N16880" s="1">
        <v>42461</v>
      </c>
    </row>
    <row r="16881" spans="11:14" x14ac:dyDescent="0.3">
      <c r="K16881" s="1">
        <v>42826</v>
      </c>
      <c r="M16881" t="e">
        <v>#N/A</v>
      </c>
      <c r="N16881" s="1">
        <v>42461</v>
      </c>
    </row>
    <row r="16882" spans="11:14" x14ac:dyDescent="0.3">
      <c r="K16882" s="1">
        <v>42826</v>
      </c>
      <c r="M16882" t="e">
        <v>#N/A</v>
      </c>
      <c r="N16882" s="1">
        <v>42461</v>
      </c>
    </row>
    <row r="16883" spans="11:14" x14ac:dyDescent="0.3">
      <c r="K16883" s="1">
        <v>42826</v>
      </c>
      <c r="M16883" t="e">
        <v>#N/A</v>
      </c>
      <c r="N16883" s="1">
        <v>42461</v>
      </c>
    </row>
    <row r="16884" spans="11:14" x14ac:dyDescent="0.3">
      <c r="K16884" s="1">
        <v>42826</v>
      </c>
      <c r="M16884" t="e">
        <v>#N/A</v>
      </c>
      <c r="N16884" s="1">
        <v>42461</v>
      </c>
    </row>
    <row r="16885" spans="11:14" x14ac:dyDescent="0.3">
      <c r="K16885" s="1">
        <v>42826</v>
      </c>
      <c r="M16885" t="e">
        <v>#N/A</v>
      </c>
      <c r="N16885" s="1">
        <v>42461</v>
      </c>
    </row>
    <row r="16886" spans="11:14" x14ac:dyDescent="0.3">
      <c r="K16886" s="1">
        <v>42826</v>
      </c>
      <c r="M16886" t="e">
        <v>#N/A</v>
      </c>
      <c r="N16886" s="1">
        <v>42461</v>
      </c>
    </row>
    <row r="16887" spans="11:14" x14ac:dyDescent="0.3">
      <c r="K16887" s="1">
        <v>42826</v>
      </c>
      <c r="M16887" t="e">
        <v>#N/A</v>
      </c>
      <c r="N16887" s="1">
        <v>42461</v>
      </c>
    </row>
    <row r="16888" spans="11:14" x14ac:dyDescent="0.3">
      <c r="K16888" s="1">
        <v>42826</v>
      </c>
      <c r="M16888" t="e">
        <v>#N/A</v>
      </c>
      <c r="N16888" s="1">
        <v>42461</v>
      </c>
    </row>
    <row r="16889" spans="11:14" x14ac:dyDescent="0.3">
      <c r="K16889" s="1">
        <v>42826</v>
      </c>
      <c r="M16889" t="e">
        <v>#N/A</v>
      </c>
      <c r="N16889" s="1">
        <v>42461</v>
      </c>
    </row>
    <row r="16890" spans="11:14" x14ac:dyDescent="0.3">
      <c r="K16890" s="1">
        <v>42917</v>
      </c>
      <c r="M16890" t="e">
        <v>#N/A</v>
      </c>
      <c r="N16890" s="1">
        <v>42461</v>
      </c>
    </row>
    <row r="16891" spans="11:14" x14ac:dyDescent="0.3">
      <c r="K16891" s="1">
        <v>42917</v>
      </c>
      <c r="M16891" t="e">
        <v>#N/A</v>
      </c>
      <c r="N16891" s="1">
        <v>42461</v>
      </c>
    </row>
    <row r="16892" spans="11:14" x14ac:dyDescent="0.3">
      <c r="K16892" s="1">
        <v>42917</v>
      </c>
      <c r="M16892" t="e">
        <v>#N/A</v>
      </c>
      <c r="N16892" s="1">
        <v>42461</v>
      </c>
    </row>
    <row r="16893" spans="11:14" x14ac:dyDescent="0.3">
      <c r="K16893" s="1">
        <v>42917</v>
      </c>
      <c r="M16893" t="e">
        <v>#N/A</v>
      </c>
      <c r="N16893" s="1">
        <v>42461</v>
      </c>
    </row>
    <row r="16894" spans="11:14" x14ac:dyDescent="0.3">
      <c r="K16894" s="1">
        <v>42917</v>
      </c>
      <c r="M16894" t="e">
        <v>#N/A</v>
      </c>
      <c r="N16894" s="1">
        <v>42461</v>
      </c>
    </row>
    <row r="16895" spans="11:14" x14ac:dyDescent="0.3">
      <c r="K16895" s="1">
        <v>42917</v>
      </c>
      <c r="M16895" t="e">
        <v>#N/A</v>
      </c>
      <c r="N16895" s="1">
        <v>42461</v>
      </c>
    </row>
    <row r="16896" spans="11:14" x14ac:dyDescent="0.3">
      <c r="K16896" s="1">
        <v>42917</v>
      </c>
      <c r="M16896" t="e">
        <v>#N/A</v>
      </c>
      <c r="N16896" s="1">
        <v>42461</v>
      </c>
    </row>
    <row r="16897" spans="11:14" x14ac:dyDescent="0.3">
      <c r="K16897" s="1">
        <v>42917</v>
      </c>
      <c r="M16897" t="e">
        <v>#N/A</v>
      </c>
      <c r="N16897" s="1">
        <v>42461</v>
      </c>
    </row>
    <row r="16898" spans="11:14" x14ac:dyDescent="0.3">
      <c r="K16898" s="1">
        <v>42917</v>
      </c>
      <c r="M16898" t="e">
        <v>#N/A</v>
      </c>
      <c r="N16898" s="1">
        <v>42461</v>
      </c>
    </row>
    <row r="16899" spans="11:14" x14ac:dyDescent="0.3">
      <c r="K16899" s="1">
        <v>42917</v>
      </c>
      <c r="M16899" t="e">
        <v>#N/A</v>
      </c>
      <c r="N16899" s="1">
        <v>42461</v>
      </c>
    </row>
    <row r="16900" spans="11:14" x14ac:dyDescent="0.3">
      <c r="K16900" s="1">
        <v>42917</v>
      </c>
      <c r="M16900" t="e">
        <v>#N/A</v>
      </c>
      <c r="N16900" s="1">
        <v>42461</v>
      </c>
    </row>
    <row r="16901" spans="11:14" x14ac:dyDescent="0.3">
      <c r="K16901" s="1">
        <v>42917</v>
      </c>
      <c r="M16901" t="e">
        <v>#N/A</v>
      </c>
      <c r="N16901" s="1">
        <v>42461</v>
      </c>
    </row>
    <row r="16902" spans="11:14" x14ac:dyDescent="0.3">
      <c r="K16902" s="1">
        <v>42917</v>
      </c>
      <c r="M16902" t="e">
        <v>#N/A</v>
      </c>
      <c r="N16902" s="1">
        <v>42461</v>
      </c>
    </row>
    <row r="16903" spans="11:14" x14ac:dyDescent="0.3">
      <c r="K16903" s="1">
        <v>42917</v>
      </c>
      <c r="M16903" t="e">
        <v>#N/A</v>
      </c>
      <c r="N16903" s="1">
        <v>42461</v>
      </c>
    </row>
    <row r="16904" spans="11:14" x14ac:dyDescent="0.3">
      <c r="K16904" s="1">
        <v>42917</v>
      </c>
      <c r="M16904" t="e">
        <v>#N/A</v>
      </c>
      <c r="N16904" s="1">
        <v>42461</v>
      </c>
    </row>
    <row r="16905" spans="11:14" x14ac:dyDescent="0.3">
      <c r="K16905" s="1">
        <v>42917</v>
      </c>
      <c r="M16905" t="e">
        <v>#N/A</v>
      </c>
      <c r="N16905" s="1">
        <v>42461</v>
      </c>
    </row>
    <row r="16906" spans="11:14" x14ac:dyDescent="0.3">
      <c r="K16906" s="1">
        <v>42917</v>
      </c>
      <c r="M16906" t="e">
        <v>#N/A</v>
      </c>
      <c r="N16906" s="1">
        <v>42461</v>
      </c>
    </row>
    <row r="16907" spans="11:14" x14ac:dyDescent="0.3">
      <c r="K16907" s="1">
        <v>42917</v>
      </c>
      <c r="M16907" t="e">
        <v>#N/A</v>
      </c>
      <c r="N16907" s="1">
        <v>42461</v>
      </c>
    </row>
    <row r="16908" spans="11:14" x14ac:dyDescent="0.3">
      <c r="K16908" s="1">
        <v>42917</v>
      </c>
      <c r="M16908" t="e">
        <v>#N/A</v>
      </c>
      <c r="N16908" s="1">
        <v>42461</v>
      </c>
    </row>
    <row r="16909" spans="11:14" x14ac:dyDescent="0.3">
      <c r="K16909" s="1">
        <v>42917</v>
      </c>
      <c r="M16909" t="e">
        <v>#N/A</v>
      </c>
      <c r="N16909" s="1">
        <v>42461</v>
      </c>
    </row>
    <row r="16910" spans="11:14" x14ac:dyDescent="0.3">
      <c r="K16910" s="1">
        <v>42917</v>
      </c>
      <c r="M16910" t="e">
        <v>#N/A</v>
      </c>
      <c r="N16910" s="1">
        <v>42461</v>
      </c>
    </row>
    <row r="16911" spans="11:14" x14ac:dyDescent="0.3">
      <c r="K16911" s="1">
        <v>42917</v>
      </c>
      <c r="M16911" t="e">
        <v>#N/A</v>
      </c>
      <c r="N16911" s="1">
        <v>42461</v>
      </c>
    </row>
    <row r="16912" spans="11:14" x14ac:dyDescent="0.3">
      <c r="K16912" s="1">
        <v>42917</v>
      </c>
      <c r="M16912" t="e">
        <v>#N/A</v>
      </c>
      <c r="N16912" s="1">
        <v>42461</v>
      </c>
    </row>
    <row r="16913" spans="11:14" x14ac:dyDescent="0.3">
      <c r="K16913" s="1">
        <v>42917</v>
      </c>
      <c r="M16913" t="e">
        <v>#N/A</v>
      </c>
      <c r="N16913" s="1">
        <v>42461</v>
      </c>
    </row>
    <row r="16914" spans="11:14" x14ac:dyDescent="0.3">
      <c r="K16914" s="1">
        <v>42917</v>
      </c>
      <c r="M16914" t="e">
        <v>#N/A</v>
      </c>
      <c r="N16914" s="1">
        <v>42461</v>
      </c>
    </row>
    <row r="16915" spans="11:14" x14ac:dyDescent="0.3">
      <c r="K16915" s="1">
        <v>42917</v>
      </c>
      <c r="M16915" t="e">
        <v>#N/A</v>
      </c>
      <c r="N16915" s="1">
        <v>42461</v>
      </c>
    </row>
    <row r="16916" spans="11:14" x14ac:dyDescent="0.3">
      <c r="K16916" s="1">
        <v>42917</v>
      </c>
      <c r="M16916" t="e">
        <v>#N/A</v>
      </c>
      <c r="N16916" s="1">
        <v>42461</v>
      </c>
    </row>
    <row r="16917" spans="11:14" x14ac:dyDescent="0.3">
      <c r="K16917" s="1">
        <v>42917</v>
      </c>
      <c r="M16917" t="e">
        <v>#N/A</v>
      </c>
      <c r="N16917" s="1">
        <v>42461</v>
      </c>
    </row>
    <row r="16918" spans="11:14" x14ac:dyDescent="0.3">
      <c r="K16918" s="1">
        <v>42917</v>
      </c>
      <c r="M16918" t="e">
        <v>#N/A</v>
      </c>
      <c r="N16918" s="1">
        <v>42461</v>
      </c>
    </row>
    <row r="16919" spans="11:14" x14ac:dyDescent="0.3">
      <c r="K16919" s="1">
        <v>42917</v>
      </c>
      <c r="M16919" t="e">
        <v>#N/A</v>
      </c>
      <c r="N16919" s="1">
        <v>42461</v>
      </c>
    </row>
    <row r="16920" spans="11:14" x14ac:dyDescent="0.3">
      <c r="K16920" s="1">
        <v>42917</v>
      </c>
      <c r="M16920" t="e">
        <v>#N/A</v>
      </c>
      <c r="N16920" s="1">
        <v>42461</v>
      </c>
    </row>
    <row r="16921" spans="11:14" x14ac:dyDescent="0.3">
      <c r="K16921" s="1">
        <v>42917</v>
      </c>
      <c r="M16921" t="e">
        <v>#N/A</v>
      </c>
      <c r="N16921" s="1">
        <v>42461</v>
      </c>
    </row>
    <row r="16922" spans="11:14" x14ac:dyDescent="0.3">
      <c r="K16922" s="1">
        <v>42917</v>
      </c>
      <c r="M16922" t="e">
        <v>#N/A</v>
      </c>
      <c r="N16922" s="1">
        <v>42461</v>
      </c>
    </row>
    <row r="16923" spans="11:14" x14ac:dyDescent="0.3">
      <c r="K16923" s="1">
        <v>42917</v>
      </c>
      <c r="M16923" t="e">
        <v>#N/A</v>
      </c>
      <c r="N16923" s="1">
        <v>42461</v>
      </c>
    </row>
    <row r="16924" spans="11:14" x14ac:dyDescent="0.3">
      <c r="K16924" s="1">
        <v>42917</v>
      </c>
      <c r="M16924" t="e">
        <v>#N/A</v>
      </c>
      <c r="N16924" s="1">
        <v>42461</v>
      </c>
    </row>
    <row r="16925" spans="11:14" x14ac:dyDescent="0.3">
      <c r="K16925" s="1">
        <v>42917</v>
      </c>
      <c r="M16925" t="e">
        <v>#N/A</v>
      </c>
      <c r="N16925" s="1">
        <v>42461</v>
      </c>
    </row>
    <row r="16926" spans="11:14" x14ac:dyDescent="0.3">
      <c r="K16926" s="1">
        <v>42917</v>
      </c>
      <c r="M16926" t="e">
        <v>#N/A</v>
      </c>
      <c r="N16926" s="1">
        <v>42461</v>
      </c>
    </row>
    <row r="16927" spans="11:14" x14ac:dyDescent="0.3">
      <c r="K16927" s="1">
        <v>42917</v>
      </c>
      <c r="M16927" t="e">
        <v>#N/A</v>
      </c>
      <c r="N16927" s="1">
        <v>42461</v>
      </c>
    </row>
    <row r="16928" spans="11:14" x14ac:dyDescent="0.3">
      <c r="K16928" s="1">
        <v>42917</v>
      </c>
      <c r="M16928" t="e">
        <v>#N/A</v>
      </c>
      <c r="N16928" s="1">
        <v>42461</v>
      </c>
    </row>
    <row r="16929" spans="11:14" x14ac:dyDescent="0.3">
      <c r="K16929" s="1">
        <v>42917</v>
      </c>
      <c r="M16929" t="e">
        <v>#N/A</v>
      </c>
      <c r="N16929" s="1">
        <v>42461</v>
      </c>
    </row>
    <row r="16930" spans="11:14" x14ac:dyDescent="0.3">
      <c r="K16930" s="1">
        <v>42917</v>
      </c>
      <c r="M16930" t="e">
        <v>#N/A</v>
      </c>
      <c r="N16930" s="1">
        <v>42461</v>
      </c>
    </row>
    <row r="16931" spans="11:14" x14ac:dyDescent="0.3">
      <c r="K16931" s="1">
        <v>42917</v>
      </c>
      <c r="M16931" t="e">
        <v>#N/A</v>
      </c>
      <c r="N16931" s="1">
        <v>42461</v>
      </c>
    </row>
    <row r="16932" spans="11:14" x14ac:dyDescent="0.3">
      <c r="K16932" s="1">
        <v>42917</v>
      </c>
      <c r="M16932" t="e">
        <v>#N/A</v>
      </c>
      <c r="N16932" s="1">
        <v>42461</v>
      </c>
    </row>
    <row r="16933" spans="11:14" x14ac:dyDescent="0.3">
      <c r="K16933" s="1">
        <v>42917</v>
      </c>
      <c r="M16933" t="e">
        <v>#N/A</v>
      </c>
      <c r="N16933" s="1">
        <v>42461</v>
      </c>
    </row>
    <row r="16934" spans="11:14" x14ac:dyDescent="0.3">
      <c r="K16934" s="1">
        <v>42917</v>
      </c>
      <c r="M16934" t="e">
        <v>#N/A</v>
      </c>
      <c r="N16934" s="1">
        <v>42461</v>
      </c>
    </row>
    <row r="16935" spans="11:14" x14ac:dyDescent="0.3">
      <c r="K16935" s="1">
        <v>42917</v>
      </c>
      <c r="M16935" t="e">
        <v>#N/A</v>
      </c>
      <c r="N16935" s="1">
        <v>42461</v>
      </c>
    </row>
    <row r="16936" spans="11:14" x14ac:dyDescent="0.3">
      <c r="K16936" s="1">
        <v>42917</v>
      </c>
      <c r="M16936" t="e">
        <v>#N/A</v>
      </c>
      <c r="N16936" s="1">
        <v>42461</v>
      </c>
    </row>
    <row r="16937" spans="11:14" x14ac:dyDescent="0.3">
      <c r="K16937" s="1">
        <v>42917</v>
      </c>
      <c r="M16937" t="e">
        <v>#N/A</v>
      </c>
      <c r="N16937" s="1">
        <v>42461</v>
      </c>
    </row>
    <row r="16938" spans="11:14" x14ac:dyDescent="0.3">
      <c r="K16938" s="1">
        <v>42917</v>
      </c>
      <c r="M16938" t="e">
        <v>#N/A</v>
      </c>
      <c r="N16938" s="1">
        <v>42461</v>
      </c>
    </row>
    <row r="16939" spans="11:14" x14ac:dyDescent="0.3">
      <c r="K16939" s="1">
        <v>42917</v>
      </c>
      <c r="M16939" t="e">
        <v>#N/A</v>
      </c>
      <c r="N16939" s="1">
        <v>42461</v>
      </c>
    </row>
    <row r="16940" spans="11:14" x14ac:dyDescent="0.3">
      <c r="K16940" s="1">
        <v>42917</v>
      </c>
      <c r="M16940" t="e">
        <v>#N/A</v>
      </c>
      <c r="N16940" s="1">
        <v>42461</v>
      </c>
    </row>
    <row r="16941" spans="11:14" x14ac:dyDescent="0.3">
      <c r="K16941" s="1">
        <v>42917</v>
      </c>
      <c r="M16941" t="e">
        <v>#N/A</v>
      </c>
      <c r="N16941" s="1">
        <v>42461</v>
      </c>
    </row>
    <row r="16942" spans="11:14" x14ac:dyDescent="0.3">
      <c r="K16942" s="1">
        <v>42917</v>
      </c>
      <c r="M16942" t="e">
        <v>#N/A</v>
      </c>
      <c r="N16942" s="1">
        <v>42461</v>
      </c>
    </row>
    <row r="16943" spans="11:14" x14ac:dyDescent="0.3">
      <c r="K16943" s="1">
        <v>42917</v>
      </c>
      <c r="M16943" t="e">
        <v>#N/A</v>
      </c>
      <c r="N16943" s="1">
        <v>42461</v>
      </c>
    </row>
    <row r="16944" spans="11:14" x14ac:dyDescent="0.3">
      <c r="K16944" s="1">
        <v>42917</v>
      </c>
      <c r="M16944" t="e">
        <v>#N/A</v>
      </c>
      <c r="N16944" s="1">
        <v>42461</v>
      </c>
    </row>
    <row r="16945" spans="11:14" x14ac:dyDescent="0.3">
      <c r="K16945" s="1">
        <v>42917</v>
      </c>
      <c r="M16945" t="e">
        <v>#N/A</v>
      </c>
      <c r="N16945" s="1">
        <v>42461</v>
      </c>
    </row>
    <row r="16946" spans="11:14" x14ac:dyDescent="0.3">
      <c r="K16946" s="1">
        <v>42917</v>
      </c>
      <c r="M16946" t="e">
        <v>#N/A</v>
      </c>
      <c r="N16946" s="1">
        <v>42461</v>
      </c>
    </row>
    <row r="16947" spans="11:14" x14ac:dyDescent="0.3">
      <c r="K16947" s="1">
        <v>42917</v>
      </c>
      <c r="M16947" t="e">
        <v>#N/A</v>
      </c>
      <c r="N16947" s="1">
        <v>42461</v>
      </c>
    </row>
    <row r="16948" spans="11:14" x14ac:dyDescent="0.3">
      <c r="K16948" s="1">
        <v>42917</v>
      </c>
      <c r="M16948" t="e">
        <v>#N/A</v>
      </c>
      <c r="N16948" s="1">
        <v>42461</v>
      </c>
    </row>
    <row r="16949" spans="11:14" x14ac:dyDescent="0.3">
      <c r="K16949" s="1">
        <v>42917</v>
      </c>
      <c r="M16949" t="e">
        <v>#N/A</v>
      </c>
      <c r="N16949" s="1">
        <v>42461</v>
      </c>
    </row>
    <row r="16950" spans="11:14" x14ac:dyDescent="0.3">
      <c r="K16950" s="1">
        <v>42917</v>
      </c>
      <c r="M16950" t="e">
        <v>#N/A</v>
      </c>
      <c r="N16950" s="1">
        <v>42461</v>
      </c>
    </row>
    <row r="16951" spans="11:14" x14ac:dyDescent="0.3">
      <c r="K16951" s="1">
        <v>42917</v>
      </c>
      <c r="M16951" t="e">
        <v>#N/A</v>
      </c>
      <c r="N16951" s="1">
        <v>42461</v>
      </c>
    </row>
    <row r="16952" spans="11:14" x14ac:dyDescent="0.3">
      <c r="K16952" s="1">
        <v>42917</v>
      </c>
      <c r="M16952" t="e">
        <v>#N/A</v>
      </c>
      <c r="N16952" s="1">
        <v>42461</v>
      </c>
    </row>
    <row r="16953" spans="11:14" x14ac:dyDescent="0.3">
      <c r="K16953" s="1">
        <v>42917</v>
      </c>
      <c r="M16953" t="e">
        <v>#N/A</v>
      </c>
      <c r="N16953" s="1">
        <v>42461</v>
      </c>
    </row>
    <row r="16954" spans="11:14" x14ac:dyDescent="0.3">
      <c r="K16954" s="1">
        <v>42917</v>
      </c>
      <c r="M16954" t="e">
        <v>#N/A</v>
      </c>
      <c r="N16954" s="1">
        <v>42461</v>
      </c>
    </row>
    <row r="16955" spans="11:14" x14ac:dyDescent="0.3">
      <c r="K16955" s="1">
        <v>42917</v>
      </c>
      <c r="M16955" t="e">
        <v>#N/A</v>
      </c>
      <c r="N16955" s="1">
        <v>42461</v>
      </c>
    </row>
    <row r="16956" spans="11:14" x14ac:dyDescent="0.3">
      <c r="K16956" s="1">
        <v>42917</v>
      </c>
      <c r="M16956" t="e">
        <v>#N/A</v>
      </c>
      <c r="N16956" s="1">
        <v>42461</v>
      </c>
    </row>
    <row r="16957" spans="11:14" x14ac:dyDescent="0.3">
      <c r="K16957" s="1">
        <v>42917</v>
      </c>
      <c r="M16957" t="e">
        <v>#N/A</v>
      </c>
      <c r="N16957" s="1">
        <v>42461</v>
      </c>
    </row>
    <row r="16958" spans="11:14" x14ac:dyDescent="0.3">
      <c r="K16958" s="1">
        <v>42917</v>
      </c>
      <c r="M16958" t="e">
        <v>#N/A</v>
      </c>
      <c r="N16958" s="1">
        <v>42461</v>
      </c>
    </row>
    <row r="16959" spans="11:14" x14ac:dyDescent="0.3">
      <c r="K16959" s="1">
        <v>42917</v>
      </c>
      <c r="M16959" t="e">
        <v>#N/A</v>
      </c>
      <c r="N16959" s="1">
        <v>42461</v>
      </c>
    </row>
    <row r="16960" spans="11:14" x14ac:dyDescent="0.3">
      <c r="K16960" s="1">
        <v>42917</v>
      </c>
      <c r="M16960" t="e">
        <v>#N/A</v>
      </c>
      <c r="N16960" s="1">
        <v>42461</v>
      </c>
    </row>
    <row r="16961" spans="11:14" x14ac:dyDescent="0.3">
      <c r="K16961" s="1">
        <v>42917</v>
      </c>
      <c r="M16961" t="e">
        <v>#N/A</v>
      </c>
      <c r="N16961" s="1">
        <v>42461</v>
      </c>
    </row>
    <row r="16962" spans="11:14" x14ac:dyDescent="0.3">
      <c r="K16962" s="1">
        <v>42917</v>
      </c>
      <c r="M16962" t="e">
        <v>#N/A</v>
      </c>
      <c r="N16962" s="1">
        <v>42461</v>
      </c>
    </row>
    <row r="16963" spans="11:14" x14ac:dyDescent="0.3">
      <c r="K16963" s="1">
        <v>42917</v>
      </c>
      <c r="M16963" t="e">
        <v>#N/A</v>
      </c>
      <c r="N16963" s="1">
        <v>42461</v>
      </c>
    </row>
    <row r="16964" spans="11:14" x14ac:dyDescent="0.3">
      <c r="K16964" s="1">
        <v>42917</v>
      </c>
      <c r="M16964" t="e">
        <v>#N/A</v>
      </c>
      <c r="N16964" s="1">
        <v>42552</v>
      </c>
    </row>
    <row r="16965" spans="11:14" x14ac:dyDescent="0.3">
      <c r="K16965" s="1">
        <v>42917</v>
      </c>
      <c r="M16965" t="e">
        <v>#N/A</v>
      </c>
      <c r="N16965" s="1">
        <v>42552</v>
      </c>
    </row>
    <row r="16966" spans="11:14" x14ac:dyDescent="0.3">
      <c r="K16966" s="1">
        <v>42917</v>
      </c>
      <c r="M16966" t="e">
        <v>#N/A</v>
      </c>
      <c r="N16966" s="1">
        <v>42552</v>
      </c>
    </row>
    <row r="16967" spans="11:14" x14ac:dyDescent="0.3">
      <c r="K16967" s="1">
        <v>42917</v>
      </c>
      <c r="M16967" t="e">
        <v>#N/A</v>
      </c>
      <c r="N16967" s="1">
        <v>42552</v>
      </c>
    </row>
    <row r="16968" spans="11:14" x14ac:dyDescent="0.3">
      <c r="K16968" s="1">
        <v>42917</v>
      </c>
      <c r="M16968" t="e">
        <v>#N/A</v>
      </c>
      <c r="N16968" s="1">
        <v>42552</v>
      </c>
    </row>
    <row r="16969" spans="11:14" x14ac:dyDescent="0.3">
      <c r="K16969" s="1">
        <v>42917</v>
      </c>
      <c r="M16969" t="e">
        <v>#N/A</v>
      </c>
      <c r="N16969" s="1">
        <v>42552</v>
      </c>
    </row>
    <row r="16970" spans="11:14" x14ac:dyDescent="0.3">
      <c r="K16970" s="1">
        <v>42917</v>
      </c>
      <c r="M16970" t="e">
        <v>#N/A</v>
      </c>
      <c r="N16970" s="1">
        <v>42552</v>
      </c>
    </row>
    <row r="16971" spans="11:14" x14ac:dyDescent="0.3">
      <c r="K16971" s="1">
        <v>42917</v>
      </c>
      <c r="M16971" t="e">
        <v>#N/A</v>
      </c>
      <c r="N16971" s="1">
        <v>42552</v>
      </c>
    </row>
    <row r="16972" spans="11:14" x14ac:dyDescent="0.3">
      <c r="K16972" s="1">
        <v>42917</v>
      </c>
      <c r="M16972" t="e">
        <v>#N/A</v>
      </c>
      <c r="N16972" s="1">
        <v>42552</v>
      </c>
    </row>
    <row r="16973" spans="11:14" x14ac:dyDescent="0.3">
      <c r="K16973" s="1">
        <v>42917</v>
      </c>
      <c r="M16973" t="e">
        <v>#N/A</v>
      </c>
      <c r="N16973" s="1">
        <v>42552</v>
      </c>
    </row>
    <row r="16974" spans="11:14" x14ac:dyDescent="0.3">
      <c r="K16974" s="1">
        <v>42917</v>
      </c>
      <c r="M16974" t="e">
        <v>#N/A</v>
      </c>
      <c r="N16974" s="1">
        <v>42552</v>
      </c>
    </row>
    <row r="16975" spans="11:14" x14ac:dyDescent="0.3">
      <c r="K16975" s="1">
        <v>42917</v>
      </c>
      <c r="M16975" t="e">
        <v>#N/A</v>
      </c>
      <c r="N16975" s="1">
        <v>42552</v>
      </c>
    </row>
    <row r="16976" spans="11:14" x14ac:dyDescent="0.3">
      <c r="K16976" s="1">
        <v>42917</v>
      </c>
      <c r="M16976" t="e">
        <v>#N/A</v>
      </c>
      <c r="N16976" s="1">
        <v>42552</v>
      </c>
    </row>
    <row r="16977" spans="11:14" x14ac:dyDescent="0.3">
      <c r="K16977" s="1">
        <v>42917</v>
      </c>
      <c r="M16977" t="e">
        <v>#N/A</v>
      </c>
      <c r="N16977" s="1">
        <v>42552</v>
      </c>
    </row>
    <row r="16978" spans="11:14" x14ac:dyDescent="0.3">
      <c r="K16978" s="1">
        <v>42917</v>
      </c>
      <c r="M16978" t="e">
        <v>#N/A</v>
      </c>
      <c r="N16978" s="1">
        <v>42552</v>
      </c>
    </row>
    <row r="16979" spans="11:14" x14ac:dyDescent="0.3">
      <c r="K16979" s="1">
        <v>42917</v>
      </c>
      <c r="M16979" t="e">
        <v>#N/A</v>
      </c>
      <c r="N16979" s="1">
        <v>42552</v>
      </c>
    </row>
    <row r="16980" spans="11:14" x14ac:dyDescent="0.3">
      <c r="K16980" s="1">
        <v>42917</v>
      </c>
      <c r="M16980" t="e">
        <v>#N/A</v>
      </c>
      <c r="N16980" s="1">
        <v>42552</v>
      </c>
    </row>
    <row r="16981" spans="11:14" x14ac:dyDescent="0.3">
      <c r="K16981" s="1">
        <v>42917</v>
      </c>
      <c r="M16981" t="e">
        <v>#N/A</v>
      </c>
      <c r="N16981" s="1">
        <v>42552</v>
      </c>
    </row>
    <row r="16982" spans="11:14" x14ac:dyDescent="0.3">
      <c r="K16982" s="1">
        <v>42917</v>
      </c>
      <c r="M16982" t="e">
        <v>#N/A</v>
      </c>
      <c r="N16982" s="1">
        <v>42552</v>
      </c>
    </row>
    <row r="16983" spans="11:14" x14ac:dyDescent="0.3">
      <c r="K16983" s="1">
        <v>42917</v>
      </c>
      <c r="M16983" t="e">
        <v>#N/A</v>
      </c>
      <c r="N16983" s="1">
        <v>42552</v>
      </c>
    </row>
    <row r="16984" spans="11:14" x14ac:dyDescent="0.3">
      <c r="K16984" s="1">
        <v>42917</v>
      </c>
      <c r="M16984" t="e">
        <v>#N/A</v>
      </c>
      <c r="N16984" s="1">
        <v>42552</v>
      </c>
    </row>
    <row r="16985" spans="11:14" x14ac:dyDescent="0.3">
      <c r="K16985" s="1">
        <v>42917</v>
      </c>
      <c r="M16985" t="e">
        <v>#N/A</v>
      </c>
      <c r="N16985" s="1">
        <v>42552</v>
      </c>
    </row>
    <row r="16986" spans="11:14" x14ac:dyDescent="0.3">
      <c r="K16986" s="1">
        <v>42917</v>
      </c>
      <c r="M16986" t="e">
        <v>#N/A</v>
      </c>
      <c r="N16986" s="1">
        <v>42552</v>
      </c>
    </row>
    <row r="16987" spans="11:14" x14ac:dyDescent="0.3">
      <c r="K16987" s="1">
        <v>42917</v>
      </c>
      <c r="M16987" t="e">
        <v>#N/A</v>
      </c>
      <c r="N16987" s="1">
        <v>42552</v>
      </c>
    </row>
    <row r="16988" spans="11:14" x14ac:dyDescent="0.3">
      <c r="K16988" s="1">
        <v>42917</v>
      </c>
      <c r="M16988" t="e">
        <v>#N/A</v>
      </c>
      <c r="N16988" s="1">
        <v>42552</v>
      </c>
    </row>
    <row r="16989" spans="11:14" x14ac:dyDescent="0.3">
      <c r="K16989" s="1">
        <v>42917</v>
      </c>
      <c r="M16989" t="e">
        <v>#N/A</v>
      </c>
      <c r="N16989" s="1">
        <v>42552</v>
      </c>
    </row>
    <row r="16990" spans="11:14" x14ac:dyDescent="0.3">
      <c r="K16990" s="1">
        <v>42917</v>
      </c>
      <c r="M16990" t="e">
        <v>#N/A</v>
      </c>
      <c r="N16990" s="1">
        <v>42552</v>
      </c>
    </row>
    <row r="16991" spans="11:14" x14ac:dyDescent="0.3">
      <c r="K16991" s="1">
        <v>42917</v>
      </c>
      <c r="M16991" t="e">
        <v>#N/A</v>
      </c>
      <c r="N16991" s="1">
        <v>42552</v>
      </c>
    </row>
    <row r="16992" spans="11:14" x14ac:dyDescent="0.3">
      <c r="K16992" s="1">
        <v>42917</v>
      </c>
      <c r="M16992" t="e">
        <v>#N/A</v>
      </c>
      <c r="N16992" s="1">
        <v>42552</v>
      </c>
    </row>
    <row r="16993" spans="11:14" x14ac:dyDescent="0.3">
      <c r="K16993" s="1">
        <v>42917</v>
      </c>
      <c r="M16993" t="e">
        <v>#N/A</v>
      </c>
      <c r="N16993" s="1">
        <v>42552</v>
      </c>
    </row>
    <row r="16994" spans="11:14" x14ac:dyDescent="0.3">
      <c r="K16994" s="1">
        <v>42917</v>
      </c>
      <c r="M16994" t="e">
        <v>#N/A</v>
      </c>
      <c r="N16994" s="1">
        <v>42552</v>
      </c>
    </row>
    <row r="16995" spans="11:14" x14ac:dyDescent="0.3">
      <c r="K16995" s="1">
        <v>42917</v>
      </c>
      <c r="M16995" t="e">
        <v>#N/A</v>
      </c>
      <c r="N16995" s="1">
        <v>42552</v>
      </c>
    </row>
    <row r="16996" spans="11:14" x14ac:dyDescent="0.3">
      <c r="K16996" s="1">
        <v>42917</v>
      </c>
      <c r="M16996" t="e">
        <v>#N/A</v>
      </c>
      <c r="N16996" s="1">
        <v>42552</v>
      </c>
    </row>
    <row r="16997" spans="11:14" x14ac:dyDescent="0.3">
      <c r="K16997" s="1">
        <v>42917</v>
      </c>
      <c r="M16997" t="e">
        <v>#N/A</v>
      </c>
      <c r="N16997" s="1">
        <v>42552</v>
      </c>
    </row>
    <row r="16998" spans="11:14" x14ac:dyDescent="0.3">
      <c r="K16998" s="1">
        <v>42917</v>
      </c>
      <c r="M16998" t="e">
        <v>#N/A</v>
      </c>
      <c r="N16998" s="1">
        <v>42552</v>
      </c>
    </row>
    <row r="16999" spans="11:14" x14ac:dyDescent="0.3">
      <c r="K16999" s="1">
        <v>42917</v>
      </c>
      <c r="M16999" t="e">
        <v>#N/A</v>
      </c>
      <c r="N16999" s="1">
        <v>42552</v>
      </c>
    </row>
    <row r="17000" spans="11:14" x14ac:dyDescent="0.3">
      <c r="K17000" s="1">
        <v>42917</v>
      </c>
      <c r="M17000" t="e">
        <v>#N/A</v>
      </c>
      <c r="N17000" s="1">
        <v>42552</v>
      </c>
    </row>
    <row r="17001" spans="11:14" x14ac:dyDescent="0.3">
      <c r="K17001" s="1">
        <v>42917</v>
      </c>
      <c r="M17001" t="e">
        <v>#N/A</v>
      </c>
      <c r="N17001" s="1">
        <v>42552</v>
      </c>
    </row>
    <row r="17002" spans="11:14" x14ac:dyDescent="0.3">
      <c r="K17002" s="1">
        <v>42917</v>
      </c>
      <c r="M17002" t="e">
        <v>#N/A</v>
      </c>
      <c r="N17002" s="1">
        <v>42552</v>
      </c>
    </row>
    <row r="17003" spans="11:14" x14ac:dyDescent="0.3">
      <c r="K17003" s="1">
        <v>42917</v>
      </c>
      <c r="M17003" t="e">
        <v>#N/A</v>
      </c>
      <c r="N17003" s="1">
        <v>42552</v>
      </c>
    </row>
    <row r="17004" spans="11:14" x14ac:dyDescent="0.3">
      <c r="K17004" s="1">
        <v>42917</v>
      </c>
      <c r="M17004" t="e">
        <v>#N/A</v>
      </c>
      <c r="N17004" s="1">
        <v>42552</v>
      </c>
    </row>
    <row r="17005" spans="11:14" x14ac:dyDescent="0.3">
      <c r="K17005" s="1">
        <v>42917</v>
      </c>
      <c r="M17005" t="e">
        <v>#N/A</v>
      </c>
      <c r="N17005" s="1">
        <v>42552</v>
      </c>
    </row>
    <row r="17006" spans="11:14" x14ac:dyDescent="0.3">
      <c r="K17006" s="1">
        <v>42917</v>
      </c>
      <c r="M17006" t="e">
        <v>#N/A</v>
      </c>
      <c r="N17006" s="1">
        <v>42552</v>
      </c>
    </row>
    <row r="17007" spans="11:14" x14ac:dyDescent="0.3">
      <c r="K17007" s="1">
        <v>42917</v>
      </c>
      <c r="M17007" t="e">
        <v>#N/A</v>
      </c>
      <c r="N17007" s="1">
        <v>42552</v>
      </c>
    </row>
    <row r="17008" spans="11:14" x14ac:dyDescent="0.3">
      <c r="K17008" s="1">
        <v>42917</v>
      </c>
      <c r="M17008" t="e">
        <v>#N/A</v>
      </c>
      <c r="N17008" s="1">
        <v>42552</v>
      </c>
    </row>
    <row r="17009" spans="11:14" x14ac:dyDescent="0.3">
      <c r="K17009" s="1">
        <v>42917</v>
      </c>
      <c r="M17009" t="e">
        <v>#N/A</v>
      </c>
      <c r="N17009" s="1">
        <v>42552</v>
      </c>
    </row>
    <row r="17010" spans="11:14" x14ac:dyDescent="0.3">
      <c r="K17010" s="1">
        <v>42917</v>
      </c>
      <c r="M17010" t="e">
        <v>#N/A</v>
      </c>
      <c r="N17010" s="1">
        <v>42552</v>
      </c>
    </row>
    <row r="17011" spans="11:14" x14ac:dyDescent="0.3">
      <c r="K17011" s="1">
        <v>42917</v>
      </c>
      <c r="M17011" t="e">
        <v>#N/A</v>
      </c>
      <c r="N17011" s="1">
        <v>42552</v>
      </c>
    </row>
    <row r="17012" spans="11:14" x14ac:dyDescent="0.3">
      <c r="K17012" s="1">
        <v>42917</v>
      </c>
      <c r="M17012" t="e">
        <v>#N/A</v>
      </c>
      <c r="N17012" s="1">
        <v>42552</v>
      </c>
    </row>
    <row r="17013" spans="11:14" x14ac:dyDescent="0.3">
      <c r="K17013" s="1">
        <v>42917</v>
      </c>
      <c r="M17013" t="e">
        <v>#N/A</v>
      </c>
      <c r="N17013" s="1">
        <v>42552</v>
      </c>
    </row>
    <row r="17014" spans="11:14" x14ac:dyDescent="0.3">
      <c r="K17014" s="1">
        <v>42917</v>
      </c>
      <c r="M17014" t="e">
        <v>#N/A</v>
      </c>
      <c r="N17014" s="1">
        <v>42552</v>
      </c>
    </row>
    <row r="17015" spans="11:14" x14ac:dyDescent="0.3">
      <c r="K17015" s="1">
        <v>42917</v>
      </c>
      <c r="M17015" t="e">
        <v>#N/A</v>
      </c>
      <c r="N17015" s="1">
        <v>42552</v>
      </c>
    </row>
    <row r="17016" spans="11:14" x14ac:dyDescent="0.3">
      <c r="K17016" s="1">
        <v>42917</v>
      </c>
      <c r="M17016" t="e">
        <v>#N/A</v>
      </c>
      <c r="N17016" s="1">
        <v>42552</v>
      </c>
    </row>
    <row r="17017" spans="11:14" x14ac:dyDescent="0.3">
      <c r="K17017" s="1">
        <v>42917</v>
      </c>
      <c r="M17017" t="e">
        <v>#N/A</v>
      </c>
      <c r="N17017" s="1">
        <v>42552</v>
      </c>
    </row>
    <row r="17018" spans="11:14" x14ac:dyDescent="0.3">
      <c r="K17018" s="1">
        <v>42917</v>
      </c>
      <c r="M17018" t="e">
        <v>#N/A</v>
      </c>
      <c r="N17018" s="1">
        <v>42552</v>
      </c>
    </row>
    <row r="17019" spans="11:14" x14ac:dyDescent="0.3">
      <c r="K17019" s="1">
        <v>42917</v>
      </c>
      <c r="M17019" t="e">
        <v>#N/A</v>
      </c>
      <c r="N17019" s="1">
        <v>42552</v>
      </c>
    </row>
    <row r="17020" spans="11:14" x14ac:dyDescent="0.3">
      <c r="K17020" s="1">
        <v>42917</v>
      </c>
      <c r="M17020" t="e">
        <v>#N/A</v>
      </c>
      <c r="N17020" s="1">
        <v>42552</v>
      </c>
    </row>
    <row r="17021" spans="11:14" x14ac:dyDescent="0.3">
      <c r="K17021" s="1">
        <v>42917</v>
      </c>
      <c r="M17021" t="e">
        <v>#N/A</v>
      </c>
      <c r="N17021" s="1">
        <v>42552</v>
      </c>
    </row>
    <row r="17022" spans="11:14" x14ac:dyDescent="0.3">
      <c r="K17022" s="1">
        <v>42917</v>
      </c>
      <c r="M17022" t="e">
        <v>#N/A</v>
      </c>
      <c r="N17022" s="1">
        <v>42552</v>
      </c>
    </row>
    <row r="17023" spans="11:14" x14ac:dyDescent="0.3">
      <c r="K17023" s="1">
        <v>42917</v>
      </c>
      <c r="M17023" t="e">
        <v>#N/A</v>
      </c>
      <c r="N17023" s="1">
        <v>42552</v>
      </c>
    </row>
    <row r="17024" spans="11:14" x14ac:dyDescent="0.3">
      <c r="K17024" s="1">
        <v>42917</v>
      </c>
      <c r="M17024" t="e">
        <v>#N/A</v>
      </c>
      <c r="N17024" s="1">
        <v>42552</v>
      </c>
    </row>
    <row r="17025" spans="11:14" x14ac:dyDescent="0.3">
      <c r="K17025" s="1">
        <v>42917</v>
      </c>
      <c r="M17025" t="e">
        <v>#N/A</v>
      </c>
      <c r="N17025" s="1">
        <v>42552</v>
      </c>
    </row>
    <row r="17026" spans="11:14" x14ac:dyDescent="0.3">
      <c r="K17026" s="1">
        <v>42917</v>
      </c>
      <c r="M17026" t="e">
        <v>#N/A</v>
      </c>
      <c r="N17026" s="1">
        <v>42552</v>
      </c>
    </row>
    <row r="17027" spans="11:14" x14ac:dyDescent="0.3">
      <c r="K17027" s="1">
        <v>42917</v>
      </c>
      <c r="M17027" t="e">
        <v>#N/A</v>
      </c>
      <c r="N17027" s="1">
        <v>42552</v>
      </c>
    </row>
    <row r="17028" spans="11:14" x14ac:dyDescent="0.3">
      <c r="K17028" s="1">
        <v>42917</v>
      </c>
      <c r="M17028" t="e">
        <v>#N/A</v>
      </c>
      <c r="N17028" s="1">
        <v>42552</v>
      </c>
    </row>
    <row r="17029" spans="11:14" x14ac:dyDescent="0.3">
      <c r="K17029" s="1">
        <v>42917</v>
      </c>
      <c r="M17029" t="e">
        <v>#N/A</v>
      </c>
      <c r="N17029" s="1">
        <v>42552</v>
      </c>
    </row>
    <row r="17030" spans="11:14" x14ac:dyDescent="0.3">
      <c r="K17030" s="1">
        <v>42917</v>
      </c>
      <c r="M17030" t="e">
        <v>#N/A</v>
      </c>
      <c r="N17030" s="1">
        <v>42552</v>
      </c>
    </row>
    <row r="17031" spans="11:14" x14ac:dyDescent="0.3">
      <c r="K17031" s="1">
        <v>42917</v>
      </c>
      <c r="M17031" t="e">
        <v>#N/A</v>
      </c>
      <c r="N17031" s="1">
        <v>42552</v>
      </c>
    </row>
    <row r="17032" spans="11:14" x14ac:dyDescent="0.3">
      <c r="K17032" s="1">
        <v>42917</v>
      </c>
      <c r="M17032" t="e">
        <v>#N/A</v>
      </c>
      <c r="N17032" s="1">
        <v>42552</v>
      </c>
    </row>
    <row r="17033" spans="11:14" x14ac:dyDescent="0.3">
      <c r="K17033" s="1">
        <v>42917</v>
      </c>
      <c r="M17033" t="e">
        <v>#N/A</v>
      </c>
      <c r="N17033" s="1">
        <v>42552</v>
      </c>
    </row>
    <row r="17034" spans="11:14" x14ac:dyDescent="0.3">
      <c r="K17034" s="1">
        <v>42917</v>
      </c>
      <c r="M17034" t="e">
        <v>#N/A</v>
      </c>
      <c r="N17034" s="1">
        <v>42552</v>
      </c>
    </row>
    <row r="17035" spans="11:14" x14ac:dyDescent="0.3">
      <c r="K17035" s="1">
        <v>42917</v>
      </c>
      <c r="M17035" t="e">
        <v>#N/A</v>
      </c>
      <c r="N17035" s="1">
        <v>42552</v>
      </c>
    </row>
    <row r="17036" spans="11:14" x14ac:dyDescent="0.3">
      <c r="K17036" s="1">
        <v>42917</v>
      </c>
      <c r="M17036" t="e">
        <v>#N/A</v>
      </c>
      <c r="N17036" s="1">
        <v>42552</v>
      </c>
    </row>
    <row r="17037" spans="11:14" x14ac:dyDescent="0.3">
      <c r="K17037" s="1">
        <v>42917</v>
      </c>
      <c r="M17037" t="e">
        <v>#N/A</v>
      </c>
      <c r="N17037" s="1">
        <v>42552</v>
      </c>
    </row>
    <row r="17038" spans="11:14" x14ac:dyDescent="0.3">
      <c r="K17038" s="1">
        <v>42917</v>
      </c>
      <c r="M17038" t="e">
        <v>#N/A</v>
      </c>
      <c r="N17038" s="1">
        <v>42552</v>
      </c>
    </row>
    <row r="17039" spans="11:14" x14ac:dyDescent="0.3">
      <c r="K17039" s="1">
        <v>42917</v>
      </c>
      <c r="M17039" t="e">
        <v>#N/A</v>
      </c>
      <c r="N17039" s="1">
        <v>42552</v>
      </c>
    </row>
    <row r="17040" spans="11:14" x14ac:dyDescent="0.3">
      <c r="K17040" s="1">
        <v>42917</v>
      </c>
      <c r="M17040" t="e">
        <v>#N/A</v>
      </c>
      <c r="N17040" s="1">
        <v>42552</v>
      </c>
    </row>
    <row r="17041" spans="11:14" x14ac:dyDescent="0.3">
      <c r="K17041" s="1">
        <v>42917</v>
      </c>
      <c r="M17041" t="e">
        <v>#N/A</v>
      </c>
      <c r="N17041" s="1">
        <v>42552</v>
      </c>
    </row>
    <row r="17042" spans="11:14" x14ac:dyDescent="0.3">
      <c r="K17042" s="1">
        <v>42917</v>
      </c>
      <c r="M17042" t="e">
        <v>#N/A</v>
      </c>
      <c r="N17042" s="1">
        <v>42552</v>
      </c>
    </row>
    <row r="17043" spans="11:14" x14ac:dyDescent="0.3">
      <c r="K17043" s="1">
        <v>42917</v>
      </c>
      <c r="M17043" t="e">
        <v>#N/A</v>
      </c>
      <c r="N17043" s="1">
        <v>42552</v>
      </c>
    </row>
    <row r="17044" spans="11:14" x14ac:dyDescent="0.3">
      <c r="K17044" s="1">
        <v>42917</v>
      </c>
      <c r="M17044" t="e">
        <v>#N/A</v>
      </c>
      <c r="N17044" s="1">
        <v>42552</v>
      </c>
    </row>
    <row r="17045" spans="11:14" x14ac:dyDescent="0.3">
      <c r="K17045" s="1">
        <v>42917</v>
      </c>
      <c r="M17045" t="e">
        <v>#N/A</v>
      </c>
      <c r="N17045" s="1">
        <v>42552</v>
      </c>
    </row>
    <row r="17046" spans="11:14" x14ac:dyDescent="0.3">
      <c r="K17046" s="1">
        <v>42917</v>
      </c>
      <c r="M17046" t="e">
        <v>#N/A</v>
      </c>
      <c r="N17046" s="1">
        <v>42552</v>
      </c>
    </row>
    <row r="17047" spans="11:14" x14ac:dyDescent="0.3">
      <c r="K17047" s="1">
        <v>42917</v>
      </c>
      <c r="M17047" t="e">
        <v>#N/A</v>
      </c>
      <c r="N17047" s="1">
        <v>42552</v>
      </c>
    </row>
    <row r="17048" spans="11:14" x14ac:dyDescent="0.3">
      <c r="K17048" s="1">
        <v>42917</v>
      </c>
      <c r="M17048" t="e">
        <v>#N/A</v>
      </c>
      <c r="N17048" s="1">
        <v>42552</v>
      </c>
    </row>
    <row r="17049" spans="11:14" x14ac:dyDescent="0.3">
      <c r="K17049" s="1">
        <v>42917</v>
      </c>
      <c r="M17049" t="e">
        <v>#N/A</v>
      </c>
      <c r="N17049" s="1">
        <v>42552</v>
      </c>
    </row>
    <row r="17050" spans="11:14" x14ac:dyDescent="0.3">
      <c r="K17050" s="1">
        <v>42917</v>
      </c>
      <c r="M17050" t="e">
        <v>#N/A</v>
      </c>
      <c r="N17050" s="1">
        <v>42552</v>
      </c>
    </row>
    <row r="17051" spans="11:14" x14ac:dyDescent="0.3">
      <c r="K17051" s="1">
        <v>42917</v>
      </c>
      <c r="M17051" t="e">
        <v>#N/A</v>
      </c>
      <c r="N17051" s="1">
        <v>42552</v>
      </c>
    </row>
    <row r="17052" spans="11:14" x14ac:dyDescent="0.3">
      <c r="K17052" s="1">
        <v>42917</v>
      </c>
      <c r="M17052" t="e">
        <v>#N/A</v>
      </c>
      <c r="N17052" s="1">
        <v>42552</v>
      </c>
    </row>
    <row r="17053" spans="11:14" x14ac:dyDescent="0.3">
      <c r="K17053" s="1">
        <v>42917</v>
      </c>
      <c r="M17053" t="e">
        <v>#N/A</v>
      </c>
      <c r="N17053" s="1">
        <v>42552</v>
      </c>
    </row>
    <row r="17054" spans="11:14" x14ac:dyDescent="0.3">
      <c r="K17054" s="1">
        <v>42917</v>
      </c>
      <c r="M17054" t="e">
        <v>#N/A</v>
      </c>
      <c r="N17054" s="1">
        <v>42552</v>
      </c>
    </row>
    <row r="17055" spans="11:14" x14ac:dyDescent="0.3">
      <c r="K17055" s="1">
        <v>42917</v>
      </c>
      <c r="M17055" t="e">
        <v>#N/A</v>
      </c>
      <c r="N17055" s="1">
        <v>42552</v>
      </c>
    </row>
    <row r="17056" spans="11:14" x14ac:dyDescent="0.3">
      <c r="K17056" s="1">
        <v>42917</v>
      </c>
      <c r="M17056" t="e">
        <v>#N/A</v>
      </c>
      <c r="N17056" s="1">
        <v>42552</v>
      </c>
    </row>
    <row r="17057" spans="11:14" x14ac:dyDescent="0.3">
      <c r="K17057" s="1">
        <v>42917</v>
      </c>
      <c r="M17057" t="e">
        <v>#N/A</v>
      </c>
      <c r="N17057" s="1">
        <v>42552</v>
      </c>
    </row>
    <row r="17058" spans="11:14" x14ac:dyDescent="0.3">
      <c r="K17058" s="1">
        <v>42917</v>
      </c>
      <c r="M17058" t="e">
        <v>#N/A</v>
      </c>
      <c r="N17058" s="1">
        <v>42552</v>
      </c>
    </row>
    <row r="17059" spans="11:14" x14ac:dyDescent="0.3">
      <c r="K17059" s="1">
        <v>42917</v>
      </c>
      <c r="M17059" t="e">
        <v>#N/A</v>
      </c>
      <c r="N17059" s="1">
        <v>42552</v>
      </c>
    </row>
    <row r="17060" spans="11:14" x14ac:dyDescent="0.3">
      <c r="K17060" s="1">
        <v>42917</v>
      </c>
      <c r="M17060" t="e">
        <v>#N/A</v>
      </c>
      <c r="N17060" s="1">
        <v>42552</v>
      </c>
    </row>
    <row r="17061" spans="11:14" x14ac:dyDescent="0.3">
      <c r="K17061" s="1">
        <v>42917</v>
      </c>
      <c r="M17061" t="e">
        <v>#N/A</v>
      </c>
      <c r="N17061" s="1">
        <v>42552</v>
      </c>
    </row>
    <row r="17062" spans="11:14" x14ac:dyDescent="0.3">
      <c r="K17062" s="1">
        <v>42917</v>
      </c>
      <c r="M17062" t="e">
        <v>#N/A</v>
      </c>
      <c r="N17062" s="1">
        <v>42552</v>
      </c>
    </row>
    <row r="17063" spans="11:14" x14ac:dyDescent="0.3">
      <c r="K17063" s="1">
        <v>42917</v>
      </c>
      <c r="M17063" t="e">
        <v>#N/A</v>
      </c>
      <c r="N17063" s="1">
        <v>42552</v>
      </c>
    </row>
    <row r="17064" spans="11:14" x14ac:dyDescent="0.3">
      <c r="K17064" s="1">
        <v>42917</v>
      </c>
      <c r="M17064" t="e">
        <v>#N/A</v>
      </c>
      <c r="N17064" s="1">
        <v>42552</v>
      </c>
    </row>
    <row r="17065" spans="11:14" x14ac:dyDescent="0.3">
      <c r="K17065" s="1">
        <v>42917</v>
      </c>
      <c r="M17065" t="e">
        <v>#N/A</v>
      </c>
      <c r="N17065" s="1">
        <v>42552</v>
      </c>
    </row>
    <row r="17066" spans="11:14" x14ac:dyDescent="0.3">
      <c r="K17066" s="1">
        <v>42917</v>
      </c>
      <c r="M17066" t="e">
        <v>#N/A</v>
      </c>
      <c r="N17066" s="1">
        <v>42552</v>
      </c>
    </row>
    <row r="17067" spans="11:14" x14ac:dyDescent="0.3">
      <c r="K17067" s="1">
        <v>42917</v>
      </c>
      <c r="M17067" t="e">
        <v>#N/A</v>
      </c>
      <c r="N17067" s="1">
        <v>42552</v>
      </c>
    </row>
    <row r="17068" spans="11:14" x14ac:dyDescent="0.3">
      <c r="K17068" s="1">
        <v>42917</v>
      </c>
      <c r="M17068" t="e">
        <v>#N/A</v>
      </c>
      <c r="N17068" s="1">
        <v>42552</v>
      </c>
    </row>
    <row r="17069" spans="11:14" x14ac:dyDescent="0.3">
      <c r="K17069" s="1">
        <v>42917</v>
      </c>
      <c r="M17069" t="e">
        <v>#N/A</v>
      </c>
      <c r="N17069" s="1">
        <v>42552</v>
      </c>
    </row>
    <row r="17070" spans="11:14" x14ac:dyDescent="0.3">
      <c r="K17070" s="1">
        <v>42917</v>
      </c>
      <c r="M17070" t="e">
        <v>#N/A</v>
      </c>
      <c r="N17070" s="1">
        <v>42552</v>
      </c>
    </row>
    <row r="17071" spans="11:14" x14ac:dyDescent="0.3">
      <c r="K17071" s="1">
        <v>42917</v>
      </c>
      <c r="M17071" t="e">
        <v>#N/A</v>
      </c>
      <c r="N17071" s="1">
        <v>42552</v>
      </c>
    </row>
    <row r="17072" spans="11:14" x14ac:dyDescent="0.3">
      <c r="K17072" s="1">
        <v>42917</v>
      </c>
      <c r="M17072" t="e">
        <v>#N/A</v>
      </c>
      <c r="N17072" s="1">
        <v>42552</v>
      </c>
    </row>
    <row r="17073" spans="11:14" x14ac:dyDescent="0.3">
      <c r="K17073" s="1">
        <v>42917</v>
      </c>
      <c r="M17073" t="e">
        <v>#N/A</v>
      </c>
      <c r="N17073" s="1">
        <v>42552</v>
      </c>
    </row>
    <row r="17074" spans="11:14" x14ac:dyDescent="0.3">
      <c r="K17074" s="1">
        <v>42917</v>
      </c>
      <c r="M17074" t="e">
        <v>#N/A</v>
      </c>
      <c r="N17074" s="1">
        <v>42552</v>
      </c>
    </row>
    <row r="17075" spans="11:14" x14ac:dyDescent="0.3">
      <c r="K17075" s="1">
        <v>42917</v>
      </c>
      <c r="M17075" t="e">
        <v>#N/A</v>
      </c>
      <c r="N17075" s="1">
        <v>42552</v>
      </c>
    </row>
    <row r="17076" spans="11:14" x14ac:dyDescent="0.3">
      <c r="K17076" s="1">
        <v>42917</v>
      </c>
      <c r="M17076" t="e">
        <v>#N/A</v>
      </c>
      <c r="N17076" s="1">
        <v>42552</v>
      </c>
    </row>
    <row r="17077" spans="11:14" x14ac:dyDescent="0.3">
      <c r="K17077" s="1">
        <v>42917</v>
      </c>
      <c r="M17077" t="e">
        <v>#N/A</v>
      </c>
      <c r="N17077" s="1">
        <v>42552</v>
      </c>
    </row>
    <row r="17078" spans="11:14" x14ac:dyDescent="0.3">
      <c r="K17078" s="1">
        <v>42917</v>
      </c>
      <c r="M17078" t="e">
        <v>#N/A</v>
      </c>
      <c r="N17078" s="1">
        <v>42552</v>
      </c>
    </row>
    <row r="17079" spans="11:14" x14ac:dyDescent="0.3">
      <c r="K17079" s="1">
        <v>42917</v>
      </c>
      <c r="M17079" t="e">
        <v>#N/A</v>
      </c>
      <c r="N17079" s="1">
        <v>42552</v>
      </c>
    </row>
    <row r="17080" spans="11:14" x14ac:dyDescent="0.3">
      <c r="K17080" s="1">
        <v>42917</v>
      </c>
      <c r="M17080" t="e">
        <v>#N/A</v>
      </c>
      <c r="N17080" s="1">
        <v>42552</v>
      </c>
    </row>
    <row r="17081" spans="11:14" x14ac:dyDescent="0.3">
      <c r="K17081" s="1">
        <v>42917</v>
      </c>
      <c r="M17081" t="e">
        <v>#N/A</v>
      </c>
      <c r="N17081" s="1">
        <v>42552</v>
      </c>
    </row>
    <row r="17082" spans="11:14" x14ac:dyDescent="0.3">
      <c r="K17082" s="1">
        <v>42917</v>
      </c>
      <c r="M17082" t="e">
        <v>#N/A</v>
      </c>
      <c r="N17082" s="1">
        <v>42552</v>
      </c>
    </row>
    <row r="17083" spans="11:14" x14ac:dyDescent="0.3">
      <c r="K17083" s="1">
        <v>42917</v>
      </c>
      <c r="M17083" t="e">
        <v>#N/A</v>
      </c>
      <c r="N17083" s="1">
        <v>42552</v>
      </c>
    </row>
    <row r="17084" spans="11:14" x14ac:dyDescent="0.3">
      <c r="K17084" s="1">
        <v>42917</v>
      </c>
      <c r="M17084" t="e">
        <v>#N/A</v>
      </c>
      <c r="N17084" s="1">
        <v>42552</v>
      </c>
    </row>
    <row r="17085" spans="11:14" x14ac:dyDescent="0.3">
      <c r="K17085" s="1">
        <v>42917</v>
      </c>
      <c r="M17085" t="e">
        <v>#N/A</v>
      </c>
      <c r="N17085" s="1">
        <v>42552</v>
      </c>
    </row>
    <row r="17086" spans="11:14" x14ac:dyDescent="0.3">
      <c r="K17086" s="1">
        <v>42917</v>
      </c>
      <c r="M17086" t="e">
        <v>#N/A</v>
      </c>
      <c r="N17086" s="1">
        <v>42552</v>
      </c>
    </row>
    <row r="17087" spans="11:14" x14ac:dyDescent="0.3">
      <c r="K17087" s="1">
        <v>42917</v>
      </c>
      <c r="M17087" t="e">
        <v>#N/A</v>
      </c>
      <c r="N17087" s="1">
        <v>42552</v>
      </c>
    </row>
    <row r="17088" spans="11:14" x14ac:dyDescent="0.3">
      <c r="K17088" s="1">
        <v>42917</v>
      </c>
      <c r="M17088" t="e">
        <v>#N/A</v>
      </c>
      <c r="N17088" s="1">
        <v>42552</v>
      </c>
    </row>
    <row r="17089" spans="11:14" x14ac:dyDescent="0.3">
      <c r="K17089" s="1">
        <v>42917</v>
      </c>
      <c r="M17089" t="e">
        <v>#N/A</v>
      </c>
      <c r="N17089" s="1">
        <v>42552</v>
      </c>
    </row>
    <row r="17090" spans="11:14" x14ac:dyDescent="0.3">
      <c r="K17090" s="1">
        <v>42917</v>
      </c>
      <c r="M17090" t="e">
        <v>#N/A</v>
      </c>
      <c r="N17090" s="1">
        <v>42552</v>
      </c>
    </row>
    <row r="17091" spans="11:14" x14ac:dyDescent="0.3">
      <c r="K17091" s="1">
        <v>42917</v>
      </c>
      <c r="M17091" t="e">
        <v>#N/A</v>
      </c>
      <c r="N17091" s="1">
        <v>42552</v>
      </c>
    </row>
    <row r="17092" spans="11:14" x14ac:dyDescent="0.3">
      <c r="K17092" s="1">
        <v>42917</v>
      </c>
      <c r="M17092" t="e">
        <v>#N/A</v>
      </c>
      <c r="N17092" s="1">
        <v>42552</v>
      </c>
    </row>
    <row r="17093" spans="11:14" x14ac:dyDescent="0.3">
      <c r="K17093" s="1">
        <v>42917</v>
      </c>
      <c r="M17093" t="e">
        <v>#N/A</v>
      </c>
      <c r="N17093" s="1">
        <v>42552</v>
      </c>
    </row>
    <row r="17094" spans="11:14" x14ac:dyDescent="0.3">
      <c r="K17094" s="1">
        <v>42917</v>
      </c>
      <c r="M17094" t="e">
        <v>#N/A</v>
      </c>
      <c r="N17094" s="1">
        <v>42552</v>
      </c>
    </row>
    <row r="17095" spans="11:14" x14ac:dyDescent="0.3">
      <c r="K17095" s="1">
        <v>42917</v>
      </c>
      <c r="M17095" t="e">
        <v>#N/A</v>
      </c>
      <c r="N17095" s="1">
        <v>42552</v>
      </c>
    </row>
    <row r="17096" spans="11:14" x14ac:dyDescent="0.3">
      <c r="K17096" s="1">
        <v>42917</v>
      </c>
      <c r="M17096" t="e">
        <v>#N/A</v>
      </c>
      <c r="N17096" s="1">
        <v>42552</v>
      </c>
    </row>
    <row r="17097" spans="11:14" x14ac:dyDescent="0.3">
      <c r="K17097" s="1">
        <v>42917</v>
      </c>
      <c r="M17097" t="e">
        <v>#N/A</v>
      </c>
      <c r="N17097" s="1">
        <v>42552</v>
      </c>
    </row>
    <row r="17098" spans="11:14" x14ac:dyDescent="0.3">
      <c r="K17098" s="1">
        <v>42917</v>
      </c>
      <c r="M17098" t="e">
        <v>#N/A</v>
      </c>
      <c r="N17098" s="1">
        <v>42552</v>
      </c>
    </row>
    <row r="17099" spans="11:14" x14ac:dyDescent="0.3">
      <c r="K17099" s="1">
        <v>42917</v>
      </c>
      <c r="M17099" t="e">
        <v>#N/A</v>
      </c>
      <c r="N17099" s="1">
        <v>42552</v>
      </c>
    </row>
    <row r="17100" spans="11:14" x14ac:dyDescent="0.3">
      <c r="K17100" s="1">
        <v>42917</v>
      </c>
      <c r="M17100" t="e">
        <v>#N/A</v>
      </c>
      <c r="N17100" s="1">
        <v>42552</v>
      </c>
    </row>
    <row r="17101" spans="11:14" x14ac:dyDescent="0.3">
      <c r="K17101" s="1">
        <v>42917</v>
      </c>
      <c r="M17101" t="e">
        <v>#N/A</v>
      </c>
      <c r="N17101" s="1">
        <v>42552</v>
      </c>
    </row>
    <row r="17102" spans="11:14" x14ac:dyDescent="0.3">
      <c r="K17102" s="1">
        <v>42917</v>
      </c>
      <c r="M17102" t="e">
        <v>#N/A</v>
      </c>
      <c r="N17102" s="1">
        <v>42552</v>
      </c>
    </row>
    <row r="17103" spans="11:14" x14ac:dyDescent="0.3">
      <c r="K17103" s="1">
        <v>42917</v>
      </c>
      <c r="M17103" t="e">
        <v>#N/A</v>
      </c>
      <c r="N17103" s="1">
        <v>42552</v>
      </c>
    </row>
    <row r="17104" spans="11:14" x14ac:dyDescent="0.3">
      <c r="K17104" s="1">
        <v>42917</v>
      </c>
      <c r="M17104" t="e">
        <v>#N/A</v>
      </c>
      <c r="N17104" s="1">
        <v>42552</v>
      </c>
    </row>
    <row r="17105" spans="11:14" x14ac:dyDescent="0.3">
      <c r="K17105" s="1">
        <v>42917</v>
      </c>
      <c r="M17105" t="e">
        <v>#N/A</v>
      </c>
      <c r="N17105" s="1">
        <v>42552</v>
      </c>
    </row>
    <row r="17106" spans="11:14" x14ac:dyDescent="0.3">
      <c r="K17106" s="1">
        <v>42917</v>
      </c>
      <c r="M17106" t="e">
        <v>#N/A</v>
      </c>
      <c r="N17106" s="1">
        <v>42552</v>
      </c>
    </row>
    <row r="17107" spans="11:14" x14ac:dyDescent="0.3">
      <c r="K17107" s="1">
        <v>42917</v>
      </c>
      <c r="M17107" t="e">
        <v>#N/A</v>
      </c>
      <c r="N17107" s="1">
        <v>42552</v>
      </c>
    </row>
    <row r="17108" spans="11:14" x14ac:dyDescent="0.3">
      <c r="K17108" s="1">
        <v>42917</v>
      </c>
      <c r="M17108" t="e">
        <v>#N/A</v>
      </c>
      <c r="N17108" s="1">
        <v>42552</v>
      </c>
    </row>
    <row r="17109" spans="11:14" x14ac:dyDescent="0.3">
      <c r="K17109" s="1">
        <v>42917</v>
      </c>
      <c r="M17109" t="e">
        <v>#N/A</v>
      </c>
      <c r="N17109" s="1">
        <v>42552</v>
      </c>
    </row>
    <row r="17110" spans="11:14" x14ac:dyDescent="0.3">
      <c r="K17110" s="1">
        <v>42917</v>
      </c>
      <c r="M17110" t="e">
        <v>#N/A</v>
      </c>
      <c r="N17110" s="1">
        <v>42552</v>
      </c>
    </row>
    <row r="17111" spans="11:14" x14ac:dyDescent="0.3">
      <c r="K17111" s="1">
        <v>42917</v>
      </c>
      <c r="M17111" t="e">
        <v>#N/A</v>
      </c>
      <c r="N17111" s="1">
        <v>42552</v>
      </c>
    </row>
    <row r="17112" spans="11:14" x14ac:dyDescent="0.3">
      <c r="K17112" s="1">
        <v>42917</v>
      </c>
      <c r="M17112" t="e">
        <v>#N/A</v>
      </c>
      <c r="N17112" s="1">
        <v>42552</v>
      </c>
    </row>
    <row r="17113" spans="11:14" x14ac:dyDescent="0.3">
      <c r="K17113" s="1">
        <v>42917</v>
      </c>
      <c r="M17113" t="e">
        <v>#N/A</v>
      </c>
      <c r="N17113" s="1">
        <v>42552</v>
      </c>
    </row>
    <row r="17114" spans="11:14" x14ac:dyDescent="0.3">
      <c r="K17114" s="1">
        <v>42917</v>
      </c>
      <c r="M17114" t="e">
        <v>#N/A</v>
      </c>
      <c r="N17114" s="1">
        <v>42552</v>
      </c>
    </row>
    <row r="17115" spans="11:14" x14ac:dyDescent="0.3">
      <c r="K17115" s="1">
        <v>42917</v>
      </c>
      <c r="M17115" t="e">
        <v>#N/A</v>
      </c>
      <c r="N17115" s="1">
        <v>42552</v>
      </c>
    </row>
    <row r="17116" spans="11:14" x14ac:dyDescent="0.3">
      <c r="K17116" s="1">
        <v>42917</v>
      </c>
      <c r="M17116" t="e">
        <v>#N/A</v>
      </c>
      <c r="N17116" s="1">
        <v>42552</v>
      </c>
    </row>
    <row r="17117" spans="11:14" x14ac:dyDescent="0.3">
      <c r="K17117" s="1">
        <v>42917</v>
      </c>
      <c r="M17117" t="e">
        <v>#N/A</v>
      </c>
      <c r="N17117" s="1">
        <v>42552</v>
      </c>
    </row>
    <row r="17118" spans="11:14" x14ac:dyDescent="0.3">
      <c r="K17118" s="1">
        <v>42917</v>
      </c>
      <c r="M17118" t="e">
        <v>#N/A</v>
      </c>
      <c r="N17118" s="1">
        <v>42552</v>
      </c>
    </row>
    <row r="17119" spans="11:14" x14ac:dyDescent="0.3">
      <c r="K17119" s="1">
        <v>42917</v>
      </c>
      <c r="M17119" t="e">
        <v>#N/A</v>
      </c>
      <c r="N17119" s="1">
        <v>42552</v>
      </c>
    </row>
    <row r="17120" spans="11:14" x14ac:dyDescent="0.3">
      <c r="K17120" s="1">
        <v>42917</v>
      </c>
      <c r="M17120" t="e">
        <v>#N/A</v>
      </c>
      <c r="N17120" s="1">
        <v>42552</v>
      </c>
    </row>
    <row r="17121" spans="11:14" x14ac:dyDescent="0.3">
      <c r="K17121" s="1">
        <v>42917</v>
      </c>
      <c r="M17121" t="e">
        <v>#N/A</v>
      </c>
      <c r="N17121" s="1">
        <v>42552</v>
      </c>
    </row>
    <row r="17122" spans="11:14" x14ac:dyDescent="0.3">
      <c r="K17122" s="1">
        <v>42917</v>
      </c>
      <c r="M17122" t="e">
        <v>#N/A</v>
      </c>
      <c r="N17122" s="1">
        <v>42552</v>
      </c>
    </row>
    <row r="17123" spans="11:14" x14ac:dyDescent="0.3">
      <c r="K17123" s="1">
        <v>42917</v>
      </c>
      <c r="M17123" t="e">
        <v>#N/A</v>
      </c>
      <c r="N17123" s="1">
        <v>42552</v>
      </c>
    </row>
    <row r="17124" spans="11:14" x14ac:dyDescent="0.3">
      <c r="K17124" s="1">
        <v>42917</v>
      </c>
      <c r="M17124" t="e">
        <v>#N/A</v>
      </c>
      <c r="N17124" s="1">
        <v>42552</v>
      </c>
    </row>
    <row r="17125" spans="11:14" x14ac:dyDescent="0.3">
      <c r="K17125" s="1">
        <v>42917</v>
      </c>
      <c r="M17125" t="e">
        <v>#N/A</v>
      </c>
      <c r="N17125" s="1">
        <v>42552</v>
      </c>
    </row>
    <row r="17126" spans="11:14" x14ac:dyDescent="0.3">
      <c r="K17126" s="1">
        <v>42917</v>
      </c>
      <c r="M17126" t="e">
        <v>#N/A</v>
      </c>
      <c r="N17126" s="1">
        <v>42552</v>
      </c>
    </row>
    <row r="17127" spans="11:14" x14ac:dyDescent="0.3">
      <c r="K17127" s="1">
        <v>42917</v>
      </c>
      <c r="M17127" t="e">
        <v>#N/A</v>
      </c>
      <c r="N17127" s="1">
        <v>42552</v>
      </c>
    </row>
    <row r="17128" spans="11:14" x14ac:dyDescent="0.3">
      <c r="K17128" s="1">
        <v>42917</v>
      </c>
      <c r="M17128" t="e">
        <v>#N/A</v>
      </c>
      <c r="N17128" s="1">
        <v>42552</v>
      </c>
    </row>
    <row r="17129" spans="11:14" x14ac:dyDescent="0.3">
      <c r="K17129" s="1">
        <v>42917</v>
      </c>
      <c r="M17129" t="e">
        <v>#N/A</v>
      </c>
      <c r="N17129" s="1">
        <v>42552</v>
      </c>
    </row>
    <row r="17130" spans="11:14" x14ac:dyDescent="0.3">
      <c r="K17130" s="1">
        <v>42917</v>
      </c>
      <c r="M17130" t="e">
        <v>#N/A</v>
      </c>
      <c r="N17130" s="1">
        <v>42552</v>
      </c>
    </row>
    <row r="17131" spans="11:14" x14ac:dyDescent="0.3">
      <c r="K17131" s="1">
        <v>42917</v>
      </c>
      <c r="M17131" t="e">
        <v>#N/A</v>
      </c>
      <c r="N17131" s="1">
        <v>42552</v>
      </c>
    </row>
    <row r="17132" spans="11:14" x14ac:dyDescent="0.3">
      <c r="K17132" s="1">
        <v>42917</v>
      </c>
      <c r="M17132" t="e">
        <v>#N/A</v>
      </c>
      <c r="N17132" s="1">
        <v>42552</v>
      </c>
    </row>
    <row r="17133" spans="11:14" x14ac:dyDescent="0.3">
      <c r="K17133" s="1">
        <v>42917</v>
      </c>
      <c r="M17133" t="e">
        <v>#N/A</v>
      </c>
      <c r="N17133" s="1">
        <v>42552</v>
      </c>
    </row>
    <row r="17134" spans="11:14" x14ac:dyDescent="0.3">
      <c r="K17134" s="1">
        <v>42917</v>
      </c>
      <c r="M17134" t="e">
        <v>#N/A</v>
      </c>
      <c r="N17134" s="1">
        <v>42552</v>
      </c>
    </row>
    <row r="17135" spans="11:14" x14ac:dyDescent="0.3">
      <c r="K17135" s="1">
        <v>42917</v>
      </c>
      <c r="M17135" t="e">
        <v>#N/A</v>
      </c>
      <c r="N17135" s="1">
        <v>42552</v>
      </c>
    </row>
    <row r="17136" spans="11:14" x14ac:dyDescent="0.3">
      <c r="K17136" s="1">
        <v>42917</v>
      </c>
      <c r="M17136" t="e">
        <v>#N/A</v>
      </c>
      <c r="N17136" s="1">
        <v>42552</v>
      </c>
    </row>
    <row r="17137" spans="11:14" x14ac:dyDescent="0.3">
      <c r="K17137" s="1">
        <v>42917</v>
      </c>
      <c r="M17137" t="e">
        <v>#N/A</v>
      </c>
      <c r="N17137" s="1">
        <v>42552</v>
      </c>
    </row>
    <row r="17138" spans="11:14" x14ac:dyDescent="0.3">
      <c r="K17138" s="1">
        <v>42917</v>
      </c>
      <c r="M17138" t="e">
        <v>#N/A</v>
      </c>
      <c r="N17138" s="1">
        <v>42552</v>
      </c>
    </row>
    <row r="17139" spans="11:14" x14ac:dyDescent="0.3">
      <c r="K17139" s="1">
        <v>42917</v>
      </c>
      <c r="M17139" t="e">
        <v>#N/A</v>
      </c>
      <c r="N17139" s="1">
        <v>42552</v>
      </c>
    </row>
    <row r="17140" spans="11:14" x14ac:dyDescent="0.3">
      <c r="K17140" s="1">
        <v>42917</v>
      </c>
      <c r="M17140" t="e">
        <v>#N/A</v>
      </c>
      <c r="N17140" s="1">
        <v>42552</v>
      </c>
    </row>
    <row r="17141" spans="11:14" x14ac:dyDescent="0.3">
      <c r="K17141" s="1">
        <v>42917</v>
      </c>
      <c r="M17141" t="e">
        <v>#N/A</v>
      </c>
      <c r="N17141" s="1">
        <v>42552</v>
      </c>
    </row>
    <row r="17142" spans="11:14" x14ac:dyDescent="0.3">
      <c r="K17142" s="1">
        <v>42917</v>
      </c>
      <c r="M17142" t="e">
        <v>#N/A</v>
      </c>
      <c r="N17142" s="1">
        <v>42552</v>
      </c>
    </row>
    <row r="17143" spans="11:14" x14ac:dyDescent="0.3">
      <c r="K17143" s="1">
        <v>42917</v>
      </c>
      <c r="M17143" t="e">
        <v>#N/A</v>
      </c>
      <c r="N17143" s="1">
        <v>42552</v>
      </c>
    </row>
    <row r="17144" spans="11:14" x14ac:dyDescent="0.3">
      <c r="K17144" s="1">
        <v>42917</v>
      </c>
      <c r="M17144" t="e">
        <v>#N/A</v>
      </c>
      <c r="N17144" s="1">
        <v>42552</v>
      </c>
    </row>
    <row r="17145" spans="11:14" x14ac:dyDescent="0.3">
      <c r="K17145" s="1">
        <v>42917</v>
      </c>
      <c r="M17145" t="e">
        <v>#N/A</v>
      </c>
      <c r="N17145" s="1">
        <v>42552</v>
      </c>
    </row>
    <row r="17146" spans="11:14" x14ac:dyDescent="0.3">
      <c r="K17146" s="1">
        <v>42917</v>
      </c>
      <c r="M17146" t="e">
        <v>#N/A</v>
      </c>
      <c r="N17146" s="1">
        <v>42552</v>
      </c>
    </row>
    <row r="17147" spans="11:14" x14ac:dyDescent="0.3">
      <c r="K17147" s="1">
        <v>42917</v>
      </c>
      <c r="M17147" t="e">
        <v>#N/A</v>
      </c>
      <c r="N17147" s="1">
        <v>42552</v>
      </c>
    </row>
    <row r="17148" spans="11:14" x14ac:dyDescent="0.3">
      <c r="K17148" s="1">
        <v>42917</v>
      </c>
      <c r="M17148" t="e">
        <v>#N/A</v>
      </c>
      <c r="N17148" s="1">
        <v>42552</v>
      </c>
    </row>
    <row r="17149" spans="11:14" x14ac:dyDescent="0.3">
      <c r="K17149" s="1">
        <v>42917</v>
      </c>
      <c r="M17149" t="e">
        <v>#N/A</v>
      </c>
      <c r="N17149" s="1">
        <v>42552</v>
      </c>
    </row>
    <row r="17150" spans="11:14" x14ac:dyDescent="0.3">
      <c r="K17150" s="1">
        <v>42917</v>
      </c>
      <c r="M17150" t="e">
        <v>#N/A</v>
      </c>
      <c r="N17150" s="1">
        <v>42552</v>
      </c>
    </row>
    <row r="17151" spans="11:14" x14ac:dyDescent="0.3">
      <c r="K17151" s="1">
        <v>42917</v>
      </c>
      <c r="M17151" t="e">
        <v>#N/A</v>
      </c>
      <c r="N17151" s="1">
        <v>42552</v>
      </c>
    </row>
    <row r="17152" spans="11:14" x14ac:dyDescent="0.3">
      <c r="K17152" s="1">
        <v>42917</v>
      </c>
      <c r="M17152" t="e">
        <v>#N/A</v>
      </c>
      <c r="N17152" s="1">
        <v>42552</v>
      </c>
    </row>
    <row r="17153" spans="11:14" x14ac:dyDescent="0.3">
      <c r="K17153" s="1">
        <v>42917</v>
      </c>
      <c r="M17153" t="e">
        <v>#N/A</v>
      </c>
      <c r="N17153" s="1">
        <v>42552</v>
      </c>
    </row>
    <row r="17154" spans="11:14" x14ac:dyDescent="0.3">
      <c r="K17154" s="1">
        <v>42917</v>
      </c>
      <c r="M17154" t="e">
        <v>#N/A</v>
      </c>
      <c r="N17154" s="1">
        <v>42552</v>
      </c>
    </row>
    <row r="17155" spans="11:14" x14ac:dyDescent="0.3">
      <c r="K17155" s="1">
        <v>42917</v>
      </c>
      <c r="M17155" t="e">
        <v>#N/A</v>
      </c>
      <c r="N17155" s="1">
        <v>42552</v>
      </c>
    </row>
    <row r="17156" spans="11:14" x14ac:dyDescent="0.3">
      <c r="K17156" s="1">
        <v>42917</v>
      </c>
      <c r="M17156" t="e">
        <v>#N/A</v>
      </c>
      <c r="N17156" s="1">
        <v>42552</v>
      </c>
    </row>
    <row r="17157" spans="11:14" x14ac:dyDescent="0.3">
      <c r="K17157" s="1">
        <v>42917</v>
      </c>
      <c r="M17157" t="e">
        <v>#N/A</v>
      </c>
      <c r="N17157" s="1">
        <v>42552</v>
      </c>
    </row>
    <row r="17158" spans="11:14" x14ac:dyDescent="0.3">
      <c r="K17158" s="1">
        <v>42917</v>
      </c>
      <c r="M17158" t="e">
        <v>#N/A</v>
      </c>
      <c r="N17158" s="1">
        <v>42552</v>
      </c>
    </row>
    <row r="17159" spans="11:14" x14ac:dyDescent="0.3">
      <c r="K17159" s="1">
        <v>42917</v>
      </c>
      <c r="M17159" t="e">
        <v>#N/A</v>
      </c>
      <c r="N17159" s="1">
        <v>42552</v>
      </c>
    </row>
    <row r="17160" spans="11:14" x14ac:dyDescent="0.3">
      <c r="K17160" s="1">
        <v>42917</v>
      </c>
      <c r="M17160" t="e">
        <v>#N/A</v>
      </c>
      <c r="N17160" s="1">
        <v>42552</v>
      </c>
    </row>
    <row r="17161" spans="11:14" x14ac:dyDescent="0.3">
      <c r="K17161" s="1">
        <v>42917</v>
      </c>
      <c r="M17161" t="e">
        <v>#N/A</v>
      </c>
      <c r="N17161" s="1">
        <v>42552</v>
      </c>
    </row>
    <row r="17162" spans="11:14" x14ac:dyDescent="0.3">
      <c r="K17162" s="1">
        <v>42917</v>
      </c>
      <c r="M17162" t="e">
        <v>#N/A</v>
      </c>
      <c r="N17162" s="1">
        <v>42552</v>
      </c>
    </row>
    <row r="17163" spans="11:14" x14ac:dyDescent="0.3">
      <c r="K17163" s="1">
        <v>42917</v>
      </c>
      <c r="M17163" t="e">
        <v>#N/A</v>
      </c>
      <c r="N17163" s="1">
        <v>42552</v>
      </c>
    </row>
    <row r="17164" spans="11:14" x14ac:dyDescent="0.3">
      <c r="K17164" s="1">
        <v>42917</v>
      </c>
      <c r="M17164" t="e">
        <v>#N/A</v>
      </c>
      <c r="N17164" s="1">
        <v>42552</v>
      </c>
    </row>
    <row r="17165" spans="11:14" x14ac:dyDescent="0.3">
      <c r="K17165" s="1">
        <v>42917</v>
      </c>
      <c r="M17165" t="e">
        <v>#N/A</v>
      </c>
      <c r="N17165" s="1">
        <v>42552</v>
      </c>
    </row>
    <row r="17166" spans="11:14" x14ac:dyDescent="0.3">
      <c r="K17166" s="1">
        <v>42917</v>
      </c>
      <c r="M17166" t="e">
        <v>#N/A</v>
      </c>
      <c r="N17166" s="1">
        <v>42552</v>
      </c>
    </row>
    <row r="17167" spans="11:14" x14ac:dyDescent="0.3">
      <c r="K17167" s="1">
        <v>42917</v>
      </c>
      <c r="M17167" t="e">
        <v>#N/A</v>
      </c>
      <c r="N17167" s="1">
        <v>42552</v>
      </c>
    </row>
    <row r="17168" spans="11:14" x14ac:dyDescent="0.3">
      <c r="K17168" s="1">
        <v>42917</v>
      </c>
      <c r="M17168" t="e">
        <v>#N/A</v>
      </c>
      <c r="N17168" s="1">
        <v>42552</v>
      </c>
    </row>
    <row r="17169" spans="11:14" x14ac:dyDescent="0.3">
      <c r="K17169" s="1">
        <v>42917</v>
      </c>
      <c r="M17169" t="e">
        <v>#N/A</v>
      </c>
      <c r="N17169" s="1">
        <v>42552</v>
      </c>
    </row>
    <row r="17170" spans="11:14" x14ac:dyDescent="0.3">
      <c r="K17170" s="1">
        <v>42917</v>
      </c>
      <c r="M17170" t="e">
        <v>#N/A</v>
      </c>
      <c r="N17170" s="1">
        <v>42552</v>
      </c>
    </row>
    <row r="17171" spans="11:14" x14ac:dyDescent="0.3">
      <c r="K17171" s="1">
        <v>42917</v>
      </c>
      <c r="M17171" t="e">
        <v>#N/A</v>
      </c>
      <c r="N17171" s="1">
        <v>42552</v>
      </c>
    </row>
    <row r="17172" spans="11:14" x14ac:dyDescent="0.3">
      <c r="K17172" s="1">
        <v>42917</v>
      </c>
      <c r="M17172" t="e">
        <v>#N/A</v>
      </c>
      <c r="N17172" s="1">
        <v>42552</v>
      </c>
    </row>
    <row r="17173" spans="11:14" x14ac:dyDescent="0.3">
      <c r="K17173" s="1">
        <v>42917</v>
      </c>
      <c r="M17173" t="e">
        <v>#N/A</v>
      </c>
      <c r="N17173" s="1">
        <v>42552</v>
      </c>
    </row>
    <row r="17174" spans="11:14" x14ac:dyDescent="0.3">
      <c r="K17174" s="1">
        <v>42917</v>
      </c>
      <c r="M17174" t="e">
        <v>#N/A</v>
      </c>
      <c r="N17174" s="1">
        <v>42552</v>
      </c>
    </row>
    <row r="17175" spans="11:14" x14ac:dyDescent="0.3">
      <c r="K17175" s="1">
        <v>42917</v>
      </c>
      <c r="M17175" t="e">
        <v>#N/A</v>
      </c>
      <c r="N17175" s="1">
        <v>42552</v>
      </c>
    </row>
    <row r="17176" spans="11:14" x14ac:dyDescent="0.3">
      <c r="K17176" s="1">
        <v>42917</v>
      </c>
      <c r="M17176" t="e">
        <v>#N/A</v>
      </c>
      <c r="N17176" s="1">
        <v>42552</v>
      </c>
    </row>
    <row r="17177" spans="11:14" x14ac:dyDescent="0.3">
      <c r="K17177" s="1">
        <v>42917</v>
      </c>
      <c r="M17177" t="e">
        <v>#N/A</v>
      </c>
      <c r="N17177" s="1">
        <v>42552</v>
      </c>
    </row>
    <row r="17178" spans="11:14" x14ac:dyDescent="0.3">
      <c r="K17178" s="1">
        <v>42917</v>
      </c>
      <c r="M17178" t="e">
        <v>#N/A</v>
      </c>
      <c r="N17178" s="1">
        <v>42552</v>
      </c>
    </row>
    <row r="17179" spans="11:14" x14ac:dyDescent="0.3">
      <c r="K17179" s="1">
        <v>42917</v>
      </c>
      <c r="M17179" t="e">
        <v>#N/A</v>
      </c>
      <c r="N17179" s="1">
        <v>42552</v>
      </c>
    </row>
    <row r="17180" spans="11:14" x14ac:dyDescent="0.3">
      <c r="K17180" s="1">
        <v>42917</v>
      </c>
      <c r="M17180" t="e">
        <v>#N/A</v>
      </c>
      <c r="N17180" s="1">
        <v>42552</v>
      </c>
    </row>
    <row r="17181" spans="11:14" x14ac:dyDescent="0.3">
      <c r="K17181" s="1">
        <v>42917</v>
      </c>
      <c r="M17181" t="e">
        <v>#N/A</v>
      </c>
      <c r="N17181" s="1">
        <v>42552</v>
      </c>
    </row>
    <row r="17182" spans="11:14" x14ac:dyDescent="0.3">
      <c r="K17182" s="1">
        <v>42917</v>
      </c>
      <c r="M17182" t="e">
        <v>#N/A</v>
      </c>
      <c r="N17182" s="1">
        <v>42552</v>
      </c>
    </row>
    <row r="17183" spans="11:14" x14ac:dyDescent="0.3">
      <c r="K17183" s="1">
        <v>42917</v>
      </c>
      <c r="M17183" t="e">
        <v>#N/A</v>
      </c>
      <c r="N17183" s="1">
        <v>42552</v>
      </c>
    </row>
    <row r="17184" spans="11:14" x14ac:dyDescent="0.3">
      <c r="K17184" s="1">
        <v>43009</v>
      </c>
      <c r="M17184" t="e">
        <v>#N/A</v>
      </c>
      <c r="N17184" s="1">
        <v>42552</v>
      </c>
    </row>
    <row r="17185" spans="11:14" x14ac:dyDescent="0.3">
      <c r="K17185" s="1">
        <v>43009</v>
      </c>
      <c r="M17185" t="e">
        <v>#N/A</v>
      </c>
      <c r="N17185" s="1">
        <v>42552</v>
      </c>
    </row>
    <row r="17186" spans="11:14" x14ac:dyDescent="0.3">
      <c r="K17186" s="1">
        <v>43009</v>
      </c>
      <c r="M17186" t="e">
        <v>#N/A</v>
      </c>
      <c r="N17186" s="1">
        <v>42552</v>
      </c>
    </row>
    <row r="17187" spans="11:14" x14ac:dyDescent="0.3">
      <c r="K17187" s="1">
        <v>43009</v>
      </c>
      <c r="M17187" t="e">
        <v>#N/A</v>
      </c>
      <c r="N17187" s="1">
        <v>42552</v>
      </c>
    </row>
    <row r="17188" spans="11:14" x14ac:dyDescent="0.3">
      <c r="K17188" s="1">
        <v>43009</v>
      </c>
      <c r="M17188" t="e">
        <v>#N/A</v>
      </c>
      <c r="N17188" s="1">
        <v>42552</v>
      </c>
    </row>
    <row r="17189" spans="11:14" x14ac:dyDescent="0.3">
      <c r="K17189" s="1">
        <v>43009</v>
      </c>
      <c r="M17189" t="e">
        <v>#N/A</v>
      </c>
      <c r="N17189" s="1">
        <v>42552</v>
      </c>
    </row>
    <row r="17190" spans="11:14" x14ac:dyDescent="0.3">
      <c r="K17190" s="1">
        <v>43009</v>
      </c>
      <c r="M17190" t="e">
        <v>#N/A</v>
      </c>
      <c r="N17190" s="1">
        <v>42552</v>
      </c>
    </row>
    <row r="17191" spans="11:14" x14ac:dyDescent="0.3">
      <c r="K17191" s="1">
        <v>43009</v>
      </c>
      <c r="M17191" t="e">
        <v>#N/A</v>
      </c>
      <c r="N17191" s="1">
        <v>42552</v>
      </c>
    </row>
    <row r="17192" spans="11:14" x14ac:dyDescent="0.3">
      <c r="K17192" s="1">
        <v>43009</v>
      </c>
      <c r="M17192" t="e">
        <v>#N/A</v>
      </c>
      <c r="N17192" s="1">
        <v>42552</v>
      </c>
    </row>
    <row r="17193" spans="11:14" x14ac:dyDescent="0.3">
      <c r="K17193" s="1">
        <v>43009</v>
      </c>
      <c r="M17193" t="e">
        <v>#N/A</v>
      </c>
      <c r="N17193" s="1">
        <v>42552</v>
      </c>
    </row>
    <row r="17194" spans="11:14" x14ac:dyDescent="0.3">
      <c r="K17194" s="1">
        <v>43009</v>
      </c>
      <c r="M17194" t="e">
        <v>#N/A</v>
      </c>
      <c r="N17194" s="1">
        <v>42552</v>
      </c>
    </row>
    <row r="17195" spans="11:14" x14ac:dyDescent="0.3">
      <c r="K17195" s="1">
        <v>43009</v>
      </c>
      <c r="M17195" t="e">
        <v>#N/A</v>
      </c>
      <c r="N17195" s="1">
        <v>42552</v>
      </c>
    </row>
    <row r="17196" spans="11:14" x14ac:dyDescent="0.3">
      <c r="K17196" s="1">
        <v>43009</v>
      </c>
      <c r="M17196" t="e">
        <v>#N/A</v>
      </c>
      <c r="N17196" s="1">
        <v>42552</v>
      </c>
    </row>
    <row r="17197" spans="11:14" x14ac:dyDescent="0.3">
      <c r="K17197" s="1">
        <v>43009</v>
      </c>
      <c r="M17197" t="e">
        <v>#N/A</v>
      </c>
      <c r="N17197" s="1">
        <v>42552</v>
      </c>
    </row>
    <row r="17198" spans="11:14" x14ac:dyDescent="0.3">
      <c r="K17198" s="1">
        <v>43009</v>
      </c>
      <c r="M17198" t="e">
        <v>#N/A</v>
      </c>
      <c r="N17198" s="1">
        <v>42552</v>
      </c>
    </row>
    <row r="17199" spans="11:14" x14ac:dyDescent="0.3">
      <c r="K17199" s="1">
        <v>43009</v>
      </c>
      <c r="M17199" t="e">
        <v>#N/A</v>
      </c>
      <c r="N17199" s="1">
        <v>42552</v>
      </c>
    </row>
    <row r="17200" spans="11:14" x14ac:dyDescent="0.3">
      <c r="K17200" s="1">
        <v>43009</v>
      </c>
      <c r="M17200" t="e">
        <v>#N/A</v>
      </c>
      <c r="N17200" s="1">
        <v>42552</v>
      </c>
    </row>
    <row r="17201" spans="11:14" x14ac:dyDescent="0.3">
      <c r="K17201" s="1">
        <v>43009</v>
      </c>
      <c r="M17201" t="e">
        <v>#N/A</v>
      </c>
      <c r="N17201" s="1">
        <v>42552</v>
      </c>
    </row>
    <row r="17202" spans="11:14" x14ac:dyDescent="0.3">
      <c r="K17202" s="1">
        <v>43009</v>
      </c>
      <c r="M17202" t="e">
        <v>#N/A</v>
      </c>
      <c r="N17202" s="1">
        <v>42552</v>
      </c>
    </row>
    <row r="17203" spans="11:14" x14ac:dyDescent="0.3">
      <c r="K17203" s="1">
        <v>43009</v>
      </c>
      <c r="M17203" t="e">
        <v>#N/A</v>
      </c>
      <c r="N17203" s="1">
        <v>42552</v>
      </c>
    </row>
    <row r="17204" spans="11:14" x14ac:dyDescent="0.3">
      <c r="K17204" s="1">
        <v>43009</v>
      </c>
      <c r="M17204" t="e">
        <v>#N/A</v>
      </c>
      <c r="N17204" s="1">
        <v>42552</v>
      </c>
    </row>
    <row r="17205" spans="11:14" x14ac:dyDescent="0.3">
      <c r="K17205" s="1">
        <v>43009</v>
      </c>
      <c r="M17205" t="e">
        <v>#N/A</v>
      </c>
      <c r="N17205" s="1">
        <v>42552</v>
      </c>
    </row>
    <row r="17206" spans="11:14" x14ac:dyDescent="0.3">
      <c r="K17206" s="1">
        <v>43009</v>
      </c>
      <c r="M17206" t="e">
        <v>#N/A</v>
      </c>
      <c r="N17206" s="1">
        <v>42552</v>
      </c>
    </row>
    <row r="17207" spans="11:14" x14ac:dyDescent="0.3">
      <c r="K17207" s="1">
        <v>43009</v>
      </c>
      <c r="M17207" t="e">
        <v>#N/A</v>
      </c>
      <c r="N17207" s="1">
        <v>42552</v>
      </c>
    </row>
    <row r="17208" spans="11:14" x14ac:dyDescent="0.3">
      <c r="K17208" s="1">
        <v>43009</v>
      </c>
      <c r="M17208" t="e">
        <v>#N/A</v>
      </c>
      <c r="N17208" s="1">
        <v>42552</v>
      </c>
    </row>
    <row r="17209" spans="11:14" x14ac:dyDescent="0.3">
      <c r="K17209" s="1">
        <v>43009</v>
      </c>
      <c r="M17209" t="e">
        <v>#N/A</v>
      </c>
      <c r="N17209" s="1">
        <v>42552</v>
      </c>
    </row>
    <row r="17210" spans="11:14" x14ac:dyDescent="0.3">
      <c r="K17210" s="1">
        <v>43009</v>
      </c>
      <c r="M17210" t="e">
        <v>#N/A</v>
      </c>
      <c r="N17210" s="1">
        <v>42552</v>
      </c>
    </row>
    <row r="17211" spans="11:14" x14ac:dyDescent="0.3">
      <c r="K17211" s="1">
        <v>43009</v>
      </c>
      <c r="M17211" t="e">
        <v>#N/A</v>
      </c>
      <c r="N17211" s="1">
        <v>42552</v>
      </c>
    </row>
    <row r="17212" spans="11:14" x14ac:dyDescent="0.3">
      <c r="K17212" s="1">
        <v>43009</v>
      </c>
      <c r="M17212" t="e">
        <v>#N/A</v>
      </c>
      <c r="N17212" s="1">
        <v>42552</v>
      </c>
    </row>
    <row r="17213" spans="11:14" x14ac:dyDescent="0.3">
      <c r="K17213" s="1">
        <v>43009</v>
      </c>
      <c r="M17213" t="e">
        <v>#N/A</v>
      </c>
      <c r="N17213" s="1">
        <v>42552</v>
      </c>
    </row>
    <row r="17214" spans="11:14" x14ac:dyDescent="0.3">
      <c r="K17214" s="1">
        <v>43009</v>
      </c>
      <c r="M17214" t="e">
        <v>#N/A</v>
      </c>
      <c r="N17214" s="1">
        <v>42552</v>
      </c>
    </row>
    <row r="17215" spans="11:14" x14ac:dyDescent="0.3">
      <c r="K17215" s="1">
        <v>43009</v>
      </c>
      <c r="M17215" t="e">
        <v>#N/A</v>
      </c>
      <c r="N17215" s="1">
        <v>42552</v>
      </c>
    </row>
    <row r="17216" spans="11:14" x14ac:dyDescent="0.3">
      <c r="K17216" s="1">
        <v>43009</v>
      </c>
      <c r="M17216" t="e">
        <v>#N/A</v>
      </c>
      <c r="N17216" s="1">
        <v>42552</v>
      </c>
    </row>
    <row r="17217" spans="11:14" x14ac:dyDescent="0.3">
      <c r="K17217" s="1">
        <v>43009</v>
      </c>
      <c r="M17217" t="e">
        <v>#N/A</v>
      </c>
      <c r="N17217" s="1">
        <v>42552</v>
      </c>
    </row>
    <row r="17218" spans="11:14" x14ac:dyDescent="0.3">
      <c r="K17218" s="1">
        <v>43009</v>
      </c>
      <c r="M17218" t="e">
        <v>#N/A</v>
      </c>
      <c r="N17218" s="1">
        <v>42552</v>
      </c>
    </row>
    <row r="17219" spans="11:14" x14ac:dyDescent="0.3">
      <c r="K17219" s="1">
        <v>43009</v>
      </c>
      <c r="M17219" t="e">
        <v>#N/A</v>
      </c>
      <c r="N17219" s="1">
        <v>42552</v>
      </c>
    </row>
    <row r="17220" spans="11:14" x14ac:dyDescent="0.3">
      <c r="K17220" s="1">
        <v>43009</v>
      </c>
      <c r="M17220" t="e">
        <v>#N/A</v>
      </c>
      <c r="N17220" s="1">
        <v>42552</v>
      </c>
    </row>
    <row r="17221" spans="11:14" x14ac:dyDescent="0.3">
      <c r="K17221" s="1">
        <v>43009</v>
      </c>
      <c r="M17221" t="e">
        <v>#N/A</v>
      </c>
      <c r="N17221" s="1">
        <v>42552</v>
      </c>
    </row>
    <row r="17222" spans="11:14" x14ac:dyDescent="0.3">
      <c r="K17222" s="1">
        <v>43009</v>
      </c>
      <c r="M17222" t="e">
        <v>#N/A</v>
      </c>
      <c r="N17222" s="1">
        <v>42552</v>
      </c>
    </row>
    <row r="17223" spans="11:14" x14ac:dyDescent="0.3">
      <c r="K17223" s="1">
        <v>43009</v>
      </c>
      <c r="M17223" t="e">
        <v>#N/A</v>
      </c>
      <c r="N17223" s="1">
        <v>42552</v>
      </c>
    </row>
    <row r="17224" spans="11:14" x14ac:dyDescent="0.3">
      <c r="K17224" s="1">
        <v>43009</v>
      </c>
      <c r="M17224" t="e">
        <v>#N/A</v>
      </c>
      <c r="N17224" s="1">
        <v>42552</v>
      </c>
    </row>
    <row r="17225" spans="11:14" x14ac:dyDescent="0.3">
      <c r="K17225" s="1">
        <v>43009</v>
      </c>
      <c r="M17225" t="e">
        <v>#N/A</v>
      </c>
      <c r="N17225" s="1">
        <v>42552</v>
      </c>
    </row>
    <row r="17226" spans="11:14" x14ac:dyDescent="0.3">
      <c r="K17226" s="1">
        <v>43009</v>
      </c>
      <c r="M17226" t="e">
        <v>#N/A</v>
      </c>
      <c r="N17226" s="1">
        <v>42552</v>
      </c>
    </row>
    <row r="17227" spans="11:14" x14ac:dyDescent="0.3">
      <c r="K17227" s="1">
        <v>43009</v>
      </c>
      <c r="M17227" t="e">
        <v>#N/A</v>
      </c>
      <c r="N17227" s="1">
        <v>42552</v>
      </c>
    </row>
    <row r="17228" spans="11:14" x14ac:dyDescent="0.3">
      <c r="K17228" s="1">
        <v>43009</v>
      </c>
      <c r="M17228" t="e">
        <v>#N/A</v>
      </c>
      <c r="N17228" s="1">
        <v>42552</v>
      </c>
    </row>
    <row r="17229" spans="11:14" x14ac:dyDescent="0.3">
      <c r="K17229" s="1">
        <v>43009</v>
      </c>
      <c r="M17229" t="e">
        <v>#N/A</v>
      </c>
      <c r="N17229" s="1">
        <v>42552</v>
      </c>
    </row>
    <row r="17230" spans="11:14" x14ac:dyDescent="0.3">
      <c r="K17230" s="1">
        <v>43009</v>
      </c>
      <c r="M17230" t="e">
        <v>#N/A</v>
      </c>
      <c r="N17230" s="1">
        <v>42552</v>
      </c>
    </row>
    <row r="17231" spans="11:14" x14ac:dyDescent="0.3">
      <c r="K17231" s="1">
        <v>43009</v>
      </c>
      <c r="M17231" t="e">
        <v>#N/A</v>
      </c>
      <c r="N17231" s="1">
        <v>42552</v>
      </c>
    </row>
    <row r="17232" spans="11:14" x14ac:dyDescent="0.3">
      <c r="K17232" s="1">
        <v>43009</v>
      </c>
      <c r="M17232" t="e">
        <v>#N/A</v>
      </c>
      <c r="N17232" s="1">
        <v>42552</v>
      </c>
    </row>
    <row r="17233" spans="11:14" x14ac:dyDescent="0.3">
      <c r="K17233" s="1">
        <v>43009</v>
      </c>
      <c r="M17233" t="e">
        <v>#N/A</v>
      </c>
      <c r="N17233" s="1">
        <v>42552</v>
      </c>
    </row>
    <row r="17234" spans="11:14" x14ac:dyDescent="0.3">
      <c r="K17234" s="1">
        <v>43009</v>
      </c>
      <c r="M17234" t="e">
        <v>#N/A</v>
      </c>
      <c r="N17234" s="1">
        <v>42552</v>
      </c>
    </row>
    <row r="17235" spans="11:14" x14ac:dyDescent="0.3">
      <c r="K17235" s="1">
        <v>43009</v>
      </c>
      <c r="M17235" t="e">
        <v>#N/A</v>
      </c>
      <c r="N17235" s="1">
        <v>42552</v>
      </c>
    </row>
    <row r="17236" spans="11:14" x14ac:dyDescent="0.3">
      <c r="K17236" s="1">
        <v>43009</v>
      </c>
      <c r="M17236" t="e">
        <v>#N/A</v>
      </c>
      <c r="N17236" s="1">
        <v>42552</v>
      </c>
    </row>
    <row r="17237" spans="11:14" x14ac:dyDescent="0.3">
      <c r="K17237" s="1">
        <v>43009</v>
      </c>
      <c r="M17237" t="e">
        <v>#N/A</v>
      </c>
      <c r="N17237" s="1">
        <v>42552</v>
      </c>
    </row>
    <row r="17238" spans="11:14" x14ac:dyDescent="0.3">
      <c r="K17238" s="1">
        <v>43009</v>
      </c>
      <c r="M17238" t="e">
        <v>#N/A</v>
      </c>
      <c r="N17238" s="1">
        <v>42552</v>
      </c>
    </row>
    <row r="17239" spans="11:14" x14ac:dyDescent="0.3">
      <c r="K17239" s="1">
        <v>43009</v>
      </c>
      <c r="M17239" t="e">
        <v>#N/A</v>
      </c>
      <c r="N17239" s="1">
        <v>42552</v>
      </c>
    </row>
    <row r="17240" spans="11:14" x14ac:dyDescent="0.3">
      <c r="K17240" s="1">
        <v>43009</v>
      </c>
      <c r="M17240" t="e">
        <v>#N/A</v>
      </c>
      <c r="N17240" s="1">
        <v>42552</v>
      </c>
    </row>
    <row r="17241" spans="11:14" x14ac:dyDescent="0.3">
      <c r="K17241" s="1">
        <v>43009</v>
      </c>
      <c r="M17241" t="e">
        <v>#N/A</v>
      </c>
      <c r="N17241" s="1">
        <v>42552</v>
      </c>
    </row>
    <row r="17242" spans="11:14" x14ac:dyDescent="0.3">
      <c r="K17242" s="1">
        <v>43009</v>
      </c>
      <c r="M17242" t="e">
        <v>#N/A</v>
      </c>
      <c r="N17242" s="1">
        <v>42552</v>
      </c>
    </row>
    <row r="17243" spans="11:14" x14ac:dyDescent="0.3">
      <c r="K17243" s="1">
        <v>43009</v>
      </c>
      <c r="M17243" t="e">
        <v>#N/A</v>
      </c>
      <c r="N17243" s="1">
        <v>42552</v>
      </c>
    </row>
    <row r="17244" spans="11:14" x14ac:dyDescent="0.3">
      <c r="K17244" s="1">
        <v>43009</v>
      </c>
      <c r="M17244" t="e">
        <v>#N/A</v>
      </c>
      <c r="N17244" s="1">
        <v>42552</v>
      </c>
    </row>
    <row r="17245" spans="11:14" x14ac:dyDescent="0.3">
      <c r="K17245" s="1">
        <v>43009</v>
      </c>
      <c r="M17245" t="e">
        <v>#N/A</v>
      </c>
      <c r="N17245" s="1">
        <v>42552</v>
      </c>
    </row>
    <row r="17246" spans="11:14" x14ac:dyDescent="0.3">
      <c r="K17246" s="1">
        <v>43009</v>
      </c>
      <c r="M17246" t="e">
        <v>#N/A</v>
      </c>
      <c r="N17246" s="1">
        <v>42552</v>
      </c>
    </row>
    <row r="17247" spans="11:14" x14ac:dyDescent="0.3">
      <c r="K17247" s="1">
        <v>43009</v>
      </c>
      <c r="M17247" t="e">
        <v>#N/A</v>
      </c>
      <c r="N17247" s="1">
        <v>42552</v>
      </c>
    </row>
    <row r="17248" spans="11:14" x14ac:dyDescent="0.3">
      <c r="K17248" s="1">
        <v>43009</v>
      </c>
      <c r="M17248" t="e">
        <v>#N/A</v>
      </c>
      <c r="N17248" s="1">
        <v>42552</v>
      </c>
    </row>
    <row r="17249" spans="11:14" x14ac:dyDescent="0.3">
      <c r="K17249" s="1">
        <v>43009</v>
      </c>
      <c r="M17249" t="e">
        <v>#N/A</v>
      </c>
      <c r="N17249" s="1">
        <v>42552</v>
      </c>
    </row>
    <row r="17250" spans="11:14" x14ac:dyDescent="0.3">
      <c r="K17250" s="1">
        <v>43009</v>
      </c>
      <c r="M17250" t="e">
        <v>#N/A</v>
      </c>
      <c r="N17250" s="1">
        <v>42552</v>
      </c>
    </row>
    <row r="17251" spans="11:14" x14ac:dyDescent="0.3">
      <c r="K17251" s="1">
        <v>43009</v>
      </c>
      <c r="M17251" t="e">
        <v>#N/A</v>
      </c>
      <c r="N17251" s="1">
        <v>42552</v>
      </c>
    </row>
    <row r="17252" spans="11:14" x14ac:dyDescent="0.3">
      <c r="K17252" s="1">
        <v>43009</v>
      </c>
      <c r="M17252" t="e">
        <v>#N/A</v>
      </c>
      <c r="N17252" s="1">
        <v>42552</v>
      </c>
    </row>
    <row r="17253" spans="11:14" x14ac:dyDescent="0.3">
      <c r="K17253" s="1">
        <v>43009</v>
      </c>
      <c r="M17253" t="e">
        <v>#N/A</v>
      </c>
      <c r="N17253" s="1">
        <v>42552</v>
      </c>
    </row>
    <row r="17254" spans="11:14" x14ac:dyDescent="0.3">
      <c r="K17254" s="1">
        <v>43009</v>
      </c>
      <c r="M17254" t="e">
        <v>#N/A</v>
      </c>
      <c r="N17254" s="1">
        <v>42552</v>
      </c>
    </row>
    <row r="17255" spans="11:14" x14ac:dyDescent="0.3">
      <c r="K17255" s="1">
        <v>43009</v>
      </c>
      <c r="M17255" t="e">
        <v>#N/A</v>
      </c>
      <c r="N17255" s="1">
        <v>42552</v>
      </c>
    </row>
    <row r="17256" spans="11:14" x14ac:dyDescent="0.3">
      <c r="K17256" s="1">
        <v>43009</v>
      </c>
      <c r="M17256" t="e">
        <v>#N/A</v>
      </c>
      <c r="N17256" s="1">
        <v>42552</v>
      </c>
    </row>
    <row r="17257" spans="11:14" x14ac:dyDescent="0.3">
      <c r="K17257" s="1">
        <v>43009</v>
      </c>
      <c r="M17257" t="e">
        <v>#N/A</v>
      </c>
      <c r="N17257" s="1">
        <v>42552</v>
      </c>
    </row>
    <row r="17258" spans="11:14" x14ac:dyDescent="0.3">
      <c r="K17258" s="1">
        <v>43009</v>
      </c>
      <c r="M17258" t="e">
        <v>#N/A</v>
      </c>
      <c r="N17258" s="1">
        <v>42552</v>
      </c>
    </row>
    <row r="17259" spans="11:14" x14ac:dyDescent="0.3">
      <c r="K17259" s="1">
        <v>43009</v>
      </c>
      <c r="M17259" t="e">
        <v>#N/A</v>
      </c>
      <c r="N17259" s="1">
        <v>42552</v>
      </c>
    </row>
    <row r="17260" spans="11:14" x14ac:dyDescent="0.3">
      <c r="K17260" s="1">
        <v>43009</v>
      </c>
      <c r="M17260" t="e">
        <v>#N/A</v>
      </c>
      <c r="N17260" s="1">
        <v>42552</v>
      </c>
    </row>
    <row r="17261" spans="11:14" x14ac:dyDescent="0.3">
      <c r="K17261" s="1">
        <v>43009</v>
      </c>
      <c r="M17261" t="e">
        <v>#N/A</v>
      </c>
      <c r="N17261" s="1">
        <v>42552</v>
      </c>
    </row>
    <row r="17262" spans="11:14" x14ac:dyDescent="0.3">
      <c r="K17262" s="1">
        <v>43009</v>
      </c>
      <c r="M17262" t="e">
        <v>#N/A</v>
      </c>
      <c r="N17262" s="1">
        <v>42552</v>
      </c>
    </row>
    <row r="17263" spans="11:14" x14ac:dyDescent="0.3">
      <c r="K17263" s="1">
        <v>43009</v>
      </c>
      <c r="M17263" t="e">
        <v>#N/A</v>
      </c>
      <c r="N17263" s="1">
        <v>42552</v>
      </c>
    </row>
    <row r="17264" spans="11:14" x14ac:dyDescent="0.3">
      <c r="K17264" s="1">
        <v>43009</v>
      </c>
      <c r="M17264" t="e">
        <v>#N/A</v>
      </c>
      <c r="N17264" s="1">
        <v>42552</v>
      </c>
    </row>
    <row r="17265" spans="11:14" x14ac:dyDescent="0.3">
      <c r="K17265" s="1">
        <v>43009</v>
      </c>
      <c r="M17265" t="e">
        <v>#N/A</v>
      </c>
      <c r="N17265" s="1">
        <v>42552</v>
      </c>
    </row>
    <row r="17266" spans="11:14" x14ac:dyDescent="0.3">
      <c r="K17266" s="1">
        <v>43009</v>
      </c>
      <c r="M17266" t="e">
        <v>#N/A</v>
      </c>
      <c r="N17266" s="1">
        <v>42552</v>
      </c>
    </row>
    <row r="17267" spans="11:14" x14ac:dyDescent="0.3">
      <c r="K17267" s="1">
        <v>43009</v>
      </c>
      <c r="M17267" t="e">
        <v>#N/A</v>
      </c>
      <c r="N17267" s="1">
        <v>42552</v>
      </c>
    </row>
    <row r="17268" spans="11:14" x14ac:dyDescent="0.3">
      <c r="K17268" s="1">
        <v>43009</v>
      </c>
      <c r="M17268" t="e">
        <v>#N/A</v>
      </c>
      <c r="N17268" s="1">
        <v>42552</v>
      </c>
    </row>
    <row r="17269" spans="11:14" x14ac:dyDescent="0.3">
      <c r="K17269" s="1">
        <v>43009</v>
      </c>
      <c r="M17269" t="e">
        <v>#N/A</v>
      </c>
      <c r="N17269" s="1">
        <v>42552</v>
      </c>
    </row>
    <row r="17270" spans="11:14" x14ac:dyDescent="0.3">
      <c r="K17270" s="1">
        <v>43009</v>
      </c>
      <c r="M17270" t="e">
        <v>#N/A</v>
      </c>
      <c r="N17270" s="1">
        <v>42552</v>
      </c>
    </row>
    <row r="17271" spans="11:14" x14ac:dyDescent="0.3">
      <c r="K17271" s="1">
        <v>43009</v>
      </c>
      <c r="M17271" t="e">
        <v>#N/A</v>
      </c>
      <c r="N17271" s="1">
        <v>42552</v>
      </c>
    </row>
    <row r="17272" spans="11:14" x14ac:dyDescent="0.3">
      <c r="K17272" s="1">
        <v>43009</v>
      </c>
      <c r="M17272" t="e">
        <v>#N/A</v>
      </c>
      <c r="N17272" s="1">
        <v>42552</v>
      </c>
    </row>
    <row r="17273" spans="11:14" x14ac:dyDescent="0.3">
      <c r="K17273" s="1">
        <v>43009</v>
      </c>
      <c r="M17273" t="e">
        <v>#N/A</v>
      </c>
      <c r="N17273" s="1">
        <v>42552</v>
      </c>
    </row>
    <row r="17274" spans="11:14" x14ac:dyDescent="0.3">
      <c r="K17274" s="1">
        <v>43009</v>
      </c>
      <c r="M17274" t="e">
        <v>#N/A</v>
      </c>
      <c r="N17274" s="1">
        <v>42552</v>
      </c>
    </row>
    <row r="17275" spans="11:14" x14ac:dyDescent="0.3">
      <c r="K17275" s="1">
        <v>43009</v>
      </c>
      <c r="M17275" t="e">
        <v>#N/A</v>
      </c>
      <c r="N17275" s="1">
        <v>42552</v>
      </c>
    </row>
    <row r="17276" spans="11:14" x14ac:dyDescent="0.3">
      <c r="K17276" s="1">
        <v>43009</v>
      </c>
      <c r="M17276" t="e">
        <v>#N/A</v>
      </c>
      <c r="N17276" s="1">
        <v>42552</v>
      </c>
    </row>
    <row r="17277" spans="11:14" x14ac:dyDescent="0.3">
      <c r="K17277" s="1">
        <v>43009</v>
      </c>
      <c r="M17277" t="e">
        <v>#N/A</v>
      </c>
      <c r="N17277" s="1">
        <v>42552</v>
      </c>
    </row>
    <row r="17278" spans="11:14" x14ac:dyDescent="0.3">
      <c r="K17278" s="1">
        <v>43009</v>
      </c>
      <c r="M17278" t="e">
        <v>#N/A</v>
      </c>
      <c r="N17278" s="1">
        <v>42552</v>
      </c>
    </row>
    <row r="17279" spans="11:14" x14ac:dyDescent="0.3">
      <c r="K17279" s="1">
        <v>43009</v>
      </c>
      <c r="M17279" t="e">
        <v>#N/A</v>
      </c>
      <c r="N17279" s="1">
        <v>42552</v>
      </c>
    </row>
    <row r="17280" spans="11:14" x14ac:dyDescent="0.3">
      <c r="K17280" s="1">
        <v>43009</v>
      </c>
      <c r="M17280" t="e">
        <v>#N/A</v>
      </c>
      <c r="N17280" s="1">
        <v>42552</v>
      </c>
    </row>
    <row r="17281" spans="11:14" x14ac:dyDescent="0.3">
      <c r="K17281" s="1">
        <v>43009</v>
      </c>
      <c r="M17281" t="e">
        <v>#N/A</v>
      </c>
      <c r="N17281" s="1">
        <v>42552</v>
      </c>
    </row>
    <row r="17282" spans="11:14" x14ac:dyDescent="0.3">
      <c r="K17282" s="1">
        <v>43009</v>
      </c>
      <c r="M17282" t="e">
        <v>#N/A</v>
      </c>
      <c r="N17282" s="1">
        <v>42552</v>
      </c>
    </row>
    <row r="17283" spans="11:14" x14ac:dyDescent="0.3">
      <c r="K17283" s="1">
        <v>43009</v>
      </c>
      <c r="M17283" t="e">
        <v>#N/A</v>
      </c>
      <c r="N17283" s="1">
        <v>42552</v>
      </c>
    </row>
    <row r="17284" spans="11:14" x14ac:dyDescent="0.3">
      <c r="K17284" s="1">
        <v>43009</v>
      </c>
      <c r="M17284" t="e">
        <v>#N/A</v>
      </c>
      <c r="N17284" s="1">
        <v>42552</v>
      </c>
    </row>
    <row r="17285" spans="11:14" x14ac:dyDescent="0.3">
      <c r="K17285" s="1">
        <v>43009</v>
      </c>
      <c r="M17285" t="e">
        <v>#N/A</v>
      </c>
      <c r="N17285" s="1">
        <v>42552</v>
      </c>
    </row>
    <row r="17286" spans="11:14" x14ac:dyDescent="0.3">
      <c r="K17286" s="1">
        <v>43009</v>
      </c>
      <c r="M17286" t="e">
        <v>#N/A</v>
      </c>
      <c r="N17286" s="1">
        <v>42552</v>
      </c>
    </row>
    <row r="17287" spans="11:14" x14ac:dyDescent="0.3">
      <c r="K17287" s="1">
        <v>43009</v>
      </c>
      <c r="M17287" t="e">
        <v>#N/A</v>
      </c>
      <c r="N17287" s="1">
        <v>42552</v>
      </c>
    </row>
    <row r="17288" spans="11:14" x14ac:dyDescent="0.3">
      <c r="K17288" s="1">
        <v>43009</v>
      </c>
      <c r="M17288" t="e">
        <v>#N/A</v>
      </c>
      <c r="N17288" s="1">
        <v>42644</v>
      </c>
    </row>
    <row r="17289" spans="11:14" x14ac:dyDescent="0.3">
      <c r="K17289" s="1">
        <v>43009</v>
      </c>
      <c r="M17289" t="e">
        <v>#N/A</v>
      </c>
      <c r="N17289" s="1">
        <v>42644</v>
      </c>
    </row>
    <row r="17290" spans="11:14" x14ac:dyDescent="0.3">
      <c r="K17290" s="1">
        <v>43009</v>
      </c>
      <c r="M17290" t="e">
        <v>#N/A</v>
      </c>
      <c r="N17290" s="1">
        <v>42644</v>
      </c>
    </row>
    <row r="17291" spans="11:14" x14ac:dyDescent="0.3">
      <c r="K17291" s="1">
        <v>43009</v>
      </c>
      <c r="M17291" t="e">
        <v>#N/A</v>
      </c>
      <c r="N17291" s="1">
        <v>42644</v>
      </c>
    </row>
    <row r="17292" spans="11:14" x14ac:dyDescent="0.3">
      <c r="K17292" s="1">
        <v>43009</v>
      </c>
      <c r="M17292" t="e">
        <v>#N/A</v>
      </c>
      <c r="N17292" s="1">
        <v>42644</v>
      </c>
    </row>
    <row r="17293" spans="11:14" x14ac:dyDescent="0.3">
      <c r="K17293" s="1">
        <v>43009</v>
      </c>
      <c r="M17293" t="e">
        <v>#N/A</v>
      </c>
      <c r="N17293" s="1">
        <v>42644</v>
      </c>
    </row>
    <row r="17294" spans="11:14" x14ac:dyDescent="0.3">
      <c r="K17294" s="1">
        <v>43009</v>
      </c>
      <c r="M17294" t="e">
        <v>#N/A</v>
      </c>
      <c r="N17294" s="1">
        <v>42644</v>
      </c>
    </row>
    <row r="17295" spans="11:14" x14ac:dyDescent="0.3">
      <c r="K17295" s="1">
        <v>43009</v>
      </c>
      <c r="M17295" t="e">
        <v>#N/A</v>
      </c>
      <c r="N17295" s="1">
        <v>42644</v>
      </c>
    </row>
    <row r="17296" spans="11:14" x14ac:dyDescent="0.3">
      <c r="K17296" s="1">
        <v>43009</v>
      </c>
      <c r="M17296" t="e">
        <v>#N/A</v>
      </c>
      <c r="N17296" s="1">
        <v>42644</v>
      </c>
    </row>
    <row r="17297" spans="11:14" x14ac:dyDescent="0.3">
      <c r="K17297" s="1">
        <v>43009</v>
      </c>
      <c r="M17297" t="e">
        <v>#N/A</v>
      </c>
      <c r="N17297" s="1">
        <v>42644</v>
      </c>
    </row>
    <row r="17298" spans="11:14" x14ac:dyDescent="0.3">
      <c r="K17298" s="1">
        <v>43009</v>
      </c>
      <c r="M17298" t="e">
        <v>#N/A</v>
      </c>
      <c r="N17298" s="1">
        <v>42644</v>
      </c>
    </row>
    <row r="17299" spans="11:14" x14ac:dyDescent="0.3">
      <c r="K17299" s="1">
        <v>43009</v>
      </c>
      <c r="M17299" t="e">
        <v>#N/A</v>
      </c>
      <c r="N17299" s="1">
        <v>42644</v>
      </c>
    </row>
    <row r="17300" spans="11:14" x14ac:dyDescent="0.3">
      <c r="K17300" s="1">
        <v>43009</v>
      </c>
      <c r="M17300" t="e">
        <v>#N/A</v>
      </c>
      <c r="N17300" s="1">
        <v>42644</v>
      </c>
    </row>
    <row r="17301" spans="11:14" x14ac:dyDescent="0.3">
      <c r="K17301" s="1">
        <v>43009</v>
      </c>
      <c r="M17301" t="e">
        <v>#N/A</v>
      </c>
      <c r="N17301" s="1">
        <v>42644</v>
      </c>
    </row>
    <row r="17302" spans="11:14" x14ac:dyDescent="0.3">
      <c r="K17302" s="1">
        <v>43009</v>
      </c>
      <c r="M17302" t="e">
        <v>#N/A</v>
      </c>
      <c r="N17302" s="1">
        <v>42644</v>
      </c>
    </row>
    <row r="17303" spans="11:14" x14ac:dyDescent="0.3">
      <c r="K17303" s="1">
        <v>43009</v>
      </c>
      <c r="M17303" t="e">
        <v>#N/A</v>
      </c>
      <c r="N17303" s="1">
        <v>42644</v>
      </c>
    </row>
    <row r="17304" spans="11:14" x14ac:dyDescent="0.3">
      <c r="K17304" s="1">
        <v>43009</v>
      </c>
      <c r="M17304" t="e">
        <v>#N/A</v>
      </c>
      <c r="N17304" s="1">
        <v>42644</v>
      </c>
    </row>
    <row r="17305" spans="11:14" x14ac:dyDescent="0.3">
      <c r="K17305" s="1">
        <v>43009</v>
      </c>
      <c r="M17305" t="e">
        <v>#N/A</v>
      </c>
      <c r="N17305" s="1">
        <v>42644</v>
      </c>
    </row>
    <row r="17306" spans="11:14" x14ac:dyDescent="0.3">
      <c r="K17306" s="1">
        <v>43009</v>
      </c>
      <c r="M17306" t="e">
        <v>#N/A</v>
      </c>
      <c r="N17306" s="1">
        <v>42644</v>
      </c>
    </row>
    <row r="17307" spans="11:14" x14ac:dyDescent="0.3">
      <c r="K17307" s="1">
        <v>43009</v>
      </c>
      <c r="M17307" t="e">
        <v>#N/A</v>
      </c>
      <c r="N17307" s="1">
        <v>42644</v>
      </c>
    </row>
    <row r="17308" spans="11:14" x14ac:dyDescent="0.3">
      <c r="K17308" s="1">
        <v>43009</v>
      </c>
      <c r="M17308" t="e">
        <v>#N/A</v>
      </c>
      <c r="N17308" s="1">
        <v>42644</v>
      </c>
    </row>
    <row r="17309" spans="11:14" x14ac:dyDescent="0.3">
      <c r="K17309" s="1">
        <v>43009</v>
      </c>
      <c r="M17309" t="e">
        <v>#N/A</v>
      </c>
      <c r="N17309" s="1">
        <v>42644</v>
      </c>
    </row>
    <row r="17310" spans="11:14" x14ac:dyDescent="0.3">
      <c r="K17310" s="1">
        <v>43009</v>
      </c>
      <c r="M17310" t="e">
        <v>#N/A</v>
      </c>
      <c r="N17310" s="1">
        <v>42644</v>
      </c>
    </row>
    <row r="17311" spans="11:14" x14ac:dyDescent="0.3">
      <c r="K17311" s="1">
        <v>43009</v>
      </c>
      <c r="M17311" t="e">
        <v>#N/A</v>
      </c>
      <c r="N17311" s="1">
        <v>42644</v>
      </c>
    </row>
    <row r="17312" spans="11:14" x14ac:dyDescent="0.3">
      <c r="K17312" s="1">
        <v>43009</v>
      </c>
      <c r="M17312" t="e">
        <v>#N/A</v>
      </c>
      <c r="N17312" s="1">
        <v>42644</v>
      </c>
    </row>
    <row r="17313" spans="11:14" x14ac:dyDescent="0.3">
      <c r="K17313" s="1">
        <v>43009</v>
      </c>
      <c r="M17313" t="e">
        <v>#N/A</v>
      </c>
      <c r="N17313" s="1">
        <v>42644</v>
      </c>
    </row>
    <row r="17314" spans="11:14" x14ac:dyDescent="0.3">
      <c r="K17314" s="1">
        <v>43009</v>
      </c>
      <c r="M17314" t="e">
        <v>#N/A</v>
      </c>
      <c r="N17314" s="1">
        <v>42644</v>
      </c>
    </row>
    <row r="17315" spans="11:14" x14ac:dyDescent="0.3">
      <c r="K17315" s="1">
        <v>43009</v>
      </c>
      <c r="M17315" t="e">
        <v>#N/A</v>
      </c>
      <c r="N17315" s="1">
        <v>42644</v>
      </c>
    </row>
    <row r="17316" spans="11:14" x14ac:dyDescent="0.3">
      <c r="K17316" s="1">
        <v>43009</v>
      </c>
      <c r="M17316" t="e">
        <v>#N/A</v>
      </c>
      <c r="N17316" s="1">
        <v>42644</v>
      </c>
    </row>
    <row r="17317" spans="11:14" x14ac:dyDescent="0.3">
      <c r="K17317" s="1">
        <v>43009</v>
      </c>
      <c r="M17317" t="e">
        <v>#N/A</v>
      </c>
      <c r="N17317" s="1">
        <v>42644</v>
      </c>
    </row>
    <row r="17318" spans="11:14" x14ac:dyDescent="0.3">
      <c r="K17318" s="1">
        <v>43009</v>
      </c>
      <c r="M17318" t="e">
        <v>#N/A</v>
      </c>
      <c r="N17318" s="1">
        <v>42644</v>
      </c>
    </row>
    <row r="17319" spans="11:14" x14ac:dyDescent="0.3">
      <c r="K17319" s="1">
        <v>43009</v>
      </c>
      <c r="M17319" t="e">
        <v>#N/A</v>
      </c>
      <c r="N17319" s="1">
        <v>42644</v>
      </c>
    </row>
    <row r="17320" spans="11:14" x14ac:dyDescent="0.3">
      <c r="K17320" s="1">
        <v>43009</v>
      </c>
      <c r="M17320" t="e">
        <v>#N/A</v>
      </c>
      <c r="N17320" s="1">
        <v>42644</v>
      </c>
    </row>
    <row r="17321" spans="11:14" x14ac:dyDescent="0.3">
      <c r="K17321" s="1">
        <v>43009</v>
      </c>
      <c r="M17321" t="e">
        <v>#N/A</v>
      </c>
      <c r="N17321" s="1">
        <v>42644</v>
      </c>
    </row>
    <row r="17322" spans="11:14" x14ac:dyDescent="0.3">
      <c r="K17322" s="1">
        <v>43009</v>
      </c>
      <c r="M17322" t="e">
        <v>#N/A</v>
      </c>
      <c r="N17322" s="1">
        <v>42644</v>
      </c>
    </row>
    <row r="17323" spans="11:14" x14ac:dyDescent="0.3">
      <c r="K17323" s="1">
        <v>43009</v>
      </c>
      <c r="M17323" t="e">
        <v>#N/A</v>
      </c>
      <c r="N17323" s="1">
        <v>42644</v>
      </c>
    </row>
    <row r="17324" spans="11:14" x14ac:dyDescent="0.3">
      <c r="K17324" s="1">
        <v>43009</v>
      </c>
      <c r="M17324" t="e">
        <v>#N/A</v>
      </c>
      <c r="N17324" s="1">
        <v>42644</v>
      </c>
    </row>
    <row r="17325" spans="11:14" x14ac:dyDescent="0.3">
      <c r="K17325" s="1">
        <v>43009</v>
      </c>
      <c r="M17325" t="e">
        <v>#N/A</v>
      </c>
      <c r="N17325" s="1">
        <v>42644</v>
      </c>
    </row>
    <row r="17326" spans="11:14" x14ac:dyDescent="0.3">
      <c r="K17326" s="1">
        <v>43009</v>
      </c>
      <c r="M17326" t="e">
        <v>#N/A</v>
      </c>
      <c r="N17326" s="1">
        <v>42644</v>
      </c>
    </row>
    <row r="17327" spans="11:14" x14ac:dyDescent="0.3">
      <c r="K17327" s="1">
        <v>43009</v>
      </c>
      <c r="M17327" t="e">
        <v>#N/A</v>
      </c>
      <c r="N17327" s="1">
        <v>42644</v>
      </c>
    </row>
    <row r="17328" spans="11:14" x14ac:dyDescent="0.3">
      <c r="K17328" s="1">
        <v>43009</v>
      </c>
      <c r="M17328" t="e">
        <v>#N/A</v>
      </c>
      <c r="N17328" s="1">
        <v>42644</v>
      </c>
    </row>
    <row r="17329" spans="11:14" x14ac:dyDescent="0.3">
      <c r="K17329" s="1">
        <v>43009</v>
      </c>
      <c r="M17329" t="e">
        <v>#N/A</v>
      </c>
      <c r="N17329" s="1">
        <v>42644</v>
      </c>
    </row>
    <row r="17330" spans="11:14" x14ac:dyDescent="0.3">
      <c r="K17330" s="1">
        <v>43009</v>
      </c>
      <c r="M17330" t="e">
        <v>#N/A</v>
      </c>
      <c r="N17330" s="1">
        <v>42644</v>
      </c>
    </row>
    <row r="17331" spans="11:14" x14ac:dyDescent="0.3">
      <c r="K17331" s="1">
        <v>43009</v>
      </c>
      <c r="M17331" t="e">
        <v>#N/A</v>
      </c>
      <c r="N17331" s="1">
        <v>42644</v>
      </c>
    </row>
    <row r="17332" spans="11:14" x14ac:dyDescent="0.3">
      <c r="K17332" s="1">
        <v>43009</v>
      </c>
      <c r="M17332" t="e">
        <v>#N/A</v>
      </c>
      <c r="N17332" s="1">
        <v>42644</v>
      </c>
    </row>
    <row r="17333" spans="11:14" x14ac:dyDescent="0.3">
      <c r="K17333" s="1">
        <v>43009</v>
      </c>
      <c r="M17333" t="e">
        <v>#N/A</v>
      </c>
      <c r="N17333" s="1">
        <v>42644</v>
      </c>
    </row>
    <row r="17334" spans="11:14" x14ac:dyDescent="0.3">
      <c r="K17334" s="1">
        <v>43009</v>
      </c>
      <c r="M17334" t="e">
        <v>#N/A</v>
      </c>
      <c r="N17334" s="1">
        <v>42644</v>
      </c>
    </row>
    <row r="17335" spans="11:14" x14ac:dyDescent="0.3">
      <c r="K17335" s="1">
        <v>43009</v>
      </c>
      <c r="M17335" t="e">
        <v>#N/A</v>
      </c>
      <c r="N17335" s="1">
        <v>42644</v>
      </c>
    </row>
    <row r="17336" spans="11:14" x14ac:dyDescent="0.3">
      <c r="K17336" s="1">
        <v>43009</v>
      </c>
      <c r="M17336" t="e">
        <v>#N/A</v>
      </c>
      <c r="N17336" s="1">
        <v>42644</v>
      </c>
    </row>
    <row r="17337" spans="11:14" x14ac:dyDescent="0.3">
      <c r="K17337" s="1">
        <v>43009</v>
      </c>
      <c r="M17337" t="e">
        <v>#N/A</v>
      </c>
      <c r="N17337" s="1">
        <v>42644</v>
      </c>
    </row>
    <row r="17338" spans="11:14" x14ac:dyDescent="0.3">
      <c r="K17338" s="1">
        <v>43009</v>
      </c>
      <c r="M17338" t="e">
        <v>#N/A</v>
      </c>
      <c r="N17338" s="1">
        <v>42644</v>
      </c>
    </row>
    <row r="17339" spans="11:14" x14ac:dyDescent="0.3">
      <c r="K17339" s="1">
        <v>43009</v>
      </c>
      <c r="M17339" t="e">
        <v>#N/A</v>
      </c>
      <c r="N17339" s="1">
        <v>42644</v>
      </c>
    </row>
    <row r="17340" spans="11:14" x14ac:dyDescent="0.3">
      <c r="K17340" s="1">
        <v>43009</v>
      </c>
      <c r="M17340" t="e">
        <v>#N/A</v>
      </c>
      <c r="N17340" s="1">
        <v>42644</v>
      </c>
    </row>
    <row r="17341" spans="11:14" x14ac:dyDescent="0.3">
      <c r="K17341" s="1">
        <v>43009</v>
      </c>
      <c r="M17341" t="e">
        <v>#N/A</v>
      </c>
      <c r="N17341" s="1">
        <v>42644</v>
      </c>
    </row>
    <row r="17342" spans="11:14" x14ac:dyDescent="0.3">
      <c r="K17342" s="1">
        <v>43009</v>
      </c>
      <c r="M17342" t="e">
        <v>#N/A</v>
      </c>
      <c r="N17342" s="1">
        <v>42644</v>
      </c>
    </row>
    <row r="17343" spans="11:14" x14ac:dyDescent="0.3">
      <c r="K17343" s="1">
        <v>43009</v>
      </c>
      <c r="M17343" t="e">
        <v>#N/A</v>
      </c>
      <c r="N17343" s="1">
        <v>42644</v>
      </c>
    </row>
    <row r="17344" spans="11:14" x14ac:dyDescent="0.3">
      <c r="K17344" s="1">
        <v>43009</v>
      </c>
      <c r="M17344" t="e">
        <v>#N/A</v>
      </c>
      <c r="N17344" s="1">
        <v>42644</v>
      </c>
    </row>
    <row r="17345" spans="11:14" x14ac:dyDescent="0.3">
      <c r="K17345" s="1">
        <v>43009</v>
      </c>
      <c r="M17345" t="e">
        <v>#N/A</v>
      </c>
      <c r="N17345" s="1">
        <v>42644</v>
      </c>
    </row>
    <row r="17346" spans="11:14" x14ac:dyDescent="0.3">
      <c r="K17346" s="1">
        <v>43009</v>
      </c>
      <c r="M17346" t="e">
        <v>#N/A</v>
      </c>
      <c r="N17346" s="1">
        <v>42644</v>
      </c>
    </row>
    <row r="17347" spans="11:14" x14ac:dyDescent="0.3">
      <c r="K17347" s="1">
        <v>43009</v>
      </c>
      <c r="M17347" t="e">
        <v>#N/A</v>
      </c>
      <c r="N17347" s="1">
        <v>42644</v>
      </c>
    </row>
    <row r="17348" spans="11:14" x14ac:dyDescent="0.3">
      <c r="K17348" s="1">
        <v>43009</v>
      </c>
      <c r="M17348" t="e">
        <v>#N/A</v>
      </c>
      <c r="N17348" s="1">
        <v>42644</v>
      </c>
    </row>
    <row r="17349" spans="11:14" x14ac:dyDescent="0.3">
      <c r="K17349" s="1">
        <v>43009</v>
      </c>
      <c r="M17349" t="e">
        <v>#N/A</v>
      </c>
      <c r="N17349" s="1">
        <v>42644</v>
      </c>
    </row>
    <row r="17350" spans="11:14" x14ac:dyDescent="0.3">
      <c r="K17350" s="1">
        <v>43009</v>
      </c>
      <c r="M17350" t="e">
        <v>#N/A</v>
      </c>
      <c r="N17350" s="1">
        <v>42644</v>
      </c>
    </row>
    <row r="17351" spans="11:14" x14ac:dyDescent="0.3">
      <c r="K17351" s="1">
        <v>43009</v>
      </c>
      <c r="M17351" t="e">
        <v>#N/A</v>
      </c>
      <c r="N17351" s="1">
        <v>42644</v>
      </c>
    </row>
    <row r="17352" spans="11:14" x14ac:dyDescent="0.3">
      <c r="K17352" s="1">
        <v>43009</v>
      </c>
      <c r="M17352" t="e">
        <v>#N/A</v>
      </c>
      <c r="N17352" s="1">
        <v>42644</v>
      </c>
    </row>
    <row r="17353" spans="11:14" x14ac:dyDescent="0.3">
      <c r="K17353" s="1">
        <v>43009</v>
      </c>
      <c r="M17353" t="e">
        <v>#N/A</v>
      </c>
      <c r="N17353" s="1">
        <v>42644</v>
      </c>
    </row>
    <row r="17354" spans="11:14" x14ac:dyDescent="0.3">
      <c r="K17354" s="1">
        <v>43009</v>
      </c>
      <c r="M17354" t="e">
        <v>#N/A</v>
      </c>
      <c r="N17354" s="1">
        <v>42644</v>
      </c>
    </row>
    <row r="17355" spans="11:14" x14ac:dyDescent="0.3">
      <c r="K17355" s="1">
        <v>43009</v>
      </c>
      <c r="M17355" t="e">
        <v>#N/A</v>
      </c>
      <c r="N17355" s="1">
        <v>42644</v>
      </c>
    </row>
    <row r="17356" spans="11:14" x14ac:dyDescent="0.3">
      <c r="K17356" s="1">
        <v>43009</v>
      </c>
      <c r="M17356" t="e">
        <v>#N/A</v>
      </c>
      <c r="N17356" s="1">
        <v>42644</v>
      </c>
    </row>
    <row r="17357" spans="11:14" x14ac:dyDescent="0.3">
      <c r="K17357" s="1">
        <v>43009</v>
      </c>
      <c r="M17357" t="e">
        <v>#N/A</v>
      </c>
      <c r="N17357" s="1">
        <v>42644</v>
      </c>
    </row>
    <row r="17358" spans="11:14" x14ac:dyDescent="0.3">
      <c r="K17358" s="1">
        <v>43009</v>
      </c>
      <c r="M17358" t="e">
        <v>#N/A</v>
      </c>
      <c r="N17358" s="1">
        <v>42644</v>
      </c>
    </row>
    <row r="17359" spans="11:14" x14ac:dyDescent="0.3">
      <c r="K17359" s="1">
        <v>43009</v>
      </c>
      <c r="M17359" t="e">
        <v>#N/A</v>
      </c>
      <c r="N17359" s="1">
        <v>42644</v>
      </c>
    </row>
    <row r="17360" spans="11:14" x14ac:dyDescent="0.3">
      <c r="K17360" s="1">
        <v>43009</v>
      </c>
      <c r="M17360" t="e">
        <v>#N/A</v>
      </c>
      <c r="N17360" s="1">
        <v>42644</v>
      </c>
    </row>
    <row r="17361" spans="11:14" x14ac:dyDescent="0.3">
      <c r="K17361" s="1">
        <v>43009</v>
      </c>
      <c r="M17361" t="e">
        <v>#N/A</v>
      </c>
      <c r="N17361" s="1">
        <v>42644</v>
      </c>
    </row>
    <row r="17362" spans="11:14" x14ac:dyDescent="0.3">
      <c r="K17362" s="1">
        <v>43009</v>
      </c>
      <c r="M17362" t="e">
        <v>#N/A</v>
      </c>
      <c r="N17362" s="1">
        <v>42644</v>
      </c>
    </row>
    <row r="17363" spans="11:14" x14ac:dyDescent="0.3">
      <c r="K17363" s="1">
        <v>43009</v>
      </c>
      <c r="M17363" t="e">
        <v>#N/A</v>
      </c>
      <c r="N17363" s="1">
        <v>42644</v>
      </c>
    </row>
    <row r="17364" spans="11:14" x14ac:dyDescent="0.3">
      <c r="K17364" s="1">
        <v>43009</v>
      </c>
      <c r="M17364" t="e">
        <v>#N/A</v>
      </c>
      <c r="N17364" s="1">
        <v>42644</v>
      </c>
    </row>
    <row r="17365" spans="11:14" x14ac:dyDescent="0.3">
      <c r="K17365" s="1">
        <v>43009</v>
      </c>
      <c r="M17365" t="e">
        <v>#N/A</v>
      </c>
      <c r="N17365" s="1">
        <v>42644</v>
      </c>
    </row>
    <row r="17366" spans="11:14" x14ac:dyDescent="0.3">
      <c r="K17366" s="1">
        <v>43009</v>
      </c>
      <c r="M17366" t="e">
        <v>#N/A</v>
      </c>
      <c r="N17366" s="1">
        <v>42644</v>
      </c>
    </row>
    <row r="17367" spans="11:14" x14ac:dyDescent="0.3">
      <c r="K17367" s="1">
        <v>43009</v>
      </c>
      <c r="M17367" t="e">
        <v>#N/A</v>
      </c>
      <c r="N17367" s="1">
        <v>42644</v>
      </c>
    </row>
    <row r="17368" spans="11:14" x14ac:dyDescent="0.3">
      <c r="K17368" s="1">
        <v>43009</v>
      </c>
      <c r="M17368" t="e">
        <v>#N/A</v>
      </c>
      <c r="N17368" s="1">
        <v>42644</v>
      </c>
    </row>
    <row r="17369" spans="11:14" x14ac:dyDescent="0.3">
      <c r="K17369" s="1">
        <v>43009</v>
      </c>
      <c r="M17369" t="e">
        <v>#N/A</v>
      </c>
      <c r="N17369" s="1">
        <v>42644</v>
      </c>
    </row>
    <row r="17370" spans="11:14" x14ac:dyDescent="0.3">
      <c r="K17370" s="1">
        <v>43009</v>
      </c>
      <c r="M17370" t="e">
        <v>#N/A</v>
      </c>
      <c r="N17370" s="1">
        <v>42644</v>
      </c>
    </row>
    <row r="17371" spans="11:14" x14ac:dyDescent="0.3">
      <c r="K17371" s="1">
        <v>43009</v>
      </c>
      <c r="M17371" t="e">
        <v>#N/A</v>
      </c>
      <c r="N17371" s="1">
        <v>42644</v>
      </c>
    </row>
    <row r="17372" spans="11:14" x14ac:dyDescent="0.3">
      <c r="K17372" s="1">
        <v>43009</v>
      </c>
      <c r="M17372" t="e">
        <v>#N/A</v>
      </c>
      <c r="N17372" s="1">
        <v>42644</v>
      </c>
    </row>
    <row r="17373" spans="11:14" x14ac:dyDescent="0.3">
      <c r="K17373" s="1">
        <v>43009</v>
      </c>
      <c r="M17373" t="e">
        <v>#N/A</v>
      </c>
      <c r="N17373" s="1">
        <v>42644</v>
      </c>
    </row>
    <row r="17374" spans="11:14" x14ac:dyDescent="0.3">
      <c r="K17374" s="1">
        <v>43009</v>
      </c>
      <c r="M17374" t="e">
        <v>#N/A</v>
      </c>
      <c r="N17374" s="1">
        <v>42644</v>
      </c>
    </row>
    <row r="17375" spans="11:14" x14ac:dyDescent="0.3">
      <c r="K17375" s="1">
        <v>43009</v>
      </c>
      <c r="M17375" t="e">
        <v>#N/A</v>
      </c>
      <c r="N17375" s="1">
        <v>42644</v>
      </c>
    </row>
    <row r="17376" spans="11:14" x14ac:dyDescent="0.3">
      <c r="K17376" s="1">
        <v>43009</v>
      </c>
      <c r="M17376" t="e">
        <v>#N/A</v>
      </c>
      <c r="N17376" s="1">
        <v>42644</v>
      </c>
    </row>
    <row r="17377" spans="11:14" x14ac:dyDescent="0.3">
      <c r="K17377" s="1">
        <v>43009</v>
      </c>
      <c r="M17377" t="e">
        <v>#N/A</v>
      </c>
      <c r="N17377" s="1">
        <v>42644</v>
      </c>
    </row>
    <row r="17378" spans="11:14" x14ac:dyDescent="0.3">
      <c r="K17378" s="1">
        <v>43009</v>
      </c>
      <c r="M17378" t="e">
        <v>#N/A</v>
      </c>
      <c r="N17378" s="1">
        <v>42644</v>
      </c>
    </row>
    <row r="17379" spans="11:14" x14ac:dyDescent="0.3">
      <c r="K17379" s="1">
        <v>43009</v>
      </c>
      <c r="M17379" t="e">
        <v>#N/A</v>
      </c>
      <c r="N17379" s="1">
        <v>42644</v>
      </c>
    </row>
    <row r="17380" spans="11:14" x14ac:dyDescent="0.3">
      <c r="K17380" s="1">
        <v>43009</v>
      </c>
      <c r="M17380" t="e">
        <v>#N/A</v>
      </c>
      <c r="N17380" s="1">
        <v>42644</v>
      </c>
    </row>
    <row r="17381" spans="11:14" x14ac:dyDescent="0.3">
      <c r="K17381" s="1">
        <v>43009</v>
      </c>
      <c r="M17381" t="e">
        <v>#N/A</v>
      </c>
      <c r="N17381" s="1">
        <v>42644</v>
      </c>
    </row>
    <row r="17382" spans="11:14" x14ac:dyDescent="0.3">
      <c r="K17382" s="1">
        <v>43009</v>
      </c>
      <c r="M17382" t="e">
        <v>#N/A</v>
      </c>
      <c r="N17382" s="1">
        <v>42644</v>
      </c>
    </row>
    <row r="17383" spans="11:14" x14ac:dyDescent="0.3">
      <c r="K17383" s="1">
        <v>43009</v>
      </c>
      <c r="M17383" t="e">
        <v>#N/A</v>
      </c>
      <c r="N17383" s="1">
        <v>42644</v>
      </c>
    </row>
    <row r="17384" spans="11:14" x14ac:dyDescent="0.3">
      <c r="K17384" s="1">
        <v>43009</v>
      </c>
      <c r="M17384" t="e">
        <v>#N/A</v>
      </c>
      <c r="N17384" s="1">
        <v>42644</v>
      </c>
    </row>
    <row r="17385" spans="11:14" x14ac:dyDescent="0.3">
      <c r="K17385" s="1">
        <v>43009</v>
      </c>
      <c r="M17385" t="e">
        <v>#N/A</v>
      </c>
      <c r="N17385" s="1">
        <v>42644</v>
      </c>
    </row>
    <row r="17386" spans="11:14" x14ac:dyDescent="0.3">
      <c r="K17386" s="1">
        <v>43009</v>
      </c>
      <c r="M17386" t="e">
        <v>#N/A</v>
      </c>
      <c r="N17386" s="1">
        <v>42644</v>
      </c>
    </row>
    <row r="17387" spans="11:14" x14ac:dyDescent="0.3">
      <c r="K17387" s="1">
        <v>43009</v>
      </c>
      <c r="M17387" t="e">
        <v>#N/A</v>
      </c>
      <c r="N17387" s="1">
        <v>42644</v>
      </c>
    </row>
    <row r="17388" spans="11:14" x14ac:dyDescent="0.3">
      <c r="K17388" s="1">
        <v>43009</v>
      </c>
      <c r="M17388" t="e">
        <v>#N/A</v>
      </c>
      <c r="N17388" s="1">
        <v>42644</v>
      </c>
    </row>
    <row r="17389" spans="11:14" x14ac:dyDescent="0.3">
      <c r="K17389" s="1">
        <v>43009</v>
      </c>
      <c r="M17389" t="e">
        <v>#N/A</v>
      </c>
      <c r="N17389" s="1">
        <v>42644</v>
      </c>
    </row>
    <row r="17390" spans="11:14" x14ac:dyDescent="0.3">
      <c r="K17390" s="1">
        <v>43009</v>
      </c>
      <c r="M17390" t="e">
        <v>#N/A</v>
      </c>
      <c r="N17390" s="1">
        <v>42644</v>
      </c>
    </row>
    <row r="17391" spans="11:14" x14ac:dyDescent="0.3">
      <c r="K17391" s="1">
        <v>43009</v>
      </c>
      <c r="M17391" t="e">
        <v>#N/A</v>
      </c>
      <c r="N17391" s="1">
        <v>42644</v>
      </c>
    </row>
    <row r="17392" spans="11:14" x14ac:dyDescent="0.3">
      <c r="K17392" s="1">
        <v>43009</v>
      </c>
      <c r="M17392" t="e">
        <v>#N/A</v>
      </c>
      <c r="N17392" s="1">
        <v>42644</v>
      </c>
    </row>
    <row r="17393" spans="11:14" x14ac:dyDescent="0.3">
      <c r="K17393" s="1">
        <v>43009</v>
      </c>
      <c r="M17393" t="e">
        <v>#N/A</v>
      </c>
      <c r="N17393" s="1">
        <v>42644</v>
      </c>
    </row>
    <row r="17394" spans="11:14" x14ac:dyDescent="0.3">
      <c r="K17394" s="1">
        <v>43009</v>
      </c>
      <c r="M17394" t="e">
        <v>#N/A</v>
      </c>
      <c r="N17394" s="1">
        <v>42644</v>
      </c>
    </row>
    <row r="17395" spans="11:14" x14ac:dyDescent="0.3">
      <c r="K17395" s="1">
        <v>43009</v>
      </c>
      <c r="M17395" t="e">
        <v>#N/A</v>
      </c>
      <c r="N17395" s="1">
        <v>42644</v>
      </c>
    </row>
    <row r="17396" spans="11:14" x14ac:dyDescent="0.3">
      <c r="K17396" s="1">
        <v>43009</v>
      </c>
      <c r="M17396" t="e">
        <v>#N/A</v>
      </c>
      <c r="N17396" s="1">
        <v>42644</v>
      </c>
    </row>
    <row r="17397" spans="11:14" x14ac:dyDescent="0.3">
      <c r="K17397" s="1">
        <v>43009</v>
      </c>
      <c r="M17397" t="e">
        <v>#N/A</v>
      </c>
      <c r="N17397" s="1">
        <v>42644</v>
      </c>
    </row>
    <row r="17398" spans="11:14" x14ac:dyDescent="0.3">
      <c r="K17398" s="1">
        <v>43009</v>
      </c>
      <c r="M17398" t="e">
        <v>#N/A</v>
      </c>
      <c r="N17398" s="1">
        <v>42644</v>
      </c>
    </row>
    <row r="17399" spans="11:14" x14ac:dyDescent="0.3">
      <c r="K17399" s="1">
        <v>43009</v>
      </c>
      <c r="M17399" t="e">
        <v>#N/A</v>
      </c>
      <c r="N17399" s="1">
        <v>42644</v>
      </c>
    </row>
    <row r="17400" spans="11:14" x14ac:dyDescent="0.3">
      <c r="K17400" s="1">
        <v>43009</v>
      </c>
      <c r="M17400" t="e">
        <v>#N/A</v>
      </c>
      <c r="N17400" s="1">
        <v>42644</v>
      </c>
    </row>
    <row r="17401" spans="11:14" x14ac:dyDescent="0.3">
      <c r="K17401" s="1">
        <v>43009</v>
      </c>
      <c r="M17401" t="e">
        <v>#N/A</v>
      </c>
      <c r="N17401" s="1">
        <v>42644</v>
      </c>
    </row>
    <row r="17402" spans="11:14" x14ac:dyDescent="0.3">
      <c r="K17402" s="1">
        <v>43009</v>
      </c>
      <c r="M17402" t="e">
        <v>#N/A</v>
      </c>
      <c r="N17402" s="1">
        <v>42644</v>
      </c>
    </row>
    <row r="17403" spans="11:14" x14ac:dyDescent="0.3">
      <c r="K17403" s="1">
        <v>43009</v>
      </c>
      <c r="M17403" t="e">
        <v>#N/A</v>
      </c>
      <c r="N17403" s="1">
        <v>42644</v>
      </c>
    </row>
    <row r="17404" spans="11:14" x14ac:dyDescent="0.3">
      <c r="K17404" s="1">
        <v>43009</v>
      </c>
      <c r="M17404" t="e">
        <v>#N/A</v>
      </c>
      <c r="N17404" s="1">
        <v>42644</v>
      </c>
    </row>
    <row r="17405" spans="11:14" x14ac:dyDescent="0.3">
      <c r="K17405" s="1">
        <v>43009</v>
      </c>
      <c r="M17405" t="e">
        <v>#N/A</v>
      </c>
      <c r="N17405" s="1">
        <v>42644</v>
      </c>
    </row>
    <row r="17406" spans="11:14" x14ac:dyDescent="0.3">
      <c r="K17406" s="1">
        <v>43009</v>
      </c>
      <c r="M17406" t="e">
        <v>#N/A</v>
      </c>
      <c r="N17406" s="1">
        <v>42644</v>
      </c>
    </row>
    <row r="17407" spans="11:14" x14ac:dyDescent="0.3">
      <c r="K17407" s="1">
        <v>43009</v>
      </c>
      <c r="M17407" t="e">
        <v>#N/A</v>
      </c>
      <c r="N17407" s="1">
        <v>42644</v>
      </c>
    </row>
    <row r="17408" spans="11:14" x14ac:dyDescent="0.3">
      <c r="K17408" s="1">
        <v>43009</v>
      </c>
      <c r="M17408" t="e">
        <v>#N/A</v>
      </c>
      <c r="N17408" s="1">
        <v>42644</v>
      </c>
    </row>
    <row r="17409" spans="11:14" x14ac:dyDescent="0.3">
      <c r="K17409" s="1">
        <v>43009</v>
      </c>
      <c r="M17409" t="e">
        <v>#N/A</v>
      </c>
      <c r="N17409" s="1">
        <v>42644</v>
      </c>
    </row>
    <row r="17410" spans="11:14" x14ac:dyDescent="0.3">
      <c r="K17410" s="1">
        <v>43009</v>
      </c>
      <c r="M17410" t="e">
        <v>#N/A</v>
      </c>
      <c r="N17410" s="1">
        <v>42644</v>
      </c>
    </row>
    <row r="17411" spans="11:14" x14ac:dyDescent="0.3">
      <c r="K17411" s="1">
        <v>43009</v>
      </c>
      <c r="M17411" t="e">
        <v>#N/A</v>
      </c>
      <c r="N17411" s="1">
        <v>42644</v>
      </c>
    </row>
    <row r="17412" spans="11:14" x14ac:dyDescent="0.3">
      <c r="K17412" s="1">
        <v>43009</v>
      </c>
      <c r="M17412" t="e">
        <v>#N/A</v>
      </c>
      <c r="N17412" s="1">
        <v>42644</v>
      </c>
    </row>
    <row r="17413" spans="11:14" x14ac:dyDescent="0.3">
      <c r="K17413" s="1">
        <v>43009</v>
      </c>
      <c r="M17413" t="e">
        <v>#N/A</v>
      </c>
      <c r="N17413" s="1">
        <v>42644</v>
      </c>
    </row>
    <row r="17414" spans="11:14" x14ac:dyDescent="0.3">
      <c r="K17414" s="1">
        <v>43009</v>
      </c>
      <c r="M17414" t="e">
        <v>#N/A</v>
      </c>
      <c r="N17414" s="1">
        <v>42644</v>
      </c>
    </row>
    <row r="17415" spans="11:14" x14ac:dyDescent="0.3">
      <c r="K17415" s="1">
        <v>43009</v>
      </c>
      <c r="M17415" t="e">
        <v>#N/A</v>
      </c>
      <c r="N17415" s="1">
        <v>42644</v>
      </c>
    </row>
    <row r="17416" spans="11:14" x14ac:dyDescent="0.3">
      <c r="K17416" s="1">
        <v>43009</v>
      </c>
      <c r="M17416" t="e">
        <v>#N/A</v>
      </c>
      <c r="N17416" s="1">
        <v>42644</v>
      </c>
    </row>
    <row r="17417" spans="11:14" x14ac:dyDescent="0.3">
      <c r="K17417" s="1">
        <v>43009</v>
      </c>
      <c r="M17417" t="e">
        <v>#N/A</v>
      </c>
      <c r="N17417" s="1">
        <v>42644</v>
      </c>
    </row>
    <row r="17418" spans="11:14" x14ac:dyDescent="0.3">
      <c r="K17418" s="1">
        <v>43009</v>
      </c>
      <c r="M17418" t="e">
        <v>#N/A</v>
      </c>
      <c r="N17418" s="1">
        <v>42644</v>
      </c>
    </row>
    <row r="17419" spans="11:14" x14ac:dyDescent="0.3">
      <c r="K17419" s="1">
        <v>43009</v>
      </c>
      <c r="M17419" t="e">
        <v>#N/A</v>
      </c>
      <c r="N17419" s="1">
        <v>42644</v>
      </c>
    </row>
    <row r="17420" spans="11:14" x14ac:dyDescent="0.3">
      <c r="K17420" s="1">
        <v>43009</v>
      </c>
      <c r="M17420" t="e">
        <v>#N/A</v>
      </c>
      <c r="N17420" s="1">
        <v>42644</v>
      </c>
    </row>
    <row r="17421" spans="11:14" x14ac:dyDescent="0.3">
      <c r="K17421" s="1">
        <v>43009</v>
      </c>
      <c r="M17421" t="e">
        <v>#N/A</v>
      </c>
      <c r="N17421" s="1">
        <v>42644</v>
      </c>
    </row>
    <row r="17422" spans="11:14" x14ac:dyDescent="0.3">
      <c r="K17422" s="1">
        <v>43009</v>
      </c>
      <c r="M17422" t="e">
        <v>#N/A</v>
      </c>
      <c r="N17422" s="1">
        <v>42644</v>
      </c>
    </row>
    <row r="17423" spans="11:14" x14ac:dyDescent="0.3">
      <c r="K17423" s="1">
        <v>43009</v>
      </c>
      <c r="M17423" t="e">
        <v>#N/A</v>
      </c>
      <c r="N17423" s="1">
        <v>42644</v>
      </c>
    </row>
    <row r="17424" spans="11:14" x14ac:dyDescent="0.3">
      <c r="K17424" s="1">
        <v>43009</v>
      </c>
      <c r="M17424" t="e">
        <v>#N/A</v>
      </c>
      <c r="N17424" s="1">
        <v>42644</v>
      </c>
    </row>
    <row r="17425" spans="11:14" x14ac:dyDescent="0.3">
      <c r="K17425" s="1">
        <v>43009</v>
      </c>
      <c r="M17425" t="e">
        <v>#N/A</v>
      </c>
      <c r="N17425" s="1">
        <v>42644</v>
      </c>
    </row>
    <row r="17426" spans="11:14" x14ac:dyDescent="0.3">
      <c r="K17426" s="1">
        <v>43009</v>
      </c>
      <c r="M17426" t="e">
        <v>#N/A</v>
      </c>
      <c r="N17426" s="1">
        <v>42644</v>
      </c>
    </row>
    <row r="17427" spans="11:14" x14ac:dyDescent="0.3">
      <c r="K17427" s="1">
        <v>43009</v>
      </c>
      <c r="M17427" t="e">
        <v>#N/A</v>
      </c>
      <c r="N17427" s="1">
        <v>42644</v>
      </c>
    </row>
    <row r="17428" spans="11:14" x14ac:dyDescent="0.3">
      <c r="K17428" s="1">
        <v>43009</v>
      </c>
      <c r="M17428" t="e">
        <v>#N/A</v>
      </c>
      <c r="N17428" s="1">
        <v>42644</v>
      </c>
    </row>
    <row r="17429" spans="11:14" x14ac:dyDescent="0.3">
      <c r="K17429" s="1">
        <v>43009</v>
      </c>
      <c r="M17429" t="e">
        <v>#N/A</v>
      </c>
      <c r="N17429" s="1">
        <v>42644</v>
      </c>
    </row>
    <row r="17430" spans="11:14" x14ac:dyDescent="0.3">
      <c r="K17430" s="1">
        <v>43009</v>
      </c>
      <c r="M17430" t="e">
        <v>#N/A</v>
      </c>
      <c r="N17430" s="1">
        <v>42644</v>
      </c>
    </row>
    <row r="17431" spans="11:14" x14ac:dyDescent="0.3">
      <c r="K17431" s="1">
        <v>43009</v>
      </c>
      <c r="M17431" t="e">
        <v>#N/A</v>
      </c>
      <c r="N17431" s="1">
        <v>42644</v>
      </c>
    </row>
    <row r="17432" spans="11:14" x14ac:dyDescent="0.3">
      <c r="K17432" s="1">
        <v>43009</v>
      </c>
      <c r="M17432" t="e">
        <v>#N/A</v>
      </c>
      <c r="N17432" s="1">
        <v>42644</v>
      </c>
    </row>
    <row r="17433" spans="11:14" x14ac:dyDescent="0.3">
      <c r="K17433" s="1">
        <v>43009</v>
      </c>
      <c r="M17433" t="e">
        <v>#N/A</v>
      </c>
      <c r="N17433" s="1">
        <v>42644</v>
      </c>
    </row>
    <row r="17434" spans="11:14" x14ac:dyDescent="0.3">
      <c r="K17434" s="1">
        <v>43009</v>
      </c>
      <c r="M17434" t="e">
        <v>#N/A</v>
      </c>
      <c r="N17434" s="1">
        <v>42644</v>
      </c>
    </row>
    <row r="17435" spans="11:14" x14ac:dyDescent="0.3">
      <c r="K17435" s="1">
        <v>43009</v>
      </c>
      <c r="M17435" t="e">
        <v>#N/A</v>
      </c>
      <c r="N17435" s="1">
        <v>42644</v>
      </c>
    </row>
    <row r="17436" spans="11:14" x14ac:dyDescent="0.3">
      <c r="K17436" s="1">
        <v>43009</v>
      </c>
      <c r="M17436" t="e">
        <v>#N/A</v>
      </c>
      <c r="N17436" s="1">
        <v>42644</v>
      </c>
    </row>
    <row r="17437" spans="11:14" x14ac:dyDescent="0.3">
      <c r="K17437" s="1">
        <v>43009</v>
      </c>
      <c r="M17437" t="e">
        <v>#N/A</v>
      </c>
      <c r="N17437" s="1">
        <v>42644</v>
      </c>
    </row>
    <row r="17438" spans="11:14" x14ac:dyDescent="0.3">
      <c r="K17438" s="1">
        <v>43009</v>
      </c>
      <c r="M17438" t="e">
        <v>#N/A</v>
      </c>
      <c r="N17438" s="1">
        <v>42644</v>
      </c>
    </row>
    <row r="17439" spans="11:14" x14ac:dyDescent="0.3">
      <c r="K17439" s="1">
        <v>43009</v>
      </c>
      <c r="M17439" t="e">
        <v>#N/A</v>
      </c>
      <c r="N17439" s="1">
        <v>42644</v>
      </c>
    </row>
    <row r="17440" spans="11:14" x14ac:dyDescent="0.3">
      <c r="K17440" s="1">
        <v>43009</v>
      </c>
      <c r="M17440" t="e">
        <v>#N/A</v>
      </c>
      <c r="N17440" s="1">
        <v>42644</v>
      </c>
    </row>
    <row r="17441" spans="11:14" x14ac:dyDescent="0.3">
      <c r="K17441" s="1">
        <v>43009</v>
      </c>
      <c r="M17441" t="e">
        <v>#N/A</v>
      </c>
      <c r="N17441" s="1">
        <v>42644</v>
      </c>
    </row>
    <row r="17442" spans="11:14" x14ac:dyDescent="0.3">
      <c r="K17442" s="1">
        <v>43009</v>
      </c>
      <c r="M17442" t="e">
        <v>#N/A</v>
      </c>
      <c r="N17442" s="1">
        <v>42644</v>
      </c>
    </row>
    <row r="17443" spans="11:14" x14ac:dyDescent="0.3">
      <c r="K17443" s="1">
        <v>43009</v>
      </c>
      <c r="M17443" t="e">
        <v>#N/A</v>
      </c>
      <c r="N17443" s="1">
        <v>42644</v>
      </c>
    </row>
    <row r="17444" spans="11:14" x14ac:dyDescent="0.3">
      <c r="K17444" s="1">
        <v>43009</v>
      </c>
      <c r="M17444" t="e">
        <v>#N/A</v>
      </c>
      <c r="N17444" s="1">
        <v>42644</v>
      </c>
    </row>
    <row r="17445" spans="11:14" x14ac:dyDescent="0.3">
      <c r="K17445" s="1">
        <v>43009</v>
      </c>
      <c r="M17445" t="e">
        <v>#N/A</v>
      </c>
      <c r="N17445" s="1">
        <v>42644</v>
      </c>
    </row>
    <row r="17446" spans="11:14" x14ac:dyDescent="0.3">
      <c r="K17446" s="1">
        <v>43009</v>
      </c>
      <c r="M17446" t="e">
        <v>#N/A</v>
      </c>
      <c r="N17446" s="1">
        <v>42644</v>
      </c>
    </row>
    <row r="17447" spans="11:14" x14ac:dyDescent="0.3">
      <c r="K17447" s="1">
        <v>43009</v>
      </c>
      <c r="M17447" t="e">
        <v>#N/A</v>
      </c>
      <c r="N17447" s="1">
        <v>42644</v>
      </c>
    </row>
    <row r="17448" spans="11:14" x14ac:dyDescent="0.3">
      <c r="K17448" s="1">
        <v>43009</v>
      </c>
      <c r="M17448" t="e">
        <v>#N/A</v>
      </c>
      <c r="N17448" s="1">
        <v>42644</v>
      </c>
    </row>
    <row r="17449" spans="11:14" x14ac:dyDescent="0.3">
      <c r="K17449" s="1">
        <v>43009</v>
      </c>
      <c r="M17449" t="e">
        <v>#N/A</v>
      </c>
      <c r="N17449" s="1">
        <v>42644</v>
      </c>
    </row>
    <row r="17450" spans="11:14" x14ac:dyDescent="0.3">
      <c r="K17450" s="1">
        <v>43009</v>
      </c>
      <c r="M17450" t="e">
        <v>#N/A</v>
      </c>
      <c r="N17450" s="1">
        <v>42644</v>
      </c>
    </row>
    <row r="17451" spans="11:14" x14ac:dyDescent="0.3">
      <c r="K17451" s="1">
        <v>43009</v>
      </c>
      <c r="M17451" t="e">
        <v>#N/A</v>
      </c>
      <c r="N17451" s="1">
        <v>42644</v>
      </c>
    </row>
    <row r="17452" spans="11:14" x14ac:dyDescent="0.3">
      <c r="K17452" s="1">
        <v>43009</v>
      </c>
      <c r="M17452" t="e">
        <v>#N/A</v>
      </c>
      <c r="N17452" s="1">
        <v>42644</v>
      </c>
    </row>
    <row r="17453" spans="11:14" x14ac:dyDescent="0.3">
      <c r="K17453" s="1">
        <v>43009</v>
      </c>
      <c r="M17453" t="e">
        <v>#N/A</v>
      </c>
      <c r="N17453" s="1">
        <v>42644</v>
      </c>
    </row>
    <row r="17454" spans="11:14" x14ac:dyDescent="0.3">
      <c r="K17454" s="1">
        <v>43009</v>
      </c>
      <c r="M17454" t="e">
        <v>#N/A</v>
      </c>
      <c r="N17454" s="1">
        <v>42644</v>
      </c>
    </row>
    <row r="17455" spans="11:14" x14ac:dyDescent="0.3">
      <c r="K17455" s="1">
        <v>43009</v>
      </c>
      <c r="M17455" t="e">
        <v>#N/A</v>
      </c>
      <c r="N17455" s="1">
        <v>42644</v>
      </c>
    </row>
    <row r="17456" spans="11:14" x14ac:dyDescent="0.3">
      <c r="K17456" s="1">
        <v>43009</v>
      </c>
      <c r="M17456" t="e">
        <v>#N/A</v>
      </c>
      <c r="N17456" s="1">
        <v>42644</v>
      </c>
    </row>
    <row r="17457" spans="11:14" x14ac:dyDescent="0.3">
      <c r="K17457" s="1">
        <v>43009</v>
      </c>
      <c r="M17457" t="e">
        <v>#N/A</v>
      </c>
      <c r="N17457" s="1">
        <v>42644</v>
      </c>
    </row>
    <row r="17458" spans="11:14" x14ac:dyDescent="0.3">
      <c r="K17458" s="1">
        <v>43009</v>
      </c>
      <c r="M17458" t="e">
        <v>#N/A</v>
      </c>
      <c r="N17458" s="1">
        <v>42644</v>
      </c>
    </row>
    <row r="17459" spans="11:14" x14ac:dyDescent="0.3">
      <c r="K17459" s="1">
        <v>43009</v>
      </c>
      <c r="M17459" t="e">
        <v>#N/A</v>
      </c>
      <c r="N17459" s="1">
        <v>42644</v>
      </c>
    </row>
    <row r="17460" spans="11:14" x14ac:dyDescent="0.3">
      <c r="K17460" s="1">
        <v>43009</v>
      </c>
      <c r="M17460" t="e">
        <v>#N/A</v>
      </c>
      <c r="N17460" s="1">
        <v>42644</v>
      </c>
    </row>
    <row r="17461" spans="11:14" x14ac:dyDescent="0.3">
      <c r="K17461" s="1">
        <v>43009</v>
      </c>
      <c r="M17461" t="e">
        <v>#N/A</v>
      </c>
      <c r="N17461" s="1">
        <v>42644</v>
      </c>
    </row>
    <row r="17462" spans="11:14" x14ac:dyDescent="0.3">
      <c r="K17462" s="1">
        <v>43009</v>
      </c>
      <c r="M17462" t="e">
        <v>#N/A</v>
      </c>
      <c r="N17462" s="1">
        <v>42644</v>
      </c>
    </row>
    <row r="17463" spans="11:14" x14ac:dyDescent="0.3">
      <c r="K17463" s="1">
        <v>43009</v>
      </c>
      <c r="M17463" t="e">
        <v>#N/A</v>
      </c>
      <c r="N17463" s="1">
        <v>42644</v>
      </c>
    </row>
    <row r="17464" spans="11:14" x14ac:dyDescent="0.3">
      <c r="K17464" s="1">
        <v>43009</v>
      </c>
      <c r="M17464" t="e">
        <v>#N/A</v>
      </c>
      <c r="N17464" s="1">
        <v>42644</v>
      </c>
    </row>
    <row r="17465" spans="11:14" x14ac:dyDescent="0.3">
      <c r="K17465" s="1">
        <v>43009</v>
      </c>
      <c r="M17465" t="e">
        <v>#N/A</v>
      </c>
      <c r="N17465" s="1">
        <v>42644</v>
      </c>
    </row>
    <row r="17466" spans="11:14" x14ac:dyDescent="0.3">
      <c r="K17466" s="1">
        <v>43009</v>
      </c>
      <c r="M17466" t="e">
        <v>#N/A</v>
      </c>
      <c r="N17466" s="1">
        <v>42644</v>
      </c>
    </row>
    <row r="17467" spans="11:14" x14ac:dyDescent="0.3">
      <c r="K17467" s="1">
        <v>43009</v>
      </c>
      <c r="M17467" t="e">
        <v>#N/A</v>
      </c>
      <c r="N17467" s="1">
        <v>42644</v>
      </c>
    </row>
    <row r="17468" spans="11:14" x14ac:dyDescent="0.3">
      <c r="K17468" s="1">
        <v>43009</v>
      </c>
      <c r="M17468" t="e">
        <v>#N/A</v>
      </c>
      <c r="N17468" s="1">
        <v>42644</v>
      </c>
    </row>
    <row r="17469" spans="11:14" x14ac:dyDescent="0.3">
      <c r="K17469" s="1">
        <v>43009</v>
      </c>
      <c r="M17469" t="e">
        <v>#N/A</v>
      </c>
      <c r="N17469" s="1">
        <v>42644</v>
      </c>
    </row>
    <row r="17470" spans="11:14" x14ac:dyDescent="0.3">
      <c r="K17470" s="1">
        <v>43009</v>
      </c>
      <c r="M17470" t="e">
        <v>#N/A</v>
      </c>
      <c r="N17470" s="1">
        <v>42644</v>
      </c>
    </row>
    <row r="17471" spans="11:14" x14ac:dyDescent="0.3">
      <c r="K17471" s="1">
        <v>43009</v>
      </c>
      <c r="M17471" t="e">
        <v>#N/A</v>
      </c>
      <c r="N17471" s="1">
        <v>42644</v>
      </c>
    </row>
    <row r="17472" spans="11:14" x14ac:dyDescent="0.3">
      <c r="K17472" s="1">
        <v>43009</v>
      </c>
      <c r="M17472" t="e">
        <v>#N/A</v>
      </c>
      <c r="N17472" s="1">
        <v>42644</v>
      </c>
    </row>
    <row r="17473" spans="11:14" x14ac:dyDescent="0.3">
      <c r="K17473" s="1">
        <v>43009</v>
      </c>
      <c r="M17473" t="e">
        <v>#N/A</v>
      </c>
      <c r="N17473" s="1">
        <v>42644</v>
      </c>
    </row>
    <row r="17474" spans="11:14" x14ac:dyDescent="0.3">
      <c r="K17474" s="1">
        <v>43009</v>
      </c>
      <c r="M17474" t="e">
        <v>#N/A</v>
      </c>
      <c r="N17474" s="1">
        <v>42644</v>
      </c>
    </row>
    <row r="17475" spans="11:14" x14ac:dyDescent="0.3">
      <c r="K17475" s="1">
        <v>43009</v>
      </c>
      <c r="M17475" t="e">
        <v>#N/A</v>
      </c>
      <c r="N17475" s="1">
        <v>42644</v>
      </c>
    </row>
    <row r="17476" spans="11:14" x14ac:dyDescent="0.3">
      <c r="K17476" s="1">
        <v>43009</v>
      </c>
      <c r="M17476" t="e">
        <v>#N/A</v>
      </c>
      <c r="N17476" s="1">
        <v>42644</v>
      </c>
    </row>
    <row r="17477" spans="11:14" x14ac:dyDescent="0.3">
      <c r="K17477" s="1">
        <v>43009</v>
      </c>
      <c r="M17477" t="e">
        <v>#N/A</v>
      </c>
      <c r="N17477" s="1">
        <v>42644</v>
      </c>
    </row>
    <row r="17478" spans="11:14" x14ac:dyDescent="0.3">
      <c r="K17478" s="1">
        <v>43009</v>
      </c>
      <c r="M17478" t="e">
        <v>#N/A</v>
      </c>
      <c r="N17478" s="1">
        <v>42644</v>
      </c>
    </row>
    <row r="17479" spans="11:14" x14ac:dyDescent="0.3">
      <c r="K17479" s="1">
        <v>43009</v>
      </c>
      <c r="M17479" t="e">
        <v>#N/A</v>
      </c>
      <c r="N17479" s="1">
        <v>42644</v>
      </c>
    </row>
    <row r="17480" spans="11:14" x14ac:dyDescent="0.3">
      <c r="K17480" s="1">
        <v>43101</v>
      </c>
      <c r="M17480" t="e">
        <v>#N/A</v>
      </c>
      <c r="N17480" s="1">
        <v>42644</v>
      </c>
    </row>
    <row r="17481" spans="11:14" x14ac:dyDescent="0.3">
      <c r="K17481" s="1">
        <v>43101</v>
      </c>
      <c r="M17481" t="e">
        <v>#N/A</v>
      </c>
      <c r="N17481" s="1">
        <v>42644</v>
      </c>
    </row>
    <row r="17482" spans="11:14" x14ac:dyDescent="0.3">
      <c r="K17482" s="1">
        <v>43101</v>
      </c>
      <c r="M17482" t="e">
        <v>#N/A</v>
      </c>
      <c r="N17482" s="1">
        <v>42644</v>
      </c>
    </row>
    <row r="17483" spans="11:14" x14ac:dyDescent="0.3">
      <c r="K17483" s="1">
        <v>43101</v>
      </c>
      <c r="M17483" t="e">
        <v>#N/A</v>
      </c>
      <c r="N17483" s="1">
        <v>42644</v>
      </c>
    </row>
    <row r="17484" spans="11:14" x14ac:dyDescent="0.3">
      <c r="K17484" s="1">
        <v>43101</v>
      </c>
      <c r="M17484" t="e">
        <v>#N/A</v>
      </c>
      <c r="N17484" s="1">
        <v>42644</v>
      </c>
    </row>
    <row r="17485" spans="11:14" x14ac:dyDescent="0.3">
      <c r="K17485" s="1">
        <v>43101</v>
      </c>
      <c r="M17485" t="e">
        <v>#N/A</v>
      </c>
      <c r="N17485" s="1">
        <v>42644</v>
      </c>
    </row>
    <row r="17486" spans="11:14" x14ac:dyDescent="0.3">
      <c r="K17486" s="1">
        <v>43101</v>
      </c>
      <c r="M17486" t="e">
        <v>#N/A</v>
      </c>
      <c r="N17486" s="1">
        <v>42644</v>
      </c>
    </row>
    <row r="17487" spans="11:14" x14ac:dyDescent="0.3">
      <c r="K17487" s="1">
        <v>43101</v>
      </c>
      <c r="M17487" t="e">
        <v>#N/A</v>
      </c>
      <c r="N17487" s="1">
        <v>42644</v>
      </c>
    </row>
    <row r="17488" spans="11:14" x14ac:dyDescent="0.3">
      <c r="K17488" s="1">
        <v>43101</v>
      </c>
      <c r="M17488" t="e">
        <v>#N/A</v>
      </c>
      <c r="N17488" s="1">
        <v>42644</v>
      </c>
    </row>
    <row r="17489" spans="11:14" x14ac:dyDescent="0.3">
      <c r="K17489" s="1">
        <v>43101</v>
      </c>
      <c r="M17489" t="e">
        <v>#N/A</v>
      </c>
      <c r="N17489" s="1">
        <v>42644</v>
      </c>
    </row>
    <row r="17490" spans="11:14" x14ac:dyDescent="0.3">
      <c r="K17490" s="1">
        <v>43101</v>
      </c>
      <c r="M17490" t="e">
        <v>#N/A</v>
      </c>
      <c r="N17490" s="1">
        <v>42644</v>
      </c>
    </row>
    <row r="17491" spans="11:14" x14ac:dyDescent="0.3">
      <c r="K17491" s="1">
        <v>43101</v>
      </c>
      <c r="M17491" t="e">
        <v>#N/A</v>
      </c>
      <c r="N17491" s="1">
        <v>42644</v>
      </c>
    </row>
    <row r="17492" spans="11:14" x14ac:dyDescent="0.3">
      <c r="K17492" s="1">
        <v>43101</v>
      </c>
      <c r="M17492" t="e">
        <v>#N/A</v>
      </c>
      <c r="N17492" s="1">
        <v>42644</v>
      </c>
    </row>
    <row r="17493" spans="11:14" x14ac:dyDescent="0.3">
      <c r="K17493" s="1">
        <v>43101</v>
      </c>
      <c r="M17493" t="e">
        <v>#N/A</v>
      </c>
      <c r="N17493" s="1">
        <v>42644</v>
      </c>
    </row>
    <row r="17494" spans="11:14" x14ac:dyDescent="0.3">
      <c r="K17494" s="1">
        <v>43101</v>
      </c>
      <c r="M17494" t="e">
        <v>#N/A</v>
      </c>
      <c r="N17494" s="1">
        <v>42644</v>
      </c>
    </row>
    <row r="17495" spans="11:14" x14ac:dyDescent="0.3">
      <c r="K17495" s="1">
        <v>43101</v>
      </c>
      <c r="M17495" t="e">
        <v>#N/A</v>
      </c>
      <c r="N17495" s="1">
        <v>42644</v>
      </c>
    </row>
    <row r="17496" spans="11:14" x14ac:dyDescent="0.3">
      <c r="K17496" s="1">
        <v>43101</v>
      </c>
      <c r="M17496" t="e">
        <v>#N/A</v>
      </c>
      <c r="N17496" s="1">
        <v>42644</v>
      </c>
    </row>
    <row r="17497" spans="11:14" x14ac:dyDescent="0.3">
      <c r="K17497" s="1">
        <v>43101</v>
      </c>
      <c r="M17497" t="e">
        <v>#N/A</v>
      </c>
      <c r="N17497" s="1">
        <v>42644</v>
      </c>
    </row>
    <row r="17498" spans="11:14" x14ac:dyDescent="0.3">
      <c r="K17498" s="1">
        <v>43101</v>
      </c>
      <c r="M17498" t="e">
        <v>#N/A</v>
      </c>
      <c r="N17498" s="1">
        <v>42644</v>
      </c>
    </row>
    <row r="17499" spans="11:14" x14ac:dyDescent="0.3">
      <c r="K17499" s="1">
        <v>43101</v>
      </c>
      <c r="M17499" t="e">
        <v>#N/A</v>
      </c>
      <c r="N17499" s="1">
        <v>42644</v>
      </c>
    </row>
    <row r="17500" spans="11:14" x14ac:dyDescent="0.3">
      <c r="K17500" s="1">
        <v>43101</v>
      </c>
      <c r="M17500" t="e">
        <v>#N/A</v>
      </c>
      <c r="N17500" s="1">
        <v>42644</v>
      </c>
    </row>
    <row r="17501" spans="11:14" x14ac:dyDescent="0.3">
      <c r="K17501" s="1">
        <v>43101</v>
      </c>
      <c r="M17501" t="e">
        <v>#N/A</v>
      </c>
      <c r="N17501" s="1">
        <v>42644</v>
      </c>
    </row>
    <row r="17502" spans="11:14" x14ac:dyDescent="0.3">
      <c r="K17502" s="1">
        <v>43101</v>
      </c>
      <c r="M17502" t="e">
        <v>#N/A</v>
      </c>
      <c r="N17502" s="1">
        <v>42644</v>
      </c>
    </row>
    <row r="17503" spans="11:14" x14ac:dyDescent="0.3">
      <c r="K17503" s="1">
        <v>43101</v>
      </c>
      <c r="M17503" t="e">
        <v>#N/A</v>
      </c>
      <c r="N17503" s="1">
        <v>42644</v>
      </c>
    </row>
    <row r="17504" spans="11:14" x14ac:dyDescent="0.3">
      <c r="K17504" s="1">
        <v>43101</v>
      </c>
      <c r="M17504" t="e">
        <v>#N/A</v>
      </c>
      <c r="N17504" s="1">
        <v>42644</v>
      </c>
    </row>
    <row r="17505" spans="11:14" x14ac:dyDescent="0.3">
      <c r="K17505" s="1">
        <v>43101</v>
      </c>
      <c r="M17505" t="e">
        <v>#N/A</v>
      </c>
      <c r="N17505" s="1">
        <v>42644</v>
      </c>
    </row>
    <row r="17506" spans="11:14" x14ac:dyDescent="0.3">
      <c r="K17506" s="1">
        <v>43101</v>
      </c>
      <c r="M17506" t="e">
        <v>#N/A</v>
      </c>
      <c r="N17506" s="1">
        <v>42644</v>
      </c>
    </row>
    <row r="17507" spans="11:14" x14ac:dyDescent="0.3">
      <c r="K17507" s="1">
        <v>43101</v>
      </c>
      <c r="M17507" t="e">
        <v>#N/A</v>
      </c>
      <c r="N17507" s="1">
        <v>42644</v>
      </c>
    </row>
    <row r="17508" spans="11:14" x14ac:dyDescent="0.3">
      <c r="K17508" s="1">
        <v>43101</v>
      </c>
      <c r="M17508" t="e">
        <v>#N/A</v>
      </c>
      <c r="N17508" s="1">
        <v>42644</v>
      </c>
    </row>
    <row r="17509" spans="11:14" x14ac:dyDescent="0.3">
      <c r="K17509" s="1">
        <v>43101</v>
      </c>
      <c r="M17509" t="e">
        <v>#N/A</v>
      </c>
      <c r="N17509" s="1">
        <v>42644</v>
      </c>
    </row>
    <row r="17510" spans="11:14" x14ac:dyDescent="0.3">
      <c r="K17510" s="1">
        <v>43101</v>
      </c>
      <c r="M17510" t="e">
        <v>#N/A</v>
      </c>
      <c r="N17510" s="1">
        <v>42644</v>
      </c>
    </row>
    <row r="17511" spans="11:14" x14ac:dyDescent="0.3">
      <c r="K17511" s="1">
        <v>43101</v>
      </c>
      <c r="M17511" t="e">
        <v>#N/A</v>
      </c>
      <c r="N17511" s="1">
        <v>42644</v>
      </c>
    </row>
    <row r="17512" spans="11:14" x14ac:dyDescent="0.3">
      <c r="K17512" s="1">
        <v>43101</v>
      </c>
      <c r="M17512" t="e">
        <v>#N/A</v>
      </c>
      <c r="N17512" s="1">
        <v>42644</v>
      </c>
    </row>
    <row r="17513" spans="11:14" x14ac:dyDescent="0.3">
      <c r="K17513" s="1">
        <v>43101</v>
      </c>
      <c r="M17513" t="e">
        <v>#N/A</v>
      </c>
      <c r="N17513" s="1">
        <v>42644</v>
      </c>
    </row>
    <row r="17514" spans="11:14" x14ac:dyDescent="0.3">
      <c r="K17514" s="1">
        <v>43101</v>
      </c>
      <c r="M17514" t="e">
        <v>#N/A</v>
      </c>
      <c r="N17514" s="1">
        <v>42644</v>
      </c>
    </row>
    <row r="17515" spans="11:14" x14ac:dyDescent="0.3">
      <c r="K17515" s="1">
        <v>43101</v>
      </c>
      <c r="M17515" t="e">
        <v>#N/A</v>
      </c>
      <c r="N17515" s="1">
        <v>42644</v>
      </c>
    </row>
    <row r="17516" spans="11:14" x14ac:dyDescent="0.3">
      <c r="K17516" s="1">
        <v>43101</v>
      </c>
      <c r="M17516" t="e">
        <v>#N/A</v>
      </c>
      <c r="N17516" s="1">
        <v>42644</v>
      </c>
    </row>
    <row r="17517" spans="11:14" x14ac:dyDescent="0.3">
      <c r="K17517" s="1">
        <v>43101</v>
      </c>
      <c r="M17517" t="e">
        <v>#N/A</v>
      </c>
      <c r="N17517" s="1">
        <v>42644</v>
      </c>
    </row>
    <row r="17518" spans="11:14" x14ac:dyDescent="0.3">
      <c r="K17518" s="1">
        <v>43101</v>
      </c>
      <c r="M17518" t="e">
        <v>#N/A</v>
      </c>
      <c r="N17518" s="1">
        <v>42644</v>
      </c>
    </row>
    <row r="17519" spans="11:14" x14ac:dyDescent="0.3">
      <c r="K17519" s="1">
        <v>43101</v>
      </c>
      <c r="M17519" t="e">
        <v>#N/A</v>
      </c>
      <c r="N17519" s="1">
        <v>42644</v>
      </c>
    </row>
    <row r="17520" spans="11:14" x14ac:dyDescent="0.3">
      <c r="K17520" s="1">
        <v>43101</v>
      </c>
      <c r="M17520" t="e">
        <v>#N/A</v>
      </c>
      <c r="N17520" s="1">
        <v>42644</v>
      </c>
    </row>
    <row r="17521" spans="11:14" x14ac:dyDescent="0.3">
      <c r="K17521" s="1">
        <v>43101</v>
      </c>
      <c r="M17521" t="e">
        <v>#N/A</v>
      </c>
      <c r="N17521" s="1">
        <v>42644</v>
      </c>
    </row>
    <row r="17522" spans="11:14" x14ac:dyDescent="0.3">
      <c r="K17522" s="1">
        <v>43101</v>
      </c>
      <c r="M17522" t="e">
        <v>#N/A</v>
      </c>
      <c r="N17522" s="1">
        <v>42644</v>
      </c>
    </row>
    <row r="17523" spans="11:14" x14ac:dyDescent="0.3">
      <c r="K17523" s="1">
        <v>43101</v>
      </c>
      <c r="M17523" t="e">
        <v>#N/A</v>
      </c>
      <c r="N17523" s="1">
        <v>42644</v>
      </c>
    </row>
    <row r="17524" spans="11:14" x14ac:dyDescent="0.3">
      <c r="K17524" s="1">
        <v>43101</v>
      </c>
      <c r="M17524" t="e">
        <v>#N/A</v>
      </c>
      <c r="N17524" s="1">
        <v>42644</v>
      </c>
    </row>
    <row r="17525" spans="11:14" x14ac:dyDescent="0.3">
      <c r="K17525" s="1">
        <v>43101</v>
      </c>
      <c r="M17525" t="e">
        <v>#N/A</v>
      </c>
      <c r="N17525" s="1">
        <v>42644</v>
      </c>
    </row>
    <row r="17526" spans="11:14" x14ac:dyDescent="0.3">
      <c r="K17526" s="1">
        <v>43101</v>
      </c>
      <c r="M17526" t="e">
        <v>#N/A</v>
      </c>
      <c r="N17526" s="1">
        <v>42644</v>
      </c>
    </row>
    <row r="17527" spans="11:14" x14ac:dyDescent="0.3">
      <c r="K17527" s="1">
        <v>43101</v>
      </c>
      <c r="M17527" t="e">
        <v>#N/A</v>
      </c>
      <c r="N17527" s="1">
        <v>42644</v>
      </c>
    </row>
    <row r="17528" spans="11:14" x14ac:dyDescent="0.3">
      <c r="K17528" s="1">
        <v>43101</v>
      </c>
      <c r="M17528" t="e">
        <v>#N/A</v>
      </c>
      <c r="N17528" s="1">
        <v>42644</v>
      </c>
    </row>
    <row r="17529" spans="11:14" x14ac:dyDescent="0.3">
      <c r="K17529" s="1">
        <v>43101</v>
      </c>
      <c r="M17529" t="e">
        <v>#N/A</v>
      </c>
      <c r="N17529" s="1">
        <v>42644</v>
      </c>
    </row>
    <row r="17530" spans="11:14" x14ac:dyDescent="0.3">
      <c r="K17530" s="1">
        <v>43101</v>
      </c>
      <c r="M17530" t="e">
        <v>#N/A</v>
      </c>
      <c r="N17530" s="1">
        <v>42644</v>
      </c>
    </row>
    <row r="17531" spans="11:14" x14ac:dyDescent="0.3">
      <c r="K17531" s="1">
        <v>43101</v>
      </c>
      <c r="M17531" t="e">
        <v>#N/A</v>
      </c>
      <c r="N17531" s="1">
        <v>42644</v>
      </c>
    </row>
    <row r="17532" spans="11:14" x14ac:dyDescent="0.3">
      <c r="K17532" s="1">
        <v>43101</v>
      </c>
      <c r="M17532" t="e">
        <v>#N/A</v>
      </c>
      <c r="N17532" s="1">
        <v>42644</v>
      </c>
    </row>
    <row r="17533" spans="11:14" x14ac:dyDescent="0.3">
      <c r="K17533" s="1">
        <v>43101</v>
      </c>
      <c r="M17533" t="e">
        <v>#N/A</v>
      </c>
      <c r="N17533" s="1">
        <v>42644</v>
      </c>
    </row>
    <row r="17534" spans="11:14" x14ac:dyDescent="0.3">
      <c r="K17534" s="1">
        <v>43101</v>
      </c>
      <c r="M17534" t="e">
        <v>#N/A</v>
      </c>
      <c r="N17534" s="1">
        <v>42644</v>
      </c>
    </row>
    <row r="17535" spans="11:14" x14ac:dyDescent="0.3">
      <c r="K17535" s="1">
        <v>43101</v>
      </c>
      <c r="M17535" t="e">
        <v>#N/A</v>
      </c>
      <c r="N17535" s="1">
        <v>42644</v>
      </c>
    </row>
    <row r="17536" spans="11:14" x14ac:dyDescent="0.3">
      <c r="K17536" s="1">
        <v>43101</v>
      </c>
      <c r="M17536" t="e">
        <v>#N/A</v>
      </c>
      <c r="N17536" s="1">
        <v>42644</v>
      </c>
    </row>
    <row r="17537" spans="11:14" x14ac:dyDescent="0.3">
      <c r="K17537" s="1">
        <v>43101</v>
      </c>
      <c r="M17537" t="e">
        <v>#N/A</v>
      </c>
      <c r="N17537" s="1">
        <v>42644</v>
      </c>
    </row>
    <row r="17538" spans="11:14" x14ac:dyDescent="0.3">
      <c r="K17538" s="1">
        <v>43101</v>
      </c>
      <c r="M17538" t="e">
        <v>#N/A</v>
      </c>
      <c r="N17538" s="1">
        <v>42644</v>
      </c>
    </row>
    <row r="17539" spans="11:14" x14ac:dyDescent="0.3">
      <c r="K17539" s="1">
        <v>43101</v>
      </c>
      <c r="M17539" t="e">
        <v>#N/A</v>
      </c>
      <c r="N17539" s="1">
        <v>42644</v>
      </c>
    </row>
    <row r="17540" spans="11:14" x14ac:dyDescent="0.3">
      <c r="K17540" s="1">
        <v>43101</v>
      </c>
      <c r="M17540" t="e">
        <v>#N/A</v>
      </c>
      <c r="N17540" s="1">
        <v>42644</v>
      </c>
    </row>
    <row r="17541" spans="11:14" x14ac:dyDescent="0.3">
      <c r="K17541" s="1">
        <v>43101</v>
      </c>
      <c r="M17541" t="e">
        <v>#N/A</v>
      </c>
      <c r="N17541" s="1">
        <v>42644</v>
      </c>
    </row>
    <row r="17542" spans="11:14" x14ac:dyDescent="0.3">
      <c r="K17542" s="1">
        <v>43101</v>
      </c>
      <c r="M17542" t="e">
        <v>#N/A</v>
      </c>
      <c r="N17542" s="1">
        <v>42644</v>
      </c>
    </row>
    <row r="17543" spans="11:14" x14ac:dyDescent="0.3">
      <c r="K17543" s="1">
        <v>43101</v>
      </c>
      <c r="M17543" t="e">
        <v>#N/A</v>
      </c>
      <c r="N17543" s="1">
        <v>42644</v>
      </c>
    </row>
    <row r="17544" spans="11:14" x14ac:dyDescent="0.3">
      <c r="K17544" s="1">
        <v>43101</v>
      </c>
      <c r="M17544" t="e">
        <v>#N/A</v>
      </c>
      <c r="N17544" s="1">
        <v>42644</v>
      </c>
    </row>
    <row r="17545" spans="11:14" x14ac:dyDescent="0.3">
      <c r="K17545" s="1">
        <v>43101</v>
      </c>
      <c r="M17545" t="e">
        <v>#N/A</v>
      </c>
      <c r="N17545" s="1">
        <v>42644</v>
      </c>
    </row>
    <row r="17546" spans="11:14" x14ac:dyDescent="0.3">
      <c r="K17546" s="1">
        <v>43101</v>
      </c>
      <c r="M17546" t="e">
        <v>#N/A</v>
      </c>
      <c r="N17546" s="1">
        <v>42644</v>
      </c>
    </row>
    <row r="17547" spans="11:14" x14ac:dyDescent="0.3">
      <c r="K17547" s="1">
        <v>43101</v>
      </c>
      <c r="M17547" t="e">
        <v>#N/A</v>
      </c>
      <c r="N17547" s="1">
        <v>42644</v>
      </c>
    </row>
    <row r="17548" spans="11:14" x14ac:dyDescent="0.3">
      <c r="K17548" s="1">
        <v>43101</v>
      </c>
      <c r="M17548" t="e">
        <v>#N/A</v>
      </c>
      <c r="N17548" s="1">
        <v>42644</v>
      </c>
    </row>
    <row r="17549" spans="11:14" x14ac:dyDescent="0.3">
      <c r="K17549" s="1">
        <v>43101</v>
      </c>
      <c r="M17549" t="e">
        <v>#N/A</v>
      </c>
      <c r="N17549" s="1">
        <v>42644</v>
      </c>
    </row>
    <row r="17550" spans="11:14" x14ac:dyDescent="0.3">
      <c r="K17550" s="1">
        <v>43101</v>
      </c>
      <c r="M17550" t="e">
        <v>#N/A</v>
      </c>
      <c r="N17550" s="1">
        <v>42644</v>
      </c>
    </row>
    <row r="17551" spans="11:14" x14ac:dyDescent="0.3">
      <c r="K17551" s="1">
        <v>43101</v>
      </c>
      <c r="M17551" t="e">
        <v>#N/A</v>
      </c>
      <c r="N17551" s="1">
        <v>42644</v>
      </c>
    </row>
    <row r="17552" spans="11:14" x14ac:dyDescent="0.3">
      <c r="K17552" s="1">
        <v>43101</v>
      </c>
      <c r="M17552" t="e">
        <v>#N/A</v>
      </c>
      <c r="N17552" s="1">
        <v>42644</v>
      </c>
    </row>
    <row r="17553" spans="11:14" x14ac:dyDescent="0.3">
      <c r="K17553" s="1">
        <v>43101</v>
      </c>
      <c r="M17553" t="e">
        <v>#N/A</v>
      </c>
      <c r="N17553" s="1">
        <v>42644</v>
      </c>
    </row>
    <row r="17554" spans="11:14" x14ac:dyDescent="0.3">
      <c r="K17554" s="1">
        <v>43101</v>
      </c>
      <c r="M17554" t="e">
        <v>#N/A</v>
      </c>
      <c r="N17554" s="1">
        <v>42644</v>
      </c>
    </row>
    <row r="17555" spans="11:14" x14ac:dyDescent="0.3">
      <c r="K17555" s="1">
        <v>43101</v>
      </c>
      <c r="M17555" t="e">
        <v>#N/A</v>
      </c>
      <c r="N17555" s="1">
        <v>42644</v>
      </c>
    </row>
    <row r="17556" spans="11:14" x14ac:dyDescent="0.3">
      <c r="K17556" s="1">
        <v>43101</v>
      </c>
      <c r="M17556" t="e">
        <v>#N/A</v>
      </c>
      <c r="N17556" s="1">
        <v>42644</v>
      </c>
    </row>
    <row r="17557" spans="11:14" x14ac:dyDescent="0.3">
      <c r="K17557" s="1">
        <v>43101</v>
      </c>
      <c r="M17557" t="e">
        <v>#N/A</v>
      </c>
      <c r="N17557" s="1">
        <v>42644</v>
      </c>
    </row>
    <row r="17558" spans="11:14" x14ac:dyDescent="0.3">
      <c r="K17558" s="1">
        <v>43101</v>
      </c>
      <c r="M17558" t="e">
        <v>#N/A</v>
      </c>
      <c r="N17558" s="1">
        <v>42644</v>
      </c>
    </row>
    <row r="17559" spans="11:14" x14ac:dyDescent="0.3">
      <c r="K17559" s="1">
        <v>43101</v>
      </c>
      <c r="M17559" t="e">
        <v>#N/A</v>
      </c>
      <c r="N17559" s="1">
        <v>42644</v>
      </c>
    </row>
    <row r="17560" spans="11:14" x14ac:dyDescent="0.3">
      <c r="K17560" s="1">
        <v>43101</v>
      </c>
      <c r="M17560" t="e">
        <v>#N/A</v>
      </c>
      <c r="N17560" s="1">
        <v>42644</v>
      </c>
    </row>
    <row r="17561" spans="11:14" x14ac:dyDescent="0.3">
      <c r="K17561" s="1">
        <v>43101</v>
      </c>
      <c r="M17561" t="e">
        <v>#N/A</v>
      </c>
      <c r="N17561" s="1">
        <v>42644</v>
      </c>
    </row>
    <row r="17562" spans="11:14" x14ac:dyDescent="0.3">
      <c r="K17562" s="1">
        <v>43101</v>
      </c>
      <c r="M17562" t="e">
        <v>#N/A</v>
      </c>
      <c r="N17562" s="1">
        <v>42644</v>
      </c>
    </row>
    <row r="17563" spans="11:14" x14ac:dyDescent="0.3">
      <c r="K17563" s="1">
        <v>43101</v>
      </c>
      <c r="M17563" t="e">
        <v>#N/A</v>
      </c>
      <c r="N17563" s="1">
        <v>42644</v>
      </c>
    </row>
    <row r="17564" spans="11:14" x14ac:dyDescent="0.3">
      <c r="K17564" s="1">
        <v>43101</v>
      </c>
      <c r="M17564" t="e">
        <v>#N/A</v>
      </c>
      <c r="N17564" s="1">
        <v>42644</v>
      </c>
    </row>
    <row r="17565" spans="11:14" x14ac:dyDescent="0.3">
      <c r="K17565" s="1">
        <v>43101</v>
      </c>
      <c r="M17565" t="e">
        <v>#N/A</v>
      </c>
      <c r="N17565" s="1">
        <v>42644</v>
      </c>
    </row>
    <row r="17566" spans="11:14" x14ac:dyDescent="0.3">
      <c r="K17566" s="1">
        <v>43101</v>
      </c>
      <c r="M17566" t="e">
        <v>#N/A</v>
      </c>
      <c r="N17566" s="1">
        <v>42644</v>
      </c>
    </row>
    <row r="17567" spans="11:14" x14ac:dyDescent="0.3">
      <c r="K17567" s="1">
        <v>43101</v>
      </c>
      <c r="M17567" t="e">
        <v>#N/A</v>
      </c>
      <c r="N17567" s="1">
        <v>42644</v>
      </c>
    </row>
    <row r="17568" spans="11:14" x14ac:dyDescent="0.3">
      <c r="K17568" s="1">
        <v>43101</v>
      </c>
      <c r="M17568" t="e">
        <v>#N/A</v>
      </c>
      <c r="N17568" s="1">
        <v>42644</v>
      </c>
    </row>
    <row r="17569" spans="11:14" x14ac:dyDescent="0.3">
      <c r="K17569" s="1">
        <v>43101</v>
      </c>
      <c r="M17569" t="e">
        <v>#N/A</v>
      </c>
      <c r="N17569" s="1">
        <v>42644</v>
      </c>
    </row>
    <row r="17570" spans="11:14" x14ac:dyDescent="0.3">
      <c r="K17570" s="1">
        <v>43101</v>
      </c>
      <c r="M17570" t="e">
        <v>#N/A</v>
      </c>
      <c r="N17570" s="1">
        <v>42644</v>
      </c>
    </row>
    <row r="17571" spans="11:14" x14ac:dyDescent="0.3">
      <c r="K17571" s="1">
        <v>43101</v>
      </c>
      <c r="M17571" t="e">
        <v>#N/A</v>
      </c>
      <c r="N17571" s="1">
        <v>42644</v>
      </c>
    </row>
    <row r="17572" spans="11:14" x14ac:dyDescent="0.3">
      <c r="K17572" s="1">
        <v>43101</v>
      </c>
      <c r="M17572" t="e">
        <v>#N/A</v>
      </c>
      <c r="N17572" s="1">
        <v>42644</v>
      </c>
    </row>
    <row r="17573" spans="11:14" x14ac:dyDescent="0.3">
      <c r="K17573" s="1">
        <v>43101</v>
      </c>
      <c r="M17573" t="e">
        <v>#N/A</v>
      </c>
      <c r="N17573" s="1">
        <v>42644</v>
      </c>
    </row>
    <row r="17574" spans="11:14" x14ac:dyDescent="0.3">
      <c r="K17574" s="1">
        <v>43101</v>
      </c>
      <c r="M17574" t="e">
        <v>#N/A</v>
      </c>
      <c r="N17574" s="1">
        <v>42644</v>
      </c>
    </row>
    <row r="17575" spans="11:14" x14ac:dyDescent="0.3">
      <c r="K17575" s="1">
        <v>43101</v>
      </c>
      <c r="M17575" t="e">
        <v>#N/A</v>
      </c>
      <c r="N17575" s="1">
        <v>42644</v>
      </c>
    </row>
    <row r="17576" spans="11:14" x14ac:dyDescent="0.3">
      <c r="K17576" s="1">
        <v>43101</v>
      </c>
      <c r="M17576" t="e">
        <v>#N/A</v>
      </c>
      <c r="N17576" s="1">
        <v>42644</v>
      </c>
    </row>
    <row r="17577" spans="11:14" x14ac:dyDescent="0.3">
      <c r="K17577" s="1">
        <v>43101</v>
      </c>
      <c r="M17577" t="e">
        <v>#N/A</v>
      </c>
      <c r="N17577" s="1">
        <v>42644</v>
      </c>
    </row>
    <row r="17578" spans="11:14" x14ac:dyDescent="0.3">
      <c r="K17578" s="1">
        <v>43101</v>
      </c>
      <c r="M17578" t="e">
        <v>#N/A</v>
      </c>
      <c r="N17578" s="1">
        <v>42644</v>
      </c>
    </row>
    <row r="17579" spans="11:14" x14ac:dyDescent="0.3">
      <c r="K17579" s="1">
        <v>43101</v>
      </c>
      <c r="M17579" t="e">
        <v>#N/A</v>
      </c>
      <c r="N17579" s="1">
        <v>42644</v>
      </c>
    </row>
    <row r="17580" spans="11:14" x14ac:dyDescent="0.3">
      <c r="K17580" s="1">
        <v>43101</v>
      </c>
      <c r="M17580" t="e">
        <v>#N/A</v>
      </c>
      <c r="N17580" s="1">
        <v>42644</v>
      </c>
    </row>
    <row r="17581" spans="11:14" x14ac:dyDescent="0.3">
      <c r="K17581" s="1">
        <v>43101</v>
      </c>
      <c r="M17581" t="e">
        <v>#N/A</v>
      </c>
      <c r="N17581" s="1">
        <v>42644</v>
      </c>
    </row>
    <row r="17582" spans="11:14" x14ac:dyDescent="0.3">
      <c r="K17582" s="1">
        <v>43101</v>
      </c>
      <c r="M17582" t="e">
        <v>#N/A</v>
      </c>
      <c r="N17582" s="1">
        <v>42644</v>
      </c>
    </row>
    <row r="17583" spans="11:14" x14ac:dyDescent="0.3">
      <c r="K17583" s="1">
        <v>43101</v>
      </c>
      <c r="M17583" t="e">
        <v>#N/A</v>
      </c>
      <c r="N17583" s="1">
        <v>42644</v>
      </c>
    </row>
    <row r="17584" spans="11:14" x14ac:dyDescent="0.3">
      <c r="K17584" s="1">
        <v>43101</v>
      </c>
      <c r="M17584" t="e">
        <v>#N/A</v>
      </c>
      <c r="N17584" s="1">
        <v>42644</v>
      </c>
    </row>
    <row r="17585" spans="11:14" x14ac:dyDescent="0.3">
      <c r="K17585" s="1">
        <v>43101</v>
      </c>
      <c r="M17585" t="e">
        <v>#N/A</v>
      </c>
      <c r="N17585" s="1">
        <v>42644</v>
      </c>
    </row>
    <row r="17586" spans="11:14" x14ac:dyDescent="0.3">
      <c r="K17586" s="1">
        <v>43101</v>
      </c>
      <c r="M17586" t="e">
        <v>#N/A</v>
      </c>
      <c r="N17586" s="1">
        <v>42644</v>
      </c>
    </row>
    <row r="17587" spans="11:14" x14ac:dyDescent="0.3">
      <c r="K17587" s="1">
        <v>43101</v>
      </c>
      <c r="M17587" t="e">
        <v>#N/A</v>
      </c>
      <c r="N17587" s="1">
        <v>42644</v>
      </c>
    </row>
    <row r="17588" spans="11:14" x14ac:dyDescent="0.3">
      <c r="K17588" s="1">
        <v>43101</v>
      </c>
      <c r="M17588" t="e">
        <v>#N/A</v>
      </c>
      <c r="N17588" s="1">
        <v>42644</v>
      </c>
    </row>
    <row r="17589" spans="11:14" x14ac:dyDescent="0.3">
      <c r="K17589" s="1">
        <v>43101</v>
      </c>
      <c r="M17589" t="e">
        <v>#N/A</v>
      </c>
      <c r="N17589" s="1">
        <v>42644</v>
      </c>
    </row>
    <row r="17590" spans="11:14" x14ac:dyDescent="0.3">
      <c r="K17590" s="1">
        <v>43101</v>
      </c>
      <c r="M17590" t="e">
        <v>#N/A</v>
      </c>
      <c r="N17590" s="1">
        <v>42644</v>
      </c>
    </row>
    <row r="17591" spans="11:14" x14ac:dyDescent="0.3">
      <c r="K17591" s="1">
        <v>43101</v>
      </c>
      <c r="M17591" t="e">
        <v>#N/A</v>
      </c>
      <c r="N17591" s="1">
        <v>42644</v>
      </c>
    </row>
    <row r="17592" spans="11:14" x14ac:dyDescent="0.3">
      <c r="K17592" s="1">
        <v>43101</v>
      </c>
      <c r="M17592" t="e">
        <v>#N/A</v>
      </c>
      <c r="N17592" s="1">
        <v>42644</v>
      </c>
    </row>
    <row r="17593" spans="11:14" x14ac:dyDescent="0.3">
      <c r="K17593" s="1">
        <v>43101</v>
      </c>
      <c r="M17593" t="e">
        <v>#N/A</v>
      </c>
      <c r="N17593" s="1">
        <v>42644</v>
      </c>
    </row>
    <row r="17594" spans="11:14" x14ac:dyDescent="0.3">
      <c r="K17594" s="1">
        <v>43101</v>
      </c>
      <c r="M17594" t="e">
        <v>#N/A</v>
      </c>
      <c r="N17594" s="1">
        <v>42644</v>
      </c>
    </row>
    <row r="17595" spans="11:14" x14ac:dyDescent="0.3">
      <c r="K17595" s="1">
        <v>43101</v>
      </c>
      <c r="M17595" t="e">
        <v>#N/A</v>
      </c>
      <c r="N17595" s="1">
        <v>42644</v>
      </c>
    </row>
    <row r="17596" spans="11:14" x14ac:dyDescent="0.3">
      <c r="K17596" s="1">
        <v>43101</v>
      </c>
      <c r="M17596" t="e">
        <v>#N/A</v>
      </c>
      <c r="N17596" s="1">
        <v>42644</v>
      </c>
    </row>
    <row r="17597" spans="11:14" x14ac:dyDescent="0.3">
      <c r="K17597" s="1">
        <v>43101</v>
      </c>
      <c r="M17597" t="e">
        <v>#N/A</v>
      </c>
      <c r="N17597" s="1">
        <v>42644</v>
      </c>
    </row>
    <row r="17598" spans="11:14" x14ac:dyDescent="0.3">
      <c r="K17598" s="1">
        <v>43101</v>
      </c>
      <c r="M17598" t="e">
        <v>#N/A</v>
      </c>
      <c r="N17598" s="1">
        <v>42644</v>
      </c>
    </row>
    <row r="17599" spans="11:14" x14ac:dyDescent="0.3">
      <c r="K17599" s="1">
        <v>43101</v>
      </c>
      <c r="M17599" t="e">
        <v>#N/A</v>
      </c>
      <c r="N17599" s="1">
        <v>42644</v>
      </c>
    </row>
    <row r="17600" spans="11:14" x14ac:dyDescent="0.3">
      <c r="K17600" s="1">
        <v>43101</v>
      </c>
      <c r="M17600" t="e">
        <v>#N/A</v>
      </c>
      <c r="N17600" s="1">
        <v>42644</v>
      </c>
    </row>
    <row r="17601" spans="11:14" x14ac:dyDescent="0.3">
      <c r="K17601" s="1">
        <v>43101</v>
      </c>
      <c r="M17601" t="e">
        <v>#N/A</v>
      </c>
      <c r="N17601" s="1">
        <v>42644</v>
      </c>
    </row>
    <row r="17602" spans="11:14" x14ac:dyDescent="0.3">
      <c r="K17602" s="1">
        <v>43101</v>
      </c>
      <c r="M17602" t="e">
        <v>#N/A</v>
      </c>
      <c r="N17602" s="1">
        <v>42644</v>
      </c>
    </row>
    <row r="17603" spans="11:14" x14ac:dyDescent="0.3">
      <c r="K17603" s="1">
        <v>43101</v>
      </c>
      <c r="M17603" t="e">
        <v>#N/A</v>
      </c>
      <c r="N17603" s="1">
        <v>42644</v>
      </c>
    </row>
    <row r="17604" spans="11:14" x14ac:dyDescent="0.3">
      <c r="K17604" s="1">
        <v>43101</v>
      </c>
      <c r="M17604" t="e">
        <v>#N/A</v>
      </c>
      <c r="N17604" s="1">
        <v>42644</v>
      </c>
    </row>
    <row r="17605" spans="11:14" x14ac:dyDescent="0.3">
      <c r="K17605" s="1">
        <v>43101</v>
      </c>
      <c r="M17605" t="e">
        <v>#N/A</v>
      </c>
      <c r="N17605" s="1">
        <v>42644</v>
      </c>
    </row>
    <row r="17606" spans="11:14" x14ac:dyDescent="0.3">
      <c r="K17606" s="1">
        <v>43101</v>
      </c>
      <c r="M17606" t="e">
        <v>#N/A</v>
      </c>
      <c r="N17606" s="1">
        <v>42644</v>
      </c>
    </row>
    <row r="17607" spans="11:14" x14ac:dyDescent="0.3">
      <c r="K17607" s="1">
        <v>43101</v>
      </c>
      <c r="M17607" t="e">
        <v>#N/A</v>
      </c>
      <c r="N17607" s="1">
        <v>42644</v>
      </c>
    </row>
    <row r="17608" spans="11:14" x14ac:dyDescent="0.3">
      <c r="K17608" s="1">
        <v>43101</v>
      </c>
      <c r="M17608" t="e">
        <v>#N/A</v>
      </c>
      <c r="N17608" s="1">
        <v>42644</v>
      </c>
    </row>
    <row r="17609" spans="11:14" x14ac:dyDescent="0.3">
      <c r="K17609" s="1">
        <v>43101</v>
      </c>
      <c r="M17609" t="e">
        <v>#N/A</v>
      </c>
      <c r="N17609" s="1">
        <v>42644</v>
      </c>
    </row>
    <row r="17610" spans="11:14" x14ac:dyDescent="0.3">
      <c r="K17610" s="1">
        <v>43101</v>
      </c>
      <c r="M17610" t="e">
        <v>#N/A</v>
      </c>
      <c r="N17610" s="1">
        <v>42644</v>
      </c>
    </row>
    <row r="17611" spans="11:14" x14ac:dyDescent="0.3">
      <c r="K17611" s="1">
        <v>43101</v>
      </c>
      <c r="M17611" t="e">
        <v>#N/A</v>
      </c>
      <c r="N17611" s="1">
        <v>42644</v>
      </c>
    </row>
    <row r="17612" spans="11:14" x14ac:dyDescent="0.3">
      <c r="K17612" s="1">
        <v>43101</v>
      </c>
      <c r="M17612" t="e">
        <v>#N/A</v>
      </c>
      <c r="N17612" s="1">
        <v>42644</v>
      </c>
    </row>
    <row r="17613" spans="11:14" x14ac:dyDescent="0.3">
      <c r="K17613" s="1">
        <v>43101</v>
      </c>
      <c r="M17613" t="e">
        <v>#N/A</v>
      </c>
      <c r="N17613" s="1">
        <v>42644</v>
      </c>
    </row>
    <row r="17614" spans="11:14" x14ac:dyDescent="0.3">
      <c r="K17614" s="1">
        <v>43101</v>
      </c>
      <c r="M17614" t="e">
        <v>#N/A</v>
      </c>
      <c r="N17614" s="1">
        <v>42644</v>
      </c>
    </row>
    <row r="17615" spans="11:14" x14ac:dyDescent="0.3">
      <c r="K17615" s="1">
        <v>43101</v>
      </c>
      <c r="M17615" t="e">
        <v>#N/A</v>
      </c>
      <c r="N17615" s="1">
        <v>42644</v>
      </c>
    </row>
    <row r="17616" spans="11:14" x14ac:dyDescent="0.3">
      <c r="K17616" s="1">
        <v>43101</v>
      </c>
      <c r="M17616" t="e">
        <v>#N/A</v>
      </c>
      <c r="N17616" s="1">
        <v>42644</v>
      </c>
    </row>
    <row r="17617" spans="11:14" x14ac:dyDescent="0.3">
      <c r="K17617" s="1">
        <v>43101</v>
      </c>
      <c r="M17617" t="e">
        <v>#N/A</v>
      </c>
      <c r="N17617" s="1">
        <v>42644</v>
      </c>
    </row>
    <row r="17618" spans="11:14" x14ac:dyDescent="0.3">
      <c r="K17618" s="1">
        <v>43101</v>
      </c>
      <c r="M17618" t="e">
        <v>#N/A</v>
      </c>
      <c r="N17618" s="1">
        <v>42644</v>
      </c>
    </row>
    <row r="17619" spans="11:14" x14ac:dyDescent="0.3">
      <c r="K17619" s="1">
        <v>43101</v>
      </c>
      <c r="M17619" t="e">
        <v>#N/A</v>
      </c>
      <c r="N17619" s="1">
        <v>42644</v>
      </c>
    </row>
    <row r="17620" spans="11:14" x14ac:dyDescent="0.3">
      <c r="K17620" s="1">
        <v>43101</v>
      </c>
      <c r="M17620" t="e">
        <v>#N/A</v>
      </c>
      <c r="N17620" s="1">
        <v>42644</v>
      </c>
    </row>
    <row r="17621" spans="11:14" x14ac:dyDescent="0.3">
      <c r="K17621" s="1">
        <v>43101</v>
      </c>
      <c r="M17621" t="e">
        <v>#N/A</v>
      </c>
      <c r="N17621" s="1">
        <v>42644</v>
      </c>
    </row>
    <row r="17622" spans="11:14" x14ac:dyDescent="0.3">
      <c r="K17622" s="1">
        <v>43101</v>
      </c>
      <c r="M17622" t="e">
        <v>#N/A</v>
      </c>
      <c r="N17622" s="1">
        <v>42736</v>
      </c>
    </row>
    <row r="17623" spans="11:14" x14ac:dyDescent="0.3">
      <c r="K17623" s="1">
        <v>43101</v>
      </c>
      <c r="M17623" t="e">
        <v>#N/A</v>
      </c>
      <c r="N17623" s="1">
        <v>42736</v>
      </c>
    </row>
    <row r="17624" spans="11:14" x14ac:dyDescent="0.3">
      <c r="K17624" s="1">
        <v>43101</v>
      </c>
      <c r="M17624" t="e">
        <v>#N/A</v>
      </c>
      <c r="N17624" s="1">
        <v>42736</v>
      </c>
    </row>
    <row r="17625" spans="11:14" x14ac:dyDescent="0.3">
      <c r="K17625" s="1">
        <v>43101</v>
      </c>
      <c r="M17625" t="e">
        <v>#N/A</v>
      </c>
      <c r="N17625" s="1">
        <v>42736</v>
      </c>
    </row>
    <row r="17626" spans="11:14" x14ac:dyDescent="0.3">
      <c r="K17626" s="1">
        <v>43101</v>
      </c>
      <c r="M17626" t="e">
        <v>#N/A</v>
      </c>
      <c r="N17626" s="1">
        <v>42736</v>
      </c>
    </row>
    <row r="17627" spans="11:14" x14ac:dyDescent="0.3">
      <c r="K17627" s="1">
        <v>43101</v>
      </c>
      <c r="M17627" t="e">
        <v>#N/A</v>
      </c>
      <c r="N17627" s="1">
        <v>42736</v>
      </c>
    </row>
    <row r="17628" spans="11:14" x14ac:dyDescent="0.3">
      <c r="K17628" s="1">
        <v>43101</v>
      </c>
      <c r="M17628" t="e">
        <v>#N/A</v>
      </c>
      <c r="N17628" s="1">
        <v>42736</v>
      </c>
    </row>
    <row r="17629" spans="11:14" x14ac:dyDescent="0.3">
      <c r="K17629" s="1">
        <v>43101</v>
      </c>
      <c r="M17629" t="e">
        <v>#N/A</v>
      </c>
      <c r="N17629" s="1">
        <v>42736</v>
      </c>
    </row>
    <row r="17630" spans="11:14" x14ac:dyDescent="0.3">
      <c r="K17630" s="1">
        <v>43101</v>
      </c>
      <c r="M17630" t="e">
        <v>#N/A</v>
      </c>
      <c r="N17630" s="1">
        <v>42736</v>
      </c>
    </row>
    <row r="17631" spans="11:14" x14ac:dyDescent="0.3">
      <c r="K17631" s="1">
        <v>43101</v>
      </c>
      <c r="M17631" t="e">
        <v>#N/A</v>
      </c>
      <c r="N17631" s="1">
        <v>42736</v>
      </c>
    </row>
    <row r="17632" spans="11:14" x14ac:dyDescent="0.3">
      <c r="K17632" s="1">
        <v>43101</v>
      </c>
      <c r="M17632" t="e">
        <v>#N/A</v>
      </c>
      <c r="N17632" s="1">
        <v>42736</v>
      </c>
    </row>
    <row r="17633" spans="11:14" x14ac:dyDescent="0.3">
      <c r="K17633" s="1">
        <v>43101</v>
      </c>
      <c r="M17633" t="e">
        <v>#N/A</v>
      </c>
      <c r="N17633" s="1">
        <v>42736</v>
      </c>
    </row>
    <row r="17634" spans="11:14" x14ac:dyDescent="0.3">
      <c r="K17634" s="1">
        <v>43101</v>
      </c>
      <c r="M17634" t="e">
        <v>#N/A</v>
      </c>
      <c r="N17634" s="1">
        <v>42736</v>
      </c>
    </row>
    <row r="17635" spans="11:14" x14ac:dyDescent="0.3">
      <c r="K17635" s="1">
        <v>43101</v>
      </c>
      <c r="M17635" t="e">
        <v>#N/A</v>
      </c>
      <c r="N17635" s="1">
        <v>42736</v>
      </c>
    </row>
    <row r="17636" spans="11:14" x14ac:dyDescent="0.3">
      <c r="K17636" s="1">
        <v>43101</v>
      </c>
      <c r="M17636" t="e">
        <v>#N/A</v>
      </c>
      <c r="N17636" s="1">
        <v>42736</v>
      </c>
    </row>
    <row r="17637" spans="11:14" x14ac:dyDescent="0.3">
      <c r="K17637" s="1">
        <v>43101</v>
      </c>
      <c r="M17637" t="e">
        <v>#N/A</v>
      </c>
      <c r="N17637" s="1">
        <v>42736</v>
      </c>
    </row>
    <row r="17638" spans="11:14" x14ac:dyDescent="0.3">
      <c r="K17638" s="1">
        <v>43101</v>
      </c>
      <c r="M17638" t="e">
        <v>#N/A</v>
      </c>
      <c r="N17638" s="1">
        <v>42736</v>
      </c>
    </row>
    <row r="17639" spans="11:14" x14ac:dyDescent="0.3">
      <c r="K17639" s="1">
        <v>43101</v>
      </c>
      <c r="M17639" t="e">
        <v>#N/A</v>
      </c>
      <c r="N17639" s="1">
        <v>42736</v>
      </c>
    </row>
    <row r="17640" spans="11:14" x14ac:dyDescent="0.3">
      <c r="K17640" s="1">
        <v>43101</v>
      </c>
      <c r="M17640" t="e">
        <v>#N/A</v>
      </c>
      <c r="N17640" s="1">
        <v>42736</v>
      </c>
    </row>
    <row r="17641" spans="11:14" x14ac:dyDescent="0.3">
      <c r="K17641" s="1">
        <v>43101</v>
      </c>
      <c r="M17641" t="e">
        <v>#N/A</v>
      </c>
      <c r="N17641" s="1">
        <v>42736</v>
      </c>
    </row>
    <row r="17642" spans="11:14" x14ac:dyDescent="0.3">
      <c r="K17642" s="1">
        <v>43101</v>
      </c>
      <c r="M17642" t="e">
        <v>#N/A</v>
      </c>
      <c r="N17642" s="1">
        <v>42736</v>
      </c>
    </row>
    <row r="17643" spans="11:14" x14ac:dyDescent="0.3">
      <c r="K17643" s="1">
        <v>43101</v>
      </c>
      <c r="M17643" t="e">
        <v>#N/A</v>
      </c>
      <c r="N17643" s="1">
        <v>42736</v>
      </c>
    </row>
    <row r="17644" spans="11:14" x14ac:dyDescent="0.3">
      <c r="K17644" s="1">
        <v>43101</v>
      </c>
      <c r="M17644" t="e">
        <v>#N/A</v>
      </c>
      <c r="N17644" s="1">
        <v>42736</v>
      </c>
    </row>
    <row r="17645" spans="11:14" x14ac:dyDescent="0.3">
      <c r="K17645" s="1">
        <v>43101</v>
      </c>
      <c r="M17645" t="e">
        <v>#N/A</v>
      </c>
      <c r="N17645" s="1">
        <v>42736</v>
      </c>
    </row>
    <row r="17646" spans="11:14" x14ac:dyDescent="0.3">
      <c r="K17646" s="1">
        <v>43101</v>
      </c>
      <c r="M17646" t="e">
        <v>#N/A</v>
      </c>
      <c r="N17646" s="1">
        <v>42736</v>
      </c>
    </row>
    <row r="17647" spans="11:14" x14ac:dyDescent="0.3">
      <c r="K17647" s="1">
        <v>43101</v>
      </c>
      <c r="M17647" t="e">
        <v>#N/A</v>
      </c>
      <c r="N17647" s="1">
        <v>42736</v>
      </c>
    </row>
    <row r="17648" spans="11:14" x14ac:dyDescent="0.3">
      <c r="K17648" s="1">
        <v>43101</v>
      </c>
      <c r="M17648" t="e">
        <v>#N/A</v>
      </c>
      <c r="N17648" s="1">
        <v>42736</v>
      </c>
    </row>
    <row r="17649" spans="11:14" x14ac:dyDescent="0.3">
      <c r="K17649" s="1">
        <v>43101</v>
      </c>
      <c r="M17649" t="e">
        <v>#N/A</v>
      </c>
      <c r="N17649" s="1">
        <v>42736</v>
      </c>
    </row>
    <row r="17650" spans="11:14" x14ac:dyDescent="0.3">
      <c r="K17650" s="1">
        <v>43101</v>
      </c>
      <c r="M17650" t="e">
        <v>#N/A</v>
      </c>
      <c r="N17650" s="1">
        <v>42736</v>
      </c>
    </row>
    <row r="17651" spans="11:14" x14ac:dyDescent="0.3">
      <c r="K17651" s="1">
        <v>43101</v>
      </c>
      <c r="M17651" t="e">
        <v>#N/A</v>
      </c>
      <c r="N17651" s="1">
        <v>42736</v>
      </c>
    </row>
    <row r="17652" spans="11:14" x14ac:dyDescent="0.3">
      <c r="K17652" s="1">
        <v>43101</v>
      </c>
      <c r="M17652" t="e">
        <v>#N/A</v>
      </c>
      <c r="N17652" s="1">
        <v>42736</v>
      </c>
    </row>
    <row r="17653" spans="11:14" x14ac:dyDescent="0.3">
      <c r="K17653" s="1">
        <v>43101</v>
      </c>
      <c r="M17653" t="e">
        <v>#N/A</v>
      </c>
      <c r="N17653" s="1">
        <v>42736</v>
      </c>
    </row>
    <row r="17654" spans="11:14" x14ac:dyDescent="0.3">
      <c r="K17654" s="1">
        <v>43101</v>
      </c>
      <c r="M17654" t="e">
        <v>#N/A</v>
      </c>
      <c r="N17654" s="1">
        <v>42736</v>
      </c>
    </row>
    <row r="17655" spans="11:14" x14ac:dyDescent="0.3">
      <c r="K17655" s="1">
        <v>43101</v>
      </c>
      <c r="M17655" t="e">
        <v>#N/A</v>
      </c>
      <c r="N17655" s="1">
        <v>42736</v>
      </c>
    </row>
    <row r="17656" spans="11:14" x14ac:dyDescent="0.3">
      <c r="K17656" s="1">
        <v>43101</v>
      </c>
      <c r="M17656" t="e">
        <v>#N/A</v>
      </c>
      <c r="N17656" s="1">
        <v>42736</v>
      </c>
    </row>
    <row r="17657" spans="11:14" x14ac:dyDescent="0.3">
      <c r="K17657" s="1">
        <v>43101</v>
      </c>
      <c r="M17657" t="e">
        <v>#N/A</v>
      </c>
      <c r="N17657" s="1">
        <v>42736</v>
      </c>
    </row>
    <row r="17658" spans="11:14" x14ac:dyDescent="0.3">
      <c r="K17658" s="1">
        <v>43101</v>
      </c>
      <c r="M17658" t="e">
        <v>#N/A</v>
      </c>
      <c r="N17658" s="1">
        <v>42736</v>
      </c>
    </row>
    <row r="17659" spans="11:14" x14ac:dyDescent="0.3">
      <c r="K17659" s="1">
        <v>43101</v>
      </c>
      <c r="M17659" t="e">
        <v>#N/A</v>
      </c>
      <c r="N17659" s="1">
        <v>42736</v>
      </c>
    </row>
    <row r="17660" spans="11:14" x14ac:dyDescent="0.3">
      <c r="K17660" s="1">
        <v>43101</v>
      </c>
      <c r="M17660" t="e">
        <v>#N/A</v>
      </c>
      <c r="N17660" s="1">
        <v>42736</v>
      </c>
    </row>
    <row r="17661" spans="11:14" x14ac:dyDescent="0.3">
      <c r="K17661" s="1">
        <v>43101</v>
      </c>
      <c r="M17661" t="e">
        <v>#N/A</v>
      </c>
      <c r="N17661" s="1">
        <v>42736</v>
      </c>
    </row>
    <row r="17662" spans="11:14" x14ac:dyDescent="0.3">
      <c r="K17662" s="1">
        <v>43101</v>
      </c>
      <c r="M17662" t="e">
        <v>#N/A</v>
      </c>
      <c r="N17662" s="1">
        <v>42736</v>
      </c>
    </row>
    <row r="17663" spans="11:14" x14ac:dyDescent="0.3">
      <c r="K17663" s="1">
        <v>43101</v>
      </c>
      <c r="M17663" t="e">
        <v>#N/A</v>
      </c>
      <c r="N17663" s="1">
        <v>42736</v>
      </c>
    </row>
    <row r="17664" spans="11:14" x14ac:dyDescent="0.3">
      <c r="K17664" s="1">
        <v>43101</v>
      </c>
      <c r="M17664" t="e">
        <v>#N/A</v>
      </c>
      <c r="N17664" s="1">
        <v>42736</v>
      </c>
    </row>
    <row r="17665" spans="11:14" x14ac:dyDescent="0.3">
      <c r="K17665" s="1">
        <v>43101</v>
      </c>
      <c r="M17665" t="e">
        <v>#N/A</v>
      </c>
      <c r="N17665" s="1">
        <v>42736</v>
      </c>
    </row>
    <row r="17666" spans="11:14" x14ac:dyDescent="0.3">
      <c r="K17666" s="1">
        <v>43101</v>
      </c>
      <c r="M17666" t="e">
        <v>#N/A</v>
      </c>
      <c r="N17666" s="1">
        <v>42736</v>
      </c>
    </row>
    <row r="17667" spans="11:14" x14ac:dyDescent="0.3">
      <c r="K17667" s="1">
        <v>43101</v>
      </c>
      <c r="M17667" t="e">
        <v>#N/A</v>
      </c>
      <c r="N17667" s="1">
        <v>42736</v>
      </c>
    </row>
    <row r="17668" spans="11:14" x14ac:dyDescent="0.3">
      <c r="K17668" s="1">
        <v>43101</v>
      </c>
      <c r="M17668" t="e">
        <v>#N/A</v>
      </c>
      <c r="N17668" s="1">
        <v>42736</v>
      </c>
    </row>
    <row r="17669" spans="11:14" x14ac:dyDescent="0.3">
      <c r="K17669" s="1">
        <v>43101</v>
      </c>
      <c r="M17669" t="e">
        <v>#N/A</v>
      </c>
      <c r="N17669" s="1">
        <v>42736</v>
      </c>
    </row>
    <row r="17670" spans="11:14" x14ac:dyDescent="0.3">
      <c r="K17670" s="1">
        <v>43101</v>
      </c>
      <c r="M17670" t="e">
        <v>#N/A</v>
      </c>
      <c r="N17670" s="1">
        <v>42736</v>
      </c>
    </row>
    <row r="17671" spans="11:14" x14ac:dyDescent="0.3">
      <c r="K17671" s="1">
        <v>43101</v>
      </c>
      <c r="M17671" t="e">
        <v>#N/A</v>
      </c>
      <c r="N17671" s="1">
        <v>42736</v>
      </c>
    </row>
    <row r="17672" spans="11:14" x14ac:dyDescent="0.3">
      <c r="K17672" s="1">
        <v>43101</v>
      </c>
      <c r="M17672" t="e">
        <v>#N/A</v>
      </c>
      <c r="N17672" s="1">
        <v>42736</v>
      </c>
    </row>
    <row r="17673" spans="11:14" x14ac:dyDescent="0.3">
      <c r="K17673" s="1">
        <v>43101</v>
      </c>
      <c r="M17673" t="e">
        <v>#N/A</v>
      </c>
      <c r="N17673" s="1">
        <v>42736</v>
      </c>
    </row>
    <row r="17674" spans="11:14" x14ac:dyDescent="0.3">
      <c r="K17674" s="1">
        <v>43101</v>
      </c>
      <c r="M17674" t="e">
        <v>#N/A</v>
      </c>
      <c r="N17674" s="1">
        <v>42736</v>
      </c>
    </row>
    <row r="17675" spans="11:14" x14ac:dyDescent="0.3">
      <c r="K17675" s="1">
        <v>43101</v>
      </c>
      <c r="M17675" t="e">
        <v>#N/A</v>
      </c>
      <c r="N17675" s="1">
        <v>42736</v>
      </c>
    </row>
    <row r="17676" spans="11:14" x14ac:dyDescent="0.3">
      <c r="K17676" s="1">
        <v>43101</v>
      </c>
      <c r="M17676" t="e">
        <v>#N/A</v>
      </c>
      <c r="N17676" s="1">
        <v>42736</v>
      </c>
    </row>
    <row r="17677" spans="11:14" x14ac:dyDescent="0.3">
      <c r="K17677" s="1">
        <v>43101</v>
      </c>
      <c r="M17677" t="e">
        <v>#N/A</v>
      </c>
      <c r="N17677" s="1">
        <v>42736</v>
      </c>
    </row>
    <row r="17678" spans="11:14" x14ac:dyDescent="0.3">
      <c r="K17678" s="1">
        <v>43101</v>
      </c>
      <c r="M17678" t="e">
        <v>#N/A</v>
      </c>
      <c r="N17678" s="1">
        <v>42736</v>
      </c>
    </row>
    <row r="17679" spans="11:14" x14ac:dyDescent="0.3">
      <c r="K17679" s="1">
        <v>43101</v>
      </c>
      <c r="M17679" t="e">
        <v>#N/A</v>
      </c>
      <c r="N17679" s="1">
        <v>42736</v>
      </c>
    </row>
    <row r="17680" spans="11:14" x14ac:dyDescent="0.3">
      <c r="K17680" s="1">
        <v>43101</v>
      </c>
      <c r="M17680" t="e">
        <v>#N/A</v>
      </c>
      <c r="N17680" s="1">
        <v>42736</v>
      </c>
    </row>
    <row r="17681" spans="11:14" x14ac:dyDescent="0.3">
      <c r="K17681" s="1">
        <v>43101</v>
      </c>
      <c r="M17681" t="e">
        <v>#N/A</v>
      </c>
      <c r="N17681" s="1">
        <v>42736</v>
      </c>
    </row>
    <row r="17682" spans="11:14" x14ac:dyDescent="0.3">
      <c r="K17682" s="1">
        <v>43101</v>
      </c>
      <c r="M17682" t="e">
        <v>#N/A</v>
      </c>
      <c r="N17682" s="1">
        <v>42736</v>
      </c>
    </row>
    <row r="17683" spans="11:14" x14ac:dyDescent="0.3">
      <c r="K17683" s="1">
        <v>43101</v>
      </c>
      <c r="M17683" t="e">
        <v>#N/A</v>
      </c>
      <c r="N17683" s="1">
        <v>42736</v>
      </c>
    </row>
    <row r="17684" spans="11:14" x14ac:dyDescent="0.3">
      <c r="K17684" s="1">
        <v>43101</v>
      </c>
      <c r="M17684" t="e">
        <v>#N/A</v>
      </c>
      <c r="N17684" s="1">
        <v>42736</v>
      </c>
    </row>
    <row r="17685" spans="11:14" x14ac:dyDescent="0.3">
      <c r="K17685" s="1">
        <v>43101</v>
      </c>
      <c r="M17685" t="e">
        <v>#N/A</v>
      </c>
      <c r="N17685" s="1">
        <v>42736</v>
      </c>
    </row>
    <row r="17686" spans="11:14" x14ac:dyDescent="0.3">
      <c r="K17686" s="1">
        <v>43101</v>
      </c>
      <c r="M17686" t="e">
        <v>#N/A</v>
      </c>
      <c r="N17686" s="1">
        <v>42736</v>
      </c>
    </row>
    <row r="17687" spans="11:14" x14ac:dyDescent="0.3">
      <c r="K17687" s="1">
        <v>43101</v>
      </c>
      <c r="M17687" t="e">
        <v>#N/A</v>
      </c>
      <c r="N17687" s="1">
        <v>42736</v>
      </c>
    </row>
    <row r="17688" spans="11:14" x14ac:dyDescent="0.3">
      <c r="K17688" s="1">
        <v>43101</v>
      </c>
      <c r="M17688" t="e">
        <v>#N/A</v>
      </c>
      <c r="N17688" s="1">
        <v>42736</v>
      </c>
    </row>
    <row r="17689" spans="11:14" x14ac:dyDescent="0.3">
      <c r="K17689" s="1">
        <v>43101</v>
      </c>
      <c r="M17689" t="e">
        <v>#N/A</v>
      </c>
      <c r="N17689" s="1">
        <v>42736</v>
      </c>
    </row>
    <row r="17690" spans="11:14" x14ac:dyDescent="0.3">
      <c r="K17690" s="1">
        <v>43101</v>
      </c>
      <c r="M17690" t="e">
        <v>#N/A</v>
      </c>
      <c r="N17690" s="1">
        <v>42736</v>
      </c>
    </row>
    <row r="17691" spans="11:14" x14ac:dyDescent="0.3">
      <c r="K17691" s="1">
        <v>43101</v>
      </c>
      <c r="M17691" t="e">
        <v>#N/A</v>
      </c>
      <c r="N17691" s="1">
        <v>42736</v>
      </c>
    </row>
    <row r="17692" spans="11:14" x14ac:dyDescent="0.3">
      <c r="K17692" s="1">
        <v>43101</v>
      </c>
      <c r="M17692" t="e">
        <v>#N/A</v>
      </c>
      <c r="N17692" s="1">
        <v>42736</v>
      </c>
    </row>
    <row r="17693" spans="11:14" x14ac:dyDescent="0.3">
      <c r="K17693" s="1">
        <v>43101</v>
      </c>
      <c r="M17693" t="e">
        <v>#N/A</v>
      </c>
      <c r="N17693" s="1">
        <v>42736</v>
      </c>
    </row>
    <row r="17694" spans="11:14" x14ac:dyDescent="0.3">
      <c r="K17694" s="1">
        <v>43101</v>
      </c>
      <c r="M17694" t="e">
        <v>#N/A</v>
      </c>
      <c r="N17694" s="1">
        <v>42736</v>
      </c>
    </row>
    <row r="17695" spans="11:14" x14ac:dyDescent="0.3">
      <c r="K17695" s="1">
        <v>43101</v>
      </c>
      <c r="M17695" t="e">
        <v>#N/A</v>
      </c>
      <c r="N17695" s="1">
        <v>42736</v>
      </c>
    </row>
    <row r="17696" spans="11:14" x14ac:dyDescent="0.3">
      <c r="K17696" s="1">
        <v>43101</v>
      </c>
      <c r="M17696" t="e">
        <v>#N/A</v>
      </c>
      <c r="N17696" s="1">
        <v>42736</v>
      </c>
    </row>
    <row r="17697" spans="11:14" x14ac:dyDescent="0.3">
      <c r="K17697" s="1">
        <v>43101</v>
      </c>
      <c r="M17697" t="e">
        <v>#N/A</v>
      </c>
      <c r="N17697" s="1">
        <v>42736</v>
      </c>
    </row>
    <row r="17698" spans="11:14" x14ac:dyDescent="0.3">
      <c r="K17698" s="1">
        <v>43101</v>
      </c>
      <c r="M17698" t="e">
        <v>#N/A</v>
      </c>
      <c r="N17698" s="1">
        <v>42736</v>
      </c>
    </row>
    <row r="17699" spans="11:14" x14ac:dyDescent="0.3">
      <c r="K17699" s="1">
        <v>43101</v>
      </c>
      <c r="M17699" t="e">
        <v>#N/A</v>
      </c>
      <c r="N17699" s="1">
        <v>42736</v>
      </c>
    </row>
    <row r="17700" spans="11:14" x14ac:dyDescent="0.3">
      <c r="K17700" s="1">
        <v>43101</v>
      </c>
      <c r="M17700" t="e">
        <v>#N/A</v>
      </c>
      <c r="N17700" s="1">
        <v>42736</v>
      </c>
    </row>
    <row r="17701" spans="11:14" x14ac:dyDescent="0.3">
      <c r="K17701" s="1">
        <v>43101</v>
      </c>
      <c r="M17701" t="e">
        <v>#N/A</v>
      </c>
      <c r="N17701" s="1">
        <v>42736</v>
      </c>
    </row>
    <row r="17702" spans="11:14" x14ac:dyDescent="0.3">
      <c r="K17702" s="1">
        <v>43101</v>
      </c>
      <c r="M17702" t="e">
        <v>#N/A</v>
      </c>
      <c r="N17702" s="1">
        <v>42736</v>
      </c>
    </row>
    <row r="17703" spans="11:14" x14ac:dyDescent="0.3">
      <c r="K17703" s="1">
        <v>43101</v>
      </c>
      <c r="M17703" t="e">
        <v>#N/A</v>
      </c>
      <c r="N17703" s="1">
        <v>42736</v>
      </c>
    </row>
    <row r="17704" spans="11:14" x14ac:dyDescent="0.3">
      <c r="K17704" s="1">
        <v>43101</v>
      </c>
      <c r="M17704" t="e">
        <v>#N/A</v>
      </c>
      <c r="N17704" s="1">
        <v>42736</v>
      </c>
    </row>
    <row r="17705" spans="11:14" x14ac:dyDescent="0.3">
      <c r="K17705" s="1">
        <v>43101</v>
      </c>
      <c r="M17705" t="e">
        <v>#N/A</v>
      </c>
      <c r="N17705" s="1">
        <v>42736</v>
      </c>
    </row>
    <row r="17706" spans="11:14" x14ac:dyDescent="0.3">
      <c r="K17706" s="1">
        <v>43101</v>
      </c>
      <c r="M17706" t="e">
        <v>#N/A</v>
      </c>
      <c r="N17706" s="1">
        <v>42736</v>
      </c>
    </row>
    <row r="17707" spans="11:14" x14ac:dyDescent="0.3">
      <c r="K17707" s="1">
        <v>43101</v>
      </c>
      <c r="M17707" t="e">
        <v>#N/A</v>
      </c>
      <c r="N17707" s="1">
        <v>42736</v>
      </c>
    </row>
    <row r="17708" spans="11:14" x14ac:dyDescent="0.3">
      <c r="K17708" s="1">
        <v>43101</v>
      </c>
      <c r="M17708" t="e">
        <v>#N/A</v>
      </c>
      <c r="N17708" s="1">
        <v>42736</v>
      </c>
    </row>
    <row r="17709" spans="11:14" x14ac:dyDescent="0.3">
      <c r="K17709" s="1">
        <v>43101</v>
      </c>
      <c r="M17709" t="e">
        <v>#N/A</v>
      </c>
      <c r="N17709" s="1">
        <v>42736</v>
      </c>
    </row>
    <row r="17710" spans="11:14" x14ac:dyDescent="0.3">
      <c r="K17710" s="1">
        <v>43101</v>
      </c>
      <c r="M17710" t="e">
        <v>#N/A</v>
      </c>
      <c r="N17710" s="1">
        <v>42736</v>
      </c>
    </row>
    <row r="17711" spans="11:14" x14ac:dyDescent="0.3">
      <c r="K17711" s="1">
        <v>43101</v>
      </c>
      <c r="M17711" t="e">
        <v>#N/A</v>
      </c>
      <c r="N17711" s="1">
        <v>42736</v>
      </c>
    </row>
    <row r="17712" spans="11:14" x14ac:dyDescent="0.3">
      <c r="K17712" s="1">
        <v>43101</v>
      </c>
      <c r="M17712" t="e">
        <v>#N/A</v>
      </c>
      <c r="N17712" s="1">
        <v>42736</v>
      </c>
    </row>
    <row r="17713" spans="11:14" x14ac:dyDescent="0.3">
      <c r="K17713" s="1">
        <v>43101</v>
      </c>
      <c r="M17713" t="e">
        <v>#N/A</v>
      </c>
      <c r="N17713" s="1">
        <v>42736</v>
      </c>
    </row>
    <row r="17714" spans="11:14" x14ac:dyDescent="0.3">
      <c r="K17714" s="1">
        <v>43101</v>
      </c>
      <c r="M17714" t="e">
        <v>#N/A</v>
      </c>
      <c r="N17714" s="1">
        <v>42736</v>
      </c>
    </row>
    <row r="17715" spans="11:14" x14ac:dyDescent="0.3">
      <c r="K17715" s="1">
        <v>43101</v>
      </c>
      <c r="M17715" t="e">
        <v>#N/A</v>
      </c>
      <c r="N17715" s="1">
        <v>42736</v>
      </c>
    </row>
    <row r="17716" spans="11:14" x14ac:dyDescent="0.3">
      <c r="K17716" s="1">
        <v>43101</v>
      </c>
      <c r="M17716" t="e">
        <v>#N/A</v>
      </c>
      <c r="N17716" s="1">
        <v>42736</v>
      </c>
    </row>
    <row r="17717" spans="11:14" x14ac:dyDescent="0.3">
      <c r="K17717" s="1">
        <v>43101</v>
      </c>
      <c r="M17717" t="e">
        <v>#N/A</v>
      </c>
      <c r="N17717" s="1">
        <v>42736</v>
      </c>
    </row>
    <row r="17718" spans="11:14" x14ac:dyDescent="0.3">
      <c r="K17718" s="1">
        <v>43101</v>
      </c>
      <c r="M17718" t="e">
        <v>#N/A</v>
      </c>
      <c r="N17718" s="1">
        <v>42736</v>
      </c>
    </row>
    <row r="17719" spans="11:14" x14ac:dyDescent="0.3">
      <c r="K17719" s="1">
        <v>43101</v>
      </c>
      <c r="M17719" t="e">
        <v>#N/A</v>
      </c>
      <c r="N17719" s="1">
        <v>42736</v>
      </c>
    </row>
    <row r="17720" spans="11:14" x14ac:dyDescent="0.3">
      <c r="K17720" s="1">
        <v>43101</v>
      </c>
      <c r="M17720" t="e">
        <v>#N/A</v>
      </c>
      <c r="N17720" s="1">
        <v>42736</v>
      </c>
    </row>
    <row r="17721" spans="11:14" x14ac:dyDescent="0.3">
      <c r="K17721" s="1">
        <v>43101</v>
      </c>
      <c r="M17721" t="e">
        <v>#N/A</v>
      </c>
      <c r="N17721" s="1">
        <v>42736</v>
      </c>
    </row>
    <row r="17722" spans="11:14" x14ac:dyDescent="0.3">
      <c r="K17722" s="1">
        <v>43101</v>
      </c>
      <c r="M17722" t="e">
        <v>#N/A</v>
      </c>
      <c r="N17722" s="1">
        <v>42736</v>
      </c>
    </row>
    <row r="17723" spans="11:14" x14ac:dyDescent="0.3">
      <c r="K17723" s="1">
        <v>43101</v>
      </c>
      <c r="M17723" t="e">
        <v>#N/A</v>
      </c>
      <c r="N17723" s="1">
        <v>42736</v>
      </c>
    </row>
    <row r="17724" spans="11:14" x14ac:dyDescent="0.3">
      <c r="K17724" s="1">
        <v>43101</v>
      </c>
      <c r="M17724" t="e">
        <v>#N/A</v>
      </c>
      <c r="N17724" s="1">
        <v>42736</v>
      </c>
    </row>
    <row r="17725" spans="11:14" x14ac:dyDescent="0.3">
      <c r="K17725" s="1">
        <v>43101</v>
      </c>
      <c r="M17725" t="e">
        <v>#N/A</v>
      </c>
      <c r="N17725" s="1">
        <v>42736</v>
      </c>
    </row>
    <row r="17726" spans="11:14" x14ac:dyDescent="0.3">
      <c r="K17726" s="1">
        <v>43101</v>
      </c>
      <c r="M17726" t="e">
        <v>#N/A</v>
      </c>
      <c r="N17726" s="1">
        <v>42736</v>
      </c>
    </row>
    <row r="17727" spans="11:14" x14ac:dyDescent="0.3">
      <c r="K17727" s="1">
        <v>43101</v>
      </c>
      <c r="M17727" t="e">
        <v>#N/A</v>
      </c>
      <c r="N17727" s="1">
        <v>42736</v>
      </c>
    </row>
    <row r="17728" spans="11:14" x14ac:dyDescent="0.3">
      <c r="K17728" s="1">
        <v>43101</v>
      </c>
      <c r="M17728" t="e">
        <v>#N/A</v>
      </c>
      <c r="N17728" s="1">
        <v>42736</v>
      </c>
    </row>
    <row r="17729" spans="11:14" x14ac:dyDescent="0.3">
      <c r="K17729" s="1">
        <v>43101</v>
      </c>
      <c r="M17729" t="e">
        <v>#N/A</v>
      </c>
      <c r="N17729" s="1">
        <v>42736</v>
      </c>
    </row>
    <row r="17730" spans="11:14" x14ac:dyDescent="0.3">
      <c r="K17730" s="1">
        <v>43101</v>
      </c>
      <c r="M17730" t="e">
        <v>#N/A</v>
      </c>
      <c r="N17730" s="1">
        <v>42736</v>
      </c>
    </row>
    <row r="17731" spans="11:14" x14ac:dyDescent="0.3">
      <c r="K17731" s="1">
        <v>43101</v>
      </c>
      <c r="M17731" t="e">
        <v>#N/A</v>
      </c>
      <c r="N17731" s="1">
        <v>42736</v>
      </c>
    </row>
    <row r="17732" spans="11:14" x14ac:dyDescent="0.3">
      <c r="K17732" s="1">
        <v>43101</v>
      </c>
      <c r="M17732" t="e">
        <v>#N/A</v>
      </c>
      <c r="N17732" s="1">
        <v>42736</v>
      </c>
    </row>
    <row r="17733" spans="11:14" x14ac:dyDescent="0.3">
      <c r="K17733" s="1">
        <v>43101</v>
      </c>
      <c r="M17733" t="e">
        <v>#N/A</v>
      </c>
      <c r="N17733" s="1">
        <v>42736</v>
      </c>
    </row>
    <row r="17734" spans="11:14" x14ac:dyDescent="0.3">
      <c r="K17734" s="1">
        <v>43101</v>
      </c>
      <c r="M17734" t="e">
        <v>#N/A</v>
      </c>
      <c r="N17734" s="1">
        <v>42736</v>
      </c>
    </row>
    <row r="17735" spans="11:14" x14ac:dyDescent="0.3">
      <c r="K17735" s="1">
        <v>43101</v>
      </c>
      <c r="M17735" t="e">
        <v>#N/A</v>
      </c>
      <c r="N17735" s="1">
        <v>42736</v>
      </c>
    </row>
    <row r="17736" spans="11:14" x14ac:dyDescent="0.3">
      <c r="K17736" s="1">
        <v>43101</v>
      </c>
      <c r="M17736" t="e">
        <v>#N/A</v>
      </c>
      <c r="N17736" s="1">
        <v>42736</v>
      </c>
    </row>
    <row r="17737" spans="11:14" x14ac:dyDescent="0.3">
      <c r="K17737" s="1">
        <v>43101</v>
      </c>
      <c r="M17737" t="e">
        <v>#N/A</v>
      </c>
      <c r="N17737" s="1">
        <v>42736</v>
      </c>
    </row>
    <row r="17738" spans="11:14" x14ac:dyDescent="0.3">
      <c r="K17738" s="1">
        <v>43101</v>
      </c>
      <c r="M17738" t="e">
        <v>#N/A</v>
      </c>
      <c r="N17738" s="1">
        <v>42736</v>
      </c>
    </row>
    <row r="17739" spans="11:14" x14ac:dyDescent="0.3">
      <c r="K17739" s="1">
        <v>43101</v>
      </c>
      <c r="M17739" t="e">
        <v>#N/A</v>
      </c>
      <c r="N17739" s="1">
        <v>42736</v>
      </c>
    </row>
    <row r="17740" spans="11:14" x14ac:dyDescent="0.3">
      <c r="K17740" s="1">
        <v>43101</v>
      </c>
      <c r="M17740" t="e">
        <v>#N/A</v>
      </c>
      <c r="N17740" s="1">
        <v>42736</v>
      </c>
    </row>
    <row r="17741" spans="11:14" x14ac:dyDescent="0.3">
      <c r="K17741" s="1">
        <v>43101</v>
      </c>
      <c r="M17741" t="e">
        <v>#N/A</v>
      </c>
      <c r="N17741" s="1">
        <v>42736</v>
      </c>
    </row>
    <row r="17742" spans="11:14" x14ac:dyDescent="0.3">
      <c r="K17742" s="1">
        <v>43101</v>
      </c>
      <c r="M17742" t="e">
        <v>#N/A</v>
      </c>
      <c r="N17742" s="1">
        <v>42736</v>
      </c>
    </row>
    <row r="17743" spans="11:14" x14ac:dyDescent="0.3">
      <c r="K17743" s="1">
        <v>43101</v>
      </c>
      <c r="M17743" t="e">
        <v>#N/A</v>
      </c>
      <c r="N17743" s="1">
        <v>42736</v>
      </c>
    </row>
    <row r="17744" spans="11:14" x14ac:dyDescent="0.3">
      <c r="K17744" s="1">
        <v>43101</v>
      </c>
      <c r="M17744" t="e">
        <v>#N/A</v>
      </c>
      <c r="N17744" s="1">
        <v>42736</v>
      </c>
    </row>
    <row r="17745" spans="11:14" x14ac:dyDescent="0.3">
      <c r="K17745" s="1">
        <v>43101</v>
      </c>
      <c r="M17745" t="e">
        <v>#N/A</v>
      </c>
      <c r="N17745" s="1">
        <v>42736</v>
      </c>
    </row>
    <row r="17746" spans="11:14" x14ac:dyDescent="0.3">
      <c r="K17746" s="1">
        <v>43101</v>
      </c>
      <c r="M17746" t="e">
        <v>#N/A</v>
      </c>
      <c r="N17746" s="1">
        <v>42736</v>
      </c>
    </row>
    <row r="17747" spans="11:14" x14ac:dyDescent="0.3">
      <c r="K17747" s="1">
        <v>43101</v>
      </c>
      <c r="M17747" t="e">
        <v>#N/A</v>
      </c>
      <c r="N17747" s="1">
        <v>42736</v>
      </c>
    </row>
    <row r="17748" spans="11:14" x14ac:dyDescent="0.3">
      <c r="K17748" s="1">
        <v>43101</v>
      </c>
      <c r="M17748" t="e">
        <v>#N/A</v>
      </c>
      <c r="N17748" s="1">
        <v>42736</v>
      </c>
    </row>
    <row r="17749" spans="11:14" x14ac:dyDescent="0.3">
      <c r="K17749" s="1">
        <v>43101</v>
      </c>
      <c r="M17749" t="e">
        <v>#N/A</v>
      </c>
      <c r="N17749" s="1">
        <v>42736</v>
      </c>
    </row>
    <row r="17750" spans="11:14" x14ac:dyDescent="0.3">
      <c r="K17750" s="1">
        <v>43101</v>
      </c>
      <c r="M17750" t="e">
        <v>#N/A</v>
      </c>
      <c r="N17750" s="1">
        <v>42736</v>
      </c>
    </row>
    <row r="17751" spans="11:14" x14ac:dyDescent="0.3">
      <c r="K17751" s="1">
        <v>43101</v>
      </c>
      <c r="M17751" t="e">
        <v>#N/A</v>
      </c>
      <c r="N17751" s="1">
        <v>42736</v>
      </c>
    </row>
    <row r="17752" spans="11:14" x14ac:dyDescent="0.3">
      <c r="K17752" s="1">
        <v>43101</v>
      </c>
      <c r="M17752" t="e">
        <v>#N/A</v>
      </c>
      <c r="N17752" s="1">
        <v>42736</v>
      </c>
    </row>
    <row r="17753" spans="11:14" x14ac:dyDescent="0.3">
      <c r="K17753" s="1">
        <v>43101</v>
      </c>
      <c r="M17753" t="e">
        <v>#N/A</v>
      </c>
      <c r="N17753" s="1">
        <v>42736</v>
      </c>
    </row>
    <row r="17754" spans="11:14" x14ac:dyDescent="0.3">
      <c r="K17754" s="1">
        <v>43101</v>
      </c>
      <c r="M17754" t="e">
        <v>#N/A</v>
      </c>
      <c r="N17754" s="1">
        <v>42736</v>
      </c>
    </row>
    <row r="17755" spans="11:14" x14ac:dyDescent="0.3">
      <c r="K17755" s="1">
        <v>43101</v>
      </c>
      <c r="M17755" t="e">
        <v>#N/A</v>
      </c>
      <c r="N17755" s="1">
        <v>42736</v>
      </c>
    </row>
    <row r="17756" spans="11:14" x14ac:dyDescent="0.3">
      <c r="K17756" s="1">
        <v>43101</v>
      </c>
      <c r="M17756" t="e">
        <v>#N/A</v>
      </c>
      <c r="N17756" s="1">
        <v>42736</v>
      </c>
    </row>
    <row r="17757" spans="11:14" x14ac:dyDescent="0.3">
      <c r="K17757" s="1">
        <v>43101</v>
      </c>
      <c r="M17757" t="e">
        <v>#N/A</v>
      </c>
      <c r="N17757" s="1">
        <v>42736</v>
      </c>
    </row>
    <row r="17758" spans="11:14" x14ac:dyDescent="0.3">
      <c r="K17758" s="1">
        <v>43101</v>
      </c>
      <c r="M17758" t="e">
        <v>#N/A</v>
      </c>
      <c r="N17758" s="1">
        <v>42736</v>
      </c>
    </row>
    <row r="17759" spans="11:14" x14ac:dyDescent="0.3">
      <c r="K17759" s="1">
        <v>43101</v>
      </c>
      <c r="M17759" t="e">
        <v>#N/A</v>
      </c>
      <c r="N17759" s="1">
        <v>42736</v>
      </c>
    </row>
    <row r="17760" spans="11:14" x14ac:dyDescent="0.3">
      <c r="K17760" s="1">
        <v>43101</v>
      </c>
      <c r="M17760" t="e">
        <v>#N/A</v>
      </c>
      <c r="N17760" s="1">
        <v>42736</v>
      </c>
    </row>
    <row r="17761" spans="11:14" x14ac:dyDescent="0.3">
      <c r="K17761" s="1">
        <v>43101</v>
      </c>
      <c r="M17761" t="e">
        <v>#N/A</v>
      </c>
      <c r="N17761" s="1">
        <v>42736</v>
      </c>
    </row>
    <row r="17762" spans="11:14" x14ac:dyDescent="0.3">
      <c r="K17762" s="1">
        <v>43101</v>
      </c>
      <c r="M17762" t="e">
        <v>#N/A</v>
      </c>
      <c r="N17762" s="1">
        <v>42736</v>
      </c>
    </row>
    <row r="17763" spans="11:14" x14ac:dyDescent="0.3">
      <c r="K17763" s="1">
        <v>43101</v>
      </c>
      <c r="M17763" t="e">
        <v>#N/A</v>
      </c>
      <c r="N17763" s="1">
        <v>42736</v>
      </c>
    </row>
    <row r="17764" spans="11:14" x14ac:dyDescent="0.3">
      <c r="K17764" s="1">
        <v>43101</v>
      </c>
      <c r="M17764" t="e">
        <v>#N/A</v>
      </c>
      <c r="N17764" s="1">
        <v>42736</v>
      </c>
    </row>
    <row r="17765" spans="11:14" x14ac:dyDescent="0.3">
      <c r="K17765" s="1">
        <v>43101</v>
      </c>
      <c r="M17765" t="e">
        <v>#N/A</v>
      </c>
      <c r="N17765" s="1">
        <v>42736</v>
      </c>
    </row>
    <row r="17766" spans="11:14" x14ac:dyDescent="0.3">
      <c r="K17766" s="1">
        <v>43101</v>
      </c>
      <c r="M17766" t="e">
        <v>#N/A</v>
      </c>
      <c r="N17766" s="1">
        <v>42736</v>
      </c>
    </row>
    <row r="17767" spans="11:14" x14ac:dyDescent="0.3">
      <c r="K17767" s="1">
        <v>43101</v>
      </c>
      <c r="M17767" t="e">
        <v>#N/A</v>
      </c>
      <c r="N17767" s="1">
        <v>42736</v>
      </c>
    </row>
    <row r="17768" spans="11:14" x14ac:dyDescent="0.3">
      <c r="K17768" s="1">
        <v>43101</v>
      </c>
      <c r="M17768" t="e">
        <v>#N/A</v>
      </c>
      <c r="N17768" s="1">
        <v>42736</v>
      </c>
    </row>
    <row r="17769" spans="11:14" x14ac:dyDescent="0.3">
      <c r="K17769" s="1">
        <v>43101</v>
      </c>
      <c r="M17769" t="e">
        <v>#N/A</v>
      </c>
      <c r="N17769" s="1">
        <v>42736</v>
      </c>
    </row>
    <row r="17770" spans="11:14" x14ac:dyDescent="0.3">
      <c r="K17770" s="1">
        <v>43101</v>
      </c>
      <c r="M17770" t="e">
        <v>#N/A</v>
      </c>
      <c r="N17770" s="1">
        <v>42736</v>
      </c>
    </row>
    <row r="17771" spans="11:14" x14ac:dyDescent="0.3">
      <c r="K17771" s="1">
        <v>43101</v>
      </c>
      <c r="M17771" t="e">
        <v>#N/A</v>
      </c>
      <c r="N17771" s="1">
        <v>42736</v>
      </c>
    </row>
    <row r="17772" spans="11:14" x14ac:dyDescent="0.3">
      <c r="K17772" s="1">
        <v>43101</v>
      </c>
      <c r="M17772" t="e">
        <v>#N/A</v>
      </c>
      <c r="N17772" s="1">
        <v>42736</v>
      </c>
    </row>
    <row r="17773" spans="11:14" x14ac:dyDescent="0.3">
      <c r="K17773" s="1">
        <v>43101</v>
      </c>
      <c r="M17773" t="e">
        <v>#N/A</v>
      </c>
      <c r="N17773" s="1">
        <v>42736</v>
      </c>
    </row>
    <row r="17774" spans="11:14" x14ac:dyDescent="0.3">
      <c r="K17774" s="1">
        <v>43101</v>
      </c>
      <c r="M17774" t="e">
        <v>#N/A</v>
      </c>
      <c r="N17774" s="1">
        <v>42736</v>
      </c>
    </row>
    <row r="17775" spans="11:14" x14ac:dyDescent="0.3">
      <c r="K17775" s="1">
        <v>43101</v>
      </c>
      <c r="M17775" t="e">
        <v>#N/A</v>
      </c>
      <c r="N17775" s="1">
        <v>42736</v>
      </c>
    </row>
    <row r="17776" spans="11:14" x14ac:dyDescent="0.3">
      <c r="K17776" s="1">
        <v>43101</v>
      </c>
      <c r="M17776" t="e">
        <v>#N/A</v>
      </c>
      <c r="N17776" s="1">
        <v>42736</v>
      </c>
    </row>
    <row r="17777" spans="11:14" x14ac:dyDescent="0.3">
      <c r="K17777" s="1">
        <v>43101</v>
      </c>
      <c r="M17777" t="e">
        <v>#N/A</v>
      </c>
      <c r="N17777" s="1">
        <v>42736</v>
      </c>
    </row>
    <row r="17778" spans="11:14" x14ac:dyDescent="0.3">
      <c r="K17778" s="1">
        <v>43101</v>
      </c>
      <c r="M17778" t="e">
        <v>#N/A</v>
      </c>
      <c r="N17778" s="1">
        <v>42736</v>
      </c>
    </row>
    <row r="17779" spans="11:14" x14ac:dyDescent="0.3">
      <c r="K17779" s="1">
        <v>43101</v>
      </c>
      <c r="M17779" t="e">
        <v>#N/A</v>
      </c>
      <c r="N17779" s="1">
        <v>42736</v>
      </c>
    </row>
    <row r="17780" spans="11:14" x14ac:dyDescent="0.3">
      <c r="K17780" s="1">
        <v>43101</v>
      </c>
      <c r="M17780" t="e">
        <v>#N/A</v>
      </c>
      <c r="N17780" s="1">
        <v>42736</v>
      </c>
    </row>
    <row r="17781" spans="11:14" x14ac:dyDescent="0.3">
      <c r="K17781" s="1">
        <v>43101</v>
      </c>
      <c r="M17781" t="e">
        <v>#N/A</v>
      </c>
      <c r="N17781" s="1">
        <v>42736</v>
      </c>
    </row>
    <row r="17782" spans="11:14" x14ac:dyDescent="0.3">
      <c r="K17782" s="1">
        <v>43101</v>
      </c>
      <c r="M17782" t="e">
        <v>#N/A</v>
      </c>
      <c r="N17782" s="1">
        <v>42736</v>
      </c>
    </row>
    <row r="17783" spans="11:14" x14ac:dyDescent="0.3">
      <c r="K17783" s="1">
        <v>43101</v>
      </c>
      <c r="M17783" t="e">
        <v>#N/A</v>
      </c>
      <c r="N17783" s="1">
        <v>42736</v>
      </c>
    </row>
    <row r="17784" spans="11:14" x14ac:dyDescent="0.3">
      <c r="K17784" s="1">
        <v>43101</v>
      </c>
      <c r="M17784" t="e">
        <v>#N/A</v>
      </c>
      <c r="N17784" s="1">
        <v>42736</v>
      </c>
    </row>
    <row r="17785" spans="11:14" x14ac:dyDescent="0.3">
      <c r="K17785" s="1">
        <v>43101</v>
      </c>
      <c r="M17785" t="e">
        <v>#N/A</v>
      </c>
      <c r="N17785" s="1">
        <v>42736</v>
      </c>
    </row>
    <row r="17786" spans="11:14" x14ac:dyDescent="0.3">
      <c r="K17786" s="1">
        <v>43101</v>
      </c>
      <c r="M17786" t="e">
        <v>#N/A</v>
      </c>
      <c r="N17786" s="1">
        <v>42736</v>
      </c>
    </row>
    <row r="17787" spans="11:14" x14ac:dyDescent="0.3">
      <c r="K17787" s="1">
        <v>43101</v>
      </c>
      <c r="M17787" t="e">
        <v>#N/A</v>
      </c>
      <c r="N17787" s="1">
        <v>42736</v>
      </c>
    </row>
    <row r="17788" spans="11:14" x14ac:dyDescent="0.3">
      <c r="K17788" s="1">
        <v>43101</v>
      </c>
      <c r="M17788" t="e">
        <v>#N/A</v>
      </c>
      <c r="N17788" s="1">
        <v>42736</v>
      </c>
    </row>
    <row r="17789" spans="11:14" x14ac:dyDescent="0.3">
      <c r="K17789" s="1">
        <v>43101</v>
      </c>
      <c r="M17789" t="e">
        <v>#N/A</v>
      </c>
      <c r="N17789" s="1">
        <v>42736</v>
      </c>
    </row>
    <row r="17790" spans="11:14" x14ac:dyDescent="0.3">
      <c r="K17790" s="1">
        <v>43101</v>
      </c>
      <c r="M17790" t="e">
        <v>#N/A</v>
      </c>
      <c r="N17790" s="1">
        <v>42736</v>
      </c>
    </row>
    <row r="17791" spans="11:14" x14ac:dyDescent="0.3">
      <c r="K17791" s="1">
        <v>43101</v>
      </c>
      <c r="M17791" t="e">
        <v>#N/A</v>
      </c>
      <c r="N17791" s="1">
        <v>42736</v>
      </c>
    </row>
    <row r="17792" spans="11:14" x14ac:dyDescent="0.3">
      <c r="K17792" s="1">
        <v>43101</v>
      </c>
      <c r="M17792" t="e">
        <v>#N/A</v>
      </c>
      <c r="N17792" s="1">
        <v>42736</v>
      </c>
    </row>
    <row r="17793" spans="11:14" x14ac:dyDescent="0.3">
      <c r="K17793" s="1">
        <v>43191</v>
      </c>
      <c r="M17793" t="e">
        <v>#N/A</v>
      </c>
      <c r="N17793" s="1">
        <v>42736</v>
      </c>
    </row>
    <row r="17794" spans="11:14" x14ac:dyDescent="0.3">
      <c r="K17794" s="1">
        <v>43191</v>
      </c>
      <c r="M17794" t="e">
        <v>#N/A</v>
      </c>
      <c r="N17794" s="1">
        <v>42736</v>
      </c>
    </row>
    <row r="17795" spans="11:14" x14ac:dyDescent="0.3">
      <c r="K17795" s="1">
        <v>43191</v>
      </c>
      <c r="M17795" t="e">
        <v>#N/A</v>
      </c>
      <c r="N17795" s="1">
        <v>42736</v>
      </c>
    </row>
    <row r="17796" spans="11:14" x14ac:dyDescent="0.3">
      <c r="K17796" s="1">
        <v>43191</v>
      </c>
      <c r="M17796" t="e">
        <v>#N/A</v>
      </c>
      <c r="N17796" s="1">
        <v>42736</v>
      </c>
    </row>
    <row r="17797" spans="11:14" x14ac:dyDescent="0.3">
      <c r="K17797" s="1">
        <v>43191</v>
      </c>
      <c r="M17797" t="e">
        <v>#N/A</v>
      </c>
      <c r="N17797" s="1">
        <v>42736</v>
      </c>
    </row>
    <row r="17798" spans="11:14" x14ac:dyDescent="0.3">
      <c r="K17798" s="1">
        <v>43191</v>
      </c>
      <c r="M17798" t="e">
        <v>#N/A</v>
      </c>
      <c r="N17798" s="1">
        <v>42736</v>
      </c>
    </row>
    <row r="17799" spans="11:14" x14ac:dyDescent="0.3">
      <c r="K17799" s="1">
        <v>43191</v>
      </c>
      <c r="M17799" t="e">
        <v>#N/A</v>
      </c>
      <c r="N17799" s="1">
        <v>42736</v>
      </c>
    </row>
    <row r="17800" spans="11:14" x14ac:dyDescent="0.3">
      <c r="K17800" s="1">
        <v>43191</v>
      </c>
      <c r="M17800" t="e">
        <v>#N/A</v>
      </c>
      <c r="N17800" s="1">
        <v>42736</v>
      </c>
    </row>
    <row r="17801" spans="11:14" x14ac:dyDescent="0.3">
      <c r="K17801" s="1">
        <v>43191</v>
      </c>
      <c r="M17801" t="e">
        <v>#N/A</v>
      </c>
      <c r="N17801" s="1">
        <v>42736</v>
      </c>
    </row>
    <row r="17802" spans="11:14" x14ac:dyDescent="0.3">
      <c r="K17802" s="1">
        <v>43191</v>
      </c>
      <c r="M17802" t="e">
        <v>#N/A</v>
      </c>
      <c r="N17802" s="1">
        <v>42736</v>
      </c>
    </row>
    <row r="17803" spans="11:14" x14ac:dyDescent="0.3">
      <c r="K17803" s="1">
        <v>43191</v>
      </c>
      <c r="M17803" t="e">
        <v>#N/A</v>
      </c>
      <c r="N17803" s="1">
        <v>42736</v>
      </c>
    </row>
    <row r="17804" spans="11:14" x14ac:dyDescent="0.3">
      <c r="K17804" s="1">
        <v>43191</v>
      </c>
      <c r="M17804" t="e">
        <v>#N/A</v>
      </c>
      <c r="N17804" s="1">
        <v>42736</v>
      </c>
    </row>
    <row r="17805" spans="11:14" x14ac:dyDescent="0.3">
      <c r="K17805" s="1">
        <v>43191</v>
      </c>
      <c r="M17805" t="e">
        <v>#N/A</v>
      </c>
      <c r="N17805" s="1">
        <v>42736</v>
      </c>
    </row>
    <row r="17806" spans="11:14" x14ac:dyDescent="0.3">
      <c r="K17806" s="1">
        <v>43191</v>
      </c>
      <c r="M17806" t="e">
        <v>#N/A</v>
      </c>
      <c r="N17806" s="1">
        <v>42736</v>
      </c>
    </row>
    <row r="17807" spans="11:14" x14ac:dyDescent="0.3">
      <c r="K17807" s="1">
        <v>43191</v>
      </c>
      <c r="M17807" t="e">
        <v>#N/A</v>
      </c>
      <c r="N17807" s="1">
        <v>42736</v>
      </c>
    </row>
    <row r="17808" spans="11:14" x14ac:dyDescent="0.3">
      <c r="K17808" s="1">
        <v>43191</v>
      </c>
      <c r="M17808" t="e">
        <v>#N/A</v>
      </c>
      <c r="N17808" s="1">
        <v>42736</v>
      </c>
    </row>
    <row r="17809" spans="11:14" x14ac:dyDescent="0.3">
      <c r="K17809" s="1">
        <v>43191</v>
      </c>
      <c r="M17809" t="e">
        <v>#N/A</v>
      </c>
      <c r="N17809" s="1">
        <v>42736</v>
      </c>
    </row>
    <row r="17810" spans="11:14" x14ac:dyDescent="0.3">
      <c r="K17810" s="1">
        <v>43191</v>
      </c>
      <c r="M17810" t="e">
        <v>#N/A</v>
      </c>
      <c r="N17810" s="1">
        <v>42736</v>
      </c>
    </row>
    <row r="17811" spans="11:14" x14ac:dyDescent="0.3">
      <c r="K17811" s="1">
        <v>43191</v>
      </c>
      <c r="M17811" t="e">
        <v>#N/A</v>
      </c>
      <c r="N17811" s="1">
        <v>42736</v>
      </c>
    </row>
    <row r="17812" spans="11:14" x14ac:dyDescent="0.3">
      <c r="K17812" s="1">
        <v>43191</v>
      </c>
      <c r="M17812" t="e">
        <v>#N/A</v>
      </c>
      <c r="N17812" s="1">
        <v>42736</v>
      </c>
    </row>
    <row r="17813" spans="11:14" x14ac:dyDescent="0.3">
      <c r="K17813" s="1">
        <v>43191</v>
      </c>
      <c r="M17813" t="e">
        <v>#N/A</v>
      </c>
      <c r="N17813" s="1">
        <v>42736</v>
      </c>
    </row>
    <row r="17814" spans="11:14" x14ac:dyDescent="0.3">
      <c r="K17814" s="1">
        <v>43191</v>
      </c>
      <c r="M17814" t="e">
        <v>#N/A</v>
      </c>
      <c r="N17814" s="1">
        <v>42736</v>
      </c>
    </row>
    <row r="17815" spans="11:14" x14ac:dyDescent="0.3">
      <c r="K17815" s="1">
        <v>43191</v>
      </c>
      <c r="M17815" t="e">
        <v>#N/A</v>
      </c>
      <c r="N17815" s="1">
        <v>42736</v>
      </c>
    </row>
    <row r="17816" spans="11:14" x14ac:dyDescent="0.3">
      <c r="K17816" s="1">
        <v>43191</v>
      </c>
      <c r="M17816" t="e">
        <v>#N/A</v>
      </c>
      <c r="N17816" s="1">
        <v>42736</v>
      </c>
    </row>
    <row r="17817" spans="11:14" x14ac:dyDescent="0.3">
      <c r="K17817" s="1">
        <v>43191</v>
      </c>
      <c r="M17817" t="e">
        <v>#N/A</v>
      </c>
      <c r="N17817" s="1">
        <v>42736</v>
      </c>
    </row>
    <row r="17818" spans="11:14" x14ac:dyDescent="0.3">
      <c r="K17818" s="1">
        <v>43191</v>
      </c>
      <c r="M17818" t="e">
        <v>#N/A</v>
      </c>
      <c r="N17818" s="1">
        <v>42736</v>
      </c>
    </row>
    <row r="17819" spans="11:14" x14ac:dyDescent="0.3">
      <c r="K17819" s="1">
        <v>43191</v>
      </c>
      <c r="M17819" t="e">
        <v>#N/A</v>
      </c>
      <c r="N17819" s="1">
        <v>42736</v>
      </c>
    </row>
    <row r="17820" spans="11:14" x14ac:dyDescent="0.3">
      <c r="K17820" s="1">
        <v>43191</v>
      </c>
      <c r="M17820" t="e">
        <v>#N/A</v>
      </c>
      <c r="N17820" s="1">
        <v>42736</v>
      </c>
    </row>
    <row r="17821" spans="11:14" x14ac:dyDescent="0.3">
      <c r="K17821" s="1">
        <v>43191</v>
      </c>
      <c r="M17821" t="e">
        <v>#N/A</v>
      </c>
      <c r="N17821" s="1">
        <v>42736</v>
      </c>
    </row>
    <row r="17822" spans="11:14" x14ac:dyDescent="0.3">
      <c r="K17822" s="1">
        <v>43191</v>
      </c>
      <c r="M17822" t="e">
        <v>#N/A</v>
      </c>
      <c r="N17822" s="1">
        <v>42736</v>
      </c>
    </row>
    <row r="17823" spans="11:14" x14ac:dyDescent="0.3">
      <c r="K17823" s="1">
        <v>43191</v>
      </c>
      <c r="M17823" t="e">
        <v>#N/A</v>
      </c>
      <c r="N17823" s="1">
        <v>42736</v>
      </c>
    </row>
    <row r="17824" spans="11:14" x14ac:dyDescent="0.3">
      <c r="K17824" s="1">
        <v>43191</v>
      </c>
      <c r="M17824" t="e">
        <v>#N/A</v>
      </c>
      <c r="N17824" s="1">
        <v>42736</v>
      </c>
    </row>
    <row r="17825" spans="11:14" x14ac:dyDescent="0.3">
      <c r="K17825" s="1">
        <v>43191</v>
      </c>
      <c r="M17825" t="e">
        <v>#N/A</v>
      </c>
      <c r="N17825" s="1">
        <v>42736</v>
      </c>
    </row>
    <row r="17826" spans="11:14" x14ac:dyDescent="0.3">
      <c r="K17826" s="1">
        <v>43191</v>
      </c>
      <c r="M17826" t="e">
        <v>#N/A</v>
      </c>
      <c r="N17826" s="1">
        <v>42736</v>
      </c>
    </row>
    <row r="17827" spans="11:14" x14ac:dyDescent="0.3">
      <c r="K17827" s="1">
        <v>43191</v>
      </c>
      <c r="M17827" t="e">
        <v>#N/A</v>
      </c>
      <c r="N17827" s="1">
        <v>42736</v>
      </c>
    </row>
    <row r="17828" spans="11:14" x14ac:dyDescent="0.3">
      <c r="K17828" s="1">
        <v>43191</v>
      </c>
      <c r="M17828" t="e">
        <v>#N/A</v>
      </c>
      <c r="N17828" s="1">
        <v>42736</v>
      </c>
    </row>
    <row r="17829" spans="11:14" x14ac:dyDescent="0.3">
      <c r="K17829" s="1">
        <v>43191</v>
      </c>
      <c r="M17829" t="e">
        <v>#N/A</v>
      </c>
      <c r="N17829" s="1">
        <v>42736</v>
      </c>
    </row>
    <row r="17830" spans="11:14" x14ac:dyDescent="0.3">
      <c r="K17830" s="1">
        <v>43191</v>
      </c>
      <c r="M17830" t="e">
        <v>#N/A</v>
      </c>
      <c r="N17830" s="1">
        <v>42736</v>
      </c>
    </row>
    <row r="17831" spans="11:14" x14ac:dyDescent="0.3">
      <c r="K17831" s="1">
        <v>43191</v>
      </c>
      <c r="M17831" t="e">
        <v>#N/A</v>
      </c>
      <c r="N17831" s="1">
        <v>42736</v>
      </c>
    </row>
    <row r="17832" spans="11:14" x14ac:dyDescent="0.3">
      <c r="K17832" s="1">
        <v>43191</v>
      </c>
      <c r="M17832" t="e">
        <v>#N/A</v>
      </c>
      <c r="N17832" s="1">
        <v>42736</v>
      </c>
    </row>
    <row r="17833" spans="11:14" x14ac:dyDescent="0.3">
      <c r="K17833" s="1">
        <v>43191</v>
      </c>
      <c r="M17833" t="e">
        <v>#N/A</v>
      </c>
      <c r="N17833" s="1">
        <v>42736</v>
      </c>
    </row>
    <row r="17834" spans="11:14" x14ac:dyDescent="0.3">
      <c r="K17834" s="1">
        <v>43191</v>
      </c>
      <c r="M17834" t="e">
        <v>#N/A</v>
      </c>
      <c r="N17834" s="1">
        <v>42736</v>
      </c>
    </row>
    <row r="17835" spans="11:14" x14ac:dyDescent="0.3">
      <c r="K17835" s="1">
        <v>43191</v>
      </c>
      <c r="M17835" t="e">
        <v>#N/A</v>
      </c>
      <c r="N17835" s="1">
        <v>42736</v>
      </c>
    </row>
    <row r="17836" spans="11:14" x14ac:dyDescent="0.3">
      <c r="K17836" s="1">
        <v>43191</v>
      </c>
      <c r="M17836" t="e">
        <v>#N/A</v>
      </c>
      <c r="N17836" s="1">
        <v>42736</v>
      </c>
    </row>
    <row r="17837" spans="11:14" x14ac:dyDescent="0.3">
      <c r="K17837" s="1">
        <v>43191</v>
      </c>
      <c r="M17837" t="e">
        <v>#N/A</v>
      </c>
      <c r="N17837" s="1">
        <v>42736</v>
      </c>
    </row>
    <row r="17838" spans="11:14" x14ac:dyDescent="0.3">
      <c r="K17838" s="1">
        <v>43191</v>
      </c>
      <c r="M17838" t="e">
        <v>#N/A</v>
      </c>
      <c r="N17838" s="1">
        <v>42736</v>
      </c>
    </row>
    <row r="17839" spans="11:14" x14ac:dyDescent="0.3">
      <c r="K17839" s="1">
        <v>43191</v>
      </c>
      <c r="M17839" t="e">
        <v>#N/A</v>
      </c>
      <c r="N17839" s="1">
        <v>42736</v>
      </c>
    </row>
    <row r="17840" spans="11:14" x14ac:dyDescent="0.3">
      <c r="K17840" s="1">
        <v>43191</v>
      </c>
      <c r="M17840" t="e">
        <v>#N/A</v>
      </c>
      <c r="N17840" s="1">
        <v>42736</v>
      </c>
    </row>
    <row r="17841" spans="11:14" x14ac:dyDescent="0.3">
      <c r="K17841" s="1">
        <v>43191</v>
      </c>
      <c r="M17841" t="e">
        <v>#N/A</v>
      </c>
      <c r="N17841" s="1">
        <v>42736</v>
      </c>
    </row>
    <row r="17842" spans="11:14" x14ac:dyDescent="0.3">
      <c r="K17842" s="1">
        <v>43191</v>
      </c>
      <c r="M17842" t="e">
        <v>#N/A</v>
      </c>
      <c r="N17842" s="1">
        <v>42736</v>
      </c>
    </row>
    <row r="17843" spans="11:14" x14ac:dyDescent="0.3">
      <c r="K17843" s="1">
        <v>43191</v>
      </c>
      <c r="M17843" t="e">
        <v>#N/A</v>
      </c>
      <c r="N17843" s="1">
        <v>42736</v>
      </c>
    </row>
    <row r="17844" spans="11:14" x14ac:dyDescent="0.3">
      <c r="K17844" s="1">
        <v>43191</v>
      </c>
      <c r="M17844" t="e">
        <v>#N/A</v>
      </c>
      <c r="N17844" s="1">
        <v>42736</v>
      </c>
    </row>
    <row r="17845" spans="11:14" x14ac:dyDescent="0.3">
      <c r="K17845" s="1">
        <v>43191</v>
      </c>
      <c r="M17845" t="e">
        <v>#N/A</v>
      </c>
      <c r="N17845" s="1">
        <v>42736</v>
      </c>
    </row>
    <row r="17846" spans="11:14" x14ac:dyDescent="0.3">
      <c r="K17846" s="1">
        <v>43191</v>
      </c>
      <c r="M17846" t="e">
        <v>#N/A</v>
      </c>
      <c r="N17846" s="1">
        <v>42736</v>
      </c>
    </row>
    <row r="17847" spans="11:14" x14ac:dyDescent="0.3">
      <c r="K17847" s="1">
        <v>43191</v>
      </c>
      <c r="M17847" t="e">
        <v>#N/A</v>
      </c>
      <c r="N17847" s="1">
        <v>42736</v>
      </c>
    </row>
    <row r="17848" spans="11:14" x14ac:dyDescent="0.3">
      <c r="K17848" s="1">
        <v>43191</v>
      </c>
      <c r="M17848" t="e">
        <v>#N/A</v>
      </c>
      <c r="N17848" s="1">
        <v>42736</v>
      </c>
    </row>
    <row r="17849" spans="11:14" x14ac:dyDescent="0.3">
      <c r="K17849" s="1">
        <v>43191</v>
      </c>
      <c r="M17849" t="e">
        <v>#N/A</v>
      </c>
      <c r="N17849" s="1">
        <v>42736</v>
      </c>
    </row>
    <row r="17850" spans="11:14" x14ac:dyDescent="0.3">
      <c r="K17850" s="1">
        <v>43191</v>
      </c>
      <c r="M17850" t="e">
        <v>#N/A</v>
      </c>
      <c r="N17850" s="1">
        <v>42736</v>
      </c>
    </row>
    <row r="17851" spans="11:14" x14ac:dyDescent="0.3">
      <c r="K17851" s="1">
        <v>43191</v>
      </c>
      <c r="M17851" t="e">
        <v>#N/A</v>
      </c>
      <c r="N17851" s="1">
        <v>42736</v>
      </c>
    </row>
    <row r="17852" spans="11:14" x14ac:dyDescent="0.3">
      <c r="K17852" s="1">
        <v>43191</v>
      </c>
      <c r="M17852" t="e">
        <v>#N/A</v>
      </c>
      <c r="N17852" s="1">
        <v>42736</v>
      </c>
    </row>
    <row r="17853" spans="11:14" x14ac:dyDescent="0.3">
      <c r="K17853" s="1">
        <v>43191</v>
      </c>
      <c r="M17853" t="e">
        <v>#N/A</v>
      </c>
      <c r="N17853" s="1">
        <v>42736</v>
      </c>
    </row>
    <row r="17854" spans="11:14" x14ac:dyDescent="0.3">
      <c r="K17854" s="1">
        <v>43191</v>
      </c>
      <c r="M17854" t="e">
        <v>#N/A</v>
      </c>
      <c r="N17854" s="1">
        <v>42736</v>
      </c>
    </row>
    <row r="17855" spans="11:14" x14ac:dyDescent="0.3">
      <c r="K17855" s="1">
        <v>43191</v>
      </c>
      <c r="M17855" t="e">
        <v>#N/A</v>
      </c>
      <c r="N17855" s="1">
        <v>42736</v>
      </c>
    </row>
    <row r="17856" spans="11:14" x14ac:dyDescent="0.3">
      <c r="K17856" s="1">
        <v>43191</v>
      </c>
      <c r="M17856" t="e">
        <v>#N/A</v>
      </c>
      <c r="N17856" s="1">
        <v>42736</v>
      </c>
    </row>
    <row r="17857" spans="11:14" x14ac:dyDescent="0.3">
      <c r="K17857" s="1">
        <v>43191</v>
      </c>
      <c r="M17857" t="e">
        <v>#N/A</v>
      </c>
      <c r="N17857" s="1">
        <v>42736</v>
      </c>
    </row>
    <row r="17858" spans="11:14" x14ac:dyDescent="0.3">
      <c r="K17858" s="1">
        <v>43191</v>
      </c>
      <c r="M17858" t="e">
        <v>#N/A</v>
      </c>
      <c r="N17858" s="1">
        <v>42736</v>
      </c>
    </row>
    <row r="17859" spans="11:14" x14ac:dyDescent="0.3">
      <c r="K17859" s="1">
        <v>43191</v>
      </c>
      <c r="M17859" t="e">
        <v>#N/A</v>
      </c>
      <c r="N17859" s="1">
        <v>42736</v>
      </c>
    </row>
    <row r="17860" spans="11:14" x14ac:dyDescent="0.3">
      <c r="K17860" s="1">
        <v>43191</v>
      </c>
      <c r="M17860" t="e">
        <v>#N/A</v>
      </c>
      <c r="N17860" s="1">
        <v>42736</v>
      </c>
    </row>
    <row r="17861" spans="11:14" x14ac:dyDescent="0.3">
      <c r="K17861" s="1">
        <v>43191</v>
      </c>
      <c r="M17861" t="e">
        <v>#N/A</v>
      </c>
      <c r="N17861" s="1">
        <v>42736</v>
      </c>
    </row>
    <row r="17862" spans="11:14" x14ac:dyDescent="0.3">
      <c r="K17862" s="1">
        <v>43191</v>
      </c>
      <c r="M17862" t="e">
        <v>#N/A</v>
      </c>
      <c r="N17862" s="1">
        <v>42736</v>
      </c>
    </row>
    <row r="17863" spans="11:14" x14ac:dyDescent="0.3">
      <c r="K17863" s="1">
        <v>43191</v>
      </c>
      <c r="M17863" t="e">
        <v>#N/A</v>
      </c>
      <c r="N17863" s="1">
        <v>42736</v>
      </c>
    </row>
    <row r="17864" spans="11:14" x14ac:dyDescent="0.3">
      <c r="K17864" s="1">
        <v>43191</v>
      </c>
      <c r="M17864" t="e">
        <v>#N/A</v>
      </c>
      <c r="N17864" s="1">
        <v>42736</v>
      </c>
    </row>
    <row r="17865" spans="11:14" x14ac:dyDescent="0.3">
      <c r="K17865" s="1">
        <v>43191</v>
      </c>
      <c r="M17865" t="e">
        <v>#N/A</v>
      </c>
      <c r="N17865" s="1">
        <v>42736</v>
      </c>
    </row>
    <row r="17866" spans="11:14" x14ac:dyDescent="0.3">
      <c r="K17866" s="1">
        <v>43191</v>
      </c>
      <c r="M17866" t="e">
        <v>#N/A</v>
      </c>
      <c r="N17866" s="1">
        <v>42736</v>
      </c>
    </row>
    <row r="17867" spans="11:14" x14ac:dyDescent="0.3">
      <c r="K17867" s="1">
        <v>43191</v>
      </c>
      <c r="M17867" t="e">
        <v>#N/A</v>
      </c>
      <c r="N17867" s="1">
        <v>42736</v>
      </c>
    </row>
    <row r="17868" spans="11:14" x14ac:dyDescent="0.3">
      <c r="K17868" s="1">
        <v>43191</v>
      </c>
      <c r="M17868" t="e">
        <v>#N/A</v>
      </c>
      <c r="N17868" s="1">
        <v>42736</v>
      </c>
    </row>
    <row r="17869" spans="11:14" x14ac:dyDescent="0.3">
      <c r="K17869" s="1">
        <v>43191</v>
      </c>
      <c r="M17869" t="e">
        <v>#N/A</v>
      </c>
      <c r="N17869" s="1">
        <v>42736</v>
      </c>
    </row>
    <row r="17870" spans="11:14" x14ac:dyDescent="0.3">
      <c r="K17870" s="1">
        <v>43191</v>
      </c>
      <c r="M17870" t="e">
        <v>#N/A</v>
      </c>
      <c r="N17870" s="1">
        <v>42736</v>
      </c>
    </row>
    <row r="17871" spans="11:14" x14ac:dyDescent="0.3">
      <c r="K17871" s="1">
        <v>43191</v>
      </c>
      <c r="M17871" t="e">
        <v>#N/A</v>
      </c>
      <c r="N17871" s="1">
        <v>42736</v>
      </c>
    </row>
    <row r="17872" spans="11:14" x14ac:dyDescent="0.3">
      <c r="K17872" s="1">
        <v>43191</v>
      </c>
      <c r="M17872" t="e">
        <v>#N/A</v>
      </c>
      <c r="N17872" s="1">
        <v>42736</v>
      </c>
    </row>
    <row r="17873" spans="11:14" x14ac:dyDescent="0.3">
      <c r="K17873" s="1">
        <v>43191</v>
      </c>
      <c r="M17873" t="e">
        <v>#N/A</v>
      </c>
      <c r="N17873" s="1">
        <v>42736</v>
      </c>
    </row>
    <row r="17874" spans="11:14" x14ac:dyDescent="0.3">
      <c r="K17874" s="1">
        <v>43191</v>
      </c>
      <c r="M17874" t="e">
        <v>#N/A</v>
      </c>
      <c r="N17874" s="1">
        <v>42736</v>
      </c>
    </row>
    <row r="17875" spans="11:14" x14ac:dyDescent="0.3">
      <c r="K17875" s="1">
        <v>43191</v>
      </c>
      <c r="M17875" t="e">
        <v>#N/A</v>
      </c>
      <c r="N17875" s="1">
        <v>42736</v>
      </c>
    </row>
    <row r="17876" spans="11:14" x14ac:dyDescent="0.3">
      <c r="K17876" s="1">
        <v>43191</v>
      </c>
      <c r="M17876" t="e">
        <v>#N/A</v>
      </c>
      <c r="N17876" s="1">
        <v>42736</v>
      </c>
    </row>
    <row r="17877" spans="11:14" x14ac:dyDescent="0.3">
      <c r="K17877" s="1">
        <v>43191</v>
      </c>
      <c r="M17877" t="e">
        <v>#N/A</v>
      </c>
      <c r="N17877" s="1">
        <v>42736</v>
      </c>
    </row>
    <row r="17878" spans="11:14" x14ac:dyDescent="0.3">
      <c r="K17878" s="1">
        <v>43191</v>
      </c>
      <c r="M17878" t="e">
        <v>#N/A</v>
      </c>
      <c r="N17878" s="1">
        <v>42736</v>
      </c>
    </row>
    <row r="17879" spans="11:14" x14ac:dyDescent="0.3">
      <c r="K17879" s="1">
        <v>43191</v>
      </c>
      <c r="M17879" t="e">
        <v>#N/A</v>
      </c>
      <c r="N17879" s="1">
        <v>42736</v>
      </c>
    </row>
    <row r="17880" spans="11:14" x14ac:dyDescent="0.3">
      <c r="K17880" s="1">
        <v>43191</v>
      </c>
      <c r="M17880" t="e">
        <v>#N/A</v>
      </c>
      <c r="N17880" s="1">
        <v>42736</v>
      </c>
    </row>
    <row r="17881" spans="11:14" x14ac:dyDescent="0.3">
      <c r="K17881" s="1">
        <v>43191</v>
      </c>
      <c r="M17881" t="e">
        <v>#N/A</v>
      </c>
      <c r="N17881" s="1">
        <v>42736</v>
      </c>
    </row>
    <row r="17882" spans="11:14" x14ac:dyDescent="0.3">
      <c r="K17882" s="1">
        <v>43191</v>
      </c>
      <c r="M17882" t="e">
        <v>#N/A</v>
      </c>
      <c r="N17882" s="1">
        <v>42736</v>
      </c>
    </row>
    <row r="17883" spans="11:14" x14ac:dyDescent="0.3">
      <c r="K17883" s="1">
        <v>43191</v>
      </c>
      <c r="M17883" t="e">
        <v>#N/A</v>
      </c>
      <c r="N17883" s="1">
        <v>42736</v>
      </c>
    </row>
    <row r="17884" spans="11:14" x14ac:dyDescent="0.3">
      <c r="K17884" s="1">
        <v>43191</v>
      </c>
      <c r="M17884" t="e">
        <v>#N/A</v>
      </c>
      <c r="N17884" s="1">
        <v>42736</v>
      </c>
    </row>
    <row r="17885" spans="11:14" x14ac:dyDescent="0.3">
      <c r="K17885" s="1">
        <v>43191</v>
      </c>
      <c r="M17885" t="e">
        <v>#N/A</v>
      </c>
      <c r="N17885" s="1">
        <v>42736</v>
      </c>
    </row>
    <row r="17886" spans="11:14" x14ac:dyDescent="0.3">
      <c r="K17886" s="1">
        <v>43191</v>
      </c>
      <c r="M17886" t="e">
        <v>#N/A</v>
      </c>
      <c r="N17886" s="1">
        <v>42736</v>
      </c>
    </row>
    <row r="17887" spans="11:14" x14ac:dyDescent="0.3">
      <c r="K17887" s="1">
        <v>43191</v>
      </c>
      <c r="M17887" t="e">
        <v>#N/A</v>
      </c>
      <c r="N17887" s="1">
        <v>42736</v>
      </c>
    </row>
    <row r="17888" spans="11:14" x14ac:dyDescent="0.3">
      <c r="K17888" s="1">
        <v>43191</v>
      </c>
      <c r="M17888" t="e">
        <v>#N/A</v>
      </c>
      <c r="N17888" s="1">
        <v>42736</v>
      </c>
    </row>
    <row r="17889" spans="11:14" x14ac:dyDescent="0.3">
      <c r="K17889" s="1">
        <v>43191</v>
      </c>
      <c r="M17889" t="e">
        <v>#N/A</v>
      </c>
      <c r="N17889" s="1">
        <v>42736</v>
      </c>
    </row>
    <row r="17890" spans="11:14" x14ac:dyDescent="0.3">
      <c r="K17890" s="1">
        <v>43191</v>
      </c>
      <c r="M17890" t="e">
        <v>#N/A</v>
      </c>
      <c r="N17890" s="1">
        <v>42736</v>
      </c>
    </row>
    <row r="17891" spans="11:14" x14ac:dyDescent="0.3">
      <c r="K17891" s="1">
        <v>43191</v>
      </c>
      <c r="M17891" t="e">
        <v>#N/A</v>
      </c>
      <c r="N17891" s="1">
        <v>42736</v>
      </c>
    </row>
    <row r="17892" spans="11:14" x14ac:dyDescent="0.3">
      <c r="K17892" s="1">
        <v>43191</v>
      </c>
      <c r="M17892" t="e">
        <v>#N/A</v>
      </c>
      <c r="N17892" s="1">
        <v>42736</v>
      </c>
    </row>
    <row r="17893" spans="11:14" x14ac:dyDescent="0.3">
      <c r="K17893" s="1">
        <v>43191</v>
      </c>
      <c r="M17893" t="e">
        <v>#N/A</v>
      </c>
      <c r="N17893" s="1">
        <v>42736</v>
      </c>
    </row>
    <row r="17894" spans="11:14" x14ac:dyDescent="0.3">
      <c r="K17894" s="1">
        <v>43191</v>
      </c>
      <c r="M17894" t="e">
        <v>#N/A</v>
      </c>
      <c r="N17894" s="1">
        <v>42736</v>
      </c>
    </row>
    <row r="17895" spans="11:14" x14ac:dyDescent="0.3">
      <c r="K17895" s="1">
        <v>43191</v>
      </c>
      <c r="M17895" t="e">
        <v>#N/A</v>
      </c>
      <c r="N17895" s="1">
        <v>42736</v>
      </c>
    </row>
    <row r="17896" spans="11:14" x14ac:dyDescent="0.3">
      <c r="K17896" s="1">
        <v>43191</v>
      </c>
      <c r="M17896" t="e">
        <v>#N/A</v>
      </c>
      <c r="N17896" s="1">
        <v>42736</v>
      </c>
    </row>
    <row r="17897" spans="11:14" x14ac:dyDescent="0.3">
      <c r="K17897" s="1">
        <v>43191</v>
      </c>
      <c r="M17897" t="e">
        <v>#N/A</v>
      </c>
      <c r="N17897" s="1">
        <v>42736</v>
      </c>
    </row>
    <row r="17898" spans="11:14" x14ac:dyDescent="0.3">
      <c r="K17898" s="1">
        <v>43191</v>
      </c>
      <c r="M17898" t="e">
        <v>#N/A</v>
      </c>
      <c r="N17898" s="1">
        <v>42736</v>
      </c>
    </row>
    <row r="17899" spans="11:14" x14ac:dyDescent="0.3">
      <c r="K17899" s="1">
        <v>43191</v>
      </c>
      <c r="M17899" t="e">
        <v>#N/A</v>
      </c>
      <c r="N17899" s="1">
        <v>42736</v>
      </c>
    </row>
    <row r="17900" spans="11:14" x14ac:dyDescent="0.3">
      <c r="K17900" s="1">
        <v>43191</v>
      </c>
      <c r="M17900" t="e">
        <v>#N/A</v>
      </c>
      <c r="N17900" s="1">
        <v>42736</v>
      </c>
    </row>
    <row r="17901" spans="11:14" x14ac:dyDescent="0.3">
      <c r="K17901" s="1">
        <v>43191</v>
      </c>
      <c r="M17901" t="e">
        <v>#N/A</v>
      </c>
      <c r="N17901" s="1">
        <v>42736</v>
      </c>
    </row>
    <row r="17902" spans="11:14" x14ac:dyDescent="0.3">
      <c r="K17902" s="1">
        <v>43191</v>
      </c>
      <c r="M17902" t="e">
        <v>#N/A</v>
      </c>
      <c r="N17902" s="1">
        <v>42736</v>
      </c>
    </row>
    <row r="17903" spans="11:14" x14ac:dyDescent="0.3">
      <c r="K17903" s="1">
        <v>43191</v>
      </c>
      <c r="M17903" t="e">
        <v>#N/A</v>
      </c>
      <c r="N17903" s="1">
        <v>42736</v>
      </c>
    </row>
    <row r="17904" spans="11:14" x14ac:dyDescent="0.3">
      <c r="K17904" s="1">
        <v>43191</v>
      </c>
      <c r="M17904" t="e">
        <v>#N/A</v>
      </c>
      <c r="N17904" s="1">
        <v>42736</v>
      </c>
    </row>
    <row r="17905" spans="11:14" x14ac:dyDescent="0.3">
      <c r="K17905" s="1">
        <v>43191</v>
      </c>
      <c r="M17905" t="e">
        <v>#N/A</v>
      </c>
      <c r="N17905" s="1">
        <v>42736</v>
      </c>
    </row>
    <row r="17906" spans="11:14" x14ac:dyDescent="0.3">
      <c r="K17906" s="1">
        <v>43191</v>
      </c>
      <c r="M17906" t="e">
        <v>#N/A</v>
      </c>
      <c r="N17906" s="1">
        <v>42736</v>
      </c>
    </row>
    <row r="17907" spans="11:14" x14ac:dyDescent="0.3">
      <c r="K17907" s="1">
        <v>43191</v>
      </c>
      <c r="M17907" t="e">
        <v>#N/A</v>
      </c>
      <c r="N17907" s="1">
        <v>42736</v>
      </c>
    </row>
    <row r="17908" spans="11:14" x14ac:dyDescent="0.3">
      <c r="K17908" s="1">
        <v>43191</v>
      </c>
      <c r="M17908" t="e">
        <v>#N/A</v>
      </c>
      <c r="N17908" s="1">
        <v>42736</v>
      </c>
    </row>
    <row r="17909" spans="11:14" x14ac:dyDescent="0.3">
      <c r="K17909" s="1">
        <v>43191</v>
      </c>
      <c r="M17909" t="e">
        <v>#N/A</v>
      </c>
      <c r="N17909" s="1">
        <v>42736</v>
      </c>
    </row>
    <row r="17910" spans="11:14" x14ac:dyDescent="0.3">
      <c r="K17910" s="1">
        <v>43191</v>
      </c>
      <c r="M17910" t="e">
        <v>#N/A</v>
      </c>
      <c r="N17910" s="1">
        <v>42736</v>
      </c>
    </row>
    <row r="17911" spans="11:14" x14ac:dyDescent="0.3">
      <c r="K17911" s="1">
        <v>43191</v>
      </c>
      <c r="M17911" t="e">
        <v>#N/A</v>
      </c>
      <c r="N17911" s="1">
        <v>42736</v>
      </c>
    </row>
    <row r="17912" spans="11:14" x14ac:dyDescent="0.3">
      <c r="K17912" s="1">
        <v>43191</v>
      </c>
      <c r="M17912" t="e">
        <v>#N/A</v>
      </c>
      <c r="N17912" s="1">
        <v>42736</v>
      </c>
    </row>
    <row r="17913" spans="11:14" x14ac:dyDescent="0.3">
      <c r="K17913" s="1">
        <v>43191</v>
      </c>
      <c r="M17913" t="e">
        <v>#N/A</v>
      </c>
      <c r="N17913" s="1">
        <v>42736</v>
      </c>
    </row>
    <row r="17914" spans="11:14" x14ac:dyDescent="0.3">
      <c r="K17914" s="1">
        <v>43191</v>
      </c>
      <c r="M17914" t="e">
        <v>#N/A</v>
      </c>
      <c r="N17914" s="1">
        <v>42736</v>
      </c>
    </row>
    <row r="17915" spans="11:14" x14ac:dyDescent="0.3">
      <c r="K17915" s="1">
        <v>43191</v>
      </c>
      <c r="M17915" t="e">
        <v>#N/A</v>
      </c>
      <c r="N17915" s="1">
        <v>42736</v>
      </c>
    </row>
    <row r="17916" spans="11:14" x14ac:dyDescent="0.3">
      <c r="K17916" s="1">
        <v>43191</v>
      </c>
      <c r="M17916" t="e">
        <v>#N/A</v>
      </c>
      <c r="N17916" s="1">
        <v>42736</v>
      </c>
    </row>
    <row r="17917" spans="11:14" x14ac:dyDescent="0.3">
      <c r="K17917" s="1">
        <v>43191</v>
      </c>
      <c r="M17917" t="e">
        <v>#N/A</v>
      </c>
      <c r="N17917" s="1">
        <v>42736</v>
      </c>
    </row>
    <row r="17918" spans="11:14" x14ac:dyDescent="0.3">
      <c r="K17918" s="1">
        <v>43191</v>
      </c>
      <c r="M17918" t="e">
        <v>#N/A</v>
      </c>
      <c r="N17918" s="1">
        <v>42826</v>
      </c>
    </row>
    <row r="17919" spans="11:14" x14ac:dyDescent="0.3">
      <c r="K17919" s="1">
        <v>43191</v>
      </c>
      <c r="M17919" t="e">
        <v>#N/A</v>
      </c>
      <c r="N17919" s="1">
        <v>42826</v>
      </c>
    </row>
    <row r="17920" spans="11:14" x14ac:dyDescent="0.3">
      <c r="K17920" s="1">
        <v>43191</v>
      </c>
      <c r="M17920" t="e">
        <v>#N/A</v>
      </c>
      <c r="N17920" s="1">
        <v>42826</v>
      </c>
    </row>
    <row r="17921" spans="11:14" x14ac:dyDescent="0.3">
      <c r="K17921" s="1">
        <v>43191</v>
      </c>
      <c r="M17921" t="e">
        <v>#N/A</v>
      </c>
      <c r="N17921" s="1">
        <v>42826</v>
      </c>
    </row>
    <row r="17922" spans="11:14" x14ac:dyDescent="0.3">
      <c r="K17922" s="1">
        <v>43191</v>
      </c>
      <c r="M17922" t="e">
        <v>#N/A</v>
      </c>
      <c r="N17922" s="1">
        <v>42826</v>
      </c>
    </row>
    <row r="17923" spans="11:14" x14ac:dyDescent="0.3">
      <c r="K17923" s="1">
        <v>43191</v>
      </c>
      <c r="M17923" t="e">
        <v>#N/A</v>
      </c>
      <c r="N17923" s="1">
        <v>42826</v>
      </c>
    </row>
    <row r="17924" spans="11:14" x14ac:dyDescent="0.3">
      <c r="K17924" s="1">
        <v>43191</v>
      </c>
      <c r="M17924" t="e">
        <v>#N/A</v>
      </c>
      <c r="N17924" s="1">
        <v>42826</v>
      </c>
    </row>
    <row r="17925" spans="11:14" x14ac:dyDescent="0.3">
      <c r="K17925" s="1">
        <v>43191</v>
      </c>
      <c r="M17925" t="e">
        <v>#N/A</v>
      </c>
      <c r="N17925" s="1">
        <v>42826</v>
      </c>
    </row>
    <row r="17926" spans="11:14" x14ac:dyDescent="0.3">
      <c r="K17926" s="1">
        <v>43191</v>
      </c>
      <c r="M17926" t="e">
        <v>#N/A</v>
      </c>
      <c r="N17926" s="1">
        <v>42826</v>
      </c>
    </row>
    <row r="17927" spans="11:14" x14ac:dyDescent="0.3">
      <c r="K17927" s="1">
        <v>43191</v>
      </c>
      <c r="M17927" t="e">
        <v>#N/A</v>
      </c>
      <c r="N17927" s="1">
        <v>42826</v>
      </c>
    </row>
    <row r="17928" spans="11:14" x14ac:dyDescent="0.3">
      <c r="K17928" s="1">
        <v>43191</v>
      </c>
      <c r="M17928" t="e">
        <v>#N/A</v>
      </c>
      <c r="N17928" s="1">
        <v>42826</v>
      </c>
    </row>
    <row r="17929" spans="11:14" x14ac:dyDescent="0.3">
      <c r="K17929" s="1">
        <v>43191</v>
      </c>
      <c r="M17929" t="e">
        <v>#N/A</v>
      </c>
      <c r="N17929" s="1">
        <v>42826</v>
      </c>
    </row>
    <row r="17930" spans="11:14" x14ac:dyDescent="0.3">
      <c r="K17930" s="1">
        <v>43191</v>
      </c>
      <c r="M17930" t="e">
        <v>#N/A</v>
      </c>
      <c r="N17930" s="1">
        <v>42826</v>
      </c>
    </row>
    <row r="17931" spans="11:14" x14ac:dyDescent="0.3">
      <c r="K17931" s="1">
        <v>43191</v>
      </c>
      <c r="M17931" t="e">
        <v>#N/A</v>
      </c>
      <c r="N17931" s="1">
        <v>42826</v>
      </c>
    </row>
    <row r="17932" spans="11:14" x14ac:dyDescent="0.3">
      <c r="K17932" s="1">
        <v>43191</v>
      </c>
      <c r="M17932" t="e">
        <v>#N/A</v>
      </c>
      <c r="N17932" s="1">
        <v>42826</v>
      </c>
    </row>
    <row r="17933" spans="11:14" x14ac:dyDescent="0.3">
      <c r="K17933" s="1">
        <v>43191</v>
      </c>
      <c r="M17933" t="e">
        <v>#N/A</v>
      </c>
      <c r="N17933" s="1">
        <v>42826</v>
      </c>
    </row>
    <row r="17934" spans="11:14" x14ac:dyDescent="0.3">
      <c r="K17934" s="1">
        <v>43191</v>
      </c>
      <c r="M17934" t="e">
        <v>#N/A</v>
      </c>
      <c r="N17934" s="1">
        <v>42826</v>
      </c>
    </row>
    <row r="17935" spans="11:14" x14ac:dyDescent="0.3">
      <c r="K17935" s="1">
        <v>43191</v>
      </c>
      <c r="M17935" t="e">
        <v>#N/A</v>
      </c>
      <c r="N17935" s="1">
        <v>42826</v>
      </c>
    </row>
    <row r="17936" spans="11:14" x14ac:dyDescent="0.3">
      <c r="K17936" s="1">
        <v>43191</v>
      </c>
      <c r="M17936" t="e">
        <v>#N/A</v>
      </c>
      <c r="N17936" s="1">
        <v>42826</v>
      </c>
    </row>
    <row r="17937" spans="11:14" x14ac:dyDescent="0.3">
      <c r="K17937" s="1">
        <v>43191</v>
      </c>
      <c r="M17937" t="e">
        <v>#N/A</v>
      </c>
      <c r="N17937" s="1">
        <v>42826</v>
      </c>
    </row>
    <row r="17938" spans="11:14" x14ac:dyDescent="0.3">
      <c r="K17938" s="1">
        <v>43191</v>
      </c>
      <c r="M17938" t="e">
        <v>#N/A</v>
      </c>
      <c r="N17938" s="1">
        <v>42826</v>
      </c>
    </row>
    <row r="17939" spans="11:14" x14ac:dyDescent="0.3">
      <c r="K17939" s="1">
        <v>43191</v>
      </c>
      <c r="M17939" t="e">
        <v>#N/A</v>
      </c>
      <c r="N17939" s="1">
        <v>42826</v>
      </c>
    </row>
    <row r="17940" spans="11:14" x14ac:dyDescent="0.3">
      <c r="K17940" s="1">
        <v>43191</v>
      </c>
      <c r="M17940" t="e">
        <v>#N/A</v>
      </c>
      <c r="N17940" s="1">
        <v>42826</v>
      </c>
    </row>
    <row r="17941" spans="11:14" x14ac:dyDescent="0.3">
      <c r="K17941" s="1">
        <v>43191</v>
      </c>
      <c r="M17941" t="e">
        <v>#N/A</v>
      </c>
      <c r="N17941" s="1">
        <v>42826</v>
      </c>
    </row>
    <row r="17942" spans="11:14" x14ac:dyDescent="0.3">
      <c r="K17942" s="1">
        <v>43191</v>
      </c>
      <c r="M17942" t="e">
        <v>#N/A</v>
      </c>
      <c r="N17942" s="1">
        <v>42826</v>
      </c>
    </row>
    <row r="17943" spans="11:14" x14ac:dyDescent="0.3">
      <c r="K17943" s="1">
        <v>43191</v>
      </c>
      <c r="M17943" t="e">
        <v>#N/A</v>
      </c>
      <c r="N17943" s="1">
        <v>42826</v>
      </c>
    </row>
    <row r="17944" spans="11:14" x14ac:dyDescent="0.3">
      <c r="K17944" s="1">
        <v>43191</v>
      </c>
      <c r="M17944" t="e">
        <v>#N/A</v>
      </c>
      <c r="N17944" s="1">
        <v>42826</v>
      </c>
    </row>
    <row r="17945" spans="11:14" x14ac:dyDescent="0.3">
      <c r="K17945" s="1">
        <v>43191</v>
      </c>
      <c r="M17945" t="e">
        <v>#N/A</v>
      </c>
      <c r="N17945" s="1">
        <v>42826</v>
      </c>
    </row>
    <row r="17946" spans="11:14" x14ac:dyDescent="0.3">
      <c r="K17946" s="1">
        <v>43191</v>
      </c>
      <c r="M17946" t="e">
        <v>#N/A</v>
      </c>
      <c r="N17946" s="1">
        <v>42826</v>
      </c>
    </row>
    <row r="17947" spans="11:14" x14ac:dyDescent="0.3">
      <c r="K17947" s="1">
        <v>43191</v>
      </c>
      <c r="M17947" t="e">
        <v>#N/A</v>
      </c>
      <c r="N17947" s="1">
        <v>42826</v>
      </c>
    </row>
    <row r="17948" spans="11:14" x14ac:dyDescent="0.3">
      <c r="K17948" s="1">
        <v>43191</v>
      </c>
      <c r="M17948" t="e">
        <v>#N/A</v>
      </c>
      <c r="N17948" s="1">
        <v>42826</v>
      </c>
    </row>
    <row r="17949" spans="11:14" x14ac:dyDescent="0.3">
      <c r="K17949" s="1">
        <v>43191</v>
      </c>
      <c r="M17949" t="e">
        <v>#N/A</v>
      </c>
      <c r="N17949" s="1">
        <v>42826</v>
      </c>
    </row>
    <row r="17950" spans="11:14" x14ac:dyDescent="0.3">
      <c r="K17950" s="1">
        <v>43191</v>
      </c>
      <c r="M17950" t="e">
        <v>#N/A</v>
      </c>
      <c r="N17950" s="1">
        <v>42826</v>
      </c>
    </row>
    <row r="17951" spans="11:14" x14ac:dyDescent="0.3">
      <c r="K17951" s="1">
        <v>43191</v>
      </c>
      <c r="M17951" t="e">
        <v>#N/A</v>
      </c>
      <c r="N17951" s="1">
        <v>42826</v>
      </c>
    </row>
    <row r="17952" spans="11:14" x14ac:dyDescent="0.3">
      <c r="K17952" s="1">
        <v>43191</v>
      </c>
      <c r="M17952" t="e">
        <v>#N/A</v>
      </c>
      <c r="N17952" s="1">
        <v>42826</v>
      </c>
    </row>
    <row r="17953" spans="11:14" x14ac:dyDescent="0.3">
      <c r="K17953" s="1">
        <v>43191</v>
      </c>
      <c r="M17953" t="e">
        <v>#N/A</v>
      </c>
      <c r="N17953" s="1">
        <v>42826</v>
      </c>
    </row>
    <row r="17954" spans="11:14" x14ac:dyDescent="0.3">
      <c r="K17954" s="1">
        <v>43191</v>
      </c>
      <c r="M17954" t="e">
        <v>#N/A</v>
      </c>
      <c r="N17954" s="1">
        <v>42826</v>
      </c>
    </row>
    <row r="17955" spans="11:14" x14ac:dyDescent="0.3">
      <c r="K17955" s="1">
        <v>43191</v>
      </c>
      <c r="M17955" t="e">
        <v>#N/A</v>
      </c>
      <c r="N17955" s="1">
        <v>42826</v>
      </c>
    </row>
    <row r="17956" spans="11:14" x14ac:dyDescent="0.3">
      <c r="K17956" s="1">
        <v>43191</v>
      </c>
      <c r="M17956" t="e">
        <v>#N/A</v>
      </c>
      <c r="N17956" s="1">
        <v>42826</v>
      </c>
    </row>
    <row r="17957" spans="11:14" x14ac:dyDescent="0.3">
      <c r="K17957" s="1">
        <v>43191</v>
      </c>
      <c r="M17957" t="e">
        <v>#N/A</v>
      </c>
      <c r="N17957" s="1">
        <v>42826</v>
      </c>
    </row>
    <row r="17958" spans="11:14" x14ac:dyDescent="0.3">
      <c r="K17958" s="1">
        <v>43191</v>
      </c>
      <c r="M17958" t="e">
        <v>#N/A</v>
      </c>
      <c r="N17958" s="1">
        <v>42826</v>
      </c>
    </row>
    <row r="17959" spans="11:14" x14ac:dyDescent="0.3">
      <c r="K17959" s="1">
        <v>43191</v>
      </c>
      <c r="M17959" t="e">
        <v>#N/A</v>
      </c>
      <c r="N17959" s="1">
        <v>42826</v>
      </c>
    </row>
    <row r="17960" spans="11:14" x14ac:dyDescent="0.3">
      <c r="K17960" s="1">
        <v>43191</v>
      </c>
      <c r="M17960" t="e">
        <v>#N/A</v>
      </c>
      <c r="N17960" s="1">
        <v>42826</v>
      </c>
    </row>
    <row r="17961" spans="11:14" x14ac:dyDescent="0.3">
      <c r="K17961" s="1">
        <v>43191</v>
      </c>
      <c r="M17961" t="e">
        <v>#N/A</v>
      </c>
      <c r="N17961" s="1">
        <v>42826</v>
      </c>
    </row>
    <row r="17962" spans="11:14" x14ac:dyDescent="0.3">
      <c r="K17962" s="1">
        <v>43191</v>
      </c>
      <c r="M17962" t="e">
        <v>#N/A</v>
      </c>
      <c r="N17962" s="1">
        <v>42826</v>
      </c>
    </row>
    <row r="17963" spans="11:14" x14ac:dyDescent="0.3">
      <c r="K17963" s="1">
        <v>43191</v>
      </c>
      <c r="M17963" t="e">
        <v>#N/A</v>
      </c>
      <c r="N17963" s="1">
        <v>42826</v>
      </c>
    </row>
    <row r="17964" spans="11:14" x14ac:dyDescent="0.3">
      <c r="K17964" s="1">
        <v>43191</v>
      </c>
      <c r="M17964" t="e">
        <v>#N/A</v>
      </c>
      <c r="N17964" s="1">
        <v>42826</v>
      </c>
    </row>
    <row r="17965" spans="11:14" x14ac:dyDescent="0.3">
      <c r="K17965" s="1">
        <v>43191</v>
      </c>
      <c r="M17965" t="e">
        <v>#N/A</v>
      </c>
      <c r="N17965" s="1">
        <v>42826</v>
      </c>
    </row>
    <row r="17966" spans="11:14" x14ac:dyDescent="0.3">
      <c r="K17966" s="1">
        <v>43191</v>
      </c>
      <c r="M17966" t="e">
        <v>#N/A</v>
      </c>
      <c r="N17966" s="1">
        <v>42826</v>
      </c>
    </row>
    <row r="17967" spans="11:14" x14ac:dyDescent="0.3">
      <c r="K17967" s="1">
        <v>43191</v>
      </c>
      <c r="M17967" t="e">
        <v>#N/A</v>
      </c>
      <c r="N17967" s="1">
        <v>42826</v>
      </c>
    </row>
    <row r="17968" spans="11:14" x14ac:dyDescent="0.3">
      <c r="K17968" s="1">
        <v>43191</v>
      </c>
      <c r="M17968" t="e">
        <v>#N/A</v>
      </c>
      <c r="N17968" s="1">
        <v>42826</v>
      </c>
    </row>
    <row r="17969" spans="11:14" x14ac:dyDescent="0.3">
      <c r="K17969" s="1">
        <v>43191</v>
      </c>
      <c r="M17969" t="e">
        <v>#N/A</v>
      </c>
      <c r="N17969" s="1">
        <v>42826</v>
      </c>
    </row>
    <row r="17970" spans="11:14" x14ac:dyDescent="0.3">
      <c r="K17970" s="1">
        <v>43191</v>
      </c>
      <c r="M17970" t="e">
        <v>#N/A</v>
      </c>
      <c r="N17970" s="1">
        <v>42826</v>
      </c>
    </row>
    <row r="17971" spans="11:14" x14ac:dyDescent="0.3">
      <c r="K17971" s="1">
        <v>43191</v>
      </c>
      <c r="M17971" t="e">
        <v>#N/A</v>
      </c>
      <c r="N17971" s="1">
        <v>42826</v>
      </c>
    </row>
    <row r="17972" spans="11:14" x14ac:dyDescent="0.3">
      <c r="K17972" s="1">
        <v>43191</v>
      </c>
      <c r="M17972" t="e">
        <v>#N/A</v>
      </c>
      <c r="N17972" s="1">
        <v>42826</v>
      </c>
    </row>
    <row r="17973" spans="11:14" x14ac:dyDescent="0.3">
      <c r="K17973" s="1">
        <v>43191</v>
      </c>
      <c r="M17973" t="e">
        <v>#N/A</v>
      </c>
      <c r="N17973" s="1">
        <v>42826</v>
      </c>
    </row>
    <row r="17974" spans="11:14" x14ac:dyDescent="0.3">
      <c r="K17974" s="1">
        <v>43191</v>
      </c>
      <c r="M17974" t="e">
        <v>#N/A</v>
      </c>
      <c r="N17974" s="1">
        <v>42826</v>
      </c>
    </row>
    <row r="17975" spans="11:14" x14ac:dyDescent="0.3">
      <c r="K17975" s="1">
        <v>43191</v>
      </c>
      <c r="M17975" t="e">
        <v>#N/A</v>
      </c>
      <c r="N17975" s="1">
        <v>42826</v>
      </c>
    </row>
    <row r="17976" spans="11:14" x14ac:dyDescent="0.3">
      <c r="K17976" s="1">
        <v>43191</v>
      </c>
      <c r="M17976" t="e">
        <v>#N/A</v>
      </c>
      <c r="N17976" s="1">
        <v>42826</v>
      </c>
    </row>
    <row r="17977" spans="11:14" x14ac:dyDescent="0.3">
      <c r="K17977" s="1">
        <v>43191</v>
      </c>
      <c r="M17977" t="e">
        <v>#N/A</v>
      </c>
      <c r="N17977" s="1">
        <v>42826</v>
      </c>
    </row>
    <row r="17978" spans="11:14" x14ac:dyDescent="0.3">
      <c r="K17978" s="1">
        <v>43191</v>
      </c>
      <c r="M17978" t="e">
        <v>#N/A</v>
      </c>
      <c r="N17978" s="1">
        <v>42826</v>
      </c>
    </row>
    <row r="17979" spans="11:14" x14ac:dyDescent="0.3">
      <c r="K17979" s="1">
        <v>43191</v>
      </c>
      <c r="M17979" t="e">
        <v>#N/A</v>
      </c>
      <c r="N17979" s="1">
        <v>42826</v>
      </c>
    </row>
    <row r="17980" spans="11:14" x14ac:dyDescent="0.3">
      <c r="K17980" s="1">
        <v>43191</v>
      </c>
      <c r="M17980" t="e">
        <v>#N/A</v>
      </c>
      <c r="N17980" s="1">
        <v>42826</v>
      </c>
    </row>
    <row r="17981" spans="11:14" x14ac:dyDescent="0.3">
      <c r="K17981" s="1">
        <v>43191</v>
      </c>
      <c r="M17981" t="e">
        <v>#N/A</v>
      </c>
      <c r="N17981" s="1">
        <v>42826</v>
      </c>
    </row>
    <row r="17982" spans="11:14" x14ac:dyDescent="0.3">
      <c r="K17982" s="1">
        <v>43191</v>
      </c>
      <c r="M17982" t="e">
        <v>#N/A</v>
      </c>
      <c r="N17982" s="1">
        <v>42826</v>
      </c>
    </row>
    <row r="17983" spans="11:14" x14ac:dyDescent="0.3">
      <c r="K17983" s="1">
        <v>43191</v>
      </c>
      <c r="M17983" t="e">
        <v>#N/A</v>
      </c>
      <c r="N17983" s="1">
        <v>42826</v>
      </c>
    </row>
    <row r="17984" spans="11:14" x14ac:dyDescent="0.3">
      <c r="K17984" s="1">
        <v>43191</v>
      </c>
      <c r="M17984" t="e">
        <v>#N/A</v>
      </c>
      <c r="N17984" s="1">
        <v>42826</v>
      </c>
    </row>
    <row r="17985" spans="11:14" x14ac:dyDescent="0.3">
      <c r="K17985" s="1">
        <v>43191</v>
      </c>
      <c r="M17985" t="e">
        <v>#N/A</v>
      </c>
      <c r="N17985" s="1">
        <v>42826</v>
      </c>
    </row>
    <row r="17986" spans="11:14" x14ac:dyDescent="0.3">
      <c r="K17986" s="1">
        <v>43191</v>
      </c>
      <c r="M17986" t="e">
        <v>#N/A</v>
      </c>
      <c r="N17986" s="1">
        <v>42826</v>
      </c>
    </row>
    <row r="17987" spans="11:14" x14ac:dyDescent="0.3">
      <c r="K17987" s="1">
        <v>43191</v>
      </c>
      <c r="M17987" t="e">
        <v>#N/A</v>
      </c>
      <c r="N17987" s="1">
        <v>42826</v>
      </c>
    </row>
    <row r="17988" spans="11:14" x14ac:dyDescent="0.3">
      <c r="K17988" s="1">
        <v>43191</v>
      </c>
      <c r="M17988" t="e">
        <v>#N/A</v>
      </c>
      <c r="N17988" s="1">
        <v>42826</v>
      </c>
    </row>
    <row r="17989" spans="11:14" x14ac:dyDescent="0.3">
      <c r="K17989" s="1">
        <v>43191</v>
      </c>
      <c r="M17989" t="e">
        <v>#N/A</v>
      </c>
      <c r="N17989" s="1">
        <v>42826</v>
      </c>
    </row>
    <row r="17990" spans="11:14" x14ac:dyDescent="0.3">
      <c r="K17990" s="1">
        <v>43191</v>
      </c>
      <c r="M17990" t="e">
        <v>#N/A</v>
      </c>
      <c r="N17990" s="1">
        <v>42826</v>
      </c>
    </row>
    <row r="17991" spans="11:14" x14ac:dyDescent="0.3">
      <c r="K17991" s="1">
        <v>43191</v>
      </c>
      <c r="M17991" t="e">
        <v>#N/A</v>
      </c>
      <c r="N17991" s="1">
        <v>42826</v>
      </c>
    </row>
    <row r="17992" spans="11:14" x14ac:dyDescent="0.3">
      <c r="K17992" s="1">
        <v>43191</v>
      </c>
      <c r="M17992" t="e">
        <v>#N/A</v>
      </c>
      <c r="N17992" s="1">
        <v>42826</v>
      </c>
    </row>
    <row r="17993" spans="11:14" x14ac:dyDescent="0.3">
      <c r="K17993" s="1">
        <v>43191</v>
      </c>
      <c r="M17993" t="e">
        <v>#N/A</v>
      </c>
      <c r="N17993" s="1">
        <v>42826</v>
      </c>
    </row>
    <row r="17994" spans="11:14" x14ac:dyDescent="0.3">
      <c r="K17994" s="1">
        <v>43191</v>
      </c>
      <c r="M17994" t="e">
        <v>#N/A</v>
      </c>
      <c r="N17994" s="1">
        <v>42826</v>
      </c>
    </row>
    <row r="17995" spans="11:14" x14ac:dyDescent="0.3">
      <c r="K17995" s="1">
        <v>43191</v>
      </c>
      <c r="M17995" t="e">
        <v>#N/A</v>
      </c>
      <c r="N17995" s="1">
        <v>42826</v>
      </c>
    </row>
    <row r="17996" spans="11:14" x14ac:dyDescent="0.3">
      <c r="K17996" s="1">
        <v>43191</v>
      </c>
      <c r="M17996" t="e">
        <v>#N/A</v>
      </c>
      <c r="N17996" s="1">
        <v>42826</v>
      </c>
    </row>
    <row r="17997" spans="11:14" x14ac:dyDescent="0.3">
      <c r="K17997" s="1">
        <v>43191</v>
      </c>
      <c r="M17997" t="e">
        <v>#N/A</v>
      </c>
      <c r="N17997" s="1">
        <v>42826</v>
      </c>
    </row>
    <row r="17998" spans="11:14" x14ac:dyDescent="0.3">
      <c r="K17998" s="1">
        <v>43191</v>
      </c>
      <c r="M17998" t="e">
        <v>#N/A</v>
      </c>
      <c r="N17998" s="1">
        <v>42826</v>
      </c>
    </row>
    <row r="17999" spans="11:14" x14ac:dyDescent="0.3">
      <c r="K17999" s="1">
        <v>43191</v>
      </c>
      <c r="M17999" t="e">
        <v>#N/A</v>
      </c>
      <c r="N17999" s="1">
        <v>42826</v>
      </c>
    </row>
    <row r="18000" spans="11:14" x14ac:dyDescent="0.3">
      <c r="K18000" s="1">
        <v>43191</v>
      </c>
      <c r="M18000" t="e">
        <v>#N/A</v>
      </c>
      <c r="N18000" s="1">
        <v>42826</v>
      </c>
    </row>
    <row r="18001" spans="11:14" x14ac:dyDescent="0.3">
      <c r="K18001" s="1">
        <v>43191</v>
      </c>
      <c r="M18001" t="e">
        <v>#N/A</v>
      </c>
      <c r="N18001" s="1">
        <v>42826</v>
      </c>
    </row>
    <row r="18002" spans="11:14" x14ac:dyDescent="0.3">
      <c r="K18002" s="1">
        <v>43191</v>
      </c>
      <c r="M18002" t="e">
        <v>#N/A</v>
      </c>
      <c r="N18002" s="1">
        <v>42826</v>
      </c>
    </row>
    <row r="18003" spans="11:14" x14ac:dyDescent="0.3">
      <c r="K18003" s="1">
        <v>43191</v>
      </c>
      <c r="M18003" t="e">
        <v>#N/A</v>
      </c>
      <c r="N18003" s="1">
        <v>42826</v>
      </c>
    </row>
    <row r="18004" spans="11:14" x14ac:dyDescent="0.3">
      <c r="K18004" s="1">
        <v>43191</v>
      </c>
      <c r="M18004" t="e">
        <v>#N/A</v>
      </c>
      <c r="N18004" s="1">
        <v>42826</v>
      </c>
    </row>
    <row r="18005" spans="11:14" x14ac:dyDescent="0.3">
      <c r="K18005" s="1">
        <v>43191</v>
      </c>
      <c r="M18005" t="e">
        <v>#N/A</v>
      </c>
      <c r="N18005" s="1">
        <v>42826</v>
      </c>
    </row>
    <row r="18006" spans="11:14" x14ac:dyDescent="0.3">
      <c r="K18006" s="1">
        <v>43191</v>
      </c>
      <c r="M18006" t="e">
        <v>#N/A</v>
      </c>
      <c r="N18006" s="1">
        <v>42826</v>
      </c>
    </row>
    <row r="18007" spans="11:14" x14ac:dyDescent="0.3">
      <c r="K18007" s="1">
        <v>43191</v>
      </c>
      <c r="M18007" t="e">
        <v>#N/A</v>
      </c>
      <c r="N18007" s="1">
        <v>42826</v>
      </c>
    </row>
    <row r="18008" spans="11:14" x14ac:dyDescent="0.3">
      <c r="K18008" s="1">
        <v>43191</v>
      </c>
      <c r="M18008" t="e">
        <v>#N/A</v>
      </c>
      <c r="N18008" s="1">
        <v>42826</v>
      </c>
    </row>
    <row r="18009" spans="11:14" x14ac:dyDescent="0.3">
      <c r="K18009" s="1">
        <v>43191</v>
      </c>
      <c r="M18009" t="e">
        <v>#N/A</v>
      </c>
      <c r="N18009" s="1">
        <v>42826</v>
      </c>
    </row>
    <row r="18010" spans="11:14" x14ac:dyDescent="0.3">
      <c r="K18010" s="1">
        <v>43191</v>
      </c>
      <c r="M18010" t="e">
        <v>#N/A</v>
      </c>
      <c r="N18010" s="1">
        <v>42826</v>
      </c>
    </row>
    <row r="18011" spans="11:14" x14ac:dyDescent="0.3">
      <c r="K18011" s="1">
        <v>43191</v>
      </c>
      <c r="M18011" t="e">
        <v>#N/A</v>
      </c>
      <c r="N18011" s="1">
        <v>42826</v>
      </c>
    </row>
    <row r="18012" spans="11:14" x14ac:dyDescent="0.3">
      <c r="K18012" s="1">
        <v>43191</v>
      </c>
      <c r="M18012" t="e">
        <v>#N/A</v>
      </c>
      <c r="N18012" s="1">
        <v>42826</v>
      </c>
    </row>
    <row r="18013" spans="11:14" x14ac:dyDescent="0.3">
      <c r="K18013" s="1">
        <v>43191</v>
      </c>
      <c r="M18013" t="e">
        <v>#N/A</v>
      </c>
      <c r="N18013" s="1">
        <v>42826</v>
      </c>
    </row>
    <row r="18014" spans="11:14" x14ac:dyDescent="0.3">
      <c r="K18014" s="1">
        <v>43191</v>
      </c>
      <c r="M18014" t="e">
        <v>#N/A</v>
      </c>
      <c r="N18014" s="1">
        <v>42826</v>
      </c>
    </row>
    <row r="18015" spans="11:14" x14ac:dyDescent="0.3">
      <c r="K18015" s="1">
        <v>43191</v>
      </c>
      <c r="M18015" t="e">
        <v>#N/A</v>
      </c>
      <c r="N18015" s="1">
        <v>42826</v>
      </c>
    </row>
    <row r="18016" spans="11:14" x14ac:dyDescent="0.3">
      <c r="K18016" s="1">
        <v>43191</v>
      </c>
      <c r="M18016" t="e">
        <v>#N/A</v>
      </c>
      <c r="N18016" s="1">
        <v>42826</v>
      </c>
    </row>
    <row r="18017" spans="11:14" x14ac:dyDescent="0.3">
      <c r="K18017" s="1">
        <v>43191</v>
      </c>
      <c r="M18017" t="e">
        <v>#N/A</v>
      </c>
      <c r="N18017" s="1">
        <v>42826</v>
      </c>
    </row>
    <row r="18018" spans="11:14" x14ac:dyDescent="0.3">
      <c r="K18018" s="1">
        <v>43191</v>
      </c>
      <c r="M18018" t="e">
        <v>#N/A</v>
      </c>
      <c r="N18018" s="1">
        <v>42826</v>
      </c>
    </row>
    <row r="18019" spans="11:14" x14ac:dyDescent="0.3">
      <c r="K18019" s="1">
        <v>43191</v>
      </c>
      <c r="M18019" t="e">
        <v>#N/A</v>
      </c>
      <c r="N18019" s="1">
        <v>42826</v>
      </c>
    </row>
    <row r="18020" spans="11:14" x14ac:dyDescent="0.3">
      <c r="K18020" s="1">
        <v>43191</v>
      </c>
      <c r="M18020" t="e">
        <v>#N/A</v>
      </c>
      <c r="N18020" s="1">
        <v>42826</v>
      </c>
    </row>
    <row r="18021" spans="11:14" x14ac:dyDescent="0.3">
      <c r="K18021" s="1">
        <v>43191</v>
      </c>
      <c r="M18021" t="e">
        <v>#N/A</v>
      </c>
      <c r="N18021" s="1">
        <v>42826</v>
      </c>
    </row>
    <row r="18022" spans="11:14" x14ac:dyDescent="0.3">
      <c r="K18022" s="1">
        <v>43191</v>
      </c>
      <c r="M18022" t="e">
        <v>#N/A</v>
      </c>
      <c r="N18022" s="1">
        <v>42826</v>
      </c>
    </row>
    <row r="18023" spans="11:14" x14ac:dyDescent="0.3">
      <c r="K18023" s="1">
        <v>43191</v>
      </c>
      <c r="M18023" t="e">
        <v>#N/A</v>
      </c>
      <c r="N18023" s="1">
        <v>42826</v>
      </c>
    </row>
    <row r="18024" spans="11:14" x14ac:dyDescent="0.3">
      <c r="K18024" s="1">
        <v>43191</v>
      </c>
      <c r="M18024" t="e">
        <v>#N/A</v>
      </c>
      <c r="N18024" s="1">
        <v>42826</v>
      </c>
    </row>
    <row r="18025" spans="11:14" x14ac:dyDescent="0.3">
      <c r="K18025" s="1">
        <v>43191</v>
      </c>
      <c r="M18025" t="e">
        <v>#N/A</v>
      </c>
      <c r="N18025" s="1">
        <v>42826</v>
      </c>
    </row>
    <row r="18026" spans="11:14" x14ac:dyDescent="0.3">
      <c r="K18026" s="1">
        <v>43191</v>
      </c>
      <c r="M18026" t="e">
        <v>#N/A</v>
      </c>
      <c r="N18026" s="1">
        <v>42826</v>
      </c>
    </row>
    <row r="18027" spans="11:14" x14ac:dyDescent="0.3">
      <c r="K18027" s="1">
        <v>43191</v>
      </c>
      <c r="M18027" t="e">
        <v>#N/A</v>
      </c>
      <c r="N18027" s="1">
        <v>42826</v>
      </c>
    </row>
    <row r="18028" spans="11:14" x14ac:dyDescent="0.3">
      <c r="K18028" s="1">
        <v>43191</v>
      </c>
      <c r="M18028" t="e">
        <v>#N/A</v>
      </c>
      <c r="N18028" s="1">
        <v>42826</v>
      </c>
    </row>
    <row r="18029" spans="11:14" x14ac:dyDescent="0.3">
      <c r="K18029" s="1">
        <v>43191</v>
      </c>
      <c r="M18029" t="e">
        <v>#N/A</v>
      </c>
      <c r="N18029" s="1">
        <v>42826</v>
      </c>
    </row>
    <row r="18030" spans="11:14" x14ac:dyDescent="0.3">
      <c r="K18030" s="1">
        <v>43191</v>
      </c>
      <c r="M18030" t="e">
        <v>#N/A</v>
      </c>
      <c r="N18030" s="1">
        <v>42826</v>
      </c>
    </row>
    <row r="18031" spans="11:14" x14ac:dyDescent="0.3">
      <c r="K18031" s="1">
        <v>43191</v>
      </c>
      <c r="M18031" t="e">
        <v>#N/A</v>
      </c>
      <c r="N18031" s="1">
        <v>42826</v>
      </c>
    </row>
    <row r="18032" spans="11:14" x14ac:dyDescent="0.3">
      <c r="K18032" s="1">
        <v>43191</v>
      </c>
      <c r="M18032" t="e">
        <v>#N/A</v>
      </c>
      <c r="N18032" s="1">
        <v>42826</v>
      </c>
    </row>
    <row r="18033" spans="11:14" x14ac:dyDescent="0.3">
      <c r="K18033" s="1">
        <v>43191</v>
      </c>
      <c r="M18033" t="e">
        <v>#N/A</v>
      </c>
      <c r="N18033" s="1">
        <v>42826</v>
      </c>
    </row>
    <row r="18034" spans="11:14" x14ac:dyDescent="0.3">
      <c r="K18034" s="1">
        <v>43191</v>
      </c>
      <c r="M18034" t="e">
        <v>#N/A</v>
      </c>
      <c r="N18034" s="1">
        <v>42826</v>
      </c>
    </row>
    <row r="18035" spans="11:14" x14ac:dyDescent="0.3">
      <c r="K18035" s="1">
        <v>43191</v>
      </c>
      <c r="M18035" t="e">
        <v>#N/A</v>
      </c>
      <c r="N18035" s="1">
        <v>42826</v>
      </c>
    </row>
    <row r="18036" spans="11:14" x14ac:dyDescent="0.3">
      <c r="K18036" s="1">
        <v>43191</v>
      </c>
      <c r="M18036" t="e">
        <v>#N/A</v>
      </c>
      <c r="N18036" s="1">
        <v>42826</v>
      </c>
    </row>
    <row r="18037" spans="11:14" x14ac:dyDescent="0.3">
      <c r="K18037" s="1">
        <v>43191</v>
      </c>
      <c r="M18037" t="e">
        <v>#N/A</v>
      </c>
      <c r="N18037" s="1">
        <v>42826</v>
      </c>
    </row>
    <row r="18038" spans="11:14" x14ac:dyDescent="0.3">
      <c r="K18038" s="1">
        <v>43191</v>
      </c>
      <c r="M18038" t="e">
        <v>#N/A</v>
      </c>
      <c r="N18038" s="1">
        <v>42826</v>
      </c>
    </row>
    <row r="18039" spans="11:14" x14ac:dyDescent="0.3">
      <c r="K18039" s="1">
        <v>43191</v>
      </c>
      <c r="M18039" t="e">
        <v>#N/A</v>
      </c>
      <c r="N18039" s="1">
        <v>42826</v>
      </c>
    </row>
    <row r="18040" spans="11:14" x14ac:dyDescent="0.3">
      <c r="K18040" s="1">
        <v>43191</v>
      </c>
      <c r="M18040" t="e">
        <v>#N/A</v>
      </c>
      <c r="N18040" s="1">
        <v>42826</v>
      </c>
    </row>
    <row r="18041" spans="11:14" x14ac:dyDescent="0.3">
      <c r="K18041" s="1">
        <v>43191</v>
      </c>
      <c r="M18041" t="e">
        <v>#N/A</v>
      </c>
      <c r="N18041" s="1">
        <v>42826</v>
      </c>
    </row>
    <row r="18042" spans="11:14" x14ac:dyDescent="0.3">
      <c r="K18042" s="1">
        <v>43191</v>
      </c>
      <c r="M18042" t="e">
        <v>#N/A</v>
      </c>
      <c r="N18042" s="1">
        <v>42826</v>
      </c>
    </row>
    <row r="18043" spans="11:14" x14ac:dyDescent="0.3">
      <c r="K18043" s="1">
        <v>43191</v>
      </c>
      <c r="M18043" t="e">
        <v>#N/A</v>
      </c>
      <c r="N18043" s="1">
        <v>42826</v>
      </c>
    </row>
    <row r="18044" spans="11:14" x14ac:dyDescent="0.3">
      <c r="K18044" s="1">
        <v>43191</v>
      </c>
      <c r="M18044" t="e">
        <v>#N/A</v>
      </c>
      <c r="N18044" s="1">
        <v>42826</v>
      </c>
    </row>
    <row r="18045" spans="11:14" x14ac:dyDescent="0.3">
      <c r="K18045" s="1">
        <v>43191</v>
      </c>
      <c r="M18045" t="e">
        <v>#N/A</v>
      </c>
      <c r="N18045" s="1">
        <v>42826</v>
      </c>
    </row>
    <row r="18046" spans="11:14" x14ac:dyDescent="0.3">
      <c r="K18046" s="1">
        <v>43191</v>
      </c>
      <c r="M18046" t="e">
        <v>#N/A</v>
      </c>
      <c r="N18046" s="1">
        <v>42826</v>
      </c>
    </row>
    <row r="18047" spans="11:14" x14ac:dyDescent="0.3">
      <c r="K18047" s="1">
        <v>43191</v>
      </c>
      <c r="M18047" t="e">
        <v>#N/A</v>
      </c>
      <c r="N18047" s="1">
        <v>42826</v>
      </c>
    </row>
    <row r="18048" spans="11:14" x14ac:dyDescent="0.3">
      <c r="K18048" s="1">
        <v>43191</v>
      </c>
      <c r="M18048" t="e">
        <v>#N/A</v>
      </c>
      <c r="N18048" s="1">
        <v>42826</v>
      </c>
    </row>
    <row r="18049" spans="11:14" x14ac:dyDescent="0.3">
      <c r="K18049" s="1">
        <v>43191</v>
      </c>
      <c r="M18049" t="e">
        <v>#N/A</v>
      </c>
      <c r="N18049" s="1">
        <v>42826</v>
      </c>
    </row>
    <row r="18050" spans="11:14" x14ac:dyDescent="0.3">
      <c r="K18050" s="1">
        <v>43191</v>
      </c>
      <c r="M18050" t="e">
        <v>#N/A</v>
      </c>
      <c r="N18050" s="1">
        <v>42826</v>
      </c>
    </row>
    <row r="18051" spans="11:14" x14ac:dyDescent="0.3">
      <c r="K18051" s="1">
        <v>43191</v>
      </c>
      <c r="M18051" t="e">
        <v>#N/A</v>
      </c>
      <c r="N18051" s="1">
        <v>42826</v>
      </c>
    </row>
    <row r="18052" spans="11:14" x14ac:dyDescent="0.3">
      <c r="K18052" s="1">
        <v>43191</v>
      </c>
      <c r="M18052" t="e">
        <v>#N/A</v>
      </c>
      <c r="N18052" s="1">
        <v>42826</v>
      </c>
    </row>
    <row r="18053" spans="11:14" x14ac:dyDescent="0.3">
      <c r="K18053" s="1">
        <v>43191</v>
      </c>
      <c r="M18053" t="e">
        <v>#N/A</v>
      </c>
      <c r="N18053" s="1">
        <v>42826</v>
      </c>
    </row>
    <row r="18054" spans="11:14" x14ac:dyDescent="0.3">
      <c r="K18054" s="1">
        <v>43191</v>
      </c>
      <c r="M18054" t="e">
        <v>#N/A</v>
      </c>
      <c r="N18054" s="1">
        <v>42826</v>
      </c>
    </row>
    <row r="18055" spans="11:14" x14ac:dyDescent="0.3">
      <c r="K18055" s="1">
        <v>43191</v>
      </c>
      <c r="M18055" t="e">
        <v>#N/A</v>
      </c>
      <c r="N18055" s="1">
        <v>42826</v>
      </c>
    </row>
    <row r="18056" spans="11:14" x14ac:dyDescent="0.3">
      <c r="K18056" s="1">
        <v>43191</v>
      </c>
      <c r="M18056" t="e">
        <v>#N/A</v>
      </c>
      <c r="N18056" s="1">
        <v>42826</v>
      </c>
    </row>
    <row r="18057" spans="11:14" x14ac:dyDescent="0.3">
      <c r="K18057" s="1">
        <v>43191</v>
      </c>
      <c r="M18057" t="e">
        <v>#N/A</v>
      </c>
      <c r="N18057" s="1">
        <v>42826</v>
      </c>
    </row>
    <row r="18058" spans="11:14" x14ac:dyDescent="0.3">
      <c r="K18058" s="1">
        <v>43191</v>
      </c>
      <c r="M18058" t="e">
        <v>#N/A</v>
      </c>
      <c r="N18058" s="1">
        <v>42826</v>
      </c>
    </row>
    <row r="18059" spans="11:14" x14ac:dyDescent="0.3">
      <c r="K18059" s="1">
        <v>43191</v>
      </c>
      <c r="M18059" t="e">
        <v>#N/A</v>
      </c>
      <c r="N18059" s="1">
        <v>42826</v>
      </c>
    </row>
    <row r="18060" spans="11:14" x14ac:dyDescent="0.3">
      <c r="K18060" s="1">
        <v>43191</v>
      </c>
      <c r="M18060" t="e">
        <v>#N/A</v>
      </c>
      <c r="N18060" s="1">
        <v>42826</v>
      </c>
    </row>
    <row r="18061" spans="11:14" x14ac:dyDescent="0.3">
      <c r="K18061" s="1">
        <v>43191</v>
      </c>
      <c r="M18061" t="e">
        <v>#N/A</v>
      </c>
      <c r="N18061" s="1">
        <v>42826</v>
      </c>
    </row>
    <row r="18062" spans="11:14" x14ac:dyDescent="0.3">
      <c r="K18062" s="1">
        <v>43191</v>
      </c>
      <c r="M18062" t="e">
        <v>#N/A</v>
      </c>
      <c r="N18062" s="1">
        <v>42826</v>
      </c>
    </row>
    <row r="18063" spans="11:14" x14ac:dyDescent="0.3">
      <c r="K18063" s="1">
        <v>43191</v>
      </c>
      <c r="M18063" t="e">
        <v>#N/A</v>
      </c>
      <c r="N18063" s="1">
        <v>42826</v>
      </c>
    </row>
    <row r="18064" spans="11:14" x14ac:dyDescent="0.3">
      <c r="K18064" s="1">
        <v>43191</v>
      </c>
      <c r="M18064" t="e">
        <v>#N/A</v>
      </c>
      <c r="N18064" s="1">
        <v>42826</v>
      </c>
    </row>
    <row r="18065" spans="11:14" x14ac:dyDescent="0.3">
      <c r="K18065" s="1">
        <v>43191</v>
      </c>
      <c r="M18065" t="e">
        <v>#N/A</v>
      </c>
      <c r="N18065" s="1">
        <v>42826</v>
      </c>
    </row>
    <row r="18066" spans="11:14" x14ac:dyDescent="0.3">
      <c r="K18066" s="1">
        <v>43191</v>
      </c>
      <c r="M18066" t="e">
        <v>#N/A</v>
      </c>
      <c r="N18066" s="1">
        <v>42826</v>
      </c>
    </row>
    <row r="18067" spans="11:14" x14ac:dyDescent="0.3">
      <c r="K18067" s="1">
        <v>43191</v>
      </c>
      <c r="M18067" t="e">
        <v>#N/A</v>
      </c>
      <c r="N18067" s="1">
        <v>42826</v>
      </c>
    </row>
    <row r="18068" spans="11:14" x14ac:dyDescent="0.3">
      <c r="K18068" s="1">
        <v>43191</v>
      </c>
      <c r="M18068" t="e">
        <v>#N/A</v>
      </c>
      <c r="N18068" s="1">
        <v>42826</v>
      </c>
    </row>
    <row r="18069" spans="11:14" x14ac:dyDescent="0.3">
      <c r="K18069" s="1">
        <v>43191</v>
      </c>
      <c r="M18069" t="e">
        <v>#N/A</v>
      </c>
      <c r="N18069" s="1">
        <v>42826</v>
      </c>
    </row>
    <row r="18070" spans="11:14" x14ac:dyDescent="0.3">
      <c r="K18070" s="1">
        <v>43191</v>
      </c>
      <c r="M18070" t="e">
        <v>#N/A</v>
      </c>
      <c r="N18070" s="1">
        <v>42826</v>
      </c>
    </row>
    <row r="18071" spans="11:14" x14ac:dyDescent="0.3">
      <c r="K18071" s="1">
        <v>43191</v>
      </c>
      <c r="M18071" t="e">
        <v>#N/A</v>
      </c>
      <c r="N18071" s="1">
        <v>42826</v>
      </c>
    </row>
    <row r="18072" spans="11:14" x14ac:dyDescent="0.3">
      <c r="K18072" s="1">
        <v>43191</v>
      </c>
      <c r="M18072" t="e">
        <v>#N/A</v>
      </c>
      <c r="N18072" s="1">
        <v>42826</v>
      </c>
    </row>
    <row r="18073" spans="11:14" x14ac:dyDescent="0.3">
      <c r="K18073" s="1">
        <v>43191</v>
      </c>
      <c r="M18073" t="e">
        <v>#N/A</v>
      </c>
      <c r="N18073" s="1">
        <v>42826</v>
      </c>
    </row>
    <row r="18074" spans="11:14" x14ac:dyDescent="0.3">
      <c r="K18074" s="1">
        <v>43191</v>
      </c>
      <c r="M18074" t="e">
        <v>#N/A</v>
      </c>
      <c r="N18074" s="1">
        <v>42826</v>
      </c>
    </row>
    <row r="18075" spans="11:14" x14ac:dyDescent="0.3">
      <c r="K18075" s="1">
        <v>43191</v>
      </c>
      <c r="M18075" t="e">
        <v>#N/A</v>
      </c>
      <c r="N18075" s="1">
        <v>42826</v>
      </c>
    </row>
    <row r="18076" spans="11:14" x14ac:dyDescent="0.3">
      <c r="K18076" s="1">
        <v>43191</v>
      </c>
      <c r="M18076" t="e">
        <v>#N/A</v>
      </c>
      <c r="N18076" s="1">
        <v>42826</v>
      </c>
    </row>
    <row r="18077" spans="11:14" x14ac:dyDescent="0.3">
      <c r="K18077" s="1">
        <v>43191</v>
      </c>
      <c r="M18077" t="e">
        <v>#N/A</v>
      </c>
      <c r="N18077" s="1">
        <v>42826</v>
      </c>
    </row>
    <row r="18078" spans="11:14" x14ac:dyDescent="0.3">
      <c r="K18078" s="1">
        <v>43191</v>
      </c>
      <c r="M18078" t="e">
        <v>#N/A</v>
      </c>
      <c r="N18078" s="1">
        <v>42826</v>
      </c>
    </row>
    <row r="18079" spans="11:14" x14ac:dyDescent="0.3">
      <c r="K18079" s="1">
        <v>43191</v>
      </c>
      <c r="M18079" t="e">
        <v>#N/A</v>
      </c>
      <c r="N18079" s="1">
        <v>42826</v>
      </c>
    </row>
    <row r="18080" spans="11:14" x14ac:dyDescent="0.3">
      <c r="K18080" s="1">
        <v>43191</v>
      </c>
      <c r="M18080" t="e">
        <v>#N/A</v>
      </c>
      <c r="N18080" s="1">
        <v>42826</v>
      </c>
    </row>
    <row r="18081" spans="11:14" x14ac:dyDescent="0.3">
      <c r="K18081" s="1">
        <v>43191</v>
      </c>
      <c r="M18081" t="e">
        <v>#N/A</v>
      </c>
      <c r="N18081" s="1">
        <v>42826</v>
      </c>
    </row>
    <row r="18082" spans="11:14" x14ac:dyDescent="0.3">
      <c r="K18082" s="1">
        <v>43191</v>
      </c>
      <c r="M18082" t="e">
        <v>#N/A</v>
      </c>
      <c r="N18082" s="1">
        <v>42826</v>
      </c>
    </row>
    <row r="18083" spans="11:14" x14ac:dyDescent="0.3">
      <c r="K18083" s="1">
        <v>43191</v>
      </c>
      <c r="M18083" t="e">
        <v>#N/A</v>
      </c>
      <c r="N18083" s="1">
        <v>42826</v>
      </c>
    </row>
    <row r="18084" spans="11:14" x14ac:dyDescent="0.3">
      <c r="K18084" s="1">
        <v>43191</v>
      </c>
      <c r="M18084" t="e">
        <v>#N/A</v>
      </c>
      <c r="N18084" s="1">
        <v>42826</v>
      </c>
    </row>
    <row r="18085" spans="11:14" x14ac:dyDescent="0.3">
      <c r="K18085" s="1">
        <v>43191</v>
      </c>
      <c r="M18085" t="e">
        <v>#N/A</v>
      </c>
      <c r="N18085" s="1">
        <v>42826</v>
      </c>
    </row>
    <row r="18086" spans="11:14" x14ac:dyDescent="0.3">
      <c r="K18086" s="1">
        <v>43191</v>
      </c>
      <c r="M18086" t="e">
        <v>#N/A</v>
      </c>
      <c r="N18086" s="1">
        <v>42826</v>
      </c>
    </row>
    <row r="18087" spans="11:14" x14ac:dyDescent="0.3">
      <c r="K18087" s="1">
        <v>43191</v>
      </c>
      <c r="M18087" t="e">
        <v>#N/A</v>
      </c>
      <c r="N18087" s="1">
        <v>42826</v>
      </c>
    </row>
    <row r="18088" spans="11:14" x14ac:dyDescent="0.3">
      <c r="K18088" s="1">
        <v>43191</v>
      </c>
      <c r="M18088" t="e">
        <v>#N/A</v>
      </c>
      <c r="N18088" s="1">
        <v>42826</v>
      </c>
    </row>
    <row r="18089" spans="11:14" x14ac:dyDescent="0.3">
      <c r="K18089" s="1">
        <v>43191</v>
      </c>
      <c r="M18089" t="e">
        <v>#N/A</v>
      </c>
      <c r="N18089" s="1">
        <v>42826</v>
      </c>
    </row>
    <row r="18090" spans="11:14" x14ac:dyDescent="0.3">
      <c r="K18090" s="1">
        <v>43191</v>
      </c>
      <c r="M18090" t="e">
        <v>#N/A</v>
      </c>
      <c r="N18090" s="1">
        <v>42826</v>
      </c>
    </row>
    <row r="18091" spans="11:14" x14ac:dyDescent="0.3">
      <c r="K18091" s="1">
        <v>43191</v>
      </c>
      <c r="M18091" t="e">
        <v>#N/A</v>
      </c>
      <c r="N18091" s="1">
        <v>42826</v>
      </c>
    </row>
    <row r="18092" spans="11:14" x14ac:dyDescent="0.3">
      <c r="K18092" s="1">
        <v>43191</v>
      </c>
      <c r="M18092" t="e">
        <v>#N/A</v>
      </c>
      <c r="N18092" s="1">
        <v>42826</v>
      </c>
    </row>
    <row r="18093" spans="11:14" x14ac:dyDescent="0.3">
      <c r="K18093" s="1">
        <v>43282</v>
      </c>
      <c r="M18093" t="e">
        <v>#N/A</v>
      </c>
      <c r="N18093" s="1">
        <v>42826</v>
      </c>
    </row>
    <row r="18094" spans="11:14" x14ac:dyDescent="0.3">
      <c r="K18094" s="1">
        <v>43282</v>
      </c>
      <c r="M18094" t="e">
        <v>#N/A</v>
      </c>
      <c r="N18094" s="1">
        <v>42826</v>
      </c>
    </row>
    <row r="18095" spans="11:14" x14ac:dyDescent="0.3">
      <c r="K18095" s="1">
        <v>43282</v>
      </c>
      <c r="M18095" t="e">
        <v>#N/A</v>
      </c>
      <c r="N18095" s="1">
        <v>42826</v>
      </c>
    </row>
    <row r="18096" spans="11:14" x14ac:dyDescent="0.3">
      <c r="K18096" s="1">
        <v>43282</v>
      </c>
      <c r="M18096" t="e">
        <v>#N/A</v>
      </c>
      <c r="N18096" s="1">
        <v>42826</v>
      </c>
    </row>
    <row r="18097" spans="11:14" x14ac:dyDescent="0.3">
      <c r="K18097" s="1">
        <v>43282</v>
      </c>
      <c r="M18097" t="e">
        <v>#N/A</v>
      </c>
      <c r="N18097" s="1">
        <v>42826</v>
      </c>
    </row>
    <row r="18098" spans="11:14" x14ac:dyDescent="0.3">
      <c r="K18098" s="1">
        <v>43282</v>
      </c>
      <c r="M18098" t="e">
        <v>#N/A</v>
      </c>
      <c r="N18098" s="1">
        <v>42826</v>
      </c>
    </row>
    <row r="18099" spans="11:14" x14ac:dyDescent="0.3">
      <c r="K18099" s="1">
        <v>43282</v>
      </c>
      <c r="M18099" t="e">
        <v>#N/A</v>
      </c>
      <c r="N18099" s="1">
        <v>42826</v>
      </c>
    </row>
    <row r="18100" spans="11:14" x14ac:dyDescent="0.3">
      <c r="K18100" s="1">
        <v>43282</v>
      </c>
      <c r="M18100" t="e">
        <v>#N/A</v>
      </c>
      <c r="N18100" s="1">
        <v>42826</v>
      </c>
    </row>
    <row r="18101" spans="11:14" x14ac:dyDescent="0.3">
      <c r="K18101" s="1">
        <v>43282</v>
      </c>
      <c r="M18101" t="e">
        <v>#N/A</v>
      </c>
      <c r="N18101" s="1">
        <v>42826</v>
      </c>
    </row>
    <row r="18102" spans="11:14" x14ac:dyDescent="0.3">
      <c r="K18102" s="1">
        <v>43282</v>
      </c>
      <c r="M18102" t="e">
        <v>#N/A</v>
      </c>
      <c r="N18102" s="1">
        <v>42826</v>
      </c>
    </row>
    <row r="18103" spans="11:14" x14ac:dyDescent="0.3">
      <c r="K18103" s="1">
        <v>43282</v>
      </c>
      <c r="M18103" t="e">
        <v>#N/A</v>
      </c>
      <c r="N18103" s="1">
        <v>42826</v>
      </c>
    </row>
    <row r="18104" spans="11:14" x14ac:dyDescent="0.3">
      <c r="K18104" s="1">
        <v>43282</v>
      </c>
      <c r="M18104" t="e">
        <v>#N/A</v>
      </c>
      <c r="N18104" s="1">
        <v>42826</v>
      </c>
    </row>
    <row r="18105" spans="11:14" x14ac:dyDescent="0.3">
      <c r="K18105" s="1">
        <v>43282</v>
      </c>
      <c r="M18105" t="e">
        <v>#N/A</v>
      </c>
      <c r="N18105" s="1">
        <v>42826</v>
      </c>
    </row>
    <row r="18106" spans="11:14" x14ac:dyDescent="0.3">
      <c r="K18106" s="1">
        <v>43282</v>
      </c>
      <c r="M18106" t="e">
        <v>#N/A</v>
      </c>
      <c r="N18106" s="1">
        <v>42826</v>
      </c>
    </row>
    <row r="18107" spans="11:14" x14ac:dyDescent="0.3">
      <c r="K18107" s="1">
        <v>43282</v>
      </c>
      <c r="M18107" t="e">
        <v>#N/A</v>
      </c>
      <c r="N18107" s="1">
        <v>42826</v>
      </c>
    </row>
    <row r="18108" spans="11:14" x14ac:dyDescent="0.3">
      <c r="K18108" s="1">
        <v>43282</v>
      </c>
      <c r="M18108" t="e">
        <v>#N/A</v>
      </c>
      <c r="N18108" s="1">
        <v>42826</v>
      </c>
    </row>
    <row r="18109" spans="11:14" x14ac:dyDescent="0.3">
      <c r="K18109" s="1">
        <v>43282</v>
      </c>
      <c r="M18109" t="e">
        <v>#N/A</v>
      </c>
      <c r="N18109" s="1">
        <v>42826</v>
      </c>
    </row>
    <row r="18110" spans="11:14" x14ac:dyDescent="0.3">
      <c r="K18110" s="1">
        <v>43282</v>
      </c>
      <c r="M18110" t="e">
        <v>#N/A</v>
      </c>
      <c r="N18110" s="1">
        <v>42826</v>
      </c>
    </row>
    <row r="18111" spans="11:14" x14ac:dyDescent="0.3">
      <c r="K18111" s="1">
        <v>43282</v>
      </c>
      <c r="M18111" t="e">
        <v>#N/A</v>
      </c>
      <c r="N18111" s="1">
        <v>42826</v>
      </c>
    </row>
    <row r="18112" spans="11:14" x14ac:dyDescent="0.3">
      <c r="K18112" s="1">
        <v>43282</v>
      </c>
      <c r="M18112" t="e">
        <v>#N/A</v>
      </c>
      <c r="N18112" s="1">
        <v>42826</v>
      </c>
    </row>
    <row r="18113" spans="11:14" x14ac:dyDescent="0.3">
      <c r="K18113" s="1">
        <v>43282</v>
      </c>
      <c r="M18113" t="e">
        <v>#N/A</v>
      </c>
      <c r="N18113" s="1">
        <v>42826</v>
      </c>
    </row>
    <row r="18114" spans="11:14" x14ac:dyDescent="0.3">
      <c r="K18114" s="1">
        <v>43282</v>
      </c>
      <c r="M18114" t="e">
        <v>#N/A</v>
      </c>
      <c r="N18114" s="1">
        <v>42826</v>
      </c>
    </row>
    <row r="18115" spans="11:14" x14ac:dyDescent="0.3">
      <c r="K18115" s="1">
        <v>43282</v>
      </c>
      <c r="M18115" t="e">
        <v>#N/A</v>
      </c>
      <c r="N18115" s="1">
        <v>42826</v>
      </c>
    </row>
    <row r="18116" spans="11:14" x14ac:dyDescent="0.3">
      <c r="K18116" s="1">
        <v>43282</v>
      </c>
      <c r="M18116" t="e">
        <v>#N/A</v>
      </c>
      <c r="N18116" s="1">
        <v>42826</v>
      </c>
    </row>
    <row r="18117" spans="11:14" x14ac:dyDescent="0.3">
      <c r="K18117" s="1">
        <v>43282</v>
      </c>
      <c r="M18117" t="e">
        <v>#N/A</v>
      </c>
      <c r="N18117" s="1">
        <v>42826</v>
      </c>
    </row>
    <row r="18118" spans="11:14" x14ac:dyDescent="0.3">
      <c r="K18118" s="1">
        <v>43282</v>
      </c>
      <c r="M18118" t="e">
        <v>#N/A</v>
      </c>
      <c r="N18118" s="1">
        <v>42826</v>
      </c>
    </row>
    <row r="18119" spans="11:14" x14ac:dyDescent="0.3">
      <c r="K18119" s="1">
        <v>43282</v>
      </c>
      <c r="M18119" t="e">
        <v>#N/A</v>
      </c>
      <c r="N18119" s="1">
        <v>42826</v>
      </c>
    </row>
    <row r="18120" spans="11:14" x14ac:dyDescent="0.3">
      <c r="K18120" s="1">
        <v>43282</v>
      </c>
      <c r="M18120" t="e">
        <v>#N/A</v>
      </c>
      <c r="N18120" s="1">
        <v>42826</v>
      </c>
    </row>
    <row r="18121" spans="11:14" x14ac:dyDescent="0.3">
      <c r="K18121" s="1">
        <v>43282</v>
      </c>
      <c r="M18121" t="e">
        <v>#N/A</v>
      </c>
      <c r="N18121" s="1">
        <v>42826</v>
      </c>
    </row>
    <row r="18122" spans="11:14" x14ac:dyDescent="0.3">
      <c r="K18122" s="1">
        <v>43282</v>
      </c>
      <c r="M18122" t="e">
        <v>#N/A</v>
      </c>
      <c r="N18122" s="1">
        <v>42826</v>
      </c>
    </row>
    <row r="18123" spans="11:14" x14ac:dyDescent="0.3">
      <c r="K18123" s="1">
        <v>43282</v>
      </c>
      <c r="M18123" t="e">
        <v>#N/A</v>
      </c>
      <c r="N18123" s="1">
        <v>42826</v>
      </c>
    </row>
    <row r="18124" spans="11:14" x14ac:dyDescent="0.3">
      <c r="K18124" s="1">
        <v>43282</v>
      </c>
      <c r="M18124" t="e">
        <v>#N/A</v>
      </c>
      <c r="N18124" s="1">
        <v>42826</v>
      </c>
    </row>
    <row r="18125" spans="11:14" x14ac:dyDescent="0.3">
      <c r="K18125" s="1">
        <v>43282</v>
      </c>
      <c r="M18125" t="e">
        <v>#N/A</v>
      </c>
      <c r="N18125" s="1">
        <v>42826</v>
      </c>
    </row>
    <row r="18126" spans="11:14" x14ac:dyDescent="0.3">
      <c r="K18126" s="1">
        <v>43282</v>
      </c>
      <c r="M18126" t="e">
        <v>#N/A</v>
      </c>
      <c r="N18126" s="1">
        <v>42826</v>
      </c>
    </row>
    <row r="18127" spans="11:14" x14ac:dyDescent="0.3">
      <c r="K18127" s="1">
        <v>43282</v>
      </c>
      <c r="M18127" t="e">
        <v>#N/A</v>
      </c>
      <c r="N18127" s="1">
        <v>42826</v>
      </c>
    </row>
    <row r="18128" spans="11:14" x14ac:dyDescent="0.3">
      <c r="K18128" s="1">
        <v>43282</v>
      </c>
      <c r="M18128" t="e">
        <v>#N/A</v>
      </c>
      <c r="N18128" s="1">
        <v>42826</v>
      </c>
    </row>
    <row r="18129" spans="11:14" x14ac:dyDescent="0.3">
      <c r="K18129" s="1">
        <v>43282</v>
      </c>
      <c r="M18129" t="e">
        <v>#N/A</v>
      </c>
      <c r="N18129" s="1">
        <v>42826</v>
      </c>
    </row>
    <row r="18130" spans="11:14" x14ac:dyDescent="0.3">
      <c r="K18130" s="1">
        <v>43282</v>
      </c>
      <c r="M18130" t="e">
        <v>#N/A</v>
      </c>
      <c r="N18130" s="1">
        <v>42826</v>
      </c>
    </row>
    <row r="18131" spans="11:14" x14ac:dyDescent="0.3">
      <c r="K18131" s="1">
        <v>43282</v>
      </c>
      <c r="M18131" t="e">
        <v>#N/A</v>
      </c>
      <c r="N18131" s="1">
        <v>42826</v>
      </c>
    </row>
    <row r="18132" spans="11:14" x14ac:dyDescent="0.3">
      <c r="K18132" s="1">
        <v>43282</v>
      </c>
      <c r="M18132" t="e">
        <v>#N/A</v>
      </c>
      <c r="N18132" s="1">
        <v>42826</v>
      </c>
    </row>
    <row r="18133" spans="11:14" x14ac:dyDescent="0.3">
      <c r="K18133" s="1">
        <v>43282</v>
      </c>
      <c r="M18133" t="e">
        <v>#N/A</v>
      </c>
      <c r="N18133" s="1">
        <v>42826</v>
      </c>
    </row>
    <row r="18134" spans="11:14" x14ac:dyDescent="0.3">
      <c r="K18134" s="1">
        <v>43282</v>
      </c>
      <c r="M18134" t="e">
        <v>#N/A</v>
      </c>
      <c r="N18134" s="1">
        <v>42826</v>
      </c>
    </row>
    <row r="18135" spans="11:14" x14ac:dyDescent="0.3">
      <c r="K18135" s="1">
        <v>43282</v>
      </c>
      <c r="M18135" t="e">
        <v>#N/A</v>
      </c>
      <c r="N18135" s="1">
        <v>42826</v>
      </c>
    </row>
    <row r="18136" spans="11:14" x14ac:dyDescent="0.3">
      <c r="K18136" s="1">
        <v>43282</v>
      </c>
      <c r="M18136" t="e">
        <v>#N/A</v>
      </c>
      <c r="N18136" s="1">
        <v>42826</v>
      </c>
    </row>
    <row r="18137" spans="11:14" x14ac:dyDescent="0.3">
      <c r="K18137" s="1">
        <v>43282</v>
      </c>
      <c r="M18137" t="e">
        <v>#N/A</v>
      </c>
      <c r="N18137" s="1">
        <v>42826</v>
      </c>
    </row>
    <row r="18138" spans="11:14" x14ac:dyDescent="0.3">
      <c r="K18138" s="1">
        <v>43282</v>
      </c>
      <c r="M18138" t="e">
        <v>#N/A</v>
      </c>
      <c r="N18138" s="1">
        <v>42826</v>
      </c>
    </row>
    <row r="18139" spans="11:14" x14ac:dyDescent="0.3">
      <c r="K18139" s="1">
        <v>43282</v>
      </c>
      <c r="M18139" t="e">
        <v>#N/A</v>
      </c>
      <c r="N18139" s="1">
        <v>42826</v>
      </c>
    </row>
    <row r="18140" spans="11:14" x14ac:dyDescent="0.3">
      <c r="K18140" s="1">
        <v>43282</v>
      </c>
      <c r="M18140" t="e">
        <v>#N/A</v>
      </c>
      <c r="N18140" s="1">
        <v>42826</v>
      </c>
    </row>
    <row r="18141" spans="11:14" x14ac:dyDescent="0.3">
      <c r="K18141" s="1">
        <v>43282</v>
      </c>
      <c r="M18141" t="e">
        <v>#N/A</v>
      </c>
      <c r="N18141" s="1">
        <v>42826</v>
      </c>
    </row>
    <row r="18142" spans="11:14" x14ac:dyDescent="0.3">
      <c r="K18142" s="1">
        <v>43282</v>
      </c>
      <c r="M18142" t="e">
        <v>#N/A</v>
      </c>
      <c r="N18142" s="1">
        <v>42826</v>
      </c>
    </row>
    <row r="18143" spans="11:14" x14ac:dyDescent="0.3">
      <c r="K18143" s="1">
        <v>43282</v>
      </c>
      <c r="M18143" t="e">
        <v>#N/A</v>
      </c>
      <c r="N18143" s="1">
        <v>42826</v>
      </c>
    </row>
    <row r="18144" spans="11:14" x14ac:dyDescent="0.3">
      <c r="K18144" s="1">
        <v>43282</v>
      </c>
      <c r="M18144" t="e">
        <v>#N/A</v>
      </c>
      <c r="N18144" s="1">
        <v>42826</v>
      </c>
    </row>
    <row r="18145" spans="11:14" x14ac:dyDescent="0.3">
      <c r="K18145" s="1">
        <v>43282</v>
      </c>
      <c r="M18145" t="e">
        <v>#N/A</v>
      </c>
      <c r="N18145" s="1">
        <v>42826</v>
      </c>
    </row>
    <row r="18146" spans="11:14" x14ac:dyDescent="0.3">
      <c r="K18146" s="1">
        <v>43282</v>
      </c>
      <c r="M18146" t="e">
        <v>#N/A</v>
      </c>
      <c r="N18146" s="1">
        <v>42826</v>
      </c>
    </row>
    <row r="18147" spans="11:14" x14ac:dyDescent="0.3">
      <c r="K18147" s="1">
        <v>43282</v>
      </c>
      <c r="M18147" t="e">
        <v>#N/A</v>
      </c>
      <c r="N18147" s="1">
        <v>42826</v>
      </c>
    </row>
    <row r="18148" spans="11:14" x14ac:dyDescent="0.3">
      <c r="K18148" s="1">
        <v>43282</v>
      </c>
      <c r="M18148" t="e">
        <v>#N/A</v>
      </c>
      <c r="N18148" s="1">
        <v>42826</v>
      </c>
    </row>
    <row r="18149" spans="11:14" x14ac:dyDescent="0.3">
      <c r="K18149" s="1">
        <v>43282</v>
      </c>
      <c r="M18149" t="e">
        <v>#N/A</v>
      </c>
      <c r="N18149" s="1">
        <v>42826</v>
      </c>
    </row>
    <row r="18150" spans="11:14" x14ac:dyDescent="0.3">
      <c r="K18150" s="1">
        <v>43282</v>
      </c>
      <c r="M18150" t="e">
        <v>#N/A</v>
      </c>
      <c r="N18150" s="1">
        <v>42826</v>
      </c>
    </row>
    <row r="18151" spans="11:14" x14ac:dyDescent="0.3">
      <c r="K18151" s="1">
        <v>43282</v>
      </c>
      <c r="M18151" t="e">
        <v>#N/A</v>
      </c>
      <c r="N18151" s="1">
        <v>42826</v>
      </c>
    </row>
    <row r="18152" spans="11:14" x14ac:dyDescent="0.3">
      <c r="K18152" s="1">
        <v>43282</v>
      </c>
      <c r="M18152" t="e">
        <v>#N/A</v>
      </c>
      <c r="N18152" s="1">
        <v>42826</v>
      </c>
    </row>
    <row r="18153" spans="11:14" x14ac:dyDescent="0.3">
      <c r="K18153" s="1">
        <v>43282</v>
      </c>
      <c r="M18153" t="e">
        <v>#N/A</v>
      </c>
      <c r="N18153" s="1">
        <v>42826</v>
      </c>
    </row>
    <row r="18154" spans="11:14" x14ac:dyDescent="0.3">
      <c r="K18154" s="1">
        <v>43282</v>
      </c>
      <c r="M18154" t="e">
        <v>#N/A</v>
      </c>
      <c r="N18154" s="1">
        <v>42826</v>
      </c>
    </row>
    <row r="18155" spans="11:14" x14ac:dyDescent="0.3">
      <c r="K18155" s="1">
        <v>43282</v>
      </c>
      <c r="M18155" t="e">
        <v>#N/A</v>
      </c>
      <c r="N18155" s="1">
        <v>42826</v>
      </c>
    </row>
    <row r="18156" spans="11:14" x14ac:dyDescent="0.3">
      <c r="K18156" s="1">
        <v>43282</v>
      </c>
      <c r="M18156" t="e">
        <v>#N/A</v>
      </c>
      <c r="N18156" s="1">
        <v>42826</v>
      </c>
    </row>
    <row r="18157" spans="11:14" x14ac:dyDescent="0.3">
      <c r="K18157" s="1">
        <v>43282</v>
      </c>
      <c r="M18157" t="e">
        <v>#N/A</v>
      </c>
      <c r="N18157" s="1">
        <v>42826</v>
      </c>
    </row>
    <row r="18158" spans="11:14" x14ac:dyDescent="0.3">
      <c r="K18158" s="1">
        <v>43282</v>
      </c>
      <c r="M18158" t="e">
        <v>#N/A</v>
      </c>
      <c r="N18158" s="1">
        <v>42826</v>
      </c>
    </row>
    <row r="18159" spans="11:14" x14ac:dyDescent="0.3">
      <c r="K18159" s="1">
        <v>43282</v>
      </c>
      <c r="M18159" t="e">
        <v>#N/A</v>
      </c>
      <c r="N18159" s="1">
        <v>42826</v>
      </c>
    </row>
    <row r="18160" spans="11:14" x14ac:dyDescent="0.3">
      <c r="K18160" s="1">
        <v>43282</v>
      </c>
      <c r="M18160" t="e">
        <v>#N/A</v>
      </c>
      <c r="N18160" s="1">
        <v>42826</v>
      </c>
    </row>
    <row r="18161" spans="11:14" x14ac:dyDescent="0.3">
      <c r="K18161" s="1">
        <v>43282</v>
      </c>
      <c r="M18161" t="e">
        <v>#N/A</v>
      </c>
      <c r="N18161" s="1">
        <v>42826</v>
      </c>
    </row>
    <row r="18162" spans="11:14" x14ac:dyDescent="0.3">
      <c r="K18162" s="1">
        <v>43282</v>
      </c>
      <c r="M18162" t="e">
        <v>#N/A</v>
      </c>
      <c r="N18162" s="1">
        <v>42826</v>
      </c>
    </row>
    <row r="18163" spans="11:14" x14ac:dyDescent="0.3">
      <c r="K18163" s="1">
        <v>43282</v>
      </c>
      <c r="M18163" t="e">
        <v>#N/A</v>
      </c>
      <c r="N18163" s="1">
        <v>42826</v>
      </c>
    </row>
    <row r="18164" spans="11:14" x14ac:dyDescent="0.3">
      <c r="K18164" s="1">
        <v>43282</v>
      </c>
      <c r="M18164" t="e">
        <v>#N/A</v>
      </c>
      <c r="N18164" s="1">
        <v>42826</v>
      </c>
    </row>
    <row r="18165" spans="11:14" x14ac:dyDescent="0.3">
      <c r="K18165" s="1">
        <v>43282</v>
      </c>
      <c r="M18165" t="e">
        <v>#N/A</v>
      </c>
      <c r="N18165" s="1">
        <v>42826</v>
      </c>
    </row>
    <row r="18166" spans="11:14" x14ac:dyDescent="0.3">
      <c r="K18166" s="1">
        <v>43282</v>
      </c>
      <c r="M18166" t="e">
        <v>#N/A</v>
      </c>
      <c r="N18166" s="1">
        <v>42826</v>
      </c>
    </row>
    <row r="18167" spans="11:14" x14ac:dyDescent="0.3">
      <c r="K18167" s="1">
        <v>43282</v>
      </c>
      <c r="M18167" t="e">
        <v>#N/A</v>
      </c>
      <c r="N18167" s="1">
        <v>42826</v>
      </c>
    </row>
    <row r="18168" spans="11:14" x14ac:dyDescent="0.3">
      <c r="K18168" s="1">
        <v>43282</v>
      </c>
      <c r="M18168" t="e">
        <v>#N/A</v>
      </c>
      <c r="N18168" s="1">
        <v>42826</v>
      </c>
    </row>
    <row r="18169" spans="11:14" x14ac:dyDescent="0.3">
      <c r="K18169" s="1">
        <v>43282</v>
      </c>
      <c r="M18169" t="e">
        <v>#N/A</v>
      </c>
      <c r="N18169" s="1">
        <v>42826</v>
      </c>
    </row>
    <row r="18170" spans="11:14" x14ac:dyDescent="0.3">
      <c r="K18170" s="1">
        <v>43282</v>
      </c>
      <c r="M18170" t="e">
        <v>#N/A</v>
      </c>
      <c r="N18170" s="1">
        <v>42826</v>
      </c>
    </row>
    <row r="18171" spans="11:14" x14ac:dyDescent="0.3">
      <c r="K18171" s="1">
        <v>43282</v>
      </c>
      <c r="M18171" t="e">
        <v>#N/A</v>
      </c>
      <c r="N18171" s="1">
        <v>42826</v>
      </c>
    </row>
    <row r="18172" spans="11:14" x14ac:dyDescent="0.3">
      <c r="K18172" s="1">
        <v>43282</v>
      </c>
      <c r="M18172" t="e">
        <v>#N/A</v>
      </c>
      <c r="N18172" s="1">
        <v>42826</v>
      </c>
    </row>
    <row r="18173" spans="11:14" x14ac:dyDescent="0.3">
      <c r="K18173" s="1">
        <v>43282</v>
      </c>
      <c r="M18173" t="e">
        <v>#N/A</v>
      </c>
      <c r="N18173" s="1">
        <v>42826</v>
      </c>
    </row>
    <row r="18174" spans="11:14" x14ac:dyDescent="0.3">
      <c r="K18174" s="1">
        <v>43282</v>
      </c>
      <c r="M18174" t="e">
        <v>#N/A</v>
      </c>
      <c r="N18174" s="1">
        <v>42826</v>
      </c>
    </row>
    <row r="18175" spans="11:14" x14ac:dyDescent="0.3">
      <c r="K18175" s="1">
        <v>43282</v>
      </c>
      <c r="M18175" t="e">
        <v>#N/A</v>
      </c>
      <c r="N18175" s="1">
        <v>42826</v>
      </c>
    </row>
    <row r="18176" spans="11:14" x14ac:dyDescent="0.3">
      <c r="K18176" s="1">
        <v>43282</v>
      </c>
      <c r="M18176" t="e">
        <v>#N/A</v>
      </c>
      <c r="N18176" s="1">
        <v>42826</v>
      </c>
    </row>
    <row r="18177" spans="11:14" x14ac:dyDescent="0.3">
      <c r="K18177" s="1">
        <v>43282</v>
      </c>
      <c r="M18177" t="e">
        <v>#N/A</v>
      </c>
      <c r="N18177" s="1">
        <v>42826</v>
      </c>
    </row>
    <row r="18178" spans="11:14" x14ac:dyDescent="0.3">
      <c r="K18178" s="1">
        <v>43282</v>
      </c>
      <c r="M18178" t="e">
        <v>#N/A</v>
      </c>
      <c r="N18178" s="1">
        <v>42826</v>
      </c>
    </row>
    <row r="18179" spans="11:14" x14ac:dyDescent="0.3">
      <c r="K18179" s="1">
        <v>43282</v>
      </c>
      <c r="M18179" t="e">
        <v>#N/A</v>
      </c>
      <c r="N18179" s="1">
        <v>42826</v>
      </c>
    </row>
    <row r="18180" spans="11:14" x14ac:dyDescent="0.3">
      <c r="K18180" s="1">
        <v>43282</v>
      </c>
      <c r="M18180" t="e">
        <v>#N/A</v>
      </c>
      <c r="N18180" s="1">
        <v>42826</v>
      </c>
    </row>
    <row r="18181" spans="11:14" x14ac:dyDescent="0.3">
      <c r="K18181" s="1">
        <v>43282</v>
      </c>
      <c r="M18181" t="e">
        <v>#N/A</v>
      </c>
      <c r="N18181" s="1">
        <v>42826</v>
      </c>
    </row>
    <row r="18182" spans="11:14" x14ac:dyDescent="0.3">
      <c r="K18182" s="1">
        <v>43282</v>
      </c>
      <c r="M18182" t="e">
        <v>#N/A</v>
      </c>
      <c r="N18182" s="1">
        <v>42826</v>
      </c>
    </row>
    <row r="18183" spans="11:14" x14ac:dyDescent="0.3">
      <c r="K18183" s="1">
        <v>43282</v>
      </c>
      <c r="M18183" t="e">
        <v>#N/A</v>
      </c>
      <c r="N18183" s="1">
        <v>42826</v>
      </c>
    </row>
    <row r="18184" spans="11:14" x14ac:dyDescent="0.3">
      <c r="K18184" s="1">
        <v>43282</v>
      </c>
      <c r="M18184" t="e">
        <v>#N/A</v>
      </c>
      <c r="N18184" s="1">
        <v>42826</v>
      </c>
    </row>
    <row r="18185" spans="11:14" x14ac:dyDescent="0.3">
      <c r="K18185" s="1">
        <v>43282</v>
      </c>
      <c r="M18185" t="e">
        <v>#N/A</v>
      </c>
      <c r="N18185" s="1">
        <v>42826</v>
      </c>
    </row>
    <row r="18186" spans="11:14" x14ac:dyDescent="0.3">
      <c r="K18186" s="1">
        <v>43282</v>
      </c>
      <c r="M18186" t="e">
        <v>#N/A</v>
      </c>
      <c r="N18186" s="1">
        <v>42826</v>
      </c>
    </row>
    <row r="18187" spans="11:14" x14ac:dyDescent="0.3">
      <c r="K18187" s="1">
        <v>43282</v>
      </c>
      <c r="M18187" t="e">
        <v>#N/A</v>
      </c>
      <c r="N18187" s="1">
        <v>42826</v>
      </c>
    </row>
    <row r="18188" spans="11:14" x14ac:dyDescent="0.3">
      <c r="K18188" s="1">
        <v>43282</v>
      </c>
      <c r="M18188" t="e">
        <v>#N/A</v>
      </c>
      <c r="N18188" s="1">
        <v>42826</v>
      </c>
    </row>
    <row r="18189" spans="11:14" x14ac:dyDescent="0.3">
      <c r="K18189" s="1">
        <v>43282</v>
      </c>
      <c r="M18189" t="e">
        <v>#N/A</v>
      </c>
      <c r="N18189" s="1">
        <v>42826</v>
      </c>
    </row>
    <row r="18190" spans="11:14" x14ac:dyDescent="0.3">
      <c r="K18190" s="1">
        <v>43282</v>
      </c>
      <c r="M18190" t="e">
        <v>#N/A</v>
      </c>
      <c r="N18190" s="1">
        <v>42826</v>
      </c>
    </row>
    <row r="18191" spans="11:14" x14ac:dyDescent="0.3">
      <c r="K18191" s="1">
        <v>43282</v>
      </c>
      <c r="M18191" t="e">
        <v>#N/A</v>
      </c>
      <c r="N18191" s="1">
        <v>42826</v>
      </c>
    </row>
    <row r="18192" spans="11:14" x14ac:dyDescent="0.3">
      <c r="K18192" s="1">
        <v>43282</v>
      </c>
      <c r="M18192" t="e">
        <v>#N/A</v>
      </c>
      <c r="N18192" s="1">
        <v>42826</v>
      </c>
    </row>
    <row r="18193" spans="11:14" x14ac:dyDescent="0.3">
      <c r="K18193" s="1">
        <v>43282</v>
      </c>
      <c r="M18193" t="e">
        <v>#N/A</v>
      </c>
      <c r="N18193" s="1">
        <v>42826</v>
      </c>
    </row>
    <row r="18194" spans="11:14" x14ac:dyDescent="0.3">
      <c r="K18194" s="1">
        <v>43282</v>
      </c>
      <c r="M18194" t="e">
        <v>#N/A</v>
      </c>
      <c r="N18194" s="1">
        <v>42826</v>
      </c>
    </row>
    <row r="18195" spans="11:14" x14ac:dyDescent="0.3">
      <c r="K18195" s="1">
        <v>43282</v>
      </c>
      <c r="M18195" t="e">
        <v>#N/A</v>
      </c>
      <c r="N18195" s="1">
        <v>42826</v>
      </c>
    </row>
    <row r="18196" spans="11:14" x14ac:dyDescent="0.3">
      <c r="K18196" s="1">
        <v>43282</v>
      </c>
      <c r="M18196" t="e">
        <v>#N/A</v>
      </c>
      <c r="N18196" s="1">
        <v>42826</v>
      </c>
    </row>
    <row r="18197" spans="11:14" x14ac:dyDescent="0.3">
      <c r="K18197" s="1">
        <v>43282</v>
      </c>
      <c r="M18197" t="e">
        <v>#N/A</v>
      </c>
      <c r="N18197" s="1">
        <v>42826</v>
      </c>
    </row>
    <row r="18198" spans="11:14" x14ac:dyDescent="0.3">
      <c r="K18198" s="1">
        <v>43282</v>
      </c>
      <c r="M18198" t="e">
        <v>#N/A</v>
      </c>
      <c r="N18198" s="1">
        <v>42826</v>
      </c>
    </row>
    <row r="18199" spans="11:14" x14ac:dyDescent="0.3">
      <c r="K18199" s="1">
        <v>43282</v>
      </c>
      <c r="M18199" t="e">
        <v>#N/A</v>
      </c>
      <c r="N18199" s="1">
        <v>42826</v>
      </c>
    </row>
    <row r="18200" spans="11:14" x14ac:dyDescent="0.3">
      <c r="K18200" s="1">
        <v>43282</v>
      </c>
      <c r="M18200" t="e">
        <v>#N/A</v>
      </c>
      <c r="N18200" s="1">
        <v>42826</v>
      </c>
    </row>
    <row r="18201" spans="11:14" x14ac:dyDescent="0.3">
      <c r="K18201" s="1">
        <v>43282</v>
      </c>
      <c r="M18201" t="e">
        <v>#N/A</v>
      </c>
      <c r="N18201" s="1">
        <v>42826</v>
      </c>
    </row>
    <row r="18202" spans="11:14" x14ac:dyDescent="0.3">
      <c r="K18202" s="1">
        <v>43282</v>
      </c>
      <c r="M18202" t="e">
        <v>#N/A</v>
      </c>
      <c r="N18202" s="1">
        <v>42826</v>
      </c>
    </row>
    <row r="18203" spans="11:14" x14ac:dyDescent="0.3">
      <c r="K18203" s="1">
        <v>43282</v>
      </c>
      <c r="M18203" t="e">
        <v>#N/A</v>
      </c>
      <c r="N18203" s="1">
        <v>42826</v>
      </c>
    </row>
    <row r="18204" spans="11:14" x14ac:dyDescent="0.3">
      <c r="K18204" s="1">
        <v>43282</v>
      </c>
      <c r="M18204" t="e">
        <v>#N/A</v>
      </c>
      <c r="N18204" s="1">
        <v>42826</v>
      </c>
    </row>
    <row r="18205" spans="11:14" x14ac:dyDescent="0.3">
      <c r="K18205" s="1">
        <v>43282</v>
      </c>
      <c r="M18205" t="e">
        <v>#N/A</v>
      </c>
      <c r="N18205" s="1">
        <v>42826</v>
      </c>
    </row>
    <row r="18206" spans="11:14" x14ac:dyDescent="0.3">
      <c r="K18206" s="1">
        <v>43282</v>
      </c>
      <c r="M18206" t="e">
        <v>#N/A</v>
      </c>
      <c r="N18206" s="1">
        <v>42826</v>
      </c>
    </row>
    <row r="18207" spans="11:14" x14ac:dyDescent="0.3">
      <c r="K18207" s="1">
        <v>43282</v>
      </c>
      <c r="M18207" t="e">
        <v>#N/A</v>
      </c>
      <c r="N18207" s="1">
        <v>42826</v>
      </c>
    </row>
    <row r="18208" spans="11:14" x14ac:dyDescent="0.3">
      <c r="K18208" s="1">
        <v>43282</v>
      </c>
      <c r="M18208" t="e">
        <v>#N/A</v>
      </c>
      <c r="N18208" s="1">
        <v>42826</v>
      </c>
    </row>
    <row r="18209" spans="11:14" x14ac:dyDescent="0.3">
      <c r="K18209" s="1">
        <v>43282</v>
      </c>
      <c r="M18209" t="e">
        <v>#N/A</v>
      </c>
      <c r="N18209" s="1">
        <v>42826</v>
      </c>
    </row>
    <row r="18210" spans="11:14" x14ac:dyDescent="0.3">
      <c r="K18210" s="1">
        <v>43282</v>
      </c>
      <c r="M18210" t="e">
        <v>#N/A</v>
      </c>
      <c r="N18210" s="1">
        <v>42826</v>
      </c>
    </row>
    <row r="18211" spans="11:14" x14ac:dyDescent="0.3">
      <c r="K18211" s="1">
        <v>43282</v>
      </c>
      <c r="M18211" t="e">
        <v>#N/A</v>
      </c>
      <c r="N18211" s="1">
        <v>42826</v>
      </c>
    </row>
    <row r="18212" spans="11:14" x14ac:dyDescent="0.3">
      <c r="K18212" s="1">
        <v>43282</v>
      </c>
      <c r="M18212" t="e">
        <v>#N/A</v>
      </c>
      <c r="N18212" s="1">
        <v>42826</v>
      </c>
    </row>
    <row r="18213" spans="11:14" x14ac:dyDescent="0.3">
      <c r="K18213" s="1">
        <v>43282</v>
      </c>
      <c r="M18213" t="e">
        <v>#N/A</v>
      </c>
      <c r="N18213" s="1">
        <v>42826</v>
      </c>
    </row>
    <row r="18214" spans="11:14" x14ac:dyDescent="0.3">
      <c r="K18214" s="1">
        <v>43282</v>
      </c>
      <c r="M18214" t="e">
        <v>#N/A</v>
      </c>
      <c r="N18214" s="1">
        <v>42826</v>
      </c>
    </row>
    <row r="18215" spans="11:14" x14ac:dyDescent="0.3">
      <c r="K18215" s="1">
        <v>43282</v>
      </c>
      <c r="M18215" t="e">
        <v>#N/A</v>
      </c>
      <c r="N18215" s="1">
        <v>42826</v>
      </c>
    </row>
    <row r="18216" spans="11:14" x14ac:dyDescent="0.3">
      <c r="K18216" s="1">
        <v>43282</v>
      </c>
      <c r="M18216" t="e">
        <v>#N/A</v>
      </c>
      <c r="N18216" s="1">
        <v>42826</v>
      </c>
    </row>
    <row r="18217" spans="11:14" x14ac:dyDescent="0.3">
      <c r="K18217" s="1">
        <v>43282</v>
      </c>
      <c r="M18217" t="e">
        <v>#N/A</v>
      </c>
      <c r="N18217" s="1">
        <v>42826</v>
      </c>
    </row>
    <row r="18218" spans="11:14" x14ac:dyDescent="0.3">
      <c r="K18218" s="1">
        <v>43282</v>
      </c>
      <c r="M18218" t="e">
        <v>#N/A</v>
      </c>
      <c r="N18218" s="1">
        <v>42826</v>
      </c>
    </row>
    <row r="18219" spans="11:14" x14ac:dyDescent="0.3">
      <c r="K18219" s="1">
        <v>43282</v>
      </c>
      <c r="M18219" t="e">
        <v>#N/A</v>
      </c>
      <c r="N18219" s="1">
        <v>42826</v>
      </c>
    </row>
    <row r="18220" spans="11:14" x14ac:dyDescent="0.3">
      <c r="K18220" s="1">
        <v>43282</v>
      </c>
      <c r="M18220" t="e">
        <v>#N/A</v>
      </c>
      <c r="N18220" s="1">
        <v>42826</v>
      </c>
    </row>
    <row r="18221" spans="11:14" x14ac:dyDescent="0.3">
      <c r="K18221" s="1">
        <v>43282</v>
      </c>
      <c r="M18221" t="e">
        <v>#N/A</v>
      </c>
      <c r="N18221" s="1">
        <v>42826</v>
      </c>
    </row>
    <row r="18222" spans="11:14" x14ac:dyDescent="0.3">
      <c r="K18222" s="1">
        <v>43282</v>
      </c>
      <c r="M18222" t="e">
        <v>#N/A</v>
      </c>
      <c r="N18222" s="1">
        <v>42917</v>
      </c>
    </row>
    <row r="18223" spans="11:14" x14ac:dyDescent="0.3">
      <c r="K18223" s="1">
        <v>43282</v>
      </c>
      <c r="M18223" t="e">
        <v>#N/A</v>
      </c>
      <c r="N18223" s="1">
        <v>42917</v>
      </c>
    </row>
    <row r="18224" spans="11:14" x14ac:dyDescent="0.3">
      <c r="K18224" s="1">
        <v>43282</v>
      </c>
      <c r="M18224" t="e">
        <v>#N/A</v>
      </c>
      <c r="N18224" s="1">
        <v>42917</v>
      </c>
    </row>
    <row r="18225" spans="11:14" x14ac:dyDescent="0.3">
      <c r="K18225" s="1">
        <v>43282</v>
      </c>
      <c r="M18225" t="e">
        <v>#N/A</v>
      </c>
      <c r="N18225" s="1">
        <v>42917</v>
      </c>
    </row>
    <row r="18226" spans="11:14" x14ac:dyDescent="0.3">
      <c r="K18226" s="1">
        <v>43282</v>
      </c>
      <c r="M18226" t="e">
        <v>#N/A</v>
      </c>
      <c r="N18226" s="1">
        <v>42917</v>
      </c>
    </row>
    <row r="18227" spans="11:14" x14ac:dyDescent="0.3">
      <c r="K18227" s="1">
        <v>43282</v>
      </c>
      <c r="M18227" t="e">
        <v>#N/A</v>
      </c>
      <c r="N18227" s="1">
        <v>42917</v>
      </c>
    </row>
    <row r="18228" spans="11:14" x14ac:dyDescent="0.3">
      <c r="K18228" s="1">
        <v>43282</v>
      </c>
      <c r="M18228" t="e">
        <v>#N/A</v>
      </c>
      <c r="N18228" s="1">
        <v>42917</v>
      </c>
    </row>
    <row r="18229" spans="11:14" x14ac:dyDescent="0.3">
      <c r="K18229" s="1">
        <v>43282</v>
      </c>
      <c r="M18229" t="e">
        <v>#N/A</v>
      </c>
      <c r="N18229" s="1">
        <v>42917</v>
      </c>
    </row>
    <row r="18230" spans="11:14" x14ac:dyDescent="0.3">
      <c r="K18230" s="1">
        <v>43282</v>
      </c>
      <c r="M18230" t="e">
        <v>#N/A</v>
      </c>
      <c r="N18230" s="1">
        <v>42917</v>
      </c>
    </row>
    <row r="18231" spans="11:14" x14ac:dyDescent="0.3">
      <c r="K18231" s="1">
        <v>43282</v>
      </c>
      <c r="M18231" t="e">
        <v>#N/A</v>
      </c>
      <c r="N18231" s="1">
        <v>42917</v>
      </c>
    </row>
    <row r="18232" spans="11:14" x14ac:dyDescent="0.3">
      <c r="K18232" s="1">
        <v>43282</v>
      </c>
      <c r="M18232" t="e">
        <v>#N/A</v>
      </c>
      <c r="N18232" s="1">
        <v>42917</v>
      </c>
    </row>
    <row r="18233" spans="11:14" x14ac:dyDescent="0.3">
      <c r="K18233" s="1">
        <v>43282</v>
      </c>
      <c r="M18233" t="e">
        <v>#N/A</v>
      </c>
      <c r="N18233" s="1">
        <v>42917</v>
      </c>
    </row>
    <row r="18234" spans="11:14" x14ac:dyDescent="0.3">
      <c r="K18234" s="1">
        <v>43282</v>
      </c>
      <c r="M18234" t="e">
        <v>#N/A</v>
      </c>
      <c r="N18234" s="1">
        <v>42917</v>
      </c>
    </row>
    <row r="18235" spans="11:14" x14ac:dyDescent="0.3">
      <c r="K18235" s="1">
        <v>43282</v>
      </c>
      <c r="M18235" t="e">
        <v>#N/A</v>
      </c>
      <c r="N18235" s="1">
        <v>42917</v>
      </c>
    </row>
    <row r="18236" spans="11:14" x14ac:dyDescent="0.3">
      <c r="K18236" s="1">
        <v>43282</v>
      </c>
      <c r="M18236" t="e">
        <v>#N/A</v>
      </c>
      <c r="N18236" s="1">
        <v>42917</v>
      </c>
    </row>
    <row r="18237" spans="11:14" x14ac:dyDescent="0.3">
      <c r="K18237" s="1">
        <v>43282</v>
      </c>
      <c r="M18237" t="e">
        <v>#N/A</v>
      </c>
      <c r="N18237" s="1">
        <v>42917</v>
      </c>
    </row>
    <row r="18238" spans="11:14" x14ac:dyDescent="0.3">
      <c r="K18238" s="1">
        <v>43282</v>
      </c>
      <c r="M18238" t="e">
        <v>#N/A</v>
      </c>
      <c r="N18238" s="1">
        <v>42917</v>
      </c>
    </row>
    <row r="18239" spans="11:14" x14ac:dyDescent="0.3">
      <c r="K18239" s="1">
        <v>43282</v>
      </c>
      <c r="M18239" t="e">
        <v>#N/A</v>
      </c>
      <c r="N18239" s="1">
        <v>42917</v>
      </c>
    </row>
    <row r="18240" spans="11:14" x14ac:dyDescent="0.3">
      <c r="K18240" s="1">
        <v>43282</v>
      </c>
      <c r="M18240" t="e">
        <v>#N/A</v>
      </c>
      <c r="N18240" s="1">
        <v>42917</v>
      </c>
    </row>
    <row r="18241" spans="11:14" x14ac:dyDescent="0.3">
      <c r="K18241" s="1">
        <v>43282</v>
      </c>
      <c r="M18241" t="e">
        <v>#N/A</v>
      </c>
      <c r="N18241" s="1">
        <v>42917</v>
      </c>
    </row>
    <row r="18242" spans="11:14" x14ac:dyDescent="0.3">
      <c r="K18242" s="1">
        <v>43282</v>
      </c>
      <c r="M18242" t="e">
        <v>#N/A</v>
      </c>
      <c r="N18242" s="1">
        <v>42917</v>
      </c>
    </row>
    <row r="18243" spans="11:14" x14ac:dyDescent="0.3">
      <c r="K18243" s="1">
        <v>43282</v>
      </c>
      <c r="M18243" t="e">
        <v>#N/A</v>
      </c>
      <c r="N18243" s="1">
        <v>42917</v>
      </c>
    </row>
    <row r="18244" spans="11:14" x14ac:dyDescent="0.3">
      <c r="K18244" s="1">
        <v>43282</v>
      </c>
      <c r="M18244" t="e">
        <v>#N/A</v>
      </c>
      <c r="N18244" s="1">
        <v>42917</v>
      </c>
    </row>
    <row r="18245" spans="11:14" x14ac:dyDescent="0.3">
      <c r="K18245" s="1">
        <v>43282</v>
      </c>
      <c r="M18245" t="e">
        <v>#N/A</v>
      </c>
      <c r="N18245" s="1">
        <v>42917</v>
      </c>
    </row>
    <row r="18246" spans="11:14" x14ac:dyDescent="0.3">
      <c r="K18246" s="1">
        <v>43282</v>
      </c>
      <c r="M18246" t="e">
        <v>#N/A</v>
      </c>
      <c r="N18246" s="1">
        <v>42917</v>
      </c>
    </row>
    <row r="18247" spans="11:14" x14ac:dyDescent="0.3">
      <c r="K18247" s="1">
        <v>43282</v>
      </c>
      <c r="M18247" t="e">
        <v>#N/A</v>
      </c>
      <c r="N18247" s="1">
        <v>42917</v>
      </c>
    </row>
    <row r="18248" spans="11:14" x14ac:dyDescent="0.3">
      <c r="K18248" s="1">
        <v>43282</v>
      </c>
      <c r="M18248" t="e">
        <v>#N/A</v>
      </c>
      <c r="N18248" s="1">
        <v>42917</v>
      </c>
    </row>
    <row r="18249" spans="11:14" x14ac:dyDescent="0.3">
      <c r="K18249" s="1">
        <v>43282</v>
      </c>
      <c r="M18249" t="e">
        <v>#N/A</v>
      </c>
      <c r="N18249" s="1">
        <v>42917</v>
      </c>
    </row>
    <row r="18250" spans="11:14" x14ac:dyDescent="0.3">
      <c r="K18250" s="1">
        <v>43282</v>
      </c>
      <c r="M18250" t="e">
        <v>#N/A</v>
      </c>
      <c r="N18250" s="1">
        <v>42917</v>
      </c>
    </row>
    <row r="18251" spans="11:14" x14ac:dyDescent="0.3">
      <c r="K18251" s="1">
        <v>43282</v>
      </c>
      <c r="M18251" t="e">
        <v>#N/A</v>
      </c>
      <c r="N18251" s="1">
        <v>42917</v>
      </c>
    </row>
    <row r="18252" spans="11:14" x14ac:dyDescent="0.3">
      <c r="K18252" s="1">
        <v>43282</v>
      </c>
      <c r="M18252" t="e">
        <v>#N/A</v>
      </c>
      <c r="N18252" s="1">
        <v>42917</v>
      </c>
    </row>
    <row r="18253" spans="11:14" x14ac:dyDescent="0.3">
      <c r="K18253" s="1">
        <v>43282</v>
      </c>
      <c r="M18253" t="e">
        <v>#N/A</v>
      </c>
      <c r="N18253" s="1">
        <v>42917</v>
      </c>
    </row>
    <row r="18254" spans="11:14" x14ac:dyDescent="0.3">
      <c r="K18254" s="1">
        <v>43282</v>
      </c>
      <c r="M18254" t="e">
        <v>#N/A</v>
      </c>
      <c r="N18254" s="1">
        <v>42917</v>
      </c>
    </row>
    <row r="18255" spans="11:14" x14ac:dyDescent="0.3">
      <c r="K18255" s="1">
        <v>43282</v>
      </c>
      <c r="M18255" t="e">
        <v>#N/A</v>
      </c>
      <c r="N18255" s="1">
        <v>42917</v>
      </c>
    </row>
    <row r="18256" spans="11:14" x14ac:dyDescent="0.3">
      <c r="K18256" s="1">
        <v>43282</v>
      </c>
      <c r="M18256" t="e">
        <v>#N/A</v>
      </c>
      <c r="N18256" s="1">
        <v>42917</v>
      </c>
    </row>
    <row r="18257" spans="11:14" x14ac:dyDescent="0.3">
      <c r="K18257" s="1">
        <v>43282</v>
      </c>
      <c r="M18257" t="e">
        <v>#N/A</v>
      </c>
      <c r="N18257" s="1">
        <v>42917</v>
      </c>
    </row>
    <row r="18258" spans="11:14" x14ac:dyDescent="0.3">
      <c r="K18258" s="1">
        <v>43282</v>
      </c>
      <c r="M18258" t="e">
        <v>#N/A</v>
      </c>
      <c r="N18258" s="1">
        <v>42917</v>
      </c>
    </row>
    <row r="18259" spans="11:14" x14ac:dyDescent="0.3">
      <c r="K18259" s="1">
        <v>43282</v>
      </c>
      <c r="M18259" t="e">
        <v>#N/A</v>
      </c>
      <c r="N18259" s="1">
        <v>42917</v>
      </c>
    </row>
    <row r="18260" spans="11:14" x14ac:dyDescent="0.3">
      <c r="K18260" s="1">
        <v>43282</v>
      </c>
      <c r="M18260" t="e">
        <v>#N/A</v>
      </c>
      <c r="N18260" s="1">
        <v>42917</v>
      </c>
    </row>
    <row r="18261" spans="11:14" x14ac:dyDescent="0.3">
      <c r="K18261" s="1">
        <v>43282</v>
      </c>
      <c r="M18261" t="e">
        <v>#N/A</v>
      </c>
      <c r="N18261" s="1">
        <v>42917</v>
      </c>
    </row>
    <row r="18262" spans="11:14" x14ac:dyDescent="0.3">
      <c r="K18262" s="1">
        <v>43282</v>
      </c>
      <c r="M18262" t="e">
        <v>#N/A</v>
      </c>
      <c r="N18262" s="1">
        <v>42917</v>
      </c>
    </row>
    <row r="18263" spans="11:14" x14ac:dyDescent="0.3">
      <c r="K18263" s="1">
        <v>43282</v>
      </c>
      <c r="M18263" t="e">
        <v>#N/A</v>
      </c>
      <c r="N18263" s="1">
        <v>42917</v>
      </c>
    </row>
    <row r="18264" spans="11:14" x14ac:dyDescent="0.3">
      <c r="K18264" s="1">
        <v>43282</v>
      </c>
      <c r="M18264" t="e">
        <v>#N/A</v>
      </c>
      <c r="N18264" s="1">
        <v>42917</v>
      </c>
    </row>
    <row r="18265" spans="11:14" x14ac:dyDescent="0.3">
      <c r="K18265" s="1">
        <v>43282</v>
      </c>
      <c r="M18265" t="e">
        <v>#N/A</v>
      </c>
      <c r="N18265" s="1">
        <v>42917</v>
      </c>
    </row>
    <row r="18266" spans="11:14" x14ac:dyDescent="0.3">
      <c r="K18266" s="1">
        <v>43282</v>
      </c>
      <c r="M18266" t="e">
        <v>#N/A</v>
      </c>
      <c r="N18266" s="1">
        <v>42917</v>
      </c>
    </row>
    <row r="18267" spans="11:14" x14ac:dyDescent="0.3">
      <c r="K18267" s="1">
        <v>43282</v>
      </c>
      <c r="M18267" t="e">
        <v>#N/A</v>
      </c>
      <c r="N18267" s="1">
        <v>42917</v>
      </c>
    </row>
    <row r="18268" spans="11:14" x14ac:dyDescent="0.3">
      <c r="K18268" s="1">
        <v>43282</v>
      </c>
      <c r="M18268" t="e">
        <v>#N/A</v>
      </c>
      <c r="N18268" s="1">
        <v>42917</v>
      </c>
    </row>
    <row r="18269" spans="11:14" x14ac:dyDescent="0.3">
      <c r="K18269" s="1">
        <v>43282</v>
      </c>
      <c r="M18269" t="e">
        <v>#N/A</v>
      </c>
      <c r="N18269" s="1">
        <v>42917</v>
      </c>
    </row>
    <row r="18270" spans="11:14" x14ac:dyDescent="0.3">
      <c r="K18270" s="1">
        <v>43282</v>
      </c>
      <c r="M18270" t="e">
        <v>#N/A</v>
      </c>
      <c r="N18270" s="1">
        <v>42917</v>
      </c>
    </row>
    <row r="18271" spans="11:14" x14ac:dyDescent="0.3">
      <c r="K18271" s="1">
        <v>43282</v>
      </c>
      <c r="M18271" t="e">
        <v>#N/A</v>
      </c>
      <c r="N18271" s="1">
        <v>42917</v>
      </c>
    </row>
    <row r="18272" spans="11:14" x14ac:dyDescent="0.3">
      <c r="K18272" s="1">
        <v>43282</v>
      </c>
      <c r="M18272" t="e">
        <v>#N/A</v>
      </c>
      <c r="N18272" s="1">
        <v>42917</v>
      </c>
    </row>
    <row r="18273" spans="11:14" x14ac:dyDescent="0.3">
      <c r="K18273" s="1">
        <v>43282</v>
      </c>
      <c r="M18273" t="e">
        <v>#N/A</v>
      </c>
      <c r="N18273" s="1">
        <v>42917</v>
      </c>
    </row>
    <row r="18274" spans="11:14" x14ac:dyDescent="0.3">
      <c r="K18274" s="1">
        <v>43282</v>
      </c>
      <c r="M18274" t="e">
        <v>#N/A</v>
      </c>
      <c r="N18274" s="1">
        <v>42917</v>
      </c>
    </row>
    <row r="18275" spans="11:14" x14ac:dyDescent="0.3">
      <c r="K18275" s="1">
        <v>43282</v>
      </c>
      <c r="M18275" t="e">
        <v>#N/A</v>
      </c>
      <c r="N18275" s="1">
        <v>42917</v>
      </c>
    </row>
    <row r="18276" spans="11:14" x14ac:dyDescent="0.3">
      <c r="K18276" s="1">
        <v>43282</v>
      </c>
      <c r="M18276" t="e">
        <v>#N/A</v>
      </c>
      <c r="N18276" s="1">
        <v>42917</v>
      </c>
    </row>
    <row r="18277" spans="11:14" x14ac:dyDescent="0.3">
      <c r="K18277" s="1">
        <v>43282</v>
      </c>
      <c r="M18277" t="e">
        <v>#N/A</v>
      </c>
      <c r="N18277" s="1">
        <v>42917</v>
      </c>
    </row>
    <row r="18278" spans="11:14" x14ac:dyDescent="0.3">
      <c r="K18278" s="1">
        <v>43282</v>
      </c>
      <c r="M18278" t="e">
        <v>#N/A</v>
      </c>
      <c r="N18278" s="1">
        <v>42917</v>
      </c>
    </row>
    <row r="18279" spans="11:14" x14ac:dyDescent="0.3">
      <c r="K18279" s="1">
        <v>43282</v>
      </c>
      <c r="M18279" t="e">
        <v>#N/A</v>
      </c>
      <c r="N18279" s="1">
        <v>42917</v>
      </c>
    </row>
    <row r="18280" spans="11:14" x14ac:dyDescent="0.3">
      <c r="K18280" s="1">
        <v>43282</v>
      </c>
      <c r="M18280" t="e">
        <v>#N/A</v>
      </c>
      <c r="N18280" s="1">
        <v>42917</v>
      </c>
    </row>
    <row r="18281" spans="11:14" x14ac:dyDescent="0.3">
      <c r="K18281" s="1">
        <v>43282</v>
      </c>
      <c r="M18281" t="e">
        <v>#N/A</v>
      </c>
      <c r="N18281" s="1">
        <v>42917</v>
      </c>
    </row>
    <row r="18282" spans="11:14" x14ac:dyDescent="0.3">
      <c r="K18282" s="1">
        <v>43282</v>
      </c>
      <c r="M18282" t="e">
        <v>#N/A</v>
      </c>
      <c r="N18282" s="1">
        <v>42917</v>
      </c>
    </row>
    <row r="18283" spans="11:14" x14ac:dyDescent="0.3">
      <c r="K18283" s="1">
        <v>43282</v>
      </c>
      <c r="M18283" t="e">
        <v>#N/A</v>
      </c>
      <c r="N18283" s="1">
        <v>42917</v>
      </c>
    </row>
    <row r="18284" spans="11:14" x14ac:dyDescent="0.3">
      <c r="K18284" s="1">
        <v>43282</v>
      </c>
      <c r="M18284" t="e">
        <v>#N/A</v>
      </c>
      <c r="N18284" s="1">
        <v>42917</v>
      </c>
    </row>
    <row r="18285" spans="11:14" x14ac:dyDescent="0.3">
      <c r="K18285" s="1">
        <v>43282</v>
      </c>
      <c r="M18285" t="e">
        <v>#N/A</v>
      </c>
      <c r="N18285" s="1">
        <v>42917</v>
      </c>
    </row>
    <row r="18286" spans="11:14" x14ac:dyDescent="0.3">
      <c r="K18286" s="1">
        <v>43282</v>
      </c>
      <c r="M18286" t="e">
        <v>#N/A</v>
      </c>
      <c r="N18286" s="1">
        <v>42917</v>
      </c>
    </row>
    <row r="18287" spans="11:14" x14ac:dyDescent="0.3">
      <c r="K18287" s="1">
        <v>43282</v>
      </c>
      <c r="M18287" t="e">
        <v>#N/A</v>
      </c>
      <c r="N18287" s="1">
        <v>42917</v>
      </c>
    </row>
    <row r="18288" spans="11:14" x14ac:dyDescent="0.3">
      <c r="K18288" s="1">
        <v>43282</v>
      </c>
      <c r="M18288" t="e">
        <v>#N/A</v>
      </c>
      <c r="N18288" s="1">
        <v>42917</v>
      </c>
    </row>
    <row r="18289" spans="11:14" x14ac:dyDescent="0.3">
      <c r="K18289" s="1">
        <v>43282</v>
      </c>
      <c r="M18289" t="e">
        <v>#N/A</v>
      </c>
      <c r="N18289" s="1">
        <v>42917</v>
      </c>
    </row>
    <row r="18290" spans="11:14" x14ac:dyDescent="0.3">
      <c r="K18290" s="1">
        <v>43282</v>
      </c>
      <c r="M18290" t="e">
        <v>#N/A</v>
      </c>
      <c r="N18290" s="1">
        <v>42917</v>
      </c>
    </row>
    <row r="18291" spans="11:14" x14ac:dyDescent="0.3">
      <c r="K18291" s="1">
        <v>43282</v>
      </c>
      <c r="M18291" t="e">
        <v>#N/A</v>
      </c>
      <c r="N18291" s="1">
        <v>42917</v>
      </c>
    </row>
    <row r="18292" spans="11:14" x14ac:dyDescent="0.3">
      <c r="K18292" s="1">
        <v>43282</v>
      </c>
      <c r="M18292" t="e">
        <v>#N/A</v>
      </c>
      <c r="N18292" s="1">
        <v>42917</v>
      </c>
    </row>
    <row r="18293" spans="11:14" x14ac:dyDescent="0.3">
      <c r="K18293" s="1">
        <v>43282</v>
      </c>
      <c r="M18293" t="e">
        <v>#N/A</v>
      </c>
      <c r="N18293" s="1">
        <v>42917</v>
      </c>
    </row>
    <row r="18294" spans="11:14" x14ac:dyDescent="0.3">
      <c r="K18294" s="1">
        <v>43282</v>
      </c>
      <c r="M18294" t="e">
        <v>#N/A</v>
      </c>
      <c r="N18294" s="1">
        <v>42917</v>
      </c>
    </row>
    <row r="18295" spans="11:14" x14ac:dyDescent="0.3">
      <c r="K18295" s="1">
        <v>43282</v>
      </c>
      <c r="M18295" t="e">
        <v>#N/A</v>
      </c>
      <c r="N18295" s="1">
        <v>42917</v>
      </c>
    </row>
    <row r="18296" spans="11:14" x14ac:dyDescent="0.3">
      <c r="K18296" s="1">
        <v>43282</v>
      </c>
      <c r="M18296" t="e">
        <v>#N/A</v>
      </c>
      <c r="N18296" s="1">
        <v>42917</v>
      </c>
    </row>
    <row r="18297" spans="11:14" x14ac:dyDescent="0.3">
      <c r="K18297" s="1">
        <v>43282</v>
      </c>
      <c r="M18297" t="e">
        <v>#N/A</v>
      </c>
      <c r="N18297" s="1">
        <v>42917</v>
      </c>
    </row>
    <row r="18298" spans="11:14" x14ac:dyDescent="0.3">
      <c r="K18298" s="1">
        <v>43282</v>
      </c>
      <c r="M18298" t="e">
        <v>#N/A</v>
      </c>
      <c r="N18298" s="1">
        <v>42917</v>
      </c>
    </row>
    <row r="18299" spans="11:14" x14ac:dyDescent="0.3">
      <c r="K18299" s="1">
        <v>43282</v>
      </c>
      <c r="M18299" t="e">
        <v>#N/A</v>
      </c>
      <c r="N18299" s="1">
        <v>42917</v>
      </c>
    </row>
    <row r="18300" spans="11:14" x14ac:dyDescent="0.3">
      <c r="K18300" s="1">
        <v>43282</v>
      </c>
      <c r="M18300" t="e">
        <v>#N/A</v>
      </c>
      <c r="N18300" s="1">
        <v>42917</v>
      </c>
    </row>
    <row r="18301" spans="11:14" x14ac:dyDescent="0.3">
      <c r="K18301" s="1">
        <v>43282</v>
      </c>
      <c r="M18301" t="e">
        <v>#N/A</v>
      </c>
      <c r="N18301" s="1">
        <v>42917</v>
      </c>
    </row>
    <row r="18302" spans="11:14" x14ac:dyDescent="0.3">
      <c r="K18302" s="1">
        <v>43282</v>
      </c>
      <c r="M18302" t="e">
        <v>#N/A</v>
      </c>
      <c r="N18302" s="1">
        <v>42917</v>
      </c>
    </row>
    <row r="18303" spans="11:14" x14ac:dyDescent="0.3">
      <c r="K18303" s="1">
        <v>43282</v>
      </c>
      <c r="M18303" t="e">
        <v>#N/A</v>
      </c>
      <c r="N18303" s="1">
        <v>42917</v>
      </c>
    </row>
    <row r="18304" spans="11:14" x14ac:dyDescent="0.3">
      <c r="K18304" s="1">
        <v>43282</v>
      </c>
      <c r="M18304" t="e">
        <v>#N/A</v>
      </c>
      <c r="N18304" s="1">
        <v>42917</v>
      </c>
    </row>
    <row r="18305" spans="11:14" x14ac:dyDescent="0.3">
      <c r="K18305" s="1">
        <v>43282</v>
      </c>
      <c r="M18305" t="e">
        <v>#N/A</v>
      </c>
      <c r="N18305" s="1">
        <v>42917</v>
      </c>
    </row>
    <row r="18306" spans="11:14" x14ac:dyDescent="0.3">
      <c r="K18306" s="1">
        <v>43282</v>
      </c>
      <c r="M18306" t="e">
        <v>#N/A</v>
      </c>
      <c r="N18306" s="1">
        <v>42917</v>
      </c>
    </row>
    <row r="18307" spans="11:14" x14ac:dyDescent="0.3">
      <c r="K18307" s="1">
        <v>43282</v>
      </c>
      <c r="M18307" t="e">
        <v>#N/A</v>
      </c>
      <c r="N18307" s="1">
        <v>42917</v>
      </c>
    </row>
    <row r="18308" spans="11:14" x14ac:dyDescent="0.3">
      <c r="K18308" s="1">
        <v>43282</v>
      </c>
      <c r="M18308" t="e">
        <v>#N/A</v>
      </c>
      <c r="N18308" s="1">
        <v>42917</v>
      </c>
    </row>
    <row r="18309" spans="11:14" x14ac:dyDescent="0.3">
      <c r="K18309" s="1">
        <v>43282</v>
      </c>
      <c r="M18309" t="e">
        <v>#N/A</v>
      </c>
      <c r="N18309" s="1">
        <v>42917</v>
      </c>
    </row>
    <row r="18310" spans="11:14" x14ac:dyDescent="0.3">
      <c r="K18310" s="1">
        <v>43282</v>
      </c>
      <c r="M18310" t="e">
        <v>#N/A</v>
      </c>
      <c r="N18310" s="1">
        <v>42917</v>
      </c>
    </row>
    <row r="18311" spans="11:14" x14ac:dyDescent="0.3">
      <c r="K18311" s="1">
        <v>43282</v>
      </c>
      <c r="M18311" t="e">
        <v>#N/A</v>
      </c>
      <c r="N18311" s="1">
        <v>42917</v>
      </c>
    </row>
    <row r="18312" spans="11:14" x14ac:dyDescent="0.3">
      <c r="K18312" s="1">
        <v>43282</v>
      </c>
      <c r="M18312" t="e">
        <v>#N/A</v>
      </c>
      <c r="N18312" s="1">
        <v>42917</v>
      </c>
    </row>
    <row r="18313" spans="11:14" x14ac:dyDescent="0.3">
      <c r="K18313" s="1">
        <v>43282</v>
      </c>
      <c r="M18313" t="e">
        <v>#N/A</v>
      </c>
      <c r="N18313" s="1">
        <v>42917</v>
      </c>
    </row>
    <row r="18314" spans="11:14" x14ac:dyDescent="0.3">
      <c r="K18314" s="1">
        <v>43282</v>
      </c>
      <c r="M18314" t="e">
        <v>#N/A</v>
      </c>
      <c r="N18314" s="1">
        <v>42917</v>
      </c>
    </row>
    <row r="18315" spans="11:14" x14ac:dyDescent="0.3">
      <c r="K18315" s="1">
        <v>43282</v>
      </c>
      <c r="M18315" t="e">
        <v>#N/A</v>
      </c>
      <c r="N18315" s="1">
        <v>42917</v>
      </c>
    </row>
    <row r="18316" spans="11:14" x14ac:dyDescent="0.3">
      <c r="K18316" s="1">
        <v>43282</v>
      </c>
      <c r="M18316" t="e">
        <v>#N/A</v>
      </c>
      <c r="N18316" s="1">
        <v>42917</v>
      </c>
    </row>
    <row r="18317" spans="11:14" x14ac:dyDescent="0.3">
      <c r="K18317" s="1">
        <v>43282</v>
      </c>
      <c r="M18317" t="e">
        <v>#N/A</v>
      </c>
      <c r="N18317" s="1">
        <v>42917</v>
      </c>
    </row>
    <row r="18318" spans="11:14" x14ac:dyDescent="0.3">
      <c r="K18318" s="1">
        <v>43282</v>
      </c>
      <c r="M18318" t="e">
        <v>#N/A</v>
      </c>
      <c r="N18318" s="1">
        <v>42917</v>
      </c>
    </row>
    <row r="18319" spans="11:14" x14ac:dyDescent="0.3">
      <c r="K18319" s="1">
        <v>43282</v>
      </c>
      <c r="M18319" t="e">
        <v>#N/A</v>
      </c>
      <c r="N18319" s="1">
        <v>42917</v>
      </c>
    </row>
    <row r="18320" spans="11:14" x14ac:dyDescent="0.3">
      <c r="K18320" s="1">
        <v>43282</v>
      </c>
      <c r="M18320" t="e">
        <v>#N/A</v>
      </c>
      <c r="N18320" s="1">
        <v>42917</v>
      </c>
    </row>
    <row r="18321" spans="11:14" x14ac:dyDescent="0.3">
      <c r="K18321" s="1">
        <v>43282</v>
      </c>
      <c r="M18321" t="e">
        <v>#N/A</v>
      </c>
      <c r="N18321" s="1">
        <v>42917</v>
      </c>
    </row>
    <row r="18322" spans="11:14" x14ac:dyDescent="0.3">
      <c r="K18322" s="1">
        <v>43282</v>
      </c>
      <c r="M18322" t="e">
        <v>#N/A</v>
      </c>
      <c r="N18322" s="1">
        <v>42917</v>
      </c>
    </row>
    <row r="18323" spans="11:14" x14ac:dyDescent="0.3">
      <c r="K18323" s="1">
        <v>43282</v>
      </c>
      <c r="M18323" t="e">
        <v>#N/A</v>
      </c>
      <c r="N18323" s="1">
        <v>42917</v>
      </c>
    </row>
    <row r="18324" spans="11:14" x14ac:dyDescent="0.3">
      <c r="K18324" s="1">
        <v>43282</v>
      </c>
      <c r="M18324" t="e">
        <v>#N/A</v>
      </c>
      <c r="N18324" s="1">
        <v>42917</v>
      </c>
    </row>
    <row r="18325" spans="11:14" x14ac:dyDescent="0.3">
      <c r="K18325" s="1">
        <v>43282</v>
      </c>
      <c r="M18325" t="e">
        <v>#N/A</v>
      </c>
      <c r="N18325" s="1">
        <v>42917</v>
      </c>
    </row>
    <row r="18326" spans="11:14" x14ac:dyDescent="0.3">
      <c r="K18326" s="1">
        <v>43282</v>
      </c>
      <c r="M18326" t="e">
        <v>#N/A</v>
      </c>
      <c r="N18326" s="1">
        <v>42917</v>
      </c>
    </row>
    <row r="18327" spans="11:14" x14ac:dyDescent="0.3">
      <c r="K18327" s="1">
        <v>43282</v>
      </c>
      <c r="M18327" t="e">
        <v>#N/A</v>
      </c>
      <c r="N18327" s="1">
        <v>42917</v>
      </c>
    </row>
    <row r="18328" spans="11:14" x14ac:dyDescent="0.3">
      <c r="K18328" s="1">
        <v>43282</v>
      </c>
      <c r="M18328" t="e">
        <v>#N/A</v>
      </c>
      <c r="N18328" s="1">
        <v>42917</v>
      </c>
    </row>
    <row r="18329" spans="11:14" x14ac:dyDescent="0.3">
      <c r="K18329" s="1">
        <v>43282</v>
      </c>
      <c r="M18329" t="e">
        <v>#N/A</v>
      </c>
      <c r="N18329" s="1">
        <v>42917</v>
      </c>
    </row>
    <row r="18330" spans="11:14" x14ac:dyDescent="0.3">
      <c r="K18330" s="1">
        <v>43282</v>
      </c>
      <c r="M18330" t="e">
        <v>#N/A</v>
      </c>
      <c r="N18330" s="1">
        <v>42917</v>
      </c>
    </row>
    <row r="18331" spans="11:14" x14ac:dyDescent="0.3">
      <c r="K18331" s="1">
        <v>43282</v>
      </c>
      <c r="M18331" t="e">
        <v>#N/A</v>
      </c>
      <c r="N18331" s="1">
        <v>42917</v>
      </c>
    </row>
    <row r="18332" spans="11:14" x14ac:dyDescent="0.3">
      <c r="K18332" s="1">
        <v>43282</v>
      </c>
      <c r="M18332" t="e">
        <v>#N/A</v>
      </c>
      <c r="N18332" s="1">
        <v>42917</v>
      </c>
    </row>
    <row r="18333" spans="11:14" x14ac:dyDescent="0.3">
      <c r="K18333" s="1">
        <v>43282</v>
      </c>
      <c r="M18333" t="e">
        <v>#N/A</v>
      </c>
      <c r="N18333" s="1">
        <v>42917</v>
      </c>
    </row>
    <row r="18334" spans="11:14" x14ac:dyDescent="0.3">
      <c r="K18334" s="1">
        <v>43282</v>
      </c>
      <c r="M18334" t="e">
        <v>#N/A</v>
      </c>
      <c r="N18334" s="1">
        <v>42917</v>
      </c>
    </row>
    <row r="18335" spans="11:14" x14ac:dyDescent="0.3">
      <c r="K18335" s="1">
        <v>43282</v>
      </c>
      <c r="M18335" t="e">
        <v>#N/A</v>
      </c>
      <c r="N18335" s="1">
        <v>42917</v>
      </c>
    </row>
    <row r="18336" spans="11:14" x14ac:dyDescent="0.3">
      <c r="K18336" s="1">
        <v>43282</v>
      </c>
      <c r="M18336" t="e">
        <v>#N/A</v>
      </c>
      <c r="N18336" s="1">
        <v>42917</v>
      </c>
    </row>
    <row r="18337" spans="11:14" x14ac:dyDescent="0.3">
      <c r="K18337" s="1">
        <v>43282</v>
      </c>
      <c r="M18337" t="e">
        <v>#N/A</v>
      </c>
      <c r="N18337" s="1">
        <v>42917</v>
      </c>
    </row>
    <row r="18338" spans="11:14" x14ac:dyDescent="0.3">
      <c r="K18338" s="1">
        <v>43282</v>
      </c>
      <c r="M18338" t="e">
        <v>#N/A</v>
      </c>
      <c r="N18338" s="1">
        <v>42917</v>
      </c>
    </row>
    <row r="18339" spans="11:14" x14ac:dyDescent="0.3">
      <c r="K18339" s="1">
        <v>43282</v>
      </c>
      <c r="M18339" t="e">
        <v>#N/A</v>
      </c>
      <c r="N18339" s="1">
        <v>42917</v>
      </c>
    </row>
    <row r="18340" spans="11:14" x14ac:dyDescent="0.3">
      <c r="K18340" s="1">
        <v>43282</v>
      </c>
      <c r="M18340" t="e">
        <v>#N/A</v>
      </c>
      <c r="N18340" s="1">
        <v>42917</v>
      </c>
    </row>
    <row r="18341" spans="11:14" x14ac:dyDescent="0.3">
      <c r="K18341" s="1">
        <v>43282</v>
      </c>
      <c r="M18341" t="e">
        <v>#N/A</v>
      </c>
      <c r="N18341" s="1">
        <v>42917</v>
      </c>
    </row>
    <row r="18342" spans="11:14" x14ac:dyDescent="0.3">
      <c r="K18342" s="1">
        <v>43282</v>
      </c>
      <c r="M18342" t="e">
        <v>#N/A</v>
      </c>
      <c r="N18342" s="1">
        <v>42917</v>
      </c>
    </row>
    <row r="18343" spans="11:14" x14ac:dyDescent="0.3">
      <c r="K18343" s="1">
        <v>43282</v>
      </c>
      <c r="M18343" t="e">
        <v>#N/A</v>
      </c>
      <c r="N18343" s="1">
        <v>42917</v>
      </c>
    </row>
    <row r="18344" spans="11:14" x14ac:dyDescent="0.3">
      <c r="K18344" s="1">
        <v>43282</v>
      </c>
      <c r="M18344" t="e">
        <v>#N/A</v>
      </c>
      <c r="N18344" s="1">
        <v>42917</v>
      </c>
    </row>
    <row r="18345" spans="11:14" x14ac:dyDescent="0.3">
      <c r="K18345" s="1">
        <v>43282</v>
      </c>
      <c r="M18345" t="e">
        <v>#N/A</v>
      </c>
      <c r="N18345" s="1">
        <v>42917</v>
      </c>
    </row>
    <row r="18346" spans="11:14" x14ac:dyDescent="0.3">
      <c r="K18346" s="1">
        <v>43282</v>
      </c>
      <c r="M18346" t="e">
        <v>#N/A</v>
      </c>
      <c r="N18346" s="1">
        <v>42917</v>
      </c>
    </row>
    <row r="18347" spans="11:14" x14ac:dyDescent="0.3">
      <c r="K18347" s="1">
        <v>43282</v>
      </c>
      <c r="M18347" t="e">
        <v>#N/A</v>
      </c>
      <c r="N18347" s="1">
        <v>42917</v>
      </c>
    </row>
    <row r="18348" spans="11:14" x14ac:dyDescent="0.3">
      <c r="K18348" s="1">
        <v>43282</v>
      </c>
      <c r="M18348" t="e">
        <v>#N/A</v>
      </c>
      <c r="N18348" s="1">
        <v>42917</v>
      </c>
    </row>
    <row r="18349" spans="11:14" x14ac:dyDescent="0.3">
      <c r="K18349" s="1">
        <v>43282</v>
      </c>
      <c r="M18349" t="e">
        <v>#N/A</v>
      </c>
      <c r="N18349" s="1">
        <v>42917</v>
      </c>
    </row>
    <row r="18350" spans="11:14" x14ac:dyDescent="0.3">
      <c r="K18350" s="1">
        <v>43282</v>
      </c>
      <c r="M18350" t="e">
        <v>#N/A</v>
      </c>
      <c r="N18350" s="1">
        <v>42917</v>
      </c>
    </row>
    <row r="18351" spans="11:14" x14ac:dyDescent="0.3">
      <c r="K18351" s="1">
        <v>43282</v>
      </c>
      <c r="M18351" t="e">
        <v>#N/A</v>
      </c>
      <c r="N18351" s="1">
        <v>42917</v>
      </c>
    </row>
    <row r="18352" spans="11:14" x14ac:dyDescent="0.3">
      <c r="K18352" s="1">
        <v>43282</v>
      </c>
      <c r="M18352" t="e">
        <v>#N/A</v>
      </c>
      <c r="N18352" s="1">
        <v>42917</v>
      </c>
    </row>
    <row r="18353" spans="11:14" x14ac:dyDescent="0.3">
      <c r="K18353" s="1">
        <v>43282</v>
      </c>
      <c r="M18353" t="e">
        <v>#N/A</v>
      </c>
      <c r="N18353" s="1">
        <v>42917</v>
      </c>
    </row>
    <row r="18354" spans="11:14" x14ac:dyDescent="0.3">
      <c r="K18354" s="1">
        <v>43282</v>
      </c>
      <c r="M18354" t="e">
        <v>#N/A</v>
      </c>
      <c r="N18354" s="1">
        <v>42917</v>
      </c>
    </row>
    <row r="18355" spans="11:14" x14ac:dyDescent="0.3">
      <c r="K18355" s="1">
        <v>43282</v>
      </c>
      <c r="M18355" t="e">
        <v>#N/A</v>
      </c>
      <c r="N18355" s="1">
        <v>42917</v>
      </c>
    </row>
    <row r="18356" spans="11:14" x14ac:dyDescent="0.3">
      <c r="K18356" s="1">
        <v>43282</v>
      </c>
      <c r="M18356" t="e">
        <v>#N/A</v>
      </c>
      <c r="N18356" s="1">
        <v>42917</v>
      </c>
    </row>
    <row r="18357" spans="11:14" x14ac:dyDescent="0.3">
      <c r="K18357" s="1">
        <v>43282</v>
      </c>
      <c r="M18357" t="e">
        <v>#N/A</v>
      </c>
      <c r="N18357" s="1">
        <v>42917</v>
      </c>
    </row>
    <row r="18358" spans="11:14" x14ac:dyDescent="0.3">
      <c r="K18358" s="1">
        <v>43282</v>
      </c>
      <c r="M18358" t="e">
        <v>#N/A</v>
      </c>
      <c r="N18358" s="1">
        <v>42917</v>
      </c>
    </row>
    <row r="18359" spans="11:14" x14ac:dyDescent="0.3">
      <c r="K18359" s="1">
        <v>43282</v>
      </c>
      <c r="M18359" t="e">
        <v>#N/A</v>
      </c>
      <c r="N18359" s="1">
        <v>42917</v>
      </c>
    </row>
    <row r="18360" spans="11:14" x14ac:dyDescent="0.3">
      <c r="K18360" s="1">
        <v>43282</v>
      </c>
      <c r="M18360" t="e">
        <v>#N/A</v>
      </c>
      <c r="N18360" s="1">
        <v>42917</v>
      </c>
    </row>
    <row r="18361" spans="11:14" x14ac:dyDescent="0.3">
      <c r="K18361" s="1">
        <v>43282</v>
      </c>
      <c r="M18361" t="e">
        <v>#N/A</v>
      </c>
      <c r="N18361" s="1">
        <v>42917</v>
      </c>
    </row>
    <row r="18362" spans="11:14" x14ac:dyDescent="0.3">
      <c r="K18362" s="1">
        <v>43282</v>
      </c>
      <c r="M18362" t="e">
        <v>#N/A</v>
      </c>
      <c r="N18362" s="1">
        <v>42917</v>
      </c>
    </row>
    <row r="18363" spans="11:14" x14ac:dyDescent="0.3">
      <c r="K18363" s="1">
        <v>43282</v>
      </c>
      <c r="M18363" t="e">
        <v>#N/A</v>
      </c>
      <c r="N18363" s="1">
        <v>42917</v>
      </c>
    </row>
    <row r="18364" spans="11:14" x14ac:dyDescent="0.3">
      <c r="K18364" s="1">
        <v>43282</v>
      </c>
      <c r="M18364" t="e">
        <v>#N/A</v>
      </c>
      <c r="N18364" s="1">
        <v>42917</v>
      </c>
    </row>
    <row r="18365" spans="11:14" x14ac:dyDescent="0.3">
      <c r="K18365" s="1">
        <v>43282</v>
      </c>
      <c r="M18365" t="e">
        <v>#N/A</v>
      </c>
      <c r="N18365" s="1">
        <v>42917</v>
      </c>
    </row>
    <row r="18366" spans="11:14" x14ac:dyDescent="0.3">
      <c r="K18366" s="1">
        <v>43282</v>
      </c>
      <c r="M18366" t="e">
        <v>#N/A</v>
      </c>
      <c r="N18366" s="1">
        <v>42917</v>
      </c>
    </row>
    <row r="18367" spans="11:14" x14ac:dyDescent="0.3">
      <c r="K18367" s="1">
        <v>43282</v>
      </c>
      <c r="M18367" t="e">
        <v>#N/A</v>
      </c>
      <c r="N18367" s="1">
        <v>42917</v>
      </c>
    </row>
    <row r="18368" spans="11:14" x14ac:dyDescent="0.3">
      <c r="K18368" s="1">
        <v>43282</v>
      </c>
      <c r="M18368" t="e">
        <v>#N/A</v>
      </c>
      <c r="N18368" s="1">
        <v>42917</v>
      </c>
    </row>
    <row r="18369" spans="11:14" x14ac:dyDescent="0.3">
      <c r="K18369" s="1">
        <v>43282</v>
      </c>
      <c r="M18369" t="e">
        <v>#N/A</v>
      </c>
      <c r="N18369" s="1">
        <v>42917</v>
      </c>
    </row>
    <row r="18370" spans="11:14" x14ac:dyDescent="0.3">
      <c r="K18370" s="1">
        <v>43282</v>
      </c>
      <c r="M18370" t="e">
        <v>#N/A</v>
      </c>
      <c r="N18370" s="1">
        <v>42917</v>
      </c>
    </row>
    <row r="18371" spans="11:14" x14ac:dyDescent="0.3">
      <c r="K18371" s="1">
        <v>43282</v>
      </c>
      <c r="M18371" t="e">
        <v>#N/A</v>
      </c>
      <c r="N18371" s="1">
        <v>42917</v>
      </c>
    </row>
    <row r="18372" spans="11:14" x14ac:dyDescent="0.3">
      <c r="K18372" s="1">
        <v>43282</v>
      </c>
      <c r="M18372" t="e">
        <v>#N/A</v>
      </c>
      <c r="N18372" s="1">
        <v>42917</v>
      </c>
    </row>
    <row r="18373" spans="11:14" x14ac:dyDescent="0.3">
      <c r="K18373" s="1">
        <v>43282</v>
      </c>
      <c r="M18373" t="e">
        <v>#N/A</v>
      </c>
      <c r="N18373" s="1">
        <v>42917</v>
      </c>
    </row>
    <row r="18374" spans="11:14" x14ac:dyDescent="0.3">
      <c r="K18374" s="1">
        <v>43282</v>
      </c>
      <c r="M18374" t="e">
        <v>#N/A</v>
      </c>
      <c r="N18374" s="1">
        <v>42917</v>
      </c>
    </row>
    <row r="18375" spans="11:14" x14ac:dyDescent="0.3">
      <c r="K18375" s="1">
        <v>43282</v>
      </c>
      <c r="M18375" t="e">
        <v>#N/A</v>
      </c>
      <c r="N18375" s="1">
        <v>42917</v>
      </c>
    </row>
    <row r="18376" spans="11:14" x14ac:dyDescent="0.3">
      <c r="K18376" s="1">
        <v>43282</v>
      </c>
      <c r="M18376" t="e">
        <v>#N/A</v>
      </c>
      <c r="N18376" s="1">
        <v>42917</v>
      </c>
    </row>
    <row r="18377" spans="11:14" x14ac:dyDescent="0.3">
      <c r="K18377" s="1">
        <v>43282</v>
      </c>
      <c r="M18377" t="e">
        <v>#N/A</v>
      </c>
      <c r="N18377" s="1">
        <v>42917</v>
      </c>
    </row>
    <row r="18378" spans="11:14" x14ac:dyDescent="0.3">
      <c r="K18378" s="1">
        <v>43282</v>
      </c>
      <c r="M18378" t="e">
        <v>#N/A</v>
      </c>
      <c r="N18378" s="1">
        <v>42917</v>
      </c>
    </row>
    <row r="18379" spans="11:14" x14ac:dyDescent="0.3">
      <c r="K18379" s="1">
        <v>43282</v>
      </c>
      <c r="M18379" t="e">
        <v>#N/A</v>
      </c>
      <c r="N18379" s="1">
        <v>42917</v>
      </c>
    </row>
    <row r="18380" spans="11:14" x14ac:dyDescent="0.3">
      <c r="K18380" s="1">
        <v>43282</v>
      </c>
      <c r="M18380" t="e">
        <v>#N/A</v>
      </c>
      <c r="N18380" s="1">
        <v>42917</v>
      </c>
    </row>
    <row r="18381" spans="11:14" x14ac:dyDescent="0.3">
      <c r="K18381" s="1">
        <v>43282</v>
      </c>
      <c r="M18381" t="e">
        <v>#N/A</v>
      </c>
      <c r="N18381" s="1">
        <v>42917</v>
      </c>
    </row>
    <row r="18382" spans="11:14" x14ac:dyDescent="0.3">
      <c r="K18382" s="1">
        <v>43282</v>
      </c>
      <c r="M18382" t="e">
        <v>#N/A</v>
      </c>
      <c r="N18382" s="1">
        <v>42917</v>
      </c>
    </row>
    <row r="18383" spans="11:14" x14ac:dyDescent="0.3">
      <c r="K18383" s="1">
        <v>43282</v>
      </c>
      <c r="M18383" t="e">
        <v>#N/A</v>
      </c>
      <c r="N18383" s="1">
        <v>42917</v>
      </c>
    </row>
    <row r="18384" spans="11:14" x14ac:dyDescent="0.3">
      <c r="K18384" s="1">
        <v>43282</v>
      </c>
      <c r="M18384" t="e">
        <v>#N/A</v>
      </c>
      <c r="N18384" s="1">
        <v>42917</v>
      </c>
    </row>
    <row r="18385" spans="11:14" x14ac:dyDescent="0.3">
      <c r="K18385" s="1">
        <v>43282</v>
      </c>
      <c r="M18385" t="e">
        <v>#N/A</v>
      </c>
      <c r="N18385" s="1">
        <v>42917</v>
      </c>
    </row>
    <row r="18386" spans="11:14" x14ac:dyDescent="0.3">
      <c r="K18386" s="1">
        <v>43282</v>
      </c>
      <c r="M18386" t="e">
        <v>#N/A</v>
      </c>
      <c r="N18386" s="1">
        <v>42917</v>
      </c>
    </row>
    <row r="18387" spans="11:14" x14ac:dyDescent="0.3">
      <c r="K18387" s="1">
        <v>43282</v>
      </c>
      <c r="M18387" t="e">
        <v>#N/A</v>
      </c>
      <c r="N18387" s="1">
        <v>42917</v>
      </c>
    </row>
    <row r="18388" spans="11:14" x14ac:dyDescent="0.3">
      <c r="K18388" s="1">
        <v>43282</v>
      </c>
      <c r="M18388" t="e">
        <v>#N/A</v>
      </c>
      <c r="N18388" s="1">
        <v>42917</v>
      </c>
    </row>
    <row r="18389" spans="11:14" x14ac:dyDescent="0.3">
      <c r="K18389" s="1">
        <v>43282</v>
      </c>
      <c r="M18389" t="e">
        <v>#N/A</v>
      </c>
      <c r="N18389" s="1">
        <v>42917</v>
      </c>
    </row>
    <row r="18390" spans="11:14" x14ac:dyDescent="0.3">
      <c r="K18390" s="1">
        <v>43282</v>
      </c>
      <c r="M18390" t="e">
        <v>#N/A</v>
      </c>
      <c r="N18390" s="1">
        <v>42917</v>
      </c>
    </row>
    <row r="18391" spans="11:14" x14ac:dyDescent="0.3">
      <c r="K18391" s="1">
        <v>43282</v>
      </c>
      <c r="M18391" t="e">
        <v>#N/A</v>
      </c>
      <c r="N18391" s="1">
        <v>42917</v>
      </c>
    </row>
    <row r="18392" spans="11:14" x14ac:dyDescent="0.3">
      <c r="K18392" s="1">
        <v>43282</v>
      </c>
      <c r="M18392" t="e">
        <v>#N/A</v>
      </c>
      <c r="N18392" s="1">
        <v>42917</v>
      </c>
    </row>
    <row r="18393" spans="11:14" x14ac:dyDescent="0.3">
      <c r="K18393" s="1">
        <v>43282</v>
      </c>
      <c r="M18393" t="e">
        <v>#N/A</v>
      </c>
      <c r="N18393" s="1">
        <v>42917</v>
      </c>
    </row>
    <row r="18394" spans="11:14" x14ac:dyDescent="0.3">
      <c r="K18394" s="1">
        <v>43282</v>
      </c>
      <c r="M18394" t="e">
        <v>#N/A</v>
      </c>
      <c r="N18394" s="1">
        <v>42917</v>
      </c>
    </row>
    <row r="18395" spans="11:14" x14ac:dyDescent="0.3">
      <c r="K18395" s="1">
        <v>43282</v>
      </c>
      <c r="M18395" t="e">
        <v>#N/A</v>
      </c>
      <c r="N18395" s="1">
        <v>42917</v>
      </c>
    </row>
    <row r="18396" spans="11:14" x14ac:dyDescent="0.3">
      <c r="K18396" s="1">
        <v>43282</v>
      </c>
      <c r="M18396" t="e">
        <v>#N/A</v>
      </c>
      <c r="N18396" s="1">
        <v>42917</v>
      </c>
    </row>
    <row r="18397" spans="11:14" x14ac:dyDescent="0.3">
      <c r="K18397" s="1">
        <v>43282</v>
      </c>
      <c r="M18397" t="e">
        <v>#N/A</v>
      </c>
      <c r="N18397" s="1">
        <v>42917</v>
      </c>
    </row>
    <row r="18398" spans="11:14" x14ac:dyDescent="0.3">
      <c r="K18398" s="1">
        <v>43282</v>
      </c>
      <c r="M18398" t="e">
        <v>#N/A</v>
      </c>
      <c r="N18398" s="1">
        <v>42917</v>
      </c>
    </row>
    <row r="18399" spans="11:14" x14ac:dyDescent="0.3">
      <c r="K18399" s="1">
        <v>43282</v>
      </c>
      <c r="M18399" t="e">
        <v>#N/A</v>
      </c>
      <c r="N18399" s="1">
        <v>42917</v>
      </c>
    </row>
    <row r="18400" spans="11:14" x14ac:dyDescent="0.3">
      <c r="K18400" s="1">
        <v>43282</v>
      </c>
      <c r="M18400" t="e">
        <v>#N/A</v>
      </c>
      <c r="N18400" s="1">
        <v>42917</v>
      </c>
    </row>
    <row r="18401" spans="11:14" x14ac:dyDescent="0.3">
      <c r="K18401" s="1">
        <v>43282</v>
      </c>
      <c r="M18401" t="e">
        <v>#N/A</v>
      </c>
      <c r="N18401" s="1">
        <v>42917</v>
      </c>
    </row>
    <row r="18402" spans="11:14" x14ac:dyDescent="0.3">
      <c r="K18402" s="1">
        <v>43282</v>
      </c>
      <c r="M18402" t="e">
        <v>#N/A</v>
      </c>
      <c r="N18402" s="1">
        <v>42917</v>
      </c>
    </row>
    <row r="18403" spans="11:14" x14ac:dyDescent="0.3">
      <c r="K18403" s="1">
        <v>43282</v>
      </c>
      <c r="M18403" t="e">
        <v>#N/A</v>
      </c>
      <c r="N18403" s="1">
        <v>42917</v>
      </c>
    </row>
    <row r="18404" spans="11:14" x14ac:dyDescent="0.3">
      <c r="K18404" s="1">
        <v>43282</v>
      </c>
      <c r="M18404" t="e">
        <v>#N/A</v>
      </c>
      <c r="N18404" s="1">
        <v>42917</v>
      </c>
    </row>
    <row r="18405" spans="11:14" x14ac:dyDescent="0.3">
      <c r="K18405" s="1">
        <v>43282</v>
      </c>
      <c r="M18405" t="e">
        <v>#N/A</v>
      </c>
      <c r="N18405" s="1">
        <v>42917</v>
      </c>
    </row>
    <row r="18406" spans="11:14" x14ac:dyDescent="0.3">
      <c r="K18406" s="1">
        <v>43282</v>
      </c>
      <c r="M18406" t="e">
        <v>#N/A</v>
      </c>
      <c r="N18406" s="1">
        <v>42917</v>
      </c>
    </row>
    <row r="18407" spans="11:14" x14ac:dyDescent="0.3">
      <c r="K18407" s="1">
        <v>43282</v>
      </c>
      <c r="M18407" t="e">
        <v>#N/A</v>
      </c>
      <c r="N18407" s="1">
        <v>42917</v>
      </c>
    </row>
    <row r="18408" spans="11:14" x14ac:dyDescent="0.3">
      <c r="K18408" s="1">
        <v>43282</v>
      </c>
      <c r="M18408" t="e">
        <v>#N/A</v>
      </c>
      <c r="N18408" s="1">
        <v>42917</v>
      </c>
    </row>
    <row r="18409" spans="11:14" x14ac:dyDescent="0.3">
      <c r="K18409" s="1">
        <v>43282</v>
      </c>
      <c r="M18409" t="e">
        <v>#N/A</v>
      </c>
      <c r="N18409" s="1">
        <v>42917</v>
      </c>
    </row>
    <row r="18410" spans="11:14" x14ac:dyDescent="0.3">
      <c r="K18410" s="1">
        <v>43282</v>
      </c>
      <c r="M18410" t="e">
        <v>#N/A</v>
      </c>
      <c r="N18410" s="1">
        <v>42917</v>
      </c>
    </row>
    <row r="18411" spans="11:14" x14ac:dyDescent="0.3">
      <c r="K18411" s="1">
        <v>43282</v>
      </c>
      <c r="M18411" t="e">
        <v>#N/A</v>
      </c>
      <c r="N18411" s="1">
        <v>42917</v>
      </c>
    </row>
    <row r="18412" spans="11:14" x14ac:dyDescent="0.3">
      <c r="K18412" s="1">
        <v>43282</v>
      </c>
      <c r="M18412" t="e">
        <v>#N/A</v>
      </c>
      <c r="N18412" s="1">
        <v>42917</v>
      </c>
    </row>
    <row r="18413" spans="11:14" x14ac:dyDescent="0.3">
      <c r="K18413" s="1">
        <v>43282</v>
      </c>
      <c r="M18413" t="e">
        <v>#N/A</v>
      </c>
      <c r="N18413" s="1">
        <v>42917</v>
      </c>
    </row>
    <row r="18414" spans="11:14" x14ac:dyDescent="0.3">
      <c r="K18414" s="1">
        <v>43282</v>
      </c>
      <c r="M18414" t="e">
        <v>#N/A</v>
      </c>
      <c r="N18414" s="1">
        <v>42917</v>
      </c>
    </row>
    <row r="18415" spans="11:14" x14ac:dyDescent="0.3">
      <c r="K18415" s="1">
        <v>43282</v>
      </c>
      <c r="M18415" t="e">
        <v>#N/A</v>
      </c>
      <c r="N18415" s="1">
        <v>42917</v>
      </c>
    </row>
    <row r="18416" spans="11:14" x14ac:dyDescent="0.3">
      <c r="K18416" s="1">
        <v>43282</v>
      </c>
      <c r="M18416" t="e">
        <v>#N/A</v>
      </c>
      <c r="N18416" s="1">
        <v>42917</v>
      </c>
    </row>
    <row r="18417" spans="11:14" x14ac:dyDescent="0.3">
      <c r="K18417" s="1">
        <v>43282</v>
      </c>
      <c r="M18417" t="e">
        <v>#N/A</v>
      </c>
      <c r="N18417" s="1">
        <v>42917</v>
      </c>
    </row>
    <row r="18418" spans="11:14" x14ac:dyDescent="0.3">
      <c r="K18418" s="1">
        <v>43282</v>
      </c>
      <c r="M18418" t="e">
        <v>#N/A</v>
      </c>
      <c r="N18418" s="1">
        <v>42917</v>
      </c>
    </row>
    <row r="18419" spans="11:14" x14ac:dyDescent="0.3">
      <c r="K18419" s="1">
        <v>43282</v>
      </c>
      <c r="M18419" t="e">
        <v>#N/A</v>
      </c>
      <c r="N18419" s="1">
        <v>42917</v>
      </c>
    </row>
    <row r="18420" spans="11:14" x14ac:dyDescent="0.3">
      <c r="K18420" s="1">
        <v>43282</v>
      </c>
      <c r="M18420" t="e">
        <v>#N/A</v>
      </c>
      <c r="N18420" s="1">
        <v>42917</v>
      </c>
    </row>
    <row r="18421" spans="11:14" x14ac:dyDescent="0.3">
      <c r="K18421" s="1">
        <v>43282</v>
      </c>
      <c r="M18421" t="e">
        <v>#N/A</v>
      </c>
      <c r="N18421" s="1">
        <v>42917</v>
      </c>
    </row>
    <row r="18422" spans="11:14" x14ac:dyDescent="0.3">
      <c r="K18422" s="1">
        <v>43282</v>
      </c>
      <c r="M18422" t="e">
        <v>#N/A</v>
      </c>
      <c r="N18422" s="1">
        <v>42917</v>
      </c>
    </row>
    <row r="18423" spans="11:14" x14ac:dyDescent="0.3">
      <c r="K18423" s="1">
        <v>43374</v>
      </c>
      <c r="M18423" t="e">
        <v>#N/A</v>
      </c>
      <c r="N18423" s="1">
        <v>42917</v>
      </c>
    </row>
    <row r="18424" spans="11:14" x14ac:dyDescent="0.3">
      <c r="K18424" s="1">
        <v>43374</v>
      </c>
      <c r="M18424" t="e">
        <v>#N/A</v>
      </c>
      <c r="N18424" s="1">
        <v>42917</v>
      </c>
    </row>
    <row r="18425" spans="11:14" x14ac:dyDescent="0.3">
      <c r="K18425" s="1">
        <v>43374</v>
      </c>
      <c r="M18425" t="e">
        <v>#N/A</v>
      </c>
      <c r="N18425" s="1">
        <v>42917</v>
      </c>
    </row>
    <row r="18426" spans="11:14" x14ac:dyDescent="0.3">
      <c r="K18426" s="1">
        <v>43374</v>
      </c>
      <c r="M18426" t="e">
        <v>#N/A</v>
      </c>
      <c r="N18426" s="1">
        <v>42917</v>
      </c>
    </row>
    <row r="18427" spans="11:14" x14ac:dyDescent="0.3">
      <c r="K18427" s="1">
        <v>43374</v>
      </c>
      <c r="M18427" t="e">
        <v>#N/A</v>
      </c>
      <c r="N18427" s="1">
        <v>42917</v>
      </c>
    </row>
    <row r="18428" spans="11:14" x14ac:dyDescent="0.3">
      <c r="K18428" s="1">
        <v>43374</v>
      </c>
      <c r="M18428" t="e">
        <v>#N/A</v>
      </c>
      <c r="N18428" s="1">
        <v>42917</v>
      </c>
    </row>
    <row r="18429" spans="11:14" x14ac:dyDescent="0.3">
      <c r="K18429" s="1">
        <v>43374</v>
      </c>
      <c r="M18429" t="e">
        <v>#N/A</v>
      </c>
      <c r="N18429" s="1">
        <v>42917</v>
      </c>
    </row>
    <row r="18430" spans="11:14" x14ac:dyDescent="0.3">
      <c r="K18430" s="1">
        <v>43374</v>
      </c>
      <c r="M18430" t="e">
        <v>#N/A</v>
      </c>
      <c r="N18430" s="1">
        <v>42917</v>
      </c>
    </row>
    <row r="18431" spans="11:14" x14ac:dyDescent="0.3">
      <c r="K18431" s="1">
        <v>43374</v>
      </c>
      <c r="M18431" t="e">
        <v>#N/A</v>
      </c>
      <c r="N18431" s="1">
        <v>42917</v>
      </c>
    </row>
    <row r="18432" spans="11:14" x14ac:dyDescent="0.3">
      <c r="K18432" s="1">
        <v>43374</v>
      </c>
      <c r="M18432" t="e">
        <v>#N/A</v>
      </c>
      <c r="N18432" s="1">
        <v>42917</v>
      </c>
    </row>
    <row r="18433" spans="11:14" x14ac:dyDescent="0.3">
      <c r="K18433" s="1">
        <v>43374</v>
      </c>
      <c r="M18433" t="e">
        <v>#N/A</v>
      </c>
      <c r="N18433" s="1">
        <v>42917</v>
      </c>
    </row>
    <row r="18434" spans="11:14" x14ac:dyDescent="0.3">
      <c r="K18434" s="1">
        <v>43374</v>
      </c>
      <c r="M18434" t="e">
        <v>#N/A</v>
      </c>
      <c r="N18434" s="1">
        <v>42917</v>
      </c>
    </row>
    <row r="18435" spans="11:14" x14ac:dyDescent="0.3">
      <c r="K18435" s="1">
        <v>43374</v>
      </c>
      <c r="M18435" t="e">
        <v>#N/A</v>
      </c>
      <c r="N18435" s="1">
        <v>42917</v>
      </c>
    </row>
    <row r="18436" spans="11:14" x14ac:dyDescent="0.3">
      <c r="K18436" s="1">
        <v>43374</v>
      </c>
      <c r="M18436" t="e">
        <v>#N/A</v>
      </c>
      <c r="N18436" s="1">
        <v>42917</v>
      </c>
    </row>
    <row r="18437" spans="11:14" x14ac:dyDescent="0.3">
      <c r="K18437" s="1">
        <v>43374</v>
      </c>
      <c r="M18437" t="e">
        <v>#N/A</v>
      </c>
      <c r="N18437" s="1">
        <v>42917</v>
      </c>
    </row>
    <row r="18438" spans="11:14" x14ac:dyDescent="0.3">
      <c r="K18438" s="1">
        <v>43374</v>
      </c>
      <c r="M18438" t="e">
        <v>#N/A</v>
      </c>
      <c r="N18438" s="1">
        <v>42917</v>
      </c>
    </row>
    <row r="18439" spans="11:14" x14ac:dyDescent="0.3">
      <c r="K18439" s="1">
        <v>43374</v>
      </c>
      <c r="M18439" t="e">
        <v>#N/A</v>
      </c>
      <c r="N18439" s="1">
        <v>42917</v>
      </c>
    </row>
    <row r="18440" spans="11:14" x14ac:dyDescent="0.3">
      <c r="K18440" s="1">
        <v>43374</v>
      </c>
      <c r="M18440" t="e">
        <v>#N/A</v>
      </c>
      <c r="N18440" s="1">
        <v>42917</v>
      </c>
    </row>
    <row r="18441" spans="11:14" x14ac:dyDescent="0.3">
      <c r="K18441" s="1">
        <v>43374</v>
      </c>
      <c r="M18441" t="e">
        <v>#N/A</v>
      </c>
      <c r="N18441" s="1">
        <v>42917</v>
      </c>
    </row>
    <row r="18442" spans="11:14" x14ac:dyDescent="0.3">
      <c r="K18442" s="1">
        <v>43374</v>
      </c>
      <c r="M18442" t="e">
        <v>#N/A</v>
      </c>
      <c r="N18442" s="1">
        <v>42917</v>
      </c>
    </row>
    <row r="18443" spans="11:14" x14ac:dyDescent="0.3">
      <c r="K18443" s="1">
        <v>43374</v>
      </c>
      <c r="M18443" t="e">
        <v>#N/A</v>
      </c>
      <c r="N18443" s="1">
        <v>42917</v>
      </c>
    </row>
    <row r="18444" spans="11:14" x14ac:dyDescent="0.3">
      <c r="K18444" s="1">
        <v>43374</v>
      </c>
      <c r="M18444" t="e">
        <v>#N/A</v>
      </c>
      <c r="N18444" s="1">
        <v>42917</v>
      </c>
    </row>
    <row r="18445" spans="11:14" x14ac:dyDescent="0.3">
      <c r="K18445" s="1">
        <v>43374</v>
      </c>
      <c r="M18445" t="e">
        <v>#N/A</v>
      </c>
      <c r="N18445" s="1">
        <v>42917</v>
      </c>
    </row>
    <row r="18446" spans="11:14" x14ac:dyDescent="0.3">
      <c r="K18446" s="1">
        <v>43374</v>
      </c>
      <c r="M18446" t="e">
        <v>#N/A</v>
      </c>
      <c r="N18446" s="1">
        <v>42917</v>
      </c>
    </row>
    <row r="18447" spans="11:14" x14ac:dyDescent="0.3">
      <c r="K18447" s="1">
        <v>43374</v>
      </c>
      <c r="M18447" t="e">
        <v>#N/A</v>
      </c>
      <c r="N18447" s="1">
        <v>42917</v>
      </c>
    </row>
    <row r="18448" spans="11:14" x14ac:dyDescent="0.3">
      <c r="K18448" s="1">
        <v>43374</v>
      </c>
      <c r="M18448" t="e">
        <v>#N/A</v>
      </c>
      <c r="N18448" s="1">
        <v>42917</v>
      </c>
    </row>
    <row r="18449" spans="11:14" x14ac:dyDescent="0.3">
      <c r="K18449" s="1">
        <v>43374</v>
      </c>
      <c r="M18449" t="e">
        <v>#N/A</v>
      </c>
      <c r="N18449" s="1">
        <v>42917</v>
      </c>
    </row>
    <row r="18450" spans="11:14" x14ac:dyDescent="0.3">
      <c r="K18450" s="1">
        <v>43374</v>
      </c>
      <c r="M18450" t="e">
        <v>#N/A</v>
      </c>
      <c r="N18450" s="1">
        <v>42917</v>
      </c>
    </row>
    <row r="18451" spans="11:14" x14ac:dyDescent="0.3">
      <c r="K18451" s="1">
        <v>43374</v>
      </c>
      <c r="M18451" t="e">
        <v>#N/A</v>
      </c>
      <c r="N18451" s="1">
        <v>42917</v>
      </c>
    </row>
    <row r="18452" spans="11:14" x14ac:dyDescent="0.3">
      <c r="K18452" s="1">
        <v>43374</v>
      </c>
      <c r="M18452" t="e">
        <v>#N/A</v>
      </c>
      <c r="N18452" s="1">
        <v>42917</v>
      </c>
    </row>
    <row r="18453" spans="11:14" x14ac:dyDescent="0.3">
      <c r="K18453" s="1">
        <v>43374</v>
      </c>
      <c r="M18453" t="e">
        <v>#N/A</v>
      </c>
      <c r="N18453" s="1">
        <v>42917</v>
      </c>
    </row>
    <row r="18454" spans="11:14" x14ac:dyDescent="0.3">
      <c r="K18454" s="1">
        <v>43374</v>
      </c>
      <c r="M18454" t="e">
        <v>#N/A</v>
      </c>
      <c r="N18454" s="1">
        <v>42917</v>
      </c>
    </row>
    <row r="18455" spans="11:14" x14ac:dyDescent="0.3">
      <c r="K18455" s="1">
        <v>43374</v>
      </c>
      <c r="M18455" t="e">
        <v>#N/A</v>
      </c>
      <c r="N18455" s="1">
        <v>42917</v>
      </c>
    </row>
    <row r="18456" spans="11:14" x14ac:dyDescent="0.3">
      <c r="K18456" s="1">
        <v>43374</v>
      </c>
      <c r="M18456" t="e">
        <v>#N/A</v>
      </c>
      <c r="N18456" s="1">
        <v>42917</v>
      </c>
    </row>
    <row r="18457" spans="11:14" x14ac:dyDescent="0.3">
      <c r="K18457" s="1">
        <v>43374</v>
      </c>
      <c r="M18457" t="e">
        <v>#N/A</v>
      </c>
      <c r="N18457" s="1">
        <v>42917</v>
      </c>
    </row>
    <row r="18458" spans="11:14" x14ac:dyDescent="0.3">
      <c r="K18458" s="1">
        <v>43374</v>
      </c>
      <c r="M18458" t="e">
        <v>#N/A</v>
      </c>
      <c r="N18458" s="1">
        <v>42917</v>
      </c>
    </row>
    <row r="18459" spans="11:14" x14ac:dyDescent="0.3">
      <c r="K18459" s="1">
        <v>43374</v>
      </c>
      <c r="M18459" t="e">
        <v>#N/A</v>
      </c>
      <c r="N18459" s="1">
        <v>42917</v>
      </c>
    </row>
    <row r="18460" spans="11:14" x14ac:dyDescent="0.3">
      <c r="K18460" s="1">
        <v>43374</v>
      </c>
      <c r="M18460" t="e">
        <v>#N/A</v>
      </c>
      <c r="N18460" s="1">
        <v>42917</v>
      </c>
    </row>
    <row r="18461" spans="11:14" x14ac:dyDescent="0.3">
      <c r="K18461" s="1">
        <v>43374</v>
      </c>
      <c r="M18461" t="e">
        <v>#N/A</v>
      </c>
      <c r="N18461" s="1">
        <v>42917</v>
      </c>
    </row>
    <row r="18462" spans="11:14" x14ac:dyDescent="0.3">
      <c r="K18462" s="1">
        <v>43374</v>
      </c>
      <c r="M18462" t="e">
        <v>#N/A</v>
      </c>
      <c r="N18462" s="1">
        <v>42917</v>
      </c>
    </row>
    <row r="18463" spans="11:14" x14ac:dyDescent="0.3">
      <c r="K18463" s="1">
        <v>43374</v>
      </c>
      <c r="M18463" t="e">
        <v>#N/A</v>
      </c>
      <c r="N18463" s="1">
        <v>42917</v>
      </c>
    </row>
    <row r="18464" spans="11:14" x14ac:dyDescent="0.3">
      <c r="K18464" s="1">
        <v>43374</v>
      </c>
      <c r="M18464" t="e">
        <v>#N/A</v>
      </c>
      <c r="N18464" s="1">
        <v>42917</v>
      </c>
    </row>
    <row r="18465" spans="11:14" x14ac:dyDescent="0.3">
      <c r="K18465" s="1">
        <v>43374</v>
      </c>
      <c r="M18465" t="e">
        <v>#N/A</v>
      </c>
      <c r="N18465" s="1">
        <v>42917</v>
      </c>
    </row>
    <row r="18466" spans="11:14" x14ac:dyDescent="0.3">
      <c r="K18466" s="1">
        <v>43374</v>
      </c>
      <c r="M18466" t="e">
        <v>#N/A</v>
      </c>
      <c r="N18466" s="1">
        <v>42917</v>
      </c>
    </row>
    <row r="18467" spans="11:14" x14ac:dyDescent="0.3">
      <c r="K18467" s="1">
        <v>43374</v>
      </c>
      <c r="M18467" t="e">
        <v>#N/A</v>
      </c>
      <c r="N18467" s="1">
        <v>42917</v>
      </c>
    </row>
    <row r="18468" spans="11:14" x14ac:dyDescent="0.3">
      <c r="K18468" s="1">
        <v>43374</v>
      </c>
      <c r="M18468" t="e">
        <v>#N/A</v>
      </c>
      <c r="N18468" s="1">
        <v>42917</v>
      </c>
    </row>
    <row r="18469" spans="11:14" x14ac:dyDescent="0.3">
      <c r="K18469" s="1">
        <v>43374</v>
      </c>
      <c r="M18469" t="e">
        <v>#N/A</v>
      </c>
      <c r="N18469" s="1">
        <v>42917</v>
      </c>
    </row>
    <row r="18470" spans="11:14" x14ac:dyDescent="0.3">
      <c r="K18470" s="1">
        <v>43374</v>
      </c>
      <c r="M18470" t="e">
        <v>#N/A</v>
      </c>
      <c r="N18470" s="1">
        <v>42917</v>
      </c>
    </row>
    <row r="18471" spans="11:14" x14ac:dyDescent="0.3">
      <c r="K18471" s="1">
        <v>43374</v>
      </c>
      <c r="M18471" t="e">
        <v>#N/A</v>
      </c>
      <c r="N18471" s="1">
        <v>42917</v>
      </c>
    </row>
    <row r="18472" spans="11:14" x14ac:dyDescent="0.3">
      <c r="K18472" s="1">
        <v>43374</v>
      </c>
      <c r="M18472" t="e">
        <v>#N/A</v>
      </c>
      <c r="N18472" s="1">
        <v>42917</v>
      </c>
    </row>
    <row r="18473" spans="11:14" x14ac:dyDescent="0.3">
      <c r="K18473" s="1">
        <v>43374</v>
      </c>
      <c r="M18473" t="e">
        <v>#N/A</v>
      </c>
      <c r="N18473" s="1">
        <v>42917</v>
      </c>
    </row>
    <row r="18474" spans="11:14" x14ac:dyDescent="0.3">
      <c r="K18474" s="1">
        <v>43374</v>
      </c>
      <c r="M18474" t="e">
        <v>#N/A</v>
      </c>
      <c r="N18474" s="1">
        <v>42917</v>
      </c>
    </row>
    <row r="18475" spans="11:14" x14ac:dyDescent="0.3">
      <c r="K18475" s="1">
        <v>43374</v>
      </c>
      <c r="M18475" t="e">
        <v>#N/A</v>
      </c>
      <c r="N18475" s="1">
        <v>42917</v>
      </c>
    </row>
    <row r="18476" spans="11:14" x14ac:dyDescent="0.3">
      <c r="K18476" s="1">
        <v>43374</v>
      </c>
      <c r="M18476" t="e">
        <v>#N/A</v>
      </c>
      <c r="N18476" s="1">
        <v>42917</v>
      </c>
    </row>
    <row r="18477" spans="11:14" x14ac:dyDescent="0.3">
      <c r="K18477" s="1">
        <v>43374</v>
      </c>
      <c r="M18477" t="e">
        <v>#N/A</v>
      </c>
      <c r="N18477" s="1">
        <v>42917</v>
      </c>
    </row>
    <row r="18478" spans="11:14" x14ac:dyDescent="0.3">
      <c r="K18478" s="1">
        <v>43374</v>
      </c>
      <c r="M18478" t="e">
        <v>#N/A</v>
      </c>
      <c r="N18478" s="1">
        <v>42917</v>
      </c>
    </row>
    <row r="18479" spans="11:14" x14ac:dyDescent="0.3">
      <c r="K18479" s="1">
        <v>43374</v>
      </c>
      <c r="M18479" t="e">
        <v>#N/A</v>
      </c>
      <c r="N18479" s="1">
        <v>42917</v>
      </c>
    </row>
    <row r="18480" spans="11:14" x14ac:dyDescent="0.3">
      <c r="K18480" s="1">
        <v>43374</v>
      </c>
      <c r="M18480" t="e">
        <v>#N/A</v>
      </c>
      <c r="N18480" s="1">
        <v>42917</v>
      </c>
    </row>
    <row r="18481" spans="11:14" x14ac:dyDescent="0.3">
      <c r="K18481" s="1">
        <v>43374</v>
      </c>
      <c r="M18481" t="e">
        <v>#N/A</v>
      </c>
      <c r="N18481" s="1">
        <v>42917</v>
      </c>
    </row>
    <row r="18482" spans="11:14" x14ac:dyDescent="0.3">
      <c r="K18482" s="1">
        <v>43374</v>
      </c>
      <c r="M18482" t="e">
        <v>#N/A</v>
      </c>
      <c r="N18482" s="1">
        <v>42917</v>
      </c>
    </row>
    <row r="18483" spans="11:14" x14ac:dyDescent="0.3">
      <c r="K18483" s="1">
        <v>43374</v>
      </c>
      <c r="M18483" t="e">
        <v>#N/A</v>
      </c>
      <c r="N18483" s="1">
        <v>42917</v>
      </c>
    </row>
    <row r="18484" spans="11:14" x14ac:dyDescent="0.3">
      <c r="K18484" s="1">
        <v>43374</v>
      </c>
      <c r="M18484" t="e">
        <v>#N/A</v>
      </c>
      <c r="N18484" s="1">
        <v>42917</v>
      </c>
    </row>
    <row r="18485" spans="11:14" x14ac:dyDescent="0.3">
      <c r="K18485" s="1">
        <v>43374</v>
      </c>
      <c r="M18485" t="e">
        <v>#N/A</v>
      </c>
      <c r="N18485" s="1">
        <v>42917</v>
      </c>
    </row>
    <row r="18486" spans="11:14" x14ac:dyDescent="0.3">
      <c r="K18486" s="1">
        <v>43374</v>
      </c>
      <c r="M18486" t="e">
        <v>#N/A</v>
      </c>
      <c r="N18486" s="1">
        <v>42917</v>
      </c>
    </row>
    <row r="18487" spans="11:14" x14ac:dyDescent="0.3">
      <c r="K18487" s="1">
        <v>43374</v>
      </c>
      <c r="M18487" t="e">
        <v>#N/A</v>
      </c>
      <c r="N18487" s="1">
        <v>42917</v>
      </c>
    </row>
    <row r="18488" spans="11:14" x14ac:dyDescent="0.3">
      <c r="K18488" s="1">
        <v>43374</v>
      </c>
      <c r="M18488" t="e">
        <v>#N/A</v>
      </c>
      <c r="N18488" s="1">
        <v>42917</v>
      </c>
    </row>
    <row r="18489" spans="11:14" x14ac:dyDescent="0.3">
      <c r="K18489" s="1">
        <v>43374</v>
      </c>
      <c r="M18489" t="e">
        <v>#N/A</v>
      </c>
      <c r="N18489" s="1">
        <v>42917</v>
      </c>
    </row>
    <row r="18490" spans="11:14" x14ac:dyDescent="0.3">
      <c r="K18490" s="1">
        <v>43374</v>
      </c>
      <c r="M18490" t="e">
        <v>#N/A</v>
      </c>
      <c r="N18490" s="1">
        <v>42917</v>
      </c>
    </row>
    <row r="18491" spans="11:14" x14ac:dyDescent="0.3">
      <c r="K18491" s="1">
        <v>43374</v>
      </c>
      <c r="M18491" t="e">
        <v>#N/A</v>
      </c>
      <c r="N18491" s="1">
        <v>42917</v>
      </c>
    </row>
    <row r="18492" spans="11:14" x14ac:dyDescent="0.3">
      <c r="K18492" s="1">
        <v>43374</v>
      </c>
      <c r="M18492" t="e">
        <v>#N/A</v>
      </c>
      <c r="N18492" s="1">
        <v>42917</v>
      </c>
    </row>
    <row r="18493" spans="11:14" x14ac:dyDescent="0.3">
      <c r="K18493" s="1">
        <v>43374</v>
      </c>
      <c r="M18493" t="e">
        <v>#N/A</v>
      </c>
      <c r="N18493" s="1">
        <v>42917</v>
      </c>
    </row>
    <row r="18494" spans="11:14" x14ac:dyDescent="0.3">
      <c r="K18494" s="1">
        <v>43374</v>
      </c>
      <c r="M18494" t="e">
        <v>#N/A</v>
      </c>
      <c r="N18494" s="1">
        <v>42917</v>
      </c>
    </row>
    <row r="18495" spans="11:14" x14ac:dyDescent="0.3">
      <c r="K18495" s="1">
        <v>43374</v>
      </c>
      <c r="M18495" t="e">
        <v>#N/A</v>
      </c>
      <c r="N18495" s="1">
        <v>42917</v>
      </c>
    </row>
    <row r="18496" spans="11:14" x14ac:dyDescent="0.3">
      <c r="K18496" s="1">
        <v>43374</v>
      </c>
      <c r="M18496" t="e">
        <v>#N/A</v>
      </c>
      <c r="N18496" s="1">
        <v>42917</v>
      </c>
    </row>
    <row r="18497" spans="11:14" x14ac:dyDescent="0.3">
      <c r="K18497" s="1">
        <v>43374</v>
      </c>
      <c r="M18497" t="e">
        <v>#N/A</v>
      </c>
      <c r="N18497" s="1">
        <v>42917</v>
      </c>
    </row>
    <row r="18498" spans="11:14" x14ac:dyDescent="0.3">
      <c r="K18498" s="1">
        <v>43374</v>
      </c>
      <c r="M18498" t="e">
        <v>#N/A</v>
      </c>
      <c r="N18498" s="1">
        <v>42917</v>
      </c>
    </row>
    <row r="18499" spans="11:14" x14ac:dyDescent="0.3">
      <c r="K18499" s="1">
        <v>43374</v>
      </c>
      <c r="M18499" t="e">
        <v>#N/A</v>
      </c>
      <c r="N18499" s="1">
        <v>42917</v>
      </c>
    </row>
    <row r="18500" spans="11:14" x14ac:dyDescent="0.3">
      <c r="K18500" s="1">
        <v>43374</v>
      </c>
      <c r="M18500" t="e">
        <v>#N/A</v>
      </c>
      <c r="N18500" s="1">
        <v>42917</v>
      </c>
    </row>
    <row r="18501" spans="11:14" x14ac:dyDescent="0.3">
      <c r="K18501" s="1">
        <v>43374</v>
      </c>
      <c r="M18501" t="e">
        <v>#N/A</v>
      </c>
      <c r="N18501" s="1">
        <v>42917</v>
      </c>
    </row>
    <row r="18502" spans="11:14" x14ac:dyDescent="0.3">
      <c r="K18502" s="1">
        <v>43374</v>
      </c>
      <c r="M18502" t="e">
        <v>#N/A</v>
      </c>
      <c r="N18502" s="1">
        <v>42917</v>
      </c>
    </row>
    <row r="18503" spans="11:14" x14ac:dyDescent="0.3">
      <c r="K18503" s="1">
        <v>43374</v>
      </c>
      <c r="M18503" t="e">
        <v>#N/A</v>
      </c>
      <c r="N18503" s="1">
        <v>42917</v>
      </c>
    </row>
    <row r="18504" spans="11:14" x14ac:dyDescent="0.3">
      <c r="K18504" s="1">
        <v>43374</v>
      </c>
      <c r="M18504" t="e">
        <v>#N/A</v>
      </c>
      <c r="N18504" s="1">
        <v>42917</v>
      </c>
    </row>
    <row r="18505" spans="11:14" x14ac:dyDescent="0.3">
      <c r="K18505" s="1">
        <v>43374</v>
      </c>
      <c r="M18505" t="e">
        <v>#N/A</v>
      </c>
      <c r="N18505" s="1">
        <v>42917</v>
      </c>
    </row>
    <row r="18506" spans="11:14" x14ac:dyDescent="0.3">
      <c r="K18506" s="1">
        <v>43374</v>
      </c>
      <c r="M18506" t="e">
        <v>#N/A</v>
      </c>
      <c r="N18506" s="1">
        <v>42917</v>
      </c>
    </row>
    <row r="18507" spans="11:14" x14ac:dyDescent="0.3">
      <c r="K18507" s="1">
        <v>43374</v>
      </c>
      <c r="M18507" t="e">
        <v>#N/A</v>
      </c>
      <c r="N18507" s="1">
        <v>42917</v>
      </c>
    </row>
    <row r="18508" spans="11:14" x14ac:dyDescent="0.3">
      <c r="K18508" s="1">
        <v>43374</v>
      </c>
      <c r="M18508" t="e">
        <v>#N/A</v>
      </c>
      <c r="N18508" s="1">
        <v>42917</v>
      </c>
    </row>
    <row r="18509" spans="11:14" x14ac:dyDescent="0.3">
      <c r="K18509" s="1">
        <v>43374</v>
      </c>
      <c r="M18509" t="e">
        <v>#N/A</v>
      </c>
      <c r="N18509" s="1">
        <v>42917</v>
      </c>
    </row>
    <row r="18510" spans="11:14" x14ac:dyDescent="0.3">
      <c r="K18510" s="1">
        <v>43374</v>
      </c>
      <c r="M18510" t="e">
        <v>#N/A</v>
      </c>
      <c r="N18510" s="1">
        <v>42917</v>
      </c>
    </row>
    <row r="18511" spans="11:14" x14ac:dyDescent="0.3">
      <c r="K18511" s="1">
        <v>43374</v>
      </c>
      <c r="M18511" t="e">
        <v>#N/A</v>
      </c>
      <c r="N18511" s="1">
        <v>42917</v>
      </c>
    </row>
    <row r="18512" spans="11:14" x14ac:dyDescent="0.3">
      <c r="K18512" s="1">
        <v>43374</v>
      </c>
      <c r="M18512" t="e">
        <v>#N/A</v>
      </c>
      <c r="N18512" s="1">
        <v>42917</v>
      </c>
    </row>
    <row r="18513" spans="11:14" x14ac:dyDescent="0.3">
      <c r="K18513" s="1">
        <v>43374</v>
      </c>
      <c r="M18513" t="e">
        <v>#N/A</v>
      </c>
      <c r="N18513" s="1">
        <v>42917</v>
      </c>
    </row>
    <row r="18514" spans="11:14" x14ac:dyDescent="0.3">
      <c r="K18514" s="1">
        <v>43374</v>
      </c>
      <c r="M18514" t="e">
        <v>#N/A</v>
      </c>
      <c r="N18514" s="1">
        <v>42917</v>
      </c>
    </row>
    <row r="18515" spans="11:14" x14ac:dyDescent="0.3">
      <c r="K18515" s="1">
        <v>43374</v>
      </c>
      <c r="M18515" t="e">
        <v>#N/A</v>
      </c>
      <c r="N18515" s="1">
        <v>42917</v>
      </c>
    </row>
    <row r="18516" spans="11:14" x14ac:dyDescent="0.3">
      <c r="K18516" s="1">
        <v>43374</v>
      </c>
      <c r="M18516" t="e">
        <v>#N/A</v>
      </c>
      <c r="N18516" s="1">
        <v>43009</v>
      </c>
    </row>
    <row r="18517" spans="11:14" x14ac:dyDescent="0.3">
      <c r="K18517" s="1">
        <v>43374</v>
      </c>
      <c r="M18517" t="e">
        <v>#N/A</v>
      </c>
      <c r="N18517" s="1">
        <v>43009</v>
      </c>
    </row>
    <row r="18518" spans="11:14" x14ac:dyDescent="0.3">
      <c r="K18518" s="1">
        <v>43374</v>
      </c>
      <c r="M18518" t="e">
        <v>#N/A</v>
      </c>
      <c r="N18518" s="1">
        <v>43009</v>
      </c>
    </row>
    <row r="18519" spans="11:14" x14ac:dyDescent="0.3">
      <c r="K18519" s="1">
        <v>43374</v>
      </c>
      <c r="M18519" t="e">
        <v>#N/A</v>
      </c>
      <c r="N18519" s="1">
        <v>43009</v>
      </c>
    </row>
    <row r="18520" spans="11:14" x14ac:dyDescent="0.3">
      <c r="K18520" s="1">
        <v>43374</v>
      </c>
      <c r="M18520" t="e">
        <v>#N/A</v>
      </c>
      <c r="N18520" s="1">
        <v>43009</v>
      </c>
    </row>
    <row r="18521" spans="11:14" x14ac:dyDescent="0.3">
      <c r="K18521" s="1">
        <v>43374</v>
      </c>
      <c r="M18521" t="e">
        <v>#N/A</v>
      </c>
      <c r="N18521" s="1">
        <v>43009</v>
      </c>
    </row>
    <row r="18522" spans="11:14" x14ac:dyDescent="0.3">
      <c r="K18522" s="1">
        <v>43374</v>
      </c>
      <c r="M18522" t="e">
        <v>#N/A</v>
      </c>
      <c r="N18522" s="1">
        <v>43009</v>
      </c>
    </row>
    <row r="18523" spans="11:14" x14ac:dyDescent="0.3">
      <c r="K18523" s="1">
        <v>43374</v>
      </c>
      <c r="M18523" t="e">
        <v>#N/A</v>
      </c>
      <c r="N18523" s="1">
        <v>43009</v>
      </c>
    </row>
    <row r="18524" spans="11:14" x14ac:dyDescent="0.3">
      <c r="K18524" s="1">
        <v>43374</v>
      </c>
      <c r="M18524" t="e">
        <v>#N/A</v>
      </c>
      <c r="N18524" s="1">
        <v>43009</v>
      </c>
    </row>
    <row r="18525" spans="11:14" x14ac:dyDescent="0.3">
      <c r="K18525" s="1">
        <v>43374</v>
      </c>
      <c r="M18525" t="e">
        <v>#N/A</v>
      </c>
      <c r="N18525" s="1">
        <v>43009</v>
      </c>
    </row>
    <row r="18526" spans="11:14" x14ac:dyDescent="0.3">
      <c r="K18526" s="1">
        <v>43374</v>
      </c>
      <c r="M18526" t="e">
        <v>#N/A</v>
      </c>
      <c r="N18526" s="1">
        <v>43009</v>
      </c>
    </row>
    <row r="18527" spans="11:14" x14ac:dyDescent="0.3">
      <c r="K18527" s="1">
        <v>43374</v>
      </c>
      <c r="M18527" t="e">
        <v>#N/A</v>
      </c>
      <c r="N18527" s="1">
        <v>43009</v>
      </c>
    </row>
    <row r="18528" spans="11:14" x14ac:dyDescent="0.3">
      <c r="K18528" s="1">
        <v>43374</v>
      </c>
      <c r="M18528" t="e">
        <v>#N/A</v>
      </c>
      <c r="N18528" s="1">
        <v>43009</v>
      </c>
    </row>
    <row r="18529" spans="11:14" x14ac:dyDescent="0.3">
      <c r="K18529" s="1">
        <v>43374</v>
      </c>
      <c r="M18529" t="e">
        <v>#N/A</v>
      </c>
      <c r="N18529" s="1">
        <v>43009</v>
      </c>
    </row>
    <row r="18530" spans="11:14" x14ac:dyDescent="0.3">
      <c r="K18530" s="1">
        <v>43374</v>
      </c>
      <c r="M18530" t="e">
        <v>#N/A</v>
      </c>
      <c r="N18530" s="1">
        <v>43009</v>
      </c>
    </row>
    <row r="18531" spans="11:14" x14ac:dyDescent="0.3">
      <c r="K18531" s="1">
        <v>43374</v>
      </c>
      <c r="M18531" t="e">
        <v>#N/A</v>
      </c>
      <c r="N18531" s="1">
        <v>43009</v>
      </c>
    </row>
    <row r="18532" spans="11:14" x14ac:dyDescent="0.3">
      <c r="K18532" s="1">
        <v>43374</v>
      </c>
      <c r="M18532" t="e">
        <v>#N/A</v>
      </c>
      <c r="N18532" s="1">
        <v>43009</v>
      </c>
    </row>
    <row r="18533" spans="11:14" x14ac:dyDescent="0.3">
      <c r="K18533" s="1">
        <v>43374</v>
      </c>
      <c r="M18533" t="e">
        <v>#N/A</v>
      </c>
      <c r="N18533" s="1">
        <v>43009</v>
      </c>
    </row>
    <row r="18534" spans="11:14" x14ac:dyDescent="0.3">
      <c r="K18534" s="1">
        <v>43374</v>
      </c>
      <c r="M18534" t="e">
        <v>#N/A</v>
      </c>
      <c r="N18534" s="1">
        <v>43009</v>
      </c>
    </row>
    <row r="18535" spans="11:14" x14ac:dyDescent="0.3">
      <c r="K18535" s="1">
        <v>43374</v>
      </c>
      <c r="M18535" t="e">
        <v>#N/A</v>
      </c>
      <c r="N18535" s="1">
        <v>43009</v>
      </c>
    </row>
    <row r="18536" spans="11:14" x14ac:dyDescent="0.3">
      <c r="K18536" s="1">
        <v>43374</v>
      </c>
      <c r="M18536" t="e">
        <v>#N/A</v>
      </c>
      <c r="N18536" s="1">
        <v>43009</v>
      </c>
    </row>
    <row r="18537" spans="11:14" x14ac:dyDescent="0.3">
      <c r="K18537" s="1">
        <v>43374</v>
      </c>
      <c r="M18537" t="e">
        <v>#N/A</v>
      </c>
      <c r="N18537" s="1">
        <v>43009</v>
      </c>
    </row>
    <row r="18538" spans="11:14" x14ac:dyDescent="0.3">
      <c r="K18538" s="1">
        <v>43374</v>
      </c>
      <c r="M18538" t="e">
        <v>#N/A</v>
      </c>
      <c r="N18538" s="1">
        <v>43009</v>
      </c>
    </row>
    <row r="18539" spans="11:14" x14ac:dyDescent="0.3">
      <c r="K18539" s="1">
        <v>43374</v>
      </c>
      <c r="M18539" t="e">
        <v>#N/A</v>
      </c>
      <c r="N18539" s="1">
        <v>43009</v>
      </c>
    </row>
    <row r="18540" spans="11:14" x14ac:dyDescent="0.3">
      <c r="K18540" s="1">
        <v>43374</v>
      </c>
      <c r="M18540" t="e">
        <v>#N/A</v>
      </c>
      <c r="N18540" s="1">
        <v>43009</v>
      </c>
    </row>
    <row r="18541" spans="11:14" x14ac:dyDescent="0.3">
      <c r="K18541" s="1">
        <v>43374</v>
      </c>
      <c r="M18541" t="e">
        <v>#N/A</v>
      </c>
      <c r="N18541" s="1">
        <v>43009</v>
      </c>
    </row>
    <row r="18542" spans="11:14" x14ac:dyDescent="0.3">
      <c r="K18542" s="1">
        <v>43374</v>
      </c>
      <c r="M18542" t="e">
        <v>#N/A</v>
      </c>
      <c r="N18542" s="1">
        <v>43009</v>
      </c>
    </row>
    <row r="18543" spans="11:14" x14ac:dyDescent="0.3">
      <c r="K18543" s="1">
        <v>43374</v>
      </c>
      <c r="M18543" t="e">
        <v>#N/A</v>
      </c>
      <c r="N18543" s="1">
        <v>43009</v>
      </c>
    </row>
    <row r="18544" spans="11:14" x14ac:dyDescent="0.3">
      <c r="K18544" s="1">
        <v>43374</v>
      </c>
      <c r="M18544" t="e">
        <v>#N/A</v>
      </c>
      <c r="N18544" s="1">
        <v>43009</v>
      </c>
    </row>
    <row r="18545" spans="11:14" x14ac:dyDescent="0.3">
      <c r="K18545" s="1">
        <v>43374</v>
      </c>
      <c r="M18545" t="e">
        <v>#N/A</v>
      </c>
      <c r="N18545" s="1">
        <v>43009</v>
      </c>
    </row>
    <row r="18546" spans="11:14" x14ac:dyDescent="0.3">
      <c r="K18546" s="1">
        <v>43374</v>
      </c>
      <c r="M18546" t="e">
        <v>#N/A</v>
      </c>
      <c r="N18546" s="1">
        <v>43009</v>
      </c>
    </row>
    <row r="18547" spans="11:14" x14ac:dyDescent="0.3">
      <c r="K18547" s="1">
        <v>43374</v>
      </c>
      <c r="M18547" t="e">
        <v>#N/A</v>
      </c>
      <c r="N18547" s="1">
        <v>43009</v>
      </c>
    </row>
    <row r="18548" spans="11:14" x14ac:dyDescent="0.3">
      <c r="K18548" s="1">
        <v>43374</v>
      </c>
      <c r="M18548" t="e">
        <v>#N/A</v>
      </c>
      <c r="N18548" s="1">
        <v>43009</v>
      </c>
    </row>
    <row r="18549" spans="11:14" x14ac:dyDescent="0.3">
      <c r="K18549" s="1">
        <v>43374</v>
      </c>
      <c r="M18549" t="e">
        <v>#N/A</v>
      </c>
      <c r="N18549" s="1">
        <v>43009</v>
      </c>
    </row>
    <row r="18550" spans="11:14" x14ac:dyDescent="0.3">
      <c r="K18550" s="1">
        <v>43374</v>
      </c>
      <c r="M18550" t="e">
        <v>#N/A</v>
      </c>
      <c r="N18550" s="1">
        <v>43009</v>
      </c>
    </row>
    <row r="18551" spans="11:14" x14ac:dyDescent="0.3">
      <c r="K18551" s="1">
        <v>43374</v>
      </c>
      <c r="M18551" t="e">
        <v>#N/A</v>
      </c>
      <c r="N18551" s="1">
        <v>43009</v>
      </c>
    </row>
    <row r="18552" spans="11:14" x14ac:dyDescent="0.3">
      <c r="K18552" s="1">
        <v>43374</v>
      </c>
      <c r="M18552" t="e">
        <v>#N/A</v>
      </c>
      <c r="N18552" s="1">
        <v>43009</v>
      </c>
    </row>
    <row r="18553" spans="11:14" x14ac:dyDescent="0.3">
      <c r="K18553" s="1">
        <v>43374</v>
      </c>
      <c r="M18553" t="e">
        <v>#N/A</v>
      </c>
      <c r="N18553" s="1">
        <v>43009</v>
      </c>
    </row>
    <row r="18554" spans="11:14" x14ac:dyDescent="0.3">
      <c r="K18554" s="1">
        <v>43374</v>
      </c>
      <c r="M18554" t="e">
        <v>#N/A</v>
      </c>
      <c r="N18554" s="1">
        <v>43009</v>
      </c>
    </row>
    <row r="18555" spans="11:14" x14ac:dyDescent="0.3">
      <c r="K18555" s="1">
        <v>43374</v>
      </c>
      <c r="M18555" t="e">
        <v>#N/A</v>
      </c>
      <c r="N18555" s="1">
        <v>43009</v>
      </c>
    </row>
    <row r="18556" spans="11:14" x14ac:dyDescent="0.3">
      <c r="K18556" s="1">
        <v>43374</v>
      </c>
      <c r="M18556" t="e">
        <v>#N/A</v>
      </c>
      <c r="N18556" s="1">
        <v>43009</v>
      </c>
    </row>
    <row r="18557" spans="11:14" x14ac:dyDescent="0.3">
      <c r="K18557" s="1">
        <v>43374</v>
      </c>
      <c r="M18557" t="e">
        <v>#N/A</v>
      </c>
      <c r="N18557" s="1">
        <v>43009</v>
      </c>
    </row>
    <row r="18558" spans="11:14" x14ac:dyDescent="0.3">
      <c r="K18558" s="1">
        <v>43374</v>
      </c>
      <c r="M18558" t="e">
        <v>#N/A</v>
      </c>
      <c r="N18558" s="1">
        <v>43009</v>
      </c>
    </row>
    <row r="18559" spans="11:14" x14ac:dyDescent="0.3">
      <c r="K18559" s="1">
        <v>43374</v>
      </c>
      <c r="M18559" t="e">
        <v>#N/A</v>
      </c>
      <c r="N18559" s="1">
        <v>43009</v>
      </c>
    </row>
    <row r="18560" spans="11:14" x14ac:dyDescent="0.3">
      <c r="K18560" s="1">
        <v>43374</v>
      </c>
      <c r="M18560" t="e">
        <v>#N/A</v>
      </c>
      <c r="N18560" s="1">
        <v>43009</v>
      </c>
    </row>
    <row r="18561" spans="11:14" x14ac:dyDescent="0.3">
      <c r="K18561" s="1">
        <v>43374</v>
      </c>
      <c r="M18561" t="e">
        <v>#N/A</v>
      </c>
      <c r="N18561" s="1">
        <v>43009</v>
      </c>
    </row>
    <row r="18562" spans="11:14" x14ac:dyDescent="0.3">
      <c r="K18562" s="1">
        <v>43374</v>
      </c>
      <c r="M18562" t="e">
        <v>#N/A</v>
      </c>
      <c r="N18562" s="1">
        <v>43009</v>
      </c>
    </row>
    <row r="18563" spans="11:14" x14ac:dyDescent="0.3">
      <c r="K18563" s="1">
        <v>43374</v>
      </c>
      <c r="M18563" t="e">
        <v>#N/A</v>
      </c>
      <c r="N18563" s="1">
        <v>43009</v>
      </c>
    </row>
    <row r="18564" spans="11:14" x14ac:dyDescent="0.3">
      <c r="K18564" s="1">
        <v>43374</v>
      </c>
      <c r="M18564" t="e">
        <v>#N/A</v>
      </c>
      <c r="N18564" s="1">
        <v>43009</v>
      </c>
    </row>
    <row r="18565" spans="11:14" x14ac:dyDescent="0.3">
      <c r="K18565" s="1">
        <v>43374</v>
      </c>
      <c r="M18565" t="e">
        <v>#N/A</v>
      </c>
      <c r="N18565" s="1">
        <v>43009</v>
      </c>
    </row>
    <row r="18566" spans="11:14" x14ac:dyDescent="0.3">
      <c r="K18566" s="1">
        <v>43374</v>
      </c>
      <c r="M18566" t="e">
        <v>#N/A</v>
      </c>
      <c r="N18566" s="1">
        <v>43009</v>
      </c>
    </row>
    <row r="18567" spans="11:14" x14ac:dyDescent="0.3">
      <c r="K18567" s="1">
        <v>43374</v>
      </c>
      <c r="M18567" t="e">
        <v>#N/A</v>
      </c>
      <c r="N18567" s="1">
        <v>43009</v>
      </c>
    </row>
    <row r="18568" spans="11:14" x14ac:dyDescent="0.3">
      <c r="K18568" s="1">
        <v>43374</v>
      </c>
      <c r="M18568" t="e">
        <v>#N/A</v>
      </c>
      <c r="N18568" s="1">
        <v>43009</v>
      </c>
    </row>
    <row r="18569" spans="11:14" x14ac:dyDescent="0.3">
      <c r="K18569" s="1">
        <v>43374</v>
      </c>
      <c r="M18569" t="e">
        <v>#N/A</v>
      </c>
      <c r="N18569" s="1">
        <v>43009</v>
      </c>
    </row>
    <row r="18570" spans="11:14" x14ac:dyDescent="0.3">
      <c r="K18570" s="1">
        <v>43374</v>
      </c>
      <c r="M18570" t="e">
        <v>#N/A</v>
      </c>
      <c r="N18570" s="1">
        <v>43009</v>
      </c>
    </row>
    <row r="18571" spans="11:14" x14ac:dyDescent="0.3">
      <c r="K18571" s="1">
        <v>43374</v>
      </c>
      <c r="M18571" t="e">
        <v>#N/A</v>
      </c>
      <c r="N18571" s="1">
        <v>43009</v>
      </c>
    </row>
    <row r="18572" spans="11:14" x14ac:dyDescent="0.3">
      <c r="K18572" s="1">
        <v>43374</v>
      </c>
      <c r="M18572" t="e">
        <v>#N/A</v>
      </c>
      <c r="N18572" s="1">
        <v>43009</v>
      </c>
    </row>
    <row r="18573" spans="11:14" x14ac:dyDescent="0.3">
      <c r="K18573" s="1">
        <v>43374</v>
      </c>
      <c r="M18573" t="e">
        <v>#N/A</v>
      </c>
      <c r="N18573" s="1">
        <v>43009</v>
      </c>
    </row>
    <row r="18574" spans="11:14" x14ac:dyDescent="0.3">
      <c r="K18574" s="1">
        <v>43374</v>
      </c>
      <c r="M18574" t="e">
        <v>#N/A</v>
      </c>
      <c r="N18574" s="1">
        <v>43009</v>
      </c>
    </row>
    <row r="18575" spans="11:14" x14ac:dyDescent="0.3">
      <c r="K18575" s="1">
        <v>43374</v>
      </c>
      <c r="M18575" t="e">
        <v>#N/A</v>
      </c>
      <c r="N18575" s="1">
        <v>43009</v>
      </c>
    </row>
    <row r="18576" spans="11:14" x14ac:dyDescent="0.3">
      <c r="K18576" s="1">
        <v>43374</v>
      </c>
      <c r="M18576" t="e">
        <v>#N/A</v>
      </c>
      <c r="N18576" s="1">
        <v>43009</v>
      </c>
    </row>
    <row r="18577" spans="11:14" x14ac:dyDescent="0.3">
      <c r="K18577" s="1">
        <v>43374</v>
      </c>
      <c r="M18577" t="e">
        <v>#N/A</v>
      </c>
      <c r="N18577" s="1">
        <v>43009</v>
      </c>
    </row>
    <row r="18578" spans="11:14" x14ac:dyDescent="0.3">
      <c r="K18578" s="1">
        <v>43374</v>
      </c>
      <c r="M18578" t="e">
        <v>#N/A</v>
      </c>
      <c r="N18578" s="1">
        <v>43009</v>
      </c>
    </row>
    <row r="18579" spans="11:14" x14ac:dyDescent="0.3">
      <c r="K18579" s="1">
        <v>43374</v>
      </c>
      <c r="M18579" t="e">
        <v>#N/A</v>
      </c>
      <c r="N18579" s="1">
        <v>43009</v>
      </c>
    </row>
    <row r="18580" spans="11:14" x14ac:dyDescent="0.3">
      <c r="K18580" s="1">
        <v>43374</v>
      </c>
      <c r="M18580" t="e">
        <v>#N/A</v>
      </c>
      <c r="N18580" s="1">
        <v>43009</v>
      </c>
    </row>
    <row r="18581" spans="11:14" x14ac:dyDescent="0.3">
      <c r="K18581" s="1">
        <v>43374</v>
      </c>
      <c r="M18581" t="e">
        <v>#N/A</v>
      </c>
      <c r="N18581" s="1">
        <v>43009</v>
      </c>
    </row>
    <row r="18582" spans="11:14" x14ac:dyDescent="0.3">
      <c r="K18582" s="1">
        <v>43374</v>
      </c>
      <c r="M18582" t="e">
        <v>#N/A</v>
      </c>
      <c r="N18582" s="1">
        <v>43009</v>
      </c>
    </row>
    <row r="18583" spans="11:14" x14ac:dyDescent="0.3">
      <c r="K18583" s="1">
        <v>43374</v>
      </c>
      <c r="M18583" t="e">
        <v>#N/A</v>
      </c>
      <c r="N18583" s="1">
        <v>43009</v>
      </c>
    </row>
    <row r="18584" spans="11:14" x14ac:dyDescent="0.3">
      <c r="K18584" s="1">
        <v>43374</v>
      </c>
      <c r="M18584" t="e">
        <v>#N/A</v>
      </c>
      <c r="N18584" s="1">
        <v>43009</v>
      </c>
    </row>
    <row r="18585" spans="11:14" x14ac:dyDescent="0.3">
      <c r="K18585" s="1">
        <v>43374</v>
      </c>
      <c r="M18585" t="e">
        <v>#N/A</v>
      </c>
      <c r="N18585" s="1">
        <v>43009</v>
      </c>
    </row>
    <row r="18586" spans="11:14" x14ac:dyDescent="0.3">
      <c r="K18586" s="1">
        <v>43374</v>
      </c>
      <c r="M18586" t="e">
        <v>#N/A</v>
      </c>
      <c r="N18586" s="1">
        <v>43009</v>
      </c>
    </row>
    <row r="18587" spans="11:14" x14ac:dyDescent="0.3">
      <c r="K18587" s="1">
        <v>43374</v>
      </c>
      <c r="M18587" t="e">
        <v>#N/A</v>
      </c>
      <c r="N18587" s="1">
        <v>43009</v>
      </c>
    </row>
    <row r="18588" spans="11:14" x14ac:dyDescent="0.3">
      <c r="K18588" s="1">
        <v>43374</v>
      </c>
      <c r="M18588" t="e">
        <v>#N/A</v>
      </c>
      <c r="N18588" s="1">
        <v>43009</v>
      </c>
    </row>
    <row r="18589" spans="11:14" x14ac:dyDescent="0.3">
      <c r="K18589" s="1">
        <v>43374</v>
      </c>
      <c r="M18589" t="e">
        <v>#N/A</v>
      </c>
      <c r="N18589" s="1">
        <v>43009</v>
      </c>
    </row>
    <row r="18590" spans="11:14" x14ac:dyDescent="0.3">
      <c r="K18590" s="1">
        <v>43374</v>
      </c>
      <c r="M18590" t="e">
        <v>#N/A</v>
      </c>
      <c r="N18590" s="1">
        <v>43009</v>
      </c>
    </row>
    <row r="18591" spans="11:14" x14ac:dyDescent="0.3">
      <c r="K18591" s="1">
        <v>43374</v>
      </c>
      <c r="M18591" t="e">
        <v>#N/A</v>
      </c>
      <c r="N18591" s="1">
        <v>43009</v>
      </c>
    </row>
    <row r="18592" spans="11:14" x14ac:dyDescent="0.3">
      <c r="K18592" s="1">
        <v>43374</v>
      </c>
      <c r="M18592" t="e">
        <v>#N/A</v>
      </c>
      <c r="N18592" s="1">
        <v>43009</v>
      </c>
    </row>
    <row r="18593" spans="11:14" x14ac:dyDescent="0.3">
      <c r="K18593" s="1">
        <v>43374</v>
      </c>
      <c r="M18593" t="e">
        <v>#N/A</v>
      </c>
      <c r="N18593" s="1">
        <v>43009</v>
      </c>
    </row>
    <row r="18594" spans="11:14" x14ac:dyDescent="0.3">
      <c r="K18594" s="1">
        <v>43374</v>
      </c>
      <c r="M18594" t="e">
        <v>#N/A</v>
      </c>
      <c r="N18594" s="1">
        <v>43009</v>
      </c>
    </row>
    <row r="18595" spans="11:14" x14ac:dyDescent="0.3">
      <c r="K18595" s="1">
        <v>43374</v>
      </c>
      <c r="M18595" t="e">
        <v>#N/A</v>
      </c>
      <c r="N18595" s="1">
        <v>43009</v>
      </c>
    </row>
    <row r="18596" spans="11:14" x14ac:dyDescent="0.3">
      <c r="K18596" s="1">
        <v>43374</v>
      </c>
      <c r="M18596" t="e">
        <v>#N/A</v>
      </c>
      <c r="N18596" s="1">
        <v>43009</v>
      </c>
    </row>
    <row r="18597" spans="11:14" x14ac:dyDescent="0.3">
      <c r="K18597" s="1">
        <v>43374</v>
      </c>
      <c r="M18597" t="e">
        <v>#N/A</v>
      </c>
      <c r="N18597" s="1">
        <v>43009</v>
      </c>
    </row>
    <row r="18598" spans="11:14" x14ac:dyDescent="0.3">
      <c r="K18598" s="1">
        <v>43374</v>
      </c>
      <c r="M18598" t="e">
        <v>#N/A</v>
      </c>
      <c r="N18598" s="1">
        <v>43009</v>
      </c>
    </row>
    <row r="18599" spans="11:14" x14ac:dyDescent="0.3">
      <c r="K18599" s="1">
        <v>43374</v>
      </c>
      <c r="M18599" t="e">
        <v>#N/A</v>
      </c>
      <c r="N18599" s="1">
        <v>43009</v>
      </c>
    </row>
    <row r="18600" spans="11:14" x14ac:dyDescent="0.3">
      <c r="K18600" s="1">
        <v>43374</v>
      </c>
      <c r="M18600" t="e">
        <v>#N/A</v>
      </c>
      <c r="N18600" s="1">
        <v>43009</v>
      </c>
    </row>
    <row r="18601" spans="11:14" x14ac:dyDescent="0.3">
      <c r="K18601" s="1">
        <v>43374</v>
      </c>
      <c r="M18601" t="e">
        <v>#N/A</v>
      </c>
      <c r="N18601" s="1">
        <v>43009</v>
      </c>
    </row>
    <row r="18602" spans="11:14" x14ac:dyDescent="0.3">
      <c r="K18602" s="1">
        <v>43374</v>
      </c>
      <c r="M18602" t="e">
        <v>#N/A</v>
      </c>
      <c r="N18602" s="1">
        <v>43009</v>
      </c>
    </row>
    <row r="18603" spans="11:14" x14ac:dyDescent="0.3">
      <c r="K18603" s="1">
        <v>43374</v>
      </c>
      <c r="M18603" t="e">
        <v>#N/A</v>
      </c>
      <c r="N18603" s="1">
        <v>43009</v>
      </c>
    </row>
    <row r="18604" spans="11:14" x14ac:dyDescent="0.3">
      <c r="K18604" s="1">
        <v>43374</v>
      </c>
      <c r="M18604" t="e">
        <v>#N/A</v>
      </c>
      <c r="N18604" s="1">
        <v>43009</v>
      </c>
    </row>
    <row r="18605" spans="11:14" x14ac:dyDescent="0.3">
      <c r="K18605" s="1">
        <v>43374</v>
      </c>
      <c r="M18605" t="e">
        <v>#N/A</v>
      </c>
      <c r="N18605" s="1">
        <v>43009</v>
      </c>
    </row>
    <row r="18606" spans="11:14" x14ac:dyDescent="0.3">
      <c r="K18606" s="1">
        <v>43374</v>
      </c>
      <c r="M18606" t="e">
        <v>#N/A</v>
      </c>
      <c r="N18606" s="1">
        <v>43009</v>
      </c>
    </row>
    <row r="18607" spans="11:14" x14ac:dyDescent="0.3">
      <c r="K18607" s="1">
        <v>43374</v>
      </c>
      <c r="M18607" t="e">
        <v>#N/A</v>
      </c>
      <c r="N18607" s="1">
        <v>43009</v>
      </c>
    </row>
    <row r="18608" spans="11:14" x14ac:dyDescent="0.3">
      <c r="K18608" s="1">
        <v>43374</v>
      </c>
      <c r="M18608" t="e">
        <v>#N/A</v>
      </c>
      <c r="N18608" s="1">
        <v>43009</v>
      </c>
    </row>
    <row r="18609" spans="11:14" x14ac:dyDescent="0.3">
      <c r="K18609" s="1">
        <v>43374</v>
      </c>
      <c r="M18609" t="e">
        <v>#N/A</v>
      </c>
      <c r="N18609" s="1">
        <v>43009</v>
      </c>
    </row>
    <row r="18610" spans="11:14" x14ac:dyDescent="0.3">
      <c r="K18610" s="1">
        <v>43374</v>
      </c>
      <c r="M18610" t="e">
        <v>#N/A</v>
      </c>
      <c r="N18610" s="1">
        <v>43009</v>
      </c>
    </row>
    <row r="18611" spans="11:14" x14ac:dyDescent="0.3">
      <c r="K18611" s="1">
        <v>43374</v>
      </c>
      <c r="M18611" t="e">
        <v>#N/A</v>
      </c>
      <c r="N18611" s="1">
        <v>43009</v>
      </c>
    </row>
    <row r="18612" spans="11:14" x14ac:dyDescent="0.3">
      <c r="K18612" s="1">
        <v>43374</v>
      </c>
      <c r="M18612" t="e">
        <v>#N/A</v>
      </c>
      <c r="N18612" s="1">
        <v>43009</v>
      </c>
    </row>
    <row r="18613" spans="11:14" x14ac:dyDescent="0.3">
      <c r="K18613" s="1">
        <v>43374</v>
      </c>
      <c r="M18613" t="e">
        <v>#N/A</v>
      </c>
      <c r="N18613" s="1">
        <v>43009</v>
      </c>
    </row>
    <row r="18614" spans="11:14" x14ac:dyDescent="0.3">
      <c r="K18614" s="1">
        <v>43374</v>
      </c>
      <c r="M18614" t="e">
        <v>#N/A</v>
      </c>
      <c r="N18614" s="1">
        <v>43009</v>
      </c>
    </row>
    <row r="18615" spans="11:14" x14ac:dyDescent="0.3">
      <c r="K18615" s="1">
        <v>43374</v>
      </c>
      <c r="M18615" t="e">
        <v>#N/A</v>
      </c>
      <c r="N18615" s="1">
        <v>43009</v>
      </c>
    </row>
    <row r="18616" spans="11:14" x14ac:dyDescent="0.3">
      <c r="K18616" s="1">
        <v>43374</v>
      </c>
      <c r="M18616" t="e">
        <v>#N/A</v>
      </c>
      <c r="N18616" s="1">
        <v>43009</v>
      </c>
    </row>
    <row r="18617" spans="11:14" x14ac:dyDescent="0.3">
      <c r="K18617" s="1">
        <v>43374</v>
      </c>
      <c r="M18617" t="e">
        <v>#N/A</v>
      </c>
      <c r="N18617" s="1">
        <v>43009</v>
      </c>
    </row>
    <row r="18618" spans="11:14" x14ac:dyDescent="0.3">
      <c r="K18618" s="1">
        <v>43374</v>
      </c>
      <c r="M18618" t="e">
        <v>#N/A</v>
      </c>
      <c r="N18618" s="1">
        <v>43009</v>
      </c>
    </row>
    <row r="18619" spans="11:14" x14ac:dyDescent="0.3">
      <c r="K18619" s="1">
        <v>43374</v>
      </c>
      <c r="M18619" t="e">
        <v>#N/A</v>
      </c>
      <c r="N18619" s="1">
        <v>43009</v>
      </c>
    </row>
    <row r="18620" spans="11:14" x14ac:dyDescent="0.3">
      <c r="K18620" s="1">
        <v>43374</v>
      </c>
      <c r="M18620" t="e">
        <v>#N/A</v>
      </c>
      <c r="N18620" s="1">
        <v>43009</v>
      </c>
    </row>
    <row r="18621" spans="11:14" x14ac:dyDescent="0.3">
      <c r="K18621" s="1">
        <v>43374</v>
      </c>
      <c r="M18621" t="e">
        <v>#N/A</v>
      </c>
      <c r="N18621" s="1">
        <v>43009</v>
      </c>
    </row>
    <row r="18622" spans="11:14" x14ac:dyDescent="0.3">
      <c r="K18622" s="1">
        <v>43374</v>
      </c>
      <c r="M18622" t="e">
        <v>#N/A</v>
      </c>
      <c r="N18622" s="1">
        <v>43009</v>
      </c>
    </row>
    <row r="18623" spans="11:14" x14ac:dyDescent="0.3">
      <c r="K18623" s="1">
        <v>43374</v>
      </c>
      <c r="M18623" t="e">
        <v>#N/A</v>
      </c>
      <c r="N18623" s="1">
        <v>43009</v>
      </c>
    </row>
    <row r="18624" spans="11:14" x14ac:dyDescent="0.3">
      <c r="K18624" s="1">
        <v>43374</v>
      </c>
      <c r="M18624" t="e">
        <v>#N/A</v>
      </c>
      <c r="N18624" s="1">
        <v>43009</v>
      </c>
    </row>
    <row r="18625" spans="11:14" x14ac:dyDescent="0.3">
      <c r="K18625" s="1">
        <v>43374</v>
      </c>
      <c r="M18625" t="e">
        <v>#N/A</v>
      </c>
      <c r="N18625" s="1">
        <v>43009</v>
      </c>
    </row>
    <row r="18626" spans="11:14" x14ac:dyDescent="0.3">
      <c r="K18626" s="1">
        <v>43374</v>
      </c>
      <c r="M18626" t="e">
        <v>#N/A</v>
      </c>
      <c r="N18626" s="1">
        <v>43009</v>
      </c>
    </row>
    <row r="18627" spans="11:14" x14ac:dyDescent="0.3">
      <c r="K18627" s="1">
        <v>43374</v>
      </c>
      <c r="M18627" t="e">
        <v>#N/A</v>
      </c>
      <c r="N18627" s="1">
        <v>43009</v>
      </c>
    </row>
    <row r="18628" spans="11:14" x14ac:dyDescent="0.3">
      <c r="K18628" s="1">
        <v>43374</v>
      </c>
      <c r="M18628" t="e">
        <v>#N/A</v>
      </c>
      <c r="N18628" s="1">
        <v>43009</v>
      </c>
    </row>
    <row r="18629" spans="11:14" x14ac:dyDescent="0.3">
      <c r="K18629" s="1">
        <v>43374</v>
      </c>
      <c r="M18629" t="e">
        <v>#N/A</v>
      </c>
      <c r="N18629" s="1">
        <v>43009</v>
      </c>
    </row>
    <row r="18630" spans="11:14" x14ac:dyDescent="0.3">
      <c r="K18630" s="1">
        <v>43374</v>
      </c>
      <c r="M18630" t="e">
        <v>#N/A</v>
      </c>
      <c r="N18630" s="1">
        <v>43009</v>
      </c>
    </row>
    <row r="18631" spans="11:14" x14ac:dyDescent="0.3">
      <c r="K18631" s="1">
        <v>43374</v>
      </c>
      <c r="M18631" t="e">
        <v>#N/A</v>
      </c>
      <c r="N18631" s="1">
        <v>43009</v>
      </c>
    </row>
    <row r="18632" spans="11:14" x14ac:dyDescent="0.3">
      <c r="K18632" s="1">
        <v>43374</v>
      </c>
      <c r="M18632" t="e">
        <v>#N/A</v>
      </c>
      <c r="N18632" s="1">
        <v>43009</v>
      </c>
    </row>
    <row r="18633" spans="11:14" x14ac:dyDescent="0.3">
      <c r="K18633" s="1">
        <v>43374</v>
      </c>
      <c r="M18633" t="e">
        <v>#N/A</v>
      </c>
      <c r="N18633" s="1">
        <v>43009</v>
      </c>
    </row>
    <row r="18634" spans="11:14" x14ac:dyDescent="0.3">
      <c r="K18634" s="1">
        <v>43374</v>
      </c>
      <c r="M18634" t="e">
        <v>#N/A</v>
      </c>
      <c r="N18634" s="1">
        <v>43009</v>
      </c>
    </row>
    <row r="18635" spans="11:14" x14ac:dyDescent="0.3">
      <c r="K18635" s="1">
        <v>43374</v>
      </c>
      <c r="M18635" t="e">
        <v>#N/A</v>
      </c>
      <c r="N18635" s="1">
        <v>43009</v>
      </c>
    </row>
    <row r="18636" spans="11:14" x14ac:dyDescent="0.3">
      <c r="K18636" s="1">
        <v>43374</v>
      </c>
      <c r="M18636" t="e">
        <v>#N/A</v>
      </c>
      <c r="N18636" s="1">
        <v>43009</v>
      </c>
    </row>
    <row r="18637" spans="11:14" x14ac:dyDescent="0.3">
      <c r="K18637" s="1">
        <v>43374</v>
      </c>
      <c r="M18637" t="e">
        <v>#N/A</v>
      </c>
      <c r="N18637" s="1">
        <v>43009</v>
      </c>
    </row>
    <row r="18638" spans="11:14" x14ac:dyDescent="0.3">
      <c r="K18638" s="1">
        <v>43374</v>
      </c>
      <c r="M18638" t="e">
        <v>#N/A</v>
      </c>
      <c r="N18638" s="1">
        <v>43009</v>
      </c>
    </row>
    <row r="18639" spans="11:14" x14ac:dyDescent="0.3">
      <c r="K18639" s="1">
        <v>43374</v>
      </c>
      <c r="M18639" t="e">
        <v>#N/A</v>
      </c>
      <c r="N18639" s="1">
        <v>43009</v>
      </c>
    </row>
    <row r="18640" spans="11:14" x14ac:dyDescent="0.3">
      <c r="K18640" s="1">
        <v>43374</v>
      </c>
      <c r="M18640" t="e">
        <v>#N/A</v>
      </c>
      <c r="N18640" s="1">
        <v>43009</v>
      </c>
    </row>
    <row r="18641" spans="11:14" x14ac:dyDescent="0.3">
      <c r="K18641" s="1">
        <v>43374</v>
      </c>
      <c r="M18641" t="e">
        <v>#N/A</v>
      </c>
      <c r="N18641" s="1">
        <v>43009</v>
      </c>
    </row>
    <row r="18642" spans="11:14" x14ac:dyDescent="0.3">
      <c r="K18642" s="1">
        <v>43374</v>
      </c>
      <c r="M18642" t="e">
        <v>#N/A</v>
      </c>
      <c r="N18642" s="1">
        <v>43009</v>
      </c>
    </row>
    <row r="18643" spans="11:14" x14ac:dyDescent="0.3">
      <c r="K18643" s="1">
        <v>43374</v>
      </c>
      <c r="M18643" t="e">
        <v>#N/A</v>
      </c>
      <c r="N18643" s="1">
        <v>43009</v>
      </c>
    </row>
    <row r="18644" spans="11:14" x14ac:dyDescent="0.3">
      <c r="K18644" s="1">
        <v>43374</v>
      </c>
      <c r="M18644" t="e">
        <v>#N/A</v>
      </c>
      <c r="N18644" s="1">
        <v>43009</v>
      </c>
    </row>
    <row r="18645" spans="11:14" x14ac:dyDescent="0.3">
      <c r="K18645" s="1">
        <v>43374</v>
      </c>
      <c r="M18645" t="e">
        <v>#N/A</v>
      </c>
      <c r="N18645" s="1">
        <v>43009</v>
      </c>
    </row>
    <row r="18646" spans="11:14" x14ac:dyDescent="0.3">
      <c r="K18646" s="1">
        <v>43374</v>
      </c>
      <c r="M18646" t="e">
        <v>#N/A</v>
      </c>
      <c r="N18646" s="1">
        <v>43009</v>
      </c>
    </row>
    <row r="18647" spans="11:14" x14ac:dyDescent="0.3">
      <c r="K18647" s="1">
        <v>43374</v>
      </c>
      <c r="M18647" t="e">
        <v>#N/A</v>
      </c>
      <c r="N18647" s="1">
        <v>43009</v>
      </c>
    </row>
    <row r="18648" spans="11:14" x14ac:dyDescent="0.3">
      <c r="K18648" s="1">
        <v>43374</v>
      </c>
      <c r="M18648" t="e">
        <v>#N/A</v>
      </c>
      <c r="N18648" s="1">
        <v>43009</v>
      </c>
    </row>
    <row r="18649" spans="11:14" x14ac:dyDescent="0.3">
      <c r="K18649" s="1">
        <v>43374</v>
      </c>
      <c r="M18649" t="e">
        <v>#N/A</v>
      </c>
      <c r="N18649" s="1">
        <v>43009</v>
      </c>
    </row>
    <row r="18650" spans="11:14" x14ac:dyDescent="0.3">
      <c r="K18650" s="1">
        <v>43374</v>
      </c>
      <c r="M18650" t="e">
        <v>#N/A</v>
      </c>
      <c r="N18650" s="1">
        <v>43009</v>
      </c>
    </row>
    <row r="18651" spans="11:14" x14ac:dyDescent="0.3">
      <c r="K18651" s="1">
        <v>43374</v>
      </c>
      <c r="M18651" t="e">
        <v>#N/A</v>
      </c>
      <c r="N18651" s="1">
        <v>43009</v>
      </c>
    </row>
    <row r="18652" spans="11:14" x14ac:dyDescent="0.3">
      <c r="K18652" s="1">
        <v>43374</v>
      </c>
      <c r="M18652" t="e">
        <v>#N/A</v>
      </c>
      <c r="N18652" s="1">
        <v>43009</v>
      </c>
    </row>
    <row r="18653" spans="11:14" x14ac:dyDescent="0.3">
      <c r="K18653" s="1">
        <v>43374</v>
      </c>
      <c r="M18653" t="e">
        <v>#N/A</v>
      </c>
      <c r="N18653" s="1">
        <v>43009</v>
      </c>
    </row>
    <row r="18654" spans="11:14" x14ac:dyDescent="0.3">
      <c r="K18654" s="1">
        <v>43374</v>
      </c>
      <c r="M18654" t="e">
        <v>#N/A</v>
      </c>
      <c r="N18654" s="1">
        <v>43009</v>
      </c>
    </row>
    <row r="18655" spans="11:14" x14ac:dyDescent="0.3">
      <c r="K18655" s="1">
        <v>43374</v>
      </c>
      <c r="M18655" t="e">
        <v>#N/A</v>
      </c>
      <c r="N18655" s="1">
        <v>43009</v>
      </c>
    </row>
    <row r="18656" spans="11:14" x14ac:dyDescent="0.3">
      <c r="K18656" s="1">
        <v>43374</v>
      </c>
      <c r="M18656" t="e">
        <v>#N/A</v>
      </c>
      <c r="N18656" s="1">
        <v>43009</v>
      </c>
    </row>
    <row r="18657" spans="11:14" x14ac:dyDescent="0.3">
      <c r="K18657" s="1">
        <v>43374</v>
      </c>
      <c r="M18657" t="e">
        <v>#N/A</v>
      </c>
      <c r="N18657" s="1">
        <v>43009</v>
      </c>
    </row>
    <row r="18658" spans="11:14" x14ac:dyDescent="0.3">
      <c r="K18658" s="1">
        <v>43374</v>
      </c>
      <c r="M18658" t="e">
        <v>#N/A</v>
      </c>
      <c r="N18658" s="1">
        <v>43009</v>
      </c>
    </row>
    <row r="18659" spans="11:14" x14ac:dyDescent="0.3">
      <c r="K18659" s="1">
        <v>43374</v>
      </c>
      <c r="M18659" t="e">
        <v>#N/A</v>
      </c>
      <c r="N18659" s="1">
        <v>43009</v>
      </c>
    </row>
    <row r="18660" spans="11:14" x14ac:dyDescent="0.3">
      <c r="K18660" s="1">
        <v>43374</v>
      </c>
      <c r="M18660" t="e">
        <v>#N/A</v>
      </c>
      <c r="N18660" s="1">
        <v>43009</v>
      </c>
    </row>
    <row r="18661" spans="11:14" x14ac:dyDescent="0.3">
      <c r="K18661" s="1">
        <v>43374</v>
      </c>
      <c r="M18661" t="e">
        <v>#N/A</v>
      </c>
      <c r="N18661" s="1">
        <v>43009</v>
      </c>
    </row>
    <row r="18662" spans="11:14" x14ac:dyDescent="0.3">
      <c r="K18662" s="1">
        <v>43374</v>
      </c>
      <c r="M18662" t="e">
        <v>#N/A</v>
      </c>
      <c r="N18662" s="1">
        <v>43009</v>
      </c>
    </row>
    <row r="18663" spans="11:14" x14ac:dyDescent="0.3">
      <c r="K18663" s="1">
        <v>43374</v>
      </c>
      <c r="M18663" t="e">
        <v>#N/A</v>
      </c>
      <c r="N18663" s="1">
        <v>43009</v>
      </c>
    </row>
    <row r="18664" spans="11:14" x14ac:dyDescent="0.3">
      <c r="K18664" s="1">
        <v>43374</v>
      </c>
      <c r="M18664" t="e">
        <v>#N/A</v>
      </c>
      <c r="N18664" s="1">
        <v>43009</v>
      </c>
    </row>
    <row r="18665" spans="11:14" x14ac:dyDescent="0.3">
      <c r="K18665" s="1">
        <v>43374</v>
      </c>
      <c r="M18665" t="e">
        <v>#N/A</v>
      </c>
      <c r="N18665" s="1">
        <v>43009</v>
      </c>
    </row>
    <row r="18666" spans="11:14" x14ac:dyDescent="0.3">
      <c r="K18666" s="1">
        <v>43374</v>
      </c>
      <c r="M18666" t="e">
        <v>#N/A</v>
      </c>
      <c r="N18666" s="1">
        <v>43009</v>
      </c>
    </row>
    <row r="18667" spans="11:14" x14ac:dyDescent="0.3">
      <c r="K18667" s="1">
        <v>43374</v>
      </c>
      <c r="M18667" t="e">
        <v>#N/A</v>
      </c>
      <c r="N18667" s="1">
        <v>43009</v>
      </c>
    </row>
    <row r="18668" spans="11:14" x14ac:dyDescent="0.3">
      <c r="K18668" s="1">
        <v>43374</v>
      </c>
      <c r="M18668" t="e">
        <v>#N/A</v>
      </c>
      <c r="N18668" s="1">
        <v>43009</v>
      </c>
    </row>
    <row r="18669" spans="11:14" x14ac:dyDescent="0.3">
      <c r="K18669" s="1">
        <v>43374</v>
      </c>
      <c r="M18669" t="e">
        <v>#N/A</v>
      </c>
      <c r="N18669" s="1">
        <v>43009</v>
      </c>
    </row>
    <row r="18670" spans="11:14" x14ac:dyDescent="0.3">
      <c r="K18670" s="1">
        <v>43374</v>
      </c>
      <c r="M18670" t="e">
        <v>#N/A</v>
      </c>
      <c r="N18670" s="1">
        <v>43009</v>
      </c>
    </row>
    <row r="18671" spans="11:14" x14ac:dyDescent="0.3">
      <c r="K18671" s="1">
        <v>43374</v>
      </c>
      <c r="M18671" t="e">
        <v>#N/A</v>
      </c>
      <c r="N18671" s="1">
        <v>43009</v>
      </c>
    </row>
    <row r="18672" spans="11:14" x14ac:dyDescent="0.3">
      <c r="K18672" s="1">
        <v>43374</v>
      </c>
      <c r="M18672" t="e">
        <v>#N/A</v>
      </c>
      <c r="N18672" s="1">
        <v>43009</v>
      </c>
    </row>
    <row r="18673" spans="11:14" x14ac:dyDescent="0.3">
      <c r="K18673" s="1">
        <v>43374</v>
      </c>
      <c r="M18673" t="e">
        <v>#N/A</v>
      </c>
      <c r="N18673" s="1">
        <v>43009</v>
      </c>
    </row>
    <row r="18674" spans="11:14" x14ac:dyDescent="0.3">
      <c r="K18674" s="1">
        <v>43374</v>
      </c>
      <c r="M18674" t="e">
        <v>#N/A</v>
      </c>
      <c r="N18674" s="1">
        <v>43009</v>
      </c>
    </row>
    <row r="18675" spans="11:14" x14ac:dyDescent="0.3">
      <c r="K18675" s="1">
        <v>43374</v>
      </c>
      <c r="M18675" t="e">
        <v>#N/A</v>
      </c>
      <c r="N18675" s="1">
        <v>43009</v>
      </c>
    </row>
    <row r="18676" spans="11:14" x14ac:dyDescent="0.3">
      <c r="K18676" s="1">
        <v>43374</v>
      </c>
      <c r="M18676" t="e">
        <v>#N/A</v>
      </c>
      <c r="N18676" s="1">
        <v>43009</v>
      </c>
    </row>
    <row r="18677" spans="11:14" x14ac:dyDescent="0.3">
      <c r="K18677" s="1">
        <v>43374</v>
      </c>
      <c r="M18677" t="e">
        <v>#N/A</v>
      </c>
      <c r="N18677" s="1">
        <v>43009</v>
      </c>
    </row>
    <row r="18678" spans="11:14" x14ac:dyDescent="0.3">
      <c r="K18678" s="1">
        <v>43374</v>
      </c>
      <c r="M18678" t="e">
        <v>#N/A</v>
      </c>
      <c r="N18678" s="1">
        <v>43009</v>
      </c>
    </row>
    <row r="18679" spans="11:14" x14ac:dyDescent="0.3">
      <c r="K18679" s="1">
        <v>43374</v>
      </c>
      <c r="M18679" t="e">
        <v>#N/A</v>
      </c>
      <c r="N18679" s="1">
        <v>43009</v>
      </c>
    </row>
    <row r="18680" spans="11:14" x14ac:dyDescent="0.3">
      <c r="K18680" s="1">
        <v>43374</v>
      </c>
      <c r="M18680" t="e">
        <v>#N/A</v>
      </c>
      <c r="N18680" s="1">
        <v>43009</v>
      </c>
    </row>
    <row r="18681" spans="11:14" x14ac:dyDescent="0.3">
      <c r="K18681" s="1">
        <v>43374</v>
      </c>
      <c r="M18681" t="e">
        <v>#N/A</v>
      </c>
      <c r="N18681" s="1">
        <v>43009</v>
      </c>
    </row>
    <row r="18682" spans="11:14" x14ac:dyDescent="0.3">
      <c r="K18682" s="1">
        <v>43374</v>
      </c>
      <c r="M18682" t="e">
        <v>#N/A</v>
      </c>
      <c r="N18682" s="1">
        <v>43009</v>
      </c>
    </row>
    <row r="18683" spans="11:14" x14ac:dyDescent="0.3">
      <c r="K18683" s="1">
        <v>43374</v>
      </c>
      <c r="M18683" t="e">
        <v>#N/A</v>
      </c>
      <c r="N18683" s="1">
        <v>43009</v>
      </c>
    </row>
    <row r="18684" spans="11:14" x14ac:dyDescent="0.3">
      <c r="K18684" s="1">
        <v>43374</v>
      </c>
      <c r="M18684" t="e">
        <v>#N/A</v>
      </c>
      <c r="N18684" s="1">
        <v>43009</v>
      </c>
    </row>
    <row r="18685" spans="11:14" x14ac:dyDescent="0.3">
      <c r="K18685" s="1">
        <v>43374</v>
      </c>
      <c r="M18685" t="e">
        <v>#N/A</v>
      </c>
      <c r="N18685" s="1">
        <v>43009</v>
      </c>
    </row>
    <row r="18686" spans="11:14" x14ac:dyDescent="0.3">
      <c r="K18686" s="1">
        <v>43374</v>
      </c>
      <c r="M18686" t="e">
        <v>#N/A</v>
      </c>
      <c r="N18686" s="1">
        <v>43009</v>
      </c>
    </row>
    <row r="18687" spans="11:14" x14ac:dyDescent="0.3">
      <c r="K18687" s="1">
        <v>43374</v>
      </c>
      <c r="M18687" t="e">
        <v>#N/A</v>
      </c>
      <c r="N18687" s="1">
        <v>43009</v>
      </c>
    </row>
    <row r="18688" spans="11:14" x14ac:dyDescent="0.3">
      <c r="K18688" s="1">
        <v>43374</v>
      </c>
      <c r="M18688" t="e">
        <v>#N/A</v>
      </c>
      <c r="N18688" s="1">
        <v>43009</v>
      </c>
    </row>
    <row r="18689" spans="11:14" x14ac:dyDescent="0.3">
      <c r="K18689" s="1">
        <v>43374</v>
      </c>
      <c r="M18689" t="e">
        <v>#N/A</v>
      </c>
      <c r="N18689" s="1">
        <v>43009</v>
      </c>
    </row>
    <row r="18690" spans="11:14" x14ac:dyDescent="0.3">
      <c r="K18690" s="1">
        <v>43374</v>
      </c>
      <c r="M18690" t="e">
        <v>#N/A</v>
      </c>
      <c r="N18690" s="1">
        <v>43009</v>
      </c>
    </row>
    <row r="18691" spans="11:14" x14ac:dyDescent="0.3">
      <c r="K18691" s="1">
        <v>43374</v>
      </c>
      <c r="M18691" t="e">
        <v>#N/A</v>
      </c>
      <c r="N18691" s="1">
        <v>43009</v>
      </c>
    </row>
    <row r="18692" spans="11:14" x14ac:dyDescent="0.3">
      <c r="K18692" s="1">
        <v>43374</v>
      </c>
      <c r="M18692" t="e">
        <v>#N/A</v>
      </c>
      <c r="N18692" s="1">
        <v>43009</v>
      </c>
    </row>
    <row r="18693" spans="11:14" x14ac:dyDescent="0.3">
      <c r="K18693" s="1">
        <v>43374</v>
      </c>
      <c r="M18693" t="e">
        <v>#N/A</v>
      </c>
      <c r="N18693" s="1">
        <v>43009</v>
      </c>
    </row>
    <row r="18694" spans="11:14" x14ac:dyDescent="0.3">
      <c r="K18694" s="1">
        <v>43374</v>
      </c>
      <c r="M18694" t="e">
        <v>#N/A</v>
      </c>
      <c r="N18694" s="1">
        <v>43009</v>
      </c>
    </row>
    <row r="18695" spans="11:14" x14ac:dyDescent="0.3">
      <c r="K18695" s="1">
        <v>43374</v>
      </c>
      <c r="M18695" t="e">
        <v>#N/A</v>
      </c>
      <c r="N18695" s="1">
        <v>43009</v>
      </c>
    </row>
    <row r="18696" spans="11:14" x14ac:dyDescent="0.3">
      <c r="K18696" s="1">
        <v>43374</v>
      </c>
      <c r="M18696" t="e">
        <v>#N/A</v>
      </c>
      <c r="N18696" s="1">
        <v>43009</v>
      </c>
    </row>
    <row r="18697" spans="11:14" x14ac:dyDescent="0.3">
      <c r="K18697" s="1">
        <v>43374</v>
      </c>
      <c r="M18697" t="e">
        <v>#N/A</v>
      </c>
      <c r="N18697" s="1">
        <v>43009</v>
      </c>
    </row>
    <row r="18698" spans="11:14" x14ac:dyDescent="0.3">
      <c r="K18698" s="1">
        <v>43374</v>
      </c>
      <c r="M18698" t="e">
        <v>#N/A</v>
      </c>
      <c r="N18698" s="1">
        <v>43009</v>
      </c>
    </row>
    <row r="18699" spans="11:14" x14ac:dyDescent="0.3">
      <c r="K18699" s="1">
        <v>43374</v>
      </c>
      <c r="M18699" t="e">
        <v>#N/A</v>
      </c>
      <c r="N18699" s="1">
        <v>43009</v>
      </c>
    </row>
    <row r="18700" spans="11:14" x14ac:dyDescent="0.3">
      <c r="K18700" s="1">
        <v>43374</v>
      </c>
      <c r="M18700" t="e">
        <v>#N/A</v>
      </c>
      <c r="N18700" s="1">
        <v>43009</v>
      </c>
    </row>
    <row r="18701" spans="11:14" x14ac:dyDescent="0.3">
      <c r="K18701" s="1">
        <v>43374</v>
      </c>
      <c r="M18701" t="e">
        <v>#N/A</v>
      </c>
      <c r="N18701" s="1">
        <v>43009</v>
      </c>
    </row>
    <row r="18702" spans="11:14" x14ac:dyDescent="0.3">
      <c r="K18702" s="1">
        <v>43374</v>
      </c>
      <c r="M18702" t="e">
        <v>#N/A</v>
      </c>
      <c r="N18702" s="1">
        <v>43009</v>
      </c>
    </row>
    <row r="18703" spans="11:14" x14ac:dyDescent="0.3">
      <c r="K18703" s="1">
        <v>43374</v>
      </c>
      <c r="M18703" t="e">
        <v>#N/A</v>
      </c>
      <c r="N18703" s="1">
        <v>43009</v>
      </c>
    </row>
    <row r="18704" spans="11:14" x14ac:dyDescent="0.3">
      <c r="K18704" s="1">
        <v>43374</v>
      </c>
      <c r="M18704" t="e">
        <v>#N/A</v>
      </c>
      <c r="N18704" s="1">
        <v>43009</v>
      </c>
    </row>
    <row r="18705" spans="11:14" x14ac:dyDescent="0.3">
      <c r="K18705" s="1">
        <v>43374</v>
      </c>
      <c r="M18705" t="e">
        <v>#N/A</v>
      </c>
      <c r="N18705" s="1">
        <v>43009</v>
      </c>
    </row>
    <row r="18706" spans="11:14" x14ac:dyDescent="0.3">
      <c r="K18706" s="1">
        <v>43374</v>
      </c>
      <c r="M18706" t="e">
        <v>#N/A</v>
      </c>
      <c r="N18706" s="1">
        <v>43009</v>
      </c>
    </row>
    <row r="18707" spans="11:14" x14ac:dyDescent="0.3">
      <c r="K18707" s="1">
        <v>43374</v>
      </c>
      <c r="M18707" t="e">
        <v>#N/A</v>
      </c>
      <c r="N18707" s="1">
        <v>43009</v>
      </c>
    </row>
    <row r="18708" spans="11:14" x14ac:dyDescent="0.3">
      <c r="K18708" s="1">
        <v>43374</v>
      </c>
      <c r="M18708" t="e">
        <v>#N/A</v>
      </c>
      <c r="N18708" s="1">
        <v>43009</v>
      </c>
    </row>
    <row r="18709" spans="11:14" x14ac:dyDescent="0.3">
      <c r="K18709" s="1">
        <v>43374</v>
      </c>
      <c r="M18709" t="e">
        <v>#N/A</v>
      </c>
      <c r="N18709" s="1">
        <v>43009</v>
      </c>
    </row>
    <row r="18710" spans="11:14" x14ac:dyDescent="0.3">
      <c r="K18710" s="1">
        <v>43374</v>
      </c>
      <c r="M18710" t="e">
        <v>#N/A</v>
      </c>
      <c r="N18710" s="1">
        <v>43009</v>
      </c>
    </row>
    <row r="18711" spans="11:14" x14ac:dyDescent="0.3">
      <c r="K18711" s="1">
        <v>43374</v>
      </c>
      <c r="M18711" t="e">
        <v>#N/A</v>
      </c>
      <c r="N18711" s="1">
        <v>43009</v>
      </c>
    </row>
    <row r="18712" spans="11:14" x14ac:dyDescent="0.3">
      <c r="K18712" s="1">
        <v>43374</v>
      </c>
      <c r="M18712" t="e">
        <v>#N/A</v>
      </c>
      <c r="N18712" s="1">
        <v>43009</v>
      </c>
    </row>
    <row r="18713" spans="11:14" x14ac:dyDescent="0.3">
      <c r="K18713" s="1">
        <v>43374</v>
      </c>
      <c r="M18713" t="e">
        <v>#N/A</v>
      </c>
      <c r="N18713" s="1">
        <v>43009</v>
      </c>
    </row>
    <row r="18714" spans="11:14" x14ac:dyDescent="0.3">
      <c r="K18714" s="1">
        <v>43374</v>
      </c>
      <c r="M18714" t="e">
        <v>#N/A</v>
      </c>
      <c r="N18714" s="1">
        <v>43009</v>
      </c>
    </row>
    <row r="18715" spans="11:14" x14ac:dyDescent="0.3">
      <c r="K18715" s="1">
        <v>43374</v>
      </c>
      <c r="M18715" t="e">
        <v>#N/A</v>
      </c>
      <c r="N18715" s="1">
        <v>43009</v>
      </c>
    </row>
    <row r="18716" spans="11:14" x14ac:dyDescent="0.3">
      <c r="K18716" s="1">
        <v>43374</v>
      </c>
      <c r="M18716" t="e">
        <v>#N/A</v>
      </c>
      <c r="N18716" s="1">
        <v>43009</v>
      </c>
    </row>
    <row r="18717" spans="11:14" x14ac:dyDescent="0.3">
      <c r="K18717" s="1">
        <v>43374</v>
      </c>
      <c r="M18717" t="e">
        <v>#N/A</v>
      </c>
      <c r="N18717" s="1">
        <v>43009</v>
      </c>
    </row>
    <row r="18718" spans="11:14" x14ac:dyDescent="0.3">
      <c r="K18718" s="1">
        <v>43374</v>
      </c>
      <c r="M18718" t="e">
        <v>#N/A</v>
      </c>
      <c r="N18718" s="1">
        <v>43009</v>
      </c>
    </row>
    <row r="18719" spans="11:14" x14ac:dyDescent="0.3">
      <c r="K18719" s="1">
        <v>43374</v>
      </c>
      <c r="M18719" t="e">
        <v>#N/A</v>
      </c>
      <c r="N18719" s="1">
        <v>43009</v>
      </c>
    </row>
    <row r="18720" spans="11:14" x14ac:dyDescent="0.3">
      <c r="K18720" s="1">
        <v>43374</v>
      </c>
      <c r="M18720" t="e">
        <v>#N/A</v>
      </c>
      <c r="N18720" s="1">
        <v>43009</v>
      </c>
    </row>
    <row r="18721" spans="11:14" x14ac:dyDescent="0.3">
      <c r="K18721" s="1">
        <v>43374</v>
      </c>
      <c r="M18721" t="e">
        <v>#N/A</v>
      </c>
      <c r="N18721" s="1">
        <v>43009</v>
      </c>
    </row>
    <row r="18722" spans="11:14" x14ac:dyDescent="0.3">
      <c r="K18722" s="1">
        <v>43374</v>
      </c>
      <c r="M18722" t="e">
        <v>#N/A</v>
      </c>
      <c r="N18722" s="1">
        <v>43009</v>
      </c>
    </row>
    <row r="18723" spans="11:14" x14ac:dyDescent="0.3">
      <c r="K18723" s="1">
        <v>43374</v>
      </c>
      <c r="M18723" t="e">
        <v>#N/A</v>
      </c>
      <c r="N18723" s="1">
        <v>43009</v>
      </c>
    </row>
    <row r="18724" spans="11:14" x14ac:dyDescent="0.3">
      <c r="K18724" s="1">
        <v>43374</v>
      </c>
      <c r="M18724" t="e">
        <v>#N/A</v>
      </c>
      <c r="N18724" s="1">
        <v>43009</v>
      </c>
    </row>
    <row r="18725" spans="11:14" x14ac:dyDescent="0.3">
      <c r="K18725" s="1">
        <v>43374</v>
      </c>
      <c r="M18725" t="e">
        <v>#N/A</v>
      </c>
      <c r="N18725" s="1">
        <v>43009</v>
      </c>
    </row>
    <row r="18726" spans="11:14" x14ac:dyDescent="0.3">
      <c r="K18726" s="1">
        <v>43374</v>
      </c>
      <c r="M18726" t="e">
        <v>#N/A</v>
      </c>
      <c r="N18726" s="1">
        <v>43009</v>
      </c>
    </row>
    <row r="18727" spans="11:14" x14ac:dyDescent="0.3">
      <c r="K18727" s="1">
        <v>43374</v>
      </c>
      <c r="M18727" t="e">
        <v>#N/A</v>
      </c>
      <c r="N18727" s="1">
        <v>43009</v>
      </c>
    </row>
    <row r="18728" spans="11:14" x14ac:dyDescent="0.3">
      <c r="K18728" s="1">
        <v>43466</v>
      </c>
      <c r="M18728" t="e">
        <v>#N/A</v>
      </c>
      <c r="N18728" s="1">
        <v>43009</v>
      </c>
    </row>
    <row r="18729" spans="11:14" x14ac:dyDescent="0.3">
      <c r="K18729" s="1">
        <v>43466</v>
      </c>
      <c r="M18729" t="e">
        <v>#N/A</v>
      </c>
      <c r="N18729" s="1">
        <v>43009</v>
      </c>
    </row>
    <row r="18730" spans="11:14" x14ac:dyDescent="0.3">
      <c r="K18730" s="1">
        <v>43466</v>
      </c>
      <c r="M18730" t="e">
        <v>#N/A</v>
      </c>
      <c r="N18730" s="1">
        <v>43009</v>
      </c>
    </row>
    <row r="18731" spans="11:14" x14ac:dyDescent="0.3">
      <c r="K18731" s="1">
        <v>43466</v>
      </c>
      <c r="M18731" t="e">
        <v>#N/A</v>
      </c>
      <c r="N18731" s="1">
        <v>43009</v>
      </c>
    </row>
    <row r="18732" spans="11:14" x14ac:dyDescent="0.3">
      <c r="K18732" s="1">
        <v>43466</v>
      </c>
      <c r="M18732" t="e">
        <v>#N/A</v>
      </c>
      <c r="N18732" s="1">
        <v>43009</v>
      </c>
    </row>
    <row r="18733" spans="11:14" x14ac:dyDescent="0.3">
      <c r="K18733" s="1">
        <v>43466</v>
      </c>
      <c r="M18733" t="e">
        <v>#N/A</v>
      </c>
      <c r="N18733" s="1">
        <v>43009</v>
      </c>
    </row>
    <row r="18734" spans="11:14" x14ac:dyDescent="0.3">
      <c r="K18734" s="1">
        <v>43466</v>
      </c>
      <c r="M18734" t="e">
        <v>#N/A</v>
      </c>
      <c r="N18734" s="1">
        <v>43009</v>
      </c>
    </row>
    <row r="18735" spans="11:14" x14ac:dyDescent="0.3">
      <c r="K18735" s="1">
        <v>43466</v>
      </c>
      <c r="M18735" t="e">
        <v>#N/A</v>
      </c>
      <c r="N18735" s="1">
        <v>43009</v>
      </c>
    </row>
    <row r="18736" spans="11:14" x14ac:dyDescent="0.3">
      <c r="K18736" s="1">
        <v>43466</v>
      </c>
      <c r="M18736" t="e">
        <v>#N/A</v>
      </c>
      <c r="N18736" s="1">
        <v>43009</v>
      </c>
    </row>
    <row r="18737" spans="11:14" x14ac:dyDescent="0.3">
      <c r="K18737" s="1">
        <v>43466</v>
      </c>
      <c r="M18737" t="e">
        <v>#N/A</v>
      </c>
      <c r="N18737" s="1">
        <v>43009</v>
      </c>
    </row>
    <row r="18738" spans="11:14" x14ac:dyDescent="0.3">
      <c r="K18738" s="1">
        <v>43466</v>
      </c>
      <c r="M18738" t="e">
        <v>#N/A</v>
      </c>
      <c r="N18738" s="1">
        <v>43009</v>
      </c>
    </row>
    <row r="18739" spans="11:14" x14ac:dyDescent="0.3">
      <c r="K18739" s="1">
        <v>43466</v>
      </c>
      <c r="M18739" t="e">
        <v>#N/A</v>
      </c>
      <c r="N18739" s="1">
        <v>43009</v>
      </c>
    </row>
    <row r="18740" spans="11:14" x14ac:dyDescent="0.3">
      <c r="K18740" s="1">
        <v>43466</v>
      </c>
      <c r="M18740" t="e">
        <v>#N/A</v>
      </c>
      <c r="N18740" s="1">
        <v>43009</v>
      </c>
    </row>
    <row r="18741" spans="11:14" x14ac:dyDescent="0.3">
      <c r="K18741" s="1">
        <v>43466</v>
      </c>
      <c r="M18741" t="e">
        <v>#N/A</v>
      </c>
      <c r="N18741" s="1">
        <v>43009</v>
      </c>
    </row>
    <row r="18742" spans="11:14" x14ac:dyDescent="0.3">
      <c r="K18742" s="1">
        <v>43466</v>
      </c>
      <c r="M18742" t="e">
        <v>#N/A</v>
      </c>
      <c r="N18742" s="1">
        <v>43009</v>
      </c>
    </row>
    <row r="18743" spans="11:14" x14ac:dyDescent="0.3">
      <c r="K18743" s="1">
        <v>43466</v>
      </c>
      <c r="M18743" t="e">
        <v>#N/A</v>
      </c>
      <c r="N18743" s="1">
        <v>43009</v>
      </c>
    </row>
    <row r="18744" spans="11:14" x14ac:dyDescent="0.3">
      <c r="K18744" s="1">
        <v>43466</v>
      </c>
      <c r="M18744" t="e">
        <v>#N/A</v>
      </c>
      <c r="N18744" s="1">
        <v>43009</v>
      </c>
    </row>
    <row r="18745" spans="11:14" x14ac:dyDescent="0.3">
      <c r="K18745" s="1">
        <v>43466</v>
      </c>
      <c r="M18745" t="e">
        <v>#N/A</v>
      </c>
      <c r="N18745" s="1">
        <v>43009</v>
      </c>
    </row>
    <row r="18746" spans="11:14" x14ac:dyDescent="0.3">
      <c r="K18746" s="1">
        <v>43466</v>
      </c>
      <c r="M18746" t="e">
        <v>#N/A</v>
      </c>
      <c r="N18746" s="1">
        <v>43009</v>
      </c>
    </row>
    <row r="18747" spans="11:14" x14ac:dyDescent="0.3">
      <c r="K18747" s="1">
        <v>43466</v>
      </c>
      <c r="M18747" t="e">
        <v>#N/A</v>
      </c>
      <c r="N18747" s="1">
        <v>43009</v>
      </c>
    </row>
    <row r="18748" spans="11:14" x14ac:dyDescent="0.3">
      <c r="K18748" s="1">
        <v>43466</v>
      </c>
      <c r="M18748" t="e">
        <v>#N/A</v>
      </c>
      <c r="N18748" s="1">
        <v>43009</v>
      </c>
    </row>
    <row r="18749" spans="11:14" x14ac:dyDescent="0.3">
      <c r="K18749" s="1">
        <v>43466</v>
      </c>
      <c r="M18749" t="e">
        <v>#N/A</v>
      </c>
      <c r="N18749" s="1">
        <v>43009</v>
      </c>
    </row>
    <row r="18750" spans="11:14" x14ac:dyDescent="0.3">
      <c r="K18750" s="1">
        <v>43466</v>
      </c>
      <c r="M18750" t="e">
        <v>#N/A</v>
      </c>
      <c r="N18750" s="1">
        <v>43009</v>
      </c>
    </row>
    <row r="18751" spans="11:14" x14ac:dyDescent="0.3">
      <c r="K18751" s="1">
        <v>43466</v>
      </c>
      <c r="M18751" t="e">
        <v>#N/A</v>
      </c>
      <c r="N18751" s="1">
        <v>43009</v>
      </c>
    </row>
    <row r="18752" spans="11:14" x14ac:dyDescent="0.3">
      <c r="K18752" s="1">
        <v>43466</v>
      </c>
      <c r="M18752" t="e">
        <v>#N/A</v>
      </c>
      <c r="N18752" s="1">
        <v>43009</v>
      </c>
    </row>
    <row r="18753" spans="11:14" x14ac:dyDescent="0.3">
      <c r="K18753" s="1">
        <v>43466</v>
      </c>
      <c r="M18753" t="e">
        <v>#N/A</v>
      </c>
      <c r="N18753" s="1">
        <v>43009</v>
      </c>
    </row>
    <row r="18754" spans="11:14" x14ac:dyDescent="0.3">
      <c r="K18754" s="1">
        <v>43466</v>
      </c>
      <c r="M18754" t="e">
        <v>#N/A</v>
      </c>
      <c r="N18754" s="1">
        <v>43009</v>
      </c>
    </row>
    <row r="18755" spans="11:14" x14ac:dyDescent="0.3">
      <c r="K18755" s="1">
        <v>43466</v>
      </c>
      <c r="M18755" t="e">
        <v>#N/A</v>
      </c>
      <c r="N18755" s="1">
        <v>43009</v>
      </c>
    </row>
    <row r="18756" spans="11:14" x14ac:dyDescent="0.3">
      <c r="K18756" s="1">
        <v>43466</v>
      </c>
      <c r="M18756" t="e">
        <v>#N/A</v>
      </c>
      <c r="N18756" s="1">
        <v>43009</v>
      </c>
    </row>
    <row r="18757" spans="11:14" x14ac:dyDescent="0.3">
      <c r="K18757" s="1">
        <v>43466</v>
      </c>
      <c r="M18757" t="e">
        <v>#N/A</v>
      </c>
      <c r="N18757" s="1">
        <v>43009</v>
      </c>
    </row>
    <row r="18758" spans="11:14" x14ac:dyDescent="0.3">
      <c r="K18758" s="1">
        <v>43466</v>
      </c>
      <c r="M18758" t="e">
        <v>#N/A</v>
      </c>
      <c r="N18758" s="1">
        <v>43009</v>
      </c>
    </row>
    <row r="18759" spans="11:14" x14ac:dyDescent="0.3">
      <c r="K18759" s="1">
        <v>43466</v>
      </c>
      <c r="M18759" t="e">
        <v>#N/A</v>
      </c>
      <c r="N18759" s="1">
        <v>43009</v>
      </c>
    </row>
    <row r="18760" spans="11:14" x14ac:dyDescent="0.3">
      <c r="K18760" s="1">
        <v>43466</v>
      </c>
      <c r="M18760" t="e">
        <v>#N/A</v>
      </c>
      <c r="N18760" s="1">
        <v>43009</v>
      </c>
    </row>
    <row r="18761" spans="11:14" x14ac:dyDescent="0.3">
      <c r="K18761" s="1">
        <v>43466</v>
      </c>
      <c r="M18761" t="e">
        <v>#N/A</v>
      </c>
      <c r="N18761" s="1">
        <v>43009</v>
      </c>
    </row>
    <row r="18762" spans="11:14" x14ac:dyDescent="0.3">
      <c r="K18762" s="1">
        <v>43466</v>
      </c>
      <c r="M18762" t="e">
        <v>#N/A</v>
      </c>
      <c r="N18762" s="1">
        <v>43009</v>
      </c>
    </row>
    <row r="18763" spans="11:14" x14ac:dyDescent="0.3">
      <c r="K18763" s="1">
        <v>43466</v>
      </c>
      <c r="M18763" t="e">
        <v>#N/A</v>
      </c>
      <c r="N18763" s="1">
        <v>43009</v>
      </c>
    </row>
    <row r="18764" spans="11:14" x14ac:dyDescent="0.3">
      <c r="K18764" s="1">
        <v>43466</v>
      </c>
      <c r="M18764" t="e">
        <v>#N/A</v>
      </c>
      <c r="N18764" s="1">
        <v>43009</v>
      </c>
    </row>
    <row r="18765" spans="11:14" x14ac:dyDescent="0.3">
      <c r="K18765" s="1">
        <v>43466</v>
      </c>
      <c r="M18765" t="e">
        <v>#N/A</v>
      </c>
      <c r="N18765" s="1">
        <v>43009</v>
      </c>
    </row>
    <row r="18766" spans="11:14" x14ac:dyDescent="0.3">
      <c r="K18766" s="1">
        <v>43466</v>
      </c>
      <c r="M18766" t="e">
        <v>#N/A</v>
      </c>
      <c r="N18766" s="1">
        <v>43009</v>
      </c>
    </row>
    <row r="18767" spans="11:14" x14ac:dyDescent="0.3">
      <c r="K18767" s="1">
        <v>43466</v>
      </c>
      <c r="M18767" t="e">
        <v>#N/A</v>
      </c>
      <c r="N18767" s="1">
        <v>43009</v>
      </c>
    </row>
    <row r="18768" spans="11:14" x14ac:dyDescent="0.3">
      <c r="K18768" s="1">
        <v>43466</v>
      </c>
      <c r="M18768" t="e">
        <v>#N/A</v>
      </c>
      <c r="N18768" s="1">
        <v>43009</v>
      </c>
    </row>
    <row r="18769" spans="11:14" x14ac:dyDescent="0.3">
      <c r="K18769" s="1">
        <v>43466</v>
      </c>
      <c r="M18769" t="e">
        <v>#N/A</v>
      </c>
      <c r="N18769" s="1">
        <v>43009</v>
      </c>
    </row>
    <row r="18770" spans="11:14" x14ac:dyDescent="0.3">
      <c r="K18770" s="1">
        <v>43466</v>
      </c>
      <c r="M18770" t="e">
        <v>#N/A</v>
      </c>
      <c r="N18770" s="1">
        <v>43009</v>
      </c>
    </row>
    <row r="18771" spans="11:14" x14ac:dyDescent="0.3">
      <c r="K18771" s="1">
        <v>43466</v>
      </c>
      <c r="M18771" t="e">
        <v>#N/A</v>
      </c>
      <c r="N18771" s="1">
        <v>43009</v>
      </c>
    </row>
    <row r="18772" spans="11:14" x14ac:dyDescent="0.3">
      <c r="K18772" s="1">
        <v>43466</v>
      </c>
      <c r="M18772" t="e">
        <v>#N/A</v>
      </c>
      <c r="N18772" s="1">
        <v>43009</v>
      </c>
    </row>
    <row r="18773" spans="11:14" x14ac:dyDescent="0.3">
      <c r="K18773" s="1">
        <v>43466</v>
      </c>
      <c r="M18773" t="e">
        <v>#N/A</v>
      </c>
      <c r="N18773" s="1">
        <v>43009</v>
      </c>
    </row>
    <row r="18774" spans="11:14" x14ac:dyDescent="0.3">
      <c r="K18774" s="1">
        <v>43466</v>
      </c>
      <c r="M18774" t="e">
        <v>#N/A</v>
      </c>
      <c r="N18774" s="1">
        <v>43009</v>
      </c>
    </row>
    <row r="18775" spans="11:14" x14ac:dyDescent="0.3">
      <c r="K18775" s="1">
        <v>43466</v>
      </c>
      <c r="M18775" t="e">
        <v>#N/A</v>
      </c>
      <c r="N18775" s="1">
        <v>43009</v>
      </c>
    </row>
    <row r="18776" spans="11:14" x14ac:dyDescent="0.3">
      <c r="K18776" s="1">
        <v>43466</v>
      </c>
      <c r="M18776" t="e">
        <v>#N/A</v>
      </c>
      <c r="N18776" s="1">
        <v>43009</v>
      </c>
    </row>
    <row r="18777" spans="11:14" x14ac:dyDescent="0.3">
      <c r="K18777" s="1">
        <v>43466</v>
      </c>
      <c r="M18777" t="e">
        <v>#N/A</v>
      </c>
      <c r="N18777" s="1">
        <v>43009</v>
      </c>
    </row>
    <row r="18778" spans="11:14" x14ac:dyDescent="0.3">
      <c r="K18778" s="1">
        <v>43466</v>
      </c>
      <c r="M18778" t="e">
        <v>#N/A</v>
      </c>
      <c r="N18778" s="1">
        <v>43009</v>
      </c>
    </row>
    <row r="18779" spans="11:14" x14ac:dyDescent="0.3">
      <c r="K18779" s="1">
        <v>43466</v>
      </c>
      <c r="M18779" t="e">
        <v>#N/A</v>
      </c>
      <c r="N18779" s="1">
        <v>43009</v>
      </c>
    </row>
    <row r="18780" spans="11:14" x14ac:dyDescent="0.3">
      <c r="K18780" s="1">
        <v>43466</v>
      </c>
      <c r="M18780" t="e">
        <v>#N/A</v>
      </c>
      <c r="N18780" s="1">
        <v>43009</v>
      </c>
    </row>
    <row r="18781" spans="11:14" x14ac:dyDescent="0.3">
      <c r="K18781" s="1">
        <v>43466</v>
      </c>
      <c r="M18781" t="e">
        <v>#N/A</v>
      </c>
      <c r="N18781" s="1">
        <v>43009</v>
      </c>
    </row>
    <row r="18782" spans="11:14" x14ac:dyDescent="0.3">
      <c r="K18782" s="1">
        <v>43466</v>
      </c>
      <c r="M18782" t="e">
        <v>#N/A</v>
      </c>
      <c r="N18782" s="1">
        <v>43009</v>
      </c>
    </row>
    <row r="18783" spans="11:14" x14ac:dyDescent="0.3">
      <c r="K18783" s="1">
        <v>43466</v>
      </c>
      <c r="M18783" t="e">
        <v>#N/A</v>
      </c>
      <c r="N18783" s="1">
        <v>43009</v>
      </c>
    </row>
    <row r="18784" spans="11:14" x14ac:dyDescent="0.3">
      <c r="K18784" s="1">
        <v>43466</v>
      </c>
      <c r="M18784" t="e">
        <v>#N/A</v>
      </c>
      <c r="N18784" s="1">
        <v>43009</v>
      </c>
    </row>
    <row r="18785" spans="11:14" x14ac:dyDescent="0.3">
      <c r="K18785" s="1">
        <v>43466</v>
      </c>
      <c r="M18785" t="e">
        <v>#N/A</v>
      </c>
      <c r="N18785" s="1">
        <v>43009</v>
      </c>
    </row>
    <row r="18786" spans="11:14" x14ac:dyDescent="0.3">
      <c r="K18786" s="1">
        <v>43466</v>
      </c>
      <c r="M18786" t="e">
        <v>#N/A</v>
      </c>
      <c r="N18786" s="1">
        <v>43009</v>
      </c>
    </row>
    <row r="18787" spans="11:14" x14ac:dyDescent="0.3">
      <c r="K18787" s="1">
        <v>43466</v>
      </c>
      <c r="M18787" t="e">
        <v>#N/A</v>
      </c>
      <c r="N18787" s="1">
        <v>43009</v>
      </c>
    </row>
    <row r="18788" spans="11:14" x14ac:dyDescent="0.3">
      <c r="K18788" s="1">
        <v>43466</v>
      </c>
      <c r="M18788" t="e">
        <v>#N/A</v>
      </c>
      <c r="N18788" s="1">
        <v>43009</v>
      </c>
    </row>
    <row r="18789" spans="11:14" x14ac:dyDescent="0.3">
      <c r="K18789" s="1">
        <v>43466</v>
      </c>
      <c r="M18789" t="e">
        <v>#N/A</v>
      </c>
      <c r="N18789" s="1">
        <v>43009</v>
      </c>
    </row>
    <row r="18790" spans="11:14" x14ac:dyDescent="0.3">
      <c r="K18790" s="1">
        <v>43466</v>
      </c>
      <c r="M18790" t="e">
        <v>#N/A</v>
      </c>
      <c r="N18790" s="1">
        <v>43009</v>
      </c>
    </row>
    <row r="18791" spans="11:14" x14ac:dyDescent="0.3">
      <c r="K18791" s="1">
        <v>43466</v>
      </c>
      <c r="M18791" t="e">
        <v>#N/A</v>
      </c>
      <c r="N18791" s="1">
        <v>43009</v>
      </c>
    </row>
    <row r="18792" spans="11:14" x14ac:dyDescent="0.3">
      <c r="K18792" s="1">
        <v>43466</v>
      </c>
      <c r="M18792" t="e">
        <v>#N/A</v>
      </c>
      <c r="N18792" s="1">
        <v>43009</v>
      </c>
    </row>
    <row r="18793" spans="11:14" x14ac:dyDescent="0.3">
      <c r="K18793" s="1">
        <v>43466</v>
      </c>
      <c r="M18793" t="e">
        <v>#N/A</v>
      </c>
      <c r="N18793" s="1">
        <v>43009</v>
      </c>
    </row>
    <row r="18794" spans="11:14" x14ac:dyDescent="0.3">
      <c r="K18794" s="1">
        <v>43466</v>
      </c>
      <c r="M18794" t="e">
        <v>#N/A</v>
      </c>
      <c r="N18794" s="1">
        <v>43009</v>
      </c>
    </row>
    <row r="18795" spans="11:14" x14ac:dyDescent="0.3">
      <c r="K18795" s="1">
        <v>43466</v>
      </c>
      <c r="M18795" t="e">
        <v>#N/A</v>
      </c>
      <c r="N18795" s="1">
        <v>43009</v>
      </c>
    </row>
    <row r="18796" spans="11:14" x14ac:dyDescent="0.3">
      <c r="K18796" s="1">
        <v>43466</v>
      </c>
      <c r="M18796" t="e">
        <v>#N/A</v>
      </c>
      <c r="N18796" s="1">
        <v>43009</v>
      </c>
    </row>
    <row r="18797" spans="11:14" x14ac:dyDescent="0.3">
      <c r="K18797" s="1">
        <v>43466</v>
      </c>
      <c r="M18797" t="e">
        <v>#N/A</v>
      </c>
      <c r="N18797" s="1">
        <v>43009</v>
      </c>
    </row>
    <row r="18798" spans="11:14" x14ac:dyDescent="0.3">
      <c r="K18798" s="1">
        <v>43466</v>
      </c>
      <c r="M18798" t="e">
        <v>#N/A</v>
      </c>
      <c r="N18798" s="1">
        <v>43009</v>
      </c>
    </row>
    <row r="18799" spans="11:14" x14ac:dyDescent="0.3">
      <c r="K18799" s="1">
        <v>43466</v>
      </c>
      <c r="M18799" t="e">
        <v>#N/A</v>
      </c>
      <c r="N18799" s="1">
        <v>43009</v>
      </c>
    </row>
    <row r="18800" spans="11:14" x14ac:dyDescent="0.3">
      <c r="K18800" s="1">
        <v>43466</v>
      </c>
      <c r="M18800" t="e">
        <v>#N/A</v>
      </c>
      <c r="N18800" s="1">
        <v>43009</v>
      </c>
    </row>
    <row r="18801" spans="11:14" x14ac:dyDescent="0.3">
      <c r="K18801" s="1">
        <v>43466</v>
      </c>
      <c r="M18801" t="e">
        <v>#N/A</v>
      </c>
      <c r="N18801" s="1">
        <v>43009</v>
      </c>
    </row>
    <row r="18802" spans="11:14" x14ac:dyDescent="0.3">
      <c r="K18802" s="1">
        <v>43466</v>
      </c>
      <c r="M18802" t="e">
        <v>#N/A</v>
      </c>
      <c r="N18802" s="1">
        <v>43009</v>
      </c>
    </row>
    <row r="18803" spans="11:14" x14ac:dyDescent="0.3">
      <c r="K18803" s="1">
        <v>43466</v>
      </c>
      <c r="M18803" t="e">
        <v>#N/A</v>
      </c>
      <c r="N18803" s="1">
        <v>43009</v>
      </c>
    </row>
    <row r="18804" spans="11:14" x14ac:dyDescent="0.3">
      <c r="K18804" s="1">
        <v>43466</v>
      </c>
      <c r="M18804" t="e">
        <v>#N/A</v>
      </c>
      <c r="N18804" s="1">
        <v>43009</v>
      </c>
    </row>
    <row r="18805" spans="11:14" x14ac:dyDescent="0.3">
      <c r="K18805" s="1">
        <v>43466</v>
      </c>
      <c r="M18805" t="e">
        <v>#N/A</v>
      </c>
      <c r="N18805" s="1">
        <v>43009</v>
      </c>
    </row>
    <row r="18806" spans="11:14" x14ac:dyDescent="0.3">
      <c r="K18806" s="1">
        <v>43466</v>
      </c>
      <c r="M18806" t="e">
        <v>#N/A</v>
      </c>
      <c r="N18806" s="1">
        <v>43009</v>
      </c>
    </row>
    <row r="18807" spans="11:14" x14ac:dyDescent="0.3">
      <c r="K18807" s="1">
        <v>43466</v>
      </c>
      <c r="M18807" t="e">
        <v>#N/A</v>
      </c>
      <c r="N18807" s="1">
        <v>43009</v>
      </c>
    </row>
    <row r="18808" spans="11:14" x14ac:dyDescent="0.3">
      <c r="K18808" s="1">
        <v>43466</v>
      </c>
      <c r="M18808" t="e">
        <v>#N/A</v>
      </c>
      <c r="N18808" s="1">
        <v>43009</v>
      </c>
    </row>
    <row r="18809" spans="11:14" x14ac:dyDescent="0.3">
      <c r="K18809" s="1">
        <v>43466</v>
      </c>
      <c r="M18809" t="e">
        <v>#N/A</v>
      </c>
      <c r="N18809" s="1">
        <v>43009</v>
      </c>
    </row>
    <row r="18810" spans="11:14" x14ac:dyDescent="0.3">
      <c r="K18810" s="1">
        <v>43466</v>
      </c>
      <c r="M18810" t="e">
        <v>#N/A</v>
      </c>
      <c r="N18810" s="1">
        <v>43009</v>
      </c>
    </row>
    <row r="18811" spans="11:14" x14ac:dyDescent="0.3">
      <c r="K18811" s="1">
        <v>43466</v>
      </c>
      <c r="M18811" t="e">
        <v>#N/A</v>
      </c>
      <c r="N18811" s="1">
        <v>43009</v>
      </c>
    </row>
    <row r="18812" spans="11:14" x14ac:dyDescent="0.3">
      <c r="K18812" s="1">
        <v>43466</v>
      </c>
      <c r="M18812" t="e">
        <v>#N/A</v>
      </c>
      <c r="N18812" s="1">
        <v>43101</v>
      </c>
    </row>
    <row r="18813" spans="11:14" x14ac:dyDescent="0.3">
      <c r="K18813" s="1">
        <v>43466</v>
      </c>
      <c r="M18813" t="e">
        <v>#N/A</v>
      </c>
      <c r="N18813" s="1">
        <v>43101</v>
      </c>
    </row>
    <row r="18814" spans="11:14" x14ac:dyDescent="0.3">
      <c r="K18814" s="1">
        <v>43466</v>
      </c>
      <c r="M18814" t="e">
        <v>#N/A</v>
      </c>
      <c r="N18814" s="1">
        <v>43101</v>
      </c>
    </row>
    <row r="18815" spans="11:14" x14ac:dyDescent="0.3">
      <c r="K18815" s="1">
        <v>43466</v>
      </c>
      <c r="M18815" t="e">
        <v>#N/A</v>
      </c>
      <c r="N18815" s="1">
        <v>43101</v>
      </c>
    </row>
    <row r="18816" spans="11:14" x14ac:dyDescent="0.3">
      <c r="K18816" s="1">
        <v>43466</v>
      </c>
      <c r="M18816" t="e">
        <v>#N/A</v>
      </c>
      <c r="N18816" s="1">
        <v>43101</v>
      </c>
    </row>
    <row r="18817" spans="11:14" x14ac:dyDescent="0.3">
      <c r="K18817" s="1">
        <v>43466</v>
      </c>
      <c r="M18817" t="e">
        <v>#N/A</v>
      </c>
      <c r="N18817" s="1">
        <v>43101</v>
      </c>
    </row>
    <row r="18818" spans="11:14" x14ac:dyDescent="0.3">
      <c r="K18818" s="1">
        <v>43466</v>
      </c>
      <c r="M18818" t="e">
        <v>#N/A</v>
      </c>
      <c r="N18818" s="1">
        <v>43101</v>
      </c>
    </row>
    <row r="18819" spans="11:14" x14ac:dyDescent="0.3">
      <c r="K18819" s="1">
        <v>43466</v>
      </c>
      <c r="M18819" t="e">
        <v>#N/A</v>
      </c>
      <c r="N18819" s="1">
        <v>43101</v>
      </c>
    </row>
    <row r="18820" spans="11:14" x14ac:dyDescent="0.3">
      <c r="K18820" s="1">
        <v>43466</v>
      </c>
      <c r="M18820" t="e">
        <v>#N/A</v>
      </c>
      <c r="N18820" s="1">
        <v>43101</v>
      </c>
    </row>
    <row r="18821" spans="11:14" x14ac:dyDescent="0.3">
      <c r="K18821" s="1">
        <v>43466</v>
      </c>
      <c r="M18821" t="e">
        <v>#N/A</v>
      </c>
      <c r="N18821" s="1">
        <v>43101</v>
      </c>
    </row>
    <row r="18822" spans="11:14" x14ac:dyDescent="0.3">
      <c r="K18822" s="1">
        <v>43466</v>
      </c>
      <c r="M18822" t="e">
        <v>#N/A</v>
      </c>
      <c r="N18822" s="1">
        <v>43101</v>
      </c>
    </row>
    <row r="18823" spans="11:14" x14ac:dyDescent="0.3">
      <c r="K18823" s="1">
        <v>43466</v>
      </c>
      <c r="M18823" t="e">
        <v>#N/A</v>
      </c>
      <c r="N18823" s="1">
        <v>43101</v>
      </c>
    </row>
    <row r="18824" spans="11:14" x14ac:dyDescent="0.3">
      <c r="K18824" s="1">
        <v>43466</v>
      </c>
      <c r="M18824" t="e">
        <v>#N/A</v>
      </c>
      <c r="N18824" s="1">
        <v>43101</v>
      </c>
    </row>
    <row r="18825" spans="11:14" x14ac:dyDescent="0.3">
      <c r="K18825" s="1">
        <v>43466</v>
      </c>
      <c r="M18825" t="e">
        <v>#N/A</v>
      </c>
      <c r="N18825" s="1">
        <v>43101</v>
      </c>
    </row>
    <row r="18826" spans="11:14" x14ac:dyDescent="0.3">
      <c r="K18826" s="1">
        <v>43466</v>
      </c>
      <c r="M18826" t="e">
        <v>#N/A</v>
      </c>
      <c r="N18826" s="1">
        <v>43101</v>
      </c>
    </row>
    <row r="18827" spans="11:14" x14ac:dyDescent="0.3">
      <c r="K18827" s="1">
        <v>43466</v>
      </c>
      <c r="M18827" t="e">
        <v>#N/A</v>
      </c>
      <c r="N18827" s="1">
        <v>43101</v>
      </c>
    </row>
    <row r="18828" spans="11:14" x14ac:dyDescent="0.3">
      <c r="K18828" s="1">
        <v>43466</v>
      </c>
      <c r="M18828" t="e">
        <v>#N/A</v>
      </c>
      <c r="N18828" s="1">
        <v>43101</v>
      </c>
    </row>
    <row r="18829" spans="11:14" x14ac:dyDescent="0.3">
      <c r="K18829" s="1">
        <v>43466</v>
      </c>
      <c r="M18829" t="e">
        <v>#N/A</v>
      </c>
      <c r="N18829" s="1">
        <v>43101</v>
      </c>
    </row>
    <row r="18830" spans="11:14" x14ac:dyDescent="0.3">
      <c r="K18830" s="1">
        <v>43466</v>
      </c>
      <c r="M18830" t="e">
        <v>#N/A</v>
      </c>
      <c r="N18830" s="1">
        <v>43101</v>
      </c>
    </row>
    <row r="18831" spans="11:14" x14ac:dyDescent="0.3">
      <c r="K18831" s="1">
        <v>43466</v>
      </c>
      <c r="M18831" t="e">
        <v>#N/A</v>
      </c>
      <c r="N18831" s="1">
        <v>43101</v>
      </c>
    </row>
    <row r="18832" spans="11:14" x14ac:dyDescent="0.3">
      <c r="K18832" s="1">
        <v>43466</v>
      </c>
      <c r="M18832" t="e">
        <v>#N/A</v>
      </c>
      <c r="N18832" s="1">
        <v>43101</v>
      </c>
    </row>
    <row r="18833" spans="11:14" x14ac:dyDescent="0.3">
      <c r="K18833" s="1">
        <v>43466</v>
      </c>
      <c r="M18833" t="e">
        <v>#N/A</v>
      </c>
      <c r="N18833" s="1">
        <v>43101</v>
      </c>
    </row>
    <row r="18834" spans="11:14" x14ac:dyDescent="0.3">
      <c r="K18834" s="1">
        <v>43466</v>
      </c>
      <c r="M18834" t="e">
        <v>#N/A</v>
      </c>
      <c r="N18834" s="1">
        <v>43101</v>
      </c>
    </row>
    <row r="18835" spans="11:14" x14ac:dyDescent="0.3">
      <c r="K18835" s="1">
        <v>43466</v>
      </c>
      <c r="M18835" t="e">
        <v>#N/A</v>
      </c>
      <c r="N18835" s="1">
        <v>43101</v>
      </c>
    </row>
    <row r="18836" spans="11:14" x14ac:dyDescent="0.3">
      <c r="K18836" s="1">
        <v>43466</v>
      </c>
      <c r="M18836" t="e">
        <v>#N/A</v>
      </c>
      <c r="N18836" s="1">
        <v>43101</v>
      </c>
    </row>
    <row r="18837" spans="11:14" x14ac:dyDescent="0.3">
      <c r="K18837" s="1">
        <v>43466</v>
      </c>
      <c r="M18837" t="e">
        <v>#N/A</v>
      </c>
      <c r="N18837" s="1">
        <v>43101</v>
      </c>
    </row>
    <row r="18838" spans="11:14" x14ac:dyDescent="0.3">
      <c r="K18838" s="1">
        <v>43466</v>
      </c>
      <c r="M18838" t="e">
        <v>#N/A</v>
      </c>
      <c r="N18838" s="1">
        <v>43101</v>
      </c>
    </row>
    <row r="18839" spans="11:14" x14ac:dyDescent="0.3">
      <c r="K18839" s="1">
        <v>43466</v>
      </c>
      <c r="M18839" t="e">
        <v>#N/A</v>
      </c>
      <c r="N18839" s="1">
        <v>43101</v>
      </c>
    </row>
    <row r="18840" spans="11:14" x14ac:dyDescent="0.3">
      <c r="K18840" s="1">
        <v>43466</v>
      </c>
      <c r="M18840" t="e">
        <v>#N/A</v>
      </c>
      <c r="N18840" s="1">
        <v>43101</v>
      </c>
    </row>
    <row r="18841" spans="11:14" x14ac:dyDescent="0.3">
      <c r="K18841" s="1">
        <v>43466</v>
      </c>
      <c r="M18841" t="e">
        <v>#N/A</v>
      </c>
      <c r="N18841" s="1">
        <v>43101</v>
      </c>
    </row>
    <row r="18842" spans="11:14" x14ac:dyDescent="0.3">
      <c r="K18842" s="1">
        <v>43466</v>
      </c>
      <c r="M18842" t="e">
        <v>#N/A</v>
      </c>
      <c r="N18842" s="1">
        <v>43101</v>
      </c>
    </row>
    <row r="18843" spans="11:14" x14ac:dyDescent="0.3">
      <c r="K18843" s="1">
        <v>43466</v>
      </c>
      <c r="M18843" t="e">
        <v>#N/A</v>
      </c>
      <c r="N18843" s="1">
        <v>43101</v>
      </c>
    </row>
    <row r="18844" spans="11:14" x14ac:dyDescent="0.3">
      <c r="K18844" s="1">
        <v>43466</v>
      </c>
      <c r="M18844" t="e">
        <v>#N/A</v>
      </c>
      <c r="N18844" s="1">
        <v>43101</v>
      </c>
    </row>
    <row r="18845" spans="11:14" x14ac:dyDescent="0.3">
      <c r="K18845" s="1">
        <v>43466</v>
      </c>
      <c r="M18845" t="e">
        <v>#N/A</v>
      </c>
      <c r="N18845" s="1">
        <v>43101</v>
      </c>
    </row>
    <row r="18846" spans="11:14" x14ac:dyDescent="0.3">
      <c r="K18846" s="1">
        <v>43466</v>
      </c>
      <c r="M18846" t="e">
        <v>#N/A</v>
      </c>
      <c r="N18846" s="1">
        <v>43101</v>
      </c>
    </row>
    <row r="18847" spans="11:14" x14ac:dyDescent="0.3">
      <c r="K18847" s="1">
        <v>43466</v>
      </c>
      <c r="M18847" t="e">
        <v>#N/A</v>
      </c>
      <c r="N18847" s="1">
        <v>43101</v>
      </c>
    </row>
    <row r="18848" spans="11:14" x14ac:dyDescent="0.3">
      <c r="K18848" s="1">
        <v>43466</v>
      </c>
      <c r="M18848" t="e">
        <v>#N/A</v>
      </c>
      <c r="N18848" s="1">
        <v>43101</v>
      </c>
    </row>
    <row r="18849" spans="11:14" x14ac:dyDescent="0.3">
      <c r="K18849" s="1">
        <v>43466</v>
      </c>
      <c r="M18849" t="e">
        <v>#N/A</v>
      </c>
      <c r="N18849" s="1">
        <v>43101</v>
      </c>
    </row>
    <row r="18850" spans="11:14" x14ac:dyDescent="0.3">
      <c r="K18850" s="1">
        <v>43466</v>
      </c>
      <c r="M18850" t="e">
        <v>#N/A</v>
      </c>
      <c r="N18850" s="1">
        <v>43101</v>
      </c>
    </row>
    <row r="18851" spans="11:14" x14ac:dyDescent="0.3">
      <c r="K18851" s="1">
        <v>43466</v>
      </c>
      <c r="M18851" t="e">
        <v>#N/A</v>
      </c>
      <c r="N18851" s="1">
        <v>43101</v>
      </c>
    </row>
    <row r="18852" spans="11:14" x14ac:dyDescent="0.3">
      <c r="K18852" s="1">
        <v>43466</v>
      </c>
      <c r="M18852" t="e">
        <v>#N/A</v>
      </c>
      <c r="N18852" s="1">
        <v>43101</v>
      </c>
    </row>
    <row r="18853" spans="11:14" x14ac:dyDescent="0.3">
      <c r="K18853" s="1">
        <v>43466</v>
      </c>
      <c r="M18853" t="e">
        <v>#N/A</v>
      </c>
      <c r="N18853" s="1">
        <v>43101</v>
      </c>
    </row>
    <row r="18854" spans="11:14" x14ac:dyDescent="0.3">
      <c r="K18854" s="1">
        <v>43466</v>
      </c>
      <c r="M18854" t="e">
        <v>#N/A</v>
      </c>
      <c r="N18854" s="1">
        <v>43101</v>
      </c>
    </row>
    <row r="18855" spans="11:14" x14ac:dyDescent="0.3">
      <c r="K18855" s="1">
        <v>43466</v>
      </c>
      <c r="M18855" t="e">
        <v>#N/A</v>
      </c>
      <c r="N18855" s="1">
        <v>43101</v>
      </c>
    </row>
    <row r="18856" spans="11:14" x14ac:dyDescent="0.3">
      <c r="K18856" s="1">
        <v>43466</v>
      </c>
      <c r="M18856" t="e">
        <v>#N/A</v>
      </c>
      <c r="N18856" s="1">
        <v>43101</v>
      </c>
    </row>
    <row r="18857" spans="11:14" x14ac:dyDescent="0.3">
      <c r="K18857" s="1">
        <v>43466</v>
      </c>
      <c r="M18857" t="e">
        <v>#N/A</v>
      </c>
      <c r="N18857" s="1">
        <v>43101</v>
      </c>
    </row>
    <row r="18858" spans="11:14" x14ac:dyDescent="0.3">
      <c r="K18858" s="1">
        <v>43466</v>
      </c>
      <c r="M18858" t="e">
        <v>#N/A</v>
      </c>
      <c r="N18858" s="1">
        <v>43101</v>
      </c>
    </row>
    <row r="18859" spans="11:14" x14ac:dyDescent="0.3">
      <c r="K18859" s="1">
        <v>43466</v>
      </c>
      <c r="M18859" t="e">
        <v>#N/A</v>
      </c>
      <c r="N18859" s="1">
        <v>43101</v>
      </c>
    </row>
    <row r="18860" spans="11:14" x14ac:dyDescent="0.3">
      <c r="K18860" s="1">
        <v>43466</v>
      </c>
      <c r="M18860" t="e">
        <v>#N/A</v>
      </c>
      <c r="N18860" s="1">
        <v>43101</v>
      </c>
    </row>
    <row r="18861" spans="11:14" x14ac:dyDescent="0.3">
      <c r="K18861" s="1">
        <v>43466</v>
      </c>
      <c r="M18861" t="e">
        <v>#N/A</v>
      </c>
      <c r="N18861" s="1">
        <v>43101</v>
      </c>
    </row>
    <row r="18862" spans="11:14" x14ac:dyDescent="0.3">
      <c r="K18862" s="1">
        <v>43466</v>
      </c>
      <c r="M18862" t="e">
        <v>#N/A</v>
      </c>
      <c r="N18862" s="1">
        <v>43101</v>
      </c>
    </row>
    <row r="18863" spans="11:14" x14ac:dyDescent="0.3">
      <c r="K18863" s="1">
        <v>43466</v>
      </c>
      <c r="M18863" t="e">
        <v>#N/A</v>
      </c>
      <c r="N18863" s="1">
        <v>43101</v>
      </c>
    </row>
    <row r="18864" spans="11:14" x14ac:dyDescent="0.3">
      <c r="K18864" s="1">
        <v>43466</v>
      </c>
      <c r="M18864" t="e">
        <v>#N/A</v>
      </c>
      <c r="N18864" s="1">
        <v>43101</v>
      </c>
    </row>
    <row r="18865" spans="11:14" x14ac:dyDescent="0.3">
      <c r="K18865" s="1">
        <v>43466</v>
      </c>
      <c r="M18865" t="e">
        <v>#N/A</v>
      </c>
      <c r="N18865" s="1">
        <v>43101</v>
      </c>
    </row>
    <row r="18866" spans="11:14" x14ac:dyDescent="0.3">
      <c r="K18866" s="1">
        <v>43466</v>
      </c>
      <c r="M18866" t="e">
        <v>#N/A</v>
      </c>
      <c r="N18866" s="1">
        <v>43101</v>
      </c>
    </row>
    <row r="18867" spans="11:14" x14ac:dyDescent="0.3">
      <c r="K18867" s="1">
        <v>43466</v>
      </c>
      <c r="M18867" t="e">
        <v>#N/A</v>
      </c>
      <c r="N18867" s="1">
        <v>43101</v>
      </c>
    </row>
    <row r="18868" spans="11:14" x14ac:dyDescent="0.3">
      <c r="K18868" s="1">
        <v>43466</v>
      </c>
      <c r="M18868" t="e">
        <v>#N/A</v>
      </c>
      <c r="N18868" s="1">
        <v>43101</v>
      </c>
    </row>
    <row r="18869" spans="11:14" x14ac:dyDescent="0.3">
      <c r="K18869" s="1">
        <v>43466</v>
      </c>
      <c r="M18869" t="e">
        <v>#N/A</v>
      </c>
      <c r="N18869" s="1">
        <v>43101</v>
      </c>
    </row>
    <row r="18870" spans="11:14" x14ac:dyDescent="0.3">
      <c r="K18870" s="1">
        <v>43466</v>
      </c>
      <c r="M18870" t="e">
        <v>#N/A</v>
      </c>
      <c r="N18870" s="1">
        <v>43101</v>
      </c>
    </row>
    <row r="18871" spans="11:14" x14ac:dyDescent="0.3">
      <c r="K18871" s="1">
        <v>43466</v>
      </c>
      <c r="M18871" t="e">
        <v>#N/A</v>
      </c>
      <c r="N18871" s="1">
        <v>43101</v>
      </c>
    </row>
    <row r="18872" spans="11:14" x14ac:dyDescent="0.3">
      <c r="K18872" s="1">
        <v>43466</v>
      </c>
      <c r="M18872" t="e">
        <v>#N/A</v>
      </c>
      <c r="N18872" s="1">
        <v>43101</v>
      </c>
    </row>
    <row r="18873" spans="11:14" x14ac:dyDescent="0.3">
      <c r="K18873" s="1">
        <v>43466</v>
      </c>
      <c r="M18873" t="e">
        <v>#N/A</v>
      </c>
      <c r="N18873" s="1">
        <v>43101</v>
      </c>
    </row>
    <row r="18874" spans="11:14" x14ac:dyDescent="0.3">
      <c r="K18874" s="1">
        <v>43466</v>
      </c>
      <c r="M18874" t="e">
        <v>#N/A</v>
      </c>
      <c r="N18874" s="1">
        <v>43101</v>
      </c>
    </row>
    <row r="18875" spans="11:14" x14ac:dyDescent="0.3">
      <c r="K18875" s="1">
        <v>43466</v>
      </c>
      <c r="M18875" t="e">
        <v>#N/A</v>
      </c>
      <c r="N18875" s="1">
        <v>43101</v>
      </c>
    </row>
    <row r="18876" spans="11:14" x14ac:dyDescent="0.3">
      <c r="K18876" s="1">
        <v>43466</v>
      </c>
      <c r="M18876" t="e">
        <v>#N/A</v>
      </c>
      <c r="N18876" s="1">
        <v>43101</v>
      </c>
    </row>
    <row r="18877" spans="11:14" x14ac:dyDescent="0.3">
      <c r="K18877" s="1">
        <v>43466</v>
      </c>
      <c r="M18877" t="e">
        <v>#N/A</v>
      </c>
      <c r="N18877" s="1">
        <v>43101</v>
      </c>
    </row>
    <row r="18878" spans="11:14" x14ac:dyDescent="0.3">
      <c r="K18878" s="1">
        <v>43466</v>
      </c>
      <c r="M18878" t="e">
        <v>#N/A</v>
      </c>
      <c r="N18878" s="1">
        <v>43101</v>
      </c>
    </row>
    <row r="18879" spans="11:14" x14ac:dyDescent="0.3">
      <c r="K18879" s="1">
        <v>43466</v>
      </c>
      <c r="M18879" t="e">
        <v>#N/A</v>
      </c>
      <c r="N18879" s="1">
        <v>43101</v>
      </c>
    </row>
    <row r="18880" spans="11:14" x14ac:dyDescent="0.3">
      <c r="K18880" s="1">
        <v>43466</v>
      </c>
      <c r="M18880" t="e">
        <v>#N/A</v>
      </c>
      <c r="N18880" s="1">
        <v>43101</v>
      </c>
    </row>
    <row r="18881" spans="11:14" x14ac:dyDescent="0.3">
      <c r="K18881" s="1">
        <v>43466</v>
      </c>
      <c r="M18881" t="e">
        <v>#N/A</v>
      </c>
      <c r="N18881" s="1">
        <v>43101</v>
      </c>
    </row>
    <row r="18882" spans="11:14" x14ac:dyDescent="0.3">
      <c r="K18882" s="1">
        <v>43466</v>
      </c>
      <c r="M18882" t="e">
        <v>#N/A</v>
      </c>
      <c r="N18882" s="1">
        <v>43101</v>
      </c>
    </row>
    <row r="18883" spans="11:14" x14ac:dyDescent="0.3">
      <c r="K18883" s="1">
        <v>43466</v>
      </c>
      <c r="M18883" t="e">
        <v>#N/A</v>
      </c>
      <c r="N18883" s="1">
        <v>43101</v>
      </c>
    </row>
    <row r="18884" spans="11:14" x14ac:dyDescent="0.3">
      <c r="K18884" s="1">
        <v>43466</v>
      </c>
      <c r="M18884" t="e">
        <v>#N/A</v>
      </c>
      <c r="N18884" s="1">
        <v>43101</v>
      </c>
    </row>
    <row r="18885" spans="11:14" x14ac:dyDescent="0.3">
      <c r="K18885" s="1">
        <v>43466</v>
      </c>
      <c r="M18885" t="e">
        <v>#N/A</v>
      </c>
      <c r="N18885" s="1">
        <v>43101</v>
      </c>
    </row>
    <row r="18886" spans="11:14" x14ac:dyDescent="0.3">
      <c r="K18886" s="1">
        <v>43466</v>
      </c>
      <c r="M18886" t="e">
        <v>#N/A</v>
      </c>
      <c r="N18886" s="1">
        <v>43101</v>
      </c>
    </row>
    <row r="18887" spans="11:14" x14ac:dyDescent="0.3">
      <c r="K18887" s="1">
        <v>43466</v>
      </c>
      <c r="M18887" t="e">
        <v>#N/A</v>
      </c>
      <c r="N18887" s="1">
        <v>43101</v>
      </c>
    </row>
    <row r="18888" spans="11:14" x14ac:dyDescent="0.3">
      <c r="K18888" s="1">
        <v>43466</v>
      </c>
      <c r="M18888" t="e">
        <v>#N/A</v>
      </c>
      <c r="N18888" s="1">
        <v>43101</v>
      </c>
    </row>
    <row r="18889" spans="11:14" x14ac:dyDescent="0.3">
      <c r="K18889" s="1">
        <v>43466</v>
      </c>
      <c r="M18889" t="e">
        <v>#N/A</v>
      </c>
      <c r="N18889" s="1">
        <v>43101</v>
      </c>
    </row>
    <row r="18890" spans="11:14" x14ac:dyDescent="0.3">
      <c r="K18890" s="1">
        <v>43466</v>
      </c>
      <c r="M18890" t="e">
        <v>#N/A</v>
      </c>
      <c r="N18890" s="1">
        <v>43101</v>
      </c>
    </row>
    <row r="18891" spans="11:14" x14ac:dyDescent="0.3">
      <c r="K18891" s="1">
        <v>43466</v>
      </c>
      <c r="M18891" t="e">
        <v>#N/A</v>
      </c>
      <c r="N18891" s="1">
        <v>43101</v>
      </c>
    </row>
    <row r="18892" spans="11:14" x14ac:dyDescent="0.3">
      <c r="K18892" s="1">
        <v>43466</v>
      </c>
      <c r="M18892" t="e">
        <v>#N/A</v>
      </c>
      <c r="N18892" s="1">
        <v>43101</v>
      </c>
    </row>
    <row r="18893" spans="11:14" x14ac:dyDescent="0.3">
      <c r="K18893" s="1">
        <v>43466</v>
      </c>
      <c r="M18893" t="e">
        <v>#N/A</v>
      </c>
      <c r="N18893" s="1">
        <v>43101</v>
      </c>
    </row>
    <row r="18894" spans="11:14" x14ac:dyDescent="0.3">
      <c r="K18894" s="1">
        <v>43466</v>
      </c>
      <c r="M18894" t="e">
        <v>#N/A</v>
      </c>
      <c r="N18894" s="1">
        <v>43101</v>
      </c>
    </row>
    <row r="18895" spans="11:14" x14ac:dyDescent="0.3">
      <c r="K18895" s="1">
        <v>43466</v>
      </c>
      <c r="M18895" t="e">
        <v>#N/A</v>
      </c>
      <c r="N18895" s="1">
        <v>43101</v>
      </c>
    </row>
    <row r="18896" spans="11:14" x14ac:dyDescent="0.3">
      <c r="K18896" s="1">
        <v>43466</v>
      </c>
      <c r="M18896" t="e">
        <v>#N/A</v>
      </c>
      <c r="N18896" s="1">
        <v>43101</v>
      </c>
    </row>
    <row r="18897" spans="11:14" x14ac:dyDescent="0.3">
      <c r="K18897" s="1">
        <v>43466</v>
      </c>
      <c r="M18897" t="e">
        <v>#N/A</v>
      </c>
      <c r="N18897" s="1">
        <v>43101</v>
      </c>
    </row>
    <row r="18898" spans="11:14" x14ac:dyDescent="0.3">
      <c r="K18898" s="1">
        <v>43466</v>
      </c>
      <c r="M18898" t="e">
        <v>#N/A</v>
      </c>
      <c r="N18898" s="1">
        <v>43101</v>
      </c>
    </row>
    <row r="18899" spans="11:14" x14ac:dyDescent="0.3">
      <c r="K18899" s="1">
        <v>43466</v>
      </c>
      <c r="M18899" t="e">
        <v>#N/A</v>
      </c>
      <c r="N18899" s="1">
        <v>43101</v>
      </c>
    </row>
    <row r="18900" spans="11:14" x14ac:dyDescent="0.3">
      <c r="K18900" s="1">
        <v>43466</v>
      </c>
      <c r="M18900" t="e">
        <v>#N/A</v>
      </c>
      <c r="N18900" s="1">
        <v>43101</v>
      </c>
    </row>
    <row r="18901" spans="11:14" x14ac:dyDescent="0.3">
      <c r="K18901" s="1">
        <v>43466</v>
      </c>
      <c r="M18901" t="e">
        <v>#N/A</v>
      </c>
      <c r="N18901" s="1">
        <v>43101</v>
      </c>
    </row>
    <row r="18902" spans="11:14" x14ac:dyDescent="0.3">
      <c r="K18902" s="1">
        <v>43466</v>
      </c>
      <c r="M18902" t="e">
        <v>#N/A</v>
      </c>
      <c r="N18902" s="1">
        <v>43101</v>
      </c>
    </row>
    <row r="18903" spans="11:14" x14ac:dyDescent="0.3">
      <c r="K18903" s="1">
        <v>43466</v>
      </c>
      <c r="M18903" t="e">
        <v>#N/A</v>
      </c>
      <c r="N18903" s="1">
        <v>43101</v>
      </c>
    </row>
    <row r="18904" spans="11:14" x14ac:dyDescent="0.3">
      <c r="K18904" s="1">
        <v>43466</v>
      </c>
      <c r="M18904" t="e">
        <v>#N/A</v>
      </c>
      <c r="N18904" s="1">
        <v>43101</v>
      </c>
    </row>
    <row r="18905" spans="11:14" x14ac:dyDescent="0.3">
      <c r="K18905" s="1">
        <v>43466</v>
      </c>
      <c r="M18905" t="e">
        <v>#N/A</v>
      </c>
      <c r="N18905" s="1">
        <v>43101</v>
      </c>
    </row>
    <row r="18906" spans="11:14" x14ac:dyDescent="0.3">
      <c r="K18906" s="1">
        <v>43466</v>
      </c>
      <c r="M18906" t="e">
        <v>#N/A</v>
      </c>
      <c r="N18906" s="1">
        <v>43101</v>
      </c>
    </row>
    <row r="18907" spans="11:14" x14ac:dyDescent="0.3">
      <c r="K18907" s="1">
        <v>43466</v>
      </c>
      <c r="M18907" t="e">
        <v>#N/A</v>
      </c>
      <c r="N18907" s="1">
        <v>43101</v>
      </c>
    </row>
    <row r="18908" spans="11:14" x14ac:dyDescent="0.3">
      <c r="K18908" s="1">
        <v>43466</v>
      </c>
      <c r="M18908" t="e">
        <v>#N/A</v>
      </c>
      <c r="N18908" s="1">
        <v>43101</v>
      </c>
    </row>
    <row r="18909" spans="11:14" x14ac:dyDescent="0.3">
      <c r="K18909" s="1">
        <v>43466</v>
      </c>
      <c r="M18909" t="e">
        <v>#N/A</v>
      </c>
      <c r="N18909" s="1">
        <v>43101</v>
      </c>
    </row>
    <row r="18910" spans="11:14" x14ac:dyDescent="0.3">
      <c r="K18910" s="1">
        <v>43466</v>
      </c>
      <c r="M18910" t="e">
        <v>#N/A</v>
      </c>
      <c r="N18910" s="1">
        <v>43101</v>
      </c>
    </row>
    <row r="18911" spans="11:14" x14ac:dyDescent="0.3">
      <c r="K18911" s="1">
        <v>43466</v>
      </c>
      <c r="M18911" t="e">
        <v>#N/A</v>
      </c>
      <c r="N18911" s="1">
        <v>43101</v>
      </c>
    </row>
    <row r="18912" spans="11:14" x14ac:dyDescent="0.3">
      <c r="K18912" s="1">
        <v>43466</v>
      </c>
      <c r="M18912" t="e">
        <v>#N/A</v>
      </c>
      <c r="N18912" s="1">
        <v>43101</v>
      </c>
    </row>
    <row r="18913" spans="11:14" x14ac:dyDescent="0.3">
      <c r="K18913" s="1">
        <v>43466</v>
      </c>
      <c r="M18913" t="e">
        <v>#N/A</v>
      </c>
      <c r="N18913" s="1">
        <v>43101</v>
      </c>
    </row>
    <row r="18914" spans="11:14" x14ac:dyDescent="0.3">
      <c r="K18914" s="1">
        <v>43466</v>
      </c>
      <c r="M18914" t="e">
        <v>#N/A</v>
      </c>
      <c r="N18914" s="1">
        <v>43101</v>
      </c>
    </row>
    <row r="18915" spans="11:14" x14ac:dyDescent="0.3">
      <c r="K18915" s="1">
        <v>43466</v>
      </c>
      <c r="M18915" t="e">
        <v>#N/A</v>
      </c>
      <c r="N18915" s="1">
        <v>43101</v>
      </c>
    </row>
    <row r="18916" spans="11:14" x14ac:dyDescent="0.3">
      <c r="K18916" s="1">
        <v>43466</v>
      </c>
      <c r="M18916" t="e">
        <v>#N/A</v>
      </c>
      <c r="N18916" s="1">
        <v>43101</v>
      </c>
    </row>
    <row r="18917" spans="11:14" x14ac:dyDescent="0.3">
      <c r="K18917" s="1">
        <v>43466</v>
      </c>
      <c r="M18917" t="e">
        <v>#N/A</v>
      </c>
      <c r="N18917" s="1">
        <v>43101</v>
      </c>
    </row>
    <row r="18918" spans="11:14" x14ac:dyDescent="0.3">
      <c r="K18918" s="1">
        <v>43466</v>
      </c>
      <c r="M18918" t="e">
        <v>#N/A</v>
      </c>
      <c r="N18918" s="1">
        <v>43101</v>
      </c>
    </row>
    <row r="18919" spans="11:14" x14ac:dyDescent="0.3">
      <c r="K18919" s="1">
        <v>43466</v>
      </c>
      <c r="M18919" t="e">
        <v>#N/A</v>
      </c>
      <c r="N18919" s="1">
        <v>43101</v>
      </c>
    </row>
    <row r="18920" spans="11:14" x14ac:dyDescent="0.3">
      <c r="K18920" s="1">
        <v>43466</v>
      </c>
      <c r="M18920" t="e">
        <v>#N/A</v>
      </c>
      <c r="N18920" s="1">
        <v>43101</v>
      </c>
    </row>
    <row r="18921" spans="11:14" x14ac:dyDescent="0.3">
      <c r="K18921" s="1">
        <v>43466</v>
      </c>
      <c r="M18921" t="e">
        <v>#N/A</v>
      </c>
      <c r="N18921" s="1">
        <v>43101</v>
      </c>
    </row>
    <row r="18922" spans="11:14" x14ac:dyDescent="0.3">
      <c r="K18922" s="1">
        <v>43466</v>
      </c>
      <c r="M18922" t="e">
        <v>#N/A</v>
      </c>
      <c r="N18922" s="1">
        <v>43101</v>
      </c>
    </row>
    <row r="18923" spans="11:14" x14ac:dyDescent="0.3">
      <c r="K18923" s="1">
        <v>43466</v>
      </c>
      <c r="M18923" t="e">
        <v>#N/A</v>
      </c>
      <c r="N18923" s="1">
        <v>43101</v>
      </c>
    </row>
    <row r="18924" spans="11:14" x14ac:dyDescent="0.3">
      <c r="K18924" s="1">
        <v>43466</v>
      </c>
      <c r="M18924" t="e">
        <v>#N/A</v>
      </c>
      <c r="N18924" s="1">
        <v>43101</v>
      </c>
    </row>
    <row r="18925" spans="11:14" x14ac:dyDescent="0.3">
      <c r="K18925" s="1">
        <v>43466</v>
      </c>
      <c r="M18925" t="e">
        <v>#N/A</v>
      </c>
      <c r="N18925" s="1">
        <v>43101</v>
      </c>
    </row>
    <row r="18926" spans="11:14" x14ac:dyDescent="0.3">
      <c r="K18926" s="1">
        <v>43466</v>
      </c>
      <c r="M18926" t="e">
        <v>#N/A</v>
      </c>
      <c r="N18926" s="1">
        <v>43101</v>
      </c>
    </row>
    <row r="18927" spans="11:14" x14ac:dyDescent="0.3">
      <c r="K18927" s="1">
        <v>43466</v>
      </c>
      <c r="M18927" t="e">
        <v>#N/A</v>
      </c>
      <c r="N18927" s="1">
        <v>43101</v>
      </c>
    </row>
    <row r="18928" spans="11:14" x14ac:dyDescent="0.3">
      <c r="K18928" s="1">
        <v>43466</v>
      </c>
      <c r="M18928" t="e">
        <v>#N/A</v>
      </c>
      <c r="N18928" s="1">
        <v>43101</v>
      </c>
    </row>
    <row r="18929" spans="11:14" x14ac:dyDescent="0.3">
      <c r="K18929" s="1">
        <v>43466</v>
      </c>
      <c r="M18929" t="e">
        <v>#N/A</v>
      </c>
      <c r="N18929" s="1">
        <v>43101</v>
      </c>
    </row>
    <row r="18930" spans="11:14" x14ac:dyDescent="0.3">
      <c r="K18930" s="1">
        <v>43466</v>
      </c>
      <c r="M18930" t="e">
        <v>#N/A</v>
      </c>
      <c r="N18930" s="1">
        <v>43101</v>
      </c>
    </row>
    <row r="18931" spans="11:14" x14ac:dyDescent="0.3">
      <c r="K18931" s="1">
        <v>43466</v>
      </c>
      <c r="M18931" t="e">
        <v>#N/A</v>
      </c>
      <c r="N18931" s="1">
        <v>43101</v>
      </c>
    </row>
    <row r="18932" spans="11:14" x14ac:dyDescent="0.3">
      <c r="K18932" s="1">
        <v>43466</v>
      </c>
      <c r="M18932" t="e">
        <v>#N/A</v>
      </c>
      <c r="N18932" s="1">
        <v>43101</v>
      </c>
    </row>
    <row r="18933" spans="11:14" x14ac:dyDescent="0.3">
      <c r="K18933" s="1">
        <v>43466</v>
      </c>
      <c r="M18933" t="e">
        <v>#N/A</v>
      </c>
      <c r="N18933" s="1">
        <v>43101</v>
      </c>
    </row>
    <row r="18934" spans="11:14" x14ac:dyDescent="0.3">
      <c r="K18934" s="1">
        <v>43466</v>
      </c>
      <c r="M18934" t="e">
        <v>#N/A</v>
      </c>
      <c r="N18934" s="1">
        <v>43101</v>
      </c>
    </row>
    <row r="18935" spans="11:14" x14ac:dyDescent="0.3">
      <c r="K18935" s="1">
        <v>43466</v>
      </c>
      <c r="M18935" t="e">
        <v>#N/A</v>
      </c>
      <c r="N18935" s="1">
        <v>43101</v>
      </c>
    </row>
    <row r="18936" spans="11:14" x14ac:dyDescent="0.3">
      <c r="K18936" s="1">
        <v>43466</v>
      </c>
      <c r="M18936" t="e">
        <v>#N/A</v>
      </c>
      <c r="N18936" s="1">
        <v>43101</v>
      </c>
    </row>
    <row r="18937" spans="11:14" x14ac:dyDescent="0.3">
      <c r="K18937" s="1">
        <v>43466</v>
      </c>
      <c r="M18937" t="e">
        <v>#N/A</v>
      </c>
      <c r="N18937" s="1">
        <v>43101</v>
      </c>
    </row>
    <row r="18938" spans="11:14" x14ac:dyDescent="0.3">
      <c r="K18938" s="1">
        <v>43466</v>
      </c>
      <c r="M18938" t="e">
        <v>#N/A</v>
      </c>
      <c r="N18938" s="1">
        <v>43101</v>
      </c>
    </row>
    <row r="18939" spans="11:14" x14ac:dyDescent="0.3">
      <c r="K18939" s="1">
        <v>43466</v>
      </c>
      <c r="M18939" t="e">
        <v>#N/A</v>
      </c>
      <c r="N18939" s="1">
        <v>43101</v>
      </c>
    </row>
    <row r="18940" spans="11:14" x14ac:dyDescent="0.3">
      <c r="K18940" s="1">
        <v>43466</v>
      </c>
      <c r="M18940" t="e">
        <v>#N/A</v>
      </c>
      <c r="N18940" s="1">
        <v>43101</v>
      </c>
    </row>
    <row r="18941" spans="11:14" x14ac:dyDescent="0.3">
      <c r="K18941" s="1">
        <v>43466</v>
      </c>
      <c r="M18941" t="e">
        <v>#N/A</v>
      </c>
      <c r="N18941" s="1">
        <v>43101</v>
      </c>
    </row>
    <row r="18942" spans="11:14" x14ac:dyDescent="0.3">
      <c r="K18942" s="1">
        <v>43466</v>
      </c>
      <c r="M18942" t="e">
        <v>#N/A</v>
      </c>
      <c r="N18942" s="1">
        <v>43101</v>
      </c>
    </row>
    <row r="18943" spans="11:14" x14ac:dyDescent="0.3">
      <c r="K18943" s="1">
        <v>43466</v>
      </c>
      <c r="M18943" t="e">
        <v>#N/A</v>
      </c>
      <c r="N18943" s="1">
        <v>43101</v>
      </c>
    </row>
    <row r="18944" spans="11:14" x14ac:dyDescent="0.3">
      <c r="K18944" s="1">
        <v>43466</v>
      </c>
      <c r="M18944" t="e">
        <v>#N/A</v>
      </c>
      <c r="N18944" s="1">
        <v>43101</v>
      </c>
    </row>
    <row r="18945" spans="11:14" x14ac:dyDescent="0.3">
      <c r="K18945" s="1">
        <v>43466</v>
      </c>
      <c r="M18945" t="e">
        <v>#N/A</v>
      </c>
      <c r="N18945" s="1">
        <v>43101</v>
      </c>
    </row>
    <row r="18946" spans="11:14" x14ac:dyDescent="0.3">
      <c r="K18946" s="1">
        <v>43466</v>
      </c>
      <c r="M18946" t="e">
        <v>#N/A</v>
      </c>
      <c r="N18946" s="1">
        <v>43101</v>
      </c>
    </row>
    <row r="18947" spans="11:14" x14ac:dyDescent="0.3">
      <c r="K18947" s="1">
        <v>43466</v>
      </c>
      <c r="M18947" t="e">
        <v>#N/A</v>
      </c>
      <c r="N18947" s="1">
        <v>43101</v>
      </c>
    </row>
    <row r="18948" spans="11:14" x14ac:dyDescent="0.3">
      <c r="K18948" s="1">
        <v>43466</v>
      </c>
      <c r="M18948" t="e">
        <v>#N/A</v>
      </c>
      <c r="N18948" s="1">
        <v>43101</v>
      </c>
    </row>
    <row r="18949" spans="11:14" x14ac:dyDescent="0.3">
      <c r="K18949" s="1">
        <v>43466</v>
      </c>
      <c r="M18949" t="e">
        <v>#N/A</v>
      </c>
      <c r="N18949" s="1">
        <v>43101</v>
      </c>
    </row>
    <row r="18950" spans="11:14" x14ac:dyDescent="0.3">
      <c r="K18950" s="1">
        <v>43466</v>
      </c>
      <c r="M18950" t="e">
        <v>#N/A</v>
      </c>
      <c r="N18950" s="1">
        <v>43101</v>
      </c>
    </row>
    <row r="18951" spans="11:14" x14ac:dyDescent="0.3">
      <c r="K18951" s="1">
        <v>43466</v>
      </c>
      <c r="M18951" t="e">
        <v>#N/A</v>
      </c>
      <c r="N18951" s="1">
        <v>43101</v>
      </c>
    </row>
    <row r="18952" spans="11:14" x14ac:dyDescent="0.3">
      <c r="K18952" s="1">
        <v>43466</v>
      </c>
      <c r="M18952" t="e">
        <v>#N/A</v>
      </c>
      <c r="N18952" s="1">
        <v>43101</v>
      </c>
    </row>
    <row r="18953" spans="11:14" x14ac:dyDescent="0.3">
      <c r="K18953" s="1">
        <v>43466</v>
      </c>
      <c r="M18953" t="e">
        <v>#N/A</v>
      </c>
      <c r="N18953" s="1">
        <v>43101</v>
      </c>
    </row>
    <row r="18954" spans="11:14" x14ac:dyDescent="0.3">
      <c r="K18954" s="1">
        <v>43466</v>
      </c>
      <c r="M18954" t="e">
        <v>#N/A</v>
      </c>
      <c r="N18954" s="1">
        <v>43101</v>
      </c>
    </row>
    <row r="18955" spans="11:14" x14ac:dyDescent="0.3">
      <c r="K18955" s="1">
        <v>43466</v>
      </c>
      <c r="M18955" t="e">
        <v>#N/A</v>
      </c>
      <c r="N18955" s="1">
        <v>43101</v>
      </c>
    </row>
    <row r="18956" spans="11:14" x14ac:dyDescent="0.3">
      <c r="K18956" s="1">
        <v>43466</v>
      </c>
      <c r="M18956" t="e">
        <v>#N/A</v>
      </c>
      <c r="N18956" s="1">
        <v>43101</v>
      </c>
    </row>
    <row r="18957" spans="11:14" x14ac:dyDescent="0.3">
      <c r="K18957" s="1">
        <v>43466</v>
      </c>
      <c r="M18957" t="e">
        <v>#N/A</v>
      </c>
      <c r="N18957" s="1">
        <v>43101</v>
      </c>
    </row>
    <row r="18958" spans="11:14" x14ac:dyDescent="0.3">
      <c r="K18958" s="1">
        <v>43466</v>
      </c>
      <c r="M18958" t="e">
        <v>#N/A</v>
      </c>
      <c r="N18958" s="1">
        <v>43101</v>
      </c>
    </row>
    <row r="18959" spans="11:14" x14ac:dyDescent="0.3">
      <c r="K18959" s="1">
        <v>43466</v>
      </c>
      <c r="M18959" t="e">
        <v>#N/A</v>
      </c>
      <c r="N18959" s="1">
        <v>43101</v>
      </c>
    </row>
    <row r="18960" spans="11:14" x14ac:dyDescent="0.3">
      <c r="K18960" s="1">
        <v>43466</v>
      </c>
      <c r="M18960" t="e">
        <v>#N/A</v>
      </c>
      <c r="N18960" s="1">
        <v>43101</v>
      </c>
    </row>
    <row r="18961" spans="11:14" x14ac:dyDescent="0.3">
      <c r="K18961" s="1">
        <v>43466</v>
      </c>
      <c r="M18961" t="e">
        <v>#N/A</v>
      </c>
      <c r="N18961" s="1">
        <v>43101</v>
      </c>
    </row>
    <row r="18962" spans="11:14" x14ac:dyDescent="0.3">
      <c r="K18962" s="1">
        <v>43466</v>
      </c>
      <c r="M18962" t="e">
        <v>#N/A</v>
      </c>
      <c r="N18962" s="1">
        <v>43101</v>
      </c>
    </row>
    <row r="18963" spans="11:14" x14ac:dyDescent="0.3">
      <c r="K18963" s="1">
        <v>43466</v>
      </c>
      <c r="M18963" t="e">
        <v>#N/A</v>
      </c>
      <c r="N18963" s="1">
        <v>43101</v>
      </c>
    </row>
    <row r="18964" spans="11:14" x14ac:dyDescent="0.3">
      <c r="K18964" s="1">
        <v>43466</v>
      </c>
      <c r="M18964" t="e">
        <v>#N/A</v>
      </c>
      <c r="N18964" s="1">
        <v>43101</v>
      </c>
    </row>
    <row r="18965" spans="11:14" x14ac:dyDescent="0.3">
      <c r="K18965" s="1">
        <v>43466</v>
      </c>
      <c r="M18965" t="e">
        <v>#N/A</v>
      </c>
      <c r="N18965" s="1">
        <v>43101</v>
      </c>
    </row>
    <row r="18966" spans="11:14" x14ac:dyDescent="0.3">
      <c r="K18966" s="1">
        <v>43466</v>
      </c>
      <c r="M18966" t="e">
        <v>#N/A</v>
      </c>
      <c r="N18966" s="1">
        <v>43101</v>
      </c>
    </row>
    <row r="18967" spans="11:14" x14ac:dyDescent="0.3">
      <c r="K18967" s="1">
        <v>43466</v>
      </c>
      <c r="M18967" t="e">
        <v>#N/A</v>
      </c>
      <c r="N18967" s="1">
        <v>43101</v>
      </c>
    </row>
    <row r="18968" spans="11:14" x14ac:dyDescent="0.3">
      <c r="K18968" s="1">
        <v>43466</v>
      </c>
      <c r="M18968" t="e">
        <v>#N/A</v>
      </c>
      <c r="N18968" s="1">
        <v>43101</v>
      </c>
    </row>
    <row r="18969" spans="11:14" x14ac:dyDescent="0.3">
      <c r="K18969" s="1">
        <v>43466</v>
      </c>
      <c r="M18969" t="e">
        <v>#N/A</v>
      </c>
      <c r="N18969" s="1">
        <v>43101</v>
      </c>
    </row>
    <row r="18970" spans="11:14" x14ac:dyDescent="0.3">
      <c r="K18970" s="1">
        <v>43466</v>
      </c>
      <c r="M18970" t="e">
        <v>#N/A</v>
      </c>
      <c r="N18970" s="1">
        <v>43101</v>
      </c>
    </row>
    <row r="18971" spans="11:14" x14ac:dyDescent="0.3">
      <c r="K18971" s="1">
        <v>43466</v>
      </c>
      <c r="M18971" t="e">
        <v>#N/A</v>
      </c>
      <c r="N18971" s="1">
        <v>43101</v>
      </c>
    </row>
    <row r="18972" spans="11:14" x14ac:dyDescent="0.3">
      <c r="K18972" s="1">
        <v>43466</v>
      </c>
      <c r="M18972" t="e">
        <v>#N/A</v>
      </c>
      <c r="N18972" s="1">
        <v>43101</v>
      </c>
    </row>
    <row r="18973" spans="11:14" x14ac:dyDescent="0.3">
      <c r="K18973" s="1">
        <v>43466</v>
      </c>
      <c r="M18973" t="e">
        <v>#N/A</v>
      </c>
      <c r="N18973" s="1">
        <v>43101</v>
      </c>
    </row>
    <row r="18974" spans="11:14" x14ac:dyDescent="0.3">
      <c r="K18974" s="1">
        <v>43466</v>
      </c>
      <c r="M18974" t="e">
        <v>#N/A</v>
      </c>
      <c r="N18974" s="1">
        <v>43101</v>
      </c>
    </row>
    <row r="18975" spans="11:14" x14ac:dyDescent="0.3">
      <c r="K18975" s="1">
        <v>43466</v>
      </c>
      <c r="M18975" t="e">
        <v>#N/A</v>
      </c>
      <c r="N18975" s="1">
        <v>43101</v>
      </c>
    </row>
    <row r="18976" spans="11:14" x14ac:dyDescent="0.3">
      <c r="K18976" s="1">
        <v>43466</v>
      </c>
      <c r="M18976" t="e">
        <v>#N/A</v>
      </c>
      <c r="N18976" s="1">
        <v>43101</v>
      </c>
    </row>
    <row r="18977" spans="11:14" x14ac:dyDescent="0.3">
      <c r="K18977" s="1">
        <v>43466</v>
      </c>
      <c r="M18977" t="e">
        <v>#N/A</v>
      </c>
      <c r="N18977" s="1">
        <v>43101</v>
      </c>
    </row>
    <row r="18978" spans="11:14" x14ac:dyDescent="0.3">
      <c r="K18978" s="1">
        <v>43466</v>
      </c>
      <c r="M18978" t="e">
        <v>#N/A</v>
      </c>
      <c r="N18978" s="1">
        <v>43101</v>
      </c>
    </row>
    <row r="18979" spans="11:14" x14ac:dyDescent="0.3">
      <c r="K18979" s="1">
        <v>43466</v>
      </c>
      <c r="M18979" t="e">
        <v>#N/A</v>
      </c>
      <c r="N18979" s="1">
        <v>43101</v>
      </c>
    </row>
    <row r="18980" spans="11:14" x14ac:dyDescent="0.3">
      <c r="K18980" s="1">
        <v>43466</v>
      </c>
      <c r="M18980" t="e">
        <v>#N/A</v>
      </c>
      <c r="N18980" s="1">
        <v>43101</v>
      </c>
    </row>
    <row r="18981" spans="11:14" x14ac:dyDescent="0.3">
      <c r="K18981" s="1">
        <v>43466</v>
      </c>
      <c r="M18981" t="e">
        <v>#N/A</v>
      </c>
      <c r="N18981" s="1">
        <v>43101</v>
      </c>
    </row>
    <row r="18982" spans="11:14" x14ac:dyDescent="0.3">
      <c r="K18982" s="1">
        <v>43466</v>
      </c>
      <c r="M18982" t="e">
        <v>#N/A</v>
      </c>
      <c r="N18982" s="1">
        <v>43101</v>
      </c>
    </row>
    <row r="18983" spans="11:14" x14ac:dyDescent="0.3">
      <c r="K18983" s="1">
        <v>43466</v>
      </c>
      <c r="M18983" t="e">
        <v>#N/A</v>
      </c>
      <c r="N18983" s="1">
        <v>43101</v>
      </c>
    </row>
    <row r="18984" spans="11:14" x14ac:dyDescent="0.3">
      <c r="K18984" s="1">
        <v>43466</v>
      </c>
      <c r="M18984" t="e">
        <v>#N/A</v>
      </c>
      <c r="N18984" s="1">
        <v>43101</v>
      </c>
    </row>
    <row r="18985" spans="11:14" x14ac:dyDescent="0.3">
      <c r="K18985" s="1">
        <v>43466</v>
      </c>
      <c r="M18985" t="e">
        <v>#N/A</v>
      </c>
      <c r="N18985" s="1">
        <v>43101</v>
      </c>
    </row>
    <row r="18986" spans="11:14" x14ac:dyDescent="0.3">
      <c r="K18986" s="1">
        <v>43466</v>
      </c>
      <c r="M18986" t="e">
        <v>#N/A</v>
      </c>
      <c r="N18986" s="1">
        <v>43101</v>
      </c>
    </row>
    <row r="18987" spans="11:14" x14ac:dyDescent="0.3">
      <c r="K18987" s="1">
        <v>43466</v>
      </c>
      <c r="M18987" t="e">
        <v>#N/A</v>
      </c>
      <c r="N18987" s="1">
        <v>43101</v>
      </c>
    </row>
    <row r="18988" spans="11:14" x14ac:dyDescent="0.3">
      <c r="K18988" s="1">
        <v>43466</v>
      </c>
      <c r="M18988" t="e">
        <v>#N/A</v>
      </c>
      <c r="N18988" s="1">
        <v>43101</v>
      </c>
    </row>
    <row r="18989" spans="11:14" x14ac:dyDescent="0.3">
      <c r="K18989" s="1">
        <v>43466</v>
      </c>
      <c r="M18989" t="e">
        <v>#N/A</v>
      </c>
      <c r="N18989" s="1">
        <v>43101</v>
      </c>
    </row>
    <row r="18990" spans="11:14" x14ac:dyDescent="0.3">
      <c r="K18990" s="1">
        <v>43466</v>
      </c>
      <c r="M18990" t="e">
        <v>#N/A</v>
      </c>
      <c r="N18990" s="1">
        <v>43101</v>
      </c>
    </row>
    <row r="18991" spans="11:14" x14ac:dyDescent="0.3">
      <c r="K18991" s="1">
        <v>43466</v>
      </c>
      <c r="M18991" t="e">
        <v>#N/A</v>
      </c>
      <c r="N18991" s="1">
        <v>43101</v>
      </c>
    </row>
    <row r="18992" spans="11:14" x14ac:dyDescent="0.3">
      <c r="K18992" s="1">
        <v>43466</v>
      </c>
      <c r="M18992" t="e">
        <v>#N/A</v>
      </c>
      <c r="N18992" s="1">
        <v>43101</v>
      </c>
    </row>
    <row r="18993" spans="11:14" x14ac:dyDescent="0.3">
      <c r="K18993" s="1">
        <v>43466</v>
      </c>
      <c r="M18993" t="e">
        <v>#N/A</v>
      </c>
      <c r="N18993" s="1">
        <v>43101</v>
      </c>
    </row>
    <row r="18994" spans="11:14" x14ac:dyDescent="0.3">
      <c r="K18994" s="1">
        <v>43466</v>
      </c>
      <c r="M18994" t="e">
        <v>#N/A</v>
      </c>
      <c r="N18994" s="1">
        <v>43101</v>
      </c>
    </row>
    <row r="18995" spans="11:14" x14ac:dyDescent="0.3">
      <c r="K18995" s="1">
        <v>43466</v>
      </c>
      <c r="M18995" t="e">
        <v>#N/A</v>
      </c>
      <c r="N18995" s="1">
        <v>43101</v>
      </c>
    </row>
    <row r="18996" spans="11:14" x14ac:dyDescent="0.3">
      <c r="K18996" s="1">
        <v>43466</v>
      </c>
      <c r="M18996" t="e">
        <v>#N/A</v>
      </c>
      <c r="N18996" s="1">
        <v>43101</v>
      </c>
    </row>
    <row r="18997" spans="11:14" x14ac:dyDescent="0.3">
      <c r="K18997" s="1">
        <v>43466</v>
      </c>
      <c r="M18997" t="e">
        <v>#N/A</v>
      </c>
      <c r="N18997" s="1">
        <v>43101</v>
      </c>
    </row>
    <row r="18998" spans="11:14" x14ac:dyDescent="0.3">
      <c r="K18998" s="1">
        <v>43466</v>
      </c>
      <c r="M18998" t="e">
        <v>#N/A</v>
      </c>
      <c r="N18998" s="1">
        <v>43101</v>
      </c>
    </row>
    <row r="18999" spans="11:14" x14ac:dyDescent="0.3">
      <c r="K18999" s="1">
        <v>43466</v>
      </c>
      <c r="M18999" t="e">
        <v>#N/A</v>
      </c>
      <c r="N18999" s="1">
        <v>43101</v>
      </c>
    </row>
    <row r="19000" spans="11:14" x14ac:dyDescent="0.3">
      <c r="K19000" s="1">
        <v>43466</v>
      </c>
      <c r="M19000" t="e">
        <v>#N/A</v>
      </c>
      <c r="N19000" s="1">
        <v>43101</v>
      </c>
    </row>
    <row r="19001" spans="11:14" x14ac:dyDescent="0.3">
      <c r="K19001" s="1">
        <v>43466</v>
      </c>
      <c r="M19001" t="e">
        <v>#N/A</v>
      </c>
      <c r="N19001" s="1">
        <v>43101</v>
      </c>
    </row>
    <row r="19002" spans="11:14" x14ac:dyDescent="0.3">
      <c r="K19002" s="1">
        <v>43466</v>
      </c>
      <c r="M19002" t="e">
        <v>#N/A</v>
      </c>
      <c r="N19002" s="1">
        <v>43101</v>
      </c>
    </row>
    <row r="19003" spans="11:14" x14ac:dyDescent="0.3">
      <c r="K19003" s="1">
        <v>43466</v>
      </c>
      <c r="M19003" t="e">
        <v>#N/A</v>
      </c>
      <c r="N19003" s="1">
        <v>43101</v>
      </c>
    </row>
    <row r="19004" spans="11:14" x14ac:dyDescent="0.3">
      <c r="K19004" s="1">
        <v>43466</v>
      </c>
      <c r="M19004" t="e">
        <v>#N/A</v>
      </c>
      <c r="N19004" s="1">
        <v>43101</v>
      </c>
    </row>
    <row r="19005" spans="11:14" x14ac:dyDescent="0.3">
      <c r="K19005" s="1">
        <v>43466</v>
      </c>
      <c r="M19005" t="e">
        <v>#N/A</v>
      </c>
      <c r="N19005" s="1">
        <v>43101</v>
      </c>
    </row>
    <row r="19006" spans="11:14" x14ac:dyDescent="0.3">
      <c r="K19006" s="1">
        <v>43466</v>
      </c>
      <c r="M19006" t="e">
        <v>#N/A</v>
      </c>
      <c r="N19006" s="1">
        <v>43101</v>
      </c>
    </row>
    <row r="19007" spans="11:14" x14ac:dyDescent="0.3">
      <c r="K19007" s="1">
        <v>43466</v>
      </c>
      <c r="M19007" t="e">
        <v>#N/A</v>
      </c>
      <c r="N19007" s="1">
        <v>43101</v>
      </c>
    </row>
    <row r="19008" spans="11:14" x14ac:dyDescent="0.3">
      <c r="K19008" s="1">
        <v>43466</v>
      </c>
      <c r="M19008" t="e">
        <v>#N/A</v>
      </c>
      <c r="N19008" s="1">
        <v>43101</v>
      </c>
    </row>
    <row r="19009" spans="11:14" x14ac:dyDescent="0.3">
      <c r="K19009" s="1">
        <v>43466</v>
      </c>
      <c r="M19009" t="e">
        <v>#N/A</v>
      </c>
      <c r="N19009" s="1">
        <v>43101</v>
      </c>
    </row>
    <row r="19010" spans="11:14" x14ac:dyDescent="0.3">
      <c r="K19010" s="1">
        <v>43466</v>
      </c>
      <c r="M19010" t="e">
        <v>#N/A</v>
      </c>
      <c r="N19010" s="1">
        <v>43101</v>
      </c>
    </row>
    <row r="19011" spans="11:14" x14ac:dyDescent="0.3">
      <c r="K19011" s="1">
        <v>43466</v>
      </c>
      <c r="M19011" t="e">
        <v>#N/A</v>
      </c>
      <c r="N19011" s="1">
        <v>43101</v>
      </c>
    </row>
    <row r="19012" spans="11:14" x14ac:dyDescent="0.3">
      <c r="K19012" s="1">
        <v>43466</v>
      </c>
      <c r="M19012" t="e">
        <v>#N/A</v>
      </c>
      <c r="N19012" s="1">
        <v>43101</v>
      </c>
    </row>
    <row r="19013" spans="11:14" x14ac:dyDescent="0.3">
      <c r="K19013" s="1">
        <v>43466</v>
      </c>
      <c r="M19013" t="e">
        <v>#N/A</v>
      </c>
      <c r="N19013" s="1">
        <v>43101</v>
      </c>
    </row>
    <row r="19014" spans="11:14" x14ac:dyDescent="0.3">
      <c r="K19014" s="1">
        <v>43466</v>
      </c>
      <c r="M19014" t="e">
        <v>#N/A</v>
      </c>
      <c r="N19014" s="1">
        <v>43101</v>
      </c>
    </row>
    <row r="19015" spans="11:14" x14ac:dyDescent="0.3">
      <c r="K19015" s="1">
        <v>43466</v>
      </c>
      <c r="M19015" t="e">
        <v>#N/A</v>
      </c>
      <c r="N19015" s="1">
        <v>43101</v>
      </c>
    </row>
    <row r="19016" spans="11:14" x14ac:dyDescent="0.3">
      <c r="K19016" s="1">
        <v>43466</v>
      </c>
      <c r="M19016" t="e">
        <v>#N/A</v>
      </c>
      <c r="N19016" s="1">
        <v>43101</v>
      </c>
    </row>
    <row r="19017" spans="11:14" x14ac:dyDescent="0.3">
      <c r="K19017" s="1">
        <v>43466</v>
      </c>
      <c r="M19017" t="e">
        <v>#N/A</v>
      </c>
      <c r="N19017" s="1">
        <v>43101</v>
      </c>
    </row>
    <row r="19018" spans="11:14" x14ac:dyDescent="0.3">
      <c r="K19018" s="1">
        <v>43466</v>
      </c>
      <c r="M19018" t="e">
        <v>#N/A</v>
      </c>
      <c r="N19018" s="1">
        <v>43101</v>
      </c>
    </row>
    <row r="19019" spans="11:14" x14ac:dyDescent="0.3">
      <c r="K19019" s="1">
        <v>43466</v>
      </c>
      <c r="M19019" t="e">
        <v>#N/A</v>
      </c>
      <c r="N19019" s="1">
        <v>43101</v>
      </c>
    </row>
    <row r="19020" spans="11:14" x14ac:dyDescent="0.3">
      <c r="K19020" s="1">
        <v>43466</v>
      </c>
      <c r="M19020" t="e">
        <v>#N/A</v>
      </c>
      <c r="N19020" s="1">
        <v>43101</v>
      </c>
    </row>
    <row r="19021" spans="11:14" x14ac:dyDescent="0.3">
      <c r="K19021" s="1">
        <v>43466</v>
      </c>
      <c r="M19021" t="e">
        <v>#N/A</v>
      </c>
      <c r="N19021" s="1">
        <v>43101</v>
      </c>
    </row>
    <row r="19022" spans="11:14" x14ac:dyDescent="0.3">
      <c r="K19022" s="1">
        <v>43466</v>
      </c>
      <c r="M19022" t="e">
        <v>#N/A</v>
      </c>
      <c r="N19022" s="1">
        <v>43101</v>
      </c>
    </row>
    <row r="19023" spans="11:14" x14ac:dyDescent="0.3">
      <c r="K19023" s="1">
        <v>43466</v>
      </c>
      <c r="M19023" t="e">
        <v>#N/A</v>
      </c>
      <c r="N19023" s="1">
        <v>43101</v>
      </c>
    </row>
    <row r="19024" spans="11:14" x14ac:dyDescent="0.3">
      <c r="K19024" s="1">
        <v>43466</v>
      </c>
      <c r="M19024" t="e">
        <v>#N/A</v>
      </c>
      <c r="N19024" s="1">
        <v>43101</v>
      </c>
    </row>
    <row r="19025" spans="11:14" x14ac:dyDescent="0.3">
      <c r="K19025" s="1">
        <v>43466</v>
      </c>
      <c r="M19025" t="e">
        <v>#N/A</v>
      </c>
      <c r="N19025" s="1">
        <v>43101</v>
      </c>
    </row>
    <row r="19026" spans="11:14" x14ac:dyDescent="0.3">
      <c r="K19026" s="1">
        <v>43466</v>
      </c>
      <c r="M19026" t="e">
        <v>#N/A</v>
      </c>
      <c r="N19026" s="1">
        <v>43101</v>
      </c>
    </row>
    <row r="19027" spans="11:14" x14ac:dyDescent="0.3">
      <c r="K19027" s="1">
        <v>43466</v>
      </c>
      <c r="M19027" t="e">
        <v>#N/A</v>
      </c>
      <c r="N19027" s="1">
        <v>43101</v>
      </c>
    </row>
    <row r="19028" spans="11:14" x14ac:dyDescent="0.3">
      <c r="K19028" s="1">
        <v>43556</v>
      </c>
      <c r="M19028" t="e">
        <v>#N/A</v>
      </c>
      <c r="N19028" s="1">
        <v>43101</v>
      </c>
    </row>
    <row r="19029" spans="11:14" x14ac:dyDescent="0.3">
      <c r="K19029" s="1">
        <v>43556</v>
      </c>
      <c r="M19029" t="e">
        <v>#N/A</v>
      </c>
      <c r="N19029" s="1">
        <v>43101</v>
      </c>
    </row>
    <row r="19030" spans="11:14" x14ac:dyDescent="0.3">
      <c r="K19030" s="1">
        <v>43556</v>
      </c>
      <c r="M19030" t="e">
        <v>#N/A</v>
      </c>
      <c r="N19030" s="1">
        <v>43101</v>
      </c>
    </row>
    <row r="19031" spans="11:14" x14ac:dyDescent="0.3">
      <c r="K19031" s="1">
        <v>43556</v>
      </c>
      <c r="M19031" t="e">
        <v>#N/A</v>
      </c>
      <c r="N19031" s="1">
        <v>43101</v>
      </c>
    </row>
    <row r="19032" spans="11:14" x14ac:dyDescent="0.3">
      <c r="K19032" s="1">
        <v>43556</v>
      </c>
      <c r="M19032" t="e">
        <v>#N/A</v>
      </c>
      <c r="N19032" s="1">
        <v>43101</v>
      </c>
    </row>
    <row r="19033" spans="11:14" x14ac:dyDescent="0.3">
      <c r="K19033" s="1">
        <v>43556</v>
      </c>
      <c r="M19033" t="e">
        <v>#N/A</v>
      </c>
      <c r="N19033" s="1">
        <v>43101</v>
      </c>
    </row>
    <row r="19034" spans="11:14" x14ac:dyDescent="0.3">
      <c r="K19034" s="1">
        <v>43556</v>
      </c>
      <c r="M19034" t="e">
        <v>#N/A</v>
      </c>
      <c r="N19034" s="1">
        <v>43101</v>
      </c>
    </row>
    <row r="19035" spans="11:14" x14ac:dyDescent="0.3">
      <c r="K19035" s="1">
        <v>43556</v>
      </c>
      <c r="M19035" t="e">
        <v>#N/A</v>
      </c>
      <c r="N19035" s="1">
        <v>43101</v>
      </c>
    </row>
    <row r="19036" spans="11:14" x14ac:dyDescent="0.3">
      <c r="K19036" s="1">
        <v>43556</v>
      </c>
      <c r="M19036" t="e">
        <v>#N/A</v>
      </c>
      <c r="N19036" s="1">
        <v>43101</v>
      </c>
    </row>
    <row r="19037" spans="11:14" x14ac:dyDescent="0.3">
      <c r="K19037" s="1">
        <v>43556</v>
      </c>
      <c r="M19037" t="e">
        <v>#N/A</v>
      </c>
      <c r="N19037" s="1">
        <v>43101</v>
      </c>
    </row>
    <row r="19038" spans="11:14" x14ac:dyDescent="0.3">
      <c r="K19038" s="1">
        <v>43556</v>
      </c>
      <c r="M19038" t="e">
        <v>#N/A</v>
      </c>
      <c r="N19038" s="1">
        <v>43101</v>
      </c>
    </row>
    <row r="19039" spans="11:14" x14ac:dyDescent="0.3">
      <c r="K19039" s="1">
        <v>43556</v>
      </c>
      <c r="M19039" t="e">
        <v>#N/A</v>
      </c>
      <c r="N19039" s="1">
        <v>43101</v>
      </c>
    </row>
    <row r="19040" spans="11:14" x14ac:dyDescent="0.3">
      <c r="K19040" s="1">
        <v>43556</v>
      </c>
      <c r="M19040" t="e">
        <v>#N/A</v>
      </c>
      <c r="N19040" s="1">
        <v>43101</v>
      </c>
    </row>
    <row r="19041" spans="11:14" x14ac:dyDescent="0.3">
      <c r="K19041" s="1">
        <v>43556</v>
      </c>
      <c r="M19041" t="e">
        <v>#N/A</v>
      </c>
      <c r="N19041" s="1">
        <v>43101</v>
      </c>
    </row>
    <row r="19042" spans="11:14" x14ac:dyDescent="0.3">
      <c r="K19042" s="1">
        <v>43556</v>
      </c>
      <c r="M19042" t="e">
        <v>#N/A</v>
      </c>
      <c r="N19042" s="1">
        <v>43101</v>
      </c>
    </row>
    <row r="19043" spans="11:14" x14ac:dyDescent="0.3">
      <c r="K19043" s="1">
        <v>43556</v>
      </c>
      <c r="M19043" t="e">
        <v>#N/A</v>
      </c>
      <c r="N19043" s="1">
        <v>43101</v>
      </c>
    </row>
    <row r="19044" spans="11:14" x14ac:dyDescent="0.3">
      <c r="K19044" s="1">
        <v>43556</v>
      </c>
      <c r="M19044" t="e">
        <v>#N/A</v>
      </c>
      <c r="N19044" s="1">
        <v>43101</v>
      </c>
    </row>
    <row r="19045" spans="11:14" x14ac:dyDescent="0.3">
      <c r="K19045" s="1">
        <v>43556</v>
      </c>
      <c r="M19045" t="e">
        <v>#N/A</v>
      </c>
      <c r="N19045" s="1">
        <v>43101</v>
      </c>
    </row>
    <row r="19046" spans="11:14" x14ac:dyDescent="0.3">
      <c r="K19046" s="1">
        <v>43556</v>
      </c>
      <c r="M19046" t="e">
        <v>#N/A</v>
      </c>
      <c r="N19046" s="1">
        <v>43101</v>
      </c>
    </row>
    <row r="19047" spans="11:14" x14ac:dyDescent="0.3">
      <c r="K19047" s="1">
        <v>43556</v>
      </c>
      <c r="M19047" t="e">
        <v>#N/A</v>
      </c>
      <c r="N19047" s="1">
        <v>43101</v>
      </c>
    </row>
    <row r="19048" spans="11:14" x14ac:dyDescent="0.3">
      <c r="K19048" s="1">
        <v>43556</v>
      </c>
      <c r="M19048" t="e">
        <v>#N/A</v>
      </c>
      <c r="N19048" s="1">
        <v>43101</v>
      </c>
    </row>
    <row r="19049" spans="11:14" x14ac:dyDescent="0.3">
      <c r="K19049" s="1">
        <v>43556</v>
      </c>
      <c r="M19049" t="e">
        <v>#N/A</v>
      </c>
      <c r="N19049" s="1">
        <v>43101</v>
      </c>
    </row>
    <row r="19050" spans="11:14" x14ac:dyDescent="0.3">
      <c r="K19050" s="1">
        <v>43556</v>
      </c>
      <c r="M19050" t="e">
        <v>#N/A</v>
      </c>
      <c r="N19050" s="1">
        <v>43101</v>
      </c>
    </row>
    <row r="19051" spans="11:14" x14ac:dyDescent="0.3">
      <c r="K19051" s="1">
        <v>43556</v>
      </c>
      <c r="M19051" t="e">
        <v>#N/A</v>
      </c>
      <c r="N19051" s="1">
        <v>43101</v>
      </c>
    </row>
    <row r="19052" spans="11:14" x14ac:dyDescent="0.3">
      <c r="K19052" s="1">
        <v>43556</v>
      </c>
      <c r="M19052" t="e">
        <v>#N/A</v>
      </c>
      <c r="N19052" s="1">
        <v>43101</v>
      </c>
    </row>
    <row r="19053" spans="11:14" x14ac:dyDescent="0.3">
      <c r="K19053" s="1">
        <v>43556</v>
      </c>
      <c r="M19053" t="e">
        <v>#N/A</v>
      </c>
      <c r="N19053" s="1">
        <v>43101</v>
      </c>
    </row>
    <row r="19054" spans="11:14" x14ac:dyDescent="0.3">
      <c r="K19054" s="1">
        <v>43556</v>
      </c>
      <c r="M19054" t="e">
        <v>#N/A</v>
      </c>
      <c r="N19054" s="1">
        <v>43101</v>
      </c>
    </row>
    <row r="19055" spans="11:14" x14ac:dyDescent="0.3">
      <c r="K19055" s="1">
        <v>43556</v>
      </c>
      <c r="M19055" t="e">
        <v>#N/A</v>
      </c>
      <c r="N19055" s="1">
        <v>43101</v>
      </c>
    </row>
    <row r="19056" spans="11:14" x14ac:dyDescent="0.3">
      <c r="K19056" s="1">
        <v>43556</v>
      </c>
      <c r="M19056" t="e">
        <v>#N/A</v>
      </c>
      <c r="N19056" s="1">
        <v>43101</v>
      </c>
    </row>
    <row r="19057" spans="11:14" x14ac:dyDescent="0.3">
      <c r="K19057" s="1">
        <v>43556</v>
      </c>
      <c r="M19057" t="e">
        <v>#N/A</v>
      </c>
      <c r="N19057" s="1">
        <v>43101</v>
      </c>
    </row>
    <row r="19058" spans="11:14" x14ac:dyDescent="0.3">
      <c r="K19058" s="1">
        <v>43556</v>
      </c>
      <c r="M19058" t="e">
        <v>#N/A</v>
      </c>
      <c r="N19058" s="1">
        <v>43101</v>
      </c>
    </row>
    <row r="19059" spans="11:14" x14ac:dyDescent="0.3">
      <c r="K19059" s="1">
        <v>43556</v>
      </c>
      <c r="M19059" t="e">
        <v>#N/A</v>
      </c>
      <c r="N19059" s="1">
        <v>43101</v>
      </c>
    </row>
    <row r="19060" spans="11:14" x14ac:dyDescent="0.3">
      <c r="K19060" s="1">
        <v>43556</v>
      </c>
      <c r="M19060" t="e">
        <v>#N/A</v>
      </c>
      <c r="N19060" s="1">
        <v>43101</v>
      </c>
    </row>
    <row r="19061" spans="11:14" x14ac:dyDescent="0.3">
      <c r="K19061" s="1">
        <v>43556</v>
      </c>
      <c r="M19061" t="e">
        <v>#N/A</v>
      </c>
      <c r="N19061" s="1">
        <v>43101</v>
      </c>
    </row>
    <row r="19062" spans="11:14" x14ac:dyDescent="0.3">
      <c r="K19062" s="1">
        <v>43556</v>
      </c>
      <c r="M19062" t="e">
        <v>#N/A</v>
      </c>
      <c r="N19062" s="1">
        <v>43101</v>
      </c>
    </row>
    <row r="19063" spans="11:14" x14ac:dyDescent="0.3">
      <c r="K19063" s="1">
        <v>43556</v>
      </c>
      <c r="M19063" t="e">
        <v>#N/A</v>
      </c>
      <c r="N19063" s="1">
        <v>43101</v>
      </c>
    </row>
    <row r="19064" spans="11:14" x14ac:dyDescent="0.3">
      <c r="K19064" s="1">
        <v>43556</v>
      </c>
      <c r="M19064" t="e">
        <v>#N/A</v>
      </c>
      <c r="N19064" s="1">
        <v>43101</v>
      </c>
    </row>
    <row r="19065" spans="11:14" x14ac:dyDescent="0.3">
      <c r="K19065" s="1">
        <v>43556</v>
      </c>
      <c r="M19065" t="e">
        <v>#N/A</v>
      </c>
      <c r="N19065" s="1">
        <v>43101</v>
      </c>
    </row>
    <row r="19066" spans="11:14" x14ac:dyDescent="0.3">
      <c r="K19066" s="1">
        <v>43556</v>
      </c>
      <c r="M19066" t="e">
        <v>#N/A</v>
      </c>
      <c r="N19066" s="1">
        <v>43101</v>
      </c>
    </row>
    <row r="19067" spans="11:14" x14ac:dyDescent="0.3">
      <c r="K19067" s="1">
        <v>43556</v>
      </c>
      <c r="M19067" t="e">
        <v>#N/A</v>
      </c>
      <c r="N19067" s="1">
        <v>43101</v>
      </c>
    </row>
    <row r="19068" spans="11:14" x14ac:dyDescent="0.3">
      <c r="K19068" s="1">
        <v>43556</v>
      </c>
      <c r="M19068" t="e">
        <v>#N/A</v>
      </c>
      <c r="N19068" s="1">
        <v>43101</v>
      </c>
    </row>
    <row r="19069" spans="11:14" x14ac:dyDescent="0.3">
      <c r="K19069" s="1">
        <v>43556</v>
      </c>
      <c r="M19069" t="e">
        <v>#N/A</v>
      </c>
      <c r="N19069" s="1">
        <v>43101</v>
      </c>
    </row>
    <row r="19070" spans="11:14" x14ac:dyDescent="0.3">
      <c r="K19070" s="1">
        <v>43556</v>
      </c>
      <c r="M19070" t="e">
        <v>#N/A</v>
      </c>
      <c r="N19070" s="1">
        <v>43101</v>
      </c>
    </row>
    <row r="19071" spans="11:14" x14ac:dyDescent="0.3">
      <c r="K19071" s="1">
        <v>43556</v>
      </c>
      <c r="M19071" t="e">
        <v>#N/A</v>
      </c>
      <c r="N19071" s="1">
        <v>43101</v>
      </c>
    </row>
    <row r="19072" spans="11:14" x14ac:dyDescent="0.3">
      <c r="K19072" s="1">
        <v>43556</v>
      </c>
      <c r="M19072" t="e">
        <v>#N/A</v>
      </c>
      <c r="N19072" s="1">
        <v>43101</v>
      </c>
    </row>
    <row r="19073" spans="11:14" x14ac:dyDescent="0.3">
      <c r="K19073" s="1">
        <v>43556</v>
      </c>
      <c r="M19073" t="e">
        <v>#N/A</v>
      </c>
      <c r="N19073" s="1">
        <v>43101</v>
      </c>
    </row>
    <row r="19074" spans="11:14" x14ac:dyDescent="0.3">
      <c r="K19074" s="1">
        <v>43556</v>
      </c>
      <c r="M19074" t="e">
        <v>#N/A</v>
      </c>
      <c r="N19074" s="1">
        <v>43101</v>
      </c>
    </row>
    <row r="19075" spans="11:14" x14ac:dyDescent="0.3">
      <c r="K19075" s="1">
        <v>43556</v>
      </c>
      <c r="M19075" t="e">
        <v>#N/A</v>
      </c>
      <c r="N19075" s="1">
        <v>43101</v>
      </c>
    </row>
    <row r="19076" spans="11:14" x14ac:dyDescent="0.3">
      <c r="K19076" s="1">
        <v>43556</v>
      </c>
      <c r="M19076" t="e">
        <v>#N/A</v>
      </c>
      <c r="N19076" s="1">
        <v>43101</v>
      </c>
    </row>
    <row r="19077" spans="11:14" x14ac:dyDescent="0.3">
      <c r="K19077" s="1">
        <v>43556</v>
      </c>
      <c r="M19077" t="e">
        <v>#N/A</v>
      </c>
      <c r="N19077" s="1">
        <v>43101</v>
      </c>
    </row>
    <row r="19078" spans="11:14" x14ac:dyDescent="0.3">
      <c r="K19078" s="1">
        <v>43556</v>
      </c>
      <c r="M19078" t="e">
        <v>#N/A</v>
      </c>
      <c r="N19078" s="1">
        <v>43101</v>
      </c>
    </row>
    <row r="19079" spans="11:14" x14ac:dyDescent="0.3">
      <c r="K19079" s="1">
        <v>43556</v>
      </c>
      <c r="M19079" t="e">
        <v>#N/A</v>
      </c>
      <c r="N19079" s="1">
        <v>43101</v>
      </c>
    </row>
    <row r="19080" spans="11:14" x14ac:dyDescent="0.3">
      <c r="K19080" s="1">
        <v>43556</v>
      </c>
      <c r="M19080" t="e">
        <v>#N/A</v>
      </c>
      <c r="N19080" s="1">
        <v>43101</v>
      </c>
    </row>
    <row r="19081" spans="11:14" x14ac:dyDescent="0.3">
      <c r="K19081" s="1">
        <v>43556</v>
      </c>
      <c r="M19081" t="e">
        <v>#N/A</v>
      </c>
      <c r="N19081" s="1">
        <v>43101</v>
      </c>
    </row>
    <row r="19082" spans="11:14" x14ac:dyDescent="0.3">
      <c r="K19082" s="1">
        <v>43556</v>
      </c>
      <c r="M19082" t="e">
        <v>#N/A</v>
      </c>
      <c r="N19082" s="1">
        <v>43101</v>
      </c>
    </row>
    <row r="19083" spans="11:14" x14ac:dyDescent="0.3">
      <c r="K19083" s="1">
        <v>43556</v>
      </c>
      <c r="M19083" t="e">
        <v>#N/A</v>
      </c>
      <c r="N19083" s="1">
        <v>43101</v>
      </c>
    </row>
    <row r="19084" spans="11:14" x14ac:dyDescent="0.3">
      <c r="K19084" s="1">
        <v>43556</v>
      </c>
      <c r="M19084" t="e">
        <v>#N/A</v>
      </c>
      <c r="N19084" s="1">
        <v>43101</v>
      </c>
    </row>
    <row r="19085" spans="11:14" x14ac:dyDescent="0.3">
      <c r="K19085" s="1">
        <v>43556</v>
      </c>
      <c r="M19085" t="e">
        <v>#N/A</v>
      </c>
      <c r="N19085" s="1">
        <v>43101</v>
      </c>
    </row>
    <row r="19086" spans="11:14" x14ac:dyDescent="0.3">
      <c r="K19086" s="1">
        <v>43556</v>
      </c>
      <c r="M19086" t="e">
        <v>#N/A</v>
      </c>
      <c r="N19086" s="1">
        <v>43101</v>
      </c>
    </row>
    <row r="19087" spans="11:14" x14ac:dyDescent="0.3">
      <c r="K19087" s="1">
        <v>43556</v>
      </c>
      <c r="M19087" t="e">
        <v>#N/A</v>
      </c>
      <c r="N19087" s="1">
        <v>43101</v>
      </c>
    </row>
    <row r="19088" spans="11:14" x14ac:dyDescent="0.3">
      <c r="K19088" s="1">
        <v>43556</v>
      </c>
      <c r="M19088" t="e">
        <v>#N/A</v>
      </c>
      <c r="N19088" s="1">
        <v>43101</v>
      </c>
    </row>
    <row r="19089" spans="11:14" x14ac:dyDescent="0.3">
      <c r="K19089" s="1">
        <v>43556</v>
      </c>
      <c r="M19089" t="e">
        <v>#N/A</v>
      </c>
      <c r="N19089" s="1">
        <v>43101</v>
      </c>
    </row>
    <row r="19090" spans="11:14" x14ac:dyDescent="0.3">
      <c r="K19090" s="1">
        <v>43556</v>
      </c>
      <c r="M19090" t="e">
        <v>#N/A</v>
      </c>
      <c r="N19090" s="1">
        <v>43101</v>
      </c>
    </row>
    <row r="19091" spans="11:14" x14ac:dyDescent="0.3">
      <c r="K19091" s="1">
        <v>43556</v>
      </c>
      <c r="M19091" t="e">
        <v>#N/A</v>
      </c>
      <c r="N19091" s="1">
        <v>43101</v>
      </c>
    </row>
    <row r="19092" spans="11:14" x14ac:dyDescent="0.3">
      <c r="K19092" s="1">
        <v>43556</v>
      </c>
      <c r="M19092" t="e">
        <v>#N/A</v>
      </c>
      <c r="N19092" s="1">
        <v>43101</v>
      </c>
    </row>
    <row r="19093" spans="11:14" x14ac:dyDescent="0.3">
      <c r="K19093" s="1">
        <v>43556</v>
      </c>
      <c r="M19093" t="e">
        <v>#N/A</v>
      </c>
      <c r="N19093" s="1">
        <v>43101</v>
      </c>
    </row>
    <row r="19094" spans="11:14" x14ac:dyDescent="0.3">
      <c r="K19094" s="1">
        <v>43556</v>
      </c>
      <c r="M19094" t="e">
        <v>#N/A</v>
      </c>
      <c r="N19094" s="1">
        <v>43101</v>
      </c>
    </row>
    <row r="19095" spans="11:14" x14ac:dyDescent="0.3">
      <c r="K19095" s="1">
        <v>43556</v>
      </c>
      <c r="M19095" t="e">
        <v>#N/A</v>
      </c>
      <c r="N19095" s="1">
        <v>43101</v>
      </c>
    </row>
    <row r="19096" spans="11:14" x14ac:dyDescent="0.3">
      <c r="K19096" s="1">
        <v>43556</v>
      </c>
      <c r="M19096" t="e">
        <v>#N/A</v>
      </c>
      <c r="N19096" s="1">
        <v>43101</v>
      </c>
    </row>
    <row r="19097" spans="11:14" x14ac:dyDescent="0.3">
      <c r="K19097" s="1">
        <v>43556</v>
      </c>
      <c r="M19097" t="e">
        <v>#N/A</v>
      </c>
      <c r="N19097" s="1">
        <v>43101</v>
      </c>
    </row>
    <row r="19098" spans="11:14" x14ac:dyDescent="0.3">
      <c r="K19098" s="1">
        <v>43556</v>
      </c>
      <c r="M19098" t="e">
        <v>#N/A</v>
      </c>
      <c r="N19098" s="1">
        <v>43101</v>
      </c>
    </row>
    <row r="19099" spans="11:14" x14ac:dyDescent="0.3">
      <c r="K19099" s="1">
        <v>43556</v>
      </c>
      <c r="M19099" t="e">
        <v>#N/A</v>
      </c>
      <c r="N19099" s="1">
        <v>43101</v>
      </c>
    </row>
    <row r="19100" spans="11:14" x14ac:dyDescent="0.3">
      <c r="K19100" s="1">
        <v>43556</v>
      </c>
      <c r="M19100" t="e">
        <v>#N/A</v>
      </c>
      <c r="N19100" s="1">
        <v>43101</v>
      </c>
    </row>
    <row r="19101" spans="11:14" x14ac:dyDescent="0.3">
      <c r="K19101" s="1">
        <v>43556</v>
      </c>
      <c r="M19101" t="e">
        <v>#N/A</v>
      </c>
      <c r="N19101" s="1">
        <v>43101</v>
      </c>
    </row>
    <row r="19102" spans="11:14" x14ac:dyDescent="0.3">
      <c r="K19102" s="1">
        <v>43556</v>
      </c>
      <c r="M19102" t="e">
        <v>#N/A</v>
      </c>
      <c r="N19102" s="1">
        <v>43101</v>
      </c>
    </row>
    <row r="19103" spans="11:14" x14ac:dyDescent="0.3">
      <c r="K19103" s="1">
        <v>43556</v>
      </c>
      <c r="M19103" t="e">
        <v>#N/A</v>
      </c>
      <c r="N19103" s="1">
        <v>43101</v>
      </c>
    </row>
    <row r="19104" spans="11:14" x14ac:dyDescent="0.3">
      <c r="K19104" s="1">
        <v>43556</v>
      </c>
      <c r="M19104" t="e">
        <v>#N/A</v>
      </c>
      <c r="N19104" s="1">
        <v>43101</v>
      </c>
    </row>
    <row r="19105" spans="11:14" x14ac:dyDescent="0.3">
      <c r="K19105" s="1">
        <v>43556</v>
      </c>
      <c r="M19105" t="e">
        <v>#N/A</v>
      </c>
      <c r="N19105" s="1">
        <v>43101</v>
      </c>
    </row>
    <row r="19106" spans="11:14" x14ac:dyDescent="0.3">
      <c r="K19106" s="1">
        <v>43556</v>
      </c>
      <c r="M19106" t="e">
        <v>#N/A</v>
      </c>
      <c r="N19106" s="1">
        <v>43101</v>
      </c>
    </row>
    <row r="19107" spans="11:14" x14ac:dyDescent="0.3">
      <c r="K19107" s="1">
        <v>43556</v>
      </c>
      <c r="M19107" t="e">
        <v>#N/A</v>
      </c>
      <c r="N19107" s="1">
        <v>43101</v>
      </c>
    </row>
    <row r="19108" spans="11:14" x14ac:dyDescent="0.3">
      <c r="K19108" s="1">
        <v>43556</v>
      </c>
      <c r="M19108" t="e">
        <v>#N/A</v>
      </c>
      <c r="N19108" s="1">
        <v>43101</v>
      </c>
    </row>
    <row r="19109" spans="11:14" x14ac:dyDescent="0.3">
      <c r="K19109" s="1">
        <v>43556</v>
      </c>
      <c r="M19109" t="e">
        <v>#N/A</v>
      </c>
      <c r="N19109" s="1">
        <v>43101</v>
      </c>
    </row>
    <row r="19110" spans="11:14" x14ac:dyDescent="0.3">
      <c r="K19110" s="1">
        <v>43556</v>
      </c>
      <c r="M19110" t="e">
        <v>#N/A</v>
      </c>
      <c r="N19110" s="1">
        <v>43101</v>
      </c>
    </row>
    <row r="19111" spans="11:14" x14ac:dyDescent="0.3">
      <c r="K19111" s="1">
        <v>43556</v>
      </c>
      <c r="M19111" t="e">
        <v>#N/A</v>
      </c>
      <c r="N19111" s="1">
        <v>43101</v>
      </c>
    </row>
    <row r="19112" spans="11:14" x14ac:dyDescent="0.3">
      <c r="K19112" s="1">
        <v>43556</v>
      </c>
      <c r="M19112" t="e">
        <v>#N/A</v>
      </c>
      <c r="N19112" s="1">
        <v>43101</v>
      </c>
    </row>
    <row r="19113" spans="11:14" x14ac:dyDescent="0.3">
      <c r="K19113" s="1">
        <v>43556</v>
      </c>
      <c r="M19113" t="e">
        <v>#N/A</v>
      </c>
      <c r="N19113" s="1">
        <v>43101</v>
      </c>
    </row>
    <row r="19114" spans="11:14" x14ac:dyDescent="0.3">
      <c r="K19114" s="1">
        <v>43556</v>
      </c>
      <c r="M19114" t="e">
        <v>#N/A</v>
      </c>
      <c r="N19114" s="1">
        <v>43101</v>
      </c>
    </row>
    <row r="19115" spans="11:14" x14ac:dyDescent="0.3">
      <c r="K19115" s="1">
        <v>43556</v>
      </c>
      <c r="M19115" t="e">
        <v>#N/A</v>
      </c>
      <c r="N19115" s="1">
        <v>43101</v>
      </c>
    </row>
    <row r="19116" spans="11:14" x14ac:dyDescent="0.3">
      <c r="K19116" s="1">
        <v>43556</v>
      </c>
      <c r="M19116" t="e">
        <v>#N/A</v>
      </c>
      <c r="N19116" s="1">
        <v>43101</v>
      </c>
    </row>
    <row r="19117" spans="11:14" x14ac:dyDescent="0.3">
      <c r="K19117" s="1">
        <v>43556</v>
      </c>
      <c r="M19117" t="e">
        <v>#N/A</v>
      </c>
      <c r="N19117" s="1">
        <v>43101</v>
      </c>
    </row>
    <row r="19118" spans="11:14" x14ac:dyDescent="0.3">
      <c r="K19118" s="1">
        <v>43556</v>
      </c>
      <c r="M19118" t="e">
        <v>#N/A</v>
      </c>
      <c r="N19118" s="1">
        <v>43101</v>
      </c>
    </row>
    <row r="19119" spans="11:14" x14ac:dyDescent="0.3">
      <c r="K19119" s="1">
        <v>43556</v>
      </c>
      <c r="M19119" t="e">
        <v>#N/A</v>
      </c>
      <c r="N19119" s="1">
        <v>43101</v>
      </c>
    </row>
    <row r="19120" spans="11:14" x14ac:dyDescent="0.3">
      <c r="K19120" s="1">
        <v>43556</v>
      </c>
      <c r="M19120" t="e">
        <v>#N/A</v>
      </c>
      <c r="N19120" s="1">
        <v>43101</v>
      </c>
    </row>
    <row r="19121" spans="11:14" x14ac:dyDescent="0.3">
      <c r="K19121" s="1">
        <v>43556</v>
      </c>
      <c r="M19121" t="e">
        <v>#N/A</v>
      </c>
      <c r="N19121" s="1">
        <v>43101</v>
      </c>
    </row>
    <row r="19122" spans="11:14" x14ac:dyDescent="0.3">
      <c r="K19122" s="1">
        <v>43556</v>
      </c>
      <c r="M19122" t="e">
        <v>#N/A</v>
      </c>
      <c r="N19122" s="1">
        <v>43101</v>
      </c>
    </row>
    <row r="19123" spans="11:14" x14ac:dyDescent="0.3">
      <c r="K19123" s="1">
        <v>43556</v>
      </c>
      <c r="M19123" t="e">
        <v>#N/A</v>
      </c>
      <c r="N19123" s="1">
        <v>43101</v>
      </c>
    </row>
    <row r="19124" spans="11:14" x14ac:dyDescent="0.3">
      <c r="K19124" s="1">
        <v>43556</v>
      </c>
      <c r="M19124" t="e">
        <v>#N/A</v>
      </c>
      <c r="N19124" s="1">
        <v>43101</v>
      </c>
    </row>
    <row r="19125" spans="11:14" x14ac:dyDescent="0.3">
      <c r="K19125" s="1">
        <v>43556</v>
      </c>
      <c r="M19125" t="e">
        <v>#N/A</v>
      </c>
      <c r="N19125" s="1">
        <v>43191</v>
      </c>
    </row>
    <row r="19126" spans="11:14" x14ac:dyDescent="0.3">
      <c r="K19126" s="1">
        <v>43556</v>
      </c>
      <c r="M19126" t="e">
        <v>#N/A</v>
      </c>
      <c r="N19126" s="1">
        <v>43191</v>
      </c>
    </row>
    <row r="19127" spans="11:14" x14ac:dyDescent="0.3">
      <c r="K19127" s="1">
        <v>43556</v>
      </c>
      <c r="M19127" t="e">
        <v>#N/A</v>
      </c>
      <c r="N19127" s="1">
        <v>43191</v>
      </c>
    </row>
    <row r="19128" spans="11:14" x14ac:dyDescent="0.3">
      <c r="K19128" s="1">
        <v>43556</v>
      </c>
      <c r="M19128" t="e">
        <v>#N/A</v>
      </c>
      <c r="N19128" s="1">
        <v>43191</v>
      </c>
    </row>
    <row r="19129" spans="11:14" x14ac:dyDescent="0.3">
      <c r="K19129" s="1">
        <v>43556</v>
      </c>
      <c r="M19129" t="e">
        <v>#N/A</v>
      </c>
      <c r="N19129" s="1">
        <v>43191</v>
      </c>
    </row>
    <row r="19130" spans="11:14" x14ac:dyDescent="0.3">
      <c r="K19130" s="1">
        <v>43556</v>
      </c>
      <c r="M19130" t="e">
        <v>#N/A</v>
      </c>
      <c r="N19130" s="1">
        <v>43191</v>
      </c>
    </row>
    <row r="19131" spans="11:14" x14ac:dyDescent="0.3">
      <c r="K19131" s="1">
        <v>43556</v>
      </c>
      <c r="M19131" t="e">
        <v>#N/A</v>
      </c>
      <c r="N19131" s="1">
        <v>43191</v>
      </c>
    </row>
    <row r="19132" spans="11:14" x14ac:dyDescent="0.3">
      <c r="K19132" s="1">
        <v>43556</v>
      </c>
      <c r="M19132" t="e">
        <v>#N/A</v>
      </c>
      <c r="N19132" s="1">
        <v>43191</v>
      </c>
    </row>
    <row r="19133" spans="11:14" x14ac:dyDescent="0.3">
      <c r="K19133" s="1">
        <v>43556</v>
      </c>
      <c r="M19133" t="e">
        <v>#N/A</v>
      </c>
      <c r="N19133" s="1">
        <v>43191</v>
      </c>
    </row>
    <row r="19134" spans="11:14" x14ac:dyDescent="0.3">
      <c r="K19134" s="1">
        <v>43556</v>
      </c>
      <c r="M19134" t="e">
        <v>#N/A</v>
      </c>
      <c r="N19134" s="1">
        <v>43191</v>
      </c>
    </row>
    <row r="19135" spans="11:14" x14ac:dyDescent="0.3">
      <c r="K19135" s="1">
        <v>43556</v>
      </c>
      <c r="M19135" t="e">
        <v>#N/A</v>
      </c>
      <c r="N19135" s="1">
        <v>43191</v>
      </c>
    </row>
    <row r="19136" spans="11:14" x14ac:dyDescent="0.3">
      <c r="K19136" s="1">
        <v>43556</v>
      </c>
      <c r="M19136" t="e">
        <v>#N/A</v>
      </c>
      <c r="N19136" s="1">
        <v>43191</v>
      </c>
    </row>
    <row r="19137" spans="11:14" x14ac:dyDescent="0.3">
      <c r="K19137" s="1">
        <v>43556</v>
      </c>
      <c r="M19137" t="e">
        <v>#N/A</v>
      </c>
      <c r="N19137" s="1">
        <v>43191</v>
      </c>
    </row>
    <row r="19138" spans="11:14" x14ac:dyDescent="0.3">
      <c r="K19138" s="1">
        <v>43556</v>
      </c>
      <c r="M19138" t="e">
        <v>#N/A</v>
      </c>
      <c r="N19138" s="1">
        <v>43191</v>
      </c>
    </row>
    <row r="19139" spans="11:14" x14ac:dyDescent="0.3">
      <c r="K19139" s="1">
        <v>43556</v>
      </c>
      <c r="M19139" t="e">
        <v>#N/A</v>
      </c>
      <c r="N19139" s="1">
        <v>43191</v>
      </c>
    </row>
    <row r="19140" spans="11:14" x14ac:dyDescent="0.3">
      <c r="K19140" s="1">
        <v>43556</v>
      </c>
      <c r="M19140" t="e">
        <v>#N/A</v>
      </c>
      <c r="N19140" s="1">
        <v>43191</v>
      </c>
    </row>
    <row r="19141" spans="11:14" x14ac:dyDescent="0.3">
      <c r="K19141" s="1">
        <v>43556</v>
      </c>
      <c r="M19141" t="e">
        <v>#N/A</v>
      </c>
      <c r="N19141" s="1">
        <v>43191</v>
      </c>
    </row>
    <row r="19142" spans="11:14" x14ac:dyDescent="0.3">
      <c r="K19142" s="1">
        <v>43556</v>
      </c>
      <c r="M19142" t="e">
        <v>#N/A</v>
      </c>
      <c r="N19142" s="1">
        <v>43191</v>
      </c>
    </row>
    <row r="19143" spans="11:14" x14ac:dyDescent="0.3">
      <c r="K19143" s="1">
        <v>43556</v>
      </c>
      <c r="M19143" t="e">
        <v>#N/A</v>
      </c>
      <c r="N19143" s="1">
        <v>43191</v>
      </c>
    </row>
    <row r="19144" spans="11:14" x14ac:dyDescent="0.3">
      <c r="K19144" s="1">
        <v>43556</v>
      </c>
      <c r="M19144" t="e">
        <v>#N/A</v>
      </c>
      <c r="N19144" s="1">
        <v>43191</v>
      </c>
    </row>
    <row r="19145" spans="11:14" x14ac:dyDescent="0.3">
      <c r="K19145" s="1">
        <v>43556</v>
      </c>
      <c r="M19145" t="e">
        <v>#N/A</v>
      </c>
      <c r="N19145" s="1">
        <v>43191</v>
      </c>
    </row>
    <row r="19146" spans="11:14" x14ac:dyDescent="0.3">
      <c r="K19146" s="1">
        <v>43556</v>
      </c>
      <c r="M19146" t="e">
        <v>#N/A</v>
      </c>
      <c r="N19146" s="1">
        <v>43191</v>
      </c>
    </row>
    <row r="19147" spans="11:14" x14ac:dyDescent="0.3">
      <c r="K19147" s="1">
        <v>43556</v>
      </c>
      <c r="M19147" t="e">
        <v>#N/A</v>
      </c>
      <c r="N19147" s="1">
        <v>43191</v>
      </c>
    </row>
    <row r="19148" spans="11:14" x14ac:dyDescent="0.3">
      <c r="K19148" s="1">
        <v>43556</v>
      </c>
      <c r="M19148" t="e">
        <v>#N/A</v>
      </c>
      <c r="N19148" s="1">
        <v>43191</v>
      </c>
    </row>
    <row r="19149" spans="11:14" x14ac:dyDescent="0.3">
      <c r="K19149" s="1">
        <v>43556</v>
      </c>
      <c r="M19149" t="e">
        <v>#N/A</v>
      </c>
      <c r="N19149" s="1">
        <v>43191</v>
      </c>
    </row>
    <row r="19150" spans="11:14" x14ac:dyDescent="0.3">
      <c r="K19150" s="1">
        <v>43556</v>
      </c>
      <c r="M19150" t="e">
        <v>#N/A</v>
      </c>
      <c r="N19150" s="1">
        <v>43191</v>
      </c>
    </row>
    <row r="19151" spans="11:14" x14ac:dyDescent="0.3">
      <c r="K19151" s="1">
        <v>43556</v>
      </c>
      <c r="M19151" t="e">
        <v>#N/A</v>
      </c>
      <c r="N19151" s="1">
        <v>43191</v>
      </c>
    </row>
    <row r="19152" spans="11:14" x14ac:dyDescent="0.3">
      <c r="K19152" s="1">
        <v>43556</v>
      </c>
      <c r="M19152" t="e">
        <v>#N/A</v>
      </c>
      <c r="N19152" s="1">
        <v>43191</v>
      </c>
    </row>
    <row r="19153" spans="11:14" x14ac:dyDescent="0.3">
      <c r="K19153" s="1">
        <v>43556</v>
      </c>
      <c r="M19153" t="e">
        <v>#N/A</v>
      </c>
      <c r="N19153" s="1">
        <v>43191</v>
      </c>
    </row>
    <row r="19154" spans="11:14" x14ac:dyDescent="0.3">
      <c r="K19154" s="1">
        <v>43556</v>
      </c>
      <c r="M19154" t="e">
        <v>#N/A</v>
      </c>
      <c r="N19154" s="1">
        <v>43191</v>
      </c>
    </row>
    <row r="19155" spans="11:14" x14ac:dyDescent="0.3">
      <c r="K19155" s="1">
        <v>43556</v>
      </c>
      <c r="M19155" t="e">
        <v>#N/A</v>
      </c>
      <c r="N19155" s="1">
        <v>43191</v>
      </c>
    </row>
    <row r="19156" spans="11:14" x14ac:dyDescent="0.3">
      <c r="K19156" s="1">
        <v>43556</v>
      </c>
      <c r="M19156" t="e">
        <v>#N/A</v>
      </c>
      <c r="N19156" s="1">
        <v>43191</v>
      </c>
    </row>
    <row r="19157" spans="11:14" x14ac:dyDescent="0.3">
      <c r="K19157" s="1">
        <v>43556</v>
      </c>
      <c r="M19157" t="e">
        <v>#N/A</v>
      </c>
      <c r="N19157" s="1">
        <v>43191</v>
      </c>
    </row>
    <row r="19158" spans="11:14" x14ac:dyDescent="0.3">
      <c r="K19158" s="1">
        <v>43556</v>
      </c>
      <c r="M19158" t="e">
        <v>#N/A</v>
      </c>
      <c r="N19158" s="1">
        <v>43191</v>
      </c>
    </row>
    <row r="19159" spans="11:14" x14ac:dyDescent="0.3">
      <c r="K19159" s="1">
        <v>43556</v>
      </c>
      <c r="M19159" t="e">
        <v>#N/A</v>
      </c>
      <c r="N19159" s="1">
        <v>43191</v>
      </c>
    </row>
    <row r="19160" spans="11:14" x14ac:dyDescent="0.3">
      <c r="K19160" s="1">
        <v>43556</v>
      </c>
      <c r="M19160" t="e">
        <v>#N/A</v>
      </c>
      <c r="N19160" s="1">
        <v>43191</v>
      </c>
    </row>
    <row r="19161" spans="11:14" x14ac:dyDescent="0.3">
      <c r="K19161" s="1">
        <v>43556</v>
      </c>
      <c r="M19161" t="e">
        <v>#N/A</v>
      </c>
      <c r="N19161" s="1">
        <v>43191</v>
      </c>
    </row>
    <row r="19162" spans="11:14" x14ac:dyDescent="0.3">
      <c r="K19162" s="1">
        <v>43556</v>
      </c>
      <c r="M19162" t="e">
        <v>#N/A</v>
      </c>
      <c r="N19162" s="1">
        <v>43191</v>
      </c>
    </row>
    <row r="19163" spans="11:14" x14ac:dyDescent="0.3">
      <c r="K19163" s="1">
        <v>43556</v>
      </c>
      <c r="M19163" t="e">
        <v>#N/A</v>
      </c>
      <c r="N19163" s="1">
        <v>43191</v>
      </c>
    </row>
    <row r="19164" spans="11:14" x14ac:dyDescent="0.3">
      <c r="K19164" s="1">
        <v>43556</v>
      </c>
      <c r="M19164" t="e">
        <v>#N/A</v>
      </c>
      <c r="N19164" s="1">
        <v>43191</v>
      </c>
    </row>
    <row r="19165" spans="11:14" x14ac:dyDescent="0.3">
      <c r="K19165" s="1">
        <v>43556</v>
      </c>
      <c r="M19165" t="e">
        <v>#N/A</v>
      </c>
      <c r="N19165" s="1">
        <v>43191</v>
      </c>
    </row>
    <row r="19166" spans="11:14" x14ac:dyDescent="0.3">
      <c r="K19166" s="1">
        <v>43556</v>
      </c>
      <c r="M19166" t="e">
        <v>#N/A</v>
      </c>
      <c r="N19166" s="1">
        <v>43191</v>
      </c>
    </row>
    <row r="19167" spans="11:14" x14ac:dyDescent="0.3">
      <c r="K19167" s="1">
        <v>43556</v>
      </c>
      <c r="M19167" t="e">
        <v>#N/A</v>
      </c>
      <c r="N19167" s="1">
        <v>43191</v>
      </c>
    </row>
    <row r="19168" spans="11:14" x14ac:dyDescent="0.3">
      <c r="K19168" s="1">
        <v>43556</v>
      </c>
      <c r="M19168" t="e">
        <v>#N/A</v>
      </c>
      <c r="N19168" s="1">
        <v>43191</v>
      </c>
    </row>
    <row r="19169" spans="11:14" x14ac:dyDescent="0.3">
      <c r="K19169" s="1">
        <v>43556</v>
      </c>
      <c r="M19169" t="e">
        <v>#N/A</v>
      </c>
      <c r="N19169" s="1">
        <v>43191</v>
      </c>
    </row>
    <row r="19170" spans="11:14" x14ac:dyDescent="0.3">
      <c r="K19170" s="1">
        <v>43556</v>
      </c>
      <c r="M19170" t="e">
        <v>#N/A</v>
      </c>
      <c r="N19170" s="1">
        <v>43191</v>
      </c>
    </row>
    <row r="19171" spans="11:14" x14ac:dyDescent="0.3">
      <c r="K19171" s="1">
        <v>43556</v>
      </c>
      <c r="M19171" t="e">
        <v>#N/A</v>
      </c>
      <c r="N19171" s="1">
        <v>43191</v>
      </c>
    </row>
    <row r="19172" spans="11:14" x14ac:dyDescent="0.3">
      <c r="K19172" s="1">
        <v>43556</v>
      </c>
      <c r="M19172" t="e">
        <v>#N/A</v>
      </c>
      <c r="N19172" s="1">
        <v>43191</v>
      </c>
    </row>
    <row r="19173" spans="11:14" x14ac:dyDescent="0.3">
      <c r="K19173" s="1">
        <v>43556</v>
      </c>
      <c r="M19173" t="e">
        <v>#N/A</v>
      </c>
      <c r="N19173" s="1">
        <v>43191</v>
      </c>
    </row>
    <row r="19174" spans="11:14" x14ac:dyDescent="0.3">
      <c r="K19174" s="1">
        <v>43556</v>
      </c>
      <c r="M19174" t="e">
        <v>#N/A</v>
      </c>
      <c r="N19174" s="1">
        <v>43191</v>
      </c>
    </row>
    <row r="19175" spans="11:14" x14ac:dyDescent="0.3">
      <c r="K19175" s="1">
        <v>43556</v>
      </c>
      <c r="M19175" t="e">
        <v>#N/A</v>
      </c>
      <c r="N19175" s="1">
        <v>43191</v>
      </c>
    </row>
    <row r="19176" spans="11:14" x14ac:dyDescent="0.3">
      <c r="K19176" s="1">
        <v>43556</v>
      </c>
      <c r="M19176" t="e">
        <v>#N/A</v>
      </c>
      <c r="N19176" s="1">
        <v>43191</v>
      </c>
    </row>
    <row r="19177" spans="11:14" x14ac:dyDescent="0.3">
      <c r="K19177" s="1">
        <v>43556</v>
      </c>
      <c r="M19177" t="e">
        <v>#N/A</v>
      </c>
      <c r="N19177" s="1">
        <v>43191</v>
      </c>
    </row>
    <row r="19178" spans="11:14" x14ac:dyDescent="0.3">
      <c r="K19178" s="1">
        <v>43556</v>
      </c>
      <c r="M19178" t="e">
        <v>#N/A</v>
      </c>
      <c r="N19178" s="1">
        <v>43191</v>
      </c>
    </row>
    <row r="19179" spans="11:14" x14ac:dyDescent="0.3">
      <c r="K19179" s="1">
        <v>43556</v>
      </c>
      <c r="M19179" t="e">
        <v>#N/A</v>
      </c>
      <c r="N19179" s="1">
        <v>43191</v>
      </c>
    </row>
    <row r="19180" spans="11:14" x14ac:dyDescent="0.3">
      <c r="K19180" s="1">
        <v>43556</v>
      </c>
      <c r="M19180" t="e">
        <v>#N/A</v>
      </c>
      <c r="N19180" s="1">
        <v>43191</v>
      </c>
    </row>
    <row r="19181" spans="11:14" x14ac:dyDescent="0.3">
      <c r="K19181" s="1">
        <v>43556</v>
      </c>
      <c r="M19181" t="e">
        <v>#N/A</v>
      </c>
      <c r="N19181" s="1">
        <v>43191</v>
      </c>
    </row>
    <row r="19182" spans="11:14" x14ac:dyDescent="0.3">
      <c r="K19182" s="1">
        <v>43556</v>
      </c>
      <c r="M19182" t="e">
        <v>#N/A</v>
      </c>
      <c r="N19182" s="1">
        <v>43191</v>
      </c>
    </row>
    <row r="19183" spans="11:14" x14ac:dyDescent="0.3">
      <c r="K19183" s="1">
        <v>43556</v>
      </c>
      <c r="M19183" t="e">
        <v>#N/A</v>
      </c>
      <c r="N19183" s="1">
        <v>43191</v>
      </c>
    </row>
    <row r="19184" spans="11:14" x14ac:dyDescent="0.3">
      <c r="K19184" s="1">
        <v>43556</v>
      </c>
      <c r="M19184" t="e">
        <v>#N/A</v>
      </c>
      <c r="N19184" s="1">
        <v>43191</v>
      </c>
    </row>
    <row r="19185" spans="11:14" x14ac:dyDescent="0.3">
      <c r="K19185" s="1">
        <v>43556</v>
      </c>
      <c r="M19185" t="e">
        <v>#N/A</v>
      </c>
      <c r="N19185" s="1">
        <v>43191</v>
      </c>
    </row>
    <row r="19186" spans="11:14" x14ac:dyDescent="0.3">
      <c r="K19186" s="1">
        <v>43556</v>
      </c>
      <c r="M19186" t="e">
        <v>#N/A</v>
      </c>
      <c r="N19186" s="1">
        <v>43191</v>
      </c>
    </row>
    <row r="19187" spans="11:14" x14ac:dyDescent="0.3">
      <c r="K19187" s="1">
        <v>43556</v>
      </c>
      <c r="M19187" t="e">
        <v>#N/A</v>
      </c>
      <c r="N19187" s="1">
        <v>43191</v>
      </c>
    </row>
    <row r="19188" spans="11:14" x14ac:dyDescent="0.3">
      <c r="K19188" s="1">
        <v>43556</v>
      </c>
      <c r="M19188" t="e">
        <v>#N/A</v>
      </c>
      <c r="N19188" s="1">
        <v>43191</v>
      </c>
    </row>
    <row r="19189" spans="11:14" x14ac:dyDescent="0.3">
      <c r="K19189" s="1">
        <v>43556</v>
      </c>
      <c r="M19189" t="e">
        <v>#N/A</v>
      </c>
      <c r="N19189" s="1">
        <v>43191</v>
      </c>
    </row>
    <row r="19190" spans="11:14" x14ac:dyDescent="0.3">
      <c r="K19190" s="1">
        <v>43556</v>
      </c>
      <c r="M19190" t="e">
        <v>#N/A</v>
      </c>
      <c r="N19190" s="1">
        <v>43191</v>
      </c>
    </row>
    <row r="19191" spans="11:14" x14ac:dyDescent="0.3">
      <c r="K19191" s="1">
        <v>43556</v>
      </c>
      <c r="M19191" t="e">
        <v>#N/A</v>
      </c>
      <c r="N19191" s="1">
        <v>43191</v>
      </c>
    </row>
    <row r="19192" spans="11:14" x14ac:dyDescent="0.3">
      <c r="K19192" s="1">
        <v>43556</v>
      </c>
      <c r="M19192" t="e">
        <v>#N/A</v>
      </c>
      <c r="N19192" s="1">
        <v>43191</v>
      </c>
    </row>
    <row r="19193" spans="11:14" x14ac:dyDescent="0.3">
      <c r="K19193" s="1">
        <v>43556</v>
      </c>
      <c r="M19193" t="e">
        <v>#N/A</v>
      </c>
      <c r="N19193" s="1">
        <v>43191</v>
      </c>
    </row>
    <row r="19194" spans="11:14" x14ac:dyDescent="0.3">
      <c r="K19194" s="1">
        <v>43556</v>
      </c>
      <c r="M19194" t="e">
        <v>#N/A</v>
      </c>
      <c r="N19194" s="1">
        <v>43191</v>
      </c>
    </row>
    <row r="19195" spans="11:14" x14ac:dyDescent="0.3">
      <c r="K19195" s="1">
        <v>43556</v>
      </c>
      <c r="M19195" t="e">
        <v>#N/A</v>
      </c>
      <c r="N19195" s="1">
        <v>43191</v>
      </c>
    </row>
    <row r="19196" spans="11:14" x14ac:dyDescent="0.3">
      <c r="K19196" s="1">
        <v>43556</v>
      </c>
      <c r="M19196" t="e">
        <v>#N/A</v>
      </c>
      <c r="N19196" s="1">
        <v>43191</v>
      </c>
    </row>
    <row r="19197" spans="11:14" x14ac:dyDescent="0.3">
      <c r="K19197" s="1">
        <v>43556</v>
      </c>
      <c r="M19197" t="e">
        <v>#N/A</v>
      </c>
      <c r="N19197" s="1">
        <v>43191</v>
      </c>
    </row>
    <row r="19198" spans="11:14" x14ac:dyDescent="0.3">
      <c r="K19198" s="1">
        <v>43556</v>
      </c>
      <c r="M19198" t="e">
        <v>#N/A</v>
      </c>
      <c r="N19198" s="1">
        <v>43191</v>
      </c>
    </row>
    <row r="19199" spans="11:14" x14ac:dyDescent="0.3">
      <c r="K19199" s="1">
        <v>43556</v>
      </c>
      <c r="M19199" t="e">
        <v>#N/A</v>
      </c>
      <c r="N19199" s="1">
        <v>43191</v>
      </c>
    </row>
    <row r="19200" spans="11:14" x14ac:dyDescent="0.3">
      <c r="K19200" s="1">
        <v>43556</v>
      </c>
      <c r="M19200" t="e">
        <v>#N/A</v>
      </c>
      <c r="N19200" s="1">
        <v>43191</v>
      </c>
    </row>
    <row r="19201" spans="11:14" x14ac:dyDescent="0.3">
      <c r="K19201" s="1">
        <v>43556</v>
      </c>
      <c r="M19201" t="e">
        <v>#N/A</v>
      </c>
      <c r="N19201" s="1">
        <v>43191</v>
      </c>
    </row>
    <row r="19202" spans="11:14" x14ac:dyDescent="0.3">
      <c r="K19202" s="1">
        <v>43556</v>
      </c>
      <c r="M19202" t="e">
        <v>#N/A</v>
      </c>
      <c r="N19202" s="1">
        <v>43191</v>
      </c>
    </row>
    <row r="19203" spans="11:14" x14ac:dyDescent="0.3">
      <c r="K19203" s="1">
        <v>43556</v>
      </c>
      <c r="M19203" t="e">
        <v>#N/A</v>
      </c>
      <c r="N19203" s="1">
        <v>43191</v>
      </c>
    </row>
    <row r="19204" spans="11:14" x14ac:dyDescent="0.3">
      <c r="K19204" s="1">
        <v>43556</v>
      </c>
      <c r="M19204" t="e">
        <v>#N/A</v>
      </c>
      <c r="N19204" s="1">
        <v>43191</v>
      </c>
    </row>
    <row r="19205" spans="11:14" x14ac:dyDescent="0.3">
      <c r="K19205" s="1">
        <v>43556</v>
      </c>
      <c r="M19205" t="e">
        <v>#N/A</v>
      </c>
      <c r="N19205" s="1">
        <v>43191</v>
      </c>
    </row>
    <row r="19206" spans="11:14" x14ac:dyDescent="0.3">
      <c r="K19206" s="1">
        <v>43556</v>
      </c>
      <c r="M19206" t="e">
        <v>#N/A</v>
      </c>
      <c r="N19206" s="1">
        <v>43191</v>
      </c>
    </row>
    <row r="19207" spans="11:14" x14ac:dyDescent="0.3">
      <c r="K19207" s="1">
        <v>43556</v>
      </c>
      <c r="M19207" t="e">
        <v>#N/A</v>
      </c>
      <c r="N19207" s="1">
        <v>43191</v>
      </c>
    </row>
    <row r="19208" spans="11:14" x14ac:dyDescent="0.3">
      <c r="K19208" s="1">
        <v>43556</v>
      </c>
      <c r="M19208" t="e">
        <v>#N/A</v>
      </c>
      <c r="N19208" s="1">
        <v>43191</v>
      </c>
    </row>
    <row r="19209" spans="11:14" x14ac:dyDescent="0.3">
      <c r="K19209" s="1">
        <v>43556</v>
      </c>
      <c r="M19209" t="e">
        <v>#N/A</v>
      </c>
      <c r="N19209" s="1">
        <v>43191</v>
      </c>
    </row>
    <row r="19210" spans="11:14" x14ac:dyDescent="0.3">
      <c r="K19210" s="1">
        <v>43556</v>
      </c>
      <c r="M19210" t="e">
        <v>#N/A</v>
      </c>
      <c r="N19210" s="1">
        <v>43191</v>
      </c>
    </row>
    <row r="19211" spans="11:14" x14ac:dyDescent="0.3">
      <c r="K19211" s="1">
        <v>43556</v>
      </c>
      <c r="M19211" t="e">
        <v>#N/A</v>
      </c>
      <c r="N19211" s="1">
        <v>43191</v>
      </c>
    </row>
    <row r="19212" spans="11:14" x14ac:dyDescent="0.3">
      <c r="K19212" s="1">
        <v>43556</v>
      </c>
      <c r="M19212" t="e">
        <v>#N/A</v>
      </c>
      <c r="N19212" s="1">
        <v>43191</v>
      </c>
    </row>
    <row r="19213" spans="11:14" x14ac:dyDescent="0.3">
      <c r="K19213" s="1">
        <v>43556</v>
      </c>
      <c r="M19213" t="e">
        <v>#N/A</v>
      </c>
      <c r="N19213" s="1">
        <v>43191</v>
      </c>
    </row>
    <row r="19214" spans="11:14" x14ac:dyDescent="0.3">
      <c r="K19214" s="1">
        <v>43556</v>
      </c>
      <c r="M19214" t="e">
        <v>#N/A</v>
      </c>
      <c r="N19214" s="1">
        <v>43191</v>
      </c>
    </row>
    <row r="19215" spans="11:14" x14ac:dyDescent="0.3">
      <c r="K19215" s="1">
        <v>43556</v>
      </c>
      <c r="M19215" t="e">
        <v>#N/A</v>
      </c>
      <c r="N19215" s="1">
        <v>43191</v>
      </c>
    </row>
    <row r="19216" spans="11:14" x14ac:dyDescent="0.3">
      <c r="K19216" s="1">
        <v>43556</v>
      </c>
      <c r="M19216" t="e">
        <v>#N/A</v>
      </c>
      <c r="N19216" s="1">
        <v>43191</v>
      </c>
    </row>
    <row r="19217" spans="11:14" x14ac:dyDescent="0.3">
      <c r="K19217" s="1">
        <v>43556</v>
      </c>
      <c r="M19217" t="e">
        <v>#N/A</v>
      </c>
      <c r="N19217" s="1">
        <v>43191</v>
      </c>
    </row>
    <row r="19218" spans="11:14" x14ac:dyDescent="0.3">
      <c r="K19218" s="1">
        <v>43556</v>
      </c>
      <c r="M19218" t="e">
        <v>#N/A</v>
      </c>
      <c r="N19218" s="1">
        <v>43191</v>
      </c>
    </row>
    <row r="19219" spans="11:14" x14ac:dyDescent="0.3">
      <c r="K19219" s="1">
        <v>43556</v>
      </c>
      <c r="M19219" t="e">
        <v>#N/A</v>
      </c>
      <c r="N19219" s="1">
        <v>43191</v>
      </c>
    </row>
    <row r="19220" spans="11:14" x14ac:dyDescent="0.3">
      <c r="K19220" s="1">
        <v>43556</v>
      </c>
      <c r="M19220" t="e">
        <v>#N/A</v>
      </c>
      <c r="N19220" s="1">
        <v>43191</v>
      </c>
    </row>
    <row r="19221" spans="11:14" x14ac:dyDescent="0.3">
      <c r="K19221" s="1">
        <v>43556</v>
      </c>
      <c r="M19221" t="e">
        <v>#N/A</v>
      </c>
      <c r="N19221" s="1">
        <v>43191</v>
      </c>
    </row>
    <row r="19222" spans="11:14" x14ac:dyDescent="0.3">
      <c r="K19222" s="1">
        <v>43556</v>
      </c>
      <c r="M19222" t="e">
        <v>#N/A</v>
      </c>
      <c r="N19222" s="1">
        <v>43191</v>
      </c>
    </row>
    <row r="19223" spans="11:14" x14ac:dyDescent="0.3">
      <c r="K19223" s="1">
        <v>43556</v>
      </c>
      <c r="M19223" t="e">
        <v>#N/A</v>
      </c>
      <c r="N19223" s="1">
        <v>43191</v>
      </c>
    </row>
    <row r="19224" spans="11:14" x14ac:dyDescent="0.3">
      <c r="K19224" s="1">
        <v>43556</v>
      </c>
      <c r="M19224" t="e">
        <v>#N/A</v>
      </c>
      <c r="N19224" s="1">
        <v>43191</v>
      </c>
    </row>
    <row r="19225" spans="11:14" x14ac:dyDescent="0.3">
      <c r="K19225" s="1">
        <v>43556</v>
      </c>
      <c r="M19225" t="e">
        <v>#N/A</v>
      </c>
      <c r="N19225" s="1">
        <v>43191</v>
      </c>
    </row>
    <row r="19226" spans="11:14" x14ac:dyDescent="0.3">
      <c r="K19226" s="1">
        <v>43556</v>
      </c>
      <c r="M19226" t="e">
        <v>#N/A</v>
      </c>
      <c r="N19226" s="1">
        <v>43191</v>
      </c>
    </row>
    <row r="19227" spans="11:14" x14ac:dyDescent="0.3">
      <c r="K19227" s="1">
        <v>43556</v>
      </c>
      <c r="M19227" t="e">
        <v>#N/A</v>
      </c>
      <c r="N19227" s="1">
        <v>43191</v>
      </c>
    </row>
    <row r="19228" spans="11:14" x14ac:dyDescent="0.3">
      <c r="K19228" s="1">
        <v>43556</v>
      </c>
      <c r="M19228" t="e">
        <v>#N/A</v>
      </c>
      <c r="N19228" s="1">
        <v>43191</v>
      </c>
    </row>
    <row r="19229" spans="11:14" x14ac:dyDescent="0.3">
      <c r="K19229" s="1">
        <v>43556</v>
      </c>
      <c r="M19229" t="e">
        <v>#N/A</v>
      </c>
      <c r="N19229" s="1">
        <v>43191</v>
      </c>
    </row>
    <row r="19230" spans="11:14" x14ac:dyDescent="0.3">
      <c r="K19230" s="1">
        <v>43556</v>
      </c>
      <c r="M19230" t="e">
        <v>#N/A</v>
      </c>
      <c r="N19230" s="1">
        <v>43191</v>
      </c>
    </row>
    <row r="19231" spans="11:14" x14ac:dyDescent="0.3">
      <c r="K19231" s="1">
        <v>43556</v>
      </c>
      <c r="M19231" t="e">
        <v>#N/A</v>
      </c>
      <c r="N19231" s="1">
        <v>43191</v>
      </c>
    </row>
    <row r="19232" spans="11:14" x14ac:dyDescent="0.3">
      <c r="K19232" s="1">
        <v>43556</v>
      </c>
      <c r="M19232" t="e">
        <v>#N/A</v>
      </c>
      <c r="N19232" s="1">
        <v>43191</v>
      </c>
    </row>
    <row r="19233" spans="11:14" x14ac:dyDescent="0.3">
      <c r="K19233" s="1">
        <v>43556</v>
      </c>
      <c r="M19233" t="e">
        <v>#N/A</v>
      </c>
      <c r="N19233" s="1">
        <v>43191</v>
      </c>
    </row>
    <row r="19234" spans="11:14" x14ac:dyDescent="0.3">
      <c r="K19234" s="1">
        <v>43556</v>
      </c>
      <c r="M19234" t="e">
        <v>#N/A</v>
      </c>
      <c r="N19234" s="1">
        <v>43191</v>
      </c>
    </row>
    <row r="19235" spans="11:14" x14ac:dyDescent="0.3">
      <c r="K19235" s="1">
        <v>43556</v>
      </c>
      <c r="M19235" t="e">
        <v>#N/A</v>
      </c>
      <c r="N19235" s="1">
        <v>43191</v>
      </c>
    </row>
    <row r="19236" spans="11:14" x14ac:dyDescent="0.3">
      <c r="K19236" s="1">
        <v>43556</v>
      </c>
      <c r="M19236" t="e">
        <v>#N/A</v>
      </c>
      <c r="N19236" s="1">
        <v>43191</v>
      </c>
    </row>
    <row r="19237" spans="11:14" x14ac:dyDescent="0.3">
      <c r="K19237" s="1">
        <v>43556</v>
      </c>
      <c r="M19237" t="e">
        <v>#N/A</v>
      </c>
      <c r="N19237" s="1">
        <v>43191</v>
      </c>
    </row>
    <row r="19238" spans="11:14" x14ac:dyDescent="0.3">
      <c r="K19238" s="1">
        <v>43556</v>
      </c>
      <c r="M19238" t="e">
        <v>#N/A</v>
      </c>
      <c r="N19238" s="1">
        <v>43191</v>
      </c>
    </row>
    <row r="19239" spans="11:14" x14ac:dyDescent="0.3">
      <c r="K19239" s="1">
        <v>43556</v>
      </c>
      <c r="M19239" t="e">
        <v>#N/A</v>
      </c>
      <c r="N19239" s="1">
        <v>43191</v>
      </c>
    </row>
    <row r="19240" spans="11:14" x14ac:dyDescent="0.3">
      <c r="K19240" s="1">
        <v>43556</v>
      </c>
      <c r="M19240" t="e">
        <v>#N/A</v>
      </c>
      <c r="N19240" s="1">
        <v>43191</v>
      </c>
    </row>
    <row r="19241" spans="11:14" x14ac:dyDescent="0.3">
      <c r="K19241" s="1">
        <v>43556</v>
      </c>
      <c r="M19241" t="e">
        <v>#N/A</v>
      </c>
      <c r="N19241" s="1">
        <v>43191</v>
      </c>
    </row>
    <row r="19242" spans="11:14" x14ac:dyDescent="0.3">
      <c r="K19242" s="1">
        <v>43556</v>
      </c>
      <c r="M19242" t="e">
        <v>#N/A</v>
      </c>
      <c r="N19242" s="1">
        <v>43191</v>
      </c>
    </row>
    <row r="19243" spans="11:14" x14ac:dyDescent="0.3">
      <c r="K19243" s="1">
        <v>43556</v>
      </c>
      <c r="M19243" t="e">
        <v>#N/A</v>
      </c>
      <c r="N19243" s="1">
        <v>43191</v>
      </c>
    </row>
    <row r="19244" spans="11:14" x14ac:dyDescent="0.3">
      <c r="K19244" s="1">
        <v>43556</v>
      </c>
      <c r="M19244" t="e">
        <v>#N/A</v>
      </c>
      <c r="N19244" s="1">
        <v>43191</v>
      </c>
    </row>
    <row r="19245" spans="11:14" x14ac:dyDescent="0.3">
      <c r="K19245" s="1">
        <v>43556</v>
      </c>
      <c r="M19245" t="e">
        <v>#N/A</v>
      </c>
      <c r="N19245" s="1">
        <v>43191</v>
      </c>
    </row>
    <row r="19246" spans="11:14" x14ac:dyDescent="0.3">
      <c r="K19246" s="1">
        <v>43556</v>
      </c>
      <c r="M19246" t="e">
        <v>#N/A</v>
      </c>
      <c r="N19246" s="1">
        <v>43191</v>
      </c>
    </row>
    <row r="19247" spans="11:14" x14ac:dyDescent="0.3">
      <c r="K19247" s="1">
        <v>43556</v>
      </c>
      <c r="M19247" t="e">
        <v>#N/A</v>
      </c>
      <c r="N19247" s="1">
        <v>43191</v>
      </c>
    </row>
    <row r="19248" spans="11:14" x14ac:dyDescent="0.3">
      <c r="K19248" s="1">
        <v>43556</v>
      </c>
      <c r="M19248" t="e">
        <v>#N/A</v>
      </c>
      <c r="N19248" s="1">
        <v>43191</v>
      </c>
    </row>
    <row r="19249" spans="11:14" x14ac:dyDescent="0.3">
      <c r="K19249" s="1">
        <v>43556</v>
      </c>
      <c r="M19249" t="e">
        <v>#N/A</v>
      </c>
      <c r="N19249" s="1">
        <v>43191</v>
      </c>
    </row>
    <row r="19250" spans="11:14" x14ac:dyDescent="0.3">
      <c r="K19250" s="1">
        <v>43556</v>
      </c>
      <c r="M19250" t="e">
        <v>#N/A</v>
      </c>
      <c r="N19250" s="1">
        <v>43191</v>
      </c>
    </row>
    <row r="19251" spans="11:14" x14ac:dyDescent="0.3">
      <c r="K19251" s="1">
        <v>43556</v>
      </c>
      <c r="M19251" t="e">
        <v>#N/A</v>
      </c>
      <c r="N19251" s="1">
        <v>43191</v>
      </c>
    </row>
    <row r="19252" spans="11:14" x14ac:dyDescent="0.3">
      <c r="K19252" s="1">
        <v>43556</v>
      </c>
      <c r="M19252" t="e">
        <v>#N/A</v>
      </c>
      <c r="N19252" s="1">
        <v>43191</v>
      </c>
    </row>
    <row r="19253" spans="11:14" x14ac:dyDescent="0.3">
      <c r="K19253" s="1">
        <v>43556</v>
      </c>
      <c r="M19253" t="e">
        <v>#N/A</v>
      </c>
      <c r="N19253" s="1">
        <v>43191</v>
      </c>
    </row>
    <row r="19254" spans="11:14" x14ac:dyDescent="0.3">
      <c r="K19254" s="1">
        <v>43556</v>
      </c>
      <c r="M19254" t="e">
        <v>#N/A</v>
      </c>
      <c r="N19254" s="1">
        <v>43191</v>
      </c>
    </row>
    <row r="19255" spans="11:14" x14ac:dyDescent="0.3">
      <c r="K19255" s="1">
        <v>43556</v>
      </c>
      <c r="M19255" t="e">
        <v>#N/A</v>
      </c>
      <c r="N19255" s="1">
        <v>43191</v>
      </c>
    </row>
    <row r="19256" spans="11:14" x14ac:dyDescent="0.3">
      <c r="K19256" s="1">
        <v>43556</v>
      </c>
      <c r="M19256" t="e">
        <v>#N/A</v>
      </c>
      <c r="N19256" s="1">
        <v>43191</v>
      </c>
    </row>
    <row r="19257" spans="11:14" x14ac:dyDescent="0.3">
      <c r="K19257" s="1">
        <v>43556</v>
      </c>
      <c r="M19257" t="e">
        <v>#N/A</v>
      </c>
      <c r="N19257" s="1">
        <v>43191</v>
      </c>
    </row>
    <row r="19258" spans="11:14" x14ac:dyDescent="0.3">
      <c r="K19258" s="1">
        <v>43556</v>
      </c>
      <c r="M19258" t="e">
        <v>#N/A</v>
      </c>
      <c r="N19258" s="1">
        <v>43191</v>
      </c>
    </row>
    <row r="19259" spans="11:14" x14ac:dyDescent="0.3">
      <c r="K19259" s="1">
        <v>43556</v>
      </c>
      <c r="M19259" t="e">
        <v>#N/A</v>
      </c>
      <c r="N19259" s="1">
        <v>43191</v>
      </c>
    </row>
    <row r="19260" spans="11:14" x14ac:dyDescent="0.3">
      <c r="K19260" s="1">
        <v>43556</v>
      </c>
      <c r="M19260" t="e">
        <v>#N/A</v>
      </c>
      <c r="N19260" s="1">
        <v>43191</v>
      </c>
    </row>
    <row r="19261" spans="11:14" x14ac:dyDescent="0.3">
      <c r="K19261" s="1">
        <v>43556</v>
      </c>
      <c r="M19261" t="e">
        <v>#N/A</v>
      </c>
      <c r="N19261" s="1">
        <v>43191</v>
      </c>
    </row>
    <row r="19262" spans="11:14" x14ac:dyDescent="0.3">
      <c r="K19262" s="1">
        <v>43556</v>
      </c>
      <c r="M19262" t="e">
        <v>#N/A</v>
      </c>
      <c r="N19262" s="1">
        <v>43191</v>
      </c>
    </row>
    <row r="19263" spans="11:14" x14ac:dyDescent="0.3">
      <c r="K19263" s="1">
        <v>43556</v>
      </c>
      <c r="M19263" t="e">
        <v>#N/A</v>
      </c>
      <c r="N19263" s="1">
        <v>43191</v>
      </c>
    </row>
    <row r="19264" spans="11:14" x14ac:dyDescent="0.3">
      <c r="K19264" s="1">
        <v>43556</v>
      </c>
      <c r="M19264" t="e">
        <v>#N/A</v>
      </c>
      <c r="N19264" s="1">
        <v>43191</v>
      </c>
    </row>
    <row r="19265" spans="11:14" x14ac:dyDescent="0.3">
      <c r="K19265" s="1">
        <v>43556</v>
      </c>
      <c r="M19265" t="e">
        <v>#N/A</v>
      </c>
      <c r="N19265" s="1">
        <v>43191</v>
      </c>
    </row>
    <row r="19266" spans="11:14" x14ac:dyDescent="0.3">
      <c r="K19266" s="1">
        <v>43556</v>
      </c>
      <c r="M19266" t="e">
        <v>#N/A</v>
      </c>
      <c r="N19266" s="1">
        <v>43191</v>
      </c>
    </row>
    <row r="19267" spans="11:14" x14ac:dyDescent="0.3">
      <c r="K19267" s="1">
        <v>43556</v>
      </c>
      <c r="M19267" t="e">
        <v>#N/A</v>
      </c>
      <c r="N19267" s="1">
        <v>43191</v>
      </c>
    </row>
    <row r="19268" spans="11:14" x14ac:dyDescent="0.3">
      <c r="K19268" s="1">
        <v>43556</v>
      </c>
      <c r="M19268" t="e">
        <v>#N/A</v>
      </c>
      <c r="N19268" s="1">
        <v>43191</v>
      </c>
    </row>
    <row r="19269" spans="11:14" x14ac:dyDescent="0.3">
      <c r="K19269" s="1">
        <v>43556</v>
      </c>
      <c r="M19269" t="e">
        <v>#N/A</v>
      </c>
      <c r="N19269" s="1">
        <v>43191</v>
      </c>
    </row>
    <row r="19270" spans="11:14" x14ac:dyDescent="0.3">
      <c r="K19270" s="1">
        <v>43556</v>
      </c>
      <c r="M19270" t="e">
        <v>#N/A</v>
      </c>
      <c r="N19270" s="1">
        <v>43191</v>
      </c>
    </row>
    <row r="19271" spans="11:14" x14ac:dyDescent="0.3">
      <c r="K19271" s="1">
        <v>43556</v>
      </c>
      <c r="M19271" t="e">
        <v>#N/A</v>
      </c>
      <c r="N19271" s="1">
        <v>43191</v>
      </c>
    </row>
    <row r="19272" spans="11:14" x14ac:dyDescent="0.3">
      <c r="K19272" s="1">
        <v>43556</v>
      </c>
      <c r="M19272" t="e">
        <v>#N/A</v>
      </c>
      <c r="N19272" s="1">
        <v>43191</v>
      </c>
    </row>
    <row r="19273" spans="11:14" x14ac:dyDescent="0.3">
      <c r="K19273" s="1">
        <v>43556</v>
      </c>
      <c r="M19273" t="e">
        <v>#N/A</v>
      </c>
      <c r="N19273" s="1">
        <v>43191</v>
      </c>
    </row>
    <row r="19274" spans="11:14" x14ac:dyDescent="0.3">
      <c r="K19274" s="1">
        <v>43556</v>
      </c>
      <c r="M19274" t="e">
        <v>#N/A</v>
      </c>
      <c r="N19274" s="1">
        <v>43191</v>
      </c>
    </row>
    <row r="19275" spans="11:14" x14ac:dyDescent="0.3">
      <c r="K19275" s="1">
        <v>43556</v>
      </c>
      <c r="M19275" t="e">
        <v>#N/A</v>
      </c>
      <c r="N19275" s="1">
        <v>43191</v>
      </c>
    </row>
    <row r="19276" spans="11:14" x14ac:dyDescent="0.3">
      <c r="K19276" s="1">
        <v>43556</v>
      </c>
      <c r="M19276" t="e">
        <v>#N/A</v>
      </c>
      <c r="N19276" s="1">
        <v>43191</v>
      </c>
    </row>
    <row r="19277" spans="11:14" x14ac:dyDescent="0.3">
      <c r="K19277" s="1">
        <v>43556</v>
      </c>
      <c r="M19277" t="e">
        <v>#N/A</v>
      </c>
      <c r="N19277" s="1">
        <v>43191</v>
      </c>
    </row>
    <row r="19278" spans="11:14" x14ac:dyDescent="0.3">
      <c r="K19278" s="1">
        <v>43556</v>
      </c>
      <c r="M19278" t="e">
        <v>#N/A</v>
      </c>
      <c r="N19278" s="1">
        <v>43191</v>
      </c>
    </row>
    <row r="19279" spans="11:14" x14ac:dyDescent="0.3">
      <c r="K19279" s="1">
        <v>43556</v>
      </c>
      <c r="M19279" t="e">
        <v>#N/A</v>
      </c>
      <c r="N19279" s="1">
        <v>43191</v>
      </c>
    </row>
    <row r="19280" spans="11:14" x14ac:dyDescent="0.3">
      <c r="K19280" s="1">
        <v>43556</v>
      </c>
      <c r="M19280" t="e">
        <v>#N/A</v>
      </c>
      <c r="N19280" s="1">
        <v>43191</v>
      </c>
    </row>
    <row r="19281" spans="11:14" x14ac:dyDescent="0.3">
      <c r="K19281" s="1">
        <v>43556</v>
      </c>
      <c r="M19281" t="e">
        <v>#N/A</v>
      </c>
      <c r="N19281" s="1">
        <v>43191</v>
      </c>
    </row>
    <row r="19282" spans="11:14" x14ac:dyDescent="0.3">
      <c r="K19282" s="1">
        <v>43556</v>
      </c>
      <c r="M19282" t="e">
        <v>#N/A</v>
      </c>
      <c r="N19282" s="1">
        <v>43191</v>
      </c>
    </row>
    <row r="19283" spans="11:14" x14ac:dyDescent="0.3">
      <c r="K19283" s="1">
        <v>43556</v>
      </c>
      <c r="M19283" t="e">
        <v>#N/A</v>
      </c>
      <c r="N19283" s="1">
        <v>43191</v>
      </c>
    </row>
    <row r="19284" spans="11:14" x14ac:dyDescent="0.3">
      <c r="K19284" s="1">
        <v>43556</v>
      </c>
      <c r="M19284" t="e">
        <v>#N/A</v>
      </c>
      <c r="N19284" s="1">
        <v>43191</v>
      </c>
    </row>
    <row r="19285" spans="11:14" x14ac:dyDescent="0.3">
      <c r="K19285" s="1">
        <v>43556</v>
      </c>
      <c r="M19285" t="e">
        <v>#N/A</v>
      </c>
      <c r="N19285" s="1">
        <v>43191</v>
      </c>
    </row>
    <row r="19286" spans="11:14" x14ac:dyDescent="0.3">
      <c r="K19286" s="1">
        <v>43556</v>
      </c>
      <c r="M19286" t="e">
        <v>#N/A</v>
      </c>
      <c r="N19286" s="1">
        <v>43191</v>
      </c>
    </row>
    <row r="19287" spans="11:14" x14ac:dyDescent="0.3">
      <c r="K19287" s="1">
        <v>43556</v>
      </c>
      <c r="M19287" t="e">
        <v>#N/A</v>
      </c>
      <c r="N19287" s="1">
        <v>43191</v>
      </c>
    </row>
    <row r="19288" spans="11:14" x14ac:dyDescent="0.3">
      <c r="K19288" s="1">
        <v>43556</v>
      </c>
      <c r="M19288" t="e">
        <v>#N/A</v>
      </c>
      <c r="N19288" s="1">
        <v>43191</v>
      </c>
    </row>
    <row r="19289" spans="11:14" x14ac:dyDescent="0.3">
      <c r="K19289" s="1">
        <v>43556</v>
      </c>
      <c r="M19289" t="e">
        <v>#N/A</v>
      </c>
      <c r="N19289" s="1">
        <v>43191</v>
      </c>
    </row>
    <row r="19290" spans="11:14" x14ac:dyDescent="0.3">
      <c r="K19290" s="1">
        <v>43556</v>
      </c>
      <c r="M19290" t="e">
        <v>#N/A</v>
      </c>
      <c r="N19290" s="1">
        <v>43191</v>
      </c>
    </row>
    <row r="19291" spans="11:14" x14ac:dyDescent="0.3">
      <c r="K19291" s="1">
        <v>43556</v>
      </c>
      <c r="M19291" t="e">
        <v>#N/A</v>
      </c>
      <c r="N19291" s="1">
        <v>43191</v>
      </c>
    </row>
    <row r="19292" spans="11:14" x14ac:dyDescent="0.3">
      <c r="K19292" s="1">
        <v>43556</v>
      </c>
      <c r="M19292" t="e">
        <v>#N/A</v>
      </c>
      <c r="N19292" s="1">
        <v>43191</v>
      </c>
    </row>
    <row r="19293" spans="11:14" x14ac:dyDescent="0.3">
      <c r="K19293" s="1">
        <v>43556</v>
      </c>
      <c r="M19293" t="e">
        <v>#N/A</v>
      </c>
      <c r="N19293" s="1">
        <v>43191</v>
      </c>
    </row>
    <row r="19294" spans="11:14" x14ac:dyDescent="0.3">
      <c r="K19294" s="1">
        <v>43556</v>
      </c>
      <c r="M19294" t="e">
        <v>#N/A</v>
      </c>
      <c r="N19294" s="1">
        <v>43191</v>
      </c>
    </row>
    <row r="19295" spans="11:14" x14ac:dyDescent="0.3">
      <c r="K19295" s="1">
        <v>43556</v>
      </c>
      <c r="M19295" t="e">
        <v>#N/A</v>
      </c>
      <c r="N19295" s="1">
        <v>43191</v>
      </c>
    </row>
    <row r="19296" spans="11:14" x14ac:dyDescent="0.3">
      <c r="K19296" s="1">
        <v>43556</v>
      </c>
      <c r="M19296" t="e">
        <v>#N/A</v>
      </c>
      <c r="N19296" s="1">
        <v>43191</v>
      </c>
    </row>
    <row r="19297" spans="11:14" x14ac:dyDescent="0.3">
      <c r="K19297" s="1">
        <v>43556</v>
      </c>
      <c r="M19297" t="e">
        <v>#N/A</v>
      </c>
      <c r="N19297" s="1">
        <v>43191</v>
      </c>
    </row>
    <row r="19298" spans="11:14" x14ac:dyDescent="0.3">
      <c r="K19298" s="1">
        <v>43556</v>
      </c>
      <c r="M19298" t="e">
        <v>#N/A</v>
      </c>
      <c r="N19298" s="1">
        <v>43191</v>
      </c>
    </row>
    <row r="19299" spans="11:14" x14ac:dyDescent="0.3">
      <c r="K19299" s="1">
        <v>43556</v>
      </c>
      <c r="M19299" t="e">
        <v>#N/A</v>
      </c>
      <c r="N19299" s="1">
        <v>43191</v>
      </c>
    </row>
    <row r="19300" spans="11:14" x14ac:dyDescent="0.3">
      <c r="K19300" s="1">
        <v>43556</v>
      </c>
      <c r="M19300" t="e">
        <v>#N/A</v>
      </c>
      <c r="N19300" s="1">
        <v>43191</v>
      </c>
    </row>
    <row r="19301" spans="11:14" x14ac:dyDescent="0.3">
      <c r="K19301" s="1">
        <v>43556</v>
      </c>
      <c r="M19301" t="e">
        <v>#N/A</v>
      </c>
      <c r="N19301" s="1">
        <v>43191</v>
      </c>
    </row>
    <row r="19302" spans="11:14" x14ac:dyDescent="0.3">
      <c r="K19302" s="1">
        <v>43556</v>
      </c>
      <c r="M19302" t="e">
        <v>#N/A</v>
      </c>
      <c r="N19302" s="1">
        <v>43191</v>
      </c>
    </row>
    <row r="19303" spans="11:14" x14ac:dyDescent="0.3">
      <c r="K19303" s="1">
        <v>43556</v>
      </c>
      <c r="M19303" t="e">
        <v>#N/A</v>
      </c>
      <c r="N19303" s="1">
        <v>43191</v>
      </c>
    </row>
    <row r="19304" spans="11:14" x14ac:dyDescent="0.3">
      <c r="K19304" s="1">
        <v>43556</v>
      </c>
      <c r="M19304" t="e">
        <v>#N/A</v>
      </c>
      <c r="N19304" s="1">
        <v>43191</v>
      </c>
    </row>
    <row r="19305" spans="11:14" x14ac:dyDescent="0.3">
      <c r="K19305" s="1">
        <v>43556</v>
      </c>
      <c r="M19305" t="e">
        <v>#N/A</v>
      </c>
      <c r="N19305" s="1">
        <v>43191</v>
      </c>
    </row>
    <row r="19306" spans="11:14" x14ac:dyDescent="0.3">
      <c r="K19306" s="1">
        <v>43556</v>
      </c>
      <c r="M19306" t="e">
        <v>#N/A</v>
      </c>
      <c r="N19306" s="1">
        <v>43191</v>
      </c>
    </row>
    <row r="19307" spans="11:14" x14ac:dyDescent="0.3">
      <c r="K19307" s="1">
        <v>43556</v>
      </c>
      <c r="M19307" t="e">
        <v>#N/A</v>
      </c>
      <c r="N19307" s="1">
        <v>43191</v>
      </c>
    </row>
    <row r="19308" spans="11:14" x14ac:dyDescent="0.3">
      <c r="K19308" s="1">
        <v>43556</v>
      </c>
      <c r="M19308" t="e">
        <v>#N/A</v>
      </c>
      <c r="N19308" s="1">
        <v>43191</v>
      </c>
    </row>
    <row r="19309" spans="11:14" x14ac:dyDescent="0.3">
      <c r="K19309" s="1">
        <v>43556</v>
      </c>
      <c r="M19309" t="e">
        <v>#N/A</v>
      </c>
      <c r="N19309" s="1">
        <v>43191</v>
      </c>
    </row>
    <row r="19310" spans="11:14" x14ac:dyDescent="0.3">
      <c r="K19310" s="1">
        <v>43556</v>
      </c>
      <c r="M19310" t="e">
        <v>#N/A</v>
      </c>
      <c r="N19310" s="1">
        <v>43191</v>
      </c>
    </row>
    <row r="19311" spans="11:14" x14ac:dyDescent="0.3">
      <c r="K19311" s="1">
        <v>43556</v>
      </c>
      <c r="M19311" t="e">
        <v>#N/A</v>
      </c>
      <c r="N19311" s="1">
        <v>43191</v>
      </c>
    </row>
    <row r="19312" spans="11:14" x14ac:dyDescent="0.3">
      <c r="K19312" s="1">
        <v>43556</v>
      </c>
      <c r="M19312" t="e">
        <v>#N/A</v>
      </c>
      <c r="N19312" s="1">
        <v>43191</v>
      </c>
    </row>
    <row r="19313" spans="11:14" x14ac:dyDescent="0.3">
      <c r="K19313" s="1">
        <v>43556</v>
      </c>
      <c r="M19313" t="e">
        <v>#N/A</v>
      </c>
      <c r="N19313" s="1">
        <v>43191</v>
      </c>
    </row>
    <row r="19314" spans="11:14" x14ac:dyDescent="0.3">
      <c r="K19314" s="1">
        <v>43556</v>
      </c>
      <c r="M19314" t="e">
        <v>#N/A</v>
      </c>
      <c r="N19314" s="1">
        <v>43191</v>
      </c>
    </row>
    <row r="19315" spans="11:14" x14ac:dyDescent="0.3">
      <c r="K19315" s="1">
        <v>43556</v>
      </c>
      <c r="M19315" t="e">
        <v>#N/A</v>
      </c>
      <c r="N19315" s="1">
        <v>43191</v>
      </c>
    </row>
    <row r="19316" spans="11:14" x14ac:dyDescent="0.3">
      <c r="K19316" s="1">
        <v>43556</v>
      </c>
      <c r="M19316" t="e">
        <v>#N/A</v>
      </c>
      <c r="N19316" s="1">
        <v>43191</v>
      </c>
    </row>
    <row r="19317" spans="11:14" x14ac:dyDescent="0.3">
      <c r="K19317" s="1">
        <v>43556</v>
      </c>
      <c r="M19317" t="e">
        <v>#N/A</v>
      </c>
      <c r="N19317" s="1">
        <v>43191</v>
      </c>
    </row>
    <row r="19318" spans="11:14" x14ac:dyDescent="0.3">
      <c r="K19318" s="1">
        <v>43556</v>
      </c>
      <c r="M19318" t="e">
        <v>#N/A</v>
      </c>
      <c r="N19318" s="1">
        <v>43191</v>
      </c>
    </row>
    <row r="19319" spans="11:14" x14ac:dyDescent="0.3">
      <c r="K19319" s="1">
        <v>43556</v>
      </c>
      <c r="M19319" t="e">
        <v>#N/A</v>
      </c>
      <c r="N19319" s="1">
        <v>43191</v>
      </c>
    </row>
    <row r="19320" spans="11:14" x14ac:dyDescent="0.3">
      <c r="K19320" s="1">
        <v>43556</v>
      </c>
      <c r="M19320" t="e">
        <v>#N/A</v>
      </c>
      <c r="N19320" s="1">
        <v>43191</v>
      </c>
    </row>
    <row r="19321" spans="11:14" x14ac:dyDescent="0.3">
      <c r="K19321" s="1">
        <v>43556</v>
      </c>
      <c r="M19321" t="e">
        <v>#N/A</v>
      </c>
      <c r="N19321" s="1">
        <v>43191</v>
      </c>
    </row>
    <row r="19322" spans="11:14" x14ac:dyDescent="0.3">
      <c r="K19322" s="1">
        <v>43556</v>
      </c>
      <c r="M19322" t="e">
        <v>#N/A</v>
      </c>
      <c r="N19322" s="1">
        <v>43191</v>
      </c>
    </row>
    <row r="19323" spans="11:14" x14ac:dyDescent="0.3">
      <c r="K19323" s="1">
        <v>43556</v>
      </c>
      <c r="M19323" t="e">
        <v>#N/A</v>
      </c>
      <c r="N19323" s="1">
        <v>43191</v>
      </c>
    </row>
    <row r="19324" spans="11:14" x14ac:dyDescent="0.3">
      <c r="K19324" s="1">
        <v>43556</v>
      </c>
      <c r="M19324" t="e">
        <v>#N/A</v>
      </c>
      <c r="N19324" s="1">
        <v>43191</v>
      </c>
    </row>
    <row r="19325" spans="11:14" x14ac:dyDescent="0.3">
      <c r="K19325" s="1">
        <v>43556</v>
      </c>
      <c r="M19325" t="e">
        <v>#N/A</v>
      </c>
      <c r="N19325" s="1">
        <v>43191</v>
      </c>
    </row>
    <row r="19326" spans="11:14" x14ac:dyDescent="0.3">
      <c r="K19326" s="1">
        <v>43556</v>
      </c>
      <c r="M19326" t="e">
        <v>#N/A</v>
      </c>
      <c r="N19326" s="1">
        <v>43191</v>
      </c>
    </row>
    <row r="19327" spans="11:14" x14ac:dyDescent="0.3">
      <c r="K19327" s="1">
        <v>43556</v>
      </c>
      <c r="M19327" t="e">
        <v>#N/A</v>
      </c>
      <c r="N19327" s="1">
        <v>43191</v>
      </c>
    </row>
    <row r="19328" spans="11:14" x14ac:dyDescent="0.3">
      <c r="K19328" s="1">
        <v>43556</v>
      </c>
      <c r="M19328" t="e">
        <v>#N/A</v>
      </c>
      <c r="N19328" s="1">
        <v>43191</v>
      </c>
    </row>
    <row r="19329" spans="11:14" x14ac:dyDescent="0.3">
      <c r="K19329" s="1">
        <v>43556</v>
      </c>
      <c r="M19329" t="e">
        <v>#N/A</v>
      </c>
      <c r="N19329" s="1">
        <v>43191</v>
      </c>
    </row>
    <row r="19330" spans="11:14" x14ac:dyDescent="0.3">
      <c r="K19330" s="1">
        <v>43556</v>
      </c>
      <c r="M19330" t="e">
        <v>#N/A</v>
      </c>
      <c r="N19330" s="1">
        <v>43191</v>
      </c>
    </row>
    <row r="19331" spans="11:14" x14ac:dyDescent="0.3">
      <c r="K19331" s="1">
        <v>43556</v>
      </c>
      <c r="M19331" t="e">
        <v>#N/A</v>
      </c>
      <c r="N19331" s="1">
        <v>43191</v>
      </c>
    </row>
    <row r="19332" spans="11:14" x14ac:dyDescent="0.3">
      <c r="K19332" s="1">
        <v>43556</v>
      </c>
      <c r="M19332" t="e">
        <v>#N/A</v>
      </c>
      <c r="N19332" s="1">
        <v>43191</v>
      </c>
    </row>
    <row r="19333" spans="11:14" x14ac:dyDescent="0.3">
      <c r="K19333" s="1">
        <v>43556</v>
      </c>
      <c r="M19333" t="e">
        <v>#N/A</v>
      </c>
      <c r="N19333" s="1">
        <v>43191</v>
      </c>
    </row>
    <row r="19334" spans="11:14" x14ac:dyDescent="0.3">
      <c r="K19334" s="1">
        <v>43556</v>
      </c>
      <c r="M19334" t="e">
        <v>#N/A</v>
      </c>
      <c r="N19334" s="1">
        <v>43191</v>
      </c>
    </row>
    <row r="19335" spans="11:14" x14ac:dyDescent="0.3">
      <c r="K19335" s="1">
        <v>43556</v>
      </c>
      <c r="M19335" t="e">
        <v>#N/A</v>
      </c>
      <c r="N19335" s="1">
        <v>43191</v>
      </c>
    </row>
    <row r="19336" spans="11:14" x14ac:dyDescent="0.3">
      <c r="K19336" s="1">
        <v>43556</v>
      </c>
      <c r="M19336" t="e">
        <v>#N/A</v>
      </c>
      <c r="N19336" s="1">
        <v>43191</v>
      </c>
    </row>
    <row r="19337" spans="11:14" x14ac:dyDescent="0.3">
      <c r="K19337" s="1">
        <v>43556</v>
      </c>
      <c r="M19337" t="e">
        <v>#N/A</v>
      </c>
      <c r="N19337" s="1">
        <v>43191</v>
      </c>
    </row>
    <row r="19338" spans="11:14" x14ac:dyDescent="0.3">
      <c r="K19338" s="1">
        <v>43556</v>
      </c>
      <c r="M19338" t="e">
        <v>#N/A</v>
      </c>
      <c r="N19338" s="1">
        <v>43191</v>
      </c>
    </row>
    <row r="19339" spans="11:14" x14ac:dyDescent="0.3">
      <c r="K19339" s="1">
        <v>43556</v>
      </c>
      <c r="M19339" t="e">
        <v>#N/A</v>
      </c>
      <c r="N19339" s="1">
        <v>43191</v>
      </c>
    </row>
    <row r="19340" spans="11:14" x14ac:dyDescent="0.3">
      <c r="K19340" s="1">
        <v>43556</v>
      </c>
      <c r="M19340" t="e">
        <v>#N/A</v>
      </c>
      <c r="N19340" s="1">
        <v>43191</v>
      </c>
    </row>
    <row r="19341" spans="11:14" x14ac:dyDescent="0.3">
      <c r="K19341" s="1">
        <v>43556</v>
      </c>
      <c r="M19341" t="e">
        <v>#N/A</v>
      </c>
      <c r="N19341" s="1">
        <v>43191</v>
      </c>
    </row>
    <row r="19342" spans="11:14" x14ac:dyDescent="0.3">
      <c r="K19342" s="1">
        <v>43556</v>
      </c>
      <c r="M19342" t="e">
        <v>#N/A</v>
      </c>
      <c r="N19342" s="1">
        <v>43191</v>
      </c>
    </row>
    <row r="19343" spans="11:14" x14ac:dyDescent="0.3">
      <c r="K19343" s="1">
        <v>43556</v>
      </c>
      <c r="M19343" t="e">
        <v>#N/A</v>
      </c>
      <c r="N19343" s="1">
        <v>43191</v>
      </c>
    </row>
    <row r="19344" spans="11:14" x14ac:dyDescent="0.3">
      <c r="K19344" s="1">
        <v>43556</v>
      </c>
      <c r="M19344" t="e">
        <v>#N/A</v>
      </c>
      <c r="N19344" s="1">
        <v>43191</v>
      </c>
    </row>
    <row r="19345" spans="11:14" x14ac:dyDescent="0.3">
      <c r="K19345" s="1">
        <v>43556</v>
      </c>
      <c r="M19345" t="e">
        <v>#N/A</v>
      </c>
      <c r="N19345" s="1">
        <v>43191</v>
      </c>
    </row>
    <row r="19346" spans="11:14" x14ac:dyDescent="0.3">
      <c r="K19346" s="1">
        <v>43556</v>
      </c>
      <c r="M19346" t="e">
        <v>#N/A</v>
      </c>
      <c r="N19346" s="1">
        <v>43191</v>
      </c>
    </row>
    <row r="19347" spans="11:14" x14ac:dyDescent="0.3">
      <c r="K19347" s="1">
        <v>43556</v>
      </c>
      <c r="M19347" t="e">
        <v>#N/A</v>
      </c>
      <c r="N19347" s="1">
        <v>43191</v>
      </c>
    </row>
    <row r="19348" spans="11:14" x14ac:dyDescent="0.3">
      <c r="K19348" s="1">
        <v>43556</v>
      </c>
      <c r="M19348" t="e">
        <v>#N/A</v>
      </c>
      <c r="N19348" s="1">
        <v>43191</v>
      </c>
    </row>
    <row r="19349" spans="11:14" x14ac:dyDescent="0.3">
      <c r="K19349" s="1">
        <v>43556</v>
      </c>
      <c r="M19349" t="e">
        <v>#N/A</v>
      </c>
      <c r="N19349" s="1">
        <v>43191</v>
      </c>
    </row>
    <row r="19350" spans="11:14" x14ac:dyDescent="0.3">
      <c r="K19350" s="1">
        <v>43556</v>
      </c>
      <c r="M19350" t="e">
        <v>#N/A</v>
      </c>
      <c r="N19350" s="1">
        <v>43191</v>
      </c>
    </row>
    <row r="19351" spans="11:14" x14ac:dyDescent="0.3">
      <c r="K19351" s="1">
        <v>43556</v>
      </c>
      <c r="M19351" t="e">
        <v>#N/A</v>
      </c>
      <c r="N19351" s="1">
        <v>43191</v>
      </c>
    </row>
    <row r="19352" spans="11:14" x14ac:dyDescent="0.3">
      <c r="K19352" s="1">
        <v>43556</v>
      </c>
      <c r="M19352" t="e">
        <v>#N/A</v>
      </c>
      <c r="N19352" s="1">
        <v>43191</v>
      </c>
    </row>
    <row r="19353" spans="11:14" x14ac:dyDescent="0.3">
      <c r="K19353" s="1">
        <v>43556</v>
      </c>
      <c r="M19353" t="e">
        <v>#N/A</v>
      </c>
      <c r="N19353" s="1">
        <v>43191</v>
      </c>
    </row>
    <row r="19354" spans="11:14" x14ac:dyDescent="0.3">
      <c r="K19354" s="1">
        <v>43556</v>
      </c>
      <c r="M19354" t="e">
        <v>#N/A</v>
      </c>
      <c r="N19354" s="1">
        <v>43191</v>
      </c>
    </row>
    <row r="19355" spans="11:14" x14ac:dyDescent="0.3">
      <c r="K19355" s="1">
        <v>43556</v>
      </c>
      <c r="M19355" t="e">
        <v>#N/A</v>
      </c>
      <c r="N19355" s="1">
        <v>43191</v>
      </c>
    </row>
    <row r="19356" spans="11:14" x14ac:dyDescent="0.3">
      <c r="K19356" s="1">
        <v>43556</v>
      </c>
      <c r="M19356" t="e">
        <v>#N/A</v>
      </c>
      <c r="N19356" s="1">
        <v>43191</v>
      </c>
    </row>
    <row r="19357" spans="11:14" x14ac:dyDescent="0.3">
      <c r="K19357" s="1">
        <v>43556</v>
      </c>
      <c r="M19357" t="e">
        <v>#N/A</v>
      </c>
      <c r="N19357" s="1">
        <v>43191</v>
      </c>
    </row>
    <row r="19358" spans="11:14" x14ac:dyDescent="0.3">
      <c r="K19358" s="1">
        <v>43647</v>
      </c>
      <c r="M19358" t="e">
        <v>#N/A</v>
      </c>
      <c r="N19358" s="1">
        <v>43191</v>
      </c>
    </row>
    <row r="19359" spans="11:14" x14ac:dyDescent="0.3">
      <c r="K19359" s="1">
        <v>43647</v>
      </c>
      <c r="M19359" t="e">
        <v>#N/A</v>
      </c>
      <c r="N19359" s="1">
        <v>43191</v>
      </c>
    </row>
    <row r="19360" spans="11:14" x14ac:dyDescent="0.3">
      <c r="K19360" s="1">
        <v>43647</v>
      </c>
      <c r="M19360" t="e">
        <v>#N/A</v>
      </c>
      <c r="N19360" s="1">
        <v>43191</v>
      </c>
    </row>
    <row r="19361" spans="11:14" x14ac:dyDescent="0.3">
      <c r="K19361" s="1">
        <v>43647</v>
      </c>
      <c r="M19361" t="e">
        <v>#N/A</v>
      </c>
      <c r="N19361" s="1">
        <v>43191</v>
      </c>
    </row>
    <row r="19362" spans="11:14" x14ac:dyDescent="0.3">
      <c r="K19362" s="1">
        <v>43647</v>
      </c>
      <c r="M19362" t="e">
        <v>#N/A</v>
      </c>
      <c r="N19362" s="1">
        <v>43191</v>
      </c>
    </row>
    <row r="19363" spans="11:14" x14ac:dyDescent="0.3">
      <c r="K19363" s="1">
        <v>43647</v>
      </c>
      <c r="M19363" t="e">
        <v>#N/A</v>
      </c>
      <c r="N19363" s="1">
        <v>43191</v>
      </c>
    </row>
    <row r="19364" spans="11:14" x14ac:dyDescent="0.3">
      <c r="K19364" s="1">
        <v>43647</v>
      </c>
      <c r="M19364" t="e">
        <v>#N/A</v>
      </c>
      <c r="N19364" s="1">
        <v>43191</v>
      </c>
    </row>
    <row r="19365" spans="11:14" x14ac:dyDescent="0.3">
      <c r="K19365" s="1">
        <v>43647</v>
      </c>
      <c r="M19365" t="e">
        <v>#N/A</v>
      </c>
      <c r="N19365" s="1">
        <v>43191</v>
      </c>
    </row>
    <row r="19366" spans="11:14" x14ac:dyDescent="0.3">
      <c r="K19366" s="1">
        <v>43647</v>
      </c>
      <c r="M19366" t="e">
        <v>#N/A</v>
      </c>
      <c r="N19366" s="1">
        <v>43191</v>
      </c>
    </row>
    <row r="19367" spans="11:14" x14ac:dyDescent="0.3">
      <c r="K19367" s="1">
        <v>43647</v>
      </c>
      <c r="M19367" t="e">
        <v>#N/A</v>
      </c>
      <c r="N19367" s="1">
        <v>43191</v>
      </c>
    </row>
    <row r="19368" spans="11:14" x14ac:dyDescent="0.3">
      <c r="K19368" s="1">
        <v>43647</v>
      </c>
      <c r="M19368" t="e">
        <v>#N/A</v>
      </c>
      <c r="N19368" s="1">
        <v>43191</v>
      </c>
    </row>
    <row r="19369" spans="11:14" x14ac:dyDescent="0.3">
      <c r="K19369" s="1">
        <v>43647</v>
      </c>
      <c r="M19369" t="e">
        <v>#N/A</v>
      </c>
      <c r="N19369" s="1">
        <v>43191</v>
      </c>
    </row>
    <row r="19370" spans="11:14" x14ac:dyDescent="0.3">
      <c r="K19370" s="1">
        <v>43647</v>
      </c>
      <c r="M19370" t="e">
        <v>#N/A</v>
      </c>
      <c r="N19370" s="1">
        <v>43191</v>
      </c>
    </row>
    <row r="19371" spans="11:14" x14ac:dyDescent="0.3">
      <c r="K19371" s="1">
        <v>43647</v>
      </c>
      <c r="M19371" t="e">
        <v>#N/A</v>
      </c>
      <c r="N19371" s="1">
        <v>43191</v>
      </c>
    </row>
    <row r="19372" spans="11:14" x14ac:dyDescent="0.3">
      <c r="K19372" s="1">
        <v>43647</v>
      </c>
      <c r="M19372" t="e">
        <v>#N/A</v>
      </c>
      <c r="N19372" s="1">
        <v>43191</v>
      </c>
    </row>
    <row r="19373" spans="11:14" x14ac:dyDescent="0.3">
      <c r="K19373" s="1">
        <v>43647</v>
      </c>
      <c r="M19373" t="e">
        <v>#N/A</v>
      </c>
      <c r="N19373" s="1">
        <v>43191</v>
      </c>
    </row>
    <row r="19374" spans="11:14" x14ac:dyDescent="0.3">
      <c r="K19374" s="1">
        <v>43647</v>
      </c>
      <c r="M19374" t="e">
        <v>#N/A</v>
      </c>
      <c r="N19374" s="1">
        <v>43191</v>
      </c>
    </row>
    <row r="19375" spans="11:14" x14ac:dyDescent="0.3">
      <c r="K19375" s="1">
        <v>43647</v>
      </c>
      <c r="M19375" t="e">
        <v>#N/A</v>
      </c>
      <c r="N19375" s="1">
        <v>43191</v>
      </c>
    </row>
    <row r="19376" spans="11:14" x14ac:dyDescent="0.3">
      <c r="K19376" s="1">
        <v>43647</v>
      </c>
      <c r="M19376" t="e">
        <v>#N/A</v>
      </c>
      <c r="N19376" s="1">
        <v>43191</v>
      </c>
    </row>
    <row r="19377" spans="11:14" x14ac:dyDescent="0.3">
      <c r="K19377" s="1">
        <v>43647</v>
      </c>
      <c r="M19377" t="e">
        <v>#N/A</v>
      </c>
      <c r="N19377" s="1">
        <v>43191</v>
      </c>
    </row>
    <row r="19378" spans="11:14" x14ac:dyDescent="0.3">
      <c r="K19378" s="1">
        <v>43647</v>
      </c>
      <c r="M19378" t="e">
        <v>#N/A</v>
      </c>
      <c r="N19378" s="1">
        <v>43191</v>
      </c>
    </row>
    <row r="19379" spans="11:14" x14ac:dyDescent="0.3">
      <c r="K19379" s="1">
        <v>43647</v>
      </c>
      <c r="M19379" t="e">
        <v>#N/A</v>
      </c>
      <c r="N19379" s="1">
        <v>43191</v>
      </c>
    </row>
    <row r="19380" spans="11:14" x14ac:dyDescent="0.3">
      <c r="K19380" s="1">
        <v>43647</v>
      </c>
      <c r="M19380" t="e">
        <v>#N/A</v>
      </c>
      <c r="N19380" s="1">
        <v>43191</v>
      </c>
    </row>
    <row r="19381" spans="11:14" x14ac:dyDescent="0.3">
      <c r="K19381" s="1">
        <v>43647</v>
      </c>
      <c r="M19381" t="e">
        <v>#N/A</v>
      </c>
      <c r="N19381" s="1">
        <v>43191</v>
      </c>
    </row>
    <row r="19382" spans="11:14" x14ac:dyDescent="0.3">
      <c r="K19382" s="1">
        <v>43647</v>
      </c>
      <c r="M19382" t="e">
        <v>#N/A</v>
      </c>
      <c r="N19382" s="1">
        <v>43191</v>
      </c>
    </row>
    <row r="19383" spans="11:14" x14ac:dyDescent="0.3">
      <c r="K19383" s="1">
        <v>43647</v>
      </c>
      <c r="M19383" t="e">
        <v>#N/A</v>
      </c>
      <c r="N19383" s="1">
        <v>43191</v>
      </c>
    </row>
    <row r="19384" spans="11:14" x14ac:dyDescent="0.3">
      <c r="K19384" s="1">
        <v>43647</v>
      </c>
      <c r="M19384" t="e">
        <v>#N/A</v>
      </c>
      <c r="N19384" s="1">
        <v>43191</v>
      </c>
    </row>
    <row r="19385" spans="11:14" x14ac:dyDescent="0.3">
      <c r="K19385" s="1">
        <v>43647</v>
      </c>
      <c r="M19385" t="e">
        <v>#N/A</v>
      </c>
      <c r="N19385" s="1">
        <v>43191</v>
      </c>
    </row>
    <row r="19386" spans="11:14" x14ac:dyDescent="0.3">
      <c r="K19386" s="1">
        <v>43647</v>
      </c>
      <c r="M19386" t="e">
        <v>#N/A</v>
      </c>
      <c r="N19386" s="1">
        <v>43191</v>
      </c>
    </row>
    <row r="19387" spans="11:14" x14ac:dyDescent="0.3">
      <c r="K19387" s="1">
        <v>43647</v>
      </c>
      <c r="M19387" t="e">
        <v>#N/A</v>
      </c>
      <c r="N19387" s="1">
        <v>43191</v>
      </c>
    </row>
    <row r="19388" spans="11:14" x14ac:dyDescent="0.3">
      <c r="K19388" s="1">
        <v>43647</v>
      </c>
      <c r="M19388" t="e">
        <v>#N/A</v>
      </c>
      <c r="N19388" s="1">
        <v>43191</v>
      </c>
    </row>
    <row r="19389" spans="11:14" x14ac:dyDescent="0.3">
      <c r="K19389" s="1">
        <v>43647</v>
      </c>
      <c r="M19389" t="e">
        <v>#N/A</v>
      </c>
      <c r="N19389" s="1">
        <v>43191</v>
      </c>
    </row>
    <row r="19390" spans="11:14" x14ac:dyDescent="0.3">
      <c r="K19390" s="1">
        <v>43647</v>
      </c>
      <c r="M19390" t="e">
        <v>#N/A</v>
      </c>
      <c r="N19390" s="1">
        <v>43191</v>
      </c>
    </row>
    <row r="19391" spans="11:14" x14ac:dyDescent="0.3">
      <c r="K19391" s="1">
        <v>43647</v>
      </c>
      <c r="M19391" t="e">
        <v>#N/A</v>
      </c>
      <c r="N19391" s="1">
        <v>43191</v>
      </c>
    </row>
    <row r="19392" spans="11:14" x14ac:dyDescent="0.3">
      <c r="K19392" s="1">
        <v>43647</v>
      </c>
      <c r="M19392" t="e">
        <v>#N/A</v>
      </c>
      <c r="N19392" s="1">
        <v>43191</v>
      </c>
    </row>
    <row r="19393" spans="11:14" x14ac:dyDescent="0.3">
      <c r="K19393" s="1">
        <v>43647</v>
      </c>
      <c r="M19393" t="e">
        <v>#N/A</v>
      </c>
      <c r="N19393" s="1">
        <v>43191</v>
      </c>
    </row>
    <row r="19394" spans="11:14" x14ac:dyDescent="0.3">
      <c r="K19394" s="1">
        <v>43647</v>
      </c>
      <c r="M19394" t="e">
        <v>#N/A</v>
      </c>
      <c r="N19394" s="1">
        <v>43191</v>
      </c>
    </row>
    <row r="19395" spans="11:14" x14ac:dyDescent="0.3">
      <c r="K19395" s="1">
        <v>43647</v>
      </c>
      <c r="M19395" t="e">
        <v>#N/A</v>
      </c>
      <c r="N19395" s="1">
        <v>43191</v>
      </c>
    </row>
    <row r="19396" spans="11:14" x14ac:dyDescent="0.3">
      <c r="K19396" s="1">
        <v>43647</v>
      </c>
      <c r="M19396" t="e">
        <v>#N/A</v>
      </c>
      <c r="N19396" s="1">
        <v>43191</v>
      </c>
    </row>
    <row r="19397" spans="11:14" x14ac:dyDescent="0.3">
      <c r="K19397" s="1">
        <v>43647</v>
      </c>
      <c r="M19397" t="e">
        <v>#N/A</v>
      </c>
      <c r="N19397" s="1">
        <v>43191</v>
      </c>
    </row>
    <row r="19398" spans="11:14" x14ac:dyDescent="0.3">
      <c r="K19398" s="1">
        <v>43647</v>
      </c>
      <c r="M19398" t="e">
        <v>#N/A</v>
      </c>
      <c r="N19398" s="1">
        <v>43191</v>
      </c>
    </row>
    <row r="19399" spans="11:14" x14ac:dyDescent="0.3">
      <c r="K19399" s="1">
        <v>43647</v>
      </c>
      <c r="M19399" t="e">
        <v>#N/A</v>
      </c>
      <c r="N19399" s="1">
        <v>43191</v>
      </c>
    </row>
    <row r="19400" spans="11:14" x14ac:dyDescent="0.3">
      <c r="K19400" s="1">
        <v>43647</v>
      </c>
      <c r="M19400" t="e">
        <v>#N/A</v>
      </c>
      <c r="N19400" s="1">
        <v>43191</v>
      </c>
    </row>
    <row r="19401" spans="11:14" x14ac:dyDescent="0.3">
      <c r="K19401" s="1">
        <v>43647</v>
      </c>
      <c r="M19401" t="e">
        <v>#N/A</v>
      </c>
      <c r="N19401" s="1">
        <v>43191</v>
      </c>
    </row>
    <row r="19402" spans="11:14" x14ac:dyDescent="0.3">
      <c r="K19402" s="1">
        <v>43647</v>
      </c>
      <c r="M19402" t="e">
        <v>#N/A</v>
      </c>
      <c r="N19402" s="1">
        <v>43191</v>
      </c>
    </row>
    <row r="19403" spans="11:14" x14ac:dyDescent="0.3">
      <c r="K19403" s="1">
        <v>43647</v>
      </c>
      <c r="M19403" t="e">
        <v>#N/A</v>
      </c>
      <c r="N19403" s="1">
        <v>43191</v>
      </c>
    </row>
    <row r="19404" spans="11:14" x14ac:dyDescent="0.3">
      <c r="K19404" s="1">
        <v>43647</v>
      </c>
      <c r="M19404" t="e">
        <v>#N/A</v>
      </c>
      <c r="N19404" s="1">
        <v>43191</v>
      </c>
    </row>
    <row r="19405" spans="11:14" x14ac:dyDescent="0.3">
      <c r="K19405" s="1">
        <v>43647</v>
      </c>
      <c r="M19405" t="e">
        <v>#N/A</v>
      </c>
      <c r="N19405" s="1">
        <v>43191</v>
      </c>
    </row>
    <row r="19406" spans="11:14" x14ac:dyDescent="0.3">
      <c r="K19406" s="1">
        <v>43647</v>
      </c>
      <c r="M19406" t="e">
        <v>#N/A</v>
      </c>
      <c r="N19406" s="1">
        <v>43191</v>
      </c>
    </row>
    <row r="19407" spans="11:14" x14ac:dyDescent="0.3">
      <c r="K19407" s="1">
        <v>43647</v>
      </c>
      <c r="M19407" t="e">
        <v>#N/A</v>
      </c>
      <c r="N19407" s="1">
        <v>43191</v>
      </c>
    </row>
    <row r="19408" spans="11:14" x14ac:dyDescent="0.3">
      <c r="K19408" s="1">
        <v>43647</v>
      </c>
      <c r="M19408" t="e">
        <v>#N/A</v>
      </c>
      <c r="N19408" s="1">
        <v>43191</v>
      </c>
    </row>
    <row r="19409" spans="11:14" x14ac:dyDescent="0.3">
      <c r="K19409" s="1">
        <v>43647</v>
      </c>
      <c r="M19409" t="e">
        <v>#N/A</v>
      </c>
      <c r="N19409" s="1">
        <v>43191</v>
      </c>
    </row>
    <row r="19410" spans="11:14" x14ac:dyDescent="0.3">
      <c r="K19410" s="1">
        <v>43647</v>
      </c>
      <c r="M19410" t="e">
        <v>#N/A</v>
      </c>
      <c r="N19410" s="1">
        <v>43191</v>
      </c>
    </row>
    <row r="19411" spans="11:14" x14ac:dyDescent="0.3">
      <c r="K19411" s="1">
        <v>43647</v>
      </c>
      <c r="M19411" t="e">
        <v>#N/A</v>
      </c>
      <c r="N19411" s="1">
        <v>43191</v>
      </c>
    </row>
    <row r="19412" spans="11:14" x14ac:dyDescent="0.3">
      <c r="K19412" s="1">
        <v>43647</v>
      </c>
      <c r="M19412" t="e">
        <v>#N/A</v>
      </c>
      <c r="N19412" s="1">
        <v>43191</v>
      </c>
    </row>
    <row r="19413" spans="11:14" x14ac:dyDescent="0.3">
      <c r="K19413" s="1">
        <v>43647</v>
      </c>
      <c r="M19413" t="e">
        <v>#N/A</v>
      </c>
      <c r="N19413" s="1">
        <v>43191</v>
      </c>
    </row>
    <row r="19414" spans="11:14" x14ac:dyDescent="0.3">
      <c r="K19414" s="1">
        <v>43647</v>
      </c>
      <c r="M19414" t="e">
        <v>#N/A</v>
      </c>
      <c r="N19414" s="1">
        <v>43191</v>
      </c>
    </row>
    <row r="19415" spans="11:14" x14ac:dyDescent="0.3">
      <c r="K19415" s="1">
        <v>43647</v>
      </c>
      <c r="M19415" t="e">
        <v>#N/A</v>
      </c>
      <c r="N19415" s="1">
        <v>43191</v>
      </c>
    </row>
    <row r="19416" spans="11:14" x14ac:dyDescent="0.3">
      <c r="K19416" s="1">
        <v>43647</v>
      </c>
      <c r="M19416" t="e">
        <v>#N/A</v>
      </c>
      <c r="N19416" s="1">
        <v>43191</v>
      </c>
    </row>
    <row r="19417" spans="11:14" x14ac:dyDescent="0.3">
      <c r="K19417" s="1">
        <v>43647</v>
      </c>
      <c r="M19417" t="e">
        <v>#N/A</v>
      </c>
      <c r="N19417" s="1">
        <v>43191</v>
      </c>
    </row>
    <row r="19418" spans="11:14" x14ac:dyDescent="0.3">
      <c r="K19418" s="1">
        <v>43647</v>
      </c>
      <c r="M19418" t="e">
        <v>#N/A</v>
      </c>
      <c r="N19418" s="1">
        <v>43191</v>
      </c>
    </row>
    <row r="19419" spans="11:14" x14ac:dyDescent="0.3">
      <c r="K19419" s="1">
        <v>43647</v>
      </c>
      <c r="M19419" t="e">
        <v>#N/A</v>
      </c>
      <c r="N19419" s="1">
        <v>43191</v>
      </c>
    </row>
    <row r="19420" spans="11:14" x14ac:dyDescent="0.3">
      <c r="K19420" s="1">
        <v>43647</v>
      </c>
      <c r="M19420" t="e">
        <v>#N/A</v>
      </c>
      <c r="N19420" s="1">
        <v>43191</v>
      </c>
    </row>
    <row r="19421" spans="11:14" x14ac:dyDescent="0.3">
      <c r="K19421" s="1">
        <v>43647</v>
      </c>
      <c r="M19421" t="e">
        <v>#N/A</v>
      </c>
      <c r="N19421" s="1">
        <v>43191</v>
      </c>
    </row>
    <row r="19422" spans="11:14" x14ac:dyDescent="0.3">
      <c r="K19422" s="1">
        <v>43647</v>
      </c>
      <c r="M19422" t="e">
        <v>#N/A</v>
      </c>
      <c r="N19422" s="1">
        <v>43191</v>
      </c>
    </row>
    <row r="19423" spans="11:14" x14ac:dyDescent="0.3">
      <c r="K19423" s="1">
        <v>43647</v>
      </c>
      <c r="M19423" t="e">
        <v>#N/A</v>
      </c>
      <c r="N19423" s="1">
        <v>43191</v>
      </c>
    </row>
    <row r="19424" spans="11:14" x14ac:dyDescent="0.3">
      <c r="K19424" s="1">
        <v>43647</v>
      </c>
      <c r="M19424" t="e">
        <v>#N/A</v>
      </c>
      <c r="N19424" s="1">
        <v>43191</v>
      </c>
    </row>
    <row r="19425" spans="11:14" x14ac:dyDescent="0.3">
      <c r="K19425" s="1">
        <v>43647</v>
      </c>
      <c r="M19425" t="e">
        <v>#N/A</v>
      </c>
      <c r="N19425" s="1">
        <v>43282</v>
      </c>
    </row>
    <row r="19426" spans="11:14" x14ac:dyDescent="0.3">
      <c r="K19426" s="1">
        <v>43647</v>
      </c>
      <c r="M19426" t="e">
        <v>#N/A</v>
      </c>
      <c r="N19426" s="1">
        <v>43282</v>
      </c>
    </row>
    <row r="19427" spans="11:14" x14ac:dyDescent="0.3">
      <c r="K19427" s="1">
        <v>43647</v>
      </c>
      <c r="M19427" t="e">
        <v>#N/A</v>
      </c>
      <c r="N19427" s="1">
        <v>43282</v>
      </c>
    </row>
    <row r="19428" spans="11:14" x14ac:dyDescent="0.3">
      <c r="K19428" s="1">
        <v>43647</v>
      </c>
      <c r="M19428" t="e">
        <v>#N/A</v>
      </c>
      <c r="N19428" s="1">
        <v>43282</v>
      </c>
    </row>
    <row r="19429" spans="11:14" x14ac:dyDescent="0.3">
      <c r="K19429" s="1">
        <v>43647</v>
      </c>
      <c r="M19429" t="e">
        <v>#N/A</v>
      </c>
      <c r="N19429" s="1">
        <v>43282</v>
      </c>
    </row>
    <row r="19430" spans="11:14" x14ac:dyDescent="0.3">
      <c r="K19430" s="1">
        <v>43647</v>
      </c>
      <c r="M19430" t="e">
        <v>#N/A</v>
      </c>
      <c r="N19430" s="1">
        <v>43282</v>
      </c>
    </row>
    <row r="19431" spans="11:14" x14ac:dyDescent="0.3">
      <c r="K19431" s="1">
        <v>43647</v>
      </c>
      <c r="M19431" t="e">
        <v>#N/A</v>
      </c>
      <c r="N19431" s="1">
        <v>43282</v>
      </c>
    </row>
    <row r="19432" spans="11:14" x14ac:dyDescent="0.3">
      <c r="K19432" s="1">
        <v>43647</v>
      </c>
      <c r="M19432" t="e">
        <v>#N/A</v>
      </c>
      <c r="N19432" s="1">
        <v>43282</v>
      </c>
    </row>
    <row r="19433" spans="11:14" x14ac:dyDescent="0.3">
      <c r="K19433" s="1">
        <v>43647</v>
      </c>
      <c r="M19433" t="e">
        <v>#N/A</v>
      </c>
      <c r="N19433" s="1">
        <v>43282</v>
      </c>
    </row>
    <row r="19434" spans="11:14" x14ac:dyDescent="0.3">
      <c r="K19434" s="1">
        <v>43647</v>
      </c>
      <c r="M19434" t="e">
        <v>#N/A</v>
      </c>
      <c r="N19434" s="1">
        <v>43282</v>
      </c>
    </row>
    <row r="19435" spans="11:14" x14ac:dyDescent="0.3">
      <c r="K19435" s="1">
        <v>43647</v>
      </c>
      <c r="M19435" t="e">
        <v>#N/A</v>
      </c>
      <c r="N19435" s="1">
        <v>43282</v>
      </c>
    </row>
    <row r="19436" spans="11:14" x14ac:dyDescent="0.3">
      <c r="K19436" s="1">
        <v>43647</v>
      </c>
      <c r="M19436" t="e">
        <v>#N/A</v>
      </c>
      <c r="N19436" s="1">
        <v>43282</v>
      </c>
    </row>
    <row r="19437" spans="11:14" x14ac:dyDescent="0.3">
      <c r="K19437" s="1">
        <v>43647</v>
      </c>
      <c r="M19437" t="e">
        <v>#N/A</v>
      </c>
      <c r="N19437" s="1">
        <v>43282</v>
      </c>
    </row>
    <row r="19438" spans="11:14" x14ac:dyDescent="0.3">
      <c r="K19438" s="1">
        <v>43647</v>
      </c>
      <c r="M19438" t="e">
        <v>#N/A</v>
      </c>
      <c r="N19438" s="1">
        <v>43282</v>
      </c>
    </row>
    <row r="19439" spans="11:14" x14ac:dyDescent="0.3">
      <c r="K19439" s="1">
        <v>43647</v>
      </c>
      <c r="M19439" t="e">
        <v>#N/A</v>
      </c>
      <c r="N19439" s="1">
        <v>43282</v>
      </c>
    </row>
    <row r="19440" spans="11:14" x14ac:dyDescent="0.3">
      <c r="K19440" s="1">
        <v>43647</v>
      </c>
      <c r="M19440" t="e">
        <v>#N/A</v>
      </c>
      <c r="N19440" s="1">
        <v>43282</v>
      </c>
    </row>
    <row r="19441" spans="11:14" x14ac:dyDescent="0.3">
      <c r="K19441" s="1">
        <v>43647</v>
      </c>
      <c r="M19441" t="e">
        <v>#N/A</v>
      </c>
      <c r="N19441" s="1">
        <v>43282</v>
      </c>
    </row>
    <row r="19442" spans="11:14" x14ac:dyDescent="0.3">
      <c r="K19442" s="1">
        <v>43647</v>
      </c>
      <c r="M19442" t="e">
        <v>#N/A</v>
      </c>
      <c r="N19442" s="1">
        <v>43282</v>
      </c>
    </row>
    <row r="19443" spans="11:14" x14ac:dyDescent="0.3">
      <c r="K19443" s="1">
        <v>43647</v>
      </c>
      <c r="M19443" t="e">
        <v>#N/A</v>
      </c>
      <c r="N19443" s="1">
        <v>43282</v>
      </c>
    </row>
    <row r="19444" spans="11:14" x14ac:dyDescent="0.3">
      <c r="K19444" s="1">
        <v>43647</v>
      </c>
      <c r="M19444" t="e">
        <v>#N/A</v>
      </c>
      <c r="N19444" s="1">
        <v>43282</v>
      </c>
    </row>
    <row r="19445" spans="11:14" x14ac:dyDescent="0.3">
      <c r="K19445" s="1">
        <v>43647</v>
      </c>
      <c r="M19445" t="e">
        <v>#N/A</v>
      </c>
      <c r="N19445" s="1">
        <v>43282</v>
      </c>
    </row>
    <row r="19446" spans="11:14" x14ac:dyDescent="0.3">
      <c r="K19446" s="1">
        <v>43647</v>
      </c>
      <c r="M19446" t="e">
        <v>#N/A</v>
      </c>
      <c r="N19446" s="1">
        <v>43282</v>
      </c>
    </row>
    <row r="19447" spans="11:14" x14ac:dyDescent="0.3">
      <c r="K19447" s="1">
        <v>43647</v>
      </c>
      <c r="M19447" t="e">
        <v>#N/A</v>
      </c>
      <c r="N19447" s="1">
        <v>43282</v>
      </c>
    </row>
    <row r="19448" spans="11:14" x14ac:dyDescent="0.3">
      <c r="K19448" s="1">
        <v>43647</v>
      </c>
      <c r="M19448" t="e">
        <v>#N/A</v>
      </c>
      <c r="N19448" s="1">
        <v>43282</v>
      </c>
    </row>
    <row r="19449" spans="11:14" x14ac:dyDescent="0.3">
      <c r="K19449" s="1">
        <v>43647</v>
      </c>
      <c r="M19449" t="e">
        <v>#N/A</v>
      </c>
      <c r="N19449" s="1">
        <v>43282</v>
      </c>
    </row>
    <row r="19450" spans="11:14" x14ac:dyDescent="0.3">
      <c r="K19450" s="1">
        <v>43647</v>
      </c>
      <c r="M19450" t="e">
        <v>#N/A</v>
      </c>
      <c r="N19450" s="1">
        <v>43282</v>
      </c>
    </row>
    <row r="19451" spans="11:14" x14ac:dyDescent="0.3">
      <c r="K19451" s="1">
        <v>43647</v>
      </c>
      <c r="M19451" t="e">
        <v>#N/A</v>
      </c>
      <c r="N19451" s="1">
        <v>43282</v>
      </c>
    </row>
    <row r="19452" spans="11:14" x14ac:dyDescent="0.3">
      <c r="K19452" s="1">
        <v>43647</v>
      </c>
      <c r="M19452" t="e">
        <v>#N/A</v>
      </c>
      <c r="N19452" s="1">
        <v>43282</v>
      </c>
    </row>
    <row r="19453" spans="11:14" x14ac:dyDescent="0.3">
      <c r="K19453" s="1">
        <v>43647</v>
      </c>
      <c r="M19453" t="e">
        <v>#N/A</v>
      </c>
      <c r="N19453" s="1">
        <v>43282</v>
      </c>
    </row>
    <row r="19454" spans="11:14" x14ac:dyDescent="0.3">
      <c r="K19454" s="1">
        <v>43647</v>
      </c>
      <c r="M19454" t="e">
        <v>#N/A</v>
      </c>
      <c r="N19454" s="1">
        <v>43282</v>
      </c>
    </row>
    <row r="19455" spans="11:14" x14ac:dyDescent="0.3">
      <c r="K19455" s="1">
        <v>43647</v>
      </c>
      <c r="M19455" t="e">
        <v>#N/A</v>
      </c>
      <c r="N19455" s="1">
        <v>43282</v>
      </c>
    </row>
    <row r="19456" spans="11:14" x14ac:dyDescent="0.3">
      <c r="K19456" s="1">
        <v>43647</v>
      </c>
      <c r="M19456" t="e">
        <v>#N/A</v>
      </c>
      <c r="N19456" s="1">
        <v>43282</v>
      </c>
    </row>
    <row r="19457" spans="11:14" x14ac:dyDescent="0.3">
      <c r="K19457" s="1">
        <v>43647</v>
      </c>
      <c r="M19457" t="e">
        <v>#N/A</v>
      </c>
      <c r="N19457" s="1">
        <v>43282</v>
      </c>
    </row>
    <row r="19458" spans="11:14" x14ac:dyDescent="0.3">
      <c r="K19458" s="1">
        <v>43647</v>
      </c>
      <c r="M19458" t="e">
        <v>#N/A</v>
      </c>
      <c r="N19458" s="1">
        <v>43282</v>
      </c>
    </row>
    <row r="19459" spans="11:14" x14ac:dyDescent="0.3">
      <c r="K19459" s="1">
        <v>43647</v>
      </c>
      <c r="M19459" t="e">
        <v>#N/A</v>
      </c>
      <c r="N19459" s="1">
        <v>43282</v>
      </c>
    </row>
    <row r="19460" spans="11:14" x14ac:dyDescent="0.3">
      <c r="K19460" s="1">
        <v>43647</v>
      </c>
      <c r="M19460" t="e">
        <v>#N/A</v>
      </c>
      <c r="N19460" s="1">
        <v>43282</v>
      </c>
    </row>
    <row r="19461" spans="11:14" x14ac:dyDescent="0.3">
      <c r="K19461" s="1">
        <v>43647</v>
      </c>
      <c r="M19461" t="e">
        <v>#N/A</v>
      </c>
      <c r="N19461" s="1">
        <v>43282</v>
      </c>
    </row>
    <row r="19462" spans="11:14" x14ac:dyDescent="0.3">
      <c r="K19462" s="1">
        <v>43647</v>
      </c>
      <c r="M19462" t="e">
        <v>#N/A</v>
      </c>
      <c r="N19462" s="1">
        <v>43282</v>
      </c>
    </row>
    <row r="19463" spans="11:14" x14ac:dyDescent="0.3">
      <c r="K19463" s="1">
        <v>43647</v>
      </c>
      <c r="M19463" t="e">
        <v>#N/A</v>
      </c>
      <c r="N19463" s="1">
        <v>43282</v>
      </c>
    </row>
    <row r="19464" spans="11:14" x14ac:dyDescent="0.3">
      <c r="K19464" s="1">
        <v>43647</v>
      </c>
      <c r="M19464" t="e">
        <v>#N/A</v>
      </c>
      <c r="N19464" s="1">
        <v>43282</v>
      </c>
    </row>
    <row r="19465" spans="11:14" x14ac:dyDescent="0.3">
      <c r="K19465" s="1">
        <v>43647</v>
      </c>
      <c r="M19465" t="e">
        <v>#N/A</v>
      </c>
      <c r="N19465" s="1">
        <v>43282</v>
      </c>
    </row>
    <row r="19466" spans="11:14" x14ac:dyDescent="0.3">
      <c r="K19466" s="1">
        <v>43647</v>
      </c>
      <c r="M19466" t="e">
        <v>#N/A</v>
      </c>
      <c r="N19466" s="1">
        <v>43282</v>
      </c>
    </row>
    <row r="19467" spans="11:14" x14ac:dyDescent="0.3">
      <c r="K19467" s="1">
        <v>43647</v>
      </c>
      <c r="M19467" t="e">
        <v>#N/A</v>
      </c>
      <c r="N19467" s="1">
        <v>43282</v>
      </c>
    </row>
    <row r="19468" spans="11:14" x14ac:dyDescent="0.3">
      <c r="K19468" s="1">
        <v>43647</v>
      </c>
      <c r="M19468" t="e">
        <v>#N/A</v>
      </c>
      <c r="N19468" s="1">
        <v>43282</v>
      </c>
    </row>
    <row r="19469" spans="11:14" x14ac:dyDescent="0.3">
      <c r="K19469" s="1">
        <v>43647</v>
      </c>
      <c r="M19469" t="e">
        <v>#N/A</v>
      </c>
      <c r="N19469" s="1">
        <v>43282</v>
      </c>
    </row>
    <row r="19470" spans="11:14" x14ac:dyDescent="0.3">
      <c r="K19470" s="1">
        <v>43647</v>
      </c>
      <c r="M19470" t="e">
        <v>#N/A</v>
      </c>
      <c r="N19470" s="1">
        <v>43282</v>
      </c>
    </row>
    <row r="19471" spans="11:14" x14ac:dyDescent="0.3">
      <c r="K19471" s="1">
        <v>43647</v>
      </c>
      <c r="M19471" t="e">
        <v>#N/A</v>
      </c>
      <c r="N19471" s="1">
        <v>43282</v>
      </c>
    </row>
    <row r="19472" spans="11:14" x14ac:dyDescent="0.3">
      <c r="K19472" s="1">
        <v>43647</v>
      </c>
      <c r="M19472" t="e">
        <v>#N/A</v>
      </c>
      <c r="N19472" s="1">
        <v>43282</v>
      </c>
    </row>
    <row r="19473" spans="11:14" x14ac:dyDescent="0.3">
      <c r="K19473" s="1">
        <v>43647</v>
      </c>
      <c r="M19473" t="e">
        <v>#N/A</v>
      </c>
      <c r="N19473" s="1">
        <v>43282</v>
      </c>
    </row>
    <row r="19474" spans="11:14" x14ac:dyDescent="0.3">
      <c r="K19474" s="1">
        <v>43647</v>
      </c>
      <c r="M19474" t="e">
        <v>#N/A</v>
      </c>
      <c r="N19474" s="1">
        <v>43282</v>
      </c>
    </row>
    <row r="19475" spans="11:14" x14ac:dyDescent="0.3">
      <c r="K19475" s="1">
        <v>43647</v>
      </c>
      <c r="M19475" t="e">
        <v>#N/A</v>
      </c>
      <c r="N19475" s="1">
        <v>43282</v>
      </c>
    </row>
    <row r="19476" spans="11:14" x14ac:dyDescent="0.3">
      <c r="K19476" s="1">
        <v>43647</v>
      </c>
      <c r="M19476" t="e">
        <v>#N/A</v>
      </c>
      <c r="N19476" s="1">
        <v>43282</v>
      </c>
    </row>
    <row r="19477" spans="11:14" x14ac:dyDescent="0.3">
      <c r="K19477" s="1">
        <v>43647</v>
      </c>
      <c r="M19477" t="e">
        <v>#N/A</v>
      </c>
      <c r="N19477" s="1">
        <v>43282</v>
      </c>
    </row>
    <row r="19478" spans="11:14" x14ac:dyDescent="0.3">
      <c r="K19478" s="1">
        <v>43647</v>
      </c>
      <c r="M19478" t="e">
        <v>#N/A</v>
      </c>
      <c r="N19478" s="1">
        <v>43282</v>
      </c>
    </row>
    <row r="19479" spans="11:14" x14ac:dyDescent="0.3">
      <c r="K19479" s="1">
        <v>43647</v>
      </c>
      <c r="M19479" t="e">
        <v>#N/A</v>
      </c>
      <c r="N19479" s="1">
        <v>43282</v>
      </c>
    </row>
    <row r="19480" spans="11:14" x14ac:dyDescent="0.3">
      <c r="K19480" s="1">
        <v>43647</v>
      </c>
      <c r="M19480" t="e">
        <v>#N/A</v>
      </c>
      <c r="N19480" s="1">
        <v>43282</v>
      </c>
    </row>
    <row r="19481" spans="11:14" x14ac:dyDescent="0.3">
      <c r="K19481" s="1">
        <v>43647</v>
      </c>
      <c r="M19481" t="e">
        <v>#N/A</v>
      </c>
      <c r="N19481" s="1">
        <v>43282</v>
      </c>
    </row>
    <row r="19482" spans="11:14" x14ac:dyDescent="0.3">
      <c r="K19482" s="1">
        <v>43647</v>
      </c>
      <c r="M19482" t="e">
        <v>#N/A</v>
      </c>
      <c r="N19482" s="1">
        <v>43282</v>
      </c>
    </row>
    <row r="19483" spans="11:14" x14ac:dyDescent="0.3">
      <c r="K19483" s="1">
        <v>43647</v>
      </c>
      <c r="M19483" t="e">
        <v>#N/A</v>
      </c>
      <c r="N19483" s="1">
        <v>43282</v>
      </c>
    </row>
    <row r="19484" spans="11:14" x14ac:dyDescent="0.3">
      <c r="K19484" s="1">
        <v>43647</v>
      </c>
      <c r="M19484" t="e">
        <v>#N/A</v>
      </c>
      <c r="N19484" s="1">
        <v>43282</v>
      </c>
    </row>
    <row r="19485" spans="11:14" x14ac:dyDescent="0.3">
      <c r="K19485" s="1">
        <v>43647</v>
      </c>
      <c r="M19485" t="e">
        <v>#N/A</v>
      </c>
      <c r="N19485" s="1">
        <v>43282</v>
      </c>
    </row>
    <row r="19486" spans="11:14" x14ac:dyDescent="0.3">
      <c r="K19486" s="1">
        <v>43647</v>
      </c>
      <c r="M19486" t="e">
        <v>#N/A</v>
      </c>
      <c r="N19486" s="1">
        <v>43282</v>
      </c>
    </row>
    <row r="19487" spans="11:14" x14ac:dyDescent="0.3">
      <c r="K19487" s="1">
        <v>43647</v>
      </c>
      <c r="M19487" t="e">
        <v>#N/A</v>
      </c>
      <c r="N19487" s="1">
        <v>43282</v>
      </c>
    </row>
    <row r="19488" spans="11:14" x14ac:dyDescent="0.3">
      <c r="K19488" s="1">
        <v>43647</v>
      </c>
      <c r="M19488" t="e">
        <v>#N/A</v>
      </c>
      <c r="N19488" s="1">
        <v>43282</v>
      </c>
    </row>
    <row r="19489" spans="11:14" x14ac:dyDescent="0.3">
      <c r="K19489" s="1">
        <v>43647</v>
      </c>
      <c r="M19489" t="e">
        <v>#N/A</v>
      </c>
      <c r="N19489" s="1">
        <v>43282</v>
      </c>
    </row>
    <row r="19490" spans="11:14" x14ac:dyDescent="0.3">
      <c r="K19490" s="1">
        <v>43647</v>
      </c>
      <c r="M19490" t="e">
        <v>#N/A</v>
      </c>
      <c r="N19490" s="1">
        <v>43282</v>
      </c>
    </row>
    <row r="19491" spans="11:14" x14ac:dyDescent="0.3">
      <c r="K19491" s="1">
        <v>43647</v>
      </c>
      <c r="M19491" t="e">
        <v>#N/A</v>
      </c>
      <c r="N19491" s="1">
        <v>43282</v>
      </c>
    </row>
    <row r="19492" spans="11:14" x14ac:dyDescent="0.3">
      <c r="K19492" s="1">
        <v>43647</v>
      </c>
      <c r="M19492" t="e">
        <v>#N/A</v>
      </c>
      <c r="N19492" s="1">
        <v>43282</v>
      </c>
    </row>
    <row r="19493" spans="11:14" x14ac:dyDescent="0.3">
      <c r="K19493" s="1">
        <v>43647</v>
      </c>
      <c r="M19493" t="e">
        <v>#N/A</v>
      </c>
      <c r="N19493" s="1">
        <v>43282</v>
      </c>
    </row>
    <row r="19494" spans="11:14" x14ac:dyDescent="0.3">
      <c r="K19494" s="1">
        <v>43647</v>
      </c>
      <c r="M19494" t="e">
        <v>#N/A</v>
      </c>
      <c r="N19494" s="1">
        <v>43282</v>
      </c>
    </row>
    <row r="19495" spans="11:14" x14ac:dyDescent="0.3">
      <c r="K19495" s="1">
        <v>43647</v>
      </c>
      <c r="M19495" t="e">
        <v>#N/A</v>
      </c>
      <c r="N19495" s="1">
        <v>43282</v>
      </c>
    </row>
    <row r="19496" spans="11:14" x14ac:dyDescent="0.3">
      <c r="K19496" s="1">
        <v>43647</v>
      </c>
      <c r="M19496" t="e">
        <v>#N/A</v>
      </c>
      <c r="N19496" s="1">
        <v>43282</v>
      </c>
    </row>
    <row r="19497" spans="11:14" x14ac:dyDescent="0.3">
      <c r="K19497" s="1">
        <v>43647</v>
      </c>
      <c r="M19497" t="e">
        <v>#N/A</v>
      </c>
      <c r="N19497" s="1">
        <v>43282</v>
      </c>
    </row>
    <row r="19498" spans="11:14" x14ac:dyDescent="0.3">
      <c r="K19498" s="1">
        <v>43647</v>
      </c>
      <c r="M19498" t="e">
        <v>#N/A</v>
      </c>
      <c r="N19498" s="1">
        <v>43282</v>
      </c>
    </row>
    <row r="19499" spans="11:14" x14ac:dyDescent="0.3">
      <c r="K19499" s="1">
        <v>43647</v>
      </c>
      <c r="M19499" t="e">
        <v>#N/A</v>
      </c>
      <c r="N19499" s="1">
        <v>43282</v>
      </c>
    </row>
    <row r="19500" spans="11:14" x14ac:dyDescent="0.3">
      <c r="K19500" s="1">
        <v>43647</v>
      </c>
      <c r="M19500" t="e">
        <v>#N/A</v>
      </c>
      <c r="N19500" s="1">
        <v>43282</v>
      </c>
    </row>
    <row r="19501" spans="11:14" x14ac:dyDescent="0.3">
      <c r="K19501" s="1">
        <v>43647</v>
      </c>
      <c r="M19501" t="e">
        <v>#N/A</v>
      </c>
      <c r="N19501" s="1">
        <v>43282</v>
      </c>
    </row>
    <row r="19502" spans="11:14" x14ac:dyDescent="0.3">
      <c r="K19502" s="1">
        <v>43647</v>
      </c>
      <c r="M19502" t="e">
        <v>#N/A</v>
      </c>
      <c r="N19502" s="1">
        <v>43282</v>
      </c>
    </row>
    <row r="19503" spans="11:14" x14ac:dyDescent="0.3">
      <c r="K19503" s="1">
        <v>43647</v>
      </c>
      <c r="M19503" t="e">
        <v>#N/A</v>
      </c>
      <c r="N19503" s="1">
        <v>43282</v>
      </c>
    </row>
    <row r="19504" spans="11:14" x14ac:dyDescent="0.3">
      <c r="K19504" s="1">
        <v>43647</v>
      </c>
      <c r="M19504" t="e">
        <v>#N/A</v>
      </c>
      <c r="N19504" s="1">
        <v>43282</v>
      </c>
    </row>
    <row r="19505" spans="11:14" x14ac:dyDescent="0.3">
      <c r="K19505" s="1">
        <v>43647</v>
      </c>
      <c r="M19505" t="e">
        <v>#N/A</v>
      </c>
      <c r="N19505" s="1">
        <v>43282</v>
      </c>
    </row>
    <row r="19506" spans="11:14" x14ac:dyDescent="0.3">
      <c r="K19506" s="1">
        <v>43647</v>
      </c>
      <c r="M19506" t="e">
        <v>#N/A</v>
      </c>
      <c r="N19506" s="1">
        <v>43282</v>
      </c>
    </row>
    <row r="19507" spans="11:14" x14ac:dyDescent="0.3">
      <c r="K19507" s="1">
        <v>43647</v>
      </c>
      <c r="M19507" t="e">
        <v>#N/A</v>
      </c>
      <c r="N19507" s="1">
        <v>43282</v>
      </c>
    </row>
    <row r="19508" spans="11:14" x14ac:dyDescent="0.3">
      <c r="K19508" s="1">
        <v>43647</v>
      </c>
      <c r="M19508" t="e">
        <v>#N/A</v>
      </c>
      <c r="N19508" s="1">
        <v>43282</v>
      </c>
    </row>
    <row r="19509" spans="11:14" x14ac:dyDescent="0.3">
      <c r="K19509" s="1">
        <v>43647</v>
      </c>
      <c r="M19509" t="e">
        <v>#N/A</v>
      </c>
      <c r="N19509" s="1">
        <v>43282</v>
      </c>
    </row>
    <row r="19510" spans="11:14" x14ac:dyDescent="0.3">
      <c r="K19510" s="1">
        <v>43647</v>
      </c>
      <c r="M19510" t="e">
        <v>#N/A</v>
      </c>
      <c r="N19510" s="1">
        <v>43282</v>
      </c>
    </row>
    <row r="19511" spans="11:14" x14ac:dyDescent="0.3">
      <c r="K19511" s="1">
        <v>43647</v>
      </c>
      <c r="M19511" t="e">
        <v>#N/A</v>
      </c>
      <c r="N19511" s="1">
        <v>43282</v>
      </c>
    </row>
    <row r="19512" spans="11:14" x14ac:dyDescent="0.3">
      <c r="K19512" s="1">
        <v>43647</v>
      </c>
      <c r="M19512" t="e">
        <v>#N/A</v>
      </c>
      <c r="N19512" s="1">
        <v>43282</v>
      </c>
    </row>
    <row r="19513" spans="11:14" x14ac:dyDescent="0.3">
      <c r="K19513" s="1">
        <v>43647</v>
      </c>
      <c r="M19513" t="e">
        <v>#N/A</v>
      </c>
      <c r="N19513" s="1">
        <v>43282</v>
      </c>
    </row>
    <row r="19514" spans="11:14" x14ac:dyDescent="0.3">
      <c r="K19514" s="1">
        <v>43647</v>
      </c>
      <c r="M19514" t="e">
        <v>#N/A</v>
      </c>
      <c r="N19514" s="1">
        <v>43282</v>
      </c>
    </row>
    <row r="19515" spans="11:14" x14ac:dyDescent="0.3">
      <c r="K19515" s="1">
        <v>43647</v>
      </c>
      <c r="M19515" t="e">
        <v>#N/A</v>
      </c>
      <c r="N19515" s="1">
        <v>43282</v>
      </c>
    </row>
    <row r="19516" spans="11:14" x14ac:dyDescent="0.3">
      <c r="K19516" s="1">
        <v>43647</v>
      </c>
      <c r="M19516" t="e">
        <v>#N/A</v>
      </c>
      <c r="N19516" s="1">
        <v>43282</v>
      </c>
    </row>
    <row r="19517" spans="11:14" x14ac:dyDescent="0.3">
      <c r="K19517" s="1">
        <v>43647</v>
      </c>
      <c r="M19517" t="e">
        <v>#N/A</v>
      </c>
      <c r="N19517" s="1">
        <v>43282</v>
      </c>
    </row>
    <row r="19518" spans="11:14" x14ac:dyDescent="0.3">
      <c r="K19518" s="1">
        <v>43647</v>
      </c>
      <c r="M19518" t="e">
        <v>#N/A</v>
      </c>
      <c r="N19518" s="1">
        <v>43282</v>
      </c>
    </row>
    <row r="19519" spans="11:14" x14ac:dyDescent="0.3">
      <c r="K19519" s="1">
        <v>43647</v>
      </c>
      <c r="M19519" t="e">
        <v>#N/A</v>
      </c>
      <c r="N19519" s="1">
        <v>43282</v>
      </c>
    </row>
    <row r="19520" spans="11:14" x14ac:dyDescent="0.3">
      <c r="K19520" s="1">
        <v>43647</v>
      </c>
      <c r="M19520" t="e">
        <v>#N/A</v>
      </c>
      <c r="N19520" s="1">
        <v>43282</v>
      </c>
    </row>
    <row r="19521" spans="11:14" x14ac:dyDescent="0.3">
      <c r="K19521" s="1">
        <v>43647</v>
      </c>
      <c r="M19521" t="e">
        <v>#N/A</v>
      </c>
      <c r="N19521" s="1">
        <v>43282</v>
      </c>
    </row>
    <row r="19522" spans="11:14" x14ac:dyDescent="0.3">
      <c r="K19522" s="1">
        <v>43647</v>
      </c>
      <c r="M19522" t="e">
        <v>#N/A</v>
      </c>
      <c r="N19522" s="1">
        <v>43282</v>
      </c>
    </row>
    <row r="19523" spans="11:14" x14ac:dyDescent="0.3">
      <c r="K19523" s="1">
        <v>43647</v>
      </c>
      <c r="M19523" t="e">
        <v>#N/A</v>
      </c>
      <c r="N19523" s="1">
        <v>43282</v>
      </c>
    </row>
    <row r="19524" spans="11:14" x14ac:dyDescent="0.3">
      <c r="K19524" s="1">
        <v>43647</v>
      </c>
      <c r="M19524" t="e">
        <v>#N/A</v>
      </c>
      <c r="N19524" s="1">
        <v>43282</v>
      </c>
    </row>
    <row r="19525" spans="11:14" x14ac:dyDescent="0.3">
      <c r="K19525" s="1">
        <v>43647</v>
      </c>
      <c r="M19525" t="e">
        <v>#N/A</v>
      </c>
      <c r="N19525" s="1">
        <v>43282</v>
      </c>
    </row>
    <row r="19526" spans="11:14" x14ac:dyDescent="0.3">
      <c r="K19526" s="1">
        <v>43647</v>
      </c>
      <c r="M19526" t="e">
        <v>#N/A</v>
      </c>
      <c r="N19526" s="1">
        <v>43282</v>
      </c>
    </row>
    <row r="19527" spans="11:14" x14ac:dyDescent="0.3">
      <c r="K19527" s="1">
        <v>43647</v>
      </c>
      <c r="M19527" t="e">
        <v>#N/A</v>
      </c>
      <c r="N19527" s="1">
        <v>43282</v>
      </c>
    </row>
    <row r="19528" spans="11:14" x14ac:dyDescent="0.3">
      <c r="K19528" s="1">
        <v>43647</v>
      </c>
      <c r="M19528" t="e">
        <v>#N/A</v>
      </c>
      <c r="N19528" s="1">
        <v>43282</v>
      </c>
    </row>
    <row r="19529" spans="11:14" x14ac:dyDescent="0.3">
      <c r="K19529" s="1">
        <v>43647</v>
      </c>
      <c r="M19529" t="e">
        <v>#N/A</v>
      </c>
      <c r="N19529" s="1">
        <v>43282</v>
      </c>
    </row>
    <row r="19530" spans="11:14" x14ac:dyDescent="0.3">
      <c r="K19530" s="1">
        <v>43647</v>
      </c>
      <c r="M19530" t="e">
        <v>#N/A</v>
      </c>
      <c r="N19530" s="1">
        <v>43282</v>
      </c>
    </row>
    <row r="19531" spans="11:14" x14ac:dyDescent="0.3">
      <c r="K19531" s="1">
        <v>43647</v>
      </c>
      <c r="M19531" t="e">
        <v>#N/A</v>
      </c>
      <c r="N19531" s="1">
        <v>43282</v>
      </c>
    </row>
    <row r="19532" spans="11:14" x14ac:dyDescent="0.3">
      <c r="K19532" s="1">
        <v>43647</v>
      </c>
      <c r="M19532" t="e">
        <v>#N/A</v>
      </c>
      <c r="N19532" s="1">
        <v>43282</v>
      </c>
    </row>
    <row r="19533" spans="11:14" x14ac:dyDescent="0.3">
      <c r="K19533" s="1">
        <v>43647</v>
      </c>
      <c r="M19533" t="e">
        <v>#N/A</v>
      </c>
      <c r="N19533" s="1">
        <v>43282</v>
      </c>
    </row>
    <row r="19534" spans="11:14" x14ac:dyDescent="0.3">
      <c r="K19534" s="1">
        <v>43647</v>
      </c>
      <c r="M19534" t="e">
        <v>#N/A</v>
      </c>
      <c r="N19534" s="1">
        <v>43282</v>
      </c>
    </row>
    <row r="19535" spans="11:14" x14ac:dyDescent="0.3">
      <c r="K19535" s="1">
        <v>43647</v>
      </c>
      <c r="M19535" t="e">
        <v>#N/A</v>
      </c>
      <c r="N19535" s="1">
        <v>43282</v>
      </c>
    </row>
    <row r="19536" spans="11:14" x14ac:dyDescent="0.3">
      <c r="K19536" s="1">
        <v>43647</v>
      </c>
      <c r="M19536" t="e">
        <v>#N/A</v>
      </c>
      <c r="N19536" s="1">
        <v>43282</v>
      </c>
    </row>
    <row r="19537" spans="11:14" x14ac:dyDescent="0.3">
      <c r="K19537" s="1">
        <v>43647</v>
      </c>
      <c r="M19537" t="e">
        <v>#N/A</v>
      </c>
      <c r="N19537" s="1">
        <v>43282</v>
      </c>
    </row>
    <row r="19538" spans="11:14" x14ac:dyDescent="0.3">
      <c r="K19538" s="1">
        <v>43647</v>
      </c>
      <c r="M19538" t="e">
        <v>#N/A</v>
      </c>
      <c r="N19538" s="1">
        <v>43282</v>
      </c>
    </row>
    <row r="19539" spans="11:14" x14ac:dyDescent="0.3">
      <c r="K19539" s="1">
        <v>43647</v>
      </c>
      <c r="M19539" t="e">
        <v>#N/A</v>
      </c>
      <c r="N19539" s="1">
        <v>43282</v>
      </c>
    </row>
    <row r="19540" spans="11:14" x14ac:dyDescent="0.3">
      <c r="K19540" s="1">
        <v>43647</v>
      </c>
      <c r="M19540" t="e">
        <v>#N/A</v>
      </c>
      <c r="N19540" s="1">
        <v>43282</v>
      </c>
    </row>
    <row r="19541" spans="11:14" x14ac:dyDescent="0.3">
      <c r="K19541" s="1">
        <v>43647</v>
      </c>
      <c r="M19541" t="e">
        <v>#N/A</v>
      </c>
      <c r="N19541" s="1">
        <v>43282</v>
      </c>
    </row>
    <row r="19542" spans="11:14" x14ac:dyDescent="0.3">
      <c r="K19542" s="1">
        <v>43647</v>
      </c>
      <c r="M19542" t="e">
        <v>#N/A</v>
      </c>
      <c r="N19542" s="1">
        <v>43282</v>
      </c>
    </row>
    <row r="19543" spans="11:14" x14ac:dyDescent="0.3">
      <c r="K19543" s="1">
        <v>43647</v>
      </c>
      <c r="M19543" t="e">
        <v>#N/A</v>
      </c>
      <c r="N19543" s="1">
        <v>43282</v>
      </c>
    </row>
    <row r="19544" spans="11:14" x14ac:dyDescent="0.3">
      <c r="K19544" s="1">
        <v>43647</v>
      </c>
      <c r="M19544" t="e">
        <v>#N/A</v>
      </c>
      <c r="N19544" s="1">
        <v>43282</v>
      </c>
    </row>
    <row r="19545" spans="11:14" x14ac:dyDescent="0.3">
      <c r="K19545" s="1">
        <v>43647</v>
      </c>
      <c r="M19545" t="e">
        <v>#N/A</v>
      </c>
      <c r="N19545" s="1">
        <v>43282</v>
      </c>
    </row>
    <row r="19546" spans="11:14" x14ac:dyDescent="0.3">
      <c r="K19546" s="1">
        <v>43647</v>
      </c>
      <c r="M19546" t="e">
        <v>#N/A</v>
      </c>
      <c r="N19546" s="1">
        <v>43282</v>
      </c>
    </row>
    <row r="19547" spans="11:14" x14ac:dyDescent="0.3">
      <c r="K19547" s="1">
        <v>43647</v>
      </c>
      <c r="M19547" t="e">
        <v>#N/A</v>
      </c>
      <c r="N19547" s="1">
        <v>43282</v>
      </c>
    </row>
    <row r="19548" spans="11:14" x14ac:dyDescent="0.3">
      <c r="K19548" s="1">
        <v>43647</v>
      </c>
      <c r="M19548" t="e">
        <v>#N/A</v>
      </c>
      <c r="N19548" s="1">
        <v>43282</v>
      </c>
    </row>
    <row r="19549" spans="11:14" x14ac:dyDescent="0.3">
      <c r="K19549" s="1">
        <v>43647</v>
      </c>
      <c r="M19549" t="e">
        <v>#N/A</v>
      </c>
      <c r="N19549" s="1">
        <v>43282</v>
      </c>
    </row>
    <row r="19550" spans="11:14" x14ac:dyDescent="0.3">
      <c r="K19550" s="1">
        <v>43647</v>
      </c>
      <c r="M19550" t="e">
        <v>#N/A</v>
      </c>
      <c r="N19550" s="1">
        <v>43282</v>
      </c>
    </row>
    <row r="19551" spans="11:14" x14ac:dyDescent="0.3">
      <c r="K19551" s="1">
        <v>43647</v>
      </c>
      <c r="M19551" t="e">
        <v>#N/A</v>
      </c>
      <c r="N19551" s="1">
        <v>43282</v>
      </c>
    </row>
    <row r="19552" spans="11:14" x14ac:dyDescent="0.3">
      <c r="K19552" s="1">
        <v>43647</v>
      </c>
      <c r="M19552" t="e">
        <v>#N/A</v>
      </c>
      <c r="N19552" s="1">
        <v>43282</v>
      </c>
    </row>
    <row r="19553" spans="11:14" x14ac:dyDescent="0.3">
      <c r="K19553" s="1">
        <v>43647</v>
      </c>
      <c r="M19553" t="e">
        <v>#N/A</v>
      </c>
      <c r="N19553" s="1">
        <v>43282</v>
      </c>
    </row>
    <row r="19554" spans="11:14" x14ac:dyDescent="0.3">
      <c r="K19554" s="1">
        <v>43647</v>
      </c>
      <c r="M19554" t="e">
        <v>#N/A</v>
      </c>
      <c r="N19554" s="1">
        <v>43282</v>
      </c>
    </row>
    <row r="19555" spans="11:14" x14ac:dyDescent="0.3">
      <c r="K19555" s="1">
        <v>43647</v>
      </c>
      <c r="M19555" t="e">
        <v>#N/A</v>
      </c>
      <c r="N19555" s="1">
        <v>43282</v>
      </c>
    </row>
    <row r="19556" spans="11:14" x14ac:dyDescent="0.3">
      <c r="K19556" s="1">
        <v>43647</v>
      </c>
      <c r="M19556" t="e">
        <v>#N/A</v>
      </c>
      <c r="N19556" s="1">
        <v>43282</v>
      </c>
    </row>
    <row r="19557" spans="11:14" x14ac:dyDescent="0.3">
      <c r="K19557" s="1">
        <v>43647</v>
      </c>
      <c r="M19557" t="e">
        <v>#N/A</v>
      </c>
      <c r="N19557" s="1">
        <v>43282</v>
      </c>
    </row>
    <row r="19558" spans="11:14" x14ac:dyDescent="0.3">
      <c r="K19558" s="1">
        <v>43647</v>
      </c>
      <c r="M19558" t="e">
        <v>#N/A</v>
      </c>
      <c r="N19558" s="1">
        <v>43282</v>
      </c>
    </row>
    <row r="19559" spans="11:14" x14ac:dyDescent="0.3">
      <c r="K19559" s="1">
        <v>43647</v>
      </c>
      <c r="M19559" t="e">
        <v>#N/A</v>
      </c>
      <c r="N19559" s="1">
        <v>43282</v>
      </c>
    </row>
    <row r="19560" spans="11:14" x14ac:dyDescent="0.3">
      <c r="K19560" s="1">
        <v>43647</v>
      </c>
      <c r="M19560" t="e">
        <v>#N/A</v>
      </c>
      <c r="N19560" s="1">
        <v>43282</v>
      </c>
    </row>
    <row r="19561" spans="11:14" x14ac:dyDescent="0.3">
      <c r="K19561" s="1">
        <v>43647</v>
      </c>
      <c r="M19561" t="e">
        <v>#N/A</v>
      </c>
      <c r="N19561" s="1">
        <v>43282</v>
      </c>
    </row>
    <row r="19562" spans="11:14" x14ac:dyDescent="0.3">
      <c r="K19562" s="1">
        <v>43647</v>
      </c>
      <c r="M19562" t="e">
        <v>#N/A</v>
      </c>
      <c r="N19562" s="1">
        <v>43282</v>
      </c>
    </row>
    <row r="19563" spans="11:14" x14ac:dyDescent="0.3">
      <c r="K19563" s="1">
        <v>43647</v>
      </c>
      <c r="M19563" t="e">
        <v>#N/A</v>
      </c>
      <c r="N19563" s="1">
        <v>43282</v>
      </c>
    </row>
    <row r="19564" spans="11:14" x14ac:dyDescent="0.3">
      <c r="K19564" s="1">
        <v>43647</v>
      </c>
      <c r="M19564" t="e">
        <v>#N/A</v>
      </c>
      <c r="N19564" s="1">
        <v>43282</v>
      </c>
    </row>
    <row r="19565" spans="11:14" x14ac:dyDescent="0.3">
      <c r="K19565" s="1">
        <v>43647</v>
      </c>
      <c r="M19565" t="e">
        <v>#N/A</v>
      </c>
      <c r="N19565" s="1">
        <v>43282</v>
      </c>
    </row>
    <row r="19566" spans="11:14" x14ac:dyDescent="0.3">
      <c r="K19566" s="1">
        <v>43647</v>
      </c>
      <c r="M19566" t="e">
        <v>#N/A</v>
      </c>
      <c r="N19566" s="1">
        <v>43282</v>
      </c>
    </row>
    <row r="19567" spans="11:14" x14ac:dyDescent="0.3">
      <c r="K19567" s="1">
        <v>43647</v>
      </c>
      <c r="M19567" t="e">
        <v>#N/A</v>
      </c>
      <c r="N19567" s="1">
        <v>43282</v>
      </c>
    </row>
    <row r="19568" spans="11:14" x14ac:dyDescent="0.3">
      <c r="K19568" s="1">
        <v>43647</v>
      </c>
      <c r="M19568" t="e">
        <v>#N/A</v>
      </c>
      <c r="N19568" s="1">
        <v>43282</v>
      </c>
    </row>
    <row r="19569" spans="11:14" x14ac:dyDescent="0.3">
      <c r="K19569" s="1">
        <v>43647</v>
      </c>
      <c r="M19569" t="e">
        <v>#N/A</v>
      </c>
      <c r="N19569" s="1">
        <v>43282</v>
      </c>
    </row>
    <row r="19570" spans="11:14" x14ac:dyDescent="0.3">
      <c r="K19570" s="1">
        <v>43647</v>
      </c>
      <c r="M19570" t="e">
        <v>#N/A</v>
      </c>
      <c r="N19570" s="1">
        <v>43282</v>
      </c>
    </row>
    <row r="19571" spans="11:14" x14ac:dyDescent="0.3">
      <c r="K19571" s="1">
        <v>43647</v>
      </c>
      <c r="M19571" t="e">
        <v>#N/A</v>
      </c>
      <c r="N19571" s="1">
        <v>43282</v>
      </c>
    </row>
    <row r="19572" spans="11:14" x14ac:dyDescent="0.3">
      <c r="K19572" s="1">
        <v>43647</v>
      </c>
      <c r="M19572" t="e">
        <v>#N/A</v>
      </c>
      <c r="N19572" s="1">
        <v>43282</v>
      </c>
    </row>
    <row r="19573" spans="11:14" x14ac:dyDescent="0.3">
      <c r="K19573" s="1">
        <v>43647</v>
      </c>
      <c r="M19573" t="e">
        <v>#N/A</v>
      </c>
      <c r="N19573" s="1">
        <v>43282</v>
      </c>
    </row>
    <row r="19574" spans="11:14" x14ac:dyDescent="0.3">
      <c r="K19574" s="1">
        <v>43647</v>
      </c>
      <c r="M19574" t="e">
        <v>#N/A</v>
      </c>
      <c r="N19574" s="1">
        <v>43282</v>
      </c>
    </row>
    <row r="19575" spans="11:14" x14ac:dyDescent="0.3">
      <c r="K19575" s="1">
        <v>43647</v>
      </c>
      <c r="M19575" t="e">
        <v>#N/A</v>
      </c>
      <c r="N19575" s="1">
        <v>43282</v>
      </c>
    </row>
    <row r="19576" spans="11:14" x14ac:dyDescent="0.3">
      <c r="K19576" s="1">
        <v>43647</v>
      </c>
      <c r="M19576" t="e">
        <v>#N/A</v>
      </c>
      <c r="N19576" s="1">
        <v>43282</v>
      </c>
    </row>
    <row r="19577" spans="11:14" x14ac:dyDescent="0.3">
      <c r="K19577" s="1">
        <v>43647</v>
      </c>
      <c r="M19577" t="e">
        <v>#N/A</v>
      </c>
      <c r="N19577" s="1">
        <v>43282</v>
      </c>
    </row>
    <row r="19578" spans="11:14" x14ac:dyDescent="0.3">
      <c r="K19578" s="1">
        <v>43647</v>
      </c>
      <c r="M19578" t="e">
        <v>#N/A</v>
      </c>
      <c r="N19578" s="1">
        <v>43282</v>
      </c>
    </row>
    <row r="19579" spans="11:14" x14ac:dyDescent="0.3">
      <c r="K19579" s="1">
        <v>43647</v>
      </c>
      <c r="M19579" t="e">
        <v>#N/A</v>
      </c>
      <c r="N19579" s="1">
        <v>43282</v>
      </c>
    </row>
    <row r="19580" spans="11:14" x14ac:dyDescent="0.3">
      <c r="K19580" s="1">
        <v>43647</v>
      </c>
      <c r="M19580" t="e">
        <v>#N/A</v>
      </c>
      <c r="N19580" s="1">
        <v>43282</v>
      </c>
    </row>
    <row r="19581" spans="11:14" x14ac:dyDescent="0.3">
      <c r="K19581" s="1">
        <v>43647</v>
      </c>
      <c r="M19581" t="e">
        <v>#N/A</v>
      </c>
      <c r="N19581" s="1">
        <v>43282</v>
      </c>
    </row>
    <row r="19582" spans="11:14" x14ac:dyDescent="0.3">
      <c r="K19582" s="1">
        <v>43647</v>
      </c>
      <c r="M19582" t="e">
        <v>#N/A</v>
      </c>
      <c r="N19582" s="1">
        <v>43282</v>
      </c>
    </row>
    <row r="19583" spans="11:14" x14ac:dyDescent="0.3">
      <c r="K19583" s="1">
        <v>43647</v>
      </c>
      <c r="M19583" t="e">
        <v>#N/A</v>
      </c>
      <c r="N19583" s="1">
        <v>43282</v>
      </c>
    </row>
    <row r="19584" spans="11:14" x14ac:dyDescent="0.3">
      <c r="K19584" s="1">
        <v>43647</v>
      </c>
      <c r="M19584" t="e">
        <v>#N/A</v>
      </c>
      <c r="N19584" s="1">
        <v>43282</v>
      </c>
    </row>
    <row r="19585" spans="11:14" x14ac:dyDescent="0.3">
      <c r="K19585" s="1">
        <v>43647</v>
      </c>
      <c r="M19585" t="e">
        <v>#N/A</v>
      </c>
      <c r="N19585" s="1">
        <v>43282</v>
      </c>
    </row>
    <row r="19586" spans="11:14" x14ac:dyDescent="0.3">
      <c r="K19586" s="1">
        <v>43647</v>
      </c>
      <c r="M19586" t="e">
        <v>#N/A</v>
      </c>
      <c r="N19586" s="1">
        <v>43282</v>
      </c>
    </row>
    <row r="19587" spans="11:14" x14ac:dyDescent="0.3">
      <c r="K19587" s="1">
        <v>43647</v>
      </c>
      <c r="M19587" t="e">
        <v>#N/A</v>
      </c>
      <c r="N19587" s="1">
        <v>43282</v>
      </c>
    </row>
    <row r="19588" spans="11:14" x14ac:dyDescent="0.3">
      <c r="K19588" s="1">
        <v>43647</v>
      </c>
      <c r="M19588" t="e">
        <v>#N/A</v>
      </c>
      <c r="N19588" s="1">
        <v>43282</v>
      </c>
    </row>
    <row r="19589" spans="11:14" x14ac:dyDescent="0.3">
      <c r="K19589" s="1">
        <v>43647</v>
      </c>
      <c r="M19589" t="e">
        <v>#N/A</v>
      </c>
      <c r="N19589" s="1">
        <v>43282</v>
      </c>
    </row>
    <row r="19590" spans="11:14" x14ac:dyDescent="0.3">
      <c r="K19590" s="1">
        <v>43647</v>
      </c>
      <c r="M19590" t="e">
        <v>#N/A</v>
      </c>
      <c r="N19590" s="1">
        <v>43282</v>
      </c>
    </row>
    <row r="19591" spans="11:14" x14ac:dyDescent="0.3">
      <c r="K19591" s="1">
        <v>43647</v>
      </c>
      <c r="M19591" t="e">
        <v>#N/A</v>
      </c>
      <c r="N19591" s="1">
        <v>43282</v>
      </c>
    </row>
    <row r="19592" spans="11:14" x14ac:dyDescent="0.3">
      <c r="K19592" s="1">
        <v>43647</v>
      </c>
      <c r="M19592" t="e">
        <v>#N/A</v>
      </c>
      <c r="N19592" s="1">
        <v>43282</v>
      </c>
    </row>
    <row r="19593" spans="11:14" x14ac:dyDescent="0.3">
      <c r="K19593" s="1">
        <v>43647</v>
      </c>
      <c r="M19593" t="e">
        <v>#N/A</v>
      </c>
      <c r="N19593" s="1">
        <v>43282</v>
      </c>
    </row>
    <row r="19594" spans="11:14" x14ac:dyDescent="0.3">
      <c r="K19594" s="1">
        <v>43647</v>
      </c>
      <c r="M19594" t="e">
        <v>#N/A</v>
      </c>
      <c r="N19594" s="1">
        <v>43282</v>
      </c>
    </row>
    <row r="19595" spans="11:14" x14ac:dyDescent="0.3">
      <c r="K19595" s="1">
        <v>43647</v>
      </c>
      <c r="M19595" t="e">
        <v>#N/A</v>
      </c>
      <c r="N19595" s="1">
        <v>43282</v>
      </c>
    </row>
    <row r="19596" spans="11:14" x14ac:dyDescent="0.3">
      <c r="K19596" s="1">
        <v>43647</v>
      </c>
      <c r="M19596" t="e">
        <v>#N/A</v>
      </c>
      <c r="N19596" s="1">
        <v>43282</v>
      </c>
    </row>
    <row r="19597" spans="11:14" x14ac:dyDescent="0.3">
      <c r="K19597" s="1">
        <v>43647</v>
      </c>
      <c r="M19597" t="e">
        <v>#N/A</v>
      </c>
      <c r="N19597" s="1">
        <v>43282</v>
      </c>
    </row>
    <row r="19598" spans="11:14" x14ac:dyDescent="0.3">
      <c r="K19598" s="1">
        <v>43647</v>
      </c>
      <c r="M19598" t="e">
        <v>#N/A</v>
      </c>
      <c r="N19598" s="1">
        <v>43282</v>
      </c>
    </row>
    <row r="19599" spans="11:14" x14ac:dyDescent="0.3">
      <c r="K19599" s="1">
        <v>43647</v>
      </c>
      <c r="M19599" t="e">
        <v>#N/A</v>
      </c>
      <c r="N19599" s="1">
        <v>43282</v>
      </c>
    </row>
    <row r="19600" spans="11:14" x14ac:dyDescent="0.3">
      <c r="K19600" s="1">
        <v>43647</v>
      </c>
      <c r="M19600" t="e">
        <v>#N/A</v>
      </c>
      <c r="N19600" s="1">
        <v>43282</v>
      </c>
    </row>
    <row r="19601" spans="11:14" x14ac:dyDescent="0.3">
      <c r="K19601" s="1">
        <v>43647</v>
      </c>
      <c r="M19601" t="e">
        <v>#N/A</v>
      </c>
      <c r="N19601" s="1">
        <v>43282</v>
      </c>
    </row>
    <row r="19602" spans="11:14" x14ac:dyDescent="0.3">
      <c r="K19602" s="1">
        <v>43647</v>
      </c>
      <c r="M19602" t="e">
        <v>#N/A</v>
      </c>
      <c r="N19602" s="1">
        <v>43282</v>
      </c>
    </row>
    <row r="19603" spans="11:14" x14ac:dyDescent="0.3">
      <c r="K19603" s="1">
        <v>43647</v>
      </c>
      <c r="M19603" t="e">
        <v>#N/A</v>
      </c>
      <c r="N19603" s="1">
        <v>43282</v>
      </c>
    </row>
    <row r="19604" spans="11:14" x14ac:dyDescent="0.3">
      <c r="K19604" s="1">
        <v>43647</v>
      </c>
      <c r="M19604" t="e">
        <v>#N/A</v>
      </c>
      <c r="N19604" s="1">
        <v>43282</v>
      </c>
    </row>
    <row r="19605" spans="11:14" x14ac:dyDescent="0.3">
      <c r="K19605" s="1">
        <v>43647</v>
      </c>
      <c r="M19605" t="e">
        <v>#N/A</v>
      </c>
      <c r="N19605" s="1">
        <v>43282</v>
      </c>
    </row>
    <row r="19606" spans="11:14" x14ac:dyDescent="0.3">
      <c r="K19606" s="1">
        <v>43647</v>
      </c>
      <c r="M19606" t="e">
        <v>#N/A</v>
      </c>
      <c r="N19606" s="1">
        <v>43282</v>
      </c>
    </row>
    <row r="19607" spans="11:14" x14ac:dyDescent="0.3">
      <c r="K19607" s="1">
        <v>43647</v>
      </c>
      <c r="M19607" t="e">
        <v>#N/A</v>
      </c>
      <c r="N19607" s="1">
        <v>43282</v>
      </c>
    </row>
    <row r="19608" spans="11:14" x14ac:dyDescent="0.3">
      <c r="K19608" s="1">
        <v>43647</v>
      </c>
      <c r="M19608" t="e">
        <v>#N/A</v>
      </c>
      <c r="N19608" s="1">
        <v>43282</v>
      </c>
    </row>
    <row r="19609" spans="11:14" x14ac:dyDescent="0.3">
      <c r="K19609" s="1">
        <v>43647</v>
      </c>
      <c r="M19609" t="e">
        <v>#N/A</v>
      </c>
      <c r="N19609" s="1">
        <v>43282</v>
      </c>
    </row>
    <row r="19610" spans="11:14" x14ac:dyDescent="0.3">
      <c r="K19610" s="1">
        <v>43647</v>
      </c>
      <c r="M19610" t="e">
        <v>#N/A</v>
      </c>
      <c r="N19610" s="1">
        <v>43282</v>
      </c>
    </row>
    <row r="19611" spans="11:14" x14ac:dyDescent="0.3">
      <c r="K19611" s="1">
        <v>43647</v>
      </c>
      <c r="M19611" t="e">
        <v>#N/A</v>
      </c>
      <c r="N19611" s="1">
        <v>43282</v>
      </c>
    </row>
    <row r="19612" spans="11:14" x14ac:dyDescent="0.3">
      <c r="K19612" s="1">
        <v>43647</v>
      </c>
      <c r="M19612" t="e">
        <v>#N/A</v>
      </c>
      <c r="N19612" s="1">
        <v>43282</v>
      </c>
    </row>
    <row r="19613" spans="11:14" x14ac:dyDescent="0.3">
      <c r="K19613" s="1">
        <v>43647</v>
      </c>
      <c r="M19613" t="e">
        <v>#N/A</v>
      </c>
      <c r="N19613" s="1">
        <v>43282</v>
      </c>
    </row>
    <row r="19614" spans="11:14" x14ac:dyDescent="0.3">
      <c r="K19614" s="1">
        <v>43647</v>
      </c>
      <c r="M19614" t="e">
        <v>#N/A</v>
      </c>
      <c r="N19614" s="1">
        <v>43282</v>
      </c>
    </row>
    <row r="19615" spans="11:14" x14ac:dyDescent="0.3">
      <c r="K19615" s="1">
        <v>43647</v>
      </c>
      <c r="M19615" t="e">
        <v>#N/A</v>
      </c>
      <c r="N19615" s="1">
        <v>43282</v>
      </c>
    </row>
    <row r="19616" spans="11:14" x14ac:dyDescent="0.3">
      <c r="K19616" s="1">
        <v>43647</v>
      </c>
      <c r="M19616" t="e">
        <v>#N/A</v>
      </c>
      <c r="N19616" s="1">
        <v>43282</v>
      </c>
    </row>
    <row r="19617" spans="11:14" x14ac:dyDescent="0.3">
      <c r="K19617" s="1">
        <v>43647</v>
      </c>
      <c r="M19617" t="e">
        <v>#N/A</v>
      </c>
      <c r="N19617" s="1">
        <v>43282</v>
      </c>
    </row>
    <row r="19618" spans="11:14" x14ac:dyDescent="0.3">
      <c r="K19618" s="1">
        <v>43647</v>
      </c>
      <c r="M19618" t="e">
        <v>#N/A</v>
      </c>
      <c r="N19618" s="1">
        <v>43282</v>
      </c>
    </row>
    <row r="19619" spans="11:14" x14ac:dyDescent="0.3">
      <c r="K19619" s="1">
        <v>43647</v>
      </c>
      <c r="M19619" t="e">
        <v>#N/A</v>
      </c>
      <c r="N19619" s="1">
        <v>43282</v>
      </c>
    </row>
    <row r="19620" spans="11:14" x14ac:dyDescent="0.3">
      <c r="K19620" s="1">
        <v>43647</v>
      </c>
      <c r="M19620" t="e">
        <v>#N/A</v>
      </c>
      <c r="N19620" s="1">
        <v>43282</v>
      </c>
    </row>
    <row r="19621" spans="11:14" x14ac:dyDescent="0.3">
      <c r="K19621" s="1">
        <v>43647</v>
      </c>
      <c r="M19621" t="e">
        <v>#N/A</v>
      </c>
      <c r="N19621" s="1">
        <v>43282</v>
      </c>
    </row>
    <row r="19622" spans="11:14" x14ac:dyDescent="0.3">
      <c r="K19622" s="1">
        <v>43647</v>
      </c>
      <c r="M19622" t="e">
        <v>#N/A</v>
      </c>
      <c r="N19622" s="1">
        <v>43282</v>
      </c>
    </row>
    <row r="19623" spans="11:14" x14ac:dyDescent="0.3">
      <c r="K19623" s="1">
        <v>43647</v>
      </c>
      <c r="M19623" t="e">
        <v>#N/A</v>
      </c>
      <c r="N19623" s="1">
        <v>43282</v>
      </c>
    </row>
    <row r="19624" spans="11:14" x14ac:dyDescent="0.3">
      <c r="K19624" s="1">
        <v>43647</v>
      </c>
      <c r="M19624" t="e">
        <v>#N/A</v>
      </c>
      <c r="N19624" s="1">
        <v>43282</v>
      </c>
    </row>
    <row r="19625" spans="11:14" x14ac:dyDescent="0.3">
      <c r="K19625" s="1">
        <v>43647</v>
      </c>
      <c r="M19625" t="e">
        <v>#N/A</v>
      </c>
      <c r="N19625" s="1">
        <v>43282</v>
      </c>
    </row>
    <row r="19626" spans="11:14" x14ac:dyDescent="0.3">
      <c r="K19626" s="1">
        <v>43647</v>
      </c>
      <c r="M19626" t="e">
        <v>#N/A</v>
      </c>
      <c r="N19626" s="1">
        <v>43282</v>
      </c>
    </row>
    <row r="19627" spans="11:14" x14ac:dyDescent="0.3">
      <c r="K19627" s="1">
        <v>43647</v>
      </c>
      <c r="M19627" t="e">
        <v>#N/A</v>
      </c>
      <c r="N19627" s="1">
        <v>43282</v>
      </c>
    </row>
    <row r="19628" spans="11:14" x14ac:dyDescent="0.3">
      <c r="K19628" s="1">
        <v>43647</v>
      </c>
      <c r="M19628" t="e">
        <v>#N/A</v>
      </c>
      <c r="N19628" s="1">
        <v>43282</v>
      </c>
    </row>
    <row r="19629" spans="11:14" x14ac:dyDescent="0.3">
      <c r="K19629" s="1">
        <v>43647</v>
      </c>
      <c r="M19629" t="e">
        <v>#N/A</v>
      </c>
      <c r="N19629" s="1">
        <v>43282</v>
      </c>
    </row>
    <row r="19630" spans="11:14" x14ac:dyDescent="0.3">
      <c r="K19630" s="1">
        <v>43647</v>
      </c>
      <c r="M19630" t="e">
        <v>#N/A</v>
      </c>
      <c r="N19630" s="1">
        <v>43282</v>
      </c>
    </row>
    <row r="19631" spans="11:14" x14ac:dyDescent="0.3">
      <c r="K19631" s="1">
        <v>43647</v>
      </c>
      <c r="M19631" t="e">
        <v>#N/A</v>
      </c>
      <c r="N19631" s="1">
        <v>43282</v>
      </c>
    </row>
    <row r="19632" spans="11:14" x14ac:dyDescent="0.3">
      <c r="K19632" s="1">
        <v>43647</v>
      </c>
      <c r="M19632" t="e">
        <v>#N/A</v>
      </c>
      <c r="N19632" s="1">
        <v>43282</v>
      </c>
    </row>
    <row r="19633" spans="11:14" x14ac:dyDescent="0.3">
      <c r="K19633" s="1">
        <v>43647</v>
      </c>
      <c r="M19633" t="e">
        <v>#N/A</v>
      </c>
      <c r="N19633" s="1">
        <v>43282</v>
      </c>
    </row>
    <row r="19634" spans="11:14" x14ac:dyDescent="0.3">
      <c r="K19634" s="1">
        <v>43647</v>
      </c>
      <c r="M19634" t="e">
        <v>#N/A</v>
      </c>
      <c r="N19634" s="1">
        <v>43282</v>
      </c>
    </row>
    <row r="19635" spans="11:14" x14ac:dyDescent="0.3">
      <c r="K19635" s="1">
        <v>43647</v>
      </c>
      <c r="M19635" t="e">
        <v>#N/A</v>
      </c>
      <c r="N19635" s="1">
        <v>43282</v>
      </c>
    </row>
    <row r="19636" spans="11:14" x14ac:dyDescent="0.3">
      <c r="K19636" s="1">
        <v>43647</v>
      </c>
      <c r="M19636" t="e">
        <v>#N/A</v>
      </c>
      <c r="N19636" s="1">
        <v>43282</v>
      </c>
    </row>
    <row r="19637" spans="11:14" x14ac:dyDescent="0.3">
      <c r="K19637" s="1">
        <v>43647</v>
      </c>
      <c r="M19637" t="e">
        <v>#N/A</v>
      </c>
      <c r="N19637" s="1">
        <v>43282</v>
      </c>
    </row>
    <row r="19638" spans="11:14" x14ac:dyDescent="0.3">
      <c r="K19638" s="1">
        <v>43647</v>
      </c>
      <c r="M19638" t="e">
        <v>#N/A</v>
      </c>
      <c r="N19638" s="1">
        <v>43282</v>
      </c>
    </row>
    <row r="19639" spans="11:14" x14ac:dyDescent="0.3">
      <c r="K19639" s="1">
        <v>43647</v>
      </c>
      <c r="M19639" t="e">
        <v>#N/A</v>
      </c>
      <c r="N19639" s="1">
        <v>43282</v>
      </c>
    </row>
    <row r="19640" spans="11:14" x14ac:dyDescent="0.3">
      <c r="K19640" s="1">
        <v>43647</v>
      </c>
      <c r="M19640" t="e">
        <v>#N/A</v>
      </c>
      <c r="N19640" s="1">
        <v>43282</v>
      </c>
    </row>
    <row r="19641" spans="11:14" x14ac:dyDescent="0.3">
      <c r="K19641" s="1">
        <v>43647</v>
      </c>
      <c r="M19641" t="e">
        <v>#N/A</v>
      </c>
      <c r="N19641" s="1">
        <v>43282</v>
      </c>
    </row>
    <row r="19642" spans="11:14" x14ac:dyDescent="0.3">
      <c r="K19642" s="1">
        <v>43647</v>
      </c>
      <c r="M19642" t="e">
        <v>#N/A</v>
      </c>
      <c r="N19642" s="1">
        <v>43282</v>
      </c>
    </row>
    <row r="19643" spans="11:14" x14ac:dyDescent="0.3">
      <c r="K19643" s="1">
        <v>43647</v>
      </c>
      <c r="M19643" t="e">
        <v>#N/A</v>
      </c>
      <c r="N19643" s="1">
        <v>43282</v>
      </c>
    </row>
    <row r="19644" spans="11:14" x14ac:dyDescent="0.3">
      <c r="K19644" s="1">
        <v>43647</v>
      </c>
      <c r="M19644" t="e">
        <v>#N/A</v>
      </c>
      <c r="N19644" s="1">
        <v>43282</v>
      </c>
    </row>
    <row r="19645" spans="11:14" x14ac:dyDescent="0.3">
      <c r="K19645" s="1">
        <v>43647</v>
      </c>
      <c r="M19645" t="e">
        <v>#N/A</v>
      </c>
      <c r="N19645" s="1">
        <v>43282</v>
      </c>
    </row>
    <row r="19646" spans="11:14" x14ac:dyDescent="0.3">
      <c r="K19646" s="1">
        <v>43647</v>
      </c>
      <c r="M19646" t="e">
        <v>#N/A</v>
      </c>
      <c r="N19646" s="1">
        <v>43282</v>
      </c>
    </row>
    <row r="19647" spans="11:14" x14ac:dyDescent="0.3">
      <c r="K19647" s="1">
        <v>43647</v>
      </c>
      <c r="M19647" t="e">
        <v>#N/A</v>
      </c>
      <c r="N19647" s="1">
        <v>43282</v>
      </c>
    </row>
    <row r="19648" spans="11:14" x14ac:dyDescent="0.3">
      <c r="K19648" s="1">
        <v>43647</v>
      </c>
      <c r="M19648" t="e">
        <v>#N/A</v>
      </c>
      <c r="N19648" s="1">
        <v>43282</v>
      </c>
    </row>
    <row r="19649" spans="11:14" x14ac:dyDescent="0.3">
      <c r="K19649" s="1">
        <v>43647</v>
      </c>
      <c r="M19649" t="e">
        <v>#N/A</v>
      </c>
      <c r="N19649" s="1">
        <v>43282</v>
      </c>
    </row>
    <row r="19650" spans="11:14" x14ac:dyDescent="0.3">
      <c r="K19650" s="1">
        <v>43647</v>
      </c>
      <c r="M19650" t="e">
        <v>#N/A</v>
      </c>
      <c r="N19650" s="1">
        <v>43282</v>
      </c>
    </row>
    <row r="19651" spans="11:14" x14ac:dyDescent="0.3">
      <c r="K19651" s="1">
        <v>43647</v>
      </c>
      <c r="M19651" t="e">
        <v>#N/A</v>
      </c>
      <c r="N19651" s="1">
        <v>43282</v>
      </c>
    </row>
    <row r="19652" spans="11:14" x14ac:dyDescent="0.3">
      <c r="K19652" s="1">
        <v>43647</v>
      </c>
      <c r="M19652" t="e">
        <v>#N/A</v>
      </c>
      <c r="N19652" s="1">
        <v>43282</v>
      </c>
    </row>
    <row r="19653" spans="11:14" x14ac:dyDescent="0.3">
      <c r="K19653" s="1">
        <v>43647</v>
      </c>
      <c r="M19653" t="e">
        <v>#N/A</v>
      </c>
      <c r="N19653" s="1">
        <v>43282</v>
      </c>
    </row>
    <row r="19654" spans="11:14" x14ac:dyDescent="0.3">
      <c r="K19654" s="1">
        <v>43647</v>
      </c>
      <c r="M19654" t="e">
        <v>#N/A</v>
      </c>
      <c r="N19654" s="1">
        <v>43282</v>
      </c>
    </row>
    <row r="19655" spans="11:14" x14ac:dyDescent="0.3">
      <c r="K19655" s="1">
        <v>43647</v>
      </c>
      <c r="M19655" t="e">
        <v>#N/A</v>
      </c>
      <c r="N19655" s="1">
        <v>43282</v>
      </c>
    </row>
    <row r="19656" spans="11:14" x14ac:dyDescent="0.3">
      <c r="K19656" s="1">
        <v>43647</v>
      </c>
      <c r="M19656" t="e">
        <v>#N/A</v>
      </c>
      <c r="N19656" s="1">
        <v>43282</v>
      </c>
    </row>
    <row r="19657" spans="11:14" x14ac:dyDescent="0.3">
      <c r="K19657" s="1">
        <v>43647</v>
      </c>
      <c r="M19657" t="e">
        <v>#N/A</v>
      </c>
      <c r="N19657" s="1">
        <v>43282</v>
      </c>
    </row>
    <row r="19658" spans="11:14" x14ac:dyDescent="0.3">
      <c r="K19658" s="1">
        <v>43647</v>
      </c>
      <c r="M19658" t="e">
        <v>#N/A</v>
      </c>
      <c r="N19658" s="1">
        <v>43282</v>
      </c>
    </row>
    <row r="19659" spans="11:14" x14ac:dyDescent="0.3">
      <c r="K19659" s="1">
        <v>43647</v>
      </c>
      <c r="M19659" t="e">
        <v>#N/A</v>
      </c>
      <c r="N19659" s="1">
        <v>43282</v>
      </c>
    </row>
    <row r="19660" spans="11:14" x14ac:dyDescent="0.3">
      <c r="K19660" s="1">
        <v>43647</v>
      </c>
      <c r="M19660" t="e">
        <v>#N/A</v>
      </c>
      <c r="N19660" s="1">
        <v>43282</v>
      </c>
    </row>
    <row r="19661" spans="11:14" x14ac:dyDescent="0.3">
      <c r="K19661" s="1">
        <v>43647</v>
      </c>
      <c r="M19661" t="e">
        <v>#N/A</v>
      </c>
      <c r="N19661" s="1">
        <v>43282</v>
      </c>
    </row>
    <row r="19662" spans="11:14" x14ac:dyDescent="0.3">
      <c r="K19662" s="1">
        <v>43647</v>
      </c>
      <c r="M19662" t="e">
        <v>#N/A</v>
      </c>
      <c r="N19662" s="1">
        <v>43282</v>
      </c>
    </row>
    <row r="19663" spans="11:14" x14ac:dyDescent="0.3">
      <c r="K19663" s="1">
        <v>43647</v>
      </c>
      <c r="M19663" t="e">
        <v>#N/A</v>
      </c>
      <c r="N19663" s="1">
        <v>43282</v>
      </c>
    </row>
    <row r="19664" spans="11:14" x14ac:dyDescent="0.3">
      <c r="K19664" s="1">
        <v>43647</v>
      </c>
      <c r="M19664" t="e">
        <v>#N/A</v>
      </c>
      <c r="N19664" s="1">
        <v>43282</v>
      </c>
    </row>
    <row r="19665" spans="11:14" x14ac:dyDescent="0.3">
      <c r="K19665" s="1">
        <v>43647</v>
      </c>
      <c r="M19665" t="e">
        <v>#N/A</v>
      </c>
      <c r="N19665" s="1">
        <v>43282</v>
      </c>
    </row>
    <row r="19666" spans="11:14" x14ac:dyDescent="0.3">
      <c r="K19666" s="1">
        <v>43647</v>
      </c>
      <c r="M19666" t="e">
        <v>#N/A</v>
      </c>
      <c r="N19666" s="1">
        <v>43282</v>
      </c>
    </row>
    <row r="19667" spans="11:14" x14ac:dyDescent="0.3">
      <c r="K19667" s="1">
        <v>43647</v>
      </c>
      <c r="M19667" t="e">
        <v>#N/A</v>
      </c>
      <c r="N19667" s="1">
        <v>43282</v>
      </c>
    </row>
    <row r="19668" spans="11:14" x14ac:dyDescent="0.3">
      <c r="K19668" s="1">
        <v>43647</v>
      </c>
      <c r="M19668" t="e">
        <v>#N/A</v>
      </c>
      <c r="N19668" s="1">
        <v>43282</v>
      </c>
    </row>
    <row r="19669" spans="11:14" x14ac:dyDescent="0.3">
      <c r="K19669" s="1">
        <v>43647</v>
      </c>
      <c r="M19669" t="e">
        <v>#N/A</v>
      </c>
      <c r="N19669" s="1">
        <v>43282</v>
      </c>
    </row>
    <row r="19670" spans="11:14" x14ac:dyDescent="0.3">
      <c r="K19670" s="1">
        <v>43647</v>
      </c>
      <c r="M19670" t="e">
        <v>#N/A</v>
      </c>
      <c r="N19670" s="1">
        <v>43282</v>
      </c>
    </row>
    <row r="19671" spans="11:14" x14ac:dyDescent="0.3">
      <c r="K19671" s="1">
        <v>43647</v>
      </c>
      <c r="M19671" t="e">
        <v>#N/A</v>
      </c>
      <c r="N19671" s="1">
        <v>43282</v>
      </c>
    </row>
    <row r="19672" spans="11:14" x14ac:dyDescent="0.3">
      <c r="K19672" s="1">
        <v>43647</v>
      </c>
      <c r="M19672" t="e">
        <v>#N/A</v>
      </c>
      <c r="N19672" s="1">
        <v>43282</v>
      </c>
    </row>
    <row r="19673" spans="11:14" x14ac:dyDescent="0.3">
      <c r="K19673" s="1">
        <v>43647</v>
      </c>
      <c r="M19673" t="e">
        <v>#N/A</v>
      </c>
      <c r="N19673" s="1">
        <v>43282</v>
      </c>
    </row>
    <row r="19674" spans="11:14" x14ac:dyDescent="0.3">
      <c r="K19674" s="1">
        <v>43647</v>
      </c>
      <c r="M19674" t="e">
        <v>#N/A</v>
      </c>
      <c r="N19674" s="1">
        <v>43282</v>
      </c>
    </row>
    <row r="19675" spans="11:14" x14ac:dyDescent="0.3">
      <c r="K19675" s="1">
        <v>43647</v>
      </c>
      <c r="M19675" t="e">
        <v>#N/A</v>
      </c>
      <c r="N19675" s="1">
        <v>43282</v>
      </c>
    </row>
    <row r="19676" spans="11:14" x14ac:dyDescent="0.3">
      <c r="K19676" s="1">
        <v>43647</v>
      </c>
      <c r="M19676" t="e">
        <v>#N/A</v>
      </c>
      <c r="N19676" s="1">
        <v>43282</v>
      </c>
    </row>
    <row r="19677" spans="11:14" x14ac:dyDescent="0.3">
      <c r="K19677" s="1">
        <v>43647</v>
      </c>
      <c r="M19677" t="e">
        <v>#N/A</v>
      </c>
      <c r="N19677" s="1">
        <v>43282</v>
      </c>
    </row>
    <row r="19678" spans="11:14" x14ac:dyDescent="0.3">
      <c r="K19678" s="1">
        <v>43647</v>
      </c>
      <c r="M19678" t="e">
        <v>#N/A</v>
      </c>
      <c r="N19678" s="1">
        <v>43282</v>
      </c>
    </row>
    <row r="19679" spans="11:14" x14ac:dyDescent="0.3">
      <c r="K19679" s="1">
        <v>43647</v>
      </c>
      <c r="M19679" t="e">
        <v>#N/A</v>
      </c>
      <c r="N19679" s="1">
        <v>43282</v>
      </c>
    </row>
    <row r="19680" spans="11:14" x14ac:dyDescent="0.3">
      <c r="K19680" s="1">
        <v>43647</v>
      </c>
      <c r="M19680" t="e">
        <v>#N/A</v>
      </c>
      <c r="N19680" s="1">
        <v>43282</v>
      </c>
    </row>
    <row r="19681" spans="11:14" x14ac:dyDescent="0.3">
      <c r="K19681" s="1">
        <v>43647</v>
      </c>
      <c r="M19681" t="e">
        <v>#N/A</v>
      </c>
      <c r="N19681" s="1">
        <v>43282</v>
      </c>
    </row>
    <row r="19682" spans="11:14" x14ac:dyDescent="0.3">
      <c r="K19682" s="1">
        <v>43647</v>
      </c>
      <c r="M19682" t="e">
        <v>#N/A</v>
      </c>
      <c r="N19682" s="1">
        <v>43282</v>
      </c>
    </row>
    <row r="19683" spans="11:14" x14ac:dyDescent="0.3">
      <c r="K19683" s="1">
        <v>43647</v>
      </c>
      <c r="M19683" t="e">
        <v>#N/A</v>
      </c>
      <c r="N19683" s="1">
        <v>43282</v>
      </c>
    </row>
    <row r="19684" spans="11:14" x14ac:dyDescent="0.3">
      <c r="K19684" s="1">
        <v>43647</v>
      </c>
      <c r="M19684" t="e">
        <v>#N/A</v>
      </c>
      <c r="N19684" s="1">
        <v>43282</v>
      </c>
    </row>
    <row r="19685" spans="11:14" x14ac:dyDescent="0.3">
      <c r="K19685" s="1">
        <v>43647</v>
      </c>
      <c r="M19685" t="e">
        <v>#N/A</v>
      </c>
      <c r="N19685" s="1">
        <v>43282</v>
      </c>
    </row>
    <row r="19686" spans="11:14" x14ac:dyDescent="0.3">
      <c r="K19686" s="1">
        <v>43647</v>
      </c>
      <c r="M19686" t="e">
        <v>#N/A</v>
      </c>
      <c r="N19686" s="1">
        <v>43282</v>
      </c>
    </row>
    <row r="19687" spans="11:14" x14ac:dyDescent="0.3">
      <c r="K19687" s="1">
        <v>43647</v>
      </c>
      <c r="M19687" t="e">
        <v>#N/A</v>
      </c>
      <c r="N19687" s="1">
        <v>43282</v>
      </c>
    </row>
    <row r="19688" spans="11:14" x14ac:dyDescent="0.3">
      <c r="K19688" s="1">
        <v>43647</v>
      </c>
      <c r="M19688" t="e">
        <v>#N/A</v>
      </c>
      <c r="N19688" s="1">
        <v>43282</v>
      </c>
    </row>
    <row r="19689" spans="11:14" x14ac:dyDescent="0.3">
      <c r="K19689" s="1">
        <v>43739</v>
      </c>
      <c r="M19689" t="e">
        <v>#N/A</v>
      </c>
      <c r="N19689" s="1">
        <v>43282</v>
      </c>
    </row>
    <row r="19690" spans="11:14" x14ac:dyDescent="0.3">
      <c r="K19690" s="1">
        <v>43739</v>
      </c>
      <c r="M19690" t="e">
        <v>#N/A</v>
      </c>
      <c r="N19690" s="1">
        <v>43282</v>
      </c>
    </row>
    <row r="19691" spans="11:14" x14ac:dyDescent="0.3">
      <c r="K19691" s="1">
        <v>43739</v>
      </c>
      <c r="M19691" t="e">
        <v>#N/A</v>
      </c>
      <c r="N19691" s="1">
        <v>43282</v>
      </c>
    </row>
    <row r="19692" spans="11:14" x14ac:dyDescent="0.3">
      <c r="K19692" s="1">
        <v>43739</v>
      </c>
      <c r="M19692" t="e">
        <v>#N/A</v>
      </c>
      <c r="N19692" s="1">
        <v>43282</v>
      </c>
    </row>
    <row r="19693" spans="11:14" x14ac:dyDescent="0.3">
      <c r="K19693" s="1">
        <v>43739</v>
      </c>
      <c r="M19693" t="e">
        <v>#N/A</v>
      </c>
      <c r="N19693" s="1">
        <v>43282</v>
      </c>
    </row>
    <row r="19694" spans="11:14" x14ac:dyDescent="0.3">
      <c r="K19694" s="1">
        <v>43739</v>
      </c>
      <c r="M19694" t="e">
        <v>#N/A</v>
      </c>
      <c r="N19694" s="1">
        <v>43282</v>
      </c>
    </row>
    <row r="19695" spans="11:14" x14ac:dyDescent="0.3">
      <c r="K19695" s="1">
        <v>43739</v>
      </c>
      <c r="M19695" t="e">
        <v>#N/A</v>
      </c>
      <c r="N19695" s="1">
        <v>43282</v>
      </c>
    </row>
    <row r="19696" spans="11:14" x14ac:dyDescent="0.3">
      <c r="K19696" s="1">
        <v>43739</v>
      </c>
      <c r="M19696" t="e">
        <v>#N/A</v>
      </c>
      <c r="N19696" s="1">
        <v>43282</v>
      </c>
    </row>
    <row r="19697" spans="11:14" x14ac:dyDescent="0.3">
      <c r="K19697" s="1">
        <v>43739</v>
      </c>
      <c r="M19697" t="e">
        <v>#N/A</v>
      </c>
      <c r="N19697" s="1">
        <v>43282</v>
      </c>
    </row>
    <row r="19698" spans="11:14" x14ac:dyDescent="0.3">
      <c r="K19698" s="1">
        <v>43739</v>
      </c>
      <c r="M19698" t="e">
        <v>#N/A</v>
      </c>
      <c r="N19698" s="1">
        <v>43282</v>
      </c>
    </row>
    <row r="19699" spans="11:14" x14ac:dyDescent="0.3">
      <c r="K19699" s="1">
        <v>43739</v>
      </c>
      <c r="M19699" t="e">
        <v>#N/A</v>
      </c>
      <c r="N19699" s="1">
        <v>43282</v>
      </c>
    </row>
    <row r="19700" spans="11:14" x14ac:dyDescent="0.3">
      <c r="K19700" s="1">
        <v>43739</v>
      </c>
      <c r="M19700" t="e">
        <v>#N/A</v>
      </c>
      <c r="N19700" s="1">
        <v>43282</v>
      </c>
    </row>
    <row r="19701" spans="11:14" x14ac:dyDescent="0.3">
      <c r="K19701" s="1">
        <v>43739</v>
      </c>
      <c r="M19701" t="e">
        <v>#N/A</v>
      </c>
      <c r="N19701" s="1">
        <v>43282</v>
      </c>
    </row>
    <row r="19702" spans="11:14" x14ac:dyDescent="0.3">
      <c r="K19702" s="1">
        <v>43739</v>
      </c>
      <c r="M19702" t="e">
        <v>#N/A</v>
      </c>
      <c r="N19702" s="1">
        <v>43282</v>
      </c>
    </row>
    <row r="19703" spans="11:14" x14ac:dyDescent="0.3">
      <c r="K19703" s="1">
        <v>43739</v>
      </c>
      <c r="M19703" t="e">
        <v>#N/A</v>
      </c>
      <c r="N19703" s="1">
        <v>43282</v>
      </c>
    </row>
    <row r="19704" spans="11:14" x14ac:dyDescent="0.3">
      <c r="K19704" s="1">
        <v>43739</v>
      </c>
      <c r="M19704" t="e">
        <v>#N/A</v>
      </c>
      <c r="N19704" s="1">
        <v>43282</v>
      </c>
    </row>
    <row r="19705" spans="11:14" x14ac:dyDescent="0.3">
      <c r="K19705" s="1">
        <v>43739</v>
      </c>
      <c r="M19705" t="e">
        <v>#N/A</v>
      </c>
      <c r="N19705" s="1">
        <v>43282</v>
      </c>
    </row>
    <row r="19706" spans="11:14" x14ac:dyDescent="0.3">
      <c r="K19706" s="1">
        <v>43739</v>
      </c>
      <c r="M19706" t="e">
        <v>#N/A</v>
      </c>
      <c r="N19706" s="1">
        <v>43282</v>
      </c>
    </row>
    <row r="19707" spans="11:14" x14ac:dyDescent="0.3">
      <c r="K19707" s="1">
        <v>43739</v>
      </c>
      <c r="M19707" t="e">
        <v>#N/A</v>
      </c>
      <c r="N19707" s="1">
        <v>43282</v>
      </c>
    </row>
    <row r="19708" spans="11:14" x14ac:dyDescent="0.3">
      <c r="K19708" s="1">
        <v>43739</v>
      </c>
      <c r="M19708" t="e">
        <v>#N/A</v>
      </c>
      <c r="N19708" s="1">
        <v>43282</v>
      </c>
    </row>
    <row r="19709" spans="11:14" x14ac:dyDescent="0.3">
      <c r="K19709" s="1">
        <v>43739</v>
      </c>
      <c r="M19709" t="e">
        <v>#N/A</v>
      </c>
      <c r="N19709" s="1">
        <v>43282</v>
      </c>
    </row>
    <row r="19710" spans="11:14" x14ac:dyDescent="0.3">
      <c r="K19710" s="1">
        <v>43739</v>
      </c>
      <c r="M19710" t="e">
        <v>#N/A</v>
      </c>
      <c r="N19710" s="1">
        <v>43282</v>
      </c>
    </row>
    <row r="19711" spans="11:14" x14ac:dyDescent="0.3">
      <c r="K19711" s="1">
        <v>43739</v>
      </c>
      <c r="M19711" t="e">
        <v>#N/A</v>
      </c>
      <c r="N19711" s="1">
        <v>43282</v>
      </c>
    </row>
    <row r="19712" spans="11:14" x14ac:dyDescent="0.3">
      <c r="K19712" s="1">
        <v>43739</v>
      </c>
      <c r="M19712" t="e">
        <v>#N/A</v>
      </c>
      <c r="N19712" s="1">
        <v>43282</v>
      </c>
    </row>
    <row r="19713" spans="11:14" x14ac:dyDescent="0.3">
      <c r="K19713" s="1">
        <v>43739</v>
      </c>
      <c r="M19713" t="e">
        <v>#N/A</v>
      </c>
      <c r="N19713" s="1">
        <v>43282</v>
      </c>
    </row>
    <row r="19714" spans="11:14" x14ac:dyDescent="0.3">
      <c r="K19714" s="1">
        <v>43739</v>
      </c>
      <c r="M19714" t="e">
        <v>#N/A</v>
      </c>
      <c r="N19714" s="1">
        <v>43282</v>
      </c>
    </row>
    <row r="19715" spans="11:14" x14ac:dyDescent="0.3">
      <c r="K19715" s="1">
        <v>43739</v>
      </c>
      <c r="M19715" t="e">
        <v>#N/A</v>
      </c>
      <c r="N19715" s="1">
        <v>43282</v>
      </c>
    </row>
    <row r="19716" spans="11:14" x14ac:dyDescent="0.3">
      <c r="K19716" s="1">
        <v>43739</v>
      </c>
      <c r="M19716" t="e">
        <v>#N/A</v>
      </c>
      <c r="N19716" s="1">
        <v>43282</v>
      </c>
    </row>
    <row r="19717" spans="11:14" x14ac:dyDescent="0.3">
      <c r="K19717" s="1">
        <v>43739</v>
      </c>
      <c r="M19717" t="e">
        <v>#N/A</v>
      </c>
      <c r="N19717" s="1">
        <v>43282</v>
      </c>
    </row>
    <row r="19718" spans="11:14" x14ac:dyDescent="0.3">
      <c r="K19718" s="1">
        <v>43739</v>
      </c>
      <c r="M19718" t="e">
        <v>#N/A</v>
      </c>
      <c r="N19718" s="1">
        <v>43282</v>
      </c>
    </row>
    <row r="19719" spans="11:14" x14ac:dyDescent="0.3">
      <c r="K19719" s="1">
        <v>43739</v>
      </c>
      <c r="M19719" t="e">
        <v>#N/A</v>
      </c>
      <c r="N19719" s="1">
        <v>43282</v>
      </c>
    </row>
    <row r="19720" spans="11:14" x14ac:dyDescent="0.3">
      <c r="K19720" s="1">
        <v>43739</v>
      </c>
      <c r="M19720" t="e">
        <v>#N/A</v>
      </c>
      <c r="N19720" s="1">
        <v>43282</v>
      </c>
    </row>
    <row r="19721" spans="11:14" x14ac:dyDescent="0.3">
      <c r="K19721" s="1">
        <v>43739</v>
      </c>
      <c r="M19721" t="e">
        <v>#N/A</v>
      </c>
      <c r="N19721" s="1">
        <v>43282</v>
      </c>
    </row>
    <row r="19722" spans="11:14" x14ac:dyDescent="0.3">
      <c r="K19722" s="1">
        <v>43739</v>
      </c>
      <c r="M19722" t="e">
        <v>#N/A</v>
      </c>
      <c r="N19722" s="1">
        <v>43282</v>
      </c>
    </row>
    <row r="19723" spans="11:14" x14ac:dyDescent="0.3">
      <c r="K19723" s="1">
        <v>43739</v>
      </c>
      <c r="M19723" t="e">
        <v>#N/A</v>
      </c>
      <c r="N19723" s="1">
        <v>43282</v>
      </c>
    </row>
    <row r="19724" spans="11:14" x14ac:dyDescent="0.3">
      <c r="K19724" s="1">
        <v>43739</v>
      </c>
      <c r="M19724" t="e">
        <v>#N/A</v>
      </c>
      <c r="N19724" s="1">
        <v>43282</v>
      </c>
    </row>
    <row r="19725" spans="11:14" x14ac:dyDescent="0.3">
      <c r="K19725" s="1">
        <v>43739</v>
      </c>
      <c r="M19725" t="e">
        <v>#N/A</v>
      </c>
      <c r="N19725" s="1">
        <v>43282</v>
      </c>
    </row>
    <row r="19726" spans="11:14" x14ac:dyDescent="0.3">
      <c r="K19726" s="1">
        <v>43739</v>
      </c>
      <c r="M19726" t="e">
        <v>#N/A</v>
      </c>
      <c r="N19726" s="1">
        <v>43282</v>
      </c>
    </row>
    <row r="19727" spans="11:14" x14ac:dyDescent="0.3">
      <c r="K19727" s="1">
        <v>43739</v>
      </c>
      <c r="M19727" t="e">
        <v>#N/A</v>
      </c>
      <c r="N19727" s="1">
        <v>43282</v>
      </c>
    </row>
    <row r="19728" spans="11:14" x14ac:dyDescent="0.3">
      <c r="K19728" s="1">
        <v>43739</v>
      </c>
      <c r="M19728" t="e">
        <v>#N/A</v>
      </c>
      <c r="N19728" s="1">
        <v>43282</v>
      </c>
    </row>
    <row r="19729" spans="11:14" x14ac:dyDescent="0.3">
      <c r="K19729" s="1">
        <v>43739</v>
      </c>
      <c r="M19729" t="e">
        <v>#N/A</v>
      </c>
      <c r="N19729" s="1">
        <v>43282</v>
      </c>
    </row>
    <row r="19730" spans="11:14" x14ac:dyDescent="0.3">
      <c r="K19730" s="1">
        <v>43739</v>
      </c>
      <c r="M19730" t="e">
        <v>#N/A</v>
      </c>
      <c r="N19730" s="1">
        <v>43282</v>
      </c>
    </row>
    <row r="19731" spans="11:14" x14ac:dyDescent="0.3">
      <c r="K19731" s="1">
        <v>43739</v>
      </c>
      <c r="M19731" t="e">
        <v>#N/A</v>
      </c>
      <c r="N19731" s="1">
        <v>43282</v>
      </c>
    </row>
    <row r="19732" spans="11:14" x14ac:dyDescent="0.3">
      <c r="K19732" s="1">
        <v>43739</v>
      </c>
      <c r="M19732" t="e">
        <v>#N/A</v>
      </c>
      <c r="N19732" s="1">
        <v>43282</v>
      </c>
    </row>
    <row r="19733" spans="11:14" x14ac:dyDescent="0.3">
      <c r="K19733" s="1">
        <v>43739</v>
      </c>
      <c r="M19733" t="e">
        <v>#N/A</v>
      </c>
      <c r="N19733" s="1">
        <v>43282</v>
      </c>
    </row>
    <row r="19734" spans="11:14" x14ac:dyDescent="0.3">
      <c r="K19734" s="1">
        <v>43739</v>
      </c>
      <c r="M19734" t="e">
        <v>#N/A</v>
      </c>
      <c r="N19734" s="1">
        <v>43282</v>
      </c>
    </row>
    <row r="19735" spans="11:14" x14ac:dyDescent="0.3">
      <c r="K19735" s="1">
        <v>43739</v>
      </c>
      <c r="M19735" t="e">
        <v>#N/A</v>
      </c>
      <c r="N19735" s="1">
        <v>43282</v>
      </c>
    </row>
    <row r="19736" spans="11:14" x14ac:dyDescent="0.3">
      <c r="K19736" s="1">
        <v>43739</v>
      </c>
      <c r="M19736" t="e">
        <v>#N/A</v>
      </c>
      <c r="N19736" s="1">
        <v>43282</v>
      </c>
    </row>
    <row r="19737" spans="11:14" x14ac:dyDescent="0.3">
      <c r="K19737" s="1">
        <v>43739</v>
      </c>
      <c r="M19737" t="e">
        <v>#N/A</v>
      </c>
      <c r="N19737" s="1">
        <v>43282</v>
      </c>
    </row>
    <row r="19738" spans="11:14" x14ac:dyDescent="0.3">
      <c r="K19738" s="1">
        <v>43739</v>
      </c>
      <c r="M19738" t="e">
        <v>#N/A</v>
      </c>
      <c r="N19738" s="1">
        <v>43282</v>
      </c>
    </row>
    <row r="19739" spans="11:14" x14ac:dyDescent="0.3">
      <c r="K19739" s="1">
        <v>43739</v>
      </c>
      <c r="M19739" t="e">
        <v>#N/A</v>
      </c>
      <c r="N19739" s="1">
        <v>43282</v>
      </c>
    </row>
    <row r="19740" spans="11:14" x14ac:dyDescent="0.3">
      <c r="K19740" s="1">
        <v>43739</v>
      </c>
      <c r="M19740" t="e">
        <v>#N/A</v>
      </c>
      <c r="N19740" s="1">
        <v>43282</v>
      </c>
    </row>
    <row r="19741" spans="11:14" x14ac:dyDescent="0.3">
      <c r="K19741" s="1">
        <v>43739</v>
      </c>
      <c r="M19741" t="e">
        <v>#N/A</v>
      </c>
      <c r="N19741" s="1">
        <v>43282</v>
      </c>
    </row>
    <row r="19742" spans="11:14" x14ac:dyDescent="0.3">
      <c r="K19742" s="1">
        <v>43739</v>
      </c>
      <c r="M19742" t="e">
        <v>#N/A</v>
      </c>
      <c r="N19742" s="1">
        <v>43282</v>
      </c>
    </row>
    <row r="19743" spans="11:14" x14ac:dyDescent="0.3">
      <c r="K19743" s="1">
        <v>43739</v>
      </c>
      <c r="M19743" t="e">
        <v>#N/A</v>
      </c>
      <c r="N19743" s="1">
        <v>43282</v>
      </c>
    </row>
    <row r="19744" spans="11:14" x14ac:dyDescent="0.3">
      <c r="K19744" s="1">
        <v>43739</v>
      </c>
      <c r="M19744" t="e">
        <v>#N/A</v>
      </c>
      <c r="N19744" s="1">
        <v>43282</v>
      </c>
    </row>
    <row r="19745" spans="11:14" x14ac:dyDescent="0.3">
      <c r="K19745" s="1">
        <v>43739</v>
      </c>
      <c r="M19745" t="e">
        <v>#N/A</v>
      </c>
      <c r="N19745" s="1">
        <v>43282</v>
      </c>
    </row>
    <row r="19746" spans="11:14" x14ac:dyDescent="0.3">
      <c r="K19746" s="1">
        <v>43739</v>
      </c>
      <c r="M19746" t="e">
        <v>#N/A</v>
      </c>
      <c r="N19746" s="1">
        <v>43282</v>
      </c>
    </row>
    <row r="19747" spans="11:14" x14ac:dyDescent="0.3">
      <c r="K19747" s="1">
        <v>43739</v>
      </c>
      <c r="M19747" t="e">
        <v>#N/A</v>
      </c>
      <c r="N19747" s="1">
        <v>43282</v>
      </c>
    </row>
    <row r="19748" spans="11:14" x14ac:dyDescent="0.3">
      <c r="K19748" s="1">
        <v>43739</v>
      </c>
      <c r="M19748" t="e">
        <v>#N/A</v>
      </c>
      <c r="N19748" s="1">
        <v>43282</v>
      </c>
    </row>
    <row r="19749" spans="11:14" x14ac:dyDescent="0.3">
      <c r="K19749" s="1">
        <v>43739</v>
      </c>
      <c r="M19749" t="e">
        <v>#N/A</v>
      </c>
      <c r="N19749" s="1">
        <v>43282</v>
      </c>
    </row>
    <row r="19750" spans="11:14" x14ac:dyDescent="0.3">
      <c r="K19750" s="1">
        <v>43739</v>
      </c>
      <c r="M19750" t="e">
        <v>#N/A</v>
      </c>
      <c r="N19750" s="1">
        <v>43282</v>
      </c>
    </row>
    <row r="19751" spans="11:14" x14ac:dyDescent="0.3">
      <c r="K19751" s="1">
        <v>43739</v>
      </c>
      <c r="M19751" t="e">
        <v>#N/A</v>
      </c>
      <c r="N19751" s="1">
        <v>43282</v>
      </c>
    </row>
    <row r="19752" spans="11:14" x14ac:dyDescent="0.3">
      <c r="K19752" s="1">
        <v>43739</v>
      </c>
      <c r="M19752" t="e">
        <v>#N/A</v>
      </c>
      <c r="N19752" s="1">
        <v>43282</v>
      </c>
    </row>
    <row r="19753" spans="11:14" x14ac:dyDescent="0.3">
      <c r="K19753" s="1">
        <v>43739</v>
      </c>
      <c r="M19753" t="e">
        <v>#N/A</v>
      </c>
      <c r="N19753" s="1">
        <v>43282</v>
      </c>
    </row>
    <row r="19754" spans="11:14" x14ac:dyDescent="0.3">
      <c r="K19754" s="1">
        <v>43739</v>
      </c>
      <c r="M19754" t="e">
        <v>#N/A</v>
      </c>
      <c r="N19754" s="1">
        <v>43282</v>
      </c>
    </row>
    <row r="19755" spans="11:14" x14ac:dyDescent="0.3">
      <c r="K19755" s="1">
        <v>43739</v>
      </c>
      <c r="M19755" t="e">
        <v>#N/A</v>
      </c>
      <c r="N19755" s="1">
        <v>43374</v>
      </c>
    </row>
    <row r="19756" spans="11:14" x14ac:dyDescent="0.3">
      <c r="K19756" s="1">
        <v>43739</v>
      </c>
      <c r="M19756" t="e">
        <v>#N/A</v>
      </c>
      <c r="N19756" s="1">
        <v>43374</v>
      </c>
    </row>
    <row r="19757" spans="11:14" x14ac:dyDescent="0.3">
      <c r="K19757" s="1">
        <v>43739</v>
      </c>
      <c r="M19757" t="e">
        <v>#N/A</v>
      </c>
      <c r="N19757" s="1">
        <v>43374</v>
      </c>
    </row>
    <row r="19758" spans="11:14" x14ac:dyDescent="0.3">
      <c r="K19758" s="1">
        <v>43739</v>
      </c>
      <c r="M19758" t="e">
        <v>#N/A</v>
      </c>
      <c r="N19758" s="1">
        <v>43374</v>
      </c>
    </row>
    <row r="19759" spans="11:14" x14ac:dyDescent="0.3">
      <c r="K19759" s="1">
        <v>43739</v>
      </c>
      <c r="M19759" t="e">
        <v>#N/A</v>
      </c>
      <c r="N19759" s="1">
        <v>43374</v>
      </c>
    </row>
    <row r="19760" spans="11:14" x14ac:dyDescent="0.3">
      <c r="K19760" s="1">
        <v>43739</v>
      </c>
      <c r="M19760" t="e">
        <v>#N/A</v>
      </c>
      <c r="N19760" s="1">
        <v>43374</v>
      </c>
    </row>
    <row r="19761" spans="11:14" x14ac:dyDescent="0.3">
      <c r="K19761" s="1">
        <v>43739</v>
      </c>
      <c r="M19761" t="e">
        <v>#N/A</v>
      </c>
      <c r="N19761" s="1">
        <v>43374</v>
      </c>
    </row>
    <row r="19762" spans="11:14" x14ac:dyDescent="0.3">
      <c r="K19762" s="1">
        <v>43739</v>
      </c>
      <c r="M19762" t="e">
        <v>#N/A</v>
      </c>
      <c r="N19762" s="1">
        <v>43374</v>
      </c>
    </row>
    <row r="19763" spans="11:14" x14ac:dyDescent="0.3">
      <c r="K19763" s="1">
        <v>43739</v>
      </c>
      <c r="M19763" t="e">
        <v>#N/A</v>
      </c>
      <c r="N19763" s="1">
        <v>43374</v>
      </c>
    </row>
    <row r="19764" spans="11:14" x14ac:dyDescent="0.3">
      <c r="K19764" s="1">
        <v>43739</v>
      </c>
      <c r="M19764" t="e">
        <v>#N/A</v>
      </c>
      <c r="N19764" s="1">
        <v>43374</v>
      </c>
    </row>
    <row r="19765" spans="11:14" x14ac:dyDescent="0.3">
      <c r="K19765" s="1">
        <v>43739</v>
      </c>
      <c r="M19765" t="e">
        <v>#N/A</v>
      </c>
      <c r="N19765" s="1">
        <v>43374</v>
      </c>
    </row>
    <row r="19766" spans="11:14" x14ac:dyDescent="0.3">
      <c r="K19766" s="1">
        <v>43739</v>
      </c>
      <c r="M19766" t="e">
        <v>#N/A</v>
      </c>
      <c r="N19766" s="1">
        <v>43374</v>
      </c>
    </row>
    <row r="19767" spans="11:14" x14ac:dyDescent="0.3">
      <c r="K19767" s="1">
        <v>43739</v>
      </c>
      <c r="M19767" t="e">
        <v>#N/A</v>
      </c>
      <c r="N19767" s="1">
        <v>43374</v>
      </c>
    </row>
    <row r="19768" spans="11:14" x14ac:dyDescent="0.3">
      <c r="K19768" s="1">
        <v>43739</v>
      </c>
      <c r="M19768" t="e">
        <v>#N/A</v>
      </c>
      <c r="N19768" s="1">
        <v>43374</v>
      </c>
    </row>
    <row r="19769" spans="11:14" x14ac:dyDescent="0.3">
      <c r="K19769" s="1">
        <v>43739</v>
      </c>
      <c r="M19769" t="e">
        <v>#N/A</v>
      </c>
      <c r="N19769" s="1">
        <v>43374</v>
      </c>
    </row>
    <row r="19770" spans="11:14" x14ac:dyDescent="0.3">
      <c r="K19770" s="1">
        <v>43739</v>
      </c>
      <c r="M19770" t="e">
        <v>#N/A</v>
      </c>
      <c r="N19770" s="1">
        <v>43374</v>
      </c>
    </row>
    <row r="19771" spans="11:14" x14ac:dyDescent="0.3">
      <c r="K19771" s="1">
        <v>43739</v>
      </c>
      <c r="M19771" t="e">
        <v>#N/A</v>
      </c>
      <c r="N19771" s="1">
        <v>43374</v>
      </c>
    </row>
    <row r="19772" spans="11:14" x14ac:dyDescent="0.3">
      <c r="K19772" s="1">
        <v>43739</v>
      </c>
      <c r="M19772" t="e">
        <v>#N/A</v>
      </c>
      <c r="N19772" s="1">
        <v>43374</v>
      </c>
    </row>
    <row r="19773" spans="11:14" x14ac:dyDescent="0.3">
      <c r="K19773" s="1">
        <v>43739</v>
      </c>
      <c r="M19773" t="e">
        <v>#N/A</v>
      </c>
      <c r="N19773" s="1">
        <v>43374</v>
      </c>
    </row>
    <row r="19774" spans="11:14" x14ac:dyDescent="0.3">
      <c r="K19774" s="1">
        <v>43739</v>
      </c>
      <c r="M19774" t="e">
        <v>#N/A</v>
      </c>
      <c r="N19774" s="1">
        <v>43374</v>
      </c>
    </row>
    <row r="19775" spans="11:14" x14ac:dyDescent="0.3">
      <c r="K19775" s="1">
        <v>43739</v>
      </c>
      <c r="M19775" t="e">
        <v>#N/A</v>
      </c>
      <c r="N19775" s="1">
        <v>43374</v>
      </c>
    </row>
    <row r="19776" spans="11:14" x14ac:dyDescent="0.3">
      <c r="K19776" s="1">
        <v>43739</v>
      </c>
      <c r="M19776" t="e">
        <v>#N/A</v>
      </c>
      <c r="N19776" s="1">
        <v>43374</v>
      </c>
    </row>
    <row r="19777" spans="11:14" x14ac:dyDescent="0.3">
      <c r="K19777" s="1">
        <v>43739</v>
      </c>
      <c r="M19777" t="e">
        <v>#N/A</v>
      </c>
      <c r="N19777" s="1">
        <v>43374</v>
      </c>
    </row>
    <row r="19778" spans="11:14" x14ac:dyDescent="0.3">
      <c r="K19778" s="1">
        <v>43739</v>
      </c>
      <c r="M19778" t="e">
        <v>#N/A</v>
      </c>
      <c r="N19778" s="1">
        <v>43374</v>
      </c>
    </row>
    <row r="19779" spans="11:14" x14ac:dyDescent="0.3">
      <c r="K19779" s="1">
        <v>43739</v>
      </c>
      <c r="M19779" t="e">
        <v>#N/A</v>
      </c>
      <c r="N19779" s="1">
        <v>43374</v>
      </c>
    </row>
    <row r="19780" spans="11:14" x14ac:dyDescent="0.3">
      <c r="K19780" s="1">
        <v>43739</v>
      </c>
      <c r="M19780" t="e">
        <v>#N/A</v>
      </c>
      <c r="N19780" s="1">
        <v>43374</v>
      </c>
    </row>
    <row r="19781" spans="11:14" x14ac:dyDescent="0.3">
      <c r="K19781" s="1">
        <v>43739</v>
      </c>
      <c r="M19781" t="e">
        <v>#N/A</v>
      </c>
      <c r="N19781" s="1">
        <v>43374</v>
      </c>
    </row>
    <row r="19782" spans="11:14" x14ac:dyDescent="0.3">
      <c r="K19782" s="1">
        <v>43739</v>
      </c>
      <c r="M19782" t="e">
        <v>#N/A</v>
      </c>
      <c r="N19782" s="1">
        <v>43374</v>
      </c>
    </row>
    <row r="19783" spans="11:14" x14ac:dyDescent="0.3">
      <c r="K19783" s="1">
        <v>43739</v>
      </c>
      <c r="M19783" t="e">
        <v>#N/A</v>
      </c>
      <c r="N19783" s="1">
        <v>43374</v>
      </c>
    </row>
    <row r="19784" spans="11:14" x14ac:dyDescent="0.3">
      <c r="K19784" s="1">
        <v>43739</v>
      </c>
      <c r="M19784" t="e">
        <v>#N/A</v>
      </c>
      <c r="N19784" s="1">
        <v>43374</v>
      </c>
    </row>
    <row r="19785" spans="11:14" x14ac:dyDescent="0.3">
      <c r="K19785" s="1">
        <v>43739</v>
      </c>
      <c r="M19785" t="e">
        <v>#N/A</v>
      </c>
      <c r="N19785" s="1">
        <v>43374</v>
      </c>
    </row>
    <row r="19786" spans="11:14" x14ac:dyDescent="0.3">
      <c r="K19786" s="1">
        <v>43739</v>
      </c>
      <c r="M19786" t="e">
        <v>#N/A</v>
      </c>
      <c r="N19786" s="1">
        <v>43374</v>
      </c>
    </row>
    <row r="19787" spans="11:14" x14ac:dyDescent="0.3">
      <c r="K19787" s="1">
        <v>43739</v>
      </c>
      <c r="M19787" t="e">
        <v>#N/A</v>
      </c>
      <c r="N19787" s="1">
        <v>43374</v>
      </c>
    </row>
    <row r="19788" spans="11:14" x14ac:dyDescent="0.3">
      <c r="K19788" s="1">
        <v>43739</v>
      </c>
      <c r="M19788" t="e">
        <v>#N/A</v>
      </c>
      <c r="N19788" s="1">
        <v>43374</v>
      </c>
    </row>
    <row r="19789" spans="11:14" x14ac:dyDescent="0.3">
      <c r="K19789" s="1">
        <v>43739</v>
      </c>
      <c r="M19789" t="e">
        <v>#N/A</v>
      </c>
      <c r="N19789" s="1">
        <v>43374</v>
      </c>
    </row>
    <row r="19790" spans="11:14" x14ac:dyDescent="0.3">
      <c r="K19790" s="1">
        <v>43739</v>
      </c>
      <c r="M19790" t="e">
        <v>#N/A</v>
      </c>
      <c r="N19790" s="1">
        <v>43374</v>
      </c>
    </row>
    <row r="19791" spans="11:14" x14ac:dyDescent="0.3">
      <c r="K19791" s="1">
        <v>43739</v>
      </c>
      <c r="M19791" t="e">
        <v>#N/A</v>
      </c>
      <c r="N19791" s="1">
        <v>43374</v>
      </c>
    </row>
    <row r="19792" spans="11:14" x14ac:dyDescent="0.3">
      <c r="K19792" s="1">
        <v>43739</v>
      </c>
      <c r="M19792" t="e">
        <v>#N/A</v>
      </c>
      <c r="N19792" s="1">
        <v>43374</v>
      </c>
    </row>
    <row r="19793" spans="11:14" x14ac:dyDescent="0.3">
      <c r="K19793" s="1">
        <v>43739</v>
      </c>
      <c r="M19793" t="e">
        <v>#N/A</v>
      </c>
      <c r="N19793" s="1">
        <v>43374</v>
      </c>
    </row>
    <row r="19794" spans="11:14" x14ac:dyDescent="0.3">
      <c r="K19794" s="1">
        <v>43739</v>
      </c>
      <c r="M19794" t="e">
        <v>#N/A</v>
      </c>
      <c r="N19794" s="1">
        <v>43374</v>
      </c>
    </row>
    <row r="19795" spans="11:14" x14ac:dyDescent="0.3">
      <c r="K19795" s="1">
        <v>43739</v>
      </c>
      <c r="M19795" t="e">
        <v>#N/A</v>
      </c>
      <c r="N19795" s="1">
        <v>43374</v>
      </c>
    </row>
    <row r="19796" spans="11:14" x14ac:dyDescent="0.3">
      <c r="K19796" s="1">
        <v>43739</v>
      </c>
      <c r="M19796" t="e">
        <v>#N/A</v>
      </c>
      <c r="N19796" s="1">
        <v>43374</v>
      </c>
    </row>
    <row r="19797" spans="11:14" x14ac:dyDescent="0.3">
      <c r="K19797" s="1">
        <v>43739</v>
      </c>
      <c r="M19797" t="e">
        <v>#N/A</v>
      </c>
      <c r="N19797" s="1">
        <v>43374</v>
      </c>
    </row>
    <row r="19798" spans="11:14" x14ac:dyDescent="0.3">
      <c r="K19798" s="1">
        <v>43739</v>
      </c>
      <c r="M19798" t="e">
        <v>#N/A</v>
      </c>
      <c r="N19798" s="1">
        <v>43374</v>
      </c>
    </row>
    <row r="19799" spans="11:14" x14ac:dyDescent="0.3">
      <c r="K19799" s="1">
        <v>43739</v>
      </c>
      <c r="M19799" t="e">
        <v>#N/A</v>
      </c>
      <c r="N19799" s="1">
        <v>43374</v>
      </c>
    </row>
    <row r="19800" spans="11:14" x14ac:dyDescent="0.3">
      <c r="K19800" s="1">
        <v>43739</v>
      </c>
      <c r="M19800" t="e">
        <v>#N/A</v>
      </c>
      <c r="N19800" s="1">
        <v>43374</v>
      </c>
    </row>
    <row r="19801" spans="11:14" x14ac:dyDescent="0.3">
      <c r="K19801" s="1">
        <v>43739</v>
      </c>
      <c r="M19801" t="e">
        <v>#N/A</v>
      </c>
      <c r="N19801" s="1">
        <v>43374</v>
      </c>
    </row>
    <row r="19802" spans="11:14" x14ac:dyDescent="0.3">
      <c r="K19802" s="1">
        <v>43739</v>
      </c>
      <c r="M19802" t="e">
        <v>#N/A</v>
      </c>
      <c r="N19802" s="1">
        <v>43374</v>
      </c>
    </row>
    <row r="19803" spans="11:14" x14ac:dyDescent="0.3">
      <c r="K19803" s="1">
        <v>43739</v>
      </c>
      <c r="M19803" t="e">
        <v>#N/A</v>
      </c>
      <c r="N19803" s="1">
        <v>43374</v>
      </c>
    </row>
    <row r="19804" spans="11:14" x14ac:dyDescent="0.3">
      <c r="K19804" s="1">
        <v>43739</v>
      </c>
      <c r="M19804" t="e">
        <v>#N/A</v>
      </c>
      <c r="N19804" s="1">
        <v>43374</v>
      </c>
    </row>
    <row r="19805" spans="11:14" x14ac:dyDescent="0.3">
      <c r="K19805" s="1">
        <v>43739</v>
      </c>
      <c r="M19805" t="e">
        <v>#N/A</v>
      </c>
      <c r="N19805" s="1">
        <v>43374</v>
      </c>
    </row>
    <row r="19806" spans="11:14" x14ac:dyDescent="0.3">
      <c r="K19806" s="1">
        <v>43739</v>
      </c>
      <c r="M19806" t="e">
        <v>#N/A</v>
      </c>
      <c r="N19806" s="1">
        <v>43374</v>
      </c>
    </row>
    <row r="19807" spans="11:14" x14ac:dyDescent="0.3">
      <c r="K19807" s="1">
        <v>43739</v>
      </c>
      <c r="M19807" t="e">
        <v>#N/A</v>
      </c>
      <c r="N19807" s="1">
        <v>43374</v>
      </c>
    </row>
    <row r="19808" spans="11:14" x14ac:dyDescent="0.3">
      <c r="K19808" s="1">
        <v>43739</v>
      </c>
      <c r="M19808" t="e">
        <v>#N/A</v>
      </c>
      <c r="N19808" s="1">
        <v>43374</v>
      </c>
    </row>
    <row r="19809" spans="11:14" x14ac:dyDescent="0.3">
      <c r="K19809" s="1">
        <v>43739</v>
      </c>
      <c r="M19809" t="e">
        <v>#N/A</v>
      </c>
      <c r="N19809" s="1">
        <v>43374</v>
      </c>
    </row>
    <row r="19810" spans="11:14" x14ac:dyDescent="0.3">
      <c r="K19810" s="1">
        <v>43739</v>
      </c>
      <c r="M19810" t="e">
        <v>#N/A</v>
      </c>
      <c r="N19810" s="1">
        <v>43374</v>
      </c>
    </row>
    <row r="19811" spans="11:14" x14ac:dyDescent="0.3">
      <c r="K19811" s="1">
        <v>43739</v>
      </c>
      <c r="M19811" t="e">
        <v>#N/A</v>
      </c>
      <c r="N19811" s="1">
        <v>43374</v>
      </c>
    </row>
    <row r="19812" spans="11:14" x14ac:dyDescent="0.3">
      <c r="K19812" s="1">
        <v>43739</v>
      </c>
      <c r="M19812" t="e">
        <v>#N/A</v>
      </c>
      <c r="N19812" s="1">
        <v>43374</v>
      </c>
    </row>
    <row r="19813" spans="11:14" x14ac:dyDescent="0.3">
      <c r="K19813" s="1">
        <v>43739</v>
      </c>
      <c r="M19813" t="e">
        <v>#N/A</v>
      </c>
      <c r="N19813" s="1">
        <v>43374</v>
      </c>
    </row>
    <row r="19814" spans="11:14" x14ac:dyDescent="0.3">
      <c r="K19814" s="1">
        <v>43739</v>
      </c>
      <c r="M19814" t="e">
        <v>#N/A</v>
      </c>
      <c r="N19814" s="1">
        <v>43374</v>
      </c>
    </row>
    <row r="19815" spans="11:14" x14ac:dyDescent="0.3">
      <c r="K19815" s="1">
        <v>43739</v>
      </c>
      <c r="M19815" t="e">
        <v>#N/A</v>
      </c>
      <c r="N19815" s="1">
        <v>43374</v>
      </c>
    </row>
    <row r="19816" spans="11:14" x14ac:dyDescent="0.3">
      <c r="K19816" s="1">
        <v>43739</v>
      </c>
      <c r="M19816" t="e">
        <v>#N/A</v>
      </c>
      <c r="N19816" s="1">
        <v>43374</v>
      </c>
    </row>
    <row r="19817" spans="11:14" x14ac:dyDescent="0.3">
      <c r="K19817" s="1">
        <v>43739</v>
      </c>
      <c r="M19817" t="e">
        <v>#N/A</v>
      </c>
      <c r="N19817" s="1">
        <v>43374</v>
      </c>
    </row>
    <row r="19818" spans="11:14" x14ac:dyDescent="0.3">
      <c r="K19818" s="1">
        <v>43739</v>
      </c>
      <c r="M19818" t="e">
        <v>#N/A</v>
      </c>
      <c r="N19818" s="1">
        <v>43374</v>
      </c>
    </row>
    <row r="19819" spans="11:14" x14ac:dyDescent="0.3">
      <c r="K19819" s="1">
        <v>43739</v>
      </c>
      <c r="M19819" t="e">
        <v>#N/A</v>
      </c>
      <c r="N19819" s="1">
        <v>43374</v>
      </c>
    </row>
    <row r="19820" spans="11:14" x14ac:dyDescent="0.3">
      <c r="K19820" s="1">
        <v>43739</v>
      </c>
      <c r="M19820" t="e">
        <v>#N/A</v>
      </c>
      <c r="N19820" s="1">
        <v>43374</v>
      </c>
    </row>
    <row r="19821" spans="11:14" x14ac:dyDescent="0.3">
      <c r="K19821" s="1">
        <v>43739</v>
      </c>
      <c r="M19821" t="e">
        <v>#N/A</v>
      </c>
      <c r="N19821" s="1">
        <v>43374</v>
      </c>
    </row>
    <row r="19822" spans="11:14" x14ac:dyDescent="0.3">
      <c r="K19822" s="1">
        <v>43739</v>
      </c>
      <c r="M19822" t="e">
        <v>#N/A</v>
      </c>
      <c r="N19822" s="1">
        <v>43374</v>
      </c>
    </row>
    <row r="19823" spans="11:14" x14ac:dyDescent="0.3">
      <c r="K19823" s="1">
        <v>43739</v>
      </c>
      <c r="M19823" t="e">
        <v>#N/A</v>
      </c>
      <c r="N19823" s="1">
        <v>43374</v>
      </c>
    </row>
    <row r="19824" spans="11:14" x14ac:dyDescent="0.3">
      <c r="K19824" s="1">
        <v>43739</v>
      </c>
      <c r="M19824" t="e">
        <v>#N/A</v>
      </c>
      <c r="N19824" s="1">
        <v>43374</v>
      </c>
    </row>
    <row r="19825" spans="11:14" x14ac:dyDescent="0.3">
      <c r="K19825" s="1">
        <v>43739</v>
      </c>
      <c r="M19825" t="e">
        <v>#N/A</v>
      </c>
      <c r="N19825" s="1">
        <v>43374</v>
      </c>
    </row>
    <row r="19826" spans="11:14" x14ac:dyDescent="0.3">
      <c r="K19826" s="1">
        <v>43739</v>
      </c>
      <c r="M19826" t="e">
        <v>#N/A</v>
      </c>
      <c r="N19826" s="1">
        <v>43374</v>
      </c>
    </row>
    <row r="19827" spans="11:14" x14ac:dyDescent="0.3">
      <c r="K19827" s="1">
        <v>43739</v>
      </c>
      <c r="M19827" t="e">
        <v>#N/A</v>
      </c>
      <c r="N19827" s="1">
        <v>43374</v>
      </c>
    </row>
    <row r="19828" spans="11:14" x14ac:dyDescent="0.3">
      <c r="K19828" s="1">
        <v>43739</v>
      </c>
      <c r="M19828" t="e">
        <v>#N/A</v>
      </c>
      <c r="N19828" s="1">
        <v>43374</v>
      </c>
    </row>
    <row r="19829" spans="11:14" x14ac:dyDescent="0.3">
      <c r="K19829" s="1">
        <v>43739</v>
      </c>
      <c r="M19829" t="e">
        <v>#N/A</v>
      </c>
      <c r="N19829" s="1">
        <v>43374</v>
      </c>
    </row>
    <row r="19830" spans="11:14" x14ac:dyDescent="0.3">
      <c r="K19830" s="1">
        <v>43739</v>
      </c>
      <c r="M19830" t="e">
        <v>#N/A</v>
      </c>
      <c r="N19830" s="1">
        <v>43374</v>
      </c>
    </row>
    <row r="19831" spans="11:14" x14ac:dyDescent="0.3">
      <c r="K19831" s="1">
        <v>43739</v>
      </c>
      <c r="M19831" t="e">
        <v>#N/A</v>
      </c>
      <c r="N19831" s="1">
        <v>43374</v>
      </c>
    </row>
    <row r="19832" spans="11:14" x14ac:dyDescent="0.3">
      <c r="K19832" s="1">
        <v>43739</v>
      </c>
      <c r="M19832" t="e">
        <v>#N/A</v>
      </c>
      <c r="N19832" s="1">
        <v>43374</v>
      </c>
    </row>
    <row r="19833" spans="11:14" x14ac:dyDescent="0.3">
      <c r="K19833" s="1">
        <v>43739</v>
      </c>
      <c r="M19833" t="e">
        <v>#N/A</v>
      </c>
      <c r="N19833" s="1">
        <v>43374</v>
      </c>
    </row>
    <row r="19834" spans="11:14" x14ac:dyDescent="0.3">
      <c r="K19834" s="1">
        <v>43739</v>
      </c>
      <c r="M19834" t="e">
        <v>#N/A</v>
      </c>
      <c r="N19834" s="1">
        <v>43374</v>
      </c>
    </row>
    <row r="19835" spans="11:14" x14ac:dyDescent="0.3">
      <c r="K19835" s="1">
        <v>43739</v>
      </c>
      <c r="M19835" t="e">
        <v>#N/A</v>
      </c>
      <c r="N19835" s="1">
        <v>43374</v>
      </c>
    </row>
    <row r="19836" spans="11:14" x14ac:dyDescent="0.3">
      <c r="K19836" s="1">
        <v>43739</v>
      </c>
      <c r="M19836" t="e">
        <v>#N/A</v>
      </c>
      <c r="N19836" s="1">
        <v>43374</v>
      </c>
    </row>
    <row r="19837" spans="11:14" x14ac:dyDescent="0.3">
      <c r="K19837" s="1">
        <v>43739</v>
      </c>
      <c r="M19837" t="e">
        <v>#N/A</v>
      </c>
      <c r="N19837" s="1">
        <v>43374</v>
      </c>
    </row>
    <row r="19838" spans="11:14" x14ac:dyDescent="0.3">
      <c r="K19838" s="1">
        <v>43739</v>
      </c>
      <c r="M19838" t="e">
        <v>#N/A</v>
      </c>
      <c r="N19838" s="1">
        <v>43374</v>
      </c>
    </row>
    <row r="19839" spans="11:14" x14ac:dyDescent="0.3">
      <c r="K19839" s="1">
        <v>43739</v>
      </c>
      <c r="M19839" t="e">
        <v>#N/A</v>
      </c>
      <c r="N19839" s="1">
        <v>43374</v>
      </c>
    </row>
    <row r="19840" spans="11:14" x14ac:dyDescent="0.3">
      <c r="K19840" s="1">
        <v>43739</v>
      </c>
      <c r="M19840" t="e">
        <v>#N/A</v>
      </c>
      <c r="N19840" s="1">
        <v>43374</v>
      </c>
    </row>
    <row r="19841" spans="11:14" x14ac:dyDescent="0.3">
      <c r="K19841" s="1">
        <v>43739</v>
      </c>
      <c r="M19841" t="e">
        <v>#N/A</v>
      </c>
      <c r="N19841" s="1">
        <v>43374</v>
      </c>
    </row>
    <row r="19842" spans="11:14" x14ac:dyDescent="0.3">
      <c r="K19842" s="1">
        <v>43739</v>
      </c>
      <c r="M19842" t="e">
        <v>#N/A</v>
      </c>
      <c r="N19842" s="1">
        <v>43374</v>
      </c>
    </row>
    <row r="19843" spans="11:14" x14ac:dyDescent="0.3">
      <c r="K19843" s="1">
        <v>43739</v>
      </c>
      <c r="M19843" t="e">
        <v>#N/A</v>
      </c>
      <c r="N19843" s="1">
        <v>43374</v>
      </c>
    </row>
    <row r="19844" spans="11:14" x14ac:dyDescent="0.3">
      <c r="K19844" s="1">
        <v>43739</v>
      </c>
      <c r="M19844" t="e">
        <v>#N/A</v>
      </c>
      <c r="N19844" s="1">
        <v>43374</v>
      </c>
    </row>
    <row r="19845" spans="11:14" x14ac:dyDescent="0.3">
      <c r="K19845" s="1">
        <v>43739</v>
      </c>
      <c r="M19845" t="e">
        <v>#N/A</v>
      </c>
      <c r="N19845" s="1">
        <v>43374</v>
      </c>
    </row>
    <row r="19846" spans="11:14" x14ac:dyDescent="0.3">
      <c r="K19846" s="1">
        <v>43739</v>
      </c>
      <c r="M19846" t="e">
        <v>#N/A</v>
      </c>
      <c r="N19846" s="1">
        <v>43374</v>
      </c>
    </row>
    <row r="19847" spans="11:14" x14ac:dyDescent="0.3">
      <c r="K19847" s="1">
        <v>43739</v>
      </c>
      <c r="M19847" t="e">
        <v>#N/A</v>
      </c>
      <c r="N19847" s="1">
        <v>43374</v>
      </c>
    </row>
    <row r="19848" spans="11:14" x14ac:dyDescent="0.3">
      <c r="K19848" s="1">
        <v>43739</v>
      </c>
      <c r="M19848" t="e">
        <v>#N/A</v>
      </c>
      <c r="N19848" s="1">
        <v>43374</v>
      </c>
    </row>
    <row r="19849" spans="11:14" x14ac:dyDescent="0.3">
      <c r="K19849" s="1">
        <v>43739</v>
      </c>
      <c r="M19849" t="e">
        <v>#N/A</v>
      </c>
      <c r="N19849" s="1">
        <v>43374</v>
      </c>
    </row>
    <row r="19850" spans="11:14" x14ac:dyDescent="0.3">
      <c r="K19850" s="1">
        <v>43739</v>
      </c>
      <c r="M19850" t="e">
        <v>#N/A</v>
      </c>
      <c r="N19850" s="1">
        <v>43374</v>
      </c>
    </row>
    <row r="19851" spans="11:14" x14ac:dyDescent="0.3">
      <c r="K19851" s="1">
        <v>43739</v>
      </c>
      <c r="M19851" t="e">
        <v>#N/A</v>
      </c>
      <c r="N19851" s="1">
        <v>43374</v>
      </c>
    </row>
    <row r="19852" spans="11:14" x14ac:dyDescent="0.3">
      <c r="K19852" s="1">
        <v>43739</v>
      </c>
      <c r="M19852" t="e">
        <v>#N/A</v>
      </c>
      <c r="N19852" s="1">
        <v>43374</v>
      </c>
    </row>
    <row r="19853" spans="11:14" x14ac:dyDescent="0.3">
      <c r="K19853" s="1">
        <v>43739</v>
      </c>
      <c r="M19853" t="e">
        <v>#N/A</v>
      </c>
      <c r="N19853" s="1">
        <v>43374</v>
      </c>
    </row>
    <row r="19854" spans="11:14" x14ac:dyDescent="0.3">
      <c r="K19854" s="1">
        <v>43739</v>
      </c>
      <c r="M19854" t="e">
        <v>#N/A</v>
      </c>
      <c r="N19854" s="1">
        <v>43374</v>
      </c>
    </row>
    <row r="19855" spans="11:14" x14ac:dyDescent="0.3">
      <c r="K19855" s="1">
        <v>43739</v>
      </c>
      <c r="M19855" t="e">
        <v>#N/A</v>
      </c>
      <c r="N19855" s="1">
        <v>43374</v>
      </c>
    </row>
    <row r="19856" spans="11:14" x14ac:dyDescent="0.3">
      <c r="K19856" s="1">
        <v>43739</v>
      </c>
      <c r="M19856" t="e">
        <v>#N/A</v>
      </c>
      <c r="N19856" s="1">
        <v>43374</v>
      </c>
    </row>
    <row r="19857" spans="11:14" x14ac:dyDescent="0.3">
      <c r="K19857" s="1">
        <v>43739</v>
      </c>
      <c r="M19857" t="e">
        <v>#N/A</v>
      </c>
      <c r="N19857" s="1">
        <v>43374</v>
      </c>
    </row>
    <row r="19858" spans="11:14" x14ac:dyDescent="0.3">
      <c r="K19858" s="1">
        <v>43739</v>
      </c>
      <c r="M19858" t="e">
        <v>#N/A</v>
      </c>
      <c r="N19858" s="1">
        <v>43374</v>
      </c>
    </row>
    <row r="19859" spans="11:14" x14ac:dyDescent="0.3">
      <c r="K19859" s="1">
        <v>43739</v>
      </c>
      <c r="M19859" t="e">
        <v>#N/A</v>
      </c>
      <c r="N19859" s="1">
        <v>43374</v>
      </c>
    </row>
    <row r="19860" spans="11:14" x14ac:dyDescent="0.3">
      <c r="K19860" s="1">
        <v>43739</v>
      </c>
      <c r="M19860" t="e">
        <v>#N/A</v>
      </c>
      <c r="N19860" s="1">
        <v>43374</v>
      </c>
    </row>
    <row r="19861" spans="11:14" x14ac:dyDescent="0.3">
      <c r="K19861" s="1">
        <v>43739</v>
      </c>
      <c r="M19861" t="e">
        <v>#N/A</v>
      </c>
      <c r="N19861" s="1">
        <v>43374</v>
      </c>
    </row>
    <row r="19862" spans="11:14" x14ac:dyDescent="0.3">
      <c r="K19862" s="1">
        <v>43739</v>
      </c>
      <c r="M19862" t="e">
        <v>#N/A</v>
      </c>
      <c r="N19862" s="1">
        <v>43374</v>
      </c>
    </row>
    <row r="19863" spans="11:14" x14ac:dyDescent="0.3">
      <c r="K19863" s="1">
        <v>43739</v>
      </c>
      <c r="M19863" t="e">
        <v>#N/A</v>
      </c>
      <c r="N19863" s="1">
        <v>43374</v>
      </c>
    </row>
    <row r="19864" spans="11:14" x14ac:dyDescent="0.3">
      <c r="K19864" s="1">
        <v>43739</v>
      </c>
      <c r="M19864" t="e">
        <v>#N/A</v>
      </c>
      <c r="N19864" s="1">
        <v>43374</v>
      </c>
    </row>
    <row r="19865" spans="11:14" x14ac:dyDescent="0.3">
      <c r="K19865" s="1">
        <v>43739</v>
      </c>
      <c r="M19865" t="e">
        <v>#N/A</v>
      </c>
      <c r="N19865" s="1">
        <v>43374</v>
      </c>
    </row>
    <row r="19866" spans="11:14" x14ac:dyDescent="0.3">
      <c r="K19866" s="1">
        <v>43739</v>
      </c>
      <c r="M19866" t="e">
        <v>#N/A</v>
      </c>
      <c r="N19866" s="1">
        <v>43374</v>
      </c>
    </row>
    <row r="19867" spans="11:14" x14ac:dyDescent="0.3">
      <c r="K19867" s="1">
        <v>43739</v>
      </c>
      <c r="M19867" t="e">
        <v>#N/A</v>
      </c>
      <c r="N19867" s="1">
        <v>43374</v>
      </c>
    </row>
    <row r="19868" spans="11:14" x14ac:dyDescent="0.3">
      <c r="K19868" s="1">
        <v>43739</v>
      </c>
      <c r="M19868" t="e">
        <v>#N/A</v>
      </c>
      <c r="N19868" s="1">
        <v>43374</v>
      </c>
    </row>
    <row r="19869" spans="11:14" x14ac:dyDescent="0.3">
      <c r="K19869" s="1">
        <v>43739</v>
      </c>
      <c r="M19869" t="e">
        <v>#N/A</v>
      </c>
      <c r="N19869" s="1">
        <v>43374</v>
      </c>
    </row>
    <row r="19870" spans="11:14" x14ac:dyDescent="0.3">
      <c r="K19870" s="1">
        <v>43739</v>
      </c>
      <c r="M19870" t="e">
        <v>#N/A</v>
      </c>
      <c r="N19870" s="1">
        <v>43374</v>
      </c>
    </row>
    <row r="19871" spans="11:14" x14ac:dyDescent="0.3">
      <c r="K19871" s="1">
        <v>43739</v>
      </c>
      <c r="M19871" t="e">
        <v>#N/A</v>
      </c>
      <c r="N19871" s="1">
        <v>43374</v>
      </c>
    </row>
    <row r="19872" spans="11:14" x14ac:dyDescent="0.3">
      <c r="K19872" s="1">
        <v>43739</v>
      </c>
      <c r="M19872" t="e">
        <v>#N/A</v>
      </c>
      <c r="N19872" s="1">
        <v>43374</v>
      </c>
    </row>
    <row r="19873" spans="11:14" x14ac:dyDescent="0.3">
      <c r="K19873" s="1">
        <v>43739</v>
      </c>
      <c r="M19873" t="e">
        <v>#N/A</v>
      </c>
      <c r="N19873" s="1">
        <v>43374</v>
      </c>
    </row>
    <row r="19874" spans="11:14" x14ac:dyDescent="0.3">
      <c r="K19874" s="1">
        <v>43739</v>
      </c>
      <c r="M19874" t="e">
        <v>#N/A</v>
      </c>
      <c r="N19874" s="1">
        <v>43374</v>
      </c>
    </row>
    <row r="19875" spans="11:14" x14ac:dyDescent="0.3">
      <c r="K19875" s="1">
        <v>43739</v>
      </c>
      <c r="M19875" t="e">
        <v>#N/A</v>
      </c>
      <c r="N19875" s="1">
        <v>43374</v>
      </c>
    </row>
    <row r="19876" spans="11:14" x14ac:dyDescent="0.3">
      <c r="K19876" s="1">
        <v>43739</v>
      </c>
      <c r="M19876" t="e">
        <v>#N/A</v>
      </c>
      <c r="N19876" s="1">
        <v>43374</v>
      </c>
    </row>
    <row r="19877" spans="11:14" x14ac:dyDescent="0.3">
      <c r="K19877" s="1">
        <v>43739</v>
      </c>
      <c r="M19877" t="e">
        <v>#N/A</v>
      </c>
      <c r="N19877" s="1">
        <v>43374</v>
      </c>
    </row>
    <row r="19878" spans="11:14" x14ac:dyDescent="0.3">
      <c r="K19878" s="1">
        <v>43739</v>
      </c>
      <c r="M19878" t="e">
        <v>#N/A</v>
      </c>
      <c r="N19878" s="1">
        <v>43374</v>
      </c>
    </row>
    <row r="19879" spans="11:14" x14ac:dyDescent="0.3">
      <c r="K19879" s="1">
        <v>43739</v>
      </c>
      <c r="M19879" t="e">
        <v>#N/A</v>
      </c>
      <c r="N19879" s="1">
        <v>43374</v>
      </c>
    </row>
    <row r="19880" spans="11:14" x14ac:dyDescent="0.3">
      <c r="K19880" s="1">
        <v>43739</v>
      </c>
      <c r="M19880" t="e">
        <v>#N/A</v>
      </c>
      <c r="N19880" s="1">
        <v>43374</v>
      </c>
    </row>
    <row r="19881" spans="11:14" x14ac:dyDescent="0.3">
      <c r="K19881" s="1">
        <v>43739</v>
      </c>
      <c r="M19881" t="e">
        <v>#N/A</v>
      </c>
      <c r="N19881" s="1">
        <v>43374</v>
      </c>
    </row>
    <row r="19882" spans="11:14" x14ac:dyDescent="0.3">
      <c r="K19882" s="1">
        <v>43739</v>
      </c>
      <c r="M19882" t="e">
        <v>#N/A</v>
      </c>
      <c r="N19882" s="1">
        <v>43374</v>
      </c>
    </row>
    <row r="19883" spans="11:14" x14ac:dyDescent="0.3">
      <c r="K19883" s="1">
        <v>43739</v>
      </c>
      <c r="M19883" t="e">
        <v>#N/A</v>
      </c>
      <c r="N19883" s="1">
        <v>43374</v>
      </c>
    </row>
    <row r="19884" spans="11:14" x14ac:dyDescent="0.3">
      <c r="K19884" s="1">
        <v>43739</v>
      </c>
      <c r="M19884" t="e">
        <v>#N/A</v>
      </c>
      <c r="N19884" s="1">
        <v>43374</v>
      </c>
    </row>
    <row r="19885" spans="11:14" x14ac:dyDescent="0.3">
      <c r="K19885" s="1">
        <v>43739</v>
      </c>
      <c r="M19885" t="e">
        <v>#N/A</v>
      </c>
      <c r="N19885" s="1">
        <v>43374</v>
      </c>
    </row>
    <row r="19886" spans="11:14" x14ac:dyDescent="0.3">
      <c r="K19886" s="1">
        <v>43739</v>
      </c>
      <c r="M19886" t="e">
        <v>#N/A</v>
      </c>
      <c r="N19886" s="1">
        <v>43374</v>
      </c>
    </row>
    <row r="19887" spans="11:14" x14ac:dyDescent="0.3">
      <c r="K19887" s="1">
        <v>43739</v>
      </c>
      <c r="M19887" t="e">
        <v>#N/A</v>
      </c>
      <c r="N19887" s="1">
        <v>43374</v>
      </c>
    </row>
    <row r="19888" spans="11:14" x14ac:dyDescent="0.3">
      <c r="K19888" s="1">
        <v>43739</v>
      </c>
      <c r="M19888" t="e">
        <v>#N/A</v>
      </c>
      <c r="N19888" s="1">
        <v>43374</v>
      </c>
    </row>
    <row r="19889" spans="11:14" x14ac:dyDescent="0.3">
      <c r="K19889" s="1">
        <v>43739</v>
      </c>
      <c r="M19889" t="e">
        <v>#N/A</v>
      </c>
      <c r="N19889" s="1">
        <v>43374</v>
      </c>
    </row>
    <row r="19890" spans="11:14" x14ac:dyDescent="0.3">
      <c r="K19890" s="1">
        <v>43739</v>
      </c>
      <c r="M19890" t="e">
        <v>#N/A</v>
      </c>
      <c r="N19890" s="1">
        <v>43374</v>
      </c>
    </row>
    <row r="19891" spans="11:14" x14ac:dyDescent="0.3">
      <c r="K19891" s="1">
        <v>43739</v>
      </c>
      <c r="M19891" t="e">
        <v>#N/A</v>
      </c>
      <c r="N19891" s="1">
        <v>43374</v>
      </c>
    </row>
    <row r="19892" spans="11:14" x14ac:dyDescent="0.3">
      <c r="K19892" s="1">
        <v>43739</v>
      </c>
      <c r="M19892" t="e">
        <v>#N/A</v>
      </c>
      <c r="N19892" s="1">
        <v>43374</v>
      </c>
    </row>
    <row r="19893" spans="11:14" x14ac:dyDescent="0.3">
      <c r="K19893" s="1">
        <v>43739</v>
      </c>
      <c r="M19893" t="e">
        <v>#N/A</v>
      </c>
      <c r="N19893" s="1">
        <v>43374</v>
      </c>
    </row>
    <row r="19894" spans="11:14" x14ac:dyDescent="0.3">
      <c r="K19894" s="1">
        <v>43739</v>
      </c>
      <c r="M19894" t="e">
        <v>#N/A</v>
      </c>
      <c r="N19894" s="1">
        <v>43374</v>
      </c>
    </row>
    <row r="19895" spans="11:14" x14ac:dyDescent="0.3">
      <c r="K19895" s="1">
        <v>43739</v>
      </c>
      <c r="M19895" t="e">
        <v>#N/A</v>
      </c>
      <c r="N19895" s="1">
        <v>43374</v>
      </c>
    </row>
    <row r="19896" spans="11:14" x14ac:dyDescent="0.3">
      <c r="K19896" s="1">
        <v>43739</v>
      </c>
      <c r="M19896" t="e">
        <v>#N/A</v>
      </c>
      <c r="N19896" s="1">
        <v>43374</v>
      </c>
    </row>
    <row r="19897" spans="11:14" x14ac:dyDescent="0.3">
      <c r="K19897" s="1">
        <v>43739</v>
      </c>
      <c r="M19897" t="e">
        <v>#N/A</v>
      </c>
      <c r="N19897" s="1">
        <v>43374</v>
      </c>
    </row>
    <row r="19898" spans="11:14" x14ac:dyDescent="0.3">
      <c r="K19898" s="1">
        <v>43739</v>
      </c>
      <c r="M19898" t="e">
        <v>#N/A</v>
      </c>
      <c r="N19898" s="1">
        <v>43374</v>
      </c>
    </row>
    <row r="19899" spans="11:14" x14ac:dyDescent="0.3">
      <c r="K19899" s="1">
        <v>43739</v>
      </c>
      <c r="M19899" t="e">
        <v>#N/A</v>
      </c>
      <c r="N19899" s="1">
        <v>43374</v>
      </c>
    </row>
    <row r="19900" spans="11:14" x14ac:dyDescent="0.3">
      <c r="K19900" s="1">
        <v>43739</v>
      </c>
      <c r="M19900" t="e">
        <v>#N/A</v>
      </c>
      <c r="N19900" s="1">
        <v>43374</v>
      </c>
    </row>
    <row r="19901" spans="11:14" x14ac:dyDescent="0.3">
      <c r="K19901" s="1">
        <v>43739</v>
      </c>
      <c r="M19901" t="e">
        <v>#N/A</v>
      </c>
      <c r="N19901" s="1">
        <v>43374</v>
      </c>
    </row>
    <row r="19902" spans="11:14" x14ac:dyDescent="0.3">
      <c r="K19902" s="1">
        <v>43739</v>
      </c>
      <c r="M19902" t="e">
        <v>#N/A</v>
      </c>
      <c r="N19902" s="1">
        <v>43374</v>
      </c>
    </row>
    <row r="19903" spans="11:14" x14ac:dyDescent="0.3">
      <c r="K19903" s="1">
        <v>43739</v>
      </c>
      <c r="M19903" t="e">
        <v>#N/A</v>
      </c>
      <c r="N19903" s="1">
        <v>43374</v>
      </c>
    </row>
    <row r="19904" spans="11:14" x14ac:dyDescent="0.3">
      <c r="K19904" s="1">
        <v>43739</v>
      </c>
      <c r="M19904" t="e">
        <v>#N/A</v>
      </c>
      <c r="N19904" s="1">
        <v>43374</v>
      </c>
    </row>
    <row r="19905" spans="11:14" x14ac:dyDescent="0.3">
      <c r="K19905" s="1">
        <v>43739</v>
      </c>
      <c r="M19905" t="e">
        <v>#N/A</v>
      </c>
      <c r="N19905" s="1">
        <v>43374</v>
      </c>
    </row>
    <row r="19906" spans="11:14" x14ac:dyDescent="0.3">
      <c r="K19906" s="1">
        <v>43739</v>
      </c>
      <c r="M19906" t="e">
        <v>#N/A</v>
      </c>
      <c r="N19906" s="1">
        <v>43374</v>
      </c>
    </row>
    <row r="19907" spans="11:14" x14ac:dyDescent="0.3">
      <c r="K19907" s="1">
        <v>43739</v>
      </c>
      <c r="M19907" t="e">
        <v>#N/A</v>
      </c>
      <c r="N19907" s="1">
        <v>43374</v>
      </c>
    </row>
    <row r="19908" spans="11:14" x14ac:dyDescent="0.3">
      <c r="K19908" s="1">
        <v>43739</v>
      </c>
      <c r="M19908" t="e">
        <v>#N/A</v>
      </c>
      <c r="N19908" s="1">
        <v>43374</v>
      </c>
    </row>
    <row r="19909" spans="11:14" x14ac:dyDescent="0.3">
      <c r="K19909" s="1">
        <v>43739</v>
      </c>
      <c r="M19909" t="e">
        <v>#N/A</v>
      </c>
      <c r="N19909" s="1">
        <v>43374</v>
      </c>
    </row>
    <row r="19910" spans="11:14" x14ac:dyDescent="0.3">
      <c r="K19910" s="1">
        <v>43739</v>
      </c>
      <c r="M19910" t="e">
        <v>#N/A</v>
      </c>
      <c r="N19910" s="1">
        <v>43374</v>
      </c>
    </row>
    <row r="19911" spans="11:14" x14ac:dyDescent="0.3">
      <c r="K19911" s="1">
        <v>43739</v>
      </c>
      <c r="M19911" t="e">
        <v>#N/A</v>
      </c>
      <c r="N19911" s="1">
        <v>43374</v>
      </c>
    </row>
    <row r="19912" spans="11:14" x14ac:dyDescent="0.3">
      <c r="K19912" s="1">
        <v>43739</v>
      </c>
      <c r="M19912" t="e">
        <v>#N/A</v>
      </c>
      <c r="N19912" s="1">
        <v>43374</v>
      </c>
    </row>
    <row r="19913" spans="11:14" x14ac:dyDescent="0.3">
      <c r="K19913" s="1">
        <v>43739</v>
      </c>
      <c r="M19913" t="e">
        <v>#N/A</v>
      </c>
      <c r="N19913" s="1">
        <v>43374</v>
      </c>
    </row>
    <row r="19914" spans="11:14" x14ac:dyDescent="0.3">
      <c r="K19914" s="1">
        <v>43739</v>
      </c>
      <c r="M19914" t="e">
        <v>#N/A</v>
      </c>
      <c r="N19914" s="1">
        <v>43374</v>
      </c>
    </row>
    <row r="19915" spans="11:14" x14ac:dyDescent="0.3">
      <c r="K19915" s="1">
        <v>43739</v>
      </c>
      <c r="M19915" t="e">
        <v>#N/A</v>
      </c>
      <c r="N19915" s="1">
        <v>43374</v>
      </c>
    </row>
    <row r="19916" spans="11:14" x14ac:dyDescent="0.3">
      <c r="K19916" s="1">
        <v>43739</v>
      </c>
      <c r="M19916" t="e">
        <v>#N/A</v>
      </c>
      <c r="N19916" s="1">
        <v>43374</v>
      </c>
    </row>
    <row r="19917" spans="11:14" x14ac:dyDescent="0.3">
      <c r="K19917" s="1">
        <v>43739</v>
      </c>
      <c r="M19917" t="e">
        <v>#N/A</v>
      </c>
      <c r="N19917" s="1">
        <v>43374</v>
      </c>
    </row>
    <row r="19918" spans="11:14" x14ac:dyDescent="0.3">
      <c r="K19918" s="1">
        <v>43739</v>
      </c>
      <c r="M19918" t="e">
        <v>#N/A</v>
      </c>
      <c r="N19918" s="1">
        <v>43374</v>
      </c>
    </row>
    <row r="19919" spans="11:14" x14ac:dyDescent="0.3">
      <c r="K19919" s="1">
        <v>43739</v>
      </c>
      <c r="M19919" t="e">
        <v>#N/A</v>
      </c>
      <c r="N19919" s="1">
        <v>43374</v>
      </c>
    </row>
    <row r="19920" spans="11:14" x14ac:dyDescent="0.3">
      <c r="K19920" s="1">
        <v>43739</v>
      </c>
      <c r="M19920" t="e">
        <v>#N/A</v>
      </c>
      <c r="N19920" s="1">
        <v>43374</v>
      </c>
    </row>
    <row r="19921" spans="11:14" x14ac:dyDescent="0.3">
      <c r="K19921" s="1">
        <v>43739</v>
      </c>
      <c r="M19921" t="e">
        <v>#N/A</v>
      </c>
      <c r="N19921" s="1">
        <v>43374</v>
      </c>
    </row>
    <row r="19922" spans="11:14" x14ac:dyDescent="0.3">
      <c r="K19922" s="1">
        <v>43739</v>
      </c>
      <c r="M19922" t="e">
        <v>#N/A</v>
      </c>
      <c r="N19922" s="1">
        <v>43374</v>
      </c>
    </row>
    <row r="19923" spans="11:14" x14ac:dyDescent="0.3">
      <c r="K19923" s="1">
        <v>43739</v>
      </c>
      <c r="M19923" t="e">
        <v>#N/A</v>
      </c>
      <c r="N19923" s="1">
        <v>43374</v>
      </c>
    </row>
    <row r="19924" spans="11:14" x14ac:dyDescent="0.3">
      <c r="K19924" s="1">
        <v>43739</v>
      </c>
      <c r="M19924" t="e">
        <v>#N/A</v>
      </c>
      <c r="N19924" s="1">
        <v>43374</v>
      </c>
    </row>
    <row r="19925" spans="11:14" x14ac:dyDescent="0.3">
      <c r="K19925" s="1">
        <v>43739</v>
      </c>
      <c r="M19925" t="e">
        <v>#N/A</v>
      </c>
      <c r="N19925" s="1">
        <v>43374</v>
      </c>
    </row>
    <row r="19926" spans="11:14" x14ac:dyDescent="0.3">
      <c r="K19926" s="1">
        <v>43739</v>
      </c>
      <c r="M19926" t="e">
        <v>#N/A</v>
      </c>
      <c r="N19926" s="1">
        <v>43374</v>
      </c>
    </row>
    <row r="19927" spans="11:14" x14ac:dyDescent="0.3">
      <c r="K19927" s="1">
        <v>43739</v>
      </c>
      <c r="M19927" t="e">
        <v>#N/A</v>
      </c>
      <c r="N19927" s="1">
        <v>43374</v>
      </c>
    </row>
    <row r="19928" spans="11:14" x14ac:dyDescent="0.3">
      <c r="K19928" s="1">
        <v>43739</v>
      </c>
      <c r="M19928" t="e">
        <v>#N/A</v>
      </c>
      <c r="N19928" s="1">
        <v>43374</v>
      </c>
    </row>
    <row r="19929" spans="11:14" x14ac:dyDescent="0.3">
      <c r="K19929" s="1">
        <v>43739</v>
      </c>
      <c r="M19929" t="e">
        <v>#N/A</v>
      </c>
      <c r="N19929" s="1">
        <v>43374</v>
      </c>
    </row>
    <row r="19930" spans="11:14" x14ac:dyDescent="0.3">
      <c r="K19930" s="1">
        <v>43739</v>
      </c>
      <c r="M19930" t="e">
        <v>#N/A</v>
      </c>
      <c r="N19930" s="1">
        <v>43374</v>
      </c>
    </row>
    <row r="19931" spans="11:14" x14ac:dyDescent="0.3">
      <c r="K19931" s="1">
        <v>43739</v>
      </c>
      <c r="M19931" t="e">
        <v>#N/A</v>
      </c>
      <c r="N19931" s="1">
        <v>43374</v>
      </c>
    </row>
    <row r="19932" spans="11:14" x14ac:dyDescent="0.3">
      <c r="K19932" s="1">
        <v>43739</v>
      </c>
      <c r="M19932" t="e">
        <v>#N/A</v>
      </c>
      <c r="N19932" s="1">
        <v>43374</v>
      </c>
    </row>
    <row r="19933" spans="11:14" x14ac:dyDescent="0.3">
      <c r="K19933" s="1">
        <v>43739</v>
      </c>
      <c r="M19933" t="e">
        <v>#N/A</v>
      </c>
      <c r="N19933" s="1">
        <v>43374</v>
      </c>
    </row>
    <row r="19934" spans="11:14" x14ac:dyDescent="0.3">
      <c r="K19934" s="1">
        <v>43739</v>
      </c>
      <c r="M19934" t="e">
        <v>#N/A</v>
      </c>
      <c r="N19934" s="1">
        <v>43374</v>
      </c>
    </row>
    <row r="19935" spans="11:14" x14ac:dyDescent="0.3">
      <c r="K19935" s="1">
        <v>43739</v>
      </c>
      <c r="M19935" t="e">
        <v>#N/A</v>
      </c>
      <c r="N19935" s="1">
        <v>43374</v>
      </c>
    </row>
    <row r="19936" spans="11:14" x14ac:dyDescent="0.3">
      <c r="K19936" s="1">
        <v>43739</v>
      </c>
      <c r="M19936" t="e">
        <v>#N/A</v>
      </c>
      <c r="N19936" s="1">
        <v>43374</v>
      </c>
    </row>
    <row r="19937" spans="11:14" x14ac:dyDescent="0.3">
      <c r="K19937" s="1">
        <v>43739</v>
      </c>
      <c r="M19937" t="e">
        <v>#N/A</v>
      </c>
      <c r="N19937" s="1">
        <v>43374</v>
      </c>
    </row>
    <row r="19938" spans="11:14" x14ac:dyDescent="0.3">
      <c r="K19938" s="1">
        <v>43739</v>
      </c>
      <c r="M19938" t="e">
        <v>#N/A</v>
      </c>
      <c r="N19938" s="1">
        <v>43374</v>
      </c>
    </row>
    <row r="19939" spans="11:14" x14ac:dyDescent="0.3">
      <c r="K19939" s="1">
        <v>43739</v>
      </c>
      <c r="M19939" t="e">
        <v>#N/A</v>
      </c>
      <c r="N19939" s="1">
        <v>43374</v>
      </c>
    </row>
    <row r="19940" spans="11:14" x14ac:dyDescent="0.3">
      <c r="K19940" s="1">
        <v>43739</v>
      </c>
      <c r="M19940" t="e">
        <v>#N/A</v>
      </c>
      <c r="N19940" s="1">
        <v>43374</v>
      </c>
    </row>
    <row r="19941" spans="11:14" x14ac:dyDescent="0.3">
      <c r="K19941" s="1">
        <v>43739</v>
      </c>
      <c r="M19941" t="e">
        <v>#N/A</v>
      </c>
      <c r="N19941" s="1">
        <v>43374</v>
      </c>
    </row>
    <row r="19942" spans="11:14" x14ac:dyDescent="0.3">
      <c r="K19942" s="1">
        <v>43739</v>
      </c>
      <c r="M19942" t="e">
        <v>#N/A</v>
      </c>
      <c r="N19942" s="1">
        <v>43374</v>
      </c>
    </row>
    <row r="19943" spans="11:14" x14ac:dyDescent="0.3">
      <c r="K19943" s="1">
        <v>43739</v>
      </c>
      <c r="M19943" t="e">
        <v>#N/A</v>
      </c>
      <c r="N19943" s="1">
        <v>43374</v>
      </c>
    </row>
    <row r="19944" spans="11:14" x14ac:dyDescent="0.3">
      <c r="K19944" s="1">
        <v>43739</v>
      </c>
      <c r="M19944" t="e">
        <v>#N/A</v>
      </c>
      <c r="N19944" s="1">
        <v>43374</v>
      </c>
    </row>
    <row r="19945" spans="11:14" x14ac:dyDescent="0.3">
      <c r="K19945" s="1">
        <v>43739</v>
      </c>
      <c r="M19945" t="e">
        <v>#N/A</v>
      </c>
      <c r="N19945" s="1">
        <v>43374</v>
      </c>
    </row>
    <row r="19946" spans="11:14" x14ac:dyDescent="0.3">
      <c r="K19946" s="1">
        <v>43739</v>
      </c>
      <c r="M19946" t="e">
        <v>#N/A</v>
      </c>
      <c r="N19946" s="1">
        <v>43374</v>
      </c>
    </row>
    <row r="19947" spans="11:14" x14ac:dyDescent="0.3">
      <c r="K19947" s="1">
        <v>43739</v>
      </c>
      <c r="M19947" t="e">
        <v>#N/A</v>
      </c>
      <c r="N19947" s="1">
        <v>43374</v>
      </c>
    </row>
    <row r="19948" spans="11:14" x14ac:dyDescent="0.3">
      <c r="K19948" s="1">
        <v>43739</v>
      </c>
      <c r="M19948" t="e">
        <v>#N/A</v>
      </c>
      <c r="N19948" s="1">
        <v>43374</v>
      </c>
    </row>
    <row r="19949" spans="11:14" x14ac:dyDescent="0.3">
      <c r="K19949" s="1">
        <v>43739</v>
      </c>
      <c r="M19949" t="e">
        <v>#N/A</v>
      </c>
      <c r="N19949" s="1">
        <v>43374</v>
      </c>
    </row>
    <row r="19950" spans="11:14" x14ac:dyDescent="0.3">
      <c r="K19950" s="1">
        <v>43739</v>
      </c>
      <c r="M19950" t="e">
        <v>#N/A</v>
      </c>
      <c r="N19950" s="1">
        <v>43374</v>
      </c>
    </row>
    <row r="19951" spans="11:14" x14ac:dyDescent="0.3">
      <c r="K19951" s="1">
        <v>43739</v>
      </c>
      <c r="M19951" t="e">
        <v>#N/A</v>
      </c>
      <c r="N19951" s="1">
        <v>43374</v>
      </c>
    </row>
    <row r="19952" spans="11:14" x14ac:dyDescent="0.3">
      <c r="K19952" s="1">
        <v>43739</v>
      </c>
      <c r="M19952" t="e">
        <v>#N/A</v>
      </c>
      <c r="N19952" s="1">
        <v>43374</v>
      </c>
    </row>
    <row r="19953" spans="11:14" x14ac:dyDescent="0.3">
      <c r="K19953" s="1">
        <v>43739</v>
      </c>
      <c r="M19953" t="e">
        <v>#N/A</v>
      </c>
      <c r="N19953" s="1">
        <v>43374</v>
      </c>
    </row>
    <row r="19954" spans="11:14" x14ac:dyDescent="0.3">
      <c r="K19954" s="1">
        <v>43739</v>
      </c>
      <c r="M19954" t="e">
        <v>#N/A</v>
      </c>
      <c r="N19954" s="1">
        <v>43374</v>
      </c>
    </row>
    <row r="19955" spans="11:14" x14ac:dyDescent="0.3">
      <c r="K19955" s="1">
        <v>43739</v>
      </c>
      <c r="M19955" t="e">
        <v>#N/A</v>
      </c>
      <c r="N19955" s="1">
        <v>43374</v>
      </c>
    </row>
    <row r="19956" spans="11:14" x14ac:dyDescent="0.3">
      <c r="K19956" s="1">
        <v>43739</v>
      </c>
      <c r="M19956" t="e">
        <v>#N/A</v>
      </c>
      <c r="N19956" s="1">
        <v>43374</v>
      </c>
    </row>
    <row r="19957" spans="11:14" x14ac:dyDescent="0.3">
      <c r="K19957" s="1">
        <v>43739</v>
      </c>
      <c r="M19957" t="e">
        <v>#N/A</v>
      </c>
      <c r="N19957" s="1">
        <v>43374</v>
      </c>
    </row>
    <row r="19958" spans="11:14" x14ac:dyDescent="0.3">
      <c r="K19958" s="1">
        <v>43739</v>
      </c>
      <c r="M19958" t="e">
        <v>#N/A</v>
      </c>
      <c r="N19958" s="1">
        <v>43374</v>
      </c>
    </row>
    <row r="19959" spans="11:14" x14ac:dyDescent="0.3">
      <c r="K19959" s="1">
        <v>43739</v>
      </c>
      <c r="M19959" t="e">
        <v>#N/A</v>
      </c>
      <c r="N19959" s="1">
        <v>43374</v>
      </c>
    </row>
    <row r="19960" spans="11:14" x14ac:dyDescent="0.3">
      <c r="K19960" s="1">
        <v>43739</v>
      </c>
      <c r="M19960" t="e">
        <v>#N/A</v>
      </c>
      <c r="N19960" s="1">
        <v>43374</v>
      </c>
    </row>
    <row r="19961" spans="11:14" x14ac:dyDescent="0.3">
      <c r="K19961" s="1">
        <v>43739</v>
      </c>
      <c r="M19961" t="e">
        <v>#N/A</v>
      </c>
      <c r="N19961" s="1">
        <v>43374</v>
      </c>
    </row>
    <row r="19962" spans="11:14" x14ac:dyDescent="0.3">
      <c r="K19962" s="1">
        <v>43739</v>
      </c>
      <c r="M19962" t="e">
        <v>#N/A</v>
      </c>
      <c r="N19962" s="1">
        <v>43374</v>
      </c>
    </row>
    <row r="19963" spans="11:14" x14ac:dyDescent="0.3">
      <c r="K19963" s="1">
        <v>43739</v>
      </c>
      <c r="M19963" t="e">
        <v>#N/A</v>
      </c>
      <c r="N19963" s="1">
        <v>43374</v>
      </c>
    </row>
    <row r="19964" spans="11:14" x14ac:dyDescent="0.3">
      <c r="K19964" s="1">
        <v>43739</v>
      </c>
      <c r="M19964" t="e">
        <v>#N/A</v>
      </c>
      <c r="N19964" s="1">
        <v>43374</v>
      </c>
    </row>
    <row r="19965" spans="11:14" x14ac:dyDescent="0.3">
      <c r="K19965" s="1">
        <v>43739</v>
      </c>
      <c r="M19965" t="e">
        <v>#N/A</v>
      </c>
      <c r="N19965" s="1">
        <v>43374</v>
      </c>
    </row>
    <row r="19966" spans="11:14" x14ac:dyDescent="0.3">
      <c r="K19966" s="1">
        <v>43739</v>
      </c>
      <c r="M19966" t="e">
        <v>#N/A</v>
      </c>
      <c r="N19966" s="1">
        <v>43374</v>
      </c>
    </row>
    <row r="19967" spans="11:14" x14ac:dyDescent="0.3">
      <c r="K19967" s="1">
        <v>43739</v>
      </c>
      <c r="M19967" t="e">
        <v>#N/A</v>
      </c>
      <c r="N19967" s="1">
        <v>43374</v>
      </c>
    </row>
    <row r="19968" spans="11:14" x14ac:dyDescent="0.3">
      <c r="K19968" s="1">
        <v>43739</v>
      </c>
      <c r="M19968" t="e">
        <v>#N/A</v>
      </c>
      <c r="N19968" s="1">
        <v>43374</v>
      </c>
    </row>
    <row r="19969" spans="11:14" x14ac:dyDescent="0.3">
      <c r="K19969" s="1">
        <v>43739</v>
      </c>
      <c r="M19969" t="e">
        <v>#N/A</v>
      </c>
      <c r="N19969" s="1">
        <v>43374</v>
      </c>
    </row>
    <row r="19970" spans="11:14" x14ac:dyDescent="0.3">
      <c r="K19970" s="1">
        <v>43739</v>
      </c>
      <c r="M19970" t="e">
        <v>#N/A</v>
      </c>
      <c r="N19970" s="1">
        <v>43374</v>
      </c>
    </row>
    <row r="19971" spans="11:14" x14ac:dyDescent="0.3">
      <c r="K19971" s="1">
        <v>43739</v>
      </c>
      <c r="M19971" t="e">
        <v>#N/A</v>
      </c>
      <c r="N19971" s="1">
        <v>43374</v>
      </c>
    </row>
    <row r="19972" spans="11:14" x14ac:dyDescent="0.3">
      <c r="K19972" s="1">
        <v>43739</v>
      </c>
      <c r="M19972" t="e">
        <v>#N/A</v>
      </c>
      <c r="N19972" s="1">
        <v>43374</v>
      </c>
    </row>
    <row r="19973" spans="11:14" x14ac:dyDescent="0.3">
      <c r="K19973" s="1">
        <v>43739</v>
      </c>
      <c r="M19973" t="e">
        <v>#N/A</v>
      </c>
      <c r="N19973" s="1">
        <v>43374</v>
      </c>
    </row>
    <row r="19974" spans="11:14" x14ac:dyDescent="0.3">
      <c r="K19974" s="1">
        <v>43739</v>
      </c>
      <c r="M19974" t="e">
        <v>#N/A</v>
      </c>
      <c r="N19974" s="1">
        <v>43374</v>
      </c>
    </row>
    <row r="19975" spans="11:14" x14ac:dyDescent="0.3">
      <c r="K19975" s="1">
        <v>43739</v>
      </c>
      <c r="M19975" t="e">
        <v>#N/A</v>
      </c>
      <c r="N19975" s="1">
        <v>43374</v>
      </c>
    </row>
    <row r="19976" spans="11:14" x14ac:dyDescent="0.3">
      <c r="K19976" s="1">
        <v>43739</v>
      </c>
      <c r="M19976" t="e">
        <v>#N/A</v>
      </c>
      <c r="N19976" s="1">
        <v>43374</v>
      </c>
    </row>
    <row r="19977" spans="11:14" x14ac:dyDescent="0.3">
      <c r="K19977" s="1">
        <v>43739</v>
      </c>
      <c r="M19977" t="e">
        <v>#N/A</v>
      </c>
      <c r="N19977" s="1">
        <v>43374</v>
      </c>
    </row>
    <row r="19978" spans="11:14" x14ac:dyDescent="0.3">
      <c r="K19978" s="1">
        <v>43739</v>
      </c>
      <c r="M19978" t="e">
        <v>#N/A</v>
      </c>
      <c r="N19978" s="1">
        <v>43374</v>
      </c>
    </row>
    <row r="19979" spans="11:14" x14ac:dyDescent="0.3">
      <c r="K19979" s="1">
        <v>43739</v>
      </c>
      <c r="M19979" t="e">
        <v>#N/A</v>
      </c>
      <c r="N19979" s="1">
        <v>43374</v>
      </c>
    </row>
    <row r="19980" spans="11:14" x14ac:dyDescent="0.3">
      <c r="K19980" s="1">
        <v>43739</v>
      </c>
      <c r="M19980" t="e">
        <v>#N/A</v>
      </c>
      <c r="N19980" s="1">
        <v>43374</v>
      </c>
    </row>
    <row r="19981" spans="11:14" x14ac:dyDescent="0.3">
      <c r="K19981" s="1">
        <v>43739</v>
      </c>
      <c r="M19981" t="e">
        <v>#N/A</v>
      </c>
      <c r="N19981" s="1">
        <v>43374</v>
      </c>
    </row>
    <row r="19982" spans="11:14" x14ac:dyDescent="0.3">
      <c r="K19982" s="1">
        <v>43739</v>
      </c>
      <c r="M19982" t="e">
        <v>#N/A</v>
      </c>
      <c r="N19982" s="1">
        <v>43374</v>
      </c>
    </row>
    <row r="19983" spans="11:14" x14ac:dyDescent="0.3">
      <c r="K19983" s="1">
        <v>43739</v>
      </c>
      <c r="M19983" t="e">
        <v>#N/A</v>
      </c>
      <c r="N19983" s="1">
        <v>43374</v>
      </c>
    </row>
    <row r="19984" spans="11:14" x14ac:dyDescent="0.3">
      <c r="K19984" s="1">
        <v>43739</v>
      </c>
      <c r="M19984" t="e">
        <v>#N/A</v>
      </c>
      <c r="N19984" s="1">
        <v>43374</v>
      </c>
    </row>
    <row r="19985" spans="11:14" x14ac:dyDescent="0.3">
      <c r="K19985" s="1">
        <v>43739</v>
      </c>
      <c r="M19985" t="e">
        <v>#N/A</v>
      </c>
      <c r="N19985" s="1">
        <v>43374</v>
      </c>
    </row>
    <row r="19986" spans="11:14" x14ac:dyDescent="0.3">
      <c r="K19986" s="1">
        <v>43739</v>
      </c>
      <c r="M19986" t="e">
        <v>#N/A</v>
      </c>
      <c r="N19986" s="1">
        <v>43374</v>
      </c>
    </row>
    <row r="19987" spans="11:14" x14ac:dyDescent="0.3">
      <c r="K19987" s="1">
        <v>43739</v>
      </c>
      <c r="M19987" t="e">
        <v>#N/A</v>
      </c>
      <c r="N19987" s="1">
        <v>43374</v>
      </c>
    </row>
    <row r="19988" spans="11:14" x14ac:dyDescent="0.3">
      <c r="K19988" s="1">
        <v>43739</v>
      </c>
      <c r="M19988" t="e">
        <v>#N/A</v>
      </c>
      <c r="N19988" s="1">
        <v>43374</v>
      </c>
    </row>
    <row r="19989" spans="11:14" x14ac:dyDescent="0.3">
      <c r="K19989" s="1">
        <v>43739</v>
      </c>
      <c r="M19989" t="e">
        <v>#N/A</v>
      </c>
      <c r="N19989" s="1">
        <v>43374</v>
      </c>
    </row>
    <row r="19990" spans="11:14" x14ac:dyDescent="0.3">
      <c r="K19990" s="1">
        <v>43739</v>
      </c>
      <c r="M19990" t="e">
        <v>#N/A</v>
      </c>
      <c r="N19990" s="1">
        <v>43374</v>
      </c>
    </row>
    <row r="19991" spans="11:14" x14ac:dyDescent="0.3">
      <c r="K19991" s="1">
        <v>43739</v>
      </c>
      <c r="M19991" t="e">
        <v>#N/A</v>
      </c>
      <c r="N19991" s="1">
        <v>43374</v>
      </c>
    </row>
    <row r="19992" spans="11:14" x14ac:dyDescent="0.3">
      <c r="K19992" s="1">
        <v>43739</v>
      </c>
      <c r="M19992" t="e">
        <v>#N/A</v>
      </c>
      <c r="N19992" s="1">
        <v>43374</v>
      </c>
    </row>
    <row r="19993" spans="11:14" x14ac:dyDescent="0.3">
      <c r="K19993" s="1">
        <v>43739</v>
      </c>
      <c r="M19993" t="e">
        <v>#N/A</v>
      </c>
      <c r="N19993" s="1">
        <v>43374</v>
      </c>
    </row>
    <row r="19994" spans="11:14" x14ac:dyDescent="0.3">
      <c r="K19994" s="1">
        <v>43739</v>
      </c>
      <c r="M19994" t="e">
        <v>#N/A</v>
      </c>
      <c r="N19994" s="1">
        <v>43374</v>
      </c>
    </row>
    <row r="19995" spans="11:14" x14ac:dyDescent="0.3">
      <c r="K19995" s="1">
        <v>43739</v>
      </c>
      <c r="M19995" t="e">
        <v>#N/A</v>
      </c>
      <c r="N19995" s="1">
        <v>43374</v>
      </c>
    </row>
    <row r="19996" spans="11:14" x14ac:dyDescent="0.3">
      <c r="K19996" s="1">
        <v>43739</v>
      </c>
      <c r="M19996" t="e">
        <v>#N/A</v>
      </c>
      <c r="N19996" s="1">
        <v>43374</v>
      </c>
    </row>
    <row r="19997" spans="11:14" x14ac:dyDescent="0.3">
      <c r="K19997" s="1">
        <v>43739</v>
      </c>
      <c r="M19997" t="e">
        <v>#N/A</v>
      </c>
      <c r="N19997" s="1">
        <v>43374</v>
      </c>
    </row>
    <row r="19998" spans="11:14" x14ac:dyDescent="0.3">
      <c r="K19998" s="1">
        <v>43739</v>
      </c>
      <c r="M19998" t="e">
        <v>#N/A</v>
      </c>
      <c r="N19998" s="1">
        <v>43374</v>
      </c>
    </row>
    <row r="19999" spans="11:14" x14ac:dyDescent="0.3">
      <c r="K19999" s="1">
        <v>43739</v>
      </c>
      <c r="M19999" t="e">
        <v>#N/A</v>
      </c>
      <c r="N19999" s="1">
        <v>43374</v>
      </c>
    </row>
    <row r="20000" spans="11:14" x14ac:dyDescent="0.3">
      <c r="K20000" s="1">
        <v>43739</v>
      </c>
      <c r="M20000" t="e">
        <v>#N/A</v>
      </c>
      <c r="N20000" s="1">
        <v>43374</v>
      </c>
    </row>
    <row r="20001" spans="11:14" x14ac:dyDescent="0.3">
      <c r="K20001" s="1">
        <v>43739</v>
      </c>
      <c r="M20001" t="e">
        <v>#N/A</v>
      </c>
      <c r="N20001" s="1">
        <v>43374</v>
      </c>
    </row>
    <row r="20002" spans="11:14" x14ac:dyDescent="0.3">
      <c r="K20002" s="1">
        <v>43739</v>
      </c>
      <c r="M20002" t="e">
        <v>#N/A</v>
      </c>
      <c r="N20002" s="1">
        <v>43374</v>
      </c>
    </row>
    <row r="20003" spans="11:14" x14ac:dyDescent="0.3">
      <c r="K20003" s="1">
        <v>43739</v>
      </c>
      <c r="M20003" t="e">
        <v>#N/A</v>
      </c>
      <c r="N20003" s="1">
        <v>43374</v>
      </c>
    </row>
    <row r="20004" spans="11:14" x14ac:dyDescent="0.3">
      <c r="K20004" s="1">
        <v>43739</v>
      </c>
      <c r="M20004" t="e">
        <v>#N/A</v>
      </c>
      <c r="N20004" s="1">
        <v>43374</v>
      </c>
    </row>
    <row r="20005" spans="11:14" x14ac:dyDescent="0.3">
      <c r="K20005" s="1">
        <v>43739</v>
      </c>
      <c r="M20005" t="e">
        <v>#N/A</v>
      </c>
      <c r="N20005" s="1">
        <v>43374</v>
      </c>
    </row>
    <row r="20006" spans="11:14" x14ac:dyDescent="0.3">
      <c r="K20006" s="1">
        <v>43739</v>
      </c>
      <c r="M20006" t="e">
        <v>#N/A</v>
      </c>
      <c r="N20006" s="1">
        <v>43374</v>
      </c>
    </row>
    <row r="20007" spans="11:14" x14ac:dyDescent="0.3">
      <c r="K20007" s="1">
        <v>43739</v>
      </c>
      <c r="M20007" t="e">
        <v>#N/A</v>
      </c>
      <c r="N20007" s="1">
        <v>43374</v>
      </c>
    </row>
    <row r="20008" spans="11:14" x14ac:dyDescent="0.3">
      <c r="K20008" s="1">
        <v>43739</v>
      </c>
      <c r="M20008" t="e">
        <v>#N/A</v>
      </c>
      <c r="N20008" s="1">
        <v>43374</v>
      </c>
    </row>
    <row r="20009" spans="11:14" x14ac:dyDescent="0.3">
      <c r="K20009" s="1">
        <v>43739</v>
      </c>
      <c r="M20009" t="e">
        <v>#N/A</v>
      </c>
      <c r="N20009" s="1">
        <v>43374</v>
      </c>
    </row>
    <row r="20010" spans="11:14" x14ac:dyDescent="0.3">
      <c r="K20010" s="1">
        <v>43739</v>
      </c>
      <c r="M20010" t="e">
        <v>#N/A</v>
      </c>
      <c r="N20010" s="1">
        <v>43374</v>
      </c>
    </row>
    <row r="20011" spans="11:14" x14ac:dyDescent="0.3">
      <c r="K20011" s="1">
        <v>43739</v>
      </c>
      <c r="M20011" t="e">
        <v>#N/A</v>
      </c>
      <c r="N20011" s="1">
        <v>43374</v>
      </c>
    </row>
    <row r="20012" spans="11:14" x14ac:dyDescent="0.3">
      <c r="K20012" s="1">
        <v>43739</v>
      </c>
      <c r="M20012" t="e">
        <v>#N/A</v>
      </c>
      <c r="N20012" s="1">
        <v>43374</v>
      </c>
    </row>
    <row r="20013" spans="11:14" x14ac:dyDescent="0.3">
      <c r="K20013" s="1">
        <v>43739</v>
      </c>
      <c r="M20013" t="e">
        <v>#N/A</v>
      </c>
      <c r="N20013" s="1">
        <v>43374</v>
      </c>
    </row>
    <row r="20014" spans="11:14" x14ac:dyDescent="0.3">
      <c r="K20014" s="1">
        <v>43739</v>
      </c>
      <c r="M20014" t="e">
        <v>#N/A</v>
      </c>
      <c r="N20014" s="1">
        <v>43374</v>
      </c>
    </row>
    <row r="20015" spans="11:14" x14ac:dyDescent="0.3">
      <c r="K20015" s="1">
        <v>43739</v>
      </c>
      <c r="M20015" t="e">
        <v>#N/A</v>
      </c>
      <c r="N20015" s="1">
        <v>43374</v>
      </c>
    </row>
    <row r="20016" spans="11:14" x14ac:dyDescent="0.3">
      <c r="K20016" s="1">
        <v>43739</v>
      </c>
      <c r="M20016" t="e">
        <v>#N/A</v>
      </c>
      <c r="N20016" s="1">
        <v>43374</v>
      </c>
    </row>
    <row r="20017" spans="11:14" x14ac:dyDescent="0.3">
      <c r="K20017" s="1">
        <v>43739</v>
      </c>
      <c r="M20017" t="e">
        <v>#N/A</v>
      </c>
      <c r="N20017" s="1">
        <v>43374</v>
      </c>
    </row>
    <row r="20018" spans="11:14" x14ac:dyDescent="0.3">
      <c r="K20018" s="1">
        <v>43739</v>
      </c>
      <c r="M20018" t="e">
        <v>#N/A</v>
      </c>
      <c r="N20018" s="1">
        <v>43374</v>
      </c>
    </row>
    <row r="20019" spans="11:14" x14ac:dyDescent="0.3">
      <c r="K20019" s="1">
        <v>43739</v>
      </c>
      <c r="M20019" t="e">
        <v>#N/A</v>
      </c>
      <c r="N20019" s="1">
        <v>43374</v>
      </c>
    </row>
    <row r="20020" spans="11:14" x14ac:dyDescent="0.3">
      <c r="K20020" s="1">
        <v>43739</v>
      </c>
      <c r="M20020" t="e">
        <v>#N/A</v>
      </c>
      <c r="N20020" s="1">
        <v>43374</v>
      </c>
    </row>
    <row r="20021" spans="11:14" x14ac:dyDescent="0.3">
      <c r="K20021" s="1">
        <v>43739</v>
      </c>
      <c r="M20021" t="e">
        <v>#N/A</v>
      </c>
      <c r="N20021" s="1">
        <v>43374</v>
      </c>
    </row>
    <row r="20022" spans="11:14" x14ac:dyDescent="0.3">
      <c r="K20022" s="1">
        <v>43739</v>
      </c>
      <c r="M20022" t="e">
        <v>#N/A</v>
      </c>
      <c r="N20022" s="1">
        <v>43374</v>
      </c>
    </row>
    <row r="20023" spans="11:14" x14ac:dyDescent="0.3">
      <c r="K20023" s="1">
        <v>43831</v>
      </c>
      <c r="M20023" t="e">
        <v>#N/A</v>
      </c>
      <c r="N20023" s="1">
        <v>43374</v>
      </c>
    </row>
    <row r="20024" spans="11:14" x14ac:dyDescent="0.3">
      <c r="K20024" s="1">
        <v>43831</v>
      </c>
      <c r="M20024" t="e">
        <v>#N/A</v>
      </c>
      <c r="N20024" s="1">
        <v>43374</v>
      </c>
    </row>
    <row r="20025" spans="11:14" x14ac:dyDescent="0.3">
      <c r="K20025" s="1">
        <v>43831</v>
      </c>
      <c r="M20025" t="e">
        <v>#N/A</v>
      </c>
      <c r="N20025" s="1">
        <v>43374</v>
      </c>
    </row>
    <row r="20026" spans="11:14" x14ac:dyDescent="0.3">
      <c r="K20026" s="1">
        <v>43831</v>
      </c>
      <c r="M20026" t="e">
        <v>#N/A</v>
      </c>
      <c r="N20026" s="1">
        <v>43374</v>
      </c>
    </row>
    <row r="20027" spans="11:14" x14ac:dyDescent="0.3">
      <c r="K20027" s="1">
        <v>43831</v>
      </c>
      <c r="M20027" t="e">
        <v>#N/A</v>
      </c>
      <c r="N20027" s="1">
        <v>43374</v>
      </c>
    </row>
    <row r="20028" spans="11:14" x14ac:dyDescent="0.3">
      <c r="K20028" s="1">
        <v>43831</v>
      </c>
      <c r="M20028" t="e">
        <v>#N/A</v>
      </c>
      <c r="N20028" s="1">
        <v>43374</v>
      </c>
    </row>
    <row r="20029" spans="11:14" x14ac:dyDescent="0.3">
      <c r="K20029" s="1">
        <v>43831</v>
      </c>
      <c r="M20029" t="e">
        <v>#N/A</v>
      </c>
      <c r="N20029" s="1">
        <v>43374</v>
      </c>
    </row>
    <row r="20030" spans="11:14" x14ac:dyDescent="0.3">
      <c r="K20030" s="1">
        <v>43831</v>
      </c>
      <c r="M20030" t="e">
        <v>#N/A</v>
      </c>
      <c r="N20030" s="1">
        <v>43374</v>
      </c>
    </row>
    <row r="20031" spans="11:14" x14ac:dyDescent="0.3">
      <c r="K20031" s="1">
        <v>43831</v>
      </c>
      <c r="M20031" t="e">
        <v>#N/A</v>
      </c>
      <c r="N20031" s="1">
        <v>43374</v>
      </c>
    </row>
    <row r="20032" spans="11:14" x14ac:dyDescent="0.3">
      <c r="K20032" s="1">
        <v>43831</v>
      </c>
      <c r="M20032" t="e">
        <v>#N/A</v>
      </c>
      <c r="N20032" s="1">
        <v>43374</v>
      </c>
    </row>
    <row r="20033" spans="11:14" x14ac:dyDescent="0.3">
      <c r="K20033" s="1">
        <v>43831</v>
      </c>
      <c r="M20033" t="e">
        <v>#N/A</v>
      </c>
      <c r="N20033" s="1">
        <v>43374</v>
      </c>
    </row>
    <row r="20034" spans="11:14" x14ac:dyDescent="0.3">
      <c r="K20034" s="1">
        <v>43831</v>
      </c>
      <c r="M20034" t="e">
        <v>#N/A</v>
      </c>
      <c r="N20034" s="1">
        <v>43374</v>
      </c>
    </row>
    <row r="20035" spans="11:14" x14ac:dyDescent="0.3">
      <c r="K20035" s="1">
        <v>43831</v>
      </c>
      <c r="M20035" t="e">
        <v>#N/A</v>
      </c>
      <c r="N20035" s="1">
        <v>43374</v>
      </c>
    </row>
    <row r="20036" spans="11:14" x14ac:dyDescent="0.3">
      <c r="K20036" s="1">
        <v>43831</v>
      </c>
      <c r="M20036" t="e">
        <v>#N/A</v>
      </c>
      <c r="N20036" s="1">
        <v>43374</v>
      </c>
    </row>
    <row r="20037" spans="11:14" x14ac:dyDescent="0.3">
      <c r="K20037" s="1">
        <v>43831</v>
      </c>
      <c r="M20037" t="e">
        <v>#N/A</v>
      </c>
      <c r="N20037" s="1">
        <v>43374</v>
      </c>
    </row>
    <row r="20038" spans="11:14" x14ac:dyDescent="0.3">
      <c r="K20038" s="1">
        <v>43831</v>
      </c>
      <c r="M20038" t="e">
        <v>#N/A</v>
      </c>
      <c r="N20038" s="1">
        <v>43374</v>
      </c>
    </row>
    <row r="20039" spans="11:14" x14ac:dyDescent="0.3">
      <c r="K20039" s="1">
        <v>43831</v>
      </c>
      <c r="M20039" t="e">
        <v>#N/A</v>
      </c>
      <c r="N20039" s="1">
        <v>43374</v>
      </c>
    </row>
    <row r="20040" spans="11:14" x14ac:dyDescent="0.3">
      <c r="K20040" s="1">
        <v>43831</v>
      </c>
      <c r="M20040" t="e">
        <v>#N/A</v>
      </c>
      <c r="N20040" s="1">
        <v>43374</v>
      </c>
    </row>
    <row r="20041" spans="11:14" x14ac:dyDescent="0.3">
      <c r="K20041" s="1">
        <v>43831</v>
      </c>
      <c r="M20041" t="e">
        <v>#N/A</v>
      </c>
      <c r="N20041" s="1">
        <v>43374</v>
      </c>
    </row>
    <row r="20042" spans="11:14" x14ac:dyDescent="0.3">
      <c r="K20042" s="1">
        <v>43831</v>
      </c>
      <c r="M20042" t="e">
        <v>#N/A</v>
      </c>
      <c r="N20042" s="1">
        <v>43374</v>
      </c>
    </row>
    <row r="20043" spans="11:14" x14ac:dyDescent="0.3">
      <c r="K20043" s="1">
        <v>43831</v>
      </c>
      <c r="M20043" t="e">
        <v>#N/A</v>
      </c>
      <c r="N20043" s="1">
        <v>43374</v>
      </c>
    </row>
    <row r="20044" spans="11:14" x14ac:dyDescent="0.3">
      <c r="K20044" s="1">
        <v>43831</v>
      </c>
      <c r="M20044" t="e">
        <v>#N/A</v>
      </c>
      <c r="N20044" s="1">
        <v>43374</v>
      </c>
    </row>
    <row r="20045" spans="11:14" x14ac:dyDescent="0.3">
      <c r="K20045" s="1">
        <v>43831</v>
      </c>
      <c r="M20045" t="e">
        <v>#N/A</v>
      </c>
      <c r="N20045" s="1">
        <v>43374</v>
      </c>
    </row>
    <row r="20046" spans="11:14" x14ac:dyDescent="0.3">
      <c r="K20046" s="1">
        <v>43831</v>
      </c>
      <c r="M20046" t="e">
        <v>#N/A</v>
      </c>
      <c r="N20046" s="1">
        <v>43374</v>
      </c>
    </row>
    <row r="20047" spans="11:14" x14ac:dyDescent="0.3">
      <c r="K20047" s="1">
        <v>43831</v>
      </c>
      <c r="M20047" t="e">
        <v>#N/A</v>
      </c>
      <c r="N20047" s="1">
        <v>43374</v>
      </c>
    </row>
    <row r="20048" spans="11:14" x14ac:dyDescent="0.3">
      <c r="K20048" s="1">
        <v>43831</v>
      </c>
      <c r="M20048" t="e">
        <v>#N/A</v>
      </c>
      <c r="N20048" s="1">
        <v>43374</v>
      </c>
    </row>
    <row r="20049" spans="11:14" x14ac:dyDescent="0.3">
      <c r="K20049" s="1">
        <v>43831</v>
      </c>
      <c r="M20049" t="e">
        <v>#N/A</v>
      </c>
      <c r="N20049" s="1">
        <v>43374</v>
      </c>
    </row>
    <row r="20050" spans="11:14" x14ac:dyDescent="0.3">
      <c r="K20050" s="1">
        <v>43831</v>
      </c>
      <c r="M20050" t="e">
        <v>#N/A</v>
      </c>
      <c r="N20050" s="1">
        <v>43374</v>
      </c>
    </row>
    <row r="20051" spans="11:14" x14ac:dyDescent="0.3">
      <c r="K20051" s="1">
        <v>43831</v>
      </c>
      <c r="M20051" t="e">
        <v>#N/A</v>
      </c>
      <c r="N20051" s="1">
        <v>43374</v>
      </c>
    </row>
    <row r="20052" spans="11:14" x14ac:dyDescent="0.3">
      <c r="K20052" s="1">
        <v>43831</v>
      </c>
      <c r="M20052" t="e">
        <v>#N/A</v>
      </c>
      <c r="N20052" s="1">
        <v>43374</v>
      </c>
    </row>
    <row r="20053" spans="11:14" x14ac:dyDescent="0.3">
      <c r="K20053" s="1">
        <v>43831</v>
      </c>
      <c r="M20053" t="e">
        <v>#N/A</v>
      </c>
      <c r="N20053" s="1">
        <v>43374</v>
      </c>
    </row>
    <row r="20054" spans="11:14" x14ac:dyDescent="0.3">
      <c r="K20054" s="1">
        <v>43831</v>
      </c>
      <c r="M20054" t="e">
        <v>#N/A</v>
      </c>
      <c r="N20054" s="1">
        <v>43374</v>
      </c>
    </row>
    <row r="20055" spans="11:14" x14ac:dyDescent="0.3">
      <c r="K20055" s="1">
        <v>43831</v>
      </c>
      <c r="M20055" t="e">
        <v>#N/A</v>
      </c>
      <c r="N20055" s="1">
        <v>43374</v>
      </c>
    </row>
    <row r="20056" spans="11:14" x14ac:dyDescent="0.3">
      <c r="K20056" s="1">
        <v>43831</v>
      </c>
      <c r="M20056" t="e">
        <v>#N/A</v>
      </c>
      <c r="N20056" s="1">
        <v>43374</v>
      </c>
    </row>
    <row r="20057" spans="11:14" x14ac:dyDescent="0.3">
      <c r="K20057" s="1">
        <v>43831</v>
      </c>
      <c r="M20057" t="e">
        <v>#N/A</v>
      </c>
      <c r="N20057" s="1">
        <v>43374</v>
      </c>
    </row>
    <row r="20058" spans="11:14" x14ac:dyDescent="0.3">
      <c r="K20058" s="1">
        <v>43831</v>
      </c>
      <c r="M20058" t="e">
        <v>#N/A</v>
      </c>
      <c r="N20058" s="1">
        <v>43374</v>
      </c>
    </row>
    <row r="20059" spans="11:14" x14ac:dyDescent="0.3">
      <c r="K20059" s="1">
        <v>43831</v>
      </c>
      <c r="M20059" t="e">
        <v>#N/A</v>
      </c>
      <c r="N20059" s="1">
        <v>43374</v>
      </c>
    </row>
    <row r="20060" spans="11:14" x14ac:dyDescent="0.3">
      <c r="K20060" s="1">
        <v>43831</v>
      </c>
      <c r="M20060" t="e">
        <v>#N/A</v>
      </c>
      <c r="N20060" s="1">
        <v>43466</v>
      </c>
    </row>
    <row r="20061" spans="11:14" x14ac:dyDescent="0.3">
      <c r="K20061" s="1">
        <v>43831</v>
      </c>
      <c r="M20061" t="e">
        <v>#N/A</v>
      </c>
      <c r="N20061" s="1">
        <v>43466</v>
      </c>
    </row>
    <row r="20062" spans="11:14" x14ac:dyDescent="0.3">
      <c r="K20062" s="1">
        <v>43831</v>
      </c>
      <c r="M20062" t="e">
        <v>#N/A</v>
      </c>
      <c r="N20062" s="1">
        <v>43466</v>
      </c>
    </row>
    <row r="20063" spans="11:14" x14ac:dyDescent="0.3">
      <c r="K20063" s="1">
        <v>43831</v>
      </c>
      <c r="M20063" t="e">
        <v>#N/A</v>
      </c>
      <c r="N20063" s="1">
        <v>43466</v>
      </c>
    </row>
    <row r="20064" spans="11:14" x14ac:dyDescent="0.3">
      <c r="K20064" s="1">
        <v>43831</v>
      </c>
      <c r="M20064" t="e">
        <v>#N/A</v>
      </c>
      <c r="N20064" s="1">
        <v>43466</v>
      </c>
    </row>
    <row r="20065" spans="11:14" x14ac:dyDescent="0.3">
      <c r="K20065" s="1">
        <v>43831</v>
      </c>
      <c r="M20065" t="e">
        <v>#N/A</v>
      </c>
      <c r="N20065" s="1">
        <v>43466</v>
      </c>
    </row>
    <row r="20066" spans="11:14" x14ac:dyDescent="0.3">
      <c r="K20066" s="1">
        <v>43831</v>
      </c>
      <c r="M20066" t="e">
        <v>#N/A</v>
      </c>
      <c r="N20066" s="1">
        <v>43466</v>
      </c>
    </row>
    <row r="20067" spans="11:14" x14ac:dyDescent="0.3">
      <c r="K20067" s="1">
        <v>43831</v>
      </c>
      <c r="M20067" t="e">
        <v>#N/A</v>
      </c>
      <c r="N20067" s="1">
        <v>43466</v>
      </c>
    </row>
    <row r="20068" spans="11:14" x14ac:dyDescent="0.3">
      <c r="K20068" s="1">
        <v>43831</v>
      </c>
      <c r="M20068" t="e">
        <v>#N/A</v>
      </c>
      <c r="N20068" s="1">
        <v>43466</v>
      </c>
    </row>
    <row r="20069" spans="11:14" x14ac:dyDescent="0.3">
      <c r="K20069" s="1">
        <v>43831</v>
      </c>
      <c r="M20069" t="e">
        <v>#N/A</v>
      </c>
      <c r="N20069" s="1">
        <v>43466</v>
      </c>
    </row>
    <row r="20070" spans="11:14" x14ac:dyDescent="0.3">
      <c r="K20070" s="1">
        <v>43831</v>
      </c>
      <c r="M20070" t="e">
        <v>#N/A</v>
      </c>
      <c r="N20070" s="1">
        <v>43466</v>
      </c>
    </row>
    <row r="20071" spans="11:14" x14ac:dyDescent="0.3">
      <c r="K20071" s="1">
        <v>43831</v>
      </c>
      <c r="M20071" t="e">
        <v>#N/A</v>
      </c>
      <c r="N20071" s="1">
        <v>43466</v>
      </c>
    </row>
    <row r="20072" spans="11:14" x14ac:dyDescent="0.3">
      <c r="K20072" s="1">
        <v>43831</v>
      </c>
      <c r="M20072" t="e">
        <v>#N/A</v>
      </c>
      <c r="N20072" s="1">
        <v>43466</v>
      </c>
    </row>
    <row r="20073" spans="11:14" x14ac:dyDescent="0.3">
      <c r="K20073" s="1">
        <v>43831</v>
      </c>
      <c r="M20073" t="e">
        <v>#N/A</v>
      </c>
      <c r="N20073" s="1">
        <v>43466</v>
      </c>
    </row>
    <row r="20074" spans="11:14" x14ac:dyDescent="0.3">
      <c r="K20074" s="1">
        <v>43831</v>
      </c>
      <c r="M20074" t="e">
        <v>#N/A</v>
      </c>
      <c r="N20074" s="1">
        <v>43466</v>
      </c>
    </row>
    <row r="20075" spans="11:14" x14ac:dyDescent="0.3">
      <c r="K20075" s="1">
        <v>43831</v>
      </c>
      <c r="M20075" t="e">
        <v>#N/A</v>
      </c>
      <c r="N20075" s="1">
        <v>43466</v>
      </c>
    </row>
    <row r="20076" spans="11:14" x14ac:dyDescent="0.3">
      <c r="K20076" s="1">
        <v>43831</v>
      </c>
      <c r="M20076" t="e">
        <v>#N/A</v>
      </c>
      <c r="N20076" s="1">
        <v>43466</v>
      </c>
    </row>
    <row r="20077" spans="11:14" x14ac:dyDescent="0.3">
      <c r="K20077" s="1">
        <v>43831</v>
      </c>
      <c r="M20077" t="e">
        <v>#N/A</v>
      </c>
      <c r="N20077" s="1">
        <v>43466</v>
      </c>
    </row>
    <row r="20078" spans="11:14" x14ac:dyDescent="0.3">
      <c r="K20078" s="1">
        <v>43831</v>
      </c>
      <c r="M20078" t="e">
        <v>#N/A</v>
      </c>
      <c r="N20078" s="1">
        <v>43466</v>
      </c>
    </row>
    <row r="20079" spans="11:14" x14ac:dyDescent="0.3">
      <c r="K20079" s="1">
        <v>43831</v>
      </c>
      <c r="M20079" t="e">
        <v>#N/A</v>
      </c>
      <c r="N20079" s="1">
        <v>43466</v>
      </c>
    </row>
    <row r="20080" spans="11:14" x14ac:dyDescent="0.3">
      <c r="K20080" s="1">
        <v>43831</v>
      </c>
      <c r="M20080" t="e">
        <v>#N/A</v>
      </c>
      <c r="N20080" s="1">
        <v>43466</v>
      </c>
    </row>
    <row r="20081" spans="11:14" x14ac:dyDescent="0.3">
      <c r="K20081" s="1">
        <v>43831</v>
      </c>
      <c r="M20081" t="e">
        <v>#N/A</v>
      </c>
      <c r="N20081" s="1">
        <v>43466</v>
      </c>
    </row>
    <row r="20082" spans="11:14" x14ac:dyDescent="0.3">
      <c r="K20082" s="1">
        <v>43831</v>
      </c>
      <c r="M20082" t="e">
        <v>#N/A</v>
      </c>
      <c r="N20082" s="1">
        <v>43466</v>
      </c>
    </row>
    <row r="20083" spans="11:14" x14ac:dyDescent="0.3">
      <c r="K20083" s="1">
        <v>43831</v>
      </c>
      <c r="M20083" t="e">
        <v>#N/A</v>
      </c>
      <c r="N20083" s="1">
        <v>43466</v>
      </c>
    </row>
    <row r="20084" spans="11:14" x14ac:dyDescent="0.3">
      <c r="K20084" s="1">
        <v>43831</v>
      </c>
      <c r="M20084" t="e">
        <v>#N/A</v>
      </c>
      <c r="N20084" s="1">
        <v>43466</v>
      </c>
    </row>
    <row r="20085" spans="11:14" x14ac:dyDescent="0.3">
      <c r="K20085" s="1">
        <v>43831</v>
      </c>
      <c r="M20085" t="e">
        <v>#N/A</v>
      </c>
      <c r="N20085" s="1">
        <v>43466</v>
      </c>
    </row>
    <row r="20086" spans="11:14" x14ac:dyDescent="0.3">
      <c r="K20086" s="1">
        <v>43831</v>
      </c>
      <c r="M20086" t="e">
        <v>#N/A</v>
      </c>
      <c r="N20086" s="1">
        <v>43466</v>
      </c>
    </row>
    <row r="20087" spans="11:14" x14ac:dyDescent="0.3">
      <c r="K20087" s="1">
        <v>43831</v>
      </c>
      <c r="M20087" t="e">
        <v>#N/A</v>
      </c>
      <c r="N20087" s="1">
        <v>43466</v>
      </c>
    </row>
    <row r="20088" spans="11:14" x14ac:dyDescent="0.3">
      <c r="K20088" s="1">
        <v>43831</v>
      </c>
      <c r="M20088" t="e">
        <v>#N/A</v>
      </c>
      <c r="N20088" s="1">
        <v>43466</v>
      </c>
    </row>
    <row r="20089" spans="11:14" x14ac:dyDescent="0.3">
      <c r="K20089" s="1">
        <v>43831</v>
      </c>
      <c r="M20089" t="e">
        <v>#N/A</v>
      </c>
      <c r="N20089" s="1">
        <v>43466</v>
      </c>
    </row>
    <row r="20090" spans="11:14" x14ac:dyDescent="0.3">
      <c r="K20090" s="1">
        <v>43831</v>
      </c>
      <c r="M20090" t="e">
        <v>#N/A</v>
      </c>
      <c r="N20090" s="1">
        <v>43466</v>
      </c>
    </row>
    <row r="20091" spans="11:14" x14ac:dyDescent="0.3">
      <c r="K20091" s="1">
        <v>43831</v>
      </c>
      <c r="M20091" t="e">
        <v>#N/A</v>
      </c>
      <c r="N20091" s="1">
        <v>43466</v>
      </c>
    </row>
    <row r="20092" spans="11:14" x14ac:dyDescent="0.3">
      <c r="K20092" s="1">
        <v>43831</v>
      </c>
      <c r="M20092" t="e">
        <v>#N/A</v>
      </c>
      <c r="N20092" s="1">
        <v>43466</v>
      </c>
    </row>
    <row r="20093" spans="11:14" x14ac:dyDescent="0.3">
      <c r="K20093" s="1">
        <v>43831</v>
      </c>
      <c r="M20093" t="e">
        <v>#N/A</v>
      </c>
      <c r="N20093" s="1">
        <v>43466</v>
      </c>
    </row>
    <row r="20094" spans="11:14" x14ac:dyDescent="0.3">
      <c r="K20094" s="1">
        <v>43831</v>
      </c>
      <c r="M20094" t="e">
        <v>#N/A</v>
      </c>
      <c r="N20094" s="1">
        <v>43466</v>
      </c>
    </row>
    <row r="20095" spans="11:14" x14ac:dyDescent="0.3">
      <c r="K20095" s="1">
        <v>43831</v>
      </c>
      <c r="M20095" t="e">
        <v>#N/A</v>
      </c>
      <c r="N20095" s="1">
        <v>43466</v>
      </c>
    </row>
    <row r="20096" spans="11:14" x14ac:dyDescent="0.3">
      <c r="K20096" s="1">
        <v>43831</v>
      </c>
      <c r="M20096" t="e">
        <v>#N/A</v>
      </c>
      <c r="N20096" s="1">
        <v>43466</v>
      </c>
    </row>
    <row r="20097" spans="11:14" x14ac:dyDescent="0.3">
      <c r="K20097" s="1">
        <v>43831</v>
      </c>
      <c r="M20097" t="e">
        <v>#N/A</v>
      </c>
      <c r="N20097" s="1">
        <v>43466</v>
      </c>
    </row>
    <row r="20098" spans="11:14" x14ac:dyDescent="0.3">
      <c r="K20098" s="1">
        <v>43831</v>
      </c>
      <c r="M20098" t="e">
        <v>#N/A</v>
      </c>
      <c r="N20098" s="1">
        <v>43466</v>
      </c>
    </row>
    <row r="20099" spans="11:14" x14ac:dyDescent="0.3">
      <c r="K20099" s="1">
        <v>43831</v>
      </c>
      <c r="M20099" t="e">
        <v>#N/A</v>
      </c>
      <c r="N20099" s="1">
        <v>43466</v>
      </c>
    </row>
    <row r="20100" spans="11:14" x14ac:dyDescent="0.3">
      <c r="K20100" s="1">
        <v>43831</v>
      </c>
      <c r="M20100" t="e">
        <v>#N/A</v>
      </c>
      <c r="N20100" s="1">
        <v>43466</v>
      </c>
    </row>
    <row r="20101" spans="11:14" x14ac:dyDescent="0.3">
      <c r="K20101" s="1">
        <v>43831</v>
      </c>
      <c r="M20101" t="e">
        <v>#N/A</v>
      </c>
      <c r="N20101" s="1">
        <v>43466</v>
      </c>
    </row>
    <row r="20102" spans="11:14" x14ac:dyDescent="0.3">
      <c r="K20102" s="1">
        <v>43831</v>
      </c>
      <c r="M20102" t="e">
        <v>#N/A</v>
      </c>
      <c r="N20102" s="1">
        <v>43466</v>
      </c>
    </row>
    <row r="20103" spans="11:14" x14ac:dyDescent="0.3">
      <c r="K20103" s="1">
        <v>43831</v>
      </c>
      <c r="M20103" t="e">
        <v>#N/A</v>
      </c>
      <c r="N20103" s="1">
        <v>43466</v>
      </c>
    </row>
    <row r="20104" spans="11:14" x14ac:dyDescent="0.3">
      <c r="K20104" s="1">
        <v>43831</v>
      </c>
      <c r="M20104" t="e">
        <v>#N/A</v>
      </c>
      <c r="N20104" s="1">
        <v>43466</v>
      </c>
    </row>
    <row r="20105" spans="11:14" x14ac:dyDescent="0.3">
      <c r="K20105" s="1">
        <v>43831</v>
      </c>
      <c r="M20105" t="e">
        <v>#N/A</v>
      </c>
      <c r="N20105" s="1">
        <v>43466</v>
      </c>
    </row>
    <row r="20106" spans="11:14" x14ac:dyDescent="0.3">
      <c r="K20106" s="1">
        <v>43831</v>
      </c>
      <c r="M20106" t="e">
        <v>#N/A</v>
      </c>
      <c r="N20106" s="1">
        <v>43466</v>
      </c>
    </row>
    <row r="20107" spans="11:14" x14ac:dyDescent="0.3">
      <c r="K20107" s="1">
        <v>43831</v>
      </c>
      <c r="M20107" t="e">
        <v>#N/A</v>
      </c>
      <c r="N20107" s="1">
        <v>43466</v>
      </c>
    </row>
    <row r="20108" spans="11:14" x14ac:dyDescent="0.3">
      <c r="K20108" s="1">
        <v>43831</v>
      </c>
      <c r="M20108" t="e">
        <v>#N/A</v>
      </c>
      <c r="N20108" s="1">
        <v>43466</v>
      </c>
    </row>
    <row r="20109" spans="11:14" x14ac:dyDescent="0.3">
      <c r="K20109" s="1">
        <v>43831</v>
      </c>
      <c r="M20109" t="e">
        <v>#N/A</v>
      </c>
      <c r="N20109" s="1">
        <v>43466</v>
      </c>
    </row>
    <row r="20110" spans="11:14" x14ac:dyDescent="0.3">
      <c r="K20110" s="1">
        <v>43831</v>
      </c>
      <c r="M20110" t="e">
        <v>#N/A</v>
      </c>
      <c r="N20110" s="1">
        <v>43466</v>
      </c>
    </row>
    <row r="20111" spans="11:14" x14ac:dyDescent="0.3">
      <c r="K20111" s="1">
        <v>43831</v>
      </c>
      <c r="M20111" t="e">
        <v>#N/A</v>
      </c>
      <c r="N20111" s="1">
        <v>43466</v>
      </c>
    </row>
    <row r="20112" spans="11:14" x14ac:dyDescent="0.3">
      <c r="K20112" s="1">
        <v>43831</v>
      </c>
      <c r="M20112" t="e">
        <v>#N/A</v>
      </c>
      <c r="N20112" s="1">
        <v>43466</v>
      </c>
    </row>
    <row r="20113" spans="11:14" x14ac:dyDescent="0.3">
      <c r="K20113" s="1">
        <v>43831</v>
      </c>
      <c r="M20113" t="e">
        <v>#N/A</v>
      </c>
      <c r="N20113" s="1">
        <v>43466</v>
      </c>
    </row>
    <row r="20114" spans="11:14" x14ac:dyDescent="0.3">
      <c r="K20114" s="1">
        <v>43831</v>
      </c>
      <c r="M20114" t="e">
        <v>#N/A</v>
      </c>
      <c r="N20114" s="1">
        <v>43466</v>
      </c>
    </row>
    <row r="20115" spans="11:14" x14ac:dyDescent="0.3">
      <c r="K20115" s="1">
        <v>43831</v>
      </c>
      <c r="M20115" t="e">
        <v>#N/A</v>
      </c>
      <c r="N20115" s="1">
        <v>43466</v>
      </c>
    </row>
    <row r="20116" spans="11:14" x14ac:dyDescent="0.3">
      <c r="K20116" s="1">
        <v>43831</v>
      </c>
      <c r="M20116" t="e">
        <v>#N/A</v>
      </c>
      <c r="N20116" s="1">
        <v>43466</v>
      </c>
    </row>
    <row r="20117" spans="11:14" x14ac:dyDescent="0.3">
      <c r="K20117" s="1">
        <v>43831</v>
      </c>
      <c r="M20117" t="e">
        <v>#N/A</v>
      </c>
      <c r="N20117" s="1">
        <v>43466</v>
      </c>
    </row>
    <row r="20118" spans="11:14" x14ac:dyDescent="0.3">
      <c r="K20118" s="1">
        <v>43831</v>
      </c>
      <c r="M20118" t="e">
        <v>#N/A</v>
      </c>
      <c r="N20118" s="1">
        <v>43466</v>
      </c>
    </row>
    <row r="20119" spans="11:14" x14ac:dyDescent="0.3">
      <c r="K20119" s="1">
        <v>43831</v>
      </c>
      <c r="M20119" t="e">
        <v>#N/A</v>
      </c>
      <c r="N20119" s="1">
        <v>43466</v>
      </c>
    </row>
    <row r="20120" spans="11:14" x14ac:dyDescent="0.3">
      <c r="K20120" s="1">
        <v>43831</v>
      </c>
      <c r="M20120" t="e">
        <v>#N/A</v>
      </c>
      <c r="N20120" s="1">
        <v>43466</v>
      </c>
    </row>
    <row r="20121" spans="11:14" x14ac:dyDescent="0.3">
      <c r="K20121" s="1">
        <v>43831</v>
      </c>
      <c r="M20121" t="e">
        <v>#N/A</v>
      </c>
      <c r="N20121" s="1">
        <v>43466</v>
      </c>
    </row>
    <row r="20122" spans="11:14" x14ac:dyDescent="0.3">
      <c r="K20122" s="1">
        <v>43831</v>
      </c>
      <c r="M20122" t="e">
        <v>#N/A</v>
      </c>
      <c r="N20122" s="1">
        <v>43466</v>
      </c>
    </row>
    <row r="20123" spans="11:14" x14ac:dyDescent="0.3">
      <c r="K20123" s="1">
        <v>43831</v>
      </c>
      <c r="M20123" t="e">
        <v>#N/A</v>
      </c>
      <c r="N20123" s="1">
        <v>43466</v>
      </c>
    </row>
    <row r="20124" spans="11:14" x14ac:dyDescent="0.3">
      <c r="K20124" s="1">
        <v>43831</v>
      </c>
      <c r="M20124" t="e">
        <v>#N/A</v>
      </c>
      <c r="N20124" s="1">
        <v>43466</v>
      </c>
    </row>
    <row r="20125" spans="11:14" x14ac:dyDescent="0.3">
      <c r="K20125" s="1">
        <v>43831</v>
      </c>
      <c r="M20125" t="e">
        <v>#N/A</v>
      </c>
      <c r="N20125" s="1">
        <v>43466</v>
      </c>
    </row>
    <row r="20126" spans="11:14" x14ac:dyDescent="0.3">
      <c r="K20126" s="1">
        <v>43831</v>
      </c>
      <c r="M20126" t="e">
        <v>#N/A</v>
      </c>
      <c r="N20126" s="1">
        <v>43466</v>
      </c>
    </row>
    <row r="20127" spans="11:14" x14ac:dyDescent="0.3">
      <c r="K20127" s="1">
        <v>43831</v>
      </c>
      <c r="M20127" t="e">
        <v>#N/A</v>
      </c>
      <c r="N20127" s="1">
        <v>43466</v>
      </c>
    </row>
    <row r="20128" spans="11:14" x14ac:dyDescent="0.3">
      <c r="K20128" s="1">
        <v>43831</v>
      </c>
      <c r="M20128" t="e">
        <v>#N/A</v>
      </c>
      <c r="N20128" s="1">
        <v>43466</v>
      </c>
    </row>
    <row r="20129" spans="11:14" x14ac:dyDescent="0.3">
      <c r="K20129" s="1">
        <v>43831</v>
      </c>
      <c r="M20129" t="e">
        <v>#N/A</v>
      </c>
      <c r="N20129" s="1">
        <v>43466</v>
      </c>
    </row>
    <row r="20130" spans="11:14" x14ac:dyDescent="0.3">
      <c r="K20130" s="1">
        <v>43831</v>
      </c>
      <c r="M20130" t="e">
        <v>#N/A</v>
      </c>
      <c r="N20130" s="1">
        <v>43466</v>
      </c>
    </row>
    <row r="20131" spans="11:14" x14ac:dyDescent="0.3">
      <c r="K20131" s="1">
        <v>43831</v>
      </c>
      <c r="M20131" t="e">
        <v>#N/A</v>
      </c>
      <c r="N20131" s="1">
        <v>43466</v>
      </c>
    </row>
    <row r="20132" spans="11:14" x14ac:dyDescent="0.3">
      <c r="K20132" s="1">
        <v>43831</v>
      </c>
      <c r="M20132" t="e">
        <v>#N/A</v>
      </c>
      <c r="N20132" s="1">
        <v>43466</v>
      </c>
    </row>
    <row r="20133" spans="11:14" x14ac:dyDescent="0.3">
      <c r="K20133" s="1">
        <v>43831</v>
      </c>
      <c r="M20133" t="e">
        <v>#N/A</v>
      </c>
      <c r="N20133" s="1">
        <v>43466</v>
      </c>
    </row>
    <row r="20134" spans="11:14" x14ac:dyDescent="0.3">
      <c r="K20134" s="1">
        <v>43831</v>
      </c>
      <c r="M20134" t="e">
        <v>#N/A</v>
      </c>
      <c r="N20134" s="1">
        <v>43466</v>
      </c>
    </row>
    <row r="20135" spans="11:14" x14ac:dyDescent="0.3">
      <c r="K20135" s="1">
        <v>43831</v>
      </c>
      <c r="M20135" t="e">
        <v>#N/A</v>
      </c>
      <c r="N20135" s="1">
        <v>43466</v>
      </c>
    </row>
    <row r="20136" spans="11:14" x14ac:dyDescent="0.3">
      <c r="K20136" s="1">
        <v>43831</v>
      </c>
      <c r="M20136" t="e">
        <v>#N/A</v>
      </c>
      <c r="N20136" s="1">
        <v>43466</v>
      </c>
    </row>
    <row r="20137" spans="11:14" x14ac:dyDescent="0.3">
      <c r="K20137" s="1">
        <v>43831</v>
      </c>
      <c r="M20137" t="e">
        <v>#N/A</v>
      </c>
      <c r="N20137" s="1">
        <v>43466</v>
      </c>
    </row>
    <row r="20138" spans="11:14" x14ac:dyDescent="0.3">
      <c r="K20138" s="1">
        <v>43831</v>
      </c>
      <c r="M20138" t="e">
        <v>#N/A</v>
      </c>
      <c r="N20138" s="1">
        <v>43466</v>
      </c>
    </row>
    <row r="20139" spans="11:14" x14ac:dyDescent="0.3">
      <c r="K20139" s="1">
        <v>43831</v>
      </c>
      <c r="M20139" t="e">
        <v>#N/A</v>
      </c>
      <c r="N20139" s="1">
        <v>43466</v>
      </c>
    </row>
    <row r="20140" spans="11:14" x14ac:dyDescent="0.3">
      <c r="K20140" s="1">
        <v>43831</v>
      </c>
      <c r="M20140" t="e">
        <v>#N/A</v>
      </c>
      <c r="N20140" s="1">
        <v>43466</v>
      </c>
    </row>
    <row r="20141" spans="11:14" x14ac:dyDescent="0.3">
      <c r="K20141" s="1">
        <v>43831</v>
      </c>
      <c r="M20141" t="e">
        <v>#N/A</v>
      </c>
      <c r="N20141" s="1">
        <v>43466</v>
      </c>
    </row>
    <row r="20142" spans="11:14" x14ac:dyDescent="0.3">
      <c r="K20142" s="1">
        <v>43831</v>
      </c>
      <c r="M20142" t="e">
        <v>#N/A</v>
      </c>
      <c r="N20142" s="1">
        <v>43466</v>
      </c>
    </row>
    <row r="20143" spans="11:14" x14ac:dyDescent="0.3">
      <c r="K20143" s="1">
        <v>43831</v>
      </c>
      <c r="M20143" t="e">
        <v>#N/A</v>
      </c>
      <c r="N20143" s="1">
        <v>43466</v>
      </c>
    </row>
    <row r="20144" spans="11:14" x14ac:dyDescent="0.3">
      <c r="K20144" s="1">
        <v>43831</v>
      </c>
      <c r="M20144" t="e">
        <v>#N/A</v>
      </c>
      <c r="N20144" s="1">
        <v>43466</v>
      </c>
    </row>
    <row r="20145" spans="11:14" x14ac:dyDescent="0.3">
      <c r="K20145" s="1">
        <v>43831</v>
      </c>
      <c r="M20145" t="e">
        <v>#N/A</v>
      </c>
      <c r="N20145" s="1">
        <v>43466</v>
      </c>
    </row>
    <row r="20146" spans="11:14" x14ac:dyDescent="0.3">
      <c r="K20146" s="1">
        <v>43831</v>
      </c>
      <c r="M20146" t="e">
        <v>#N/A</v>
      </c>
      <c r="N20146" s="1">
        <v>43466</v>
      </c>
    </row>
    <row r="20147" spans="11:14" x14ac:dyDescent="0.3">
      <c r="K20147" s="1">
        <v>43831</v>
      </c>
      <c r="M20147" t="e">
        <v>#N/A</v>
      </c>
      <c r="N20147" s="1">
        <v>43466</v>
      </c>
    </row>
    <row r="20148" spans="11:14" x14ac:dyDescent="0.3">
      <c r="K20148" s="1">
        <v>43831</v>
      </c>
      <c r="M20148" t="e">
        <v>#N/A</v>
      </c>
      <c r="N20148" s="1">
        <v>43466</v>
      </c>
    </row>
    <row r="20149" spans="11:14" x14ac:dyDescent="0.3">
      <c r="K20149" s="1">
        <v>43831</v>
      </c>
      <c r="M20149" t="e">
        <v>#N/A</v>
      </c>
      <c r="N20149" s="1">
        <v>43466</v>
      </c>
    </row>
    <row r="20150" spans="11:14" x14ac:dyDescent="0.3">
      <c r="K20150" s="1">
        <v>43831</v>
      </c>
      <c r="M20150" t="e">
        <v>#N/A</v>
      </c>
      <c r="N20150" s="1">
        <v>43466</v>
      </c>
    </row>
    <row r="20151" spans="11:14" x14ac:dyDescent="0.3">
      <c r="K20151" s="1">
        <v>43831</v>
      </c>
      <c r="M20151" t="e">
        <v>#N/A</v>
      </c>
      <c r="N20151" s="1">
        <v>43466</v>
      </c>
    </row>
    <row r="20152" spans="11:14" x14ac:dyDescent="0.3">
      <c r="K20152" s="1">
        <v>43831</v>
      </c>
      <c r="M20152" t="e">
        <v>#N/A</v>
      </c>
      <c r="N20152" s="1">
        <v>43466</v>
      </c>
    </row>
    <row r="20153" spans="11:14" x14ac:dyDescent="0.3">
      <c r="K20153" s="1">
        <v>43831</v>
      </c>
      <c r="M20153" t="e">
        <v>#N/A</v>
      </c>
      <c r="N20153" s="1">
        <v>43466</v>
      </c>
    </row>
    <row r="20154" spans="11:14" x14ac:dyDescent="0.3">
      <c r="K20154" s="1">
        <v>43831</v>
      </c>
      <c r="M20154" t="e">
        <v>#N/A</v>
      </c>
      <c r="N20154" s="1">
        <v>43466</v>
      </c>
    </row>
    <row r="20155" spans="11:14" x14ac:dyDescent="0.3">
      <c r="K20155" s="1">
        <v>43831</v>
      </c>
      <c r="M20155" t="e">
        <v>#N/A</v>
      </c>
      <c r="N20155" s="1">
        <v>43466</v>
      </c>
    </row>
    <row r="20156" spans="11:14" x14ac:dyDescent="0.3">
      <c r="K20156" s="1">
        <v>43831</v>
      </c>
      <c r="M20156" t="e">
        <v>#N/A</v>
      </c>
      <c r="N20156" s="1">
        <v>43466</v>
      </c>
    </row>
    <row r="20157" spans="11:14" x14ac:dyDescent="0.3">
      <c r="K20157" s="1">
        <v>43831</v>
      </c>
      <c r="M20157" t="e">
        <v>#N/A</v>
      </c>
      <c r="N20157" s="1">
        <v>43466</v>
      </c>
    </row>
    <row r="20158" spans="11:14" x14ac:dyDescent="0.3">
      <c r="K20158" s="1">
        <v>43831</v>
      </c>
      <c r="M20158" t="e">
        <v>#N/A</v>
      </c>
      <c r="N20158" s="1">
        <v>43466</v>
      </c>
    </row>
    <row r="20159" spans="11:14" x14ac:dyDescent="0.3">
      <c r="K20159" s="1">
        <v>43831</v>
      </c>
      <c r="M20159" t="e">
        <v>#N/A</v>
      </c>
      <c r="N20159" s="1">
        <v>43466</v>
      </c>
    </row>
    <row r="20160" spans="11:14" x14ac:dyDescent="0.3">
      <c r="K20160" s="1">
        <v>43831</v>
      </c>
      <c r="M20160" t="e">
        <v>#N/A</v>
      </c>
      <c r="N20160" s="1">
        <v>43466</v>
      </c>
    </row>
    <row r="20161" spans="11:14" x14ac:dyDescent="0.3">
      <c r="K20161" s="1">
        <v>43831</v>
      </c>
      <c r="M20161" t="e">
        <v>#N/A</v>
      </c>
      <c r="N20161" s="1">
        <v>43466</v>
      </c>
    </row>
    <row r="20162" spans="11:14" x14ac:dyDescent="0.3">
      <c r="K20162" s="1">
        <v>43831</v>
      </c>
      <c r="M20162" t="e">
        <v>#N/A</v>
      </c>
      <c r="N20162" s="1">
        <v>43466</v>
      </c>
    </row>
    <row r="20163" spans="11:14" x14ac:dyDescent="0.3">
      <c r="K20163" s="1">
        <v>43831</v>
      </c>
      <c r="M20163" t="e">
        <v>#N/A</v>
      </c>
      <c r="N20163" s="1">
        <v>43466</v>
      </c>
    </row>
    <row r="20164" spans="11:14" x14ac:dyDescent="0.3">
      <c r="K20164" s="1">
        <v>43831</v>
      </c>
      <c r="M20164" t="e">
        <v>#N/A</v>
      </c>
      <c r="N20164" s="1">
        <v>43466</v>
      </c>
    </row>
    <row r="20165" spans="11:14" x14ac:dyDescent="0.3">
      <c r="K20165" s="1">
        <v>43831</v>
      </c>
      <c r="M20165" t="e">
        <v>#N/A</v>
      </c>
      <c r="N20165" s="1">
        <v>43466</v>
      </c>
    </row>
    <row r="20166" spans="11:14" x14ac:dyDescent="0.3">
      <c r="K20166" s="1">
        <v>43831</v>
      </c>
      <c r="M20166" t="e">
        <v>#N/A</v>
      </c>
      <c r="N20166" s="1">
        <v>43466</v>
      </c>
    </row>
    <row r="20167" spans="11:14" x14ac:dyDescent="0.3">
      <c r="K20167" s="1">
        <v>43831</v>
      </c>
      <c r="M20167" t="e">
        <v>#N/A</v>
      </c>
      <c r="N20167" s="1">
        <v>43466</v>
      </c>
    </row>
    <row r="20168" spans="11:14" x14ac:dyDescent="0.3">
      <c r="K20168" s="1">
        <v>43831</v>
      </c>
      <c r="M20168" t="e">
        <v>#N/A</v>
      </c>
      <c r="N20168" s="1">
        <v>43466</v>
      </c>
    </row>
    <row r="20169" spans="11:14" x14ac:dyDescent="0.3">
      <c r="K20169" s="1">
        <v>43831</v>
      </c>
      <c r="M20169" t="e">
        <v>#N/A</v>
      </c>
      <c r="N20169" s="1">
        <v>43466</v>
      </c>
    </row>
    <row r="20170" spans="11:14" x14ac:dyDescent="0.3">
      <c r="K20170" s="1">
        <v>43831</v>
      </c>
      <c r="M20170" t="e">
        <v>#N/A</v>
      </c>
      <c r="N20170" s="1">
        <v>43466</v>
      </c>
    </row>
    <row r="20171" spans="11:14" x14ac:dyDescent="0.3">
      <c r="K20171" s="1">
        <v>43831</v>
      </c>
      <c r="M20171" t="e">
        <v>#N/A</v>
      </c>
      <c r="N20171" s="1">
        <v>43466</v>
      </c>
    </row>
    <row r="20172" spans="11:14" x14ac:dyDescent="0.3">
      <c r="K20172" s="1">
        <v>43831</v>
      </c>
      <c r="M20172" t="e">
        <v>#N/A</v>
      </c>
      <c r="N20172" s="1">
        <v>43466</v>
      </c>
    </row>
    <row r="20173" spans="11:14" x14ac:dyDescent="0.3">
      <c r="K20173" s="1">
        <v>43831</v>
      </c>
      <c r="M20173" t="e">
        <v>#N/A</v>
      </c>
      <c r="N20173" s="1">
        <v>43466</v>
      </c>
    </row>
    <row r="20174" spans="11:14" x14ac:dyDescent="0.3">
      <c r="K20174" s="1">
        <v>43831</v>
      </c>
      <c r="M20174" t="e">
        <v>#N/A</v>
      </c>
      <c r="N20174" s="1">
        <v>43466</v>
      </c>
    </row>
    <row r="20175" spans="11:14" x14ac:dyDescent="0.3">
      <c r="K20175" s="1">
        <v>43831</v>
      </c>
      <c r="M20175" t="e">
        <v>#N/A</v>
      </c>
      <c r="N20175" s="1">
        <v>43466</v>
      </c>
    </row>
    <row r="20176" spans="11:14" x14ac:dyDescent="0.3">
      <c r="K20176" s="1">
        <v>43831</v>
      </c>
      <c r="M20176" t="e">
        <v>#N/A</v>
      </c>
      <c r="N20176" s="1">
        <v>43466</v>
      </c>
    </row>
    <row r="20177" spans="11:14" x14ac:dyDescent="0.3">
      <c r="K20177" s="1">
        <v>43831</v>
      </c>
      <c r="M20177" t="e">
        <v>#N/A</v>
      </c>
      <c r="N20177" s="1">
        <v>43466</v>
      </c>
    </row>
    <row r="20178" spans="11:14" x14ac:dyDescent="0.3">
      <c r="K20178" s="1">
        <v>43831</v>
      </c>
      <c r="M20178" t="e">
        <v>#N/A</v>
      </c>
      <c r="N20178" s="1">
        <v>43466</v>
      </c>
    </row>
    <row r="20179" spans="11:14" x14ac:dyDescent="0.3">
      <c r="K20179" s="1">
        <v>43831</v>
      </c>
      <c r="M20179" t="e">
        <v>#N/A</v>
      </c>
      <c r="N20179" s="1">
        <v>43466</v>
      </c>
    </row>
    <row r="20180" spans="11:14" x14ac:dyDescent="0.3">
      <c r="K20180" s="1">
        <v>43831</v>
      </c>
      <c r="M20180" t="e">
        <v>#N/A</v>
      </c>
      <c r="N20180" s="1">
        <v>43466</v>
      </c>
    </row>
    <row r="20181" spans="11:14" x14ac:dyDescent="0.3">
      <c r="K20181" s="1">
        <v>43831</v>
      </c>
      <c r="M20181" t="e">
        <v>#N/A</v>
      </c>
      <c r="N20181" s="1">
        <v>43466</v>
      </c>
    </row>
    <row r="20182" spans="11:14" x14ac:dyDescent="0.3">
      <c r="K20182" s="1">
        <v>43831</v>
      </c>
      <c r="M20182" t="e">
        <v>#N/A</v>
      </c>
      <c r="N20182" s="1">
        <v>43466</v>
      </c>
    </row>
    <row r="20183" spans="11:14" x14ac:dyDescent="0.3">
      <c r="K20183" s="1">
        <v>43831</v>
      </c>
      <c r="M20183" t="e">
        <v>#N/A</v>
      </c>
      <c r="N20183" s="1">
        <v>43466</v>
      </c>
    </row>
    <row r="20184" spans="11:14" x14ac:dyDescent="0.3">
      <c r="K20184" s="1">
        <v>43831</v>
      </c>
      <c r="M20184" t="e">
        <v>#N/A</v>
      </c>
      <c r="N20184" s="1">
        <v>43466</v>
      </c>
    </row>
    <row r="20185" spans="11:14" x14ac:dyDescent="0.3">
      <c r="K20185" s="1">
        <v>43831</v>
      </c>
      <c r="M20185" t="e">
        <v>#N/A</v>
      </c>
      <c r="N20185" s="1">
        <v>43466</v>
      </c>
    </row>
    <row r="20186" spans="11:14" x14ac:dyDescent="0.3">
      <c r="K20186" s="1">
        <v>43831</v>
      </c>
      <c r="M20186" t="e">
        <v>#N/A</v>
      </c>
      <c r="N20186" s="1">
        <v>43466</v>
      </c>
    </row>
    <row r="20187" spans="11:14" x14ac:dyDescent="0.3">
      <c r="K20187" s="1">
        <v>43831</v>
      </c>
      <c r="M20187" t="e">
        <v>#N/A</v>
      </c>
      <c r="N20187" s="1">
        <v>43466</v>
      </c>
    </row>
    <row r="20188" spans="11:14" x14ac:dyDescent="0.3">
      <c r="K20188" s="1">
        <v>43831</v>
      </c>
      <c r="M20188" t="e">
        <v>#N/A</v>
      </c>
      <c r="N20188" s="1">
        <v>43466</v>
      </c>
    </row>
    <row r="20189" spans="11:14" x14ac:dyDescent="0.3">
      <c r="K20189" s="1">
        <v>43831</v>
      </c>
      <c r="M20189" t="e">
        <v>#N/A</v>
      </c>
      <c r="N20189" s="1">
        <v>43466</v>
      </c>
    </row>
    <row r="20190" spans="11:14" x14ac:dyDescent="0.3">
      <c r="K20190" s="1">
        <v>43831</v>
      </c>
      <c r="M20190" t="e">
        <v>#N/A</v>
      </c>
      <c r="N20190" s="1">
        <v>43466</v>
      </c>
    </row>
    <row r="20191" spans="11:14" x14ac:dyDescent="0.3">
      <c r="K20191" s="1">
        <v>43831</v>
      </c>
      <c r="M20191" t="e">
        <v>#N/A</v>
      </c>
      <c r="N20191" s="1">
        <v>43466</v>
      </c>
    </row>
    <row r="20192" spans="11:14" x14ac:dyDescent="0.3">
      <c r="K20192" s="1">
        <v>43831</v>
      </c>
      <c r="M20192" t="e">
        <v>#N/A</v>
      </c>
      <c r="N20192" s="1">
        <v>43466</v>
      </c>
    </row>
    <row r="20193" spans="11:14" x14ac:dyDescent="0.3">
      <c r="K20193" s="1">
        <v>43831</v>
      </c>
      <c r="M20193" t="e">
        <v>#N/A</v>
      </c>
      <c r="N20193" s="1">
        <v>43466</v>
      </c>
    </row>
    <row r="20194" spans="11:14" x14ac:dyDescent="0.3">
      <c r="K20194" s="1">
        <v>43831</v>
      </c>
      <c r="M20194" t="e">
        <v>#N/A</v>
      </c>
      <c r="N20194" s="1">
        <v>43466</v>
      </c>
    </row>
    <row r="20195" spans="11:14" x14ac:dyDescent="0.3">
      <c r="K20195" s="1">
        <v>43831</v>
      </c>
      <c r="M20195" t="e">
        <v>#N/A</v>
      </c>
      <c r="N20195" s="1">
        <v>43466</v>
      </c>
    </row>
    <row r="20196" spans="11:14" x14ac:dyDescent="0.3">
      <c r="K20196" s="1">
        <v>43831</v>
      </c>
      <c r="M20196" t="e">
        <v>#N/A</v>
      </c>
      <c r="N20196" s="1">
        <v>43466</v>
      </c>
    </row>
    <row r="20197" spans="11:14" x14ac:dyDescent="0.3">
      <c r="K20197" s="1">
        <v>43831</v>
      </c>
      <c r="M20197" t="e">
        <v>#N/A</v>
      </c>
      <c r="N20197" s="1">
        <v>43466</v>
      </c>
    </row>
    <row r="20198" spans="11:14" x14ac:dyDescent="0.3">
      <c r="K20198" s="1">
        <v>43831</v>
      </c>
      <c r="M20198" t="e">
        <v>#N/A</v>
      </c>
      <c r="N20198" s="1">
        <v>43466</v>
      </c>
    </row>
    <row r="20199" spans="11:14" x14ac:dyDescent="0.3">
      <c r="K20199" s="1">
        <v>43831</v>
      </c>
      <c r="M20199" t="e">
        <v>#N/A</v>
      </c>
      <c r="N20199" s="1">
        <v>43466</v>
      </c>
    </row>
    <row r="20200" spans="11:14" x14ac:dyDescent="0.3">
      <c r="K20200" s="1">
        <v>43831</v>
      </c>
      <c r="M20200" t="e">
        <v>#N/A</v>
      </c>
      <c r="N20200" s="1">
        <v>43466</v>
      </c>
    </row>
    <row r="20201" spans="11:14" x14ac:dyDescent="0.3">
      <c r="K20201" s="1">
        <v>43831</v>
      </c>
      <c r="M20201" t="e">
        <v>#N/A</v>
      </c>
      <c r="N20201" s="1">
        <v>43466</v>
      </c>
    </row>
    <row r="20202" spans="11:14" x14ac:dyDescent="0.3">
      <c r="K20202" s="1">
        <v>43831</v>
      </c>
      <c r="M20202" t="e">
        <v>#N/A</v>
      </c>
      <c r="N20202" s="1">
        <v>43466</v>
      </c>
    </row>
    <row r="20203" spans="11:14" x14ac:dyDescent="0.3">
      <c r="K20203" s="1">
        <v>43831</v>
      </c>
      <c r="M20203" t="e">
        <v>#N/A</v>
      </c>
      <c r="N20203" s="1">
        <v>43466</v>
      </c>
    </row>
    <row r="20204" spans="11:14" x14ac:dyDescent="0.3">
      <c r="K20204" s="1">
        <v>43831</v>
      </c>
      <c r="M20204" t="e">
        <v>#N/A</v>
      </c>
      <c r="N20204" s="1">
        <v>43466</v>
      </c>
    </row>
    <row r="20205" spans="11:14" x14ac:dyDescent="0.3">
      <c r="K20205" s="1">
        <v>43831</v>
      </c>
      <c r="M20205" t="e">
        <v>#N/A</v>
      </c>
      <c r="N20205" s="1">
        <v>43466</v>
      </c>
    </row>
    <row r="20206" spans="11:14" x14ac:dyDescent="0.3">
      <c r="K20206" s="1">
        <v>43831</v>
      </c>
      <c r="M20206" t="e">
        <v>#N/A</v>
      </c>
      <c r="N20206" s="1">
        <v>43466</v>
      </c>
    </row>
    <row r="20207" spans="11:14" x14ac:dyDescent="0.3">
      <c r="K20207" s="1">
        <v>43831</v>
      </c>
      <c r="M20207" t="e">
        <v>#N/A</v>
      </c>
      <c r="N20207" s="1">
        <v>43466</v>
      </c>
    </row>
    <row r="20208" spans="11:14" x14ac:dyDescent="0.3">
      <c r="K20208" s="1">
        <v>43831</v>
      </c>
      <c r="M20208" t="e">
        <v>#N/A</v>
      </c>
      <c r="N20208" s="1">
        <v>43466</v>
      </c>
    </row>
    <row r="20209" spans="11:14" x14ac:dyDescent="0.3">
      <c r="K20209" s="1">
        <v>43831</v>
      </c>
      <c r="M20209" t="e">
        <v>#N/A</v>
      </c>
      <c r="N20209" s="1">
        <v>43466</v>
      </c>
    </row>
    <row r="20210" spans="11:14" x14ac:dyDescent="0.3">
      <c r="K20210" s="1">
        <v>43831</v>
      </c>
      <c r="M20210" t="e">
        <v>#N/A</v>
      </c>
      <c r="N20210" s="1">
        <v>43466</v>
      </c>
    </row>
    <row r="20211" spans="11:14" x14ac:dyDescent="0.3">
      <c r="K20211" s="1">
        <v>43831</v>
      </c>
      <c r="M20211" t="e">
        <v>#N/A</v>
      </c>
      <c r="N20211" s="1">
        <v>43466</v>
      </c>
    </row>
    <row r="20212" spans="11:14" x14ac:dyDescent="0.3">
      <c r="K20212" s="1">
        <v>43831</v>
      </c>
      <c r="M20212" t="e">
        <v>#N/A</v>
      </c>
      <c r="N20212" s="1">
        <v>43466</v>
      </c>
    </row>
    <row r="20213" spans="11:14" x14ac:dyDescent="0.3">
      <c r="K20213" s="1">
        <v>43831</v>
      </c>
      <c r="M20213" t="e">
        <v>#N/A</v>
      </c>
      <c r="N20213" s="1">
        <v>43466</v>
      </c>
    </row>
    <row r="20214" spans="11:14" x14ac:dyDescent="0.3">
      <c r="K20214" s="1">
        <v>43831</v>
      </c>
      <c r="M20214" t="e">
        <v>#N/A</v>
      </c>
      <c r="N20214" s="1">
        <v>43466</v>
      </c>
    </row>
    <row r="20215" spans="11:14" x14ac:dyDescent="0.3">
      <c r="K20215" s="1">
        <v>43831</v>
      </c>
      <c r="M20215" t="e">
        <v>#N/A</v>
      </c>
      <c r="N20215" s="1">
        <v>43466</v>
      </c>
    </row>
    <row r="20216" spans="11:14" x14ac:dyDescent="0.3">
      <c r="K20216" s="1">
        <v>43831</v>
      </c>
      <c r="M20216" t="e">
        <v>#N/A</v>
      </c>
      <c r="N20216" s="1">
        <v>43466</v>
      </c>
    </row>
    <row r="20217" spans="11:14" x14ac:dyDescent="0.3">
      <c r="K20217" s="1">
        <v>43831</v>
      </c>
      <c r="M20217" t="e">
        <v>#N/A</v>
      </c>
      <c r="N20217" s="1">
        <v>43466</v>
      </c>
    </row>
    <row r="20218" spans="11:14" x14ac:dyDescent="0.3">
      <c r="K20218" s="1">
        <v>43831</v>
      </c>
      <c r="M20218" t="e">
        <v>#N/A</v>
      </c>
      <c r="N20218" s="1">
        <v>43466</v>
      </c>
    </row>
    <row r="20219" spans="11:14" x14ac:dyDescent="0.3">
      <c r="K20219" s="1">
        <v>43831</v>
      </c>
      <c r="M20219" t="e">
        <v>#N/A</v>
      </c>
      <c r="N20219" s="1">
        <v>43466</v>
      </c>
    </row>
    <row r="20220" spans="11:14" x14ac:dyDescent="0.3">
      <c r="K20220" s="1">
        <v>43831</v>
      </c>
      <c r="M20220" t="e">
        <v>#N/A</v>
      </c>
      <c r="N20220" s="1">
        <v>43466</v>
      </c>
    </row>
    <row r="20221" spans="11:14" x14ac:dyDescent="0.3">
      <c r="K20221" s="1">
        <v>43831</v>
      </c>
      <c r="M20221" t="e">
        <v>#N/A</v>
      </c>
      <c r="N20221" s="1">
        <v>43466</v>
      </c>
    </row>
    <row r="20222" spans="11:14" x14ac:dyDescent="0.3">
      <c r="K20222" s="1">
        <v>43831</v>
      </c>
      <c r="M20222" t="e">
        <v>#N/A</v>
      </c>
      <c r="N20222" s="1">
        <v>43466</v>
      </c>
    </row>
    <row r="20223" spans="11:14" x14ac:dyDescent="0.3">
      <c r="K20223" s="1">
        <v>43831</v>
      </c>
      <c r="M20223" t="e">
        <v>#N/A</v>
      </c>
      <c r="N20223" s="1">
        <v>43466</v>
      </c>
    </row>
    <row r="20224" spans="11:14" x14ac:dyDescent="0.3">
      <c r="K20224" s="1">
        <v>43831</v>
      </c>
      <c r="M20224" t="e">
        <v>#N/A</v>
      </c>
      <c r="N20224" s="1">
        <v>43466</v>
      </c>
    </row>
    <row r="20225" spans="11:14" x14ac:dyDescent="0.3">
      <c r="K20225" s="1">
        <v>43831</v>
      </c>
      <c r="M20225" t="e">
        <v>#N/A</v>
      </c>
      <c r="N20225" s="1">
        <v>43466</v>
      </c>
    </row>
    <row r="20226" spans="11:14" x14ac:dyDescent="0.3">
      <c r="K20226" s="1">
        <v>43831</v>
      </c>
      <c r="M20226" t="e">
        <v>#N/A</v>
      </c>
      <c r="N20226" s="1">
        <v>43466</v>
      </c>
    </row>
    <row r="20227" spans="11:14" x14ac:dyDescent="0.3">
      <c r="K20227" s="1">
        <v>43831</v>
      </c>
      <c r="M20227" t="e">
        <v>#N/A</v>
      </c>
      <c r="N20227" s="1">
        <v>43466</v>
      </c>
    </row>
    <row r="20228" spans="11:14" x14ac:dyDescent="0.3">
      <c r="K20228" s="1">
        <v>43831</v>
      </c>
      <c r="M20228" t="e">
        <v>#N/A</v>
      </c>
      <c r="N20228" s="1">
        <v>43466</v>
      </c>
    </row>
    <row r="20229" spans="11:14" x14ac:dyDescent="0.3">
      <c r="K20229" s="1">
        <v>43831</v>
      </c>
      <c r="M20229" t="e">
        <v>#N/A</v>
      </c>
      <c r="N20229" s="1">
        <v>43466</v>
      </c>
    </row>
    <row r="20230" spans="11:14" x14ac:dyDescent="0.3">
      <c r="K20230" s="1">
        <v>43831</v>
      </c>
      <c r="M20230" t="e">
        <v>#N/A</v>
      </c>
      <c r="N20230" s="1">
        <v>43466</v>
      </c>
    </row>
    <row r="20231" spans="11:14" x14ac:dyDescent="0.3">
      <c r="K20231" s="1">
        <v>43831</v>
      </c>
      <c r="M20231" t="e">
        <v>#N/A</v>
      </c>
      <c r="N20231" s="1">
        <v>43466</v>
      </c>
    </row>
    <row r="20232" spans="11:14" x14ac:dyDescent="0.3">
      <c r="K20232" s="1">
        <v>43831</v>
      </c>
      <c r="M20232" t="e">
        <v>#N/A</v>
      </c>
      <c r="N20232" s="1">
        <v>43466</v>
      </c>
    </row>
    <row r="20233" spans="11:14" x14ac:dyDescent="0.3">
      <c r="K20233" s="1">
        <v>43831</v>
      </c>
      <c r="M20233" t="e">
        <v>#N/A</v>
      </c>
      <c r="N20233" s="1">
        <v>43466</v>
      </c>
    </row>
    <row r="20234" spans="11:14" x14ac:dyDescent="0.3">
      <c r="K20234" s="1">
        <v>43831</v>
      </c>
      <c r="M20234" t="e">
        <v>#N/A</v>
      </c>
      <c r="N20234" s="1">
        <v>43466</v>
      </c>
    </row>
    <row r="20235" spans="11:14" x14ac:dyDescent="0.3">
      <c r="K20235" s="1">
        <v>43831</v>
      </c>
      <c r="M20235" t="e">
        <v>#N/A</v>
      </c>
      <c r="N20235" s="1">
        <v>43466</v>
      </c>
    </row>
    <row r="20236" spans="11:14" x14ac:dyDescent="0.3">
      <c r="K20236" s="1">
        <v>43831</v>
      </c>
      <c r="M20236" t="e">
        <v>#N/A</v>
      </c>
      <c r="N20236" s="1">
        <v>43466</v>
      </c>
    </row>
    <row r="20237" spans="11:14" x14ac:dyDescent="0.3">
      <c r="K20237" s="1">
        <v>43831</v>
      </c>
      <c r="M20237" t="e">
        <v>#N/A</v>
      </c>
      <c r="N20237" s="1">
        <v>43466</v>
      </c>
    </row>
    <row r="20238" spans="11:14" x14ac:dyDescent="0.3">
      <c r="K20238" s="1">
        <v>43831</v>
      </c>
      <c r="M20238" t="e">
        <v>#N/A</v>
      </c>
      <c r="N20238" s="1">
        <v>43466</v>
      </c>
    </row>
    <row r="20239" spans="11:14" x14ac:dyDescent="0.3">
      <c r="K20239" s="1">
        <v>43831</v>
      </c>
      <c r="M20239" t="e">
        <v>#N/A</v>
      </c>
      <c r="N20239" s="1">
        <v>43466</v>
      </c>
    </row>
    <row r="20240" spans="11:14" x14ac:dyDescent="0.3">
      <c r="K20240" s="1">
        <v>43831</v>
      </c>
      <c r="M20240" t="e">
        <v>#N/A</v>
      </c>
      <c r="N20240" s="1">
        <v>43466</v>
      </c>
    </row>
    <row r="20241" spans="11:14" x14ac:dyDescent="0.3">
      <c r="K20241" s="1">
        <v>43831</v>
      </c>
      <c r="M20241" t="e">
        <v>#N/A</v>
      </c>
      <c r="N20241" s="1">
        <v>43466</v>
      </c>
    </row>
    <row r="20242" spans="11:14" x14ac:dyDescent="0.3">
      <c r="K20242" s="1">
        <v>43831</v>
      </c>
      <c r="M20242" t="e">
        <v>#N/A</v>
      </c>
      <c r="N20242" s="1">
        <v>43466</v>
      </c>
    </row>
    <row r="20243" spans="11:14" x14ac:dyDescent="0.3">
      <c r="K20243" s="1">
        <v>43831</v>
      </c>
      <c r="M20243" t="e">
        <v>#N/A</v>
      </c>
      <c r="N20243" s="1">
        <v>43466</v>
      </c>
    </row>
    <row r="20244" spans="11:14" x14ac:dyDescent="0.3">
      <c r="K20244" s="1">
        <v>43831</v>
      </c>
      <c r="M20244" t="e">
        <v>#N/A</v>
      </c>
      <c r="N20244" s="1">
        <v>43466</v>
      </c>
    </row>
    <row r="20245" spans="11:14" x14ac:dyDescent="0.3">
      <c r="K20245" s="1">
        <v>43831</v>
      </c>
      <c r="M20245" t="e">
        <v>#N/A</v>
      </c>
      <c r="N20245" s="1">
        <v>43466</v>
      </c>
    </row>
    <row r="20246" spans="11:14" x14ac:dyDescent="0.3">
      <c r="K20246" s="1">
        <v>43831</v>
      </c>
      <c r="M20246" t="e">
        <v>#N/A</v>
      </c>
      <c r="N20246" s="1">
        <v>43466</v>
      </c>
    </row>
    <row r="20247" spans="11:14" x14ac:dyDescent="0.3">
      <c r="K20247" s="1">
        <v>43831</v>
      </c>
      <c r="M20247" t="e">
        <v>#N/A</v>
      </c>
      <c r="N20247" s="1">
        <v>43466</v>
      </c>
    </row>
    <row r="20248" spans="11:14" x14ac:dyDescent="0.3">
      <c r="K20248" s="1">
        <v>43831</v>
      </c>
      <c r="M20248" t="e">
        <v>#N/A</v>
      </c>
      <c r="N20248" s="1">
        <v>43466</v>
      </c>
    </row>
    <row r="20249" spans="11:14" x14ac:dyDescent="0.3">
      <c r="K20249" s="1">
        <v>43831</v>
      </c>
      <c r="M20249" t="e">
        <v>#N/A</v>
      </c>
      <c r="N20249" s="1">
        <v>43466</v>
      </c>
    </row>
    <row r="20250" spans="11:14" x14ac:dyDescent="0.3">
      <c r="K20250" s="1">
        <v>43831</v>
      </c>
      <c r="M20250" t="e">
        <v>#N/A</v>
      </c>
      <c r="N20250" s="1">
        <v>43466</v>
      </c>
    </row>
    <row r="20251" spans="11:14" x14ac:dyDescent="0.3">
      <c r="K20251" s="1">
        <v>43831</v>
      </c>
      <c r="M20251" t="e">
        <v>#N/A</v>
      </c>
      <c r="N20251" s="1">
        <v>43466</v>
      </c>
    </row>
    <row r="20252" spans="11:14" x14ac:dyDescent="0.3">
      <c r="K20252" s="1">
        <v>43831</v>
      </c>
      <c r="M20252" t="e">
        <v>#N/A</v>
      </c>
      <c r="N20252" s="1">
        <v>43466</v>
      </c>
    </row>
    <row r="20253" spans="11:14" x14ac:dyDescent="0.3">
      <c r="K20253" s="1">
        <v>43831</v>
      </c>
      <c r="M20253" t="e">
        <v>#N/A</v>
      </c>
      <c r="N20253" s="1">
        <v>43466</v>
      </c>
    </row>
    <row r="20254" spans="11:14" x14ac:dyDescent="0.3">
      <c r="K20254" s="1">
        <v>43831</v>
      </c>
      <c r="M20254" t="e">
        <v>#N/A</v>
      </c>
      <c r="N20254" s="1">
        <v>43466</v>
      </c>
    </row>
    <row r="20255" spans="11:14" x14ac:dyDescent="0.3">
      <c r="K20255" s="1">
        <v>43831</v>
      </c>
      <c r="M20255" t="e">
        <v>#N/A</v>
      </c>
      <c r="N20255" s="1">
        <v>43466</v>
      </c>
    </row>
    <row r="20256" spans="11:14" x14ac:dyDescent="0.3">
      <c r="K20256" s="1">
        <v>43831</v>
      </c>
      <c r="M20256" t="e">
        <v>#N/A</v>
      </c>
      <c r="N20256" s="1">
        <v>43466</v>
      </c>
    </row>
    <row r="20257" spans="11:14" x14ac:dyDescent="0.3">
      <c r="K20257" s="1">
        <v>43831</v>
      </c>
      <c r="M20257" t="e">
        <v>#N/A</v>
      </c>
      <c r="N20257" s="1">
        <v>43466</v>
      </c>
    </row>
    <row r="20258" spans="11:14" x14ac:dyDescent="0.3">
      <c r="K20258" s="1">
        <v>43831</v>
      </c>
      <c r="M20258" t="e">
        <v>#N/A</v>
      </c>
      <c r="N20258" s="1">
        <v>43466</v>
      </c>
    </row>
    <row r="20259" spans="11:14" x14ac:dyDescent="0.3">
      <c r="K20259" s="1">
        <v>43831</v>
      </c>
      <c r="M20259" t="e">
        <v>#N/A</v>
      </c>
      <c r="N20259" s="1">
        <v>43466</v>
      </c>
    </row>
    <row r="20260" spans="11:14" x14ac:dyDescent="0.3">
      <c r="K20260" s="1">
        <v>43831</v>
      </c>
      <c r="M20260" t="e">
        <v>#N/A</v>
      </c>
      <c r="N20260" s="1">
        <v>43466</v>
      </c>
    </row>
    <row r="20261" spans="11:14" x14ac:dyDescent="0.3">
      <c r="K20261" s="1">
        <v>43831</v>
      </c>
      <c r="M20261" t="e">
        <v>#N/A</v>
      </c>
      <c r="N20261" s="1">
        <v>43466</v>
      </c>
    </row>
    <row r="20262" spans="11:14" x14ac:dyDescent="0.3">
      <c r="K20262" s="1">
        <v>43831</v>
      </c>
      <c r="M20262" t="e">
        <v>#N/A</v>
      </c>
      <c r="N20262" s="1">
        <v>43466</v>
      </c>
    </row>
    <row r="20263" spans="11:14" x14ac:dyDescent="0.3">
      <c r="K20263" s="1">
        <v>43831</v>
      </c>
      <c r="M20263" t="e">
        <v>#N/A</v>
      </c>
      <c r="N20263" s="1">
        <v>43466</v>
      </c>
    </row>
    <row r="20264" spans="11:14" x14ac:dyDescent="0.3">
      <c r="K20264" s="1">
        <v>43831</v>
      </c>
      <c r="M20264" t="e">
        <v>#N/A</v>
      </c>
      <c r="N20264" s="1">
        <v>43466</v>
      </c>
    </row>
    <row r="20265" spans="11:14" x14ac:dyDescent="0.3">
      <c r="K20265" s="1">
        <v>43831</v>
      </c>
      <c r="M20265" t="e">
        <v>#N/A</v>
      </c>
      <c r="N20265" s="1">
        <v>43466</v>
      </c>
    </row>
    <row r="20266" spans="11:14" x14ac:dyDescent="0.3">
      <c r="K20266" s="1">
        <v>43831</v>
      </c>
      <c r="M20266" t="e">
        <v>#N/A</v>
      </c>
      <c r="N20266" s="1">
        <v>43466</v>
      </c>
    </row>
    <row r="20267" spans="11:14" x14ac:dyDescent="0.3">
      <c r="K20267" s="1">
        <v>43831</v>
      </c>
      <c r="M20267" t="e">
        <v>#N/A</v>
      </c>
      <c r="N20267" s="1">
        <v>43466</v>
      </c>
    </row>
    <row r="20268" spans="11:14" x14ac:dyDescent="0.3">
      <c r="K20268" s="1">
        <v>43831</v>
      </c>
      <c r="M20268" t="e">
        <v>#N/A</v>
      </c>
      <c r="N20268" s="1">
        <v>43466</v>
      </c>
    </row>
    <row r="20269" spans="11:14" x14ac:dyDescent="0.3">
      <c r="K20269" s="1">
        <v>43831</v>
      </c>
      <c r="M20269" t="e">
        <v>#N/A</v>
      </c>
      <c r="N20269" s="1">
        <v>43466</v>
      </c>
    </row>
    <row r="20270" spans="11:14" x14ac:dyDescent="0.3">
      <c r="K20270" s="1">
        <v>43831</v>
      </c>
      <c r="M20270" t="e">
        <v>#N/A</v>
      </c>
      <c r="N20270" s="1">
        <v>43466</v>
      </c>
    </row>
    <row r="20271" spans="11:14" x14ac:dyDescent="0.3">
      <c r="K20271" s="1">
        <v>43831</v>
      </c>
      <c r="M20271" t="e">
        <v>#N/A</v>
      </c>
      <c r="N20271" s="1">
        <v>43466</v>
      </c>
    </row>
    <row r="20272" spans="11:14" x14ac:dyDescent="0.3">
      <c r="K20272" s="1">
        <v>43831</v>
      </c>
      <c r="M20272" t="e">
        <v>#N/A</v>
      </c>
      <c r="N20272" s="1">
        <v>43466</v>
      </c>
    </row>
    <row r="20273" spans="11:14" x14ac:dyDescent="0.3">
      <c r="K20273" s="1">
        <v>43831</v>
      </c>
      <c r="M20273" t="e">
        <v>#N/A</v>
      </c>
      <c r="N20273" s="1">
        <v>43466</v>
      </c>
    </row>
    <row r="20274" spans="11:14" x14ac:dyDescent="0.3">
      <c r="K20274" s="1">
        <v>43831</v>
      </c>
      <c r="M20274" t="e">
        <v>#N/A</v>
      </c>
      <c r="N20274" s="1">
        <v>43466</v>
      </c>
    </row>
    <row r="20275" spans="11:14" x14ac:dyDescent="0.3">
      <c r="K20275" s="1">
        <v>43831</v>
      </c>
      <c r="M20275" t="e">
        <v>#N/A</v>
      </c>
      <c r="N20275" s="1">
        <v>43466</v>
      </c>
    </row>
    <row r="20276" spans="11:14" x14ac:dyDescent="0.3">
      <c r="K20276" s="1">
        <v>43831</v>
      </c>
      <c r="M20276" t="e">
        <v>#N/A</v>
      </c>
      <c r="N20276" s="1">
        <v>43466</v>
      </c>
    </row>
    <row r="20277" spans="11:14" x14ac:dyDescent="0.3">
      <c r="K20277" s="1">
        <v>43831</v>
      </c>
      <c r="M20277" t="e">
        <v>#N/A</v>
      </c>
      <c r="N20277" s="1">
        <v>43466</v>
      </c>
    </row>
    <row r="20278" spans="11:14" x14ac:dyDescent="0.3">
      <c r="K20278" s="1">
        <v>43831</v>
      </c>
      <c r="M20278" t="e">
        <v>#N/A</v>
      </c>
      <c r="N20278" s="1">
        <v>43466</v>
      </c>
    </row>
    <row r="20279" spans="11:14" x14ac:dyDescent="0.3">
      <c r="K20279" s="1">
        <v>43831</v>
      </c>
      <c r="M20279" t="e">
        <v>#N/A</v>
      </c>
      <c r="N20279" s="1">
        <v>43466</v>
      </c>
    </row>
    <row r="20280" spans="11:14" x14ac:dyDescent="0.3">
      <c r="K20280" s="1">
        <v>43831</v>
      </c>
      <c r="M20280" t="e">
        <v>#N/A</v>
      </c>
      <c r="N20280" s="1">
        <v>43466</v>
      </c>
    </row>
    <row r="20281" spans="11:14" x14ac:dyDescent="0.3">
      <c r="K20281" s="1">
        <v>43831</v>
      </c>
      <c r="M20281" t="e">
        <v>#N/A</v>
      </c>
      <c r="N20281" s="1">
        <v>43466</v>
      </c>
    </row>
    <row r="20282" spans="11:14" x14ac:dyDescent="0.3">
      <c r="K20282" s="1">
        <v>43831</v>
      </c>
      <c r="M20282" t="e">
        <v>#N/A</v>
      </c>
      <c r="N20282" s="1">
        <v>43466</v>
      </c>
    </row>
    <row r="20283" spans="11:14" x14ac:dyDescent="0.3">
      <c r="K20283" s="1">
        <v>43831</v>
      </c>
      <c r="M20283" t="e">
        <v>#N/A</v>
      </c>
      <c r="N20283" s="1">
        <v>43466</v>
      </c>
    </row>
    <row r="20284" spans="11:14" x14ac:dyDescent="0.3">
      <c r="K20284" s="1">
        <v>43831</v>
      </c>
      <c r="M20284" t="e">
        <v>#N/A</v>
      </c>
      <c r="N20284" s="1">
        <v>43466</v>
      </c>
    </row>
    <row r="20285" spans="11:14" x14ac:dyDescent="0.3">
      <c r="K20285" s="1">
        <v>43831</v>
      </c>
      <c r="M20285" t="e">
        <v>#N/A</v>
      </c>
      <c r="N20285" s="1">
        <v>43466</v>
      </c>
    </row>
    <row r="20286" spans="11:14" x14ac:dyDescent="0.3">
      <c r="K20286" s="1">
        <v>43831</v>
      </c>
      <c r="M20286" t="e">
        <v>#N/A</v>
      </c>
      <c r="N20286" s="1">
        <v>43466</v>
      </c>
    </row>
    <row r="20287" spans="11:14" x14ac:dyDescent="0.3">
      <c r="K20287" s="1">
        <v>43831</v>
      </c>
      <c r="M20287" t="e">
        <v>#N/A</v>
      </c>
      <c r="N20287" s="1">
        <v>43466</v>
      </c>
    </row>
    <row r="20288" spans="11:14" x14ac:dyDescent="0.3">
      <c r="K20288" s="1">
        <v>43831</v>
      </c>
      <c r="M20288" t="e">
        <v>#N/A</v>
      </c>
      <c r="N20288" s="1">
        <v>43466</v>
      </c>
    </row>
    <row r="20289" spans="11:14" x14ac:dyDescent="0.3">
      <c r="K20289" s="1">
        <v>43831</v>
      </c>
      <c r="M20289" t="e">
        <v>#N/A</v>
      </c>
      <c r="N20289" s="1">
        <v>43466</v>
      </c>
    </row>
    <row r="20290" spans="11:14" x14ac:dyDescent="0.3">
      <c r="K20290" s="1">
        <v>43831</v>
      </c>
      <c r="M20290" t="e">
        <v>#N/A</v>
      </c>
      <c r="N20290" s="1">
        <v>43466</v>
      </c>
    </row>
    <row r="20291" spans="11:14" x14ac:dyDescent="0.3">
      <c r="K20291" s="1">
        <v>43831</v>
      </c>
      <c r="M20291" t="e">
        <v>#N/A</v>
      </c>
      <c r="N20291" s="1">
        <v>43466</v>
      </c>
    </row>
    <row r="20292" spans="11:14" x14ac:dyDescent="0.3">
      <c r="K20292" s="1">
        <v>43831</v>
      </c>
      <c r="M20292" t="e">
        <v>#N/A</v>
      </c>
      <c r="N20292" s="1">
        <v>43466</v>
      </c>
    </row>
    <row r="20293" spans="11:14" x14ac:dyDescent="0.3">
      <c r="K20293" s="1">
        <v>43831</v>
      </c>
      <c r="M20293" t="e">
        <v>#N/A</v>
      </c>
      <c r="N20293" s="1">
        <v>43466</v>
      </c>
    </row>
    <row r="20294" spans="11:14" x14ac:dyDescent="0.3">
      <c r="K20294" s="1">
        <v>43831</v>
      </c>
      <c r="M20294" t="e">
        <v>#N/A</v>
      </c>
      <c r="N20294" s="1">
        <v>43466</v>
      </c>
    </row>
    <row r="20295" spans="11:14" x14ac:dyDescent="0.3">
      <c r="K20295" s="1">
        <v>43831</v>
      </c>
      <c r="M20295" t="e">
        <v>#N/A</v>
      </c>
      <c r="N20295" s="1">
        <v>43466</v>
      </c>
    </row>
    <row r="20296" spans="11:14" x14ac:dyDescent="0.3">
      <c r="K20296" s="1">
        <v>43831</v>
      </c>
      <c r="M20296" t="e">
        <v>#N/A</v>
      </c>
      <c r="N20296" s="1">
        <v>43466</v>
      </c>
    </row>
    <row r="20297" spans="11:14" x14ac:dyDescent="0.3">
      <c r="K20297" s="1">
        <v>43831</v>
      </c>
      <c r="M20297" t="e">
        <v>#N/A</v>
      </c>
      <c r="N20297" s="1">
        <v>43466</v>
      </c>
    </row>
    <row r="20298" spans="11:14" x14ac:dyDescent="0.3">
      <c r="K20298" s="1">
        <v>43831</v>
      </c>
      <c r="M20298" t="e">
        <v>#N/A</v>
      </c>
      <c r="N20298" s="1">
        <v>43466</v>
      </c>
    </row>
    <row r="20299" spans="11:14" x14ac:dyDescent="0.3">
      <c r="K20299" s="1">
        <v>43831</v>
      </c>
      <c r="M20299" t="e">
        <v>#N/A</v>
      </c>
      <c r="N20299" s="1">
        <v>43466</v>
      </c>
    </row>
    <row r="20300" spans="11:14" x14ac:dyDescent="0.3">
      <c r="K20300" s="1">
        <v>43831</v>
      </c>
      <c r="M20300" t="e">
        <v>#N/A</v>
      </c>
      <c r="N20300" s="1">
        <v>43466</v>
      </c>
    </row>
    <row r="20301" spans="11:14" x14ac:dyDescent="0.3">
      <c r="K20301" s="1">
        <v>43831</v>
      </c>
      <c r="M20301" t="e">
        <v>#N/A</v>
      </c>
      <c r="N20301" s="1">
        <v>43466</v>
      </c>
    </row>
    <row r="20302" spans="11:14" x14ac:dyDescent="0.3">
      <c r="K20302" s="1">
        <v>43831</v>
      </c>
      <c r="M20302" t="e">
        <v>#N/A</v>
      </c>
      <c r="N20302" s="1">
        <v>43466</v>
      </c>
    </row>
    <row r="20303" spans="11:14" x14ac:dyDescent="0.3">
      <c r="K20303" s="1">
        <v>43831</v>
      </c>
      <c r="M20303" t="e">
        <v>#N/A</v>
      </c>
      <c r="N20303" s="1">
        <v>43466</v>
      </c>
    </row>
    <row r="20304" spans="11:14" x14ac:dyDescent="0.3">
      <c r="K20304" s="1">
        <v>43831</v>
      </c>
      <c r="M20304" t="e">
        <v>#N/A</v>
      </c>
      <c r="N20304" s="1">
        <v>43466</v>
      </c>
    </row>
    <row r="20305" spans="11:14" x14ac:dyDescent="0.3">
      <c r="K20305" s="1">
        <v>43831</v>
      </c>
      <c r="M20305" t="e">
        <v>#N/A</v>
      </c>
      <c r="N20305" s="1">
        <v>43466</v>
      </c>
    </row>
    <row r="20306" spans="11:14" x14ac:dyDescent="0.3">
      <c r="K20306" s="1">
        <v>43831</v>
      </c>
      <c r="M20306" t="e">
        <v>#N/A</v>
      </c>
      <c r="N20306" s="1">
        <v>43466</v>
      </c>
    </row>
    <row r="20307" spans="11:14" x14ac:dyDescent="0.3">
      <c r="K20307" s="1">
        <v>43831</v>
      </c>
      <c r="M20307" t="e">
        <v>#N/A</v>
      </c>
      <c r="N20307" s="1">
        <v>43466</v>
      </c>
    </row>
    <row r="20308" spans="11:14" x14ac:dyDescent="0.3">
      <c r="K20308" s="1">
        <v>43831</v>
      </c>
      <c r="M20308" t="e">
        <v>#N/A</v>
      </c>
      <c r="N20308" s="1">
        <v>43466</v>
      </c>
    </row>
    <row r="20309" spans="11:14" x14ac:dyDescent="0.3">
      <c r="K20309" s="1">
        <v>43831</v>
      </c>
      <c r="M20309" t="e">
        <v>#N/A</v>
      </c>
      <c r="N20309" s="1">
        <v>43466</v>
      </c>
    </row>
    <row r="20310" spans="11:14" x14ac:dyDescent="0.3">
      <c r="K20310" s="1">
        <v>43831</v>
      </c>
      <c r="M20310" t="e">
        <v>#N/A</v>
      </c>
      <c r="N20310" s="1">
        <v>43466</v>
      </c>
    </row>
    <row r="20311" spans="11:14" x14ac:dyDescent="0.3">
      <c r="K20311" s="1">
        <v>43831</v>
      </c>
      <c r="M20311" t="e">
        <v>#N/A</v>
      </c>
      <c r="N20311" s="1">
        <v>43466</v>
      </c>
    </row>
    <row r="20312" spans="11:14" x14ac:dyDescent="0.3">
      <c r="K20312" s="1">
        <v>43831</v>
      </c>
      <c r="M20312" t="e">
        <v>#N/A</v>
      </c>
      <c r="N20312" s="1">
        <v>43466</v>
      </c>
    </row>
    <row r="20313" spans="11:14" x14ac:dyDescent="0.3">
      <c r="K20313" s="1">
        <v>43831</v>
      </c>
      <c r="M20313" t="e">
        <v>#N/A</v>
      </c>
      <c r="N20313" s="1">
        <v>43466</v>
      </c>
    </row>
    <row r="20314" spans="11:14" x14ac:dyDescent="0.3">
      <c r="K20314" s="1">
        <v>43831</v>
      </c>
      <c r="M20314" t="e">
        <v>#N/A</v>
      </c>
      <c r="N20314" s="1">
        <v>43466</v>
      </c>
    </row>
    <row r="20315" spans="11:14" x14ac:dyDescent="0.3">
      <c r="K20315" s="1">
        <v>43831</v>
      </c>
      <c r="M20315" t="e">
        <v>#N/A</v>
      </c>
      <c r="N20315" s="1">
        <v>43466</v>
      </c>
    </row>
    <row r="20316" spans="11:14" x14ac:dyDescent="0.3">
      <c r="K20316" s="1">
        <v>43831</v>
      </c>
      <c r="M20316" t="e">
        <v>#N/A</v>
      </c>
      <c r="N20316" s="1">
        <v>43466</v>
      </c>
    </row>
    <row r="20317" spans="11:14" x14ac:dyDescent="0.3">
      <c r="K20317" s="1">
        <v>43831</v>
      </c>
      <c r="M20317" t="e">
        <v>#N/A</v>
      </c>
      <c r="N20317" s="1">
        <v>43466</v>
      </c>
    </row>
    <row r="20318" spans="11:14" x14ac:dyDescent="0.3">
      <c r="K20318" s="1">
        <v>43831</v>
      </c>
      <c r="M20318" t="e">
        <v>#N/A</v>
      </c>
      <c r="N20318" s="1">
        <v>43466</v>
      </c>
    </row>
    <row r="20319" spans="11:14" x14ac:dyDescent="0.3">
      <c r="K20319" s="1">
        <v>43831</v>
      </c>
      <c r="M20319" t="e">
        <v>#N/A</v>
      </c>
      <c r="N20319" s="1">
        <v>43466</v>
      </c>
    </row>
    <row r="20320" spans="11:14" x14ac:dyDescent="0.3">
      <c r="K20320" s="1">
        <v>43831</v>
      </c>
      <c r="M20320" t="e">
        <v>#N/A</v>
      </c>
      <c r="N20320" s="1">
        <v>43466</v>
      </c>
    </row>
    <row r="20321" spans="11:14" x14ac:dyDescent="0.3">
      <c r="K20321" s="1">
        <v>43831</v>
      </c>
      <c r="M20321" t="e">
        <v>#N/A</v>
      </c>
      <c r="N20321" s="1">
        <v>43466</v>
      </c>
    </row>
    <row r="20322" spans="11:14" x14ac:dyDescent="0.3">
      <c r="K20322" s="1">
        <v>43831</v>
      </c>
      <c r="M20322" t="e">
        <v>#N/A</v>
      </c>
      <c r="N20322" s="1">
        <v>43466</v>
      </c>
    </row>
    <row r="20323" spans="11:14" x14ac:dyDescent="0.3">
      <c r="K20323" s="1">
        <v>43831</v>
      </c>
      <c r="M20323" t="e">
        <v>#N/A</v>
      </c>
      <c r="N20323" s="1">
        <v>43466</v>
      </c>
    </row>
    <row r="20324" spans="11:14" x14ac:dyDescent="0.3">
      <c r="K20324" s="1">
        <v>43831</v>
      </c>
      <c r="M20324" t="e">
        <v>#N/A</v>
      </c>
      <c r="N20324" s="1">
        <v>43466</v>
      </c>
    </row>
    <row r="20325" spans="11:14" x14ac:dyDescent="0.3">
      <c r="K20325" s="1">
        <v>43831</v>
      </c>
      <c r="M20325" t="e">
        <v>#N/A</v>
      </c>
      <c r="N20325" s="1">
        <v>43466</v>
      </c>
    </row>
    <row r="20326" spans="11:14" x14ac:dyDescent="0.3">
      <c r="K20326" s="1">
        <v>43831</v>
      </c>
      <c r="M20326" t="e">
        <v>#N/A</v>
      </c>
      <c r="N20326" s="1">
        <v>43466</v>
      </c>
    </row>
    <row r="20327" spans="11:14" x14ac:dyDescent="0.3">
      <c r="K20327" s="1">
        <v>43831</v>
      </c>
      <c r="M20327" t="e">
        <v>#N/A</v>
      </c>
      <c r="N20327" s="1">
        <v>43466</v>
      </c>
    </row>
    <row r="20328" spans="11:14" x14ac:dyDescent="0.3">
      <c r="K20328" s="1">
        <v>43831</v>
      </c>
      <c r="M20328" t="e">
        <v>#N/A</v>
      </c>
      <c r="N20328" s="1">
        <v>43466</v>
      </c>
    </row>
    <row r="20329" spans="11:14" x14ac:dyDescent="0.3">
      <c r="K20329" s="1">
        <v>43831</v>
      </c>
      <c r="M20329" t="e">
        <v>#N/A</v>
      </c>
      <c r="N20329" s="1">
        <v>43466</v>
      </c>
    </row>
    <row r="20330" spans="11:14" x14ac:dyDescent="0.3">
      <c r="K20330" s="1">
        <v>43831</v>
      </c>
      <c r="M20330" t="e">
        <v>#N/A</v>
      </c>
      <c r="N20330" s="1">
        <v>43466</v>
      </c>
    </row>
    <row r="20331" spans="11:14" x14ac:dyDescent="0.3">
      <c r="K20331" s="1">
        <v>43831</v>
      </c>
      <c r="M20331" t="e">
        <v>#N/A</v>
      </c>
      <c r="N20331" s="1">
        <v>43466</v>
      </c>
    </row>
    <row r="20332" spans="11:14" x14ac:dyDescent="0.3">
      <c r="K20332" s="1">
        <v>43831</v>
      </c>
      <c r="M20332" t="e">
        <v>#N/A</v>
      </c>
      <c r="N20332" s="1">
        <v>43466</v>
      </c>
    </row>
    <row r="20333" spans="11:14" x14ac:dyDescent="0.3">
      <c r="K20333" s="1">
        <v>43831</v>
      </c>
      <c r="M20333" t="e">
        <v>#N/A</v>
      </c>
      <c r="N20333" s="1">
        <v>43466</v>
      </c>
    </row>
    <row r="20334" spans="11:14" x14ac:dyDescent="0.3">
      <c r="K20334" s="1">
        <v>43922</v>
      </c>
      <c r="M20334" t="e">
        <v>#N/A</v>
      </c>
      <c r="N20334" s="1">
        <v>43466</v>
      </c>
    </row>
    <row r="20335" spans="11:14" x14ac:dyDescent="0.3">
      <c r="K20335" s="1">
        <v>43922</v>
      </c>
      <c r="M20335" t="e">
        <v>#N/A</v>
      </c>
      <c r="N20335" s="1">
        <v>43466</v>
      </c>
    </row>
    <row r="20336" spans="11:14" x14ac:dyDescent="0.3">
      <c r="K20336" s="1">
        <v>43922</v>
      </c>
      <c r="M20336" t="e">
        <v>#N/A</v>
      </c>
      <c r="N20336" s="1">
        <v>43466</v>
      </c>
    </row>
    <row r="20337" spans="11:14" x14ac:dyDescent="0.3">
      <c r="K20337" s="1">
        <v>43922</v>
      </c>
      <c r="M20337" t="e">
        <v>#N/A</v>
      </c>
      <c r="N20337" s="1">
        <v>43466</v>
      </c>
    </row>
    <row r="20338" spans="11:14" x14ac:dyDescent="0.3">
      <c r="K20338" s="1">
        <v>43922</v>
      </c>
      <c r="M20338" t="e">
        <v>#N/A</v>
      </c>
      <c r="N20338" s="1">
        <v>43466</v>
      </c>
    </row>
    <row r="20339" spans="11:14" x14ac:dyDescent="0.3">
      <c r="K20339" s="1">
        <v>43922</v>
      </c>
      <c r="M20339" t="e">
        <v>#N/A</v>
      </c>
      <c r="N20339" s="1">
        <v>43466</v>
      </c>
    </row>
    <row r="20340" spans="11:14" x14ac:dyDescent="0.3">
      <c r="K20340" s="1">
        <v>43922</v>
      </c>
      <c r="M20340" t="e">
        <v>#N/A</v>
      </c>
      <c r="N20340" s="1">
        <v>43466</v>
      </c>
    </row>
    <row r="20341" spans="11:14" x14ac:dyDescent="0.3">
      <c r="K20341" s="1">
        <v>43922</v>
      </c>
      <c r="M20341" t="e">
        <v>#N/A</v>
      </c>
      <c r="N20341" s="1">
        <v>43466</v>
      </c>
    </row>
    <row r="20342" spans="11:14" x14ac:dyDescent="0.3">
      <c r="K20342" s="1">
        <v>43922</v>
      </c>
      <c r="M20342" t="e">
        <v>#N/A</v>
      </c>
      <c r="N20342" s="1">
        <v>43466</v>
      </c>
    </row>
    <row r="20343" spans="11:14" x14ac:dyDescent="0.3">
      <c r="K20343" s="1">
        <v>43922</v>
      </c>
      <c r="M20343" t="e">
        <v>#N/A</v>
      </c>
      <c r="N20343" s="1">
        <v>43466</v>
      </c>
    </row>
    <row r="20344" spans="11:14" x14ac:dyDescent="0.3">
      <c r="K20344" s="1">
        <v>43922</v>
      </c>
      <c r="M20344" t="e">
        <v>#N/A</v>
      </c>
      <c r="N20344" s="1">
        <v>43466</v>
      </c>
    </row>
    <row r="20345" spans="11:14" x14ac:dyDescent="0.3">
      <c r="K20345" s="1">
        <v>43922</v>
      </c>
      <c r="M20345" t="e">
        <v>#N/A</v>
      </c>
      <c r="N20345" s="1">
        <v>43466</v>
      </c>
    </row>
    <row r="20346" spans="11:14" x14ac:dyDescent="0.3">
      <c r="K20346" s="1">
        <v>43922</v>
      </c>
      <c r="M20346" t="e">
        <v>#N/A</v>
      </c>
      <c r="N20346" s="1">
        <v>43466</v>
      </c>
    </row>
    <row r="20347" spans="11:14" x14ac:dyDescent="0.3">
      <c r="K20347" s="1">
        <v>43922</v>
      </c>
      <c r="M20347" t="e">
        <v>#N/A</v>
      </c>
      <c r="N20347" s="1">
        <v>43466</v>
      </c>
    </row>
    <row r="20348" spans="11:14" x14ac:dyDescent="0.3">
      <c r="K20348" s="1">
        <v>43922</v>
      </c>
      <c r="M20348" t="e">
        <v>#N/A</v>
      </c>
      <c r="N20348" s="1">
        <v>43466</v>
      </c>
    </row>
    <row r="20349" spans="11:14" x14ac:dyDescent="0.3">
      <c r="K20349" s="1">
        <v>43922</v>
      </c>
      <c r="M20349" t="e">
        <v>#N/A</v>
      </c>
      <c r="N20349" s="1">
        <v>43466</v>
      </c>
    </row>
    <row r="20350" spans="11:14" x14ac:dyDescent="0.3">
      <c r="K20350" s="1">
        <v>43922</v>
      </c>
      <c r="M20350" t="e">
        <v>#N/A</v>
      </c>
      <c r="N20350" s="1">
        <v>43466</v>
      </c>
    </row>
    <row r="20351" spans="11:14" x14ac:dyDescent="0.3">
      <c r="K20351" s="1">
        <v>43922</v>
      </c>
      <c r="M20351" t="e">
        <v>#N/A</v>
      </c>
      <c r="N20351" s="1">
        <v>43466</v>
      </c>
    </row>
    <row r="20352" spans="11:14" x14ac:dyDescent="0.3">
      <c r="K20352" s="1">
        <v>43922</v>
      </c>
      <c r="M20352" t="e">
        <v>#N/A</v>
      </c>
      <c r="N20352" s="1">
        <v>43466</v>
      </c>
    </row>
    <row r="20353" spans="11:14" x14ac:dyDescent="0.3">
      <c r="K20353" s="1">
        <v>43922</v>
      </c>
      <c r="M20353" t="e">
        <v>#N/A</v>
      </c>
      <c r="N20353" s="1">
        <v>43466</v>
      </c>
    </row>
    <row r="20354" spans="11:14" x14ac:dyDescent="0.3">
      <c r="K20354" s="1">
        <v>43922</v>
      </c>
      <c r="M20354" t="e">
        <v>#N/A</v>
      </c>
      <c r="N20354" s="1">
        <v>43466</v>
      </c>
    </row>
    <row r="20355" spans="11:14" x14ac:dyDescent="0.3">
      <c r="K20355" s="1">
        <v>43922</v>
      </c>
      <c r="M20355" t="e">
        <v>#N/A</v>
      </c>
      <c r="N20355" s="1">
        <v>43466</v>
      </c>
    </row>
    <row r="20356" spans="11:14" x14ac:dyDescent="0.3">
      <c r="K20356" s="1">
        <v>43922</v>
      </c>
      <c r="M20356" t="e">
        <v>#N/A</v>
      </c>
      <c r="N20356" s="1">
        <v>43466</v>
      </c>
    </row>
    <row r="20357" spans="11:14" x14ac:dyDescent="0.3">
      <c r="K20357" s="1">
        <v>43922</v>
      </c>
      <c r="M20357" t="e">
        <v>#N/A</v>
      </c>
      <c r="N20357" s="1">
        <v>43466</v>
      </c>
    </row>
    <row r="20358" spans="11:14" x14ac:dyDescent="0.3">
      <c r="K20358" s="1">
        <v>43922</v>
      </c>
      <c r="M20358" t="e">
        <v>#N/A</v>
      </c>
      <c r="N20358" s="1">
        <v>43466</v>
      </c>
    </row>
    <row r="20359" spans="11:14" x14ac:dyDescent="0.3">
      <c r="K20359" s="1">
        <v>43922</v>
      </c>
      <c r="M20359" t="e">
        <v>#N/A</v>
      </c>
      <c r="N20359" s="1">
        <v>43466</v>
      </c>
    </row>
    <row r="20360" spans="11:14" x14ac:dyDescent="0.3">
      <c r="K20360" s="1">
        <v>43922</v>
      </c>
      <c r="M20360" t="e">
        <v>#N/A</v>
      </c>
      <c r="N20360" s="1">
        <v>43556</v>
      </c>
    </row>
    <row r="20361" spans="11:14" x14ac:dyDescent="0.3">
      <c r="K20361" s="1">
        <v>43922</v>
      </c>
      <c r="M20361" t="e">
        <v>#N/A</v>
      </c>
      <c r="N20361" s="1">
        <v>43556</v>
      </c>
    </row>
    <row r="20362" spans="11:14" x14ac:dyDescent="0.3">
      <c r="K20362" s="1">
        <v>43922</v>
      </c>
      <c r="M20362" t="e">
        <v>#N/A</v>
      </c>
      <c r="N20362" s="1">
        <v>43556</v>
      </c>
    </row>
    <row r="20363" spans="11:14" x14ac:dyDescent="0.3">
      <c r="K20363" s="1">
        <v>43922</v>
      </c>
      <c r="M20363" t="e">
        <v>#N/A</v>
      </c>
      <c r="N20363" s="1">
        <v>43556</v>
      </c>
    </row>
    <row r="20364" spans="11:14" x14ac:dyDescent="0.3">
      <c r="K20364" s="1">
        <v>43922</v>
      </c>
      <c r="M20364" t="e">
        <v>#N/A</v>
      </c>
      <c r="N20364" s="1">
        <v>43556</v>
      </c>
    </row>
    <row r="20365" spans="11:14" x14ac:dyDescent="0.3">
      <c r="K20365" s="1">
        <v>43922</v>
      </c>
      <c r="M20365" t="e">
        <v>#N/A</v>
      </c>
      <c r="N20365" s="1">
        <v>43556</v>
      </c>
    </row>
    <row r="20366" spans="11:14" x14ac:dyDescent="0.3">
      <c r="K20366" s="1">
        <v>43922</v>
      </c>
      <c r="M20366" t="e">
        <v>#N/A</v>
      </c>
      <c r="N20366" s="1">
        <v>43556</v>
      </c>
    </row>
    <row r="20367" spans="11:14" x14ac:dyDescent="0.3">
      <c r="K20367" s="1">
        <v>43922</v>
      </c>
      <c r="M20367" t="e">
        <v>#N/A</v>
      </c>
      <c r="N20367" s="1">
        <v>43556</v>
      </c>
    </row>
    <row r="20368" spans="11:14" x14ac:dyDescent="0.3">
      <c r="K20368" s="1">
        <v>43922</v>
      </c>
      <c r="M20368" t="e">
        <v>#N/A</v>
      </c>
      <c r="N20368" s="1">
        <v>43556</v>
      </c>
    </row>
    <row r="20369" spans="11:14" x14ac:dyDescent="0.3">
      <c r="K20369" s="1">
        <v>43922</v>
      </c>
      <c r="M20369" t="e">
        <v>#N/A</v>
      </c>
      <c r="N20369" s="1">
        <v>43556</v>
      </c>
    </row>
    <row r="20370" spans="11:14" x14ac:dyDescent="0.3">
      <c r="K20370" s="1">
        <v>43922</v>
      </c>
      <c r="M20370" t="e">
        <v>#N/A</v>
      </c>
      <c r="N20370" s="1">
        <v>43556</v>
      </c>
    </row>
    <row r="20371" spans="11:14" x14ac:dyDescent="0.3">
      <c r="K20371" s="1">
        <v>43922</v>
      </c>
      <c r="M20371" t="e">
        <v>#N/A</v>
      </c>
      <c r="N20371" s="1">
        <v>43556</v>
      </c>
    </row>
    <row r="20372" spans="11:14" x14ac:dyDescent="0.3">
      <c r="K20372" s="1">
        <v>43922</v>
      </c>
      <c r="M20372" t="e">
        <v>#N/A</v>
      </c>
      <c r="N20372" s="1">
        <v>43556</v>
      </c>
    </row>
    <row r="20373" spans="11:14" x14ac:dyDescent="0.3">
      <c r="K20373" s="1">
        <v>43922</v>
      </c>
      <c r="M20373" t="e">
        <v>#N/A</v>
      </c>
      <c r="N20373" s="1">
        <v>43556</v>
      </c>
    </row>
    <row r="20374" spans="11:14" x14ac:dyDescent="0.3">
      <c r="K20374" s="1">
        <v>43922</v>
      </c>
      <c r="M20374" t="e">
        <v>#N/A</v>
      </c>
      <c r="N20374" s="1">
        <v>43556</v>
      </c>
    </row>
    <row r="20375" spans="11:14" x14ac:dyDescent="0.3">
      <c r="K20375" s="1">
        <v>43922</v>
      </c>
      <c r="M20375" t="e">
        <v>#N/A</v>
      </c>
      <c r="N20375" s="1">
        <v>43556</v>
      </c>
    </row>
    <row r="20376" spans="11:14" x14ac:dyDescent="0.3">
      <c r="K20376" s="1">
        <v>43922</v>
      </c>
      <c r="M20376" t="e">
        <v>#N/A</v>
      </c>
      <c r="N20376" s="1">
        <v>43556</v>
      </c>
    </row>
    <row r="20377" spans="11:14" x14ac:dyDescent="0.3">
      <c r="K20377" s="1">
        <v>43922</v>
      </c>
      <c r="M20377" t="e">
        <v>#N/A</v>
      </c>
      <c r="N20377" s="1">
        <v>43556</v>
      </c>
    </row>
    <row r="20378" spans="11:14" x14ac:dyDescent="0.3">
      <c r="K20378" s="1">
        <v>43922</v>
      </c>
      <c r="M20378" t="e">
        <v>#N/A</v>
      </c>
      <c r="N20378" s="1">
        <v>43556</v>
      </c>
    </row>
    <row r="20379" spans="11:14" x14ac:dyDescent="0.3">
      <c r="K20379" s="1">
        <v>43922</v>
      </c>
      <c r="M20379" t="e">
        <v>#N/A</v>
      </c>
      <c r="N20379" s="1">
        <v>43556</v>
      </c>
    </row>
    <row r="20380" spans="11:14" x14ac:dyDescent="0.3">
      <c r="K20380" s="1">
        <v>43922</v>
      </c>
      <c r="M20380" t="e">
        <v>#N/A</v>
      </c>
      <c r="N20380" s="1">
        <v>43556</v>
      </c>
    </row>
    <row r="20381" spans="11:14" x14ac:dyDescent="0.3">
      <c r="K20381" s="1">
        <v>43922</v>
      </c>
      <c r="M20381" t="e">
        <v>#N/A</v>
      </c>
      <c r="N20381" s="1">
        <v>43556</v>
      </c>
    </row>
    <row r="20382" spans="11:14" x14ac:dyDescent="0.3">
      <c r="K20382" s="1">
        <v>43922</v>
      </c>
      <c r="M20382" t="e">
        <v>#N/A</v>
      </c>
      <c r="N20382" s="1">
        <v>43556</v>
      </c>
    </row>
    <row r="20383" spans="11:14" x14ac:dyDescent="0.3">
      <c r="K20383" s="1">
        <v>43922</v>
      </c>
      <c r="M20383" t="e">
        <v>#N/A</v>
      </c>
      <c r="N20383" s="1">
        <v>43556</v>
      </c>
    </row>
    <row r="20384" spans="11:14" x14ac:dyDescent="0.3">
      <c r="K20384" s="1">
        <v>43922</v>
      </c>
      <c r="M20384" t="e">
        <v>#N/A</v>
      </c>
      <c r="N20384" s="1">
        <v>43556</v>
      </c>
    </row>
    <row r="20385" spans="11:14" x14ac:dyDescent="0.3">
      <c r="K20385" s="1">
        <v>43922</v>
      </c>
      <c r="M20385" t="e">
        <v>#N/A</v>
      </c>
      <c r="N20385" s="1">
        <v>43556</v>
      </c>
    </row>
    <row r="20386" spans="11:14" x14ac:dyDescent="0.3">
      <c r="K20386" s="1">
        <v>43922</v>
      </c>
      <c r="M20386" t="e">
        <v>#N/A</v>
      </c>
      <c r="N20386" s="1">
        <v>43556</v>
      </c>
    </row>
    <row r="20387" spans="11:14" x14ac:dyDescent="0.3">
      <c r="K20387" s="1">
        <v>43922</v>
      </c>
      <c r="M20387" t="e">
        <v>#N/A</v>
      </c>
      <c r="N20387" s="1">
        <v>43556</v>
      </c>
    </row>
    <row r="20388" spans="11:14" x14ac:dyDescent="0.3">
      <c r="K20388" s="1">
        <v>43922</v>
      </c>
      <c r="M20388" t="e">
        <v>#N/A</v>
      </c>
      <c r="N20388" s="1">
        <v>43556</v>
      </c>
    </row>
    <row r="20389" spans="11:14" x14ac:dyDescent="0.3">
      <c r="K20389" s="1">
        <v>43922</v>
      </c>
      <c r="M20389" t="e">
        <v>#N/A</v>
      </c>
      <c r="N20389" s="1">
        <v>43556</v>
      </c>
    </row>
    <row r="20390" spans="11:14" x14ac:dyDescent="0.3">
      <c r="K20390" s="1">
        <v>43922</v>
      </c>
      <c r="M20390" t="e">
        <v>#N/A</v>
      </c>
      <c r="N20390" s="1">
        <v>43556</v>
      </c>
    </row>
    <row r="20391" spans="11:14" x14ac:dyDescent="0.3">
      <c r="K20391" s="1">
        <v>43922</v>
      </c>
      <c r="M20391" t="e">
        <v>#N/A</v>
      </c>
      <c r="N20391" s="1">
        <v>43556</v>
      </c>
    </row>
    <row r="20392" spans="11:14" x14ac:dyDescent="0.3">
      <c r="K20392" s="1">
        <v>43922</v>
      </c>
      <c r="M20392" t="e">
        <v>#N/A</v>
      </c>
      <c r="N20392" s="1">
        <v>43556</v>
      </c>
    </row>
    <row r="20393" spans="11:14" x14ac:dyDescent="0.3">
      <c r="K20393" s="1">
        <v>43922</v>
      </c>
      <c r="M20393" t="e">
        <v>#N/A</v>
      </c>
      <c r="N20393" s="1">
        <v>43556</v>
      </c>
    </row>
    <row r="20394" spans="11:14" x14ac:dyDescent="0.3">
      <c r="K20394" s="1">
        <v>43922</v>
      </c>
      <c r="M20394" t="e">
        <v>#N/A</v>
      </c>
      <c r="N20394" s="1">
        <v>43556</v>
      </c>
    </row>
    <row r="20395" spans="11:14" x14ac:dyDescent="0.3">
      <c r="K20395" s="1">
        <v>43922</v>
      </c>
      <c r="M20395" t="e">
        <v>#N/A</v>
      </c>
      <c r="N20395" s="1">
        <v>43556</v>
      </c>
    </row>
    <row r="20396" spans="11:14" x14ac:dyDescent="0.3">
      <c r="K20396" s="1">
        <v>43922</v>
      </c>
      <c r="M20396" t="e">
        <v>#N/A</v>
      </c>
      <c r="N20396" s="1">
        <v>43556</v>
      </c>
    </row>
    <row r="20397" spans="11:14" x14ac:dyDescent="0.3">
      <c r="K20397" s="1">
        <v>43922</v>
      </c>
      <c r="M20397" t="e">
        <v>#N/A</v>
      </c>
      <c r="N20397" s="1">
        <v>43556</v>
      </c>
    </row>
    <row r="20398" spans="11:14" x14ac:dyDescent="0.3">
      <c r="K20398" s="1">
        <v>43922</v>
      </c>
      <c r="M20398" t="e">
        <v>#N/A</v>
      </c>
      <c r="N20398" s="1">
        <v>43556</v>
      </c>
    </row>
    <row r="20399" spans="11:14" x14ac:dyDescent="0.3">
      <c r="K20399" s="1">
        <v>43922</v>
      </c>
      <c r="M20399" t="e">
        <v>#N/A</v>
      </c>
      <c r="N20399" s="1">
        <v>43556</v>
      </c>
    </row>
    <row r="20400" spans="11:14" x14ac:dyDescent="0.3">
      <c r="K20400" s="1">
        <v>43922</v>
      </c>
      <c r="M20400" t="e">
        <v>#N/A</v>
      </c>
      <c r="N20400" s="1">
        <v>43556</v>
      </c>
    </row>
    <row r="20401" spans="11:14" x14ac:dyDescent="0.3">
      <c r="K20401" s="1">
        <v>43922</v>
      </c>
      <c r="M20401" t="e">
        <v>#N/A</v>
      </c>
      <c r="N20401" s="1">
        <v>43556</v>
      </c>
    </row>
    <row r="20402" spans="11:14" x14ac:dyDescent="0.3">
      <c r="K20402" s="1">
        <v>43922</v>
      </c>
      <c r="M20402" t="e">
        <v>#N/A</v>
      </c>
      <c r="N20402" s="1">
        <v>43556</v>
      </c>
    </row>
    <row r="20403" spans="11:14" x14ac:dyDescent="0.3">
      <c r="K20403" s="1">
        <v>43922</v>
      </c>
      <c r="M20403" t="e">
        <v>#N/A</v>
      </c>
      <c r="N20403" s="1">
        <v>43556</v>
      </c>
    </row>
    <row r="20404" spans="11:14" x14ac:dyDescent="0.3">
      <c r="K20404" s="1">
        <v>43922</v>
      </c>
      <c r="M20404" t="e">
        <v>#N/A</v>
      </c>
      <c r="N20404" s="1">
        <v>43556</v>
      </c>
    </row>
    <row r="20405" spans="11:14" x14ac:dyDescent="0.3">
      <c r="K20405" s="1">
        <v>43922</v>
      </c>
      <c r="M20405" t="e">
        <v>#N/A</v>
      </c>
      <c r="N20405" s="1">
        <v>43556</v>
      </c>
    </row>
    <row r="20406" spans="11:14" x14ac:dyDescent="0.3">
      <c r="K20406" s="1">
        <v>43922</v>
      </c>
      <c r="M20406" t="e">
        <v>#N/A</v>
      </c>
      <c r="N20406" s="1">
        <v>43556</v>
      </c>
    </row>
    <row r="20407" spans="11:14" x14ac:dyDescent="0.3">
      <c r="K20407" s="1">
        <v>43922</v>
      </c>
      <c r="M20407" t="e">
        <v>#N/A</v>
      </c>
      <c r="N20407" s="1">
        <v>43556</v>
      </c>
    </row>
    <row r="20408" spans="11:14" x14ac:dyDescent="0.3">
      <c r="K20408" s="1">
        <v>43922</v>
      </c>
      <c r="M20408" t="e">
        <v>#N/A</v>
      </c>
      <c r="N20408" s="1">
        <v>43556</v>
      </c>
    </row>
    <row r="20409" spans="11:14" x14ac:dyDescent="0.3">
      <c r="K20409" s="1">
        <v>43922</v>
      </c>
      <c r="M20409" t="e">
        <v>#N/A</v>
      </c>
      <c r="N20409" s="1">
        <v>43556</v>
      </c>
    </row>
    <row r="20410" spans="11:14" x14ac:dyDescent="0.3">
      <c r="K20410" s="1">
        <v>43922</v>
      </c>
      <c r="M20410" t="e">
        <v>#N/A</v>
      </c>
      <c r="N20410" s="1">
        <v>43556</v>
      </c>
    </row>
    <row r="20411" spans="11:14" x14ac:dyDescent="0.3">
      <c r="K20411" s="1">
        <v>43922</v>
      </c>
      <c r="M20411" t="e">
        <v>#N/A</v>
      </c>
      <c r="N20411" s="1">
        <v>43556</v>
      </c>
    </row>
    <row r="20412" spans="11:14" x14ac:dyDescent="0.3">
      <c r="K20412" s="1">
        <v>43922</v>
      </c>
      <c r="M20412" t="e">
        <v>#N/A</v>
      </c>
      <c r="N20412" s="1">
        <v>43556</v>
      </c>
    </row>
    <row r="20413" spans="11:14" x14ac:dyDescent="0.3">
      <c r="K20413" s="1">
        <v>43922</v>
      </c>
      <c r="M20413" t="e">
        <v>#N/A</v>
      </c>
      <c r="N20413" s="1">
        <v>43556</v>
      </c>
    </row>
    <row r="20414" spans="11:14" x14ac:dyDescent="0.3">
      <c r="K20414" s="1">
        <v>43922</v>
      </c>
      <c r="M20414" t="e">
        <v>#N/A</v>
      </c>
      <c r="N20414" s="1">
        <v>43556</v>
      </c>
    </row>
    <row r="20415" spans="11:14" x14ac:dyDescent="0.3">
      <c r="K20415" s="1">
        <v>43922</v>
      </c>
      <c r="M20415" t="e">
        <v>#N/A</v>
      </c>
      <c r="N20415" s="1">
        <v>43556</v>
      </c>
    </row>
    <row r="20416" spans="11:14" x14ac:dyDescent="0.3">
      <c r="K20416" s="1">
        <v>43922</v>
      </c>
      <c r="M20416" t="e">
        <v>#N/A</v>
      </c>
      <c r="N20416" s="1">
        <v>43556</v>
      </c>
    </row>
    <row r="20417" spans="11:14" x14ac:dyDescent="0.3">
      <c r="K20417" s="1">
        <v>43922</v>
      </c>
      <c r="M20417" t="e">
        <v>#N/A</v>
      </c>
      <c r="N20417" s="1">
        <v>43556</v>
      </c>
    </row>
    <row r="20418" spans="11:14" x14ac:dyDescent="0.3">
      <c r="K20418" s="1">
        <v>43922</v>
      </c>
      <c r="M20418" t="e">
        <v>#N/A</v>
      </c>
      <c r="N20418" s="1">
        <v>43556</v>
      </c>
    </row>
    <row r="20419" spans="11:14" x14ac:dyDescent="0.3">
      <c r="K20419" s="1">
        <v>43922</v>
      </c>
      <c r="M20419" t="e">
        <v>#N/A</v>
      </c>
      <c r="N20419" s="1">
        <v>43556</v>
      </c>
    </row>
    <row r="20420" spans="11:14" x14ac:dyDescent="0.3">
      <c r="K20420" s="1">
        <v>43922</v>
      </c>
      <c r="M20420" t="e">
        <v>#N/A</v>
      </c>
      <c r="N20420" s="1">
        <v>43556</v>
      </c>
    </row>
    <row r="20421" spans="11:14" x14ac:dyDescent="0.3">
      <c r="K20421" s="1">
        <v>43922</v>
      </c>
      <c r="M20421" t="e">
        <v>#N/A</v>
      </c>
      <c r="N20421" s="1">
        <v>43556</v>
      </c>
    </row>
    <row r="20422" spans="11:14" x14ac:dyDescent="0.3">
      <c r="K20422" s="1">
        <v>43922</v>
      </c>
      <c r="M20422" t="e">
        <v>#N/A</v>
      </c>
      <c r="N20422" s="1">
        <v>43556</v>
      </c>
    </row>
    <row r="20423" spans="11:14" x14ac:dyDescent="0.3">
      <c r="K20423" s="1">
        <v>43922</v>
      </c>
      <c r="M20423" t="e">
        <v>#N/A</v>
      </c>
      <c r="N20423" s="1">
        <v>43556</v>
      </c>
    </row>
    <row r="20424" spans="11:14" x14ac:dyDescent="0.3">
      <c r="K20424" s="1">
        <v>43922</v>
      </c>
      <c r="M20424" t="e">
        <v>#N/A</v>
      </c>
      <c r="N20424" s="1">
        <v>43556</v>
      </c>
    </row>
    <row r="20425" spans="11:14" x14ac:dyDescent="0.3">
      <c r="K20425" s="1">
        <v>43922</v>
      </c>
      <c r="M20425" t="e">
        <v>#N/A</v>
      </c>
      <c r="N20425" s="1">
        <v>43556</v>
      </c>
    </row>
    <row r="20426" spans="11:14" x14ac:dyDescent="0.3">
      <c r="K20426" s="1">
        <v>43922</v>
      </c>
      <c r="M20426" t="e">
        <v>#N/A</v>
      </c>
      <c r="N20426" s="1">
        <v>43556</v>
      </c>
    </row>
    <row r="20427" spans="11:14" x14ac:dyDescent="0.3">
      <c r="K20427" s="1">
        <v>43922</v>
      </c>
      <c r="M20427" t="e">
        <v>#N/A</v>
      </c>
      <c r="N20427" s="1">
        <v>43556</v>
      </c>
    </row>
    <row r="20428" spans="11:14" x14ac:dyDescent="0.3">
      <c r="K20428" s="1">
        <v>43922</v>
      </c>
      <c r="M20428" t="e">
        <v>#N/A</v>
      </c>
      <c r="N20428" s="1">
        <v>43556</v>
      </c>
    </row>
    <row r="20429" spans="11:14" x14ac:dyDescent="0.3">
      <c r="K20429" s="1">
        <v>43922</v>
      </c>
      <c r="M20429" t="e">
        <v>#N/A</v>
      </c>
      <c r="N20429" s="1">
        <v>43556</v>
      </c>
    </row>
    <row r="20430" spans="11:14" x14ac:dyDescent="0.3">
      <c r="K20430" s="1">
        <v>43922</v>
      </c>
      <c r="M20430" t="e">
        <v>#N/A</v>
      </c>
      <c r="N20430" s="1">
        <v>43556</v>
      </c>
    </row>
    <row r="20431" spans="11:14" x14ac:dyDescent="0.3">
      <c r="K20431" s="1">
        <v>43922</v>
      </c>
      <c r="M20431" t="e">
        <v>#N/A</v>
      </c>
      <c r="N20431" s="1">
        <v>43556</v>
      </c>
    </row>
    <row r="20432" spans="11:14" x14ac:dyDescent="0.3">
      <c r="K20432" s="1">
        <v>43922</v>
      </c>
      <c r="M20432" t="e">
        <v>#N/A</v>
      </c>
      <c r="N20432" s="1">
        <v>43556</v>
      </c>
    </row>
    <row r="20433" spans="11:14" x14ac:dyDescent="0.3">
      <c r="K20433" s="1">
        <v>43922</v>
      </c>
      <c r="M20433" t="e">
        <v>#N/A</v>
      </c>
      <c r="N20433" s="1">
        <v>43556</v>
      </c>
    </row>
    <row r="20434" spans="11:14" x14ac:dyDescent="0.3">
      <c r="K20434" s="1">
        <v>43922</v>
      </c>
      <c r="M20434" t="e">
        <v>#N/A</v>
      </c>
      <c r="N20434" s="1">
        <v>43556</v>
      </c>
    </row>
    <row r="20435" spans="11:14" x14ac:dyDescent="0.3">
      <c r="K20435" s="1">
        <v>43922</v>
      </c>
      <c r="M20435" t="e">
        <v>#N/A</v>
      </c>
      <c r="N20435" s="1">
        <v>43556</v>
      </c>
    </row>
    <row r="20436" spans="11:14" x14ac:dyDescent="0.3">
      <c r="K20436" s="1">
        <v>43922</v>
      </c>
      <c r="M20436" t="e">
        <v>#N/A</v>
      </c>
      <c r="N20436" s="1">
        <v>43556</v>
      </c>
    </row>
    <row r="20437" spans="11:14" x14ac:dyDescent="0.3">
      <c r="K20437" s="1">
        <v>43922</v>
      </c>
      <c r="M20437" t="e">
        <v>#N/A</v>
      </c>
      <c r="N20437" s="1">
        <v>43556</v>
      </c>
    </row>
    <row r="20438" spans="11:14" x14ac:dyDescent="0.3">
      <c r="K20438" s="1">
        <v>43922</v>
      </c>
      <c r="M20438" t="e">
        <v>#N/A</v>
      </c>
      <c r="N20438" s="1">
        <v>43556</v>
      </c>
    </row>
    <row r="20439" spans="11:14" x14ac:dyDescent="0.3">
      <c r="K20439" s="1">
        <v>43922</v>
      </c>
      <c r="M20439" t="e">
        <v>#N/A</v>
      </c>
      <c r="N20439" s="1">
        <v>43556</v>
      </c>
    </row>
    <row r="20440" spans="11:14" x14ac:dyDescent="0.3">
      <c r="K20440" s="1">
        <v>43922</v>
      </c>
      <c r="M20440" t="e">
        <v>#N/A</v>
      </c>
      <c r="N20440" s="1">
        <v>43556</v>
      </c>
    </row>
    <row r="20441" spans="11:14" x14ac:dyDescent="0.3">
      <c r="K20441" s="1">
        <v>43922</v>
      </c>
      <c r="M20441" t="e">
        <v>#N/A</v>
      </c>
      <c r="N20441" s="1">
        <v>43556</v>
      </c>
    </row>
    <row r="20442" spans="11:14" x14ac:dyDescent="0.3">
      <c r="K20442" s="1">
        <v>43922</v>
      </c>
      <c r="M20442" t="e">
        <v>#N/A</v>
      </c>
      <c r="N20442" s="1">
        <v>43556</v>
      </c>
    </row>
    <row r="20443" spans="11:14" x14ac:dyDescent="0.3">
      <c r="K20443" s="1">
        <v>43922</v>
      </c>
      <c r="M20443" t="e">
        <v>#N/A</v>
      </c>
      <c r="N20443" s="1">
        <v>43556</v>
      </c>
    </row>
    <row r="20444" spans="11:14" x14ac:dyDescent="0.3">
      <c r="K20444" s="1">
        <v>43922</v>
      </c>
      <c r="M20444" t="e">
        <v>#N/A</v>
      </c>
      <c r="N20444" s="1">
        <v>43556</v>
      </c>
    </row>
    <row r="20445" spans="11:14" x14ac:dyDescent="0.3">
      <c r="K20445" s="1">
        <v>43922</v>
      </c>
      <c r="M20445" t="e">
        <v>#N/A</v>
      </c>
      <c r="N20445" s="1">
        <v>43556</v>
      </c>
    </row>
    <row r="20446" spans="11:14" x14ac:dyDescent="0.3">
      <c r="K20446" s="1">
        <v>43922</v>
      </c>
      <c r="M20446" t="e">
        <v>#N/A</v>
      </c>
      <c r="N20446" s="1">
        <v>43556</v>
      </c>
    </row>
    <row r="20447" spans="11:14" x14ac:dyDescent="0.3">
      <c r="K20447" s="1">
        <v>43922</v>
      </c>
      <c r="M20447" t="e">
        <v>#N/A</v>
      </c>
      <c r="N20447" s="1">
        <v>43556</v>
      </c>
    </row>
    <row r="20448" spans="11:14" x14ac:dyDescent="0.3">
      <c r="K20448" s="1">
        <v>43922</v>
      </c>
      <c r="M20448" t="e">
        <v>#N/A</v>
      </c>
      <c r="N20448" s="1">
        <v>43556</v>
      </c>
    </row>
    <row r="20449" spans="11:14" x14ac:dyDescent="0.3">
      <c r="K20449" s="1">
        <v>43922</v>
      </c>
      <c r="M20449" t="e">
        <v>#N/A</v>
      </c>
      <c r="N20449" s="1">
        <v>43556</v>
      </c>
    </row>
    <row r="20450" spans="11:14" x14ac:dyDescent="0.3">
      <c r="K20450" s="1">
        <v>43922</v>
      </c>
      <c r="M20450" t="e">
        <v>#N/A</v>
      </c>
      <c r="N20450" s="1">
        <v>43556</v>
      </c>
    </row>
    <row r="20451" spans="11:14" x14ac:dyDescent="0.3">
      <c r="K20451" s="1">
        <v>43922</v>
      </c>
      <c r="M20451" t="e">
        <v>#N/A</v>
      </c>
      <c r="N20451" s="1">
        <v>43556</v>
      </c>
    </row>
    <row r="20452" spans="11:14" x14ac:dyDescent="0.3">
      <c r="K20452" s="1">
        <v>43922</v>
      </c>
      <c r="M20452" t="e">
        <v>#N/A</v>
      </c>
      <c r="N20452" s="1">
        <v>43556</v>
      </c>
    </row>
    <row r="20453" spans="11:14" x14ac:dyDescent="0.3">
      <c r="K20453" s="1">
        <v>43922</v>
      </c>
      <c r="M20453" t="e">
        <v>#N/A</v>
      </c>
      <c r="N20453" s="1">
        <v>43556</v>
      </c>
    </row>
    <row r="20454" spans="11:14" x14ac:dyDescent="0.3">
      <c r="K20454" s="1">
        <v>43922</v>
      </c>
      <c r="M20454" t="e">
        <v>#N/A</v>
      </c>
      <c r="N20454" s="1">
        <v>43556</v>
      </c>
    </row>
    <row r="20455" spans="11:14" x14ac:dyDescent="0.3">
      <c r="K20455" s="1">
        <v>43922</v>
      </c>
      <c r="M20455" t="e">
        <v>#N/A</v>
      </c>
      <c r="N20455" s="1">
        <v>43556</v>
      </c>
    </row>
    <row r="20456" spans="11:14" x14ac:dyDescent="0.3">
      <c r="K20456" s="1">
        <v>43922</v>
      </c>
      <c r="M20456" t="e">
        <v>#N/A</v>
      </c>
      <c r="N20456" s="1">
        <v>43556</v>
      </c>
    </row>
    <row r="20457" spans="11:14" x14ac:dyDescent="0.3">
      <c r="K20457" s="1">
        <v>43922</v>
      </c>
      <c r="M20457" t="e">
        <v>#N/A</v>
      </c>
      <c r="N20457" s="1">
        <v>43556</v>
      </c>
    </row>
    <row r="20458" spans="11:14" x14ac:dyDescent="0.3">
      <c r="K20458" s="1">
        <v>43922</v>
      </c>
      <c r="M20458" t="e">
        <v>#N/A</v>
      </c>
      <c r="N20458" s="1">
        <v>43556</v>
      </c>
    </row>
    <row r="20459" spans="11:14" x14ac:dyDescent="0.3">
      <c r="K20459" s="1">
        <v>43922</v>
      </c>
      <c r="M20459" t="e">
        <v>#N/A</v>
      </c>
      <c r="N20459" s="1">
        <v>43556</v>
      </c>
    </row>
    <row r="20460" spans="11:14" x14ac:dyDescent="0.3">
      <c r="K20460" s="1">
        <v>43922</v>
      </c>
      <c r="M20460" t="e">
        <v>#N/A</v>
      </c>
      <c r="N20460" s="1">
        <v>43556</v>
      </c>
    </row>
    <row r="20461" spans="11:14" x14ac:dyDescent="0.3">
      <c r="K20461" s="1">
        <v>43922</v>
      </c>
      <c r="M20461" t="e">
        <v>#N/A</v>
      </c>
      <c r="N20461" s="1">
        <v>43556</v>
      </c>
    </row>
    <row r="20462" spans="11:14" x14ac:dyDescent="0.3">
      <c r="K20462" s="1">
        <v>43922</v>
      </c>
      <c r="M20462" t="e">
        <v>#N/A</v>
      </c>
      <c r="N20462" s="1">
        <v>43556</v>
      </c>
    </row>
    <row r="20463" spans="11:14" x14ac:dyDescent="0.3">
      <c r="K20463" s="1">
        <v>43922</v>
      </c>
      <c r="M20463" t="e">
        <v>#N/A</v>
      </c>
      <c r="N20463" s="1">
        <v>43556</v>
      </c>
    </row>
    <row r="20464" spans="11:14" x14ac:dyDescent="0.3">
      <c r="K20464" s="1">
        <v>43922</v>
      </c>
      <c r="M20464" t="e">
        <v>#N/A</v>
      </c>
      <c r="N20464" s="1">
        <v>43556</v>
      </c>
    </row>
    <row r="20465" spans="11:14" x14ac:dyDescent="0.3">
      <c r="K20465" s="1">
        <v>43922</v>
      </c>
      <c r="M20465" t="e">
        <v>#N/A</v>
      </c>
      <c r="N20465" s="1">
        <v>43556</v>
      </c>
    </row>
    <row r="20466" spans="11:14" x14ac:dyDescent="0.3">
      <c r="K20466" s="1">
        <v>43922</v>
      </c>
      <c r="M20466" t="e">
        <v>#N/A</v>
      </c>
      <c r="N20466" s="1">
        <v>43556</v>
      </c>
    </row>
    <row r="20467" spans="11:14" x14ac:dyDescent="0.3">
      <c r="K20467" s="1">
        <v>43922</v>
      </c>
      <c r="M20467" t="e">
        <v>#N/A</v>
      </c>
      <c r="N20467" s="1">
        <v>43556</v>
      </c>
    </row>
    <row r="20468" spans="11:14" x14ac:dyDescent="0.3">
      <c r="K20468" s="1">
        <v>43922</v>
      </c>
      <c r="M20468" t="e">
        <v>#N/A</v>
      </c>
      <c r="N20468" s="1">
        <v>43556</v>
      </c>
    </row>
    <row r="20469" spans="11:14" x14ac:dyDescent="0.3">
      <c r="K20469" s="1">
        <v>43922</v>
      </c>
      <c r="M20469" t="e">
        <v>#N/A</v>
      </c>
      <c r="N20469" s="1">
        <v>43556</v>
      </c>
    </row>
    <row r="20470" spans="11:14" x14ac:dyDescent="0.3">
      <c r="K20470" s="1">
        <v>43922</v>
      </c>
      <c r="M20470" t="e">
        <v>#N/A</v>
      </c>
      <c r="N20470" s="1">
        <v>43556</v>
      </c>
    </row>
    <row r="20471" spans="11:14" x14ac:dyDescent="0.3">
      <c r="K20471" s="1">
        <v>43922</v>
      </c>
      <c r="M20471" t="e">
        <v>#N/A</v>
      </c>
      <c r="N20471" s="1">
        <v>43556</v>
      </c>
    </row>
    <row r="20472" spans="11:14" x14ac:dyDescent="0.3">
      <c r="K20472" s="1">
        <v>43922</v>
      </c>
      <c r="M20472" t="e">
        <v>#N/A</v>
      </c>
      <c r="N20472" s="1">
        <v>43556</v>
      </c>
    </row>
    <row r="20473" spans="11:14" x14ac:dyDescent="0.3">
      <c r="K20473" s="1">
        <v>43922</v>
      </c>
      <c r="M20473" t="e">
        <v>#N/A</v>
      </c>
      <c r="N20473" s="1">
        <v>43556</v>
      </c>
    </row>
    <row r="20474" spans="11:14" x14ac:dyDescent="0.3">
      <c r="K20474" s="1">
        <v>43922</v>
      </c>
      <c r="M20474" t="e">
        <v>#N/A</v>
      </c>
      <c r="N20474" s="1">
        <v>43556</v>
      </c>
    </row>
    <row r="20475" spans="11:14" x14ac:dyDescent="0.3">
      <c r="K20475" s="1">
        <v>43922</v>
      </c>
      <c r="M20475" t="e">
        <v>#N/A</v>
      </c>
      <c r="N20475" s="1">
        <v>43556</v>
      </c>
    </row>
    <row r="20476" spans="11:14" x14ac:dyDescent="0.3">
      <c r="K20476" s="1">
        <v>43922</v>
      </c>
      <c r="M20476" t="e">
        <v>#N/A</v>
      </c>
      <c r="N20476" s="1">
        <v>43556</v>
      </c>
    </row>
    <row r="20477" spans="11:14" x14ac:dyDescent="0.3">
      <c r="K20477" s="1">
        <v>43922</v>
      </c>
      <c r="M20477" t="e">
        <v>#N/A</v>
      </c>
      <c r="N20477" s="1">
        <v>43556</v>
      </c>
    </row>
    <row r="20478" spans="11:14" x14ac:dyDescent="0.3">
      <c r="K20478" s="1">
        <v>43922</v>
      </c>
      <c r="M20478" t="e">
        <v>#N/A</v>
      </c>
      <c r="N20478" s="1">
        <v>43556</v>
      </c>
    </row>
    <row r="20479" spans="11:14" x14ac:dyDescent="0.3">
      <c r="K20479" s="1">
        <v>43922</v>
      </c>
      <c r="M20479" t="e">
        <v>#N/A</v>
      </c>
      <c r="N20479" s="1">
        <v>43556</v>
      </c>
    </row>
    <row r="20480" spans="11:14" x14ac:dyDescent="0.3">
      <c r="K20480" s="1">
        <v>43922</v>
      </c>
      <c r="M20480" t="e">
        <v>#N/A</v>
      </c>
      <c r="N20480" s="1">
        <v>43556</v>
      </c>
    </row>
    <row r="20481" spans="11:14" x14ac:dyDescent="0.3">
      <c r="K20481" s="1">
        <v>43922</v>
      </c>
      <c r="M20481" t="e">
        <v>#N/A</v>
      </c>
      <c r="N20481" s="1">
        <v>43556</v>
      </c>
    </row>
    <row r="20482" spans="11:14" x14ac:dyDescent="0.3">
      <c r="K20482" s="1">
        <v>43922</v>
      </c>
      <c r="M20482" t="e">
        <v>#N/A</v>
      </c>
      <c r="N20482" s="1">
        <v>43556</v>
      </c>
    </row>
    <row r="20483" spans="11:14" x14ac:dyDescent="0.3">
      <c r="K20483" s="1">
        <v>43922</v>
      </c>
      <c r="M20483" t="e">
        <v>#N/A</v>
      </c>
      <c r="N20483" s="1">
        <v>43556</v>
      </c>
    </row>
    <row r="20484" spans="11:14" x14ac:dyDescent="0.3">
      <c r="K20484" s="1">
        <v>43922</v>
      </c>
      <c r="M20484" t="e">
        <v>#N/A</v>
      </c>
      <c r="N20484" s="1">
        <v>43556</v>
      </c>
    </row>
    <row r="20485" spans="11:14" x14ac:dyDescent="0.3">
      <c r="K20485" s="1">
        <v>43922</v>
      </c>
      <c r="M20485" t="e">
        <v>#N/A</v>
      </c>
      <c r="N20485" s="1">
        <v>43556</v>
      </c>
    </row>
    <row r="20486" spans="11:14" x14ac:dyDescent="0.3">
      <c r="K20486" s="1">
        <v>43922</v>
      </c>
      <c r="M20486" t="e">
        <v>#N/A</v>
      </c>
      <c r="N20486" s="1">
        <v>43556</v>
      </c>
    </row>
    <row r="20487" spans="11:14" x14ac:dyDescent="0.3">
      <c r="K20487" s="1">
        <v>43922</v>
      </c>
      <c r="M20487" t="e">
        <v>#N/A</v>
      </c>
      <c r="N20487" s="1">
        <v>43556</v>
      </c>
    </row>
    <row r="20488" spans="11:14" x14ac:dyDescent="0.3">
      <c r="K20488" s="1">
        <v>43922</v>
      </c>
      <c r="M20488" t="e">
        <v>#N/A</v>
      </c>
      <c r="N20488" s="1">
        <v>43556</v>
      </c>
    </row>
    <row r="20489" spans="11:14" x14ac:dyDescent="0.3">
      <c r="K20489" s="1">
        <v>43922</v>
      </c>
      <c r="M20489" t="e">
        <v>#N/A</v>
      </c>
      <c r="N20489" s="1">
        <v>43556</v>
      </c>
    </row>
    <row r="20490" spans="11:14" x14ac:dyDescent="0.3">
      <c r="K20490" s="1">
        <v>43922</v>
      </c>
      <c r="M20490" t="e">
        <v>#N/A</v>
      </c>
      <c r="N20490" s="1">
        <v>43556</v>
      </c>
    </row>
    <row r="20491" spans="11:14" x14ac:dyDescent="0.3">
      <c r="K20491" s="1">
        <v>43922</v>
      </c>
      <c r="M20491" t="e">
        <v>#N/A</v>
      </c>
      <c r="N20491" s="1">
        <v>43556</v>
      </c>
    </row>
    <row r="20492" spans="11:14" x14ac:dyDescent="0.3">
      <c r="K20492" s="1">
        <v>43922</v>
      </c>
      <c r="M20492" t="e">
        <v>#N/A</v>
      </c>
      <c r="N20492" s="1">
        <v>43556</v>
      </c>
    </row>
    <row r="20493" spans="11:14" x14ac:dyDescent="0.3">
      <c r="K20493" s="1">
        <v>43922</v>
      </c>
      <c r="M20493" t="e">
        <v>#N/A</v>
      </c>
      <c r="N20493" s="1">
        <v>43556</v>
      </c>
    </row>
    <row r="20494" spans="11:14" x14ac:dyDescent="0.3">
      <c r="K20494" s="1">
        <v>43922</v>
      </c>
      <c r="M20494" t="e">
        <v>#N/A</v>
      </c>
      <c r="N20494" s="1">
        <v>43556</v>
      </c>
    </row>
    <row r="20495" spans="11:14" x14ac:dyDescent="0.3">
      <c r="K20495" s="1">
        <v>43922</v>
      </c>
      <c r="M20495" t="e">
        <v>#N/A</v>
      </c>
      <c r="N20495" s="1">
        <v>43556</v>
      </c>
    </row>
    <row r="20496" spans="11:14" x14ac:dyDescent="0.3">
      <c r="K20496" s="1">
        <v>43922</v>
      </c>
      <c r="M20496" t="e">
        <v>#N/A</v>
      </c>
      <c r="N20496" s="1">
        <v>43556</v>
      </c>
    </row>
    <row r="20497" spans="11:14" x14ac:dyDescent="0.3">
      <c r="K20497" s="1">
        <v>43922</v>
      </c>
      <c r="M20497" t="e">
        <v>#N/A</v>
      </c>
      <c r="N20497" s="1">
        <v>43556</v>
      </c>
    </row>
    <row r="20498" spans="11:14" x14ac:dyDescent="0.3">
      <c r="K20498" s="1">
        <v>43922</v>
      </c>
      <c r="M20498" t="e">
        <v>#N/A</v>
      </c>
      <c r="N20498" s="1">
        <v>43556</v>
      </c>
    </row>
    <row r="20499" spans="11:14" x14ac:dyDescent="0.3">
      <c r="K20499" s="1">
        <v>43922</v>
      </c>
      <c r="M20499" t="e">
        <v>#N/A</v>
      </c>
      <c r="N20499" s="1">
        <v>43556</v>
      </c>
    </row>
    <row r="20500" spans="11:14" x14ac:dyDescent="0.3">
      <c r="K20500" s="1">
        <v>43922</v>
      </c>
      <c r="M20500" t="e">
        <v>#N/A</v>
      </c>
      <c r="N20500" s="1">
        <v>43556</v>
      </c>
    </row>
    <row r="20501" spans="11:14" x14ac:dyDescent="0.3">
      <c r="K20501" s="1">
        <v>43922</v>
      </c>
      <c r="M20501" t="e">
        <v>#N/A</v>
      </c>
      <c r="N20501" s="1">
        <v>43556</v>
      </c>
    </row>
    <row r="20502" spans="11:14" x14ac:dyDescent="0.3">
      <c r="K20502" s="1">
        <v>43922</v>
      </c>
      <c r="M20502" t="e">
        <v>#N/A</v>
      </c>
      <c r="N20502" s="1">
        <v>43556</v>
      </c>
    </row>
    <row r="20503" spans="11:14" x14ac:dyDescent="0.3">
      <c r="K20503" s="1">
        <v>43922</v>
      </c>
      <c r="M20503" t="e">
        <v>#N/A</v>
      </c>
      <c r="N20503" s="1">
        <v>43556</v>
      </c>
    </row>
    <row r="20504" spans="11:14" x14ac:dyDescent="0.3">
      <c r="K20504" s="1">
        <v>43922</v>
      </c>
      <c r="M20504" t="e">
        <v>#N/A</v>
      </c>
      <c r="N20504" s="1">
        <v>43556</v>
      </c>
    </row>
    <row r="20505" spans="11:14" x14ac:dyDescent="0.3">
      <c r="K20505" s="1">
        <v>43922</v>
      </c>
      <c r="M20505" t="e">
        <v>#N/A</v>
      </c>
      <c r="N20505" s="1">
        <v>43556</v>
      </c>
    </row>
    <row r="20506" spans="11:14" x14ac:dyDescent="0.3">
      <c r="K20506" s="1">
        <v>43922</v>
      </c>
      <c r="M20506" t="e">
        <v>#N/A</v>
      </c>
      <c r="N20506" s="1">
        <v>43556</v>
      </c>
    </row>
    <row r="20507" spans="11:14" x14ac:dyDescent="0.3">
      <c r="K20507" s="1">
        <v>43922</v>
      </c>
      <c r="M20507" t="e">
        <v>#N/A</v>
      </c>
      <c r="N20507" s="1">
        <v>43556</v>
      </c>
    </row>
    <row r="20508" spans="11:14" x14ac:dyDescent="0.3">
      <c r="K20508" s="1">
        <v>43922</v>
      </c>
      <c r="M20508" t="e">
        <v>#N/A</v>
      </c>
      <c r="N20508" s="1">
        <v>43556</v>
      </c>
    </row>
    <row r="20509" spans="11:14" x14ac:dyDescent="0.3">
      <c r="K20509" s="1">
        <v>43922</v>
      </c>
      <c r="M20509" t="e">
        <v>#N/A</v>
      </c>
      <c r="N20509" s="1">
        <v>43556</v>
      </c>
    </row>
    <row r="20510" spans="11:14" x14ac:dyDescent="0.3">
      <c r="K20510" s="1">
        <v>43922</v>
      </c>
      <c r="M20510" t="e">
        <v>#N/A</v>
      </c>
      <c r="N20510" s="1">
        <v>43556</v>
      </c>
    </row>
    <row r="20511" spans="11:14" x14ac:dyDescent="0.3">
      <c r="K20511" s="1">
        <v>43922</v>
      </c>
      <c r="M20511" t="e">
        <v>#N/A</v>
      </c>
      <c r="N20511" s="1">
        <v>43556</v>
      </c>
    </row>
    <row r="20512" spans="11:14" x14ac:dyDescent="0.3">
      <c r="K20512" s="1">
        <v>43922</v>
      </c>
      <c r="M20512" t="e">
        <v>#N/A</v>
      </c>
      <c r="N20512" s="1">
        <v>43556</v>
      </c>
    </row>
    <row r="20513" spans="11:14" x14ac:dyDescent="0.3">
      <c r="K20513" s="1">
        <v>43922</v>
      </c>
      <c r="M20513" t="e">
        <v>#N/A</v>
      </c>
      <c r="N20513" s="1">
        <v>43556</v>
      </c>
    </row>
    <row r="20514" spans="11:14" x14ac:dyDescent="0.3">
      <c r="K20514" s="1">
        <v>43922</v>
      </c>
      <c r="M20514" t="e">
        <v>#N/A</v>
      </c>
      <c r="N20514" s="1">
        <v>43556</v>
      </c>
    </row>
    <row r="20515" spans="11:14" x14ac:dyDescent="0.3">
      <c r="K20515" s="1">
        <v>43922</v>
      </c>
      <c r="M20515" t="e">
        <v>#N/A</v>
      </c>
      <c r="N20515" s="1">
        <v>43556</v>
      </c>
    </row>
    <row r="20516" spans="11:14" x14ac:dyDescent="0.3">
      <c r="K20516" s="1">
        <v>43922</v>
      </c>
      <c r="M20516" t="e">
        <v>#N/A</v>
      </c>
      <c r="N20516" s="1">
        <v>43556</v>
      </c>
    </row>
    <row r="20517" spans="11:14" x14ac:dyDescent="0.3">
      <c r="K20517" s="1">
        <v>43922</v>
      </c>
      <c r="M20517" t="e">
        <v>#N/A</v>
      </c>
      <c r="N20517" s="1">
        <v>43556</v>
      </c>
    </row>
    <row r="20518" spans="11:14" x14ac:dyDescent="0.3">
      <c r="K20518" s="1">
        <v>43922</v>
      </c>
      <c r="M20518" t="e">
        <v>#N/A</v>
      </c>
      <c r="N20518" s="1">
        <v>43556</v>
      </c>
    </row>
    <row r="20519" spans="11:14" x14ac:dyDescent="0.3">
      <c r="K20519" s="1">
        <v>43922</v>
      </c>
      <c r="M20519" t="e">
        <v>#N/A</v>
      </c>
      <c r="N20519" s="1">
        <v>43556</v>
      </c>
    </row>
    <row r="20520" spans="11:14" x14ac:dyDescent="0.3">
      <c r="K20520" s="1">
        <v>43922</v>
      </c>
      <c r="M20520" t="e">
        <v>#N/A</v>
      </c>
      <c r="N20520" s="1">
        <v>43556</v>
      </c>
    </row>
    <row r="20521" spans="11:14" x14ac:dyDescent="0.3">
      <c r="K20521" s="1">
        <v>43922</v>
      </c>
      <c r="M20521" t="e">
        <v>#N/A</v>
      </c>
      <c r="N20521" s="1">
        <v>43556</v>
      </c>
    </row>
    <row r="20522" spans="11:14" x14ac:dyDescent="0.3">
      <c r="K20522" s="1">
        <v>43922</v>
      </c>
      <c r="M20522" t="e">
        <v>#N/A</v>
      </c>
      <c r="N20522" s="1">
        <v>43556</v>
      </c>
    </row>
    <row r="20523" spans="11:14" x14ac:dyDescent="0.3">
      <c r="K20523" s="1">
        <v>43922</v>
      </c>
      <c r="M20523" t="e">
        <v>#N/A</v>
      </c>
      <c r="N20523" s="1">
        <v>43556</v>
      </c>
    </row>
    <row r="20524" spans="11:14" x14ac:dyDescent="0.3">
      <c r="K20524" s="1">
        <v>43922</v>
      </c>
      <c r="M20524" t="e">
        <v>#N/A</v>
      </c>
      <c r="N20524" s="1">
        <v>43556</v>
      </c>
    </row>
    <row r="20525" spans="11:14" x14ac:dyDescent="0.3">
      <c r="K20525" s="1">
        <v>43922</v>
      </c>
      <c r="M20525" t="e">
        <v>#N/A</v>
      </c>
      <c r="N20525" s="1">
        <v>43556</v>
      </c>
    </row>
    <row r="20526" spans="11:14" x14ac:dyDescent="0.3">
      <c r="K20526" s="1">
        <v>43922</v>
      </c>
      <c r="M20526" t="e">
        <v>#N/A</v>
      </c>
      <c r="N20526" s="1">
        <v>43556</v>
      </c>
    </row>
    <row r="20527" spans="11:14" x14ac:dyDescent="0.3">
      <c r="K20527" s="1">
        <v>43922</v>
      </c>
      <c r="M20527" t="e">
        <v>#N/A</v>
      </c>
      <c r="N20527" s="1">
        <v>43556</v>
      </c>
    </row>
    <row r="20528" spans="11:14" x14ac:dyDescent="0.3">
      <c r="K20528" s="1">
        <v>43922</v>
      </c>
      <c r="M20528" t="e">
        <v>#N/A</v>
      </c>
      <c r="N20528" s="1">
        <v>43556</v>
      </c>
    </row>
    <row r="20529" spans="11:14" x14ac:dyDescent="0.3">
      <c r="K20529" s="1">
        <v>43922</v>
      </c>
      <c r="M20529" t="e">
        <v>#N/A</v>
      </c>
      <c r="N20529" s="1">
        <v>43556</v>
      </c>
    </row>
    <row r="20530" spans="11:14" x14ac:dyDescent="0.3">
      <c r="K20530" s="1">
        <v>43922</v>
      </c>
      <c r="M20530" t="e">
        <v>#N/A</v>
      </c>
      <c r="N20530" s="1">
        <v>43556</v>
      </c>
    </row>
    <row r="20531" spans="11:14" x14ac:dyDescent="0.3">
      <c r="K20531" s="1">
        <v>43922</v>
      </c>
      <c r="M20531" t="e">
        <v>#N/A</v>
      </c>
      <c r="N20531" s="1">
        <v>43556</v>
      </c>
    </row>
    <row r="20532" spans="11:14" x14ac:dyDescent="0.3">
      <c r="K20532" s="1">
        <v>43922</v>
      </c>
      <c r="M20532" t="e">
        <v>#N/A</v>
      </c>
      <c r="N20532" s="1">
        <v>43556</v>
      </c>
    </row>
    <row r="20533" spans="11:14" x14ac:dyDescent="0.3">
      <c r="K20533" s="1">
        <v>43922</v>
      </c>
      <c r="M20533" t="e">
        <v>#N/A</v>
      </c>
      <c r="N20533" s="1">
        <v>43556</v>
      </c>
    </row>
    <row r="20534" spans="11:14" x14ac:dyDescent="0.3">
      <c r="K20534" s="1">
        <v>43922</v>
      </c>
      <c r="M20534" t="e">
        <v>#N/A</v>
      </c>
      <c r="N20534" s="1">
        <v>43556</v>
      </c>
    </row>
    <row r="20535" spans="11:14" x14ac:dyDescent="0.3">
      <c r="K20535" s="1">
        <v>43922</v>
      </c>
      <c r="M20535" t="e">
        <v>#N/A</v>
      </c>
      <c r="N20535" s="1">
        <v>43556</v>
      </c>
    </row>
    <row r="20536" spans="11:14" x14ac:dyDescent="0.3">
      <c r="K20536" s="1">
        <v>43922</v>
      </c>
      <c r="M20536" t="e">
        <v>#N/A</v>
      </c>
      <c r="N20536" s="1">
        <v>43556</v>
      </c>
    </row>
    <row r="20537" spans="11:14" x14ac:dyDescent="0.3">
      <c r="K20537" s="1">
        <v>43922</v>
      </c>
      <c r="M20537" t="e">
        <v>#N/A</v>
      </c>
      <c r="N20537" s="1">
        <v>43556</v>
      </c>
    </row>
    <row r="20538" spans="11:14" x14ac:dyDescent="0.3">
      <c r="K20538" s="1">
        <v>43922</v>
      </c>
      <c r="M20538" t="e">
        <v>#N/A</v>
      </c>
      <c r="N20538" s="1">
        <v>43556</v>
      </c>
    </row>
    <row r="20539" spans="11:14" x14ac:dyDescent="0.3">
      <c r="K20539" s="1">
        <v>43922</v>
      </c>
      <c r="M20539" t="e">
        <v>#N/A</v>
      </c>
      <c r="N20539" s="1">
        <v>43556</v>
      </c>
    </row>
    <row r="20540" spans="11:14" x14ac:dyDescent="0.3">
      <c r="K20540" s="1">
        <v>43922</v>
      </c>
      <c r="M20540" t="e">
        <v>#N/A</v>
      </c>
      <c r="N20540" s="1">
        <v>43556</v>
      </c>
    </row>
    <row r="20541" spans="11:14" x14ac:dyDescent="0.3">
      <c r="K20541" s="1">
        <v>43922</v>
      </c>
      <c r="M20541" t="e">
        <v>#N/A</v>
      </c>
      <c r="N20541" s="1">
        <v>43556</v>
      </c>
    </row>
    <row r="20542" spans="11:14" x14ac:dyDescent="0.3">
      <c r="K20542" s="1">
        <v>43922</v>
      </c>
      <c r="M20542" t="e">
        <v>#N/A</v>
      </c>
      <c r="N20542" s="1">
        <v>43556</v>
      </c>
    </row>
    <row r="20543" spans="11:14" x14ac:dyDescent="0.3">
      <c r="K20543" s="1">
        <v>43922</v>
      </c>
      <c r="M20543" t="e">
        <v>#N/A</v>
      </c>
      <c r="N20543" s="1">
        <v>43556</v>
      </c>
    </row>
    <row r="20544" spans="11:14" x14ac:dyDescent="0.3">
      <c r="K20544" s="1">
        <v>43922</v>
      </c>
      <c r="M20544" t="e">
        <v>#N/A</v>
      </c>
      <c r="N20544" s="1">
        <v>43556</v>
      </c>
    </row>
    <row r="20545" spans="11:14" x14ac:dyDescent="0.3">
      <c r="K20545" s="1">
        <v>43922</v>
      </c>
      <c r="M20545" t="e">
        <v>#N/A</v>
      </c>
      <c r="N20545" s="1">
        <v>43556</v>
      </c>
    </row>
    <row r="20546" spans="11:14" x14ac:dyDescent="0.3">
      <c r="K20546" s="1">
        <v>43922</v>
      </c>
      <c r="M20546" t="e">
        <v>#N/A</v>
      </c>
      <c r="N20546" s="1">
        <v>43556</v>
      </c>
    </row>
    <row r="20547" spans="11:14" x14ac:dyDescent="0.3">
      <c r="K20547" s="1">
        <v>43922</v>
      </c>
      <c r="M20547" t="e">
        <v>#N/A</v>
      </c>
      <c r="N20547" s="1">
        <v>43556</v>
      </c>
    </row>
    <row r="20548" spans="11:14" x14ac:dyDescent="0.3">
      <c r="K20548" s="1">
        <v>43922</v>
      </c>
      <c r="M20548" t="e">
        <v>#N/A</v>
      </c>
      <c r="N20548" s="1">
        <v>43556</v>
      </c>
    </row>
    <row r="20549" spans="11:14" x14ac:dyDescent="0.3">
      <c r="K20549" s="1">
        <v>43922</v>
      </c>
      <c r="M20549" t="e">
        <v>#N/A</v>
      </c>
      <c r="N20549" s="1">
        <v>43556</v>
      </c>
    </row>
    <row r="20550" spans="11:14" x14ac:dyDescent="0.3">
      <c r="K20550" s="1">
        <v>43922</v>
      </c>
      <c r="M20550" t="e">
        <v>#N/A</v>
      </c>
      <c r="N20550" s="1">
        <v>43556</v>
      </c>
    </row>
    <row r="20551" spans="11:14" x14ac:dyDescent="0.3">
      <c r="K20551" s="1">
        <v>43922</v>
      </c>
      <c r="M20551" t="e">
        <v>#N/A</v>
      </c>
      <c r="N20551" s="1">
        <v>43556</v>
      </c>
    </row>
    <row r="20552" spans="11:14" x14ac:dyDescent="0.3">
      <c r="K20552" s="1">
        <v>43922</v>
      </c>
      <c r="M20552" t="e">
        <v>#N/A</v>
      </c>
      <c r="N20552" s="1">
        <v>43556</v>
      </c>
    </row>
    <row r="20553" spans="11:14" x14ac:dyDescent="0.3">
      <c r="K20553" s="1">
        <v>43922</v>
      </c>
      <c r="M20553" t="e">
        <v>#N/A</v>
      </c>
      <c r="N20553" s="1">
        <v>43556</v>
      </c>
    </row>
    <row r="20554" spans="11:14" x14ac:dyDescent="0.3">
      <c r="K20554" s="1">
        <v>43922</v>
      </c>
      <c r="M20554" t="e">
        <v>#N/A</v>
      </c>
      <c r="N20554" s="1">
        <v>43556</v>
      </c>
    </row>
    <row r="20555" spans="11:14" x14ac:dyDescent="0.3">
      <c r="K20555" s="1">
        <v>43922</v>
      </c>
      <c r="M20555" t="e">
        <v>#N/A</v>
      </c>
      <c r="N20555" s="1">
        <v>43556</v>
      </c>
    </row>
    <row r="20556" spans="11:14" x14ac:dyDescent="0.3">
      <c r="K20556" s="1">
        <v>43922</v>
      </c>
      <c r="M20556" t="e">
        <v>#N/A</v>
      </c>
      <c r="N20556" s="1">
        <v>43556</v>
      </c>
    </row>
    <row r="20557" spans="11:14" x14ac:dyDescent="0.3">
      <c r="K20557" s="1">
        <v>43922</v>
      </c>
      <c r="M20557" t="e">
        <v>#N/A</v>
      </c>
      <c r="N20557" s="1">
        <v>43556</v>
      </c>
    </row>
    <row r="20558" spans="11:14" x14ac:dyDescent="0.3">
      <c r="K20558" s="1">
        <v>43922</v>
      </c>
      <c r="M20558" t="e">
        <v>#N/A</v>
      </c>
      <c r="N20558" s="1">
        <v>43556</v>
      </c>
    </row>
    <row r="20559" spans="11:14" x14ac:dyDescent="0.3">
      <c r="K20559" s="1">
        <v>43922</v>
      </c>
      <c r="M20559" t="e">
        <v>#N/A</v>
      </c>
      <c r="N20559" s="1">
        <v>43556</v>
      </c>
    </row>
    <row r="20560" spans="11:14" x14ac:dyDescent="0.3">
      <c r="K20560" s="1">
        <v>43922</v>
      </c>
      <c r="M20560" t="e">
        <v>#N/A</v>
      </c>
      <c r="N20560" s="1">
        <v>43556</v>
      </c>
    </row>
    <row r="20561" spans="11:14" x14ac:dyDescent="0.3">
      <c r="K20561" s="1">
        <v>43922</v>
      </c>
      <c r="M20561" t="e">
        <v>#N/A</v>
      </c>
      <c r="N20561" s="1">
        <v>43556</v>
      </c>
    </row>
    <row r="20562" spans="11:14" x14ac:dyDescent="0.3">
      <c r="K20562" s="1">
        <v>43922</v>
      </c>
      <c r="M20562" t="e">
        <v>#N/A</v>
      </c>
      <c r="N20562" s="1">
        <v>43556</v>
      </c>
    </row>
    <row r="20563" spans="11:14" x14ac:dyDescent="0.3">
      <c r="K20563" s="1">
        <v>43922</v>
      </c>
      <c r="M20563" t="e">
        <v>#N/A</v>
      </c>
      <c r="N20563" s="1">
        <v>43556</v>
      </c>
    </row>
    <row r="20564" spans="11:14" x14ac:dyDescent="0.3">
      <c r="K20564" s="1">
        <v>43922</v>
      </c>
      <c r="M20564" t="e">
        <v>#N/A</v>
      </c>
      <c r="N20564" s="1">
        <v>43556</v>
      </c>
    </row>
    <row r="20565" spans="11:14" x14ac:dyDescent="0.3">
      <c r="K20565" s="1">
        <v>43922</v>
      </c>
      <c r="M20565" t="e">
        <v>#N/A</v>
      </c>
      <c r="N20565" s="1">
        <v>43556</v>
      </c>
    </row>
    <row r="20566" spans="11:14" x14ac:dyDescent="0.3">
      <c r="K20566" s="1">
        <v>43922</v>
      </c>
      <c r="M20566" t="e">
        <v>#N/A</v>
      </c>
      <c r="N20566" s="1">
        <v>43556</v>
      </c>
    </row>
    <row r="20567" spans="11:14" x14ac:dyDescent="0.3">
      <c r="K20567" s="1">
        <v>43922</v>
      </c>
      <c r="M20567" t="e">
        <v>#N/A</v>
      </c>
      <c r="N20567" s="1">
        <v>43556</v>
      </c>
    </row>
    <row r="20568" spans="11:14" x14ac:dyDescent="0.3">
      <c r="K20568" s="1">
        <v>43922</v>
      </c>
      <c r="M20568" t="e">
        <v>#N/A</v>
      </c>
      <c r="N20568" s="1">
        <v>43556</v>
      </c>
    </row>
    <row r="20569" spans="11:14" x14ac:dyDescent="0.3">
      <c r="K20569" s="1">
        <v>43922</v>
      </c>
      <c r="M20569" t="e">
        <v>#N/A</v>
      </c>
      <c r="N20569" s="1">
        <v>43556</v>
      </c>
    </row>
    <row r="20570" spans="11:14" x14ac:dyDescent="0.3">
      <c r="K20570" s="1">
        <v>43922</v>
      </c>
      <c r="M20570" t="e">
        <v>#N/A</v>
      </c>
      <c r="N20570" s="1">
        <v>43556</v>
      </c>
    </row>
    <row r="20571" spans="11:14" x14ac:dyDescent="0.3">
      <c r="K20571" s="1">
        <v>43922</v>
      </c>
      <c r="M20571" t="e">
        <v>#N/A</v>
      </c>
      <c r="N20571" s="1">
        <v>43556</v>
      </c>
    </row>
    <row r="20572" spans="11:14" x14ac:dyDescent="0.3">
      <c r="K20572" s="1">
        <v>43922</v>
      </c>
      <c r="M20572" t="e">
        <v>#N/A</v>
      </c>
      <c r="N20572" s="1">
        <v>43556</v>
      </c>
    </row>
    <row r="20573" spans="11:14" x14ac:dyDescent="0.3">
      <c r="K20573" s="1">
        <v>43922</v>
      </c>
      <c r="M20573" t="e">
        <v>#N/A</v>
      </c>
      <c r="N20573" s="1">
        <v>43556</v>
      </c>
    </row>
    <row r="20574" spans="11:14" x14ac:dyDescent="0.3">
      <c r="K20574" s="1">
        <v>43922</v>
      </c>
      <c r="M20574" t="e">
        <v>#N/A</v>
      </c>
      <c r="N20574" s="1">
        <v>43556</v>
      </c>
    </row>
    <row r="20575" spans="11:14" x14ac:dyDescent="0.3">
      <c r="K20575" s="1">
        <v>43922</v>
      </c>
      <c r="M20575" t="e">
        <v>#N/A</v>
      </c>
      <c r="N20575" s="1">
        <v>43556</v>
      </c>
    </row>
    <row r="20576" spans="11:14" x14ac:dyDescent="0.3">
      <c r="K20576" s="1">
        <v>43922</v>
      </c>
      <c r="M20576" t="e">
        <v>#N/A</v>
      </c>
      <c r="N20576" s="1">
        <v>43556</v>
      </c>
    </row>
    <row r="20577" spans="11:14" x14ac:dyDescent="0.3">
      <c r="K20577" s="1">
        <v>43922</v>
      </c>
      <c r="M20577" t="e">
        <v>#N/A</v>
      </c>
      <c r="N20577" s="1">
        <v>43556</v>
      </c>
    </row>
    <row r="20578" spans="11:14" x14ac:dyDescent="0.3">
      <c r="K20578" s="1">
        <v>43922</v>
      </c>
      <c r="M20578" t="e">
        <v>#N/A</v>
      </c>
      <c r="N20578" s="1">
        <v>43556</v>
      </c>
    </row>
    <row r="20579" spans="11:14" x14ac:dyDescent="0.3">
      <c r="K20579" s="1">
        <v>43922</v>
      </c>
      <c r="M20579" t="e">
        <v>#N/A</v>
      </c>
      <c r="N20579" s="1">
        <v>43556</v>
      </c>
    </row>
    <row r="20580" spans="11:14" x14ac:dyDescent="0.3">
      <c r="K20580" s="1">
        <v>43922</v>
      </c>
      <c r="M20580" t="e">
        <v>#N/A</v>
      </c>
      <c r="N20580" s="1">
        <v>43556</v>
      </c>
    </row>
    <row r="20581" spans="11:14" x14ac:dyDescent="0.3">
      <c r="K20581" s="1">
        <v>43922</v>
      </c>
      <c r="M20581" t="e">
        <v>#N/A</v>
      </c>
      <c r="N20581" s="1">
        <v>43556</v>
      </c>
    </row>
    <row r="20582" spans="11:14" x14ac:dyDescent="0.3">
      <c r="K20582" s="1">
        <v>43922</v>
      </c>
      <c r="M20582" t="e">
        <v>#N/A</v>
      </c>
      <c r="N20582" s="1">
        <v>43556</v>
      </c>
    </row>
    <row r="20583" spans="11:14" x14ac:dyDescent="0.3">
      <c r="K20583" s="1">
        <v>43922</v>
      </c>
      <c r="M20583" t="e">
        <v>#N/A</v>
      </c>
      <c r="N20583" s="1">
        <v>43556</v>
      </c>
    </row>
    <row r="20584" spans="11:14" x14ac:dyDescent="0.3">
      <c r="K20584" s="1">
        <v>43922</v>
      </c>
      <c r="M20584" t="e">
        <v>#N/A</v>
      </c>
      <c r="N20584" s="1">
        <v>43556</v>
      </c>
    </row>
    <row r="20585" spans="11:14" x14ac:dyDescent="0.3">
      <c r="K20585" s="1">
        <v>43922</v>
      </c>
      <c r="M20585" t="e">
        <v>#N/A</v>
      </c>
      <c r="N20585" s="1">
        <v>43556</v>
      </c>
    </row>
    <row r="20586" spans="11:14" x14ac:dyDescent="0.3">
      <c r="K20586" s="1">
        <v>43922</v>
      </c>
      <c r="M20586" t="e">
        <v>#N/A</v>
      </c>
      <c r="N20586" s="1">
        <v>43556</v>
      </c>
    </row>
    <row r="20587" spans="11:14" x14ac:dyDescent="0.3">
      <c r="K20587" s="1">
        <v>43922</v>
      </c>
      <c r="M20587" t="e">
        <v>#N/A</v>
      </c>
      <c r="N20587" s="1">
        <v>43556</v>
      </c>
    </row>
    <row r="20588" spans="11:14" x14ac:dyDescent="0.3">
      <c r="K20588" s="1">
        <v>43922</v>
      </c>
      <c r="M20588" t="e">
        <v>#N/A</v>
      </c>
      <c r="N20588" s="1">
        <v>43556</v>
      </c>
    </row>
    <row r="20589" spans="11:14" x14ac:dyDescent="0.3">
      <c r="K20589" s="1">
        <v>43922</v>
      </c>
      <c r="M20589" t="e">
        <v>#N/A</v>
      </c>
      <c r="N20589" s="1">
        <v>43556</v>
      </c>
    </row>
    <row r="20590" spans="11:14" x14ac:dyDescent="0.3">
      <c r="K20590" s="1">
        <v>43922</v>
      </c>
      <c r="M20590" t="e">
        <v>#N/A</v>
      </c>
      <c r="N20590" s="1">
        <v>43556</v>
      </c>
    </row>
    <row r="20591" spans="11:14" x14ac:dyDescent="0.3">
      <c r="K20591" s="1">
        <v>43922</v>
      </c>
      <c r="M20591" t="e">
        <v>#N/A</v>
      </c>
      <c r="N20591" s="1">
        <v>43556</v>
      </c>
    </row>
    <row r="20592" spans="11:14" x14ac:dyDescent="0.3">
      <c r="K20592" s="1">
        <v>43922</v>
      </c>
      <c r="M20592" t="e">
        <v>#N/A</v>
      </c>
      <c r="N20592" s="1">
        <v>43556</v>
      </c>
    </row>
    <row r="20593" spans="11:14" x14ac:dyDescent="0.3">
      <c r="K20593" s="1">
        <v>43922</v>
      </c>
      <c r="M20593" t="e">
        <v>#N/A</v>
      </c>
      <c r="N20593" s="1">
        <v>43556</v>
      </c>
    </row>
    <row r="20594" spans="11:14" x14ac:dyDescent="0.3">
      <c r="K20594" s="1">
        <v>43922</v>
      </c>
      <c r="M20594" t="e">
        <v>#N/A</v>
      </c>
      <c r="N20594" s="1">
        <v>43556</v>
      </c>
    </row>
    <row r="20595" spans="11:14" x14ac:dyDescent="0.3">
      <c r="K20595" s="1">
        <v>43922</v>
      </c>
      <c r="M20595" t="e">
        <v>#N/A</v>
      </c>
      <c r="N20595" s="1">
        <v>43556</v>
      </c>
    </row>
    <row r="20596" spans="11:14" x14ac:dyDescent="0.3">
      <c r="K20596" s="1">
        <v>43922</v>
      </c>
      <c r="M20596" t="e">
        <v>#N/A</v>
      </c>
      <c r="N20596" s="1">
        <v>43556</v>
      </c>
    </row>
    <row r="20597" spans="11:14" x14ac:dyDescent="0.3">
      <c r="K20597" s="1">
        <v>43922</v>
      </c>
      <c r="M20597" t="e">
        <v>#N/A</v>
      </c>
      <c r="N20597" s="1">
        <v>43556</v>
      </c>
    </row>
    <row r="20598" spans="11:14" x14ac:dyDescent="0.3">
      <c r="K20598" s="1">
        <v>43922</v>
      </c>
      <c r="M20598" t="e">
        <v>#N/A</v>
      </c>
      <c r="N20598" s="1">
        <v>43556</v>
      </c>
    </row>
    <row r="20599" spans="11:14" x14ac:dyDescent="0.3">
      <c r="K20599" s="1">
        <v>43922</v>
      </c>
      <c r="M20599" t="e">
        <v>#N/A</v>
      </c>
      <c r="N20599" s="1">
        <v>43556</v>
      </c>
    </row>
    <row r="20600" spans="11:14" x14ac:dyDescent="0.3">
      <c r="K20600" s="1">
        <v>43922</v>
      </c>
      <c r="M20600" t="e">
        <v>#N/A</v>
      </c>
      <c r="N20600" s="1">
        <v>43556</v>
      </c>
    </row>
    <row r="20601" spans="11:14" x14ac:dyDescent="0.3">
      <c r="K20601" s="1">
        <v>43922</v>
      </c>
      <c r="M20601" t="e">
        <v>#N/A</v>
      </c>
      <c r="N20601" s="1">
        <v>43556</v>
      </c>
    </row>
    <row r="20602" spans="11:14" x14ac:dyDescent="0.3">
      <c r="K20602" s="1">
        <v>43922</v>
      </c>
      <c r="M20602" t="e">
        <v>#N/A</v>
      </c>
      <c r="N20602" s="1">
        <v>43556</v>
      </c>
    </row>
    <row r="20603" spans="11:14" x14ac:dyDescent="0.3">
      <c r="K20603" s="1">
        <v>43922</v>
      </c>
      <c r="M20603" t="e">
        <v>#N/A</v>
      </c>
      <c r="N20603" s="1">
        <v>43556</v>
      </c>
    </row>
    <row r="20604" spans="11:14" x14ac:dyDescent="0.3">
      <c r="K20604" s="1">
        <v>43922</v>
      </c>
      <c r="M20604" t="e">
        <v>#N/A</v>
      </c>
      <c r="N20604" s="1">
        <v>43556</v>
      </c>
    </row>
    <row r="20605" spans="11:14" x14ac:dyDescent="0.3">
      <c r="K20605" s="1">
        <v>43922</v>
      </c>
      <c r="M20605" t="e">
        <v>#N/A</v>
      </c>
      <c r="N20605" s="1">
        <v>43556</v>
      </c>
    </row>
    <row r="20606" spans="11:14" x14ac:dyDescent="0.3">
      <c r="K20606" s="1">
        <v>43922</v>
      </c>
      <c r="M20606" t="e">
        <v>#N/A</v>
      </c>
      <c r="N20606" s="1">
        <v>43556</v>
      </c>
    </row>
    <row r="20607" spans="11:14" x14ac:dyDescent="0.3">
      <c r="K20607" s="1">
        <v>43922</v>
      </c>
      <c r="M20607" t="e">
        <v>#N/A</v>
      </c>
      <c r="N20607" s="1">
        <v>43556</v>
      </c>
    </row>
    <row r="20608" spans="11:14" x14ac:dyDescent="0.3">
      <c r="K20608" s="1">
        <v>43922</v>
      </c>
      <c r="M20608" t="e">
        <v>#N/A</v>
      </c>
      <c r="N20608" s="1">
        <v>43556</v>
      </c>
    </row>
    <row r="20609" spans="11:14" x14ac:dyDescent="0.3">
      <c r="K20609" s="1">
        <v>43922</v>
      </c>
      <c r="M20609" t="e">
        <v>#N/A</v>
      </c>
      <c r="N20609" s="1">
        <v>43556</v>
      </c>
    </row>
    <row r="20610" spans="11:14" x14ac:dyDescent="0.3">
      <c r="K20610" s="1">
        <v>43922</v>
      </c>
      <c r="M20610" t="e">
        <v>#N/A</v>
      </c>
      <c r="N20610" s="1">
        <v>43556</v>
      </c>
    </row>
    <row r="20611" spans="11:14" x14ac:dyDescent="0.3">
      <c r="K20611" s="1">
        <v>43922</v>
      </c>
      <c r="M20611" t="e">
        <v>#N/A</v>
      </c>
      <c r="N20611" s="1">
        <v>43556</v>
      </c>
    </row>
    <row r="20612" spans="11:14" x14ac:dyDescent="0.3">
      <c r="K20612" s="1">
        <v>43922</v>
      </c>
      <c r="M20612" t="e">
        <v>#N/A</v>
      </c>
      <c r="N20612" s="1">
        <v>43556</v>
      </c>
    </row>
    <row r="20613" spans="11:14" x14ac:dyDescent="0.3">
      <c r="K20613" s="1">
        <v>43922</v>
      </c>
      <c r="M20613" t="e">
        <v>#N/A</v>
      </c>
      <c r="N20613" s="1">
        <v>43556</v>
      </c>
    </row>
    <row r="20614" spans="11:14" x14ac:dyDescent="0.3">
      <c r="K20614" s="1">
        <v>43922</v>
      </c>
      <c r="M20614" t="e">
        <v>#N/A</v>
      </c>
      <c r="N20614" s="1">
        <v>43556</v>
      </c>
    </row>
    <row r="20615" spans="11:14" x14ac:dyDescent="0.3">
      <c r="K20615" s="1">
        <v>43922</v>
      </c>
      <c r="M20615" t="e">
        <v>#N/A</v>
      </c>
      <c r="N20615" s="1">
        <v>43556</v>
      </c>
    </row>
    <row r="20616" spans="11:14" x14ac:dyDescent="0.3">
      <c r="K20616" s="1">
        <v>43922</v>
      </c>
      <c r="M20616" t="e">
        <v>#N/A</v>
      </c>
      <c r="N20616" s="1">
        <v>43556</v>
      </c>
    </row>
    <row r="20617" spans="11:14" x14ac:dyDescent="0.3">
      <c r="K20617" s="1">
        <v>43922</v>
      </c>
      <c r="M20617" t="e">
        <v>#N/A</v>
      </c>
      <c r="N20617" s="1">
        <v>43556</v>
      </c>
    </row>
    <row r="20618" spans="11:14" x14ac:dyDescent="0.3">
      <c r="K20618" s="1">
        <v>43922</v>
      </c>
      <c r="M20618" t="e">
        <v>#N/A</v>
      </c>
      <c r="N20618" s="1">
        <v>43556</v>
      </c>
    </row>
    <row r="20619" spans="11:14" x14ac:dyDescent="0.3">
      <c r="K20619" s="1">
        <v>43922</v>
      </c>
      <c r="M20619" t="e">
        <v>#N/A</v>
      </c>
      <c r="N20619" s="1">
        <v>43556</v>
      </c>
    </row>
    <row r="20620" spans="11:14" x14ac:dyDescent="0.3">
      <c r="K20620" s="1">
        <v>43922</v>
      </c>
      <c r="M20620" t="e">
        <v>#N/A</v>
      </c>
      <c r="N20620" s="1">
        <v>43556</v>
      </c>
    </row>
    <row r="20621" spans="11:14" x14ac:dyDescent="0.3">
      <c r="K20621" s="1">
        <v>43922</v>
      </c>
      <c r="M20621" t="e">
        <v>#N/A</v>
      </c>
      <c r="N20621" s="1">
        <v>43556</v>
      </c>
    </row>
    <row r="20622" spans="11:14" x14ac:dyDescent="0.3">
      <c r="K20622" s="1">
        <v>43922</v>
      </c>
      <c r="M20622" t="e">
        <v>#N/A</v>
      </c>
      <c r="N20622" s="1">
        <v>43556</v>
      </c>
    </row>
    <row r="20623" spans="11:14" x14ac:dyDescent="0.3">
      <c r="K20623" s="1">
        <v>43922</v>
      </c>
      <c r="M20623" t="e">
        <v>#N/A</v>
      </c>
      <c r="N20623" s="1">
        <v>43556</v>
      </c>
    </row>
    <row r="20624" spans="11:14" x14ac:dyDescent="0.3">
      <c r="K20624" s="1">
        <v>43922</v>
      </c>
      <c r="M20624" t="e">
        <v>#N/A</v>
      </c>
      <c r="N20624" s="1">
        <v>43556</v>
      </c>
    </row>
    <row r="20625" spans="11:14" x14ac:dyDescent="0.3">
      <c r="K20625" s="1">
        <v>43922</v>
      </c>
      <c r="M20625" t="e">
        <v>#N/A</v>
      </c>
      <c r="N20625" s="1">
        <v>43556</v>
      </c>
    </row>
    <row r="20626" spans="11:14" x14ac:dyDescent="0.3">
      <c r="K20626" s="1">
        <v>44013</v>
      </c>
      <c r="M20626" t="e">
        <v>#N/A</v>
      </c>
      <c r="N20626" s="1">
        <v>43556</v>
      </c>
    </row>
    <row r="20627" spans="11:14" x14ac:dyDescent="0.3">
      <c r="K20627" s="1">
        <v>44013</v>
      </c>
      <c r="M20627" t="e">
        <v>#N/A</v>
      </c>
      <c r="N20627" s="1">
        <v>43556</v>
      </c>
    </row>
    <row r="20628" spans="11:14" x14ac:dyDescent="0.3">
      <c r="K20628" s="1">
        <v>44013</v>
      </c>
      <c r="M20628" t="e">
        <v>#N/A</v>
      </c>
      <c r="N20628" s="1">
        <v>43556</v>
      </c>
    </row>
    <row r="20629" spans="11:14" x14ac:dyDescent="0.3">
      <c r="K20629" s="1">
        <v>44013</v>
      </c>
      <c r="M20629" t="e">
        <v>#N/A</v>
      </c>
      <c r="N20629" s="1">
        <v>43556</v>
      </c>
    </row>
    <row r="20630" spans="11:14" x14ac:dyDescent="0.3">
      <c r="K20630" s="1">
        <v>44013</v>
      </c>
      <c r="M20630" t="e">
        <v>#N/A</v>
      </c>
      <c r="N20630" s="1">
        <v>43556</v>
      </c>
    </row>
    <row r="20631" spans="11:14" x14ac:dyDescent="0.3">
      <c r="K20631" s="1">
        <v>44013</v>
      </c>
      <c r="M20631" t="e">
        <v>#N/A</v>
      </c>
      <c r="N20631" s="1">
        <v>43556</v>
      </c>
    </row>
    <row r="20632" spans="11:14" x14ac:dyDescent="0.3">
      <c r="K20632" s="1">
        <v>44013</v>
      </c>
      <c r="M20632" t="e">
        <v>#N/A</v>
      </c>
      <c r="N20632" s="1">
        <v>43556</v>
      </c>
    </row>
    <row r="20633" spans="11:14" x14ac:dyDescent="0.3">
      <c r="K20633" s="1">
        <v>44013</v>
      </c>
      <c r="M20633" t="e">
        <v>#N/A</v>
      </c>
      <c r="N20633" s="1">
        <v>43556</v>
      </c>
    </row>
    <row r="20634" spans="11:14" x14ac:dyDescent="0.3">
      <c r="K20634" s="1">
        <v>44013</v>
      </c>
      <c r="M20634" t="e">
        <v>#N/A</v>
      </c>
      <c r="N20634" s="1">
        <v>43556</v>
      </c>
    </row>
    <row r="20635" spans="11:14" x14ac:dyDescent="0.3">
      <c r="K20635" s="1">
        <v>44013</v>
      </c>
      <c r="M20635" t="e">
        <v>#N/A</v>
      </c>
      <c r="N20635" s="1">
        <v>43556</v>
      </c>
    </row>
    <row r="20636" spans="11:14" x14ac:dyDescent="0.3">
      <c r="K20636" s="1">
        <v>44013</v>
      </c>
      <c r="M20636" t="e">
        <v>#N/A</v>
      </c>
      <c r="N20636" s="1">
        <v>43556</v>
      </c>
    </row>
    <row r="20637" spans="11:14" x14ac:dyDescent="0.3">
      <c r="K20637" s="1">
        <v>44013</v>
      </c>
      <c r="M20637" t="e">
        <v>#N/A</v>
      </c>
      <c r="N20637" s="1">
        <v>43556</v>
      </c>
    </row>
    <row r="20638" spans="11:14" x14ac:dyDescent="0.3">
      <c r="K20638" s="1">
        <v>44013</v>
      </c>
      <c r="M20638" t="e">
        <v>#N/A</v>
      </c>
      <c r="N20638" s="1">
        <v>43556</v>
      </c>
    </row>
    <row r="20639" spans="11:14" x14ac:dyDescent="0.3">
      <c r="K20639" s="1">
        <v>44013</v>
      </c>
      <c r="M20639" t="e">
        <v>#N/A</v>
      </c>
      <c r="N20639" s="1">
        <v>43556</v>
      </c>
    </row>
    <row r="20640" spans="11:14" x14ac:dyDescent="0.3">
      <c r="K20640" s="1">
        <v>44013</v>
      </c>
      <c r="M20640" t="e">
        <v>#N/A</v>
      </c>
      <c r="N20640" s="1">
        <v>43556</v>
      </c>
    </row>
    <row r="20641" spans="11:14" x14ac:dyDescent="0.3">
      <c r="K20641" s="1">
        <v>44013</v>
      </c>
      <c r="M20641" t="e">
        <v>#N/A</v>
      </c>
      <c r="N20641" s="1">
        <v>43556</v>
      </c>
    </row>
    <row r="20642" spans="11:14" x14ac:dyDescent="0.3">
      <c r="K20642" s="1">
        <v>44013</v>
      </c>
      <c r="M20642" t="e">
        <v>#N/A</v>
      </c>
      <c r="N20642" s="1">
        <v>43556</v>
      </c>
    </row>
    <row r="20643" spans="11:14" x14ac:dyDescent="0.3">
      <c r="K20643" s="1">
        <v>44013</v>
      </c>
      <c r="M20643" t="e">
        <v>#N/A</v>
      </c>
      <c r="N20643" s="1">
        <v>43556</v>
      </c>
    </row>
    <row r="20644" spans="11:14" x14ac:dyDescent="0.3">
      <c r="K20644" s="1">
        <v>44013</v>
      </c>
      <c r="M20644" t="e">
        <v>#N/A</v>
      </c>
      <c r="N20644" s="1">
        <v>43556</v>
      </c>
    </row>
    <row r="20645" spans="11:14" x14ac:dyDescent="0.3">
      <c r="K20645" s="1">
        <v>44013</v>
      </c>
      <c r="M20645" t="e">
        <v>#N/A</v>
      </c>
      <c r="N20645" s="1">
        <v>43556</v>
      </c>
    </row>
    <row r="20646" spans="11:14" x14ac:dyDescent="0.3">
      <c r="K20646" s="1">
        <v>44013</v>
      </c>
      <c r="M20646" t="e">
        <v>#N/A</v>
      </c>
      <c r="N20646" s="1">
        <v>43556</v>
      </c>
    </row>
    <row r="20647" spans="11:14" x14ac:dyDescent="0.3">
      <c r="K20647" s="1">
        <v>44013</v>
      </c>
      <c r="M20647" t="e">
        <v>#N/A</v>
      </c>
      <c r="N20647" s="1">
        <v>43556</v>
      </c>
    </row>
    <row r="20648" spans="11:14" x14ac:dyDescent="0.3">
      <c r="K20648" s="1">
        <v>44013</v>
      </c>
      <c r="M20648" t="e">
        <v>#N/A</v>
      </c>
      <c r="N20648" s="1">
        <v>43556</v>
      </c>
    </row>
    <row r="20649" spans="11:14" x14ac:dyDescent="0.3">
      <c r="K20649" s="1">
        <v>44013</v>
      </c>
      <c r="M20649" t="e">
        <v>#N/A</v>
      </c>
      <c r="N20649" s="1">
        <v>43556</v>
      </c>
    </row>
    <row r="20650" spans="11:14" x14ac:dyDescent="0.3">
      <c r="K20650" s="1">
        <v>44013</v>
      </c>
      <c r="M20650" t="e">
        <v>#N/A</v>
      </c>
      <c r="N20650" s="1">
        <v>43556</v>
      </c>
    </row>
    <row r="20651" spans="11:14" x14ac:dyDescent="0.3">
      <c r="K20651" s="1">
        <v>44013</v>
      </c>
      <c r="M20651" t="e">
        <v>#N/A</v>
      </c>
      <c r="N20651" s="1">
        <v>43556</v>
      </c>
    </row>
    <row r="20652" spans="11:14" x14ac:dyDescent="0.3">
      <c r="K20652" s="1">
        <v>44013</v>
      </c>
      <c r="M20652" t="e">
        <v>#N/A</v>
      </c>
      <c r="N20652" s="1">
        <v>43556</v>
      </c>
    </row>
    <row r="20653" spans="11:14" x14ac:dyDescent="0.3">
      <c r="K20653" s="1">
        <v>44013</v>
      </c>
      <c r="M20653" t="e">
        <v>#N/A</v>
      </c>
      <c r="N20653" s="1">
        <v>43556</v>
      </c>
    </row>
    <row r="20654" spans="11:14" x14ac:dyDescent="0.3">
      <c r="K20654" s="1">
        <v>44013</v>
      </c>
      <c r="M20654" t="e">
        <v>#N/A</v>
      </c>
      <c r="N20654" s="1">
        <v>43556</v>
      </c>
    </row>
    <row r="20655" spans="11:14" x14ac:dyDescent="0.3">
      <c r="K20655" s="1">
        <v>44013</v>
      </c>
      <c r="M20655" t="e">
        <v>#N/A</v>
      </c>
      <c r="N20655" s="1">
        <v>43556</v>
      </c>
    </row>
    <row r="20656" spans="11:14" x14ac:dyDescent="0.3">
      <c r="K20656" s="1">
        <v>44013</v>
      </c>
      <c r="M20656" t="e">
        <v>#N/A</v>
      </c>
      <c r="N20656" s="1">
        <v>43556</v>
      </c>
    </row>
    <row r="20657" spans="11:14" x14ac:dyDescent="0.3">
      <c r="K20657" s="1">
        <v>44013</v>
      </c>
      <c r="M20657" t="e">
        <v>#N/A</v>
      </c>
      <c r="N20657" s="1">
        <v>43556</v>
      </c>
    </row>
    <row r="20658" spans="11:14" x14ac:dyDescent="0.3">
      <c r="K20658" s="1">
        <v>44013</v>
      </c>
      <c r="M20658" t="e">
        <v>#N/A</v>
      </c>
      <c r="N20658" s="1">
        <v>43556</v>
      </c>
    </row>
    <row r="20659" spans="11:14" x14ac:dyDescent="0.3">
      <c r="K20659" s="1">
        <v>44013</v>
      </c>
      <c r="M20659" t="e">
        <v>#N/A</v>
      </c>
      <c r="N20659" s="1">
        <v>43556</v>
      </c>
    </row>
    <row r="20660" spans="11:14" x14ac:dyDescent="0.3">
      <c r="K20660" s="1">
        <v>44013</v>
      </c>
      <c r="M20660" t="e">
        <v>#N/A</v>
      </c>
      <c r="N20660" s="1">
        <v>43556</v>
      </c>
    </row>
    <row r="20661" spans="11:14" x14ac:dyDescent="0.3">
      <c r="K20661" s="1">
        <v>44013</v>
      </c>
      <c r="M20661" t="e">
        <v>#N/A</v>
      </c>
      <c r="N20661" s="1">
        <v>43556</v>
      </c>
    </row>
    <row r="20662" spans="11:14" x14ac:dyDescent="0.3">
      <c r="K20662" s="1">
        <v>44013</v>
      </c>
      <c r="M20662" t="e">
        <v>#N/A</v>
      </c>
      <c r="N20662" s="1">
        <v>43556</v>
      </c>
    </row>
    <row r="20663" spans="11:14" x14ac:dyDescent="0.3">
      <c r="K20663" s="1">
        <v>44013</v>
      </c>
      <c r="M20663" t="e">
        <v>#N/A</v>
      </c>
      <c r="N20663" s="1">
        <v>43556</v>
      </c>
    </row>
    <row r="20664" spans="11:14" x14ac:dyDescent="0.3">
      <c r="K20664" s="1">
        <v>44013</v>
      </c>
      <c r="M20664" t="e">
        <v>#N/A</v>
      </c>
      <c r="N20664" s="1">
        <v>43556</v>
      </c>
    </row>
    <row r="20665" spans="11:14" x14ac:dyDescent="0.3">
      <c r="K20665" s="1">
        <v>44013</v>
      </c>
      <c r="M20665" t="e">
        <v>#N/A</v>
      </c>
      <c r="N20665" s="1">
        <v>43556</v>
      </c>
    </row>
    <row r="20666" spans="11:14" x14ac:dyDescent="0.3">
      <c r="K20666" s="1">
        <v>44013</v>
      </c>
      <c r="M20666" t="e">
        <v>#N/A</v>
      </c>
      <c r="N20666" s="1">
        <v>43556</v>
      </c>
    </row>
    <row r="20667" spans="11:14" x14ac:dyDescent="0.3">
      <c r="K20667" s="1">
        <v>44013</v>
      </c>
      <c r="M20667" t="e">
        <v>#N/A</v>
      </c>
      <c r="N20667" s="1">
        <v>43556</v>
      </c>
    </row>
    <row r="20668" spans="11:14" x14ac:dyDescent="0.3">
      <c r="K20668" s="1">
        <v>44013</v>
      </c>
      <c r="M20668" t="e">
        <v>#N/A</v>
      </c>
      <c r="N20668" s="1">
        <v>43556</v>
      </c>
    </row>
    <row r="20669" spans="11:14" x14ac:dyDescent="0.3">
      <c r="K20669" s="1">
        <v>44013</v>
      </c>
      <c r="M20669" t="e">
        <v>#N/A</v>
      </c>
      <c r="N20669" s="1">
        <v>43556</v>
      </c>
    </row>
    <row r="20670" spans="11:14" x14ac:dyDescent="0.3">
      <c r="K20670" s="1">
        <v>44013</v>
      </c>
      <c r="M20670" t="e">
        <v>#N/A</v>
      </c>
      <c r="N20670" s="1">
        <v>43556</v>
      </c>
    </row>
    <row r="20671" spans="11:14" x14ac:dyDescent="0.3">
      <c r="K20671" s="1">
        <v>44013</v>
      </c>
      <c r="M20671" t="e">
        <v>#N/A</v>
      </c>
      <c r="N20671" s="1">
        <v>43556</v>
      </c>
    </row>
    <row r="20672" spans="11:14" x14ac:dyDescent="0.3">
      <c r="K20672" s="1">
        <v>44013</v>
      </c>
      <c r="M20672" t="e">
        <v>#N/A</v>
      </c>
      <c r="N20672" s="1">
        <v>43556</v>
      </c>
    </row>
    <row r="20673" spans="11:14" x14ac:dyDescent="0.3">
      <c r="K20673" s="1">
        <v>44013</v>
      </c>
      <c r="M20673" t="e">
        <v>#N/A</v>
      </c>
      <c r="N20673" s="1">
        <v>43556</v>
      </c>
    </row>
    <row r="20674" spans="11:14" x14ac:dyDescent="0.3">
      <c r="K20674" s="1">
        <v>44013</v>
      </c>
      <c r="M20674" t="e">
        <v>#N/A</v>
      </c>
      <c r="N20674" s="1">
        <v>43556</v>
      </c>
    </row>
    <row r="20675" spans="11:14" x14ac:dyDescent="0.3">
      <c r="K20675" s="1">
        <v>44013</v>
      </c>
      <c r="M20675" t="e">
        <v>#N/A</v>
      </c>
      <c r="N20675" s="1">
        <v>43556</v>
      </c>
    </row>
    <row r="20676" spans="11:14" x14ac:dyDescent="0.3">
      <c r="K20676" s="1">
        <v>44013</v>
      </c>
      <c r="M20676" t="e">
        <v>#N/A</v>
      </c>
      <c r="N20676" s="1">
        <v>43556</v>
      </c>
    </row>
    <row r="20677" spans="11:14" x14ac:dyDescent="0.3">
      <c r="K20677" s="1">
        <v>44013</v>
      </c>
      <c r="M20677" t="e">
        <v>#N/A</v>
      </c>
      <c r="N20677" s="1">
        <v>43556</v>
      </c>
    </row>
    <row r="20678" spans="11:14" x14ac:dyDescent="0.3">
      <c r="K20678" s="1">
        <v>44013</v>
      </c>
      <c r="M20678" t="e">
        <v>#N/A</v>
      </c>
      <c r="N20678" s="1">
        <v>43556</v>
      </c>
    </row>
    <row r="20679" spans="11:14" x14ac:dyDescent="0.3">
      <c r="K20679" s="1">
        <v>44013</v>
      </c>
      <c r="M20679" t="e">
        <v>#N/A</v>
      </c>
      <c r="N20679" s="1">
        <v>43556</v>
      </c>
    </row>
    <row r="20680" spans="11:14" x14ac:dyDescent="0.3">
      <c r="K20680" s="1">
        <v>44013</v>
      </c>
      <c r="M20680" t="e">
        <v>#N/A</v>
      </c>
      <c r="N20680" s="1">
        <v>43556</v>
      </c>
    </row>
    <row r="20681" spans="11:14" x14ac:dyDescent="0.3">
      <c r="K20681" s="1">
        <v>44013</v>
      </c>
      <c r="M20681" t="e">
        <v>#N/A</v>
      </c>
      <c r="N20681" s="1">
        <v>43556</v>
      </c>
    </row>
    <row r="20682" spans="11:14" x14ac:dyDescent="0.3">
      <c r="K20682" s="1">
        <v>44013</v>
      </c>
      <c r="M20682" t="e">
        <v>#N/A</v>
      </c>
      <c r="N20682" s="1">
        <v>43556</v>
      </c>
    </row>
    <row r="20683" spans="11:14" x14ac:dyDescent="0.3">
      <c r="K20683" s="1">
        <v>44013</v>
      </c>
      <c r="M20683" t="e">
        <v>#N/A</v>
      </c>
      <c r="N20683" s="1">
        <v>43556</v>
      </c>
    </row>
    <row r="20684" spans="11:14" x14ac:dyDescent="0.3">
      <c r="K20684" s="1">
        <v>44013</v>
      </c>
      <c r="M20684" t="e">
        <v>#N/A</v>
      </c>
      <c r="N20684" s="1">
        <v>43556</v>
      </c>
    </row>
    <row r="20685" spans="11:14" x14ac:dyDescent="0.3">
      <c r="K20685" s="1">
        <v>44013</v>
      </c>
      <c r="M20685" t="e">
        <v>#N/A</v>
      </c>
      <c r="N20685" s="1">
        <v>43556</v>
      </c>
    </row>
    <row r="20686" spans="11:14" x14ac:dyDescent="0.3">
      <c r="K20686" s="1">
        <v>44013</v>
      </c>
      <c r="M20686" t="e">
        <v>#N/A</v>
      </c>
      <c r="N20686" s="1">
        <v>43556</v>
      </c>
    </row>
    <row r="20687" spans="11:14" x14ac:dyDescent="0.3">
      <c r="K20687" s="1">
        <v>44013</v>
      </c>
      <c r="M20687" t="e">
        <v>#N/A</v>
      </c>
      <c r="N20687" s="1">
        <v>43556</v>
      </c>
    </row>
    <row r="20688" spans="11:14" x14ac:dyDescent="0.3">
      <c r="K20688" s="1">
        <v>44013</v>
      </c>
      <c r="M20688" t="e">
        <v>#N/A</v>
      </c>
      <c r="N20688" s="1">
        <v>43556</v>
      </c>
    </row>
    <row r="20689" spans="11:14" x14ac:dyDescent="0.3">
      <c r="K20689" s="1">
        <v>44013</v>
      </c>
      <c r="M20689" t="e">
        <v>#N/A</v>
      </c>
      <c r="N20689" s="1">
        <v>43556</v>
      </c>
    </row>
    <row r="20690" spans="11:14" x14ac:dyDescent="0.3">
      <c r="K20690" s="1">
        <v>44013</v>
      </c>
      <c r="M20690" t="e">
        <v>#N/A</v>
      </c>
      <c r="N20690" s="1">
        <v>43647</v>
      </c>
    </row>
    <row r="20691" spans="11:14" x14ac:dyDescent="0.3">
      <c r="K20691" s="1">
        <v>44013</v>
      </c>
      <c r="M20691" t="e">
        <v>#N/A</v>
      </c>
      <c r="N20691" s="1">
        <v>43647</v>
      </c>
    </row>
    <row r="20692" spans="11:14" x14ac:dyDescent="0.3">
      <c r="K20692" s="1">
        <v>44013</v>
      </c>
      <c r="M20692" t="e">
        <v>#N/A</v>
      </c>
      <c r="N20692" s="1">
        <v>43647</v>
      </c>
    </row>
    <row r="20693" spans="11:14" x14ac:dyDescent="0.3">
      <c r="K20693" s="1">
        <v>44013</v>
      </c>
      <c r="M20693" t="e">
        <v>#N/A</v>
      </c>
      <c r="N20693" s="1">
        <v>43647</v>
      </c>
    </row>
    <row r="20694" spans="11:14" x14ac:dyDescent="0.3">
      <c r="K20694" s="1">
        <v>44013</v>
      </c>
      <c r="M20694" t="e">
        <v>#N/A</v>
      </c>
      <c r="N20694" s="1">
        <v>43647</v>
      </c>
    </row>
    <row r="20695" spans="11:14" x14ac:dyDescent="0.3">
      <c r="K20695" s="1">
        <v>44013</v>
      </c>
      <c r="M20695" t="e">
        <v>#N/A</v>
      </c>
      <c r="N20695" s="1">
        <v>43647</v>
      </c>
    </row>
    <row r="20696" spans="11:14" x14ac:dyDescent="0.3">
      <c r="K20696" s="1">
        <v>44013</v>
      </c>
      <c r="M20696" t="e">
        <v>#N/A</v>
      </c>
      <c r="N20696" s="1">
        <v>43647</v>
      </c>
    </row>
    <row r="20697" spans="11:14" x14ac:dyDescent="0.3">
      <c r="K20697" s="1">
        <v>44013</v>
      </c>
      <c r="M20697" t="e">
        <v>#N/A</v>
      </c>
      <c r="N20697" s="1">
        <v>43647</v>
      </c>
    </row>
    <row r="20698" spans="11:14" x14ac:dyDescent="0.3">
      <c r="K20698" s="1">
        <v>44013</v>
      </c>
      <c r="M20698" t="e">
        <v>#N/A</v>
      </c>
      <c r="N20698" s="1">
        <v>43647</v>
      </c>
    </row>
    <row r="20699" spans="11:14" x14ac:dyDescent="0.3">
      <c r="K20699" s="1">
        <v>44013</v>
      </c>
      <c r="M20699" t="e">
        <v>#N/A</v>
      </c>
      <c r="N20699" s="1">
        <v>43647</v>
      </c>
    </row>
    <row r="20700" spans="11:14" x14ac:dyDescent="0.3">
      <c r="K20700" s="1">
        <v>44013</v>
      </c>
      <c r="M20700" t="e">
        <v>#N/A</v>
      </c>
      <c r="N20700" s="1">
        <v>43647</v>
      </c>
    </row>
    <row r="20701" spans="11:14" x14ac:dyDescent="0.3">
      <c r="K20701" s="1">
        <v>44013</v>
      </c>
      <c r="M20701" t="e">
        <v>#N/A</v>
      </c>
      <c r="N20701" s="1">
        <v>43647</v>
      </c>
    </row>
    <row r="20702" spans="11:14" x14ac:dyDescent="0.3">
      <c r="K20702" s="1">
        <v>44013</v>
      </c>
      <c r="M20702" t="e">
        <v>#N/A</v>
      </c>
      <c r="N20702" s="1">
        <v>43647</v>
      </c>
    </row>
    <row r="20703" spans="11:14" x14ac:dyDescent="0.3">
      <c r="K20703" s="1">
        <v>44013</v>
      </c>
      <c r="M20703" t="e">
        <v>#N/A</v>
      </c>
      <c r="N20703" s="1">
        <v>43647</v>
      </c>
    </row>
    <row r="20704" spans="11:14" x14ac:dyDescent="0.3">
      <c r="K20704" s="1">
        <v>44013</v>
      </c>
      <c r="M20704" t="e">
        <v>#N/A</v>
      </c>
      <c r="N20704" s="1">
        <v>43647</v>
      </c>
    </row>
    <row r="20705" spans="11:14" x14ac:dyDescent="0.3">
      <c r="K20705" s="1">
        <v>44013</v>
      </c>
      <c r="M20705" t="e">
        <v>#N/A</v>
      </c>
      <c r="N20705" s="1">
        <v>43647</v>
      </c>
    </row>
    <row r="20706" spans="11:14" x14ac:dyDescent="0.3">
      <c r="K20706" s="1">
        <v>44013</v>
      </c>
      <c r="M20706" t="e">
        <v>#N/A</v>
      </c>
      <c r="N20706" s="1">
        <v>43647</v>
      </c>
    </row>
    <row r="20707" spans="11:14" x14ac:dyDescent="0.3">
      <c r="K20707" s="1">
        <v>44013</v>
      </c>
      <c r="M20707" t="e">
        <v>#N/A</v>
      </c>
      <c r="N20707" s="1">
        <v>43647</v>
      </c>
    </row>
    <row r="20708" spans="11:14" x14ac:dyDescent="0.3">
      <c r="K20708" s="1">
        <v>44013</v>
      </c>
      <c r="M20708" t="e">
        <v>#N/A</v>
      </c>
      <c r="N20708" s="1">
        <v>43647</v>
      </c>
    </row>
    <row r="20709" spans="11:14" x14ac:dyDescent="0.3">
      <c r="K20709" s="1">
        <v>44013</v>
      </c>
      <c r="M20709" t="e">
        <v>#N/A</v>
      </c>
      <c r="N20709" s="1">
        <v>43647</v>
      </c>
    </row>
    <row r="20710" spans="11:14" x14ac:dyDescent="0.3">
      <c r="K20710" s="1">
        <v>44013</v>
      </c>
      <c r="M20710" t="e">
        <v>#N/A</v>
      </c>
      <c r="N20710" s="1">
        <v>43647</v>
      </c>
    </row>
    <row r="20711" spans="11:14" x14ac:dyDescent="0.3">
      <c r="K20711" s="1">
        <v>44013</v>
      </c>
      <c r="M20711" t="e">
        <v>#N/A</v>
      </c>
      <c r="N20711" s="1">
        <v>43647</v>
      </c>
    </row>
    <row r="20712" spans="11:14" x14ac:dyDescent="0.3">
      <c r="K20712" s="1">
        <v>44013</v>
      </c>
      <c r="M20712" t="e">
        <v>#N/A</v>
      </c>
      <c r="N20712" s="1">
        <v>43647</v>
      </c>
    </row>
    <row r="20713" spans="11:14" x14ac:dyDescent="0.3">
      <c r="K20713" s="1">
        <v>44013</v>
      </c>
      <c r="M20713" t="e">
        <v>#N/A</v>
      </c>
      <c r="N20713" s="1">
        <v>43647</v>
      </c>
    </row>
    <row r="20714" spans="11:14" x14ac:dyDescent="0.3">
      <c r="K20714" s="1">
        <v>44013</v>
      </c>
      <c r="M20714" t="e">
        <v>#N/A</v>
      </c>
      <c r="N20714" s="1">
        <v>43647</v>
      </c>
    </row>
    <row r="20715" spans="11:14" x14ac:dyDescent="0.3">
      <c r="K20715" s="1">
        <v>44013</v>
      </c>
      <c r="M20715" t="e">
        <v>#N/A</v>
      </c>
      <c r="N20715" s="1">
        <v>43647</v>
      </c>
    </row>
    <row r="20716" spans="11:14" x14ac:dyDescent="0.3">
      <c r="K20716" s="1">
        <v>44013</v>
      </c>
      <c r="M20716" t="e">
        <v>#N/A</v>
      </c>
      <c r="N20716" s="1">
        <v>43647</v>
      </c>
    </row>
    <row r="20717" spans="11:14" x14ac:dyDescent="0.3">
      <c r="K20717" s="1">
        <v>44013</v>
      </c>
      <c r="M20717" t="e">
        <v>#N/A</v>
      </c>
      <c r="N20717" s="1">
        <v>43647</v>
      </c>
    </row>
    <row r="20718" spans="11:14" x14ac:dyDescent="0.3">
      <c r="K20718" s="1">
        <v>44013</v>
      </c>
      <c r="M20718" t="e">
        <v>#N/A</v>
      </c>
      <c r="N20718" s="1">
        <v>43647</v>
      </c>
    </row>
    <row r="20719" spans="11:14" x14ac:dyDescent="0.3">
      <c r="K20719" s="1">
        <v>44013</v>
      </c>
      <c r="M20719" t="e">
        <v>#N/A</v>
      </c>
      <c r="N20719" s="1">
        <v>43647</v>
      </c>
    </row>
    <row r="20720" spans="11:14" x14ac:dyDescent="0.3">
      <c r="K20720" s="1">
        <v>44013</v>
      </c>
      <c r="M20720" t="e">
        <v>#N/A</v>
      </c>
      <c r="N20720" s="1">
        <v>43647</v>
      </c>
    </row>
    <row r="20721" spans="11:14" x14ac:dyDescent="0.3">
      <c r="K20721" s="1">
        <v>44013</v>
      </c>
      <c r="M20721" t="e">
        <v>#N/A</v>
      </c>
      <c r="N20721" s="1">
        <v>43647</v>
      </c>
    </row>
    <row r="20722" spans="11:14" x14ac:dyDescent="0.3">
      <c r="K20722" s="1">
        <v>44013</v>
      </c>
      <c r="M20722" t="e">
        <v>#N/A</v>
      </c>
      <c r="N20722" s="1">
        <v>43647</v>
      </c>
    </row>
    <row r="20723" spans="11:14" x14ac:dyDescent="0.3">
      <c r="K20723" s="1">
        <v>44013</v>
      </c>
      <c r="M20723" t="e">
        <v>#N/A</v>
      </c>
      <c r="N20723" s="1">
        <v>43647</v>
      </c>
    </row>
    <row r="20724" spans="11:14" x14ac:dyDescent="0.3">
      <c r="K20724" s="1">
        <v>44013</v>
      </c>
      <c r="M20724" t="e">
        <v>#N/A</v>
      </c>
      <c r="N20724" s="1">
        <v>43647</v>
      </c>
    </row>
    <row r="20725" spans="11:14" x14ac:dyDescent="0.3">
      <c r="K20725" s="1">
        <v>44013</v>
      </c>
      <c r="M20725" t="e">
        <v>#N/A</v>
      </c>
      <c r="N20725" s="1">
        <v>43647</v>
      </c>
    </row>
    <row r="20726" spans="11:14" x14ac:dyDescent="0.3">
      <c r="K20726" s="1">
        <v>44013</v>
      </c>
      <c r="M20726" t="e">
        <v>#N/A</v>
      </c>
      <c r="N20726" s="1">
        <v>43647</v>
      </c>
    </row>
    <row r="20727" spans="11:14" x14ac:dyDescent="0.3">
      <c r="K20727" s="1">
        <v>44013</v>
      </c>
      <c r="M20727" t="e">
        <v>#N/A</v>
      </c>
      <c r="N20727" s="1">
        <v>43647</v>
      </c>
    </row>
    <row r="20728" spans="11:14" x14ac:dyDescent="0.3">
      <c r="K20728" s="1">
        <v>44013</v>
      </c>
      <c r="M20728" t="e">
        <v>#N/A</v>
      </c>
      <c r="N20728" s="1">
        <v>43647</v>
      </c>
    </row>
    <row r="20729" spans="11:14" x14ac:dyDescent="0.3">
      <c r="K20729" s="1">
        <v>44013</v>
      </c>
      <c r="M20729" t="e">
        <v>#N/A</v>
      </c>
      <c r="N20729" s="1">
        <v>43647</v>
      </c>
    </row>
    <row r="20730" spans="11:14" x14ac:dyDescent="0.3">
      <c r="K20730" s="1">
        <v>44013</v>
      </c>
      <c r="M20730" t="e">
        <v>#N/A</v>
      </c>
      <c r="N20730" s="1">
        <v>43647</v>
      </c>
    </row>
    <row r="20731" spans="11:14" x14ac:dyDescent="0.3">
      <c r="K20731" s="1">
        <v>44013</v>
      </c>
      <c r="M20731" t="e">
        <v>#N/A</v>
      </c>
      <c r="N20731" s="1">
        <v>43647</v>
      </c>
    </row>
    <row r="20732" spans="11:14" x14ac:dyDescent="0.3">
      <c r="K20732" s="1">
        <v>44013</v>
      </c>
      <c r="M20732" t="e">
        <v>#N/A</v>
      </c>
      <c r="N20732" s="1">
        <v>43647</v>
      </c>
    </row>
    <row r="20733" spans="11:14" x14ac:dyDescent="0.3">
      <c r="K20733" s="1">
        <v>44013</v>
      </c>
      <c r="M20733" t="e">
        <v>#N/A</v>
      </c>
      <c r="N20733" s="1">
        <v>43647</v>
      </c>
    </row>
    <row r="20734" spans="11:14" x14ac:dyDescent="0.3">
      <c r="K20734" s="1">
        <v>44013</v>
      </c>
      <c r="M20734" t="e">
        <v>#N/A</v>
      </c>
      <c r="N20734" s="1">
        <v>43647</v>
      </c>
    </row>
    <row r="20735" spans="11:14" x14ac:dyDescent="0.3">
      <c r="K20735" s="1">
        <v>44013</v>
      </c>
      <c r="M20735" t="e">
        <v>#N/A</v>
      </c>
      <c r="N20735" s="1">
        <v>43647</v>
      </c>
    </row>
    <row r="20736" spans="11:14" x14ac:dyDescent="0.3">
      <c r="K20736" s="1">
        <v>44013</v>
      </c>
      <c r="M20736" t="e">
        <v>#N/A</v>
      </c>
      <c r="N20736" s="1">
        <v>43647</v>
      </c>
    </row>
    <row r="20737" spans="11:14" x14ac:dyDescent="0.3">
      <c r="K20737" s="1">
        <v>44013</v>
      </c>
      <c r="M20737" t="e">
        <v>#N/A</v>
      </c>
      <c r="N20737" s="1">
        <v>43647</v>
      </c>
    </row>
    <row r="20738" spans="11:14" x14ac:dyDescent="0.3">
      <c r="K20738" s="1">
        <v>44013</v>
      </c>
      <c r="M20738" t="e">
        <v>#N/A</v>
      </c>
      <c r="N20738" s="1">
        <v>43647</v>
      </c>
    </row>
    <row r="20739" spans="11:14" x14ac:dyDescent="0.3">
      <c r="K20739" s="1">
        <v>44013</v>
      </c>
      <c r="M20739" t="e">
        <v>#N/A</v>
      </c>
      <c r="N20739" s="1">
        <v>43647</v>
      </c>
    </row>
    <row r="20740" spans="11:14" x14ac:dyDescent="0.3">
      <c r="K20740" s="1">
        <v>44013</v>
      </c>
      <c r="M20740" t="e">
        <v>#N/A</v>
      </c>
      <c r="N20740" s="1">
        <v>43647</v>
      </c>
    </row>
    <row r="20741" spans="11:14" x14ac:dyDescent="0.3">
      <c r="K20741" s="1">
        <v>44013</v>
      </c>
      <c r="M20741" t="e">
        <v>#N/A</v>
      </c>
      <c r="N20741" s="1">
        <v>43647</v>
      </c>
    </row>
    <row r="20742" spans="11:14" x14ac:dyDescent="0.3">
      <c r="K20742" s="1">
        <v>44013</v>
      </c>
      <c r="M20742" t="e">
        <v>#N/A</v>
      </c>
      <c r="N20742" s="1">
        <v>43647</v>
      </c>
    </row>
    <row r="20743" spans="11:14" x14ac:dyDescent="0.3">
      <c r="K20743" s="1">
        <v>44013</v>
      </c>
      <c r="M20743" t="e">
        <v>#N/A</v>
      </c>
      <c r="N20743" s="1">
        <v>43647</v>
      </c>
    </row>
    <row r="20744" spans="11:14" x14ac:dyDescent="0.3">
      <c r="K20744" s="1">
        <v>44013</v>
      </c>
      <c r="M20744" t="e">
        <v>#N/A</v>
      </c>
      <c r="N20744" s="1">
        <v>43647</v>
      </c>
    </row>
    <row r="20745" spans="11:14" x14ac:dyDescent="0.3">
      <c r="K20745" s="1">
        <v>44013</v>
      </c>
      <c r="M20745" t="e">
        <v>#N/A</v>
      </c>
      <c r="N20745" s="1">
        <v>43647</v>
      </c>
    </row>
    <row r="20746" spans="11:14" x14ac:dyDescent="0.3">
      <c r="K20746" s="1">
        <v>44013</v>
      </c>
      <c r="M20746" t="e">
        <v>#N/A</v>
      </c>
      <c r="N20746" s="1">
        <v>43647</v>
      </c>
    </row>
    <row r="20747" spans="11:14" x14ac:dyDescent="0.3">
      <c r="K20747" s="1">
        <v>44013</v>
      </c>
      <c r="M20747" t="e">
        <v>#N/A</v>
      </c>
      <c r="N20747" s="1">
        <v>43647</v>
      </c>
    </row>
    <row r="20748" spans="11:14" x14ac:dyDescent="0.3">
      <c r="K20748" s="1">
        <v>44013</v>
      </c>
      <c r="M20748" t="e">
        <v>#N/A</v>
      </c>
      <c r="N20748" s="1">
        <v>43647</v>
      </c>
    </row>
    <row r="20749" spans="11:14" x14ac:dyDescent="0.3">
      <c r="K20749" s="1">
        <v>44013</v>
      </c>
      <c r="M20749" t="e">
        <v>#N/A</v>
      </c>
      <c r="N20749" s="1">
        <v>43647</v>
      </c>
    </row>
    <row r="20750" spans="11:14" x14ac:dyDescent="0.3">
      <c r="K20750" s="1">
        <v>44013</v>
      </c>
      <c r="M20750" t="e">
        <v>#N/A</v>
      </c>
      <c r="N20750" s="1">
        <v>43647</v>
      </c>
    </row>
    <row r="20751" spans="11:14" x14ac:dyDescent="0.3">
      <c r="K20751" s="1">
        <v>44013</v>
      </c>
      <c r="M20751" t="e">
        <v>#N/A</v>
      </c>
      <c r="N20751" s="1">
        <v>43647</v>
      </c>
    </row>
    <row r="20752" spans="11:14" x14ac:dyDescent="0.3">
      <c r="K20752" s="1">
        <v>44013</v>
      </c>
      <c r="M20752" t="e">
        <v>#N/A</v>
      </c>
      <c r="N20752" s="1">
        <v>43647</v>
      </c>
    </row>
    <row r="20753" spans="11:14" x14ac:dyDescent="0.3">
      <c r="K20753" s="1">
        <v>44013</v>
      </c>
      <c r="M20753" t="e">
        <v>#N/A</v>
      </c>
      <c r="N20753" s="1">
        <v>43647</v>
      </c>
    </row>
    <row r="20754" spans="11:14" x14ac:dyDescent="0.3">
      <c r="K20754" s="1">
        <v>44013</v>
      </c>
      <c r="M20754" t="e">
        <v>#N/A</v>
      </c>
      <c r="N20754" s="1">
        <v>43647</v>
      </c>
    </row>
    <row r="20755" spans="11:14" x14ac:dyDescent="0.3">
      <c r="K20755" s="1">
        <v>44013</v>
      </c>
      <c r="M20755" t="e">
        <v>#N/A</v>
      </c>
      <c r="N20755" s="1">
        <v>43647</v>
      </c>
    </row>
    <row r="20756" spans="11:14" x14ac:dyDescent="0.3">
      <c r="K20756" s="1">
        <v>44013</v>
      </c>
      <c r="M20756" t="e">
        <v>#N/A</v>
      </c>
      <c r="N20756" s="1">
        <v>43647</v>
      </c>
    </row>
    <row r="20757" spans="11:14" x14ac:dyDescent="0.3">
      <c r="K20757" s="1">
        <v>44013</v>
      </c>
      <c r="M20757" t="e">
        <v>#N/A</v>
      </c>
      <c r="N20757" s="1">
        <v>43647</v>
      </c>
    </row>
    <row r="20758" spans="11:14" x14ac:dyDescent="0.3">
      <c r="K20758" s="1">
        <v>44013</v>
      </c>
      <c r="M20758" t="e">
        <v>#N/A</v>
      </c>
      <c r="N20758" s="1">
        <v>43647</v>
      </c>
    </row>
    <row r="20759" spans="11:14" x14ac:dyDescent="0.3">
      <c r="K20759" s="1">
        <v>44013</v>
      </c>
      <c r="M20759" t="e">
        <v>#N/A</v>
      </c>
      <c r="N20759" s="1">
        <v>43647</v>
      </c>
    </row>
    <row r="20760" spans="11:14" x14ac:dyDescent="0.3">
      <c r="K20760" s="1">
        <v>44013</v>
      </c>
      <c r="M20760" t="e">
        <v>#N/A</v>
      </c>
      <c r="N20760" s="1">
        <v>43647</v>
      </c>
    </row>
    <row r="20761" spans="11:14" x14ac:dyDescent="0.3">
      <c r="K20761" s="1">
        <v>44013</v>
      </c>
      <c r="M20761" t="e">
        <v>#N/A</v>
      </c>
      <c r="N20761" s="1">
        <v>43647</v>
      </c>
    </row>
    <row r="20762" spans="11:14" x14ac:dyDescent="0.3">
      <c r="K20762" s="1">
        <v>44013</v>
      </c>
      <c r="M20762" t="e">
        <v>#N/A</v>
      </c>
      <c r="N20762" s="1">
        <v>43647</v>
      </c>
    </row>
    <row r="20763" spans="11:14" x14ac:dyDescent="0.3">
      <c r="K20763" s="1">
        <v>44013</v>
      </c>
      <c r="M20763" t="e">
        <v>#N/A</v>
      </c>
      <c r="N20763" s="1">
        <v>43647</v>
      </c>
    </row>
    <row r="20764" spans="11:14" x14ac:dyDescent="0.3">
      <c r="K20764" s="1">
        <v>44013</v>
      </c>
      <c r="M20764" t="e">
        <v>#N/A</v>
      </c>
      <c r="N20764" s="1">
        <v>43647</v>
      </c>
    </row>
    <row r="20765" spans="11:14" x14ac:dyDescent="0.3">
      <c r="K20765" s="1">
        <v>44013</v>
      </c>
      <c r="M20765" t="e">
        <v>#N/A</v>
      </c>
      <c r="N20765" s="1">
        <v>43647</v>
      </c>
    </row>
    <row r="20766" spans="11:14" x14ac:dyDescent="0.3">
      <c r="K20766" s="1">
        <v>44013</v>
      </c>
      <c r="M20766" t="e">
        <v>#N/A</v>
      </c>
      <c r="N20766" s="1">
        <v>43647</v>
      </c>
    </row>
    <row r="20767" spans="11:14" x14ac:dyDescent="0.3">
      <c r="K20767" s="1">
        <v>44013</v>
      </c>
      <c r="M20767" t="e">
        <v>#N/A</v>
      </c>
      <c r="N20767" s="1">
        <v>43647</v>
      </c>
    </row>
    <row r="20768" spans="11:14" x14ac:dyDescent="0.3">
      <c r="K20768" s="1">
        <v>44013</v>
      </c>
      <c r="M20768" t="e">
        <v>#N/A</v>
      </c>
      <c r="N20768" s="1">
        <v>43647</v>
      </c>
    </row>
    <row r="20769" spans="11:14" x14ac:dyDescent="0.3">
      <c r="K20769" s="1">
        <v>44013</v>
      </c>
      <c r="M20769" t="e">
        <v>#N/A</v>
      </c>
      <c r="N20769" s="1">
        <v>43647</v>
      </c>
    </row>
    <row r="20770" spans="11:14" x14ac:dyDescent="0.3">
      <c r="K20770" s="1">
        <v>44013</v>
      </c>
      <c r="M20770" t="e">
        <v>#N/A</v>
      </c>
      <c r="N20770" s="1">
        <v>43647</v>
      </c>
    </row>
    <row r="20771" spans="11:14" x14ac:dyDescent="0.3">
      <c r="K20771" s="1">
        <v>44013</v>
      </c>
      <c r="M20771" t="e">
        <v>#N/A</v>
      </c>
      <c r="N20771" s="1">
        <v>43647</v>
      </c>
    </row>
    <row r="20772" spans="11:14" x14ac:dyDescent="0.3">
      <c r="K20772" s="1">
        <v>44013</v>
      </c>
      <c r="M20772" t="e">
        <v>#N/A</v>
      </c>
      <c r="N20772" s="1">
        <v>43647</v>
      </c>
    </row>
    <row r="20773" spans="11:14" x14ac:dyDescent="0.3">
      <c r="K20773" s="1">
        <v>44013</v>
      </c>
      <c r="M20773" t="e">
        <v>#N/A</v>
      </c>
      <c r="N20773" s="1">
        <v>43647</v>
      </c>
    </row>
    <row r="20774" spans="11:14" x14ac:dyDescent="0.3">
      <c r="K20774" s="1">
        <v>44013</v>
      </c>
      <c r="M20774" t="e">
        <v>#N/A</v>
      </c>
      <c r="N20774" s="1">
        <v>43647</v>
      </c>
    </row>
    <row r="20775" spans="11:14" x14ac:dyDescent="0.3">
      <c r="K20775" s="1">
        <v>44013</v>
      </c>
      <c r="M20775" t="e">
        <v>#N/A</v>
      </c>
      <c r="N20775" s="1">
        <v>43647</v>
      </c>
    </row>
    <row r="20776" spans="11:14" x14ac:dyDescent="0.3">
      <c r="K20776" s="1">
        <v>44013</v>
      </c>
      <c r="M20776" t="e">
        <v>#N/A</v>
      </c>
      <c r="N20776" s="1">
        <v>43647</v>
      </c>
    </row>
    <row r="20777" spans="11:14" x14ac:dyDescent="0.3">
      <c r="K20777" s="1">
        <v>44013</v>
      </c>
      <c r="M20777" t="e">
        <v>#N/A</v>
      </c>
      <c r="N20777" s="1">
        <v>43647</v>
      </c>
    </row>
    <row r="20778" spans="11:14" x14ac:dyDescent="0.3">
      <c r="K20778" s="1">
        <v>44013</v>
      </c>
      <c r="M20778" t="e">
        <v>#N/A</v>
      </c>
      <c r="N20778" s="1">
        <v>43647</v>
      </c>
    </row>
    <row r="20779" spans="11:14" x14ac:dyDescent="0.3">
      <c r="K20779" s="1">
        <v>44013</v>
      </c>
      <c r="M20779" t="e">
        <v>#N/A</v>
      </c>
      <c r="N20779" s="1">
        <v>43647</v>
      </c>
    </row>
    <row r="20780" spans="11:14" x14ac:dyDescent="0.3">
      <c r="K20780" s="1">
        <v>44013</v>
      </c>
      <c r="M20780" t="e">
        <v>#N/A</v>
      </c>
      <c r="N20780" s="1">
        <v>43647</v>
      </c>
    </row>
    <row r="20781" spans="11:14" x14ac:dyDescent="0.3">
      <c r="K20781" s="1">
        <v>44013</v>
      </c>
      <c r="M20781" t="e">
        <v>#N/A</v>
      </c>
      <c r="N20781" s="1">
        <v>43647</v>
      </c>
    </row>
    <row r="20782" spans="11:14" x14ac:dyDescent="0.3">
      <c r="K20782" s="1">
        <v>44013</v>
      </c>
      <c r="M20782" t="e">
        <v>#N/A</v>
      </c>
      <c r="N20782" s="1">
        <v>43647</v>
      </c>
    </row>
    <row r="20783" spans="11:14" x14ac:dyDescent="0.3">
      <c r="K20783" s="1">
        <v>44013</v>
      </c>
      <c r="M20783" t="e">
        <v>#N/A</v>
      </c>
      <c r="N20783" s="1">
        <v>43647</v>
      </c>
    </row>
    <row r="20784" spans="11:14" x14ac:dyDescent="0.3">
      <c r="K20784" s="1">
        <v>44013</v>
      </c>
      <c r="M20784" t="e">
        <v>#N/A</v>
      </c>
      <c r="N20784" s="1">
        <v>43647</v>
      </c>
    </row>
    <row r="20785" spans="11:14" x14ac:dyDescent="0.3">
      <c r="K20785" s="1">
        <v>44013</v>
      </c>
      <c r="M20785" t="e">
        <v>#N/A</v>
      </c>
      <c r="N20785" s="1">
        <v>43647</v>
      </c>
    </row>
    <row r="20786" spans="11:14" x14ac:dyDescent="0.3">
      <c r="K20786" s="1">
        <v>44013</v>
      </c>
      <c r="M20786" t="e">
        <v>#N/A</v>
      </c>
      <c r="N20786" s="1">
        <v>43647</v>
      </c>
    </row>
    <row r="20787" spans="11:14" x14ac:dyDescent="0.3">
      <c r="K20787" s="1">
        <v>44013</v>
      </c>
      <c r="M20787" t="e">
        <v>#N/A</v>
      </c>
      <c r="N20787" s="1">
        <v>43647</v>
      </c>
    </row>
    <row r="20788" spans="11:14" x14ac:dyDescent="0.3">
      <c r="K20788" s="1">
        <v>44013</v>
      </c>
      <c r="M20788" t="e">
        <v>#N/A</v>
      </c>
      <c r="N20788" s="1">
        <v>43647</v>
      </c>
    </row>
    <row r="20789" spans="11:14" x14ac:dyDescent="0.3">
      <c r="K20789" s="1">
        <v>44013</v>
      </c>
      <c r="M20789" t="e">
        <v>#N/A</v>
      </c>
      <c r="N20789" s="1">
        <v>43647</v>
      </c>
    </row>
    <row r="20790" spans="11:14" x14ac:dyDescent="0.3">
      <c r="K20790" s="1">
        <v>44013</v>
      </c>
      <c r="M20790" t="e">
        <v>#N/A</v>
      </c>
      <c r="N20790" s="1">
        <v>43647</v>
      </c>
    </row>
    <row r="20791" spans="11:14" x14ac:dyDescent="0.3">
      <c r="K20791" s="1">
        <v>44013</v>
      </c>
      <c r="M20791" t="e">
        <v>#N/A</v>
      </c>
      <c r="N20791" s="1">
        <v>43647</v>
      </c>
    </row>
    <row r="20792" spans="11:14" x14ac:dyDescent="0.3">
      <c r="K20792" s="1">
        <v>44013</v>
      </c>
      <c r="M20792" t="e">
        <v>#N/A</v>
      </c>
      <c r="N20792" s="1">
        <v>43647</v>
      </c>
    </row>
    <row r="20793" spans="11:14" x14ac:dyDescent="0.3">
      <c r="K20793" s="1">
        <v>44013</v>
      </c>
      <c r="M20793" t="e">
        <v>#N/A</v>
      </c>
      <c r="N20793" s="1">
        <v>43647</v>
      </c>
    </row>
    <row r="20794" spans="11:14" x14ac:dyDescent="0.3">
      <c r="K20794" s="1">
        <v>44013</v>
      </c>
      <c r="M20794" t="e">
        <v>#N/A</v>
      </c>
      <c r="N20794" s="1">
        <v>43647</v>
      </c>
    </row>
    <row r="20795" spans="11:14" x14ac:dyDescent="0.3">
      <c r="K20795" s="1">
        <v>44013</v>
      </c>
      <c r="M20795" t="e">
        <v>#N/A</v>
      </c>
      <c r="N20795" s="1">
        <v>43647</v>
      </c>
    </row>
    <row r="20796" spans="11:14" x14ac:dyDescent="0.3">
      <c r="K20796" s="1">
        <v>44013</v>
      </c>
      <c r="M20796" t="e">
        <v>#N/A</v>
      </c>
      <c r="N20796" s="1">
        <v>43647</v>
      </c>
    </row>
    <row r="20797" spans="11:14" x14ac:dyDescent="0.3">
      <c r="K20797" s="1">
        <v>44013</v>
      </c>
      <c r="M20797" t="e">
        <v>#N/A</v>
      </c>
      <c r="N20797" s="1">
        <v>43647</v>
      </c>
    </row>
    <row r="20798" spans="11:14" x14ac:dyDescent="0.3">
      <c r="K20798" s="1">
        <v>44013</v>
      </c>
      <c r="M20798" t="e">
        <v>#N/A</v>
      </c>
      <c r="N20798" s="1">
        <v>43647</v>
      </c>
    </row>
    <row r="20799" spans="11:14" x14ac:dyDescent="0.3">
      <c r="K20799" s="1">
        <v>44013</v>
      </c>
      <c r="M20799" t="e">
        <v>#N/A</v>
      </c>
      <c r="N20799" s="1">
        <v>43647</v>
      </c>
    </row>
    <row r="20800" spans="11:14" x14ac:dyDescent="0.3">
      <c r="K20800" s="1">
        <v>44013</v>
      </c>
      <c r="M20800" t="e">
        <v>#N/A</v>
      </c>
      <c r="N20800" s="1">
        <v>43647</v>
      </c>
    </row>
    <row r="20801" spans="11:14" x14ac:dyDescent="0.3">
      <c r="K20801" s="1">
        <v>44013</v>
      </c>
      <c r="M20801" t="e">
        <v>#N/A</v>
      </c>
      <c r="N20801" s="1">
        <v>43647</v>
      </c>
    </row>
    <row r="20802" spans="11:14" x14ac:dyDescent="0.3">
      <c r="K20802" s="1">
        <v>44013</v>
      </c>
      <c r="M20802" t="e">
        <v>#N/A</v>
      </c>
      <c r="N20802" s="1">
        <v>43647</v>
      </c>
    </row>
    <row r="20803" spans="11:14" x14ac:dyDescent="0.3">
      <c r="K20803" s="1">
        <v>44013</v>
      </c>
      <c r="M20803" t="e">
        <v>#N/A</v>
      </c>
      <c r="N20803" s="1">
        <v>43647</v>
      </c>
    </row>
    <row r="20804" spans="11:14" x14ac:dyDescent="0.3">
      <c r="K20804" s="1">
        <v>44013</v>
      </c>
      <c r="M20804" t="e">
        <v>#N/A</v>
      </c>
      <c r="N20804" s="1">
        <v>43647</v>
      </c>
    </row>
    <row r="20805" spans="11:14" x14ac:dyDescent="0.3">
      <c r="K20805" s="1">
        <v>44013</v>
      </c>
      <c r="M20805" t="e">
        <v>#N/A</v>
      </c>
      <c r="N20805" s="1">
        <v>43647</v>
      </c>
    </row>
    <row r="20806" spans="11:14" x14ac:dyDescent="0.3">
      <c r="K20806" s="1">
        <v>44013</v>
      </c>
      <c r="M20806" t="e">
        <v>#N/A</v>
      </c>
      <c r="N20806" s="1">
        <v>43647</v>
      </c>
    </row>
    <row r="20807" spans="11:14" x14ac:dyDescent="0.3">
      <c r="K20807" s="1">
        <v>44013</v>
      </c>
      <c r="M20807" t="e">
        <v>#N/A</v>
      </c>
      <c r="N20807" s="1">
        <v>43647</v>
      </c>
    </row>
    <row r="20808" spans="11:14" x14ac:dyDescent="0.3">
      <c r="K20808" s="1">
        <v>44013</v>
      </c>
      <c r="M20808" t="e">
        <v>#N/A</v>
      </c>
      <c r="N20808" s="1">
        <v>43647</v>
      </c>
    </row>
    <row r="20809" spans="11:14" x14ac:dyDescent="0.3">
      <c r="K20809" s="1">
        <v>44013</v>
      </c>
      <c r="M20809" t="e">
        <v>#N/A</v>
      </c>
      <c r="N20809" s="1">
        <v>43647</v>
      </c>
    </row>
    <row r="20810" spans="11:14" x14ac:dyDescent="0.3">
      <c r="K20810" s="1">
        <v>44013</v>
      </c>
      <c r="M20810" t="e">
        <v>#N/A</v>
      </c>
      <c r="N20810" s="1">
        <v>43647</v>
      </c>
    </row>
    <row r="20811" spans="11:14" x14ac:dyDescent="0.3">
      <c r="K20811" s="1">
        <v>44013</v>
      </c>
      <c r="M20811" t="e">
        <v>#N/A</v>
      </c>
      <c r="N20811" s="1">
        <v>43647</v>
      </c>
    </row>
    <row r="20812" spans="11:14" x14ac:dyDescent="0.3">
      <c r="K20812" s="1">
        <v>44013</v>
      </c>
      <c r="M20812" t="e">
        <v>#N/A</v>
      </c>
      <c r="N20812" s="1">
        <v>43647</v>
      </c>
    </row>
    <row r="20813" spans="11:14" x14ac:dyDescent="0.3">
      <c r="K20813" s="1">
        <v>44013</v>
      </c>
      <c r="M20813" t="e">
        <v>#N/A</v>
      </c>
      <c r="N20813" s="1">
        <v>43647</v>
      </c>
    </row>
    <row r="20814" spans="11:14" x14ac:dyDescent="0.3">
      <c r="K20814" s="1">
        <v>44013</v>
      </c>
      <c r="M20814" t="e">
        <v>#N/A</v>
      </c>
      <c r="N20814" s="1">
        <v>43647</v>
      </c>
    </row>
    <row r="20815" spans="11:14" x14ac:dyDescent="0.3">
      <c r="K20815" s="1">
        <v>44013</v>
      </c>
      <c r="M20815" t="e">
        <v>#N/A</v>
      </c>
      <c r="N20815" s="1">
        <v>43647</v>
      </c>
    </row>
    <row r="20816" spans="11:14" x14ac:dyDescent="0.3">
      <c r="K20816" s="1">
        <v>44013</v>
      </c>
      <c r="M20816" t="e">
        <v>#N/A</v>
      </c>
      <c r="N20816" s="1">
        <v>43647</v>
      </c>
    </row>
    <row r="20817" spans="11:14" x14ac:dyDescent="0.3">
      <c r="K20817" s="1">
        <v>44013</v>
      </c>
      <c r="M20817" t="e">
        <v>#N/A</v>
      </c>
      <c r="N20817" s="1">
        <v>43647</v>
      </c>
    </row>
    <row r="20818" spans="11:14" x14ac:dyDescent="0.3">
      <c r="K20818" s="1">
        <v>44013</v>
      </c>
      <c r="M20818" t="e">
        <v>#N/A</v>
      </c>
      <c r="N20818" s="1">
        <v>43647</v>
      </c>
    </row>
    <row r="20819" spans="11:14" x14ac:dyDescent="0.3">
      <c r="K20819" s="1">
        <v>44013</v>
      </c>
      <c r="M20819" t="e">
        <v>#N/A</v>
      </c>
      <c r="N20819" s="1">
        <v>43647</v>
      </c>
    </row>
    <row r="20820" spans="11:14" x14ac:dyDescent="0.3">
      <c r="K20820" s="1">
        <v>44013</v>
      </c>
      <c r="M20820" t="e">
        <v>#N/A</v>
      </c>
      <c r="N20820" s="1">
        <v>43647</v>
      </c>
    </row>
    <row r="20821" spans="11:14" x14ac:dyDescent="0.3">
      <c r="K20821" s="1">
        <v>44013</v>
      </c>
      <c r="M20821" t="e">
        <v>#N/A</v>
      </c>
      <c r="N20821" s="1">
        <v>43647</v>
      </c>
    </row>
    <row r="20822" spans="11:14" x14ac:dyDescent="0.3">
      <c r="K20822" s="1">
        <v>44013</v>
      </c>
      <c r="M20822" t="e">
        <v>#N/A</v>
      </c>
      <c r="N20822" s="1">
        <v>43647</v>
      </c>
    </row>
    <row r="20823" spans="11:14" x14ac:dyDescent="0.3">
      <c r="K20823" s="1">
        <v>44013</v>
      </c>
      <c r="M20823" t="e">
        <v>#N/A</v>
      </c>
      <c r="N20823" s="1">
        <v>43647</v>
      </c>
    </row>
    <row r="20824" spans="11:14" x14ac:dyDescent="0.3">
      <c r="K20824" s="1">
        <v>44013</v>
      </c>
      <c r="M20824" t="e">
        <v>#N/A</v>
      </c>
      <c r="N20824" s="1">
        <v>43647</v>
      </c>
    </row>
    <row r="20825" spans="11:14" x14ac:dyDescent="0.3">
      <c r="K20825" s="1">
        <v>44013</v>
      </c>
      <c r="M20825" t="e">
        <v>#N/A</v>
      </c>
      <c r="N20825" s="1">
        <v>43647</v>
      </c>
    </row>
    <row r="20826" spans="11:14" x14ac:dyDescent="0.3">
      <c r="K20826" s="1">
        <v>44013</v>
      </c>
      <c r="M20826" t="e">
        <v>#N/A</v>
      </c>
      <c r="N20826" s="1">
        <v>43647</v>
      </c>
    </row>
    <row r="20827" spans="11:14" x14ac:dyDescent="0.3">
      <c r="K20827" s="1">
        <v>44013</v>
      </c>
      <c r="M20827" t="e">
        <v>#N/A</v>
      </c>
      <c r="N20827" s="1">
        <v>43647</v>
      </c>
    </row>
    <row r="20828" spans="11:14" x14ac:dyDescent="0.3">
      <c r="K20828" s="1">
        <v>44013</v>
      </c>
      <c r="M20828" t="e">
        <v>#N/A</v>
      </c>
      <c r="N20828" s="1">
        <v>43647</v>
      </c>
    </row>
    <row r="20829" spans="11:14" x14ac:dyDescent="0.3">
      <c r="K20829" s="1">
        <v>44013</v>
      </c>
      <c r="M20829" t="e">
        <v>#N/A</v>
      </c>
      <c r="N20829" s="1">
        <v>43647</v>
      </c>
    </row>
    <row r="20830" spans="11:14" x14ac:dyDescent="0.3">
      <c r="K20830" s="1">
        <v>44013</v>
      </c>
      <c r="M20830" t="e">
        <v>#N/A</v>
      </c>
      <c r="N20830" s="1">
        <v>43647</v>
      </c>
    </row>
    <row r="20831" spans="11:14" x14ac:dyDescent="0.3">
      <c r="K20831" s="1">
        <v>44013</v>
      </c>
      <c r="M20831" t="e">
        <v>#N/A</v>
      </c>
      <c r="N20831" s="1">
        <v>43647</v>
      </c>
    </row>
    <row r="20832" spans="11:14" x14ac:dyDescent="0.3">
      <c r="K20832" s="1">
        <v>44013</v>
      </c>
      <c r="M20832" t="e">
        <v>#N/A</v>
      </c>
      <c r="N20832" s="1">
        <v>43647</v>
      </c>
    </row>
    <row r="20833" spans="11:14" x14ac:dyDescent="0.3">
      <c r="K20833" s="1">
        <v>44013</v>
      </c>
      <c r="M20833" t="e">
        <v>#N/A</v>
      </c>
      <c r="N20833" s="1">
        <v>43647</v>
      </c>
    </row>
    <row r="20834" spans="11:14" x14ac:dyDescent="0.3">
      <c r="K20834" s="1">
        <v>44013</v>
      </c>
      <c r="M20834" t="e">
        <v>#N/A</v>
      </c>
      <c r="N20834" s="1">
        <v>43647</v>
      </c>
    </row>
    <row r="20835" spans="11:14" x14ac:dyDescent="0.3">
      <c r="K20835" s="1">
        <v>44013</v>
      </c>
      <c r="M20835" t="e">
        <v>#N/A</v>
      </c>
      <c r="N20835" s="1">
        <v>43647</v>
      </c>
    </row>
    <row r="20836" spans="11:14" x14ac:dyDescent="0.3">
      <c r="K20836" s="1">
        <v>44013</v>
      </c>
      <c r="M20836" t="e">
        <v>#N/A</v>
      </c>
      <c r="N20836" s="1">
        <v>43647</v>
      </c>
    </row>
    <row r="20837" spans="11:14" x14ac:dyDescent="0.3">
      <c r="K20837" s="1">
        <v>44013</v>
      </c>
      <c r="M20837" t="e">
        <v>#N/A</v>
      </c>
      <c r="N20837" s="1">
        <v>43647</v>
      </c>
    </row>
    <row r="20838" spans="11:14" x14ac:dyDescent="0.3">
      <c r="K20838" s="1">
        <v>44013</v>
      </c>
      <c r="M20838" t="e">
        <v>#N/A</v>
      </c>
      <c r="N20838" s="1">
        <v>43647</v>
      </c>
    </row>
    <row r="20839" spans="11:14" x14ac:dyDescent="0.3">
      <c r="K20839" s="1">
        <v>44013</v>
      </c>
      <c r="M20839" t="e">
        <v>#N/A</v>
      </c>
      <c r="N20839" s="1">
        <v>43647</v>
      </c>
    </row>
    <row r="20840" spans="11:14" x14ac:dyDescent="0.3">
      <c r="K20840" s="1">
        <v>44013</v>
      </c>
      <c r="M20840" t="e">
        <v>#N/A</v>
      </c>
      <c r="N20840" s="1">
        <v>43647</v>
      </c>
    </row>
    <row r="20841" spans="11:14" x14ac:dyDescent="0.3">
      <c r="K20841" s="1">
        <v>44013</v>
      </c>
      <c r="M20841" t="e">
        <v>#N/A</v>
      </c>
      <c r="N20841" s="1">
        <v>43647</v>
      </c>
    </row>
    <row r="20842" spans="11:14" x14ac:dyDescent="0.3">
      <c r="K20842" s="1">
        <v>44013</v>
      </c>
      <c r="M20842" t="e">
        <v>#N/A</v>
      </c>
      <c r="N20842" s="1">
        <v>43647</v>
      </c>
    </row>
    <row r="20843" spans="11:14" x14ac:dyDescent="0.3">
      <c r="K20843" s="1">
        <v>44013</v>
      </c>
      <c r="M20843" t="e">
        <v>#N/A</v>
      </c>
      <c r="N20843" s="1">
        <v>43647</v>
      </c>
    </row>
    <row r="20844" spans="11:14" x14ac:dyDescent="0.3">
      <c r="K20844" s="1">
        <v>44013</v>
      </c>
      <c r="M20844" t="e">
        <v>#N/A</v>
      </c>
      <c r="N20844" s="1">
        <v>43647</v>
      </c>
    </row>
    <row r="20845" spans="11:14" x14ac:dyDescent="0.3">
      <c r="K20845" s="1">
        <v>44013</v>
      </c>
      <c r="M20845" t="e">
        <v>#N/A</v>
      </c>
      <c r="N20845" s="1">
        <v>43647</v>
      </c>
    </row>
    <row r="20846" spans="11:14" x14ac:dyDescent="0.3">
      <c r="K20846" s="1">
        <v>44013</v>
      </c>
      <c r="M20846" t="e">
        <v>#N/A</v>
      </c>
      <c r="N20846" s="1">
        <v>43647</v>
      </c>
    </row>
    <row r="20847" spans="11:14" x14ac:dyDescent="0.3">
      <c r="K20847" s="1">
        <v>44013</v>
      </c>
      <c r="M20847" t="e">
        <v>#N/A</v>
      </c>
      <c r="N20847" s="1">
        <v>43647</v>
      </c>
    </row>
    <row r="20848" spans="11:14" x14ac:dyDescent="0.3">
      <c r="K20848" s="1">
        <v>44013</v>
      </c>
      <c r="M20848" t="e">
        <v>#N/A</v>
      </c>
      <c r="N20848" s="1">
        <v>43647</v>
      </c>
    </row>
    <row r="20849" spans="11:14" x14ac:dyDescent="0.3">
      <c r="K20849" s="1">
        <v>44013</v>
      </c>
      <c r="M20849" t="e">
        <v>#N/A</v>
      </c>
      <c r="N20849" s="1">
        <v>43647</v>
      </c>
    </row>
    <row r="20850" spans="11:14" x14ac:dyDescent="0.3">
      <c r="K20850" s="1">
        <v>44013</v>
      </c>
      <c r="M20850" t="e">
        <v>#N/A</v>
      </c>
      <c r="N20850" s="1">
        <v>43647</v>
      </c>
    </row>
    <row r="20851" spans="11:14" x14ac:dyDescent="0.3">
      <c r="K20851" s="1">
        <v>44013</v>
      </c>
      <c r="M20851" t="e">
        <v>#N/A</v>
      </c>
      <c r="N20851" s="1">
        <v>43647</v>
      </c>
    </row>
    <row r="20852" spans="11:14" x14ac:dyDescent="0.3">
      <c r="K20852" s="1">
        <v>44013</v>
      </c>
      <c r="M20852" t="e">
        <v>#N/A</v>
      </c>
      <c r="N20852" s="1">
        <v>43647</v>
      </c>
    </row>
    <row r="20853" spans="11:14" x14ac:dyDescent="0.3">
      <c r="K20853" s="1">
        <v>44013</v>
      </c>
      <c r="M20853" t="e">
        <v>#N/A</v>
      </c>
      <c r="N20853" s="1">
        <v>43647</v>
      </c>
    </row>
    <row r="20854" spans="11:14" x14ac:dyDescent="0.3">
      <c r="K20854" s="1">
        <v>44013</v>
      </c>
      <c r="M20854" t="e">
        <v>#N/A</v>
      </c>
      <c r="N20854" s="1">
        <v>43647</v>
      </c>
    </row>
    <row r="20855" spans="11:14" x14ac:dyDescent="0.3">
      <c r="K20855" s="1">
        <v>44013</v>
      </c>
      <c r="M20855" t="e">
        <v>#N/A</v>
      </c>
      <c r="N20855" s="1">
        <v>43647</v>
      </c>
    </row>
    <row r="20856" spans="11:14" x14ac:dyDescent="0.3">
      <c r="K20856" s="1">
        <v>44013</v>
      </c>
      <c r="M20856" t="e">
        <v>#N/A</v>
      </c>
      <c r="N20856" s="1">
        <v>43647</v>
      </c>
    </row>
    <row r="20857" spans="11:14" x14ac:dyDescent="0.3">
      <c r="K20857" s="1">
        <v>44013</v>
      </c>
      <c r="M20857" t="e">
        <v>#N/A</v>
      </c>
      <c r="N20857" s="1">
        <v>43647</v>
      </c>
    </row>
    <row r="20858" spans="11:14" x14ac:dyDescent="0.3">
      <c r="K20858" s="1">
        <v>44013</v>
      </c>
      <c r="M20858" t="e">
        <v>#N/A</v>
      </c>
      <c r="N20858" s="1">
        <v>43647</v>
      </c>
    </row>
    <row r="20859" spans="11:14" x14ac:dyDescent="0.3">
      <c r="K20859" s="1">
        <v>44013</v>
      </c>
      <c r="M20859" t="e">
        <v>#N/A</v>
      </c>
      <c r="N20859" s="1">
        <v>43647</v>
      </c>
    </row>
    <row r="20860" spans="11:14" x14ac:dyDescent="0.3">
      <c r="K20860" s="1">
        <v>44013</v>
      </c>
      <c r="M20860" t="e">
        <v>#N/A</v>
      </c>
      <c r="N20860" s="1">
        <v>43647</v>
      </c>
    </row>
    <row r="20861" spans="11:14" x14ac:dyDescent="0.3">
      <c r="K20861" s="1">
        <v>44013</v>
      </c>
      <c r="M20861" t="e">
        <v>#N/A</v>
      </c>
      <c r="N20861" s="1">
        <v>43647</v>
      </c>
    </row>
    <row r="20862" spans="11:14" x14ac:dyDescent="0.3">
      <c r="K20862" s="1">
        <v>44013</v>
      </c>
      <c r="M20862" t="e">
        <v>#N/A</v>
      </c>
      <c r="N20862" s="1">
        <v>43647</v>
      </c>
    </row>
    <row r="20863" spans="11:14" x14ac:dyDescent="0.3">
      <c r="K20863" s="1">
        <v>44013</v>
      </c>
      <c r="M20863" t="e">
        <v>#N/A</v>
      </c>
      <c r="N20863" s="1">
        <v>43647</v>
      </c>
    </row>
    <row r="20864" spans="11:14" x14ac:dyDescent="0.3">
      <c r="K20864" s="1">
        <v>44013</v>
      </c>
      <c r="M20864" t="e">
        <v>#N/A</v>
      </c>
      <c r="N20864" s="1">
        <v>43647</v>
      </c>
    </row>
    <row r="20865" spans="11:14" x14ac:dyDescent="0.3">
      <c r="K20865" s="1">
        <v>44013</v>
      </c>
      <c r="M20865" t="e">
        <v>#N/A</v>
      </c>
      <c r="N20865" s="1">
        <v>43647</v>
      </c>
    </row>
    <row r="20866" spans="11:14" x14ac:dyDescent="0.3">
      <c r="K20866" s="1">
        <v>44013</v>
      </c>
      <c r="M20866" t="e">
        <v>#N/A</v>
      </c>
      <c r="N20866" s="1">
        <v>43647</v>
      </c>
    </row>
    <row r="20867" spans="11:14" x14ac:dyDescent="0.3">
      <c r="K20867" s="1">
        <v>44013</v>
      </c>
      <c r="M20867" t="e">
        <v>#N/A</v>
      </c>
      <c r="N20867" s="1">
        <v>43647</v>
      </c>
    </row>
    <row r="20868" spans="11:14" x14ac:dyDescent="0.3">
      <c r="K20868" s="1">
        <v>44013</v>
      </c>
      <c r="M20868" t="e">
        <v>#N/A</v>
      </c>
      <c r="N20868" s="1">
        <v>43647</v>
      </c>
    </row>
    <row r="20869" spans="11:14" x14ac:dyDescent="0.3">
      <c r="K20869" s="1">
        <v>44013</v>
      </c>
      <c r="M20869" t="e">
        <v>#N/A</v>
      </c>
      <c r="N20869" s="1">
        <v>43647</v>
      </c>
    </row>
    <row r="20870" spans="11:14" x14ac:dyDescent="0.3">
      <c r="K20870" s="1">
        <v>44013</v>
      </c>
      <c r="M20870" t="e">
        <v>#N/A</v>
      </c>
      <c r="N20870" s="1">
        <v>43647</v>
      </c>
    </row>
    <row r="20871" spans="11:14" x14ac:dyDescent="0.3">
      <c r="K20871" s="1">
        <v>44013</v>
      </c>
      <c r="M20871" t="e">
        <v>#N/A</v>
      </c>
      <c r="N20871" s="1">
        <v>43647</v>
      </c>
    </row>
    <row r="20872" spans="11:14" x14ac:dyDescent="0.3">
      <c r="K20872" s="1">
        <v>44013</v>
      </c>
      <c r="M20872" t="e">
        <v>#N/A</v>
      </c>
      <c r="N20872" s="1">
        <v>43647</v>
      </c>
    </row>
    <row r="20873" spans="11:14" x14ac:dyDescent="0.3">
      <c r="K20873" s="1">
        <v>44013</v>
      </c>
      <c r="M20873" t="e">
        <v>#N/A</v>
      </c>
      <c r="N20873" s="1">
        <v>43647</v>
      </c>
    </row>
    <row r="20874" spans="11:14" x14ac:dyDescent="0.3">
      <c r="K20874" s="1">
        <v>44013</v>
      </c>
      <c r="M20874" t="e">
        <v>#N/A</v>
      </c>
      <c r="N20874" s="1">
        <v>43647</v>
      </c>
    </row>
    <row r="20875" spans="11:14" x14ac:dyDescent="0.3">
      <c r="K20875" s="1">
        <v>44013</v>
      </c>
      <c r="M20875" t="e">
        <v>#N/A</v>
      </c>
      <c r="N20875" s="1">
        <v>43647</v>
      </c>
    </row>
    <row r="20876" spans="11:14" x14ac:dyDescent="0.3">
      <c r="K20876" s="1">
        <v>44013</v>
      </c>
      <c r="M20876" t="e">
        <v>#N/A</v>
      </c>
      <c r="N20876" s="1">
        <v>43647</v>
      </c>
    </row>
    <row r="20877" spans="11:14" x14ac:dyDescent="0.3">
      <c r="K20877" s="1">
        <v>44013</v>
      </c>
      <c r="M20877" t="e">
        <v>#N/A</v>
      </c>
      <c r="N20877" s="1">
        <v>43647</v>
      </c>
    </row>
    <row r="20878" spans="11:14" x14ac:dyDescent="0.3">
      <c r="K20878" s="1">
        <v>44013</v>
      </c>
      <c r="M20878" t="e">
        <v>#N/A</v>
      </c>
      <c r="N20878" s="1">
        <v>43647</v>
      </c>
    </row>
    <row r="20879" spans="11:14" x14ac:dyDescent="0.3">
      <c r="K20879" s="1">
        <v>44013</v>
      </c>
      <c r="M20879" t="e">
        <v>#N/A</v>
      </c>
      <c r="N20879" s="1">
        <v>43647</v>
      </c>
    </row>
    <row r="20880" spans="11:14" x14ac:dyDescent="0.3">
      <c r="K20880" s="1">
        <v>44013</v>
      </c>
      <c r="M20880" t="e">
        <v>#N/A</v>
      </c>
      <c r="N20880" s="1">
        <v>43647</v>
      </c>
    </row>
    <row r="20881" spans="11:14" x14ac:dyDescent="0.3">
      <c r="K20881" s="1">
        <v>44013</v>
      </c>
      <c r="M20881" t="e">
        <v>#N/A</v>
      </c>
      <c r="N20881" s="1">
        <v>43647</v>
      </c>
    </row>
    <row r="20882" spans="11:14" x14ac:dyDescent="0.3">
      <c r="K20882" s="1">
        <v>44013</v>
      </c>
      <c r="M20882" t="e">
        <v>#N/A</v>
      </c>
      <c r="N20882" s="1">
        <v>43647</v>
      </c>
    </row>
    <row r="20883" spans="11:14" x14ac:dyDescent="0.3">
      <c r="K20883" s="1">
        <v>44013</v>
      </c>
      <c r="M20883" t="e">
        <v>#N/A</v>
      </c>
      <c r="N20883" s="1">
        <v>43647</v>
      </c>
    </row>
    <row r="20884" spans="11:14" x14ac:dyDescent="0.3">
      <c r="K20884" s="1">
        <v>44013</v>
      </c>
      <c r="M20884" t="e">
        <v>#N/A</v>
      </c>
      <c r="N20884" s="1">
        <v>43647</v>
      </c>
    </row>
    <row r="20885" spans="11:14" x14ac:dyDescent="0.3">
      <c r="K20885" s="1">
        <v>44013</v>
      </c>
      <c r="M20885" t="e">
        <v>#N/A</v>
      </c>
      <c r="N20885" s="1">
        <v>43647</v>
      </c>
    </row>
    <row r="20886" spans="11:14" x14ac:dyDescent="0.3">
      <c r="K20886" s="1">
        <v>44013</v>
      </c>
      <c r="M20886" t="e">
        <v>#N/A</v>
      </c>
      <c r="N20886" s="1">
        <v>43647</v>
      </c>
    </row>
    <row r="20887" spans="11:14" x14ac:dyDescent="0.3">
      <c r="K20887" s="1">
        <v>44013</v>
      </c>
      <c r="M20887" t="e">
        <v>#N/A</v>
      </c>
      <c r="N20887" s="1">
        <v>43647</v>
      </c>
    </row>
    <row r="20888" spans="11:14" x14ac:dyDescent="0.3">
      <c r="K20888" s="1">
        <v>44013</v>
      </c>
      <c r="M20888" t="e">
        <v>#N/A</v>
      </c>
      <c r="N20888" s="1">
        <v>43647</v>
      </c>
    </row>
    <row r="20889" spans="11:14" x14ac:dyDescent="0.3">
      <c r="K20889" s="1">
        <v>44013</v>
      </c>
      <c r="M20889" t="e">
        <v>#N/A</v>
      </c>
      <c r="N20889" s="1">
        <v>43647</v>
      </c>
    </row>
    <row r="20890" spans="11:14" x14ac:dyDescent="0.3">
      <c r="K20890" s="1">
        <v>44013</v>
      </c>
      <c r="M20890" t="e">
        <v>#N/A</v>
      </c>
      <c r="N20890" s="1">
        <v>43647</v>
      </c>
    </row>
    <row r="20891" spans="11:14" x14ac:dyDescent="0.3">
      <c r="K20891" s="1">
        <v>44013</v>
      </c>
      <c r="M20891" t="e">
        <v>#N/A</v>
      </c>
      <c r="N20891" s="1">
        <v>43647</v>
      </c>
    </row>
    <row r="20892" spans="11:14" x14ac:dyDescent="0.3">
      <c r="K20892" s="1">
        <v>44013</v>
      </c>
      <c r="M20892" t="e">
        <v>#N/A</v>
      </c>
      <c r="N20892" s="1">
        <v>43647</v>
      </c>
    </row>
    <row r="20893" spans="11:14" x14ac:dyDescent="0.3">
      <c r="K20893" s="1">
        <v>44013</v>
      </c>
      <c r="M20893" t="e">
        <v>#N/A</v>
      </c>
      <c r="N20893" s="1">
        <v>43647</v>
      </c>
    </row>
    <row r="20894" spans="11:14" x14ac:dyDescent="0.3">
      <c r="K20894" s="1">
        <v>44013</v>
      </c>
      <c r="M20894" t="e">
        <v>#N/A</v>
      </c>
      <c r="N20894" s="1">
        <v>43647</v>
      </c>
    </row>
    <row r="20895" spans="11:14" x14ac:dyDescent="0.3">
      <c r="K20895" s="1">
        <v>44013</v>
      </c>
      <c r="M20895" t="e">
        <v>#N/A</v>
      </c>
      <c r="N20895" s="1">
        <v>43647</v>
      </c>
    </row>
    <row r="20896" spans="11:14" x14ac:dyDescent="0.3">
      <c r="K20896" s="1">
        <v>44013</v>
      </c>
      <c r="M20896" t="e">
        <v>#N/A</v>
      </c>
      <c r="N20896" s="1">
        <v>43647</v>
      </c>
    </row>
    <row r="20897" spans="11:14" x14ac:dyDescent="0.3">
      <c r="K20897" s="1">
        <v>44013</v>
      </c>
      <c r="M20897" t="e">
        <v>#N/A</v>
      </c>
      <c r="N20897" s="1">
        <v>43647</v>
      </c>
    </row>
    <row r="20898" spans="11:14" x14ac:dyDescent="0.3">
      <c r="K20898" s="1">
        <v>44013</v>
      </c>
      <c r="M20898" t="e">
        <v>#N/A</v>
      </c>
      <c r="N20898" s="1">
        <v>43647</v>
      </c>
    </row>
    <row r="20899" spans="11:14" x14ac:dyDescent="0.3">
      <c r="K20899" s="1">
        <v>44013</v>
      </c>
      <c r="M20899" t="e">
        <v>#N/A</v>
      </c>
      <c r="N20899" s="1">
        <v>43647</v>
      </c>
    </row>
    <row r="20900" spans="11:14" x14ac:dyDescent="0.3">
      <c r="K20900" s="1">
        <v>44013</v>
      </c>
      <c r="M20900" t="e">
        <v>#N/A</v>
      </c>
      <c r="N20900" s="1">
        <v>43647</v>
      </c>
    </row>
    <row r="20901" spans="11:14" x14ac:dyDescent="0.3">
      <c r="K20901" s="1">
        <v>44013</v>
      </c>
      <c r="M20901" t="e">
        <v>#N/A</v>
      </c>
      <c r="N20901" s="1">
        <v>43647</v>
      </c>
    </row>
    <row r="20902" spans="11:14" x14ac:dyDescent="0.3">
      <c r="K20902" s="1">
        <v>44013</v>
      </c>
      <c r="M20902" t="e">
        <v>#N/A</v>
      </c>
      <c r="N20902" s="1">
        <v>43647</v>
      </c>
    </row>
    <row r="20903" spans="11:14" x14ac:dyDescent="0.3">
      <c r="K20903" s="1">
        <v>44013</v>
      </c>
      <c r="M20903" t="e">
        <v>#N/A</v>
      </c>
      <c r="N20903" s="1">
        <v>43647</v>
      </c>
    </row>
    <row r="20904" spans="11:14" x14ac:dyDescent="0.3">
      <c r="K20904" s="1">
        <v>44013</v>
      </c>
      <c r="M20904" t="e">
        <v>#N/A</v>
      </c>
      <c r="N20904" s="1">
        <v>43647</v>
      </c>
    </row>
    <row r="20905" spans="11:14" x14ac:dyDescent="0.3">
      <c r="K20905" s="1">
        <v>44013</v>
      </c>
      <c r="M20905" t="e">
        <v>#N/A</v>
      </c>
      <c r="N20905" s="1">
        <v>43647</v>
      </c>
    </row>
    <row r="20906" spans="11:14" x14ac:dyDescent="0.3">
      <c r="K20906" s="1">
        <v>44013</v>
      </c>
      <c r="M20906" t="e">
        <v>#N/A</v>
      </c>
      <c r="N20906" s="1">
        <v>43647</v>
      </c>
    </row>
    <row r="20907" spans="11:14" x14ac:dyDescent="0.3">
      <c r="K20907" s="1">
        <v>44013</v>
      </c>
      <c r="M20907" t="e">
        <v>#N/A</v>
      </c>
      <c r="N20907" s="1">
        <v>43647</v>
      </c>
    </row>
    <row r="20908" spans="11:14" x14ac:dyDescent="0.3">
      <c r="K20908" s="1">
        <v>44013</v>
      </c>
      <c r="M20908" t="e">
        <v>#N/A</v>
      </c>
      <c r="N20908" s="1">
        <v>43647</v>
      </c>
    </row>
    <row r="20909" spans="11:14" x14ac:dyDescent="0.3">
      <c r="K20909" s="1">
        <v>44013</v>
      </c>
      <c r="M20909" t="e">
        <v>#N/A</v>
      </c>
      <c r="N20909" s="1">
        <v>43647</v>
      </c>
    </row>
    <row r="20910" spans="11:14" x14ac:dyDescent="0.3">
      <c r="K20910" s="1">
        <v>44013</v>
      </c>
      <c r="M20910" t="e">
        <v>#N/A</v>
      </c>
      <c r="N20910" s="1">
        <v>43647</v>
      </c>
    </row>
    <row r="20911" spans="11:14" x14ac:dyDescent="0.3">
      <c r="K20911" s="1">
        <v>44013</v>
      </c>
      <c r="M20911" t="e">
        <v>#N/A</v>
      </c>
      <c r="N20911" s="1">
        <v>43647</v>
      </c>
    </row>
    <row r="20912" spans="11:14" x14ac:dyDescent="0.3">
      <c r="K20912" s="1">
        <v>44013</v>
      </c>
      <c r="M20912" t="e">
        <v>#N/A</v>
      </c>
      <c r="N20912" s="1">
        <v>43647</v>
      </c>
    </row>
    <row r="20913" spans="11:14" x14ac:dyDescent="0.3">
      <c r="K20913" s="1">
        <v>44013</v>
      </c>
      <c r="M20913" t="e">
        <v>#N/A</v>
      </c>
      <c r="N20913" s="1">
        <v>43647</v>
      </c>
    </row>
    <row r="20914" spans="11:14" x14ac:dyDescent="0.3">
      <c r="K20914" s="1">
        <v>44013</v>
      </c>
      <c r="M20914" t="e">
        <v>#N/A</v>
      </c>
      <c r="N20914" s="1">
        <v>43647</v>
      </c>
    </row>
    <row r="20915" spans="11:14" x14ac:dyDescent="0.3">
      <c r="K20915" s="1">
        <v>44013</v>
      </c>
      <c r="M20915" t="e">
        <v>#N/A</v>
      </c>
      <c r="N20915" s="1">
        <v>43647</v>
      </c>
    </row>
    <row r="20916" spans="11:14" x14ac:dyDescent="0.3">
      <c r="K20916" s="1">
        <v>44013</v>
      </c>
      <c r="M20916" t="e">
        <v>#N/A</v>
      </c>
      <c r="N20916" s="1">
        <v>43647</v>
      </c>
    </row>
    <row r="20917" spans="11:14" x14ac:dyDescent="0.3">
      <c r="K20917" s="1">
        <v>44013</v>
      </c>
      <c r="M20917" t="e">
        <v>#N/A</v>
      </c>
      <c r="N20917" s="1">
        <v>43647</v>
      </c>
    </row>
    <row r="20918" spans="11:14" x14ac:dyDescent="0.3">
      <c r="K20918" s="1">
        <v>44013</v>
      </c>
      <c r="M20918" t="e">
        <v>#N/A</v>
      </c>
      <c r="N20918" s="1">
        <v>43647</v>
      </c>
    </row>
    <row r="20919" spans="11:14" x14ac:dyDescent="0.3">
      <c r="K20919" s="1">
        <v>44013</v>
      </c>
      <c r="M20919" t="e">
        <v>#N/A</v>
      </c>
      <c r="N20919" s="1">
        <v>43647</v>
      </c>
    </row>
    <row r="20920" spans="11:14" x14ac:dyDescent="0.3">
      <c r="K20920" s="1">
        <v>44013</v>
      </c>
      <c r="M20920" t="e">
        <v>#N/A</v>
      </c>
      <c r="N20920" s="1">
        <v>43647</v>
      </c>
    </row>
    <row r="20921" spans="11:14" x14ac:dyDescent="0.3">
      <c r="K20921" s="1">
        <v>44013</v>
      </c>
      <c r="M20921" t="e">
        <v>#N/A</v>
      </c>
      <c r="N20921" s="1">
        <v>43647</v>
      </c>
    </row>
    <row r="20922" spans="11:14" x14ac:dyDescent="0.3">
      <c r="K20922" s="1">
        <v>44013</v>
      </c>
      <c r="M20922" t="e">
        <v>#N/A</v>
      </c>
      <c r="N20922" s="1">
        <v>43647</v>
      </c>
    </row>
    <row r="20923" spans="11:14" x14ac:dyDescent="0.3">
      <c r="K20923" s="1">
        <v>44013</v>
      </c>
      <c r="M20923" t="e">
        <v>#N/A</v>
      </c>
      <c r="N20923" s="1">
        <v>43647</v>
      </c>
    </row>
    <row r="20924" spans="11:14" x14ac:dyDescent="0.3">
      <c r="K20924" s="1">
        <v>44013</v>
      </c>
      <c r="M20924" t="e">
        <v>#N/A</v>
      </c>
      <c r="N20924" s="1">
        <v>43647</v>
      </c>
    </row>
    <row r="20925" spans="11:14" x14ac:dyDescent="0.3">
      <c r="K20925" s="1">
        <v>44105</v>
      </c>
      <c r="M20925" t="e">
        <v>#N/A</v>
      </c>
      <c r="N20925" s="1">
        <v>43647</v>
      </c>
    </row>
    <row r="20926" spans="11:14" x14ac:dyDescent="0.3">
      <c r="K20926" s="1">
        <v>44105</v>
      </c>
      <c r="M20926" t="e">
        <v>#N/A</v>
      </c>
      <c r="N20926" s="1">
        <v>43647</v>
      </c>
    </row>
    <row r="20927" spans="11:14" x14ac:dyDescent="0.3">
      <c r="K20927" s="1">
        <v>44105</v>
      </c>
      <c r="M20927" t="e">
        <v>#N/A</v>
      </c>
      <c r="N20927" s="1">
        <v>43647</v>
      </c>
    </row>
    <row r="20928" spans="11:14" x14ac:dyDescent="0.3">
      <c r="K20928" s="1">
        <v>44105</v>
      </c>
      <c r="M20928" t="e">
        <v>#N/A</v>
      </c>
      <c r="N20928" s="1">
        <v>43647</v>
      </c>
    </row>
    <row r="20929" spans="11:14" x14ac:dyDescent="0.3">
      <c r="K20929" s="1">
        <v>44105</v>
      </c>
      <c r="M20929" t="e">
        <v>#N/A</v>
      </c>
      <c r="N20929" s="1">
        <v>43647</v>
      </c>
    </row>
    <row r="20930" spans="11:14" x14ac:dyDescent="0.3">
      <c r="K20930" s="1">
        <v>44105</v>
      </c>
      <c r="M20930" t="e">
        <v>#N/A</v>
      </c>
      <c r="N20930" s="1">
        <v>43647</v>
      </c>
    </row>
    <row r="20931" spans="11:14" x14ac:dyDescent="0.3">
      <c r="K20931" s="1">
        <v>44105</v>
      </c>
      <c r="M20931" t="e">
        <v>#N/A</v>
      </c>
      <c r="N20931" s="1">
        <v>43647</v>
      </c>
    </row>
    <row r="20932" spans="11:14" x14ac:dyDescent="0.3">
      <c r="K20932" s="1">
        <v>44105</v>
      </c>
      <c r="M20932" t="e">
        <v>#N/A</v>
      </c>
      <c r="N20932" s="1">
        <v>43647</v>
      </c>
    </row>
    <row r="20933" spans="11:14" x14ac:dyDescent="0.3">
      <c r="K20933" s="1">
        <v>44105</v>
      </c>
      <c r="M20933" t="e">
        <v>#N/A</v>
      </c>
      <c r="N20933" s="1">
        <v>43647</v>
      </c>
    </row>
    <row r="20934" spans="11:14" x14ac:dyDescent="0.3">
      <c r="K20934" s="1">
        <v>44105</v>
      </c>
      <c r="M20934" t="e">
        <v>#N/A</v>
      </c>
      <c r="N20934" s="1">
        <v>43647</v>
      </c>
    </row>
    <row r="20935" spans="11:14" x14ac:dyDescent="0.3">
      <c r="K20935" s="1">
        <v>44105</v>
      </c>
      <c r="M20935" t="e">
        <v>#N/A</v>
      </c>
      <c r="N20935" s="1">
        <v>43647</v>
      </c>
    </row>
    <row r="20936" spans="11:14" x14ac:dyDescent="0.3">
      <c r="K20936" s="1">
        <v>44105</v>
      </c>
      <c r="M20936" t="e">
        <v>#N/A</v>
      </c>
      <c r="N20936" s="1">
        <v>43647</v>
      </c>
    </row>
    <row r="20937" spans="11:14" x14ac:dyDescent="0.3">
      <c r="K20937" s="1">
        <v>44105</v>
      </c>
      <c r="M20937" t="e">
        <v>#N/A</v>
      </c>
      <c r="N20937" s="1">
        <v>43647</v>
      </c>
    </row>
    <row r="20938" spans="11:14" x14ac:dyDescent="0.3">
      <c r="K20938" s="1">
        <v>44105</v>
      </c>
      <c r="M20938" t="e">
        <v>#N/A</v>
      </c>
      <c r="N20938" s="1">
        <v>43647</v>
      </c>
    </row>
    <row r="20939" spans="11:14" x14ac:dyDescent="0.3">
      <c r="K20939" s="1">
        <v>44105</v>
      </c>
      <c r="M20939" t="e">
        <v>#N/A</v>
      </c>
      <c r="N20939" s="1">
        <v>43647</v>
      </c>
    </row>
    <row r="20940" spans="11:14" x14ac:dyDescent="0.3">
      <c r="K20940" s="1">
        <v>44105</v>
      </c>
      <c r="M20940" t="e">
        <v>#N/A</v>
      </c>
      <c r="N20940" s="1">
        <v>43647</v>
      </c>
    </row>
    <row r="20941" spans="11:14" x14ac:dyDescent="0.3">
      <c r="K20941" s="1">
        <v>44105</v>
      </c>
      <c r="M20941" t="e">
        <v>#N/A</v>
      </c>
      <c r="N20941" s="1">
        <v>43647</v>
      </c>
    </row>
    <row r="20942" spans="11:14" x14ac:dyDescent="0.3">
      <c r="K20942" s="1">
        <v>44105</v>
      </c>
      <c r="M20942" t="e">
        <v>#N/A</v>
      </c>
      <c r="N20942" s="1">
        <v>43647</v>
      </c>
    </row>
    <row r="20943" spans="11:14" x14ac:dyDescent="0.3">
      <c r="K20943" s="1">
        <v>44105</v>
      </c>
      <c r="M20943" t="e">
        <v>#N/A</v>
      </c>
      <c r="N20943" s="1">
        <v>43647</v>
      </c>
    </row>
    <row r="20944" spans="11:14" x14ac:dyDescent="0.3">
      <c r="K20944" s="1">
        <v>44105</v>
      </c>
      <c r="M20944" t="e">
        <v>#N/A</v>
      </c>
      <c r="N20944" s="1">
        <v>43647</v>
      </c>
    </row>
    <row r="20945" spans="11:14" x14ac:dyDescent="0.3">
      <c r="K20945" s="1">
        <v>44105</v>
      </c>
      <c r="M20945" t="e">
        <v>#N/A</v>
      </c>
      <c r="N20945" s="1">
        <v>43647</v>
      </c>
    </row>
    <row r="20946" spans="11:14" x14ac:dyDescent="0.3">
      <c r="K20946" s="1">
        <v>44105</v>
      </c>
      <c r="M20946" t="e">
        <v>#N/A</v>
      </c>
      <c r="N20946" s="1">
        <v>43647</v>
      </c>
    </row>
    <row r="20947" spans="11:14" x14ac:dyDescent="0.3">
      <c r="K20947" s="1">
        <v>44105</v>
      </c>
      <c r="M20947" t="e">
        <v>#N/A</v>
      </c>
      <c r="N20947" s="1">
        <v>43647</v>
      </c>
    </row>
    <row r="20948" spans="11:14" x14ac:dyDescent="0.3">
      <c r="K20948" s="1">
        <v>44105</v>
      </c>
      <c r="M20948" t="e">
        <v>#N/A</v>
      </c>
      <c r="N20948" s="1">
        <v>43647</v>
      </c>
    </row>
    <row r="20949" spans="11:14" x14ac:dyDescent="0.3">
      <c r="K20949" s="1">
        <v>44105</v>
      </c>
      <c r="M20949" t="e">
        <v>#N/A</v>
      </c>
      <c r="N20949" s="1">
        <v>43647</v>
      </c>
    </row>
    <row r="20950" spans="11:14" x14ac:dyDescent="0.3">
      <c r="K20950" s="1">
        <v>44105</v>
      </c>
      <c r="M20950" t="e">
        <v>#N/A</v>
      </c>
      <c r="N20950" s="1">
        <v>43647</v>
      </c>
    </row>
    <row r="20951" spans="11:14" x14ac:dyDescent="0.3">
      <c r="K20951" s="1">
        <v>44105</v>
      </c>
      <c r="M20951" t="e">
        <v>#N/A</v>
      </c>
      <c r="N20951" s="1">
        <v>43647</v>
      </c>
    </row>
    <row r="20952" spans="11:14" x14ac:dyDescent="0.3">
      <c r="K20952" s="1">
        <v>44105</v>
      </c>
      <c r="M20952" t="e">
        <v>#N/A</v>
      </c>
      <c r="N20952" s="1">
        <v>43647</v>
      </c>
    </row>
    <row r="20953" spans="11:14" x14ac:dyDescent="0.3">
      <c r="K20953" s="1">
        <v>44105</v>
      </c>
      <c r="M20953" t="e">
        <v>#N/A</v>
      </c>
      <c r="N20953" s="1">
        <v>43647</v>
      </c>
    </row>
    <row r="20954" spans="11:14" x14ac:dyDescent="0.3">
      <c r="K20954" s="1">
        <v>44105</v>
      </c>
      <c r="M20954" t="e">
        <v>#N/A</v>
      </c>
      <c r="N20954" s="1">
        <v>43647</v>
      </c>
    </row>
    <row r="20955" spans="11:14" x14ac:dyDescent="0.3">
      <c r="K20955" s="1">
        <v>44105</v>
      </c>
      <c r="M20955" t="e">
        <v>#N/A</v>
      </c>
      <c r="N20955" s="1">
        <v>43647</v>
      </c>
    </row>
    <row r="20956" spans="11:14" x14ac:dyDescent="0.3">
      <c r="K20956" s="1">
        <v>44105</v>
      </c>
      <c r="M20956" t="e">
        <v>#N/A</v>
      </c>
      <c r="N20956" s="1">
        <v>43647</v>
      </c>
    </row>
    <row r="20957" spans="11:14" x14ac:dyDescent="0.3">
      <c r="K20957" s="1">
        <v>44105</v>
      </c>
      <c r="M20957" t="e">
        <v>#N/A</v>
      </c>
      <c r="N20957" s="1">
        <v>43647</v>
      </c>
    </row>
    <row r="20958" spans="11:14" x14ac:dyDescent="0.3">
      <c r="K20958" s="1">
        <v>44105</v>
      </c>
      <c r="M20958" t="e">
        <v>#N/A</v>
      </c>
      <c r="N20958" s="1">
        <v>43647</v>
      </c>
    </row>
    <row r="20959" spans="11:14" x14ac:dyDescent="0.3">
      <c r="K20959" s="1">
        <v>44105</v>
      </c>
      <c r="M20959" t="e">
        <v>#N/A</v>
      </c>
      <c r="N20959" s="1">
        <v>43647</v>
      </c>
    </row>
    <row r="20960" spans="11:14" x14ac:dyDescent="0.3">
      <c r="K20960" s="1">
        <v>44105</v>
      </c>
      <c r="M20960" t="e">
        <v>#N/A</v>
      </c>
      <c r="N20960" s="1">
        <v>43647</v>
      </c>
    </row>
    <row r="20961" spans="11:14" x14ac:dyDescent="0.3">
      <c r="K20961" s="1">
        <v>44105</v>
      </c>
      <c r="M20961" t="e">
        <v>#N/A</v>
      </c>
      <c r="N20961" s="1">
        <v>43647</v>
      </c>
    </row>
    <row r="20962" spans="11:14" x14ac:dyDescent="0.3">
      <c r="K20962" s="1">
        <v>44105</v>
      </c>
      <c r="M20962" t="e">
        <v>#N/A</v>
      </c>
      <c r="N20962" s="1">
        <v>43647</v>
      </c>
    </row>
    <row r="20963" spans="11:14" x14ac:dyDescent="0.3">
      <c r="K20963" s="1">
        <v>44105</v>
      </c>
      <c r="M20963" t="e">
        <v>#N/A</v>
      </c>
      <c r="N20963" s="1">
        <v>43647</v>
      </c>
    </row>
    <row r="20964" spans="11:14" x14ac:dyDescent="0.3">
      <c r="K20964" s="1">
        <v>44105</v>
      </c>
      <c r="M20964" t="e">
        <v>#N/A</v>
      </c>
      <c r="N20964" s="1">
        <v>43647</v>
      </c>
    </row>
    <row r="20965" spans="11:14" x14ac:dyDescent="0.3">
      <c r="K20965" s="1">
        <v>44105</v>
      </c>
      <c r="M20965" t="e">
        <v>#N/A</v>
      </c>
      <c r="N20965" s="1">
        <v>43647</v>
      </c>
    </row>
    <row r="20966" spans="11:14" x14ac:dyDescent="0.3">
      <c r="K20966" s="1">
        <v>44105</v>
      </c>
      <c r="M20966" t="e">
        <v>#N/A</v>
      </c>
      <c r="N20966" s="1">
        <v>43647</v>
      </c>
    </row>
    <row r="20967" spans="11:14" x14ac:dyDescent="0.3">
      <c r="K20967" s="1">
        <v>44105</v>
      </c>
      <c r="M20967" t="e">
        <v>#N/A</v>
      </c>
      <c r="N20967" s="1">
        <v>43647</v>
      </c>
    </row>
    <row r="20968" spans="11:14" x14ac:dyDescent="0.3">
      <c r="K20968" s="1">
        <v>44105</v>
      </c>
      <c r="M20968" t="e">
        <v>#N/A</v>
      </c>
      <c r="N20968" s="1">
        <v>43647</v>
      </c>
    </row>
    <row r="20969" spans="11:14" x14ac:dyDescent="0.3">
      <c r="K20969" s="1">
        <v>44105</v>
      </c>
      <c r="M20969" t="e">
        <v>#N/A</v>
      </c>
      <c r="N20969" s="1">
        <v>43647</v>
      </c>
    </row>
    <row r="20970" spans="11:14" x14ac:dyDescent="0.3">
      <c r="K20970" s="1">
        <v>44105</v>
      </c>
      <c r="M20970" t="e">
        <v>#N/A</v>
      </c>
      <c r="N20970" s="1">
        <v>43647</v>
      </c>
    </row>
    <row r="20971" spans="11:14" x14ac:dyDescent="0.3">
      <c r="K20971" s="1">
        <v>44105</v>
      </c>
      <c r="M20971" t="e">
        <v>#N/A</v>
      </c>
      <c r="N20971" s="1">
        <v>43647</v>
      </c>
    </row>
    <row r="20972" spans="11:14" x14ac:dyDescent="0.3">
      <c r="K20972" s="1">
        <v>44105</v>
      </c>
      <c r="M20972" t="e">
        <v>#N/A</v>
      </c>
      <c r="N20972" s="1">
        <v>43647</v>
      </c>
    </row>
    <row r="20973" spans="11:14" x14ac:dyDescent="0.3">
      <c r="K20973" s="1">
        <v>44105</v>
      </c>
      <c r="M20973" t="e">
        <v>#N/A</v>
      </c>
      <c r="N20973" s="1">
        <v>43647</v>
      </c>
    </row>
    <row r="20974" spans="11:14" x14ac:dyDescent="0.3">
      <c r="K20974" s="1">
        <v>44105</v>
      </c>
      <c r="M20974" t="e">
        <v>#N/A</v>
      </c>
      <c r="N20974" s="1">
        <v>43647</v>
      </c>
    </row>
    <row r="20975" spans="11:14" x14ac:dyDescent="0.3">
      <c r="K20975" s="1">
        <v>44105</v>
      </c>
      <c r="M20975" t="e">
        <v>#N/A</v>
      </c>
      <c r="N20975" s="1">
        <v>43647</v>
      </c>
    </row>
    <row r="20976" spans="11:14" x14ac:dyDescent="0.3">
      <c r="K20976" s="1">
        <v>44105</v>
      </c>
      <c r="M20976" t="e">
        <v>#N/A</v>
      </c>
      <c r="N20976" s="1">
        <v>43647</v>
      </c>
    </row>
    <row r="20977" spans="11:14" x14ac:dyDescent="0.3">
      <c r="K20977" s="1">
        <v>44105</v>
      </c>
      <c r="M20977" t="e">
        <v>#N/A</v>
      </c>
      <c r="N20977" s="1">
        <v>43647</v>
      </c>
    </row>
    <row r="20978" spans="11:14" x14ac:dyDescent="0.3">
      <c r="K20978" s="1">
        <v>44105</v>
      </c>
      <c r="M20978" t="e">
        <v>#N/A</v>
      </c>
      <c r="N20978" s="1">
        <v>43647</v>
      </c>
    </row>
    <row r="20979" spans="11:14" x14ac:dyDescent="0.3">
      <c r="K20979" s="1">
        <v>44105</v>
      </c>
      <c r="M20979" t="e">
        <v>#N/A</v>
      </c>
      <c r="N20979" s="1">
        <v>43647</v>
      </c>
    </row>
    <row r="20980" spans="11:14" x14ac:dyDescent="0.3">
      <c r="K20980" s="1">
        <v>44105</v>
      </c>
      <c r="M20980" t="e">
        <v>#N/A</v>
      </c>
      <c r="N20980" s="1">
        <v>43647</v>
      </c>
    </row>
    <row r="20981" spans="11:14" x14ac:dyDescent="0.3">
      <c r="K20981" s="1">
        <v>44105</v>
      </c>
      <c r="M20981" t="e">
        <v>#N/A</v>
      </c>
      <c r="N20981" s="1">
        <v>43647</v>
      </c>
    </row>
    <row r="20982" spans="11:14" x14ac:dyDescent="0.3">
      <c r="K20982" s="1">
        <v>44105</v>
      </c>
      <c r="M20982" t="e">
        <v>#N/A</v>
      </c>
      <c r="N20982" s="1">
        <v>43647</v>
      </c>
    </row>
    <row r="20983" spans="11:14" x14ac:dyDescent="0.3">
      <c r="K20983" s="1">
        <v>44105</v>
      </c>
      <c r="M20983" t="e">
        <v>#N/A</v>
      </c>
      <c r="N20983" s="1">
        <v>43647</v>
      </c>
    </row>
    <row r="20984" spans="11:14" x14ac:dyDescent="0.3">
      <c r="K20984" s="1">
        <v>44105</v>
      </c>
      <c r="M20984" t="e">
        <v>#N/A</v>
      </c>
      <c r="N20984" s="1">
        <v>43647</v>
      </c>
    </row>
    <row r="20985" spans="11:14" x14ac:dyDescent="0.3">
      <c r="K20985" s="1">
        <v>44105</v>
      </c>
      <c r="M20985" t="e">
        <v>#N/A</v>
      </c>
      <c r="N20985" s="1">
        <v>43647</v>
      </c>
    </row>
    <row r="20986" spans="11:14" x14ac:dyDescent="0.3">
      <c r="K20986" s="1">
        <v>44105</v>
      </c>
      <c r="M20986" t="e">
        <v>#N/A</v>
      </c>
      <c r="N20986" s="1">
        <v>43647</v>
      </c>
    </row>
    <row r="20987" spans="11:14" x14ac:dyDescent="0.3">
      <c r="K20987" s="1">
        <v>44105</v>
      </c>
      <c r="M20987" t="e">
        <v>#N/A</v>
      </c>
      <c r="N20987" s="1">
        <v>43647</v>
      </c>
    </row>
    <row r="20988" spans="11:14" x14ac:dyDescent="0.3">
      <c r="K20988" s="1">
        <v>44105</v>
      </c>
      <c r="M20988" t="e">
        <v>#N/A</v>
      </c>
      <c r="N20988" s="1">
        <v>43647</v>
      </c>
    </row>
    <row r="20989" spans="11:14" x14ac:dyDescent="0.3">
      <c r="K20989" s="1">
        <v>44105</v>
      </c>
      <c r="M20989" t="e">
        <v>#N/A</v>
      </c>
      <c r="N20989" s="1">
        <v>43647</v>
      </c>
    </row>
    <row r="20990" spans="11:14" x14ac:dyDescent="0.3">
      <c r="K20990" s="1">
        <v>44105</v>
      </c>
      <c r="M20990" t="e">
        <v>#N/A</v>
      </c>
      <c r="N20990" s="1">
        <v>43647</v>
      </c>
    </row>
    <row r="20991" spans="11:14" x14ac:dyDescent="0.3">
      <c r="K20991" s="1">
        <v>44105</v>
      </c>
      <c r="M20991" t="e">
        <v>#N/A</v>
      </c>
      <c r="N20991" s="1">
        <v>43647</v>
      </c>
    </row>
    <row r="20992" spans="11:14" x14ac:dyDescent="0.3">
      <c r="K20992" s="1">
        <v>44105</v>
      </c>
      <c r="M20992" t="e">
        <v>#N/A</v>
      </c>
      <c r="N20992" s="1">
        <v>43647</v>
      </c>
    </row>
    <row r="20993" spans="11:14" x14ac:dyDescent="0.3">
      <c r="K20993" s="1">
        <v>44105</v>
      </c>
      <c r="M20993" t="e">
        <v>#N/A</v>
      </c>
      <c r="N20993" s="1">
        <v>43647</v>
      </c>
    </row>
    <row r="20994" spans="11:14" x14ac:dyDescent="0.3">
      <c r="K20994" s="1">
        <v>44105</v>
      </c>
      <c r="M20994" t="e">
        <v>#N/A</v>
      </c>
      <c r="N20994" s="1">
        <v>43647</v>
      </c>
    </row>
    <row r="20995" spans="11:14" x14ac:dyDescent="0.3">
      <c r="K20995" s="1">
        <v>44105</v>
      </c>
      <c r="M20995" t="e">
        <v>#N/A</v>
      </c>
      <c r="N20995" s="1">
        <v>43647</v>
      </c>
    </row>
    <row r="20996" spans="11:14" x14ac:dyDescent="0.3">
      <c r="K20996" s="1">
        <v>44105</v>
      </c>
      <c r="M20996" t="e">
        <v>#N/A</v>
      </c>
      <c r="N20996" s="1">
        <v>43647</v>
      </c>
    </row>
    <row r="20997" spans="11:14" x14ac:dyDescent="0.3">
      <c r="K20997" s="1">
        <v>44105</v>
      </c>
      <c r="M20997" t="e">
        <v>#N/A</v>
      </c>
      <c r="N20997" s="1">
        <v>43647</v>
      </c>
    </row>
    <row r="20998" spans="11:14" x14ac:dyDescent="0.3">
      <c r="K20998" s="1">
        <v>44105</v>
      </c>
      <c r="M20998" t="e">
        <v>#N/A</v>
      </c>
      <c r="N20998" s="1">
        <v>43647</v>
      </c>
    </row>
    <row r="20999" spans="11:14" x14ac:dyDescent="0.3">
      <c r="K20999" s="1">
        <v>44105</v>
      </c>
      <c r="M20999" t="e">
        <v>#N/A</v>
      </c>
      <c r="N20999" s="1">
        <v>43647</v>
      </c>
    </row>
    <row r="21000" spans="11:14" x14ac:dyDescent="0.3">
      <c r="K21000" s="1">
        <v>44105</v>
      </c>
      <c r="M21000" t="e">
        <v>#N/A</v>
      </c>
      <c r="N21000" s="1">
        <v>43647</v>
      </c>
    </row>
    <row r="21001" spans="11:14" x14ac:dyDescent="0.3">
      <c r="K21001" s="1">
        <v>44105</v>
      </c>
      <c r="M21001" t="e">
        <v>#N/A</v>
      </c>
      <c r="N21001" s="1">
        <v>43647</v>
      </c>
    </row>
    <row r="21002" spans="11:14" x14ac:dyDescent="0.3">
      <c r="K21002" s="1">
        <v>44105</v>
      </c>
      <c r="M21002" t="e">
        <v>#N/A</v>
      </c>
      <c r="N21002" s="1">
        <v>43647</v>
      </c>
    </row>
    <row r="21003" spans="11:14" x14ac:dyDescent="0.3">
      <c r="K21003" s="1">
        <v>44105</v>
      </c>
      <c r="M21003" t="e">
        <v>#N/A</v>
      </c>
      <c r="N21003" s="1">
        <v>43647</v>
      </c>
    </row>
    <row r="21004" spans="11:14" x14ac:dyDescent="0.3">
      <c r="K21004" s="1">
        <v>44105</v>
      </c>
      <c r="M21004" t="e">
        <v>#N/A</v>
      </c>
      <c r="N21004" s="1">
        <v>43647</v>
      </c>
    </row>
    <row r="21005" spans="11:14" x14ac:dyDescent="0.3">
      <c r="K21005" s="1">
        <v>44105</v>
      </c>
      <c r="M21005" t="e">
        <v>#N/A</v>
      </c>
      <c r="N21005" s="1">
        <v>43647</v>
      </c>
    </row>
    <row r="21006" spans="11:14" x14ac:dyDescent="0.3">
      <c r="K21006" s="1">
        <v>44105</v>
      </c>
      <c r="M21006" t="e">
        <v>#N/A</v>
      </c>
      <c r="N21006" s="1">
        <v>43647</v>
      </c>
    </row>
    <row r="21007" spans="11:14" x14ac:dyDescent="0.3">
      <c r="K21007" s="1">
        <v>44105</v>
      </c>
      <c r="M21007" t="e">
        <v>#N/A</v>
      </c>
      <c r="N21007" s="1">
        <v>43647</v>
      </c>
    </row>
    <row r="21008" spans="11:14" x14ac:dyDescent="0.3">
      <c r="K21008" s="1">
        <v>44105</v>
      </c>
      <c r="M21008" t="e">
        <v>#N/A</v>
      </c>
      <c r="N21008" s="1">
        <v>43647</v>
      </c>
    </row>
    <row r="21009" spans="11:14" x14ac:dyDescent="0.3">
      <c r="K21009" s="1">
        <v>44105</v>
      </c>
      <c r="M21009" t="e">
        <v>#N/A</v>
      </c>
      <c r="N21009" s="1">
        <v>43647</v>
      </c>
    </row>
    <row r="21010" spans="11:14" x14ac:dyDescent="0.3">
      <c r="K21010" s="1">
        <v>44105</v>
      </c>
      <c r="M21010" t="e">
        <v>#N/A</v>
      </c>
      <c r="N21010" s="1">
        <v>43647</v>
      </c>
    </row>
    <row r="21011" spans="11:14" x14ac:dyDescent="0.3">
      <c r="K21011" s="1">
        <v>44105</v>
      </c>
      <c r="M21011" t="e">
        <v>#N/A</v>
      </c>
      <c r="N21011" s="1">
        <v>43647</v>
      </c>
    </row>
    <row r="21012" spans="11:14" x14ac:dyDescent="0.3">
      <c r="K21012" s="1">
        <v>44105</v>
      </c>
      <c r="M21012" t="e">
        <v>#N/A</v>
      </c>
      <c r="N21012" s="1">
        <v>43647</v>
      </c>
    </row>
    <row r="21013" spans="11:14" x14ac:dyDescent="0.3">
      <c r="K21013" s="1">
        <v>44105</v>
      </c>
      <c r="M21013" t="e">
        <v>#N/A</v>
      </c>
      <c r="N21013" s="1">
        <v>43647</v>
      </c>
    </row>
    <row r="21014" spans="11:14" x14ac:dyDescent="0.3">
      <c r="K21014" s="1">
        <v>44105</v>
      </c>
      <c r="M21014" t="e">
        <v>#N/A</v>
      </c>
      <c r="N21014" s="1">
        <v>43647</v>
      </c>
    </row>
    <row r="21015" spans="11:14" x14ac:dyDescent="0.3">
      <c r="K21015" s="1">
        <v>44105</v>
      </c>
      <c r="M21015" t="e">
        <v>#N/A</v>
      </c>
      <c r="N21015" s="1">
        <v>43647</v>
      </c>
    </row>
    <row r="21016" spans="11:14" x14ac:dyDescent="0.3">
      <c r="K21016" s="1">
        <v>44105</v>
      </c>
      <c r="M21016" t="e">
        <v>#N/A</v>
      </c>
      <c r="N21016" s="1">
        <v>43647</v>
      </c>
    </row>
    <row r="21017" spans="11:14" x14ac:dyDescent="0.3">
      <c r="K21017" s="1">
        <v>44105</v>
      </c>
      <c r="M21017" t="e">
        <v>#N/A</v>
      </c>
      <c r="N21017" s="1">
        <v>43647</v>
      </c>
    </row>
    <row r="21018" spans="11:14" x14ac:dyDescent="0.3">
      <c r="K21018" s="1">
        <v>44105</v>
      </c>
      <c r="M21018" t="e">
        <v>#N/A</v>
      </c>
      <c r="N21018" s="1">
        <v>43647</v>
      </c>
    </row>
    <row r="21019" spans="11:14" x14ac:dyDescent="0.3">
      <c r="K21019" s="1">
        <v>44105</v>
      </c>
      <c r="M21019" t="e">
        <v>#N/A</v>
      </c>
      <c r="N21019" s="1">
        <v>43647</v>
      </c>
    </row>
    <row r="21020" spans="11:14" x14ac:dyDescent="0.3">
      <c r="K21020" s="1">
        <v>44105</v>
      </c>
      <c r="M21020" t="e">
        <v>#N/A</v>
      </c>
      <c r="N21020" s="1">
        <v>43647</v>
      </c>
    </row>
    <row r="21021" spans="11:14" x14ac:dyDescent="0.3">
      <c r="K21021" s="1">
        <v>44105</v>
      </c>
      <c r="M21021" t="e">
        <v>#N/A</v>
      </c>
      <c r="N21021" s="1">
        <v>43739</v>
      </c>
    </row>
    <row r="21022" spans="11:14" x14ac:dyDescent="0.3">
      <c r="K21022" s="1">
        <v>44105</v>
      </c>
      <c r="M21022" t="e">
        <v>#N/A</v>
      </c>
      <c r="N21022" s="1">
        <v>43739</v>
      </c>
    </row>
    <row r="21023" spans="11:14" x14ac:dyDescent="0.3">
      <c r="K21023" s="1">
        <v>44105</v>
      </c>
      <c r="M21023" t="e">
        <v>#N/A</v>
      </c>
      <c r="N21023" s="1">
        <v>43739</v>
      </c>
    </row>
    <row r="21024" spans="11:14" x14ac:dyDescent="0.3">
      <c r="K21024" s="1">
        <v>44105</v>
      </c>
      <c r="M21024" t="e">
        <v>#N/A</v>
      </c>
      <c r="N21024" s="1">
        <v>43739</v>
      </c>
    </row>
    <row r="21025" spans="11:14" x14ac:dyDescent="0.3">
      <c r="K21025" s="1">
        <v>44105</v>
      </c>
      <c r="M21025" t="e">
        <v>#N/A</v>
      </c>
      <c r="N21025" s="1">
        <v>43739</v>
      </c>
    </row>
    <row r="21026" spans="11:14" x14ac:dyDescent="0.3">
      <c r="K21026" s="1">
        <v>44105</v>
      </c>
      <c r="M21026" t="e">
        <v>#N/A</v>
      </c>
      <c r="N21026" s="1">
        <v>43739</v>
      </c>
    </row>
    <row r="21027" spans="11:14" x14ac:dyDescent="0.3">
      <c r="K21027" s="1">
        <v>44105</v>
      </c>
      <c r="M21027" t="e">
        <v>#N/A</v>
      </c>
      <c r="N21027" s="1">
        <v>43739</v>
      </c>
    </row>
    <row r="21028" spans="11:14" x14ac:dyDescent="0.3">
      <c r="K21028" s="1">
        <v>44105</v>
      </c>
      <c r="M21028" t="e">
        <v>#N/A</v>
      </c>
      <c r="N21028" s="1">
        <v>43739</v>
      </c>
    </row>
    <row r="21029" spans="11:14" x14ac:dyDescent="0.3">
      <c r="K21029" s="1">
        <v>44105</v>
      </c>
      <c r="M21029" t="e">
        <v>#N/A</v>
      </c>
      <c r="N21029" s="1">
        <v>43739</v>
      </c>
    </row>
    <row r="21030" spans="11:14" x14ac:dyDescent="0.3">
      <c r="K21030" s="1">
        <v>44105</v>
      </c>
      <c r="M21030" t="e">
        <v>#N/A</v>
      </c>
      <c r="N21030" s="1">
        <v>43739</v>
      </c>
    </row>
    <row r="21031" spans="11:14" x14ac:dyDescent="0.3">
      <c r="K21031" s="1">
        <v>44105</v>
      </c>
      <c r="M21031" t="e">
        <v>#N/A</v>
      </c>
      <c r="N21031" s="1">
        <v>43739</v>
      </c>
    </row>
    <row r="21032" spans="11:14" x14ac:dyDescent="0.3">
      <c r="K21032" s="1">
        <v>44105</v>
      </c>
      <c r="M21032" t="e">
        <v>#N/A</v>
      </c>
      <c r="N21032" s="1">
        <v>43739</v>
      </c>
    </row>
    <row r="21033" spans="11:14" x14ac:dyDescent="0.3">
      <c r="K21033" s="1">
        <v>44105</v>
      </c>
      <c r="M21033" t="e">
        <v>#N/A</v>
      </c>
      <c r="N21033" s="1">
        <v>43739</v>
      </c>
    </row>
    <row r="21034" spans="11:14" x14ac:dyDescent="0.3">
      <c r="K21034" s="1">
        <v>44105</v>
      </c>
      <c r="M21034" t="e">
        <v>#N/A</v>
      </c>
      <c r="N21034" s="1">
        <v>43739</v>
      </c>
    </row>
    <row r="21035" spans="11:14" x14ac:dyDescent="0.3">
      <c r="K21035" s="1">
        <v>44105</v>
      </c>
      <c r="M21035" t="e">
        <v>#N/A</v>
      </c>
      <c r="N21035" s="1">
        <v>43739</v>
      </c>
    </row>
    <row r="21036" spans="11:14" x14ac:dyDescent="0.3">
      <c r="K21036" s="1">
        <v>44105</v>
      </c>
      <c r="M21036" t="e">
        <v>#N/A</v>
      </c>
      <c r="N21036" s="1">
        <v>43739</v>
      </c>
    </row>
    <row r="21037" spans="11:14" x14ac:dyDescent="0.3">
      <c r="K21037" s="1">
        <v>44105</v>
      </c>
      <c r="M21037" t="e">
        <v>#N/A</v>
      </c>
      <c r="N21037" s="1">
        <v>43739</v>
      </c>
    </row>
    <row r="21038" spans="11:14" x14ac:dyDescent="0.3">
      <c r="K21038" s="1">
        <v>44105</v>
      </c>
      <c r="M21038" t="e">
        <v>#N/A</v>
      </c>
      <c r="N21038" s="1">
        <v>43739</v>
      </c>
    </row>
    <row r="21039" spans="11:14" x14ac:dyDescent="0.3">
      <c r="K21039" s="1">
        <v>44105</v>
      </c>
      <c r="M21039" t="e">
        <v>#N/A</v>
      </c>
      <c r="N21039" s="1">
        <v>43739</v>
      </c>
    </row>
    <row r="21040" spans="11:14" x14ac:dyDescent="0.3">
      <c r="K21040" s="1">
        <v>44105</v>
      </c>
      <c r="M21040" t="e">
        <v>#N/A</v>
      </c>
      <c r="N21040" s="1">
        <v>43739</v>
      </c>
    </row>
    <row r="21041" spans="11:14" x14ac:dyDescent="0.3">
      <c r="K21041" s="1">
        <v>44105</v>
      </c>
      <c r="M21041" t="e">
        <v>#N/A</v>
      </c>
      <c r="N21041" s="1">
        <v>43739</v>
      </c>
    </row>
    <row r="21042" spans="11:14" x14ac:dyDescent="0.3">
      <c r="K21042" s="1">
        <v>44105</v>
      </c>
      <c r="M21042" t="e">
        <v>#N/A</v>
      </c>
      <c r="N21042" s="1">
        <v>43739</v>
      </c>
    </row>
    <row r="21043" spans="11:14" x14ac:dyDescent="0.3">
      <c r="K21043" s="1">
        <v>44105</v>
      </c>
      <c r="M21043" t="e">
        <v>#N/A</v>
      </c>
      <c r="N21043" s="1">
        <v>43739</v>
      </c>
    </row>
    <row r="21044" spans="11:14" x14ac:dyDescent="0.3">
      <c r="K21044" s="1">
        <v>44105</v>
      </c>
      <c r="M21044" t="e">
        <v>#N/A</v>
      </c>
      <c r="N21044" s="1">
        <v>43739</v>
      </c>
    </row>
    <row r="21045" spans="11:14" x14ac:dyDescent="0.3">
      <c r="K21045" s="1">
        <v>44105</v>
      </c>
      <c r="M21045" t="e">
        <v>#N/A</v>
      </c>
      <c r="N21045" s="1">
        <v>43739</v>
      </c>
    </row>
    <row r="21046" spans="11:14" x14ac:dyDescent="0.3">
      <c r="K21046" s="1">
        <v>44105</v>
      </c>
      <c r="M21046" t="e">
        <v>#N/A</v>
      </c>
      <c r="N21046" s="1">
        <v>43739</v>
      </c>
    </row>
    <row r="21047" spans="11:14" x14ac:dyDescent="0.3">
      <c r="K21047" s="1">
        <v>44105</v>
      </c>
      <c r="M21047" t="e">
        <v>#N/A</v>
      </c>
      <c r="N21047" s="1">
        <v>43739</v>
      </c>
    </row>
    <row r="21048" spans="11:14" x14ac:dyDescent="0.3">
      <c r="K21048" s="1">
        <v>44105</v>
      </c>
      <c r="M21048" t="e">
        <v>#N/A</v>
      </c>
      <c r="N21048" s="1">
        <v>43739</v>
      </c>
    </row>
    <row r="21049" spans="11:14" x14ac:dyDescent="0.3">
      <c r="K21049" s="1">
        <v>44105</v>
      </c>
      <c r="M21049" t="e">
        <v>#N/A</v>
      </c>
      <c r="N21049" s="1">
        <v>43739</v>
      </c>
    </row>
    <row r="21050" spans="11:14" x14ac:dyDescent="0.3">
      <c r="K21050" s="1">
        <v>44105</v>
      </c>
      <c r="M21050" t="e">
        <v>#N/A</v>
      </c>
      <c r="N21050" s="1">
        <v>43739</v>
      </c>
    </row>
    <row r="21051" spans="11:14" x14ac:dyDescent="0.3">
      <c r="K21051" s="1">
        <v>44105</v>
      </c>
      <c r="M21051" t="e">
        <v>#N/A</v>
      </c>
      <c r="N21051" s="1">
        <v>43739</v>
      </c>
    </row>
    <row r="21052" spans="11:14" x14ac:dyDescent="0.3">
      <c r="K21052" s="1">
        <v>44105</v>
      </c>
      <c r="M21052" t="e">
        <v>#N/A</v>
      </c>
      <c r="N21052" s="1">
        <v>43739</v>
      </c>
    </row>
    <row r="21053" spans="11:14" x14ac:dyDescent="0.3">
      <c r="K21053" s="1">
        <v>44105</v>
      </c>
      <c r="M21053" t="e">
        <v>#N/A</v>
      </c>
      <c r="N21053" s="1">
        <v>43739</v>
      </c>
    </row>
    <row r="21054" spans="11:14" x14ac:dyDescent="0.3">
      <c r="K21054" s="1">
        <v>44105</v>
      </c>
      <c r="M21054" t="e">
        <v>#N/A</v>
      </c>
      <c r="N21054" s="1">
        <v>43739</v>
      </c>
    </row>
    <row r="21055" spans="11:14" x14ac:dyDescent="0.3">
      <c r="K21055" s="1">
        <v>44105</v>
      </c>
      <c r="M21055" t="e">
        <v>#N/A</v>
      </c>
      <c r="N21055" s="1">
        <v>43739</v>
      </c>
    </row>
    <row r="21056" spans="11:14" x14ac:dyDescent="0.3">
      <c r="K21056" s="1">
        <v>44105</v>
      </c>
      <c r="M21056" t="e">
        <v>#N/A</v>
      </c>
      <c r="N21056" s="1">
        <v>43739</v>
      </c>
    </row>
    <row r="21057" spans="11:14" x14ac:dyDescent="0.3">
      <c r="K21057" s="1">
        <v>44105</v>
      </c>
      <c r="M21057" t="e">
        <v>#N/A</v>
      </c>
      <c r="N21057" s="1">
        <v>43739</v>
      </c>
    </row>
    <row r="21058" spans="11:14" x14ac:dyDescent="0.3">
      <c r="K21058" s="1">
        <v>44105</v>
      </c>
      <c r="M21058" t="e">
        <v>#N/A</v>
      </c>
      <c r="N21058" s="1">
        <v>43739</v>
      </c>
    </row>
    <row r="21059" spans="11:14" x14ac:dyDescent="0.3">
      <c r="K21059" s="1">
        <v>44105</v>
      </c>
      <c r="M21059" t="e">
        <v>#N/A</v>
      </c>
      <c r="N21059" s="1">
        <v>43739</v>
      </c>
    </row>
    <row r="21060" spans="11:14" x14ac:dyDescent="0.3">
      <c r="K21060" s="1">
        <v>44105</v>
      </c>
      <c r="M21060" t="e">
        <v>#N/A</v>
      </c>
      <c r="N21060" s="1">
        <v>43739</v>
      </c>
    </row>
    <row r="21061" spans="11:14" x14ac:dyDescent="0.3">
      <c r="K21061" s="1">
        <v>44105</v>
      </c>
      <c r="M21061" t="e">
        <v>#N/A</v>
      </c>
      <c r="N21061" s="1">
        <v>43739</v>
      </c>
    </row>
    <row r="21062" spans="11:14" x14ac:dyDescent="0.3">
      <c r="K21062" s="1">
        <v>44105</v>
      </c>
      <c r="M21062" t="e">
        <v>#N/A</v>
      </c>
      <c r="N21062" s="1">
        <v>43739</v>
      </c>
    </row>
    <row r="21063" spans="11:14" x14ac:dyDescent="0.3">
      <c r="K21063" s="1">
        <v>44105</v>
      </c>
      <c r="M21063" t="e">
        <v>#N/A</v>
      </c>
      <c r="N21063" s="1">
        <v>43739</v>
      </c>
    </row>
    <row r="21064" spans="11:14" x14ac:dyDescent="0.3">
      <c r="K21064" s="1">
        <v>44105</v>
      </c>
      <c r="M21064" t="e">
        <v>#N/A</v>
      </c>
      <c r="N21064" s="1">
        <v>43739</v>
      </c>
    </row>
    <row r="21065" spans="11:14" x14ac:dyDescent="0.3">
      <c r="K21065" s="1">
        <v>44105</v>
      </c>
      <c r="M21065" t="e">
        <v>#N/A</v>
      </c>
      <c r="N21065" s="1">
        <v>43739</v>
      </c>
    </row>
    <row r="21066" spans="11:14" x14ac:dyDescent="0.3">
      <c r="K21066" s="1">
        <v>44105</v>
      </c>
      <c r="M21066" t="e">
        <v>#N/A</v>
      </c>
      <c r="N21066" s="1">
        <v>43739</v>
      </c>
    </row>
    <row r="21067" spans="11:14" x14ac:dyDescent="0.3">
      <c r="K21067" s="1">
        <v>44105</v>
      </c>
      <c r="M21067" t="e">
        <v>#N/A</v>
      </c>
      <c r="N21067" s="1">
        <v>43739</v>
      </c>
    </row>
    <row r="21068" spans="11:14" x14ac:dyDescent="0.3">
      <c r="K21068" s="1">
        <v>44105</v>
      </c>
      <c r="M21068" t="e">
        <v>#N/A</v>
      </c>
      <c r="N21068" s="1">
        <v>43739</v>
      </c>
    </row>
    <row r="21069" spans="11:14" x14ac:dyDescent="0.3">
      <c r="K21069" s="1">
        <v>44105</v>
      </c>
      <c r="M21069" t="e">
        <v>#N/A</v>
      </c>
      <c r="N21069" s="1">
        <v>43739</v>
      </c>
    </row>
    <row r="21070" spans="11:14" x14ac:dyDescent="0.3">
      <c r="K21070" s="1">
        <v>44105</v>
      </c>
      <c r="M21070" t="e">
        <v>#N/A</v>
      </c>
      <c r="N21070" s="1">
        <v>43739</v>
      </c>
    </row>
    <row r="21071" spans="11:14" x14ac:dyDescent="0.3">
      <c r="K21071" s="1">
        <v>44105</v>
      </c>
      <c r="M21071" t="e">
        <v>#N/A</v>
      </c>
      <c r="N21071" s="1">
        <v>43739</v>
      </c>
    </row>
    <row r="21072" spans="11:14" x14ac:dyDescent="0.3">
      <c r="K21072" s="1">
        <v>44105</v>
      </c>
      <c r="M21072" t="e">
        <v>#N/A</v>
      </c>
      <c r="N21072" s="1">
        <v>43739</v>
      </c>
    </row>
    <row r="21073" spans="11:14" x14ac:dyDescent="0.3">
      <c r="K21073" s="1">
        <v>44105</v>
      </c>
      <c r="M21073" t="e">
        <v>#N/A</v>
      </c>
      <c r="N21073" s="1">
        <v>43739</v>
      </c>
    </row>
    <row r="21074" spans="11:14" x14ac:dyDescent="0.3">
      <c r="K21074" s="1">
        <v>44105</v>
      </c>
      <c r="M21074" t="e">
        <v>#N/A</v>
      </c>
      <c r="N21074" s="1">
        <v>43739</v>
      </c>
    </row>
    <row r="21075" spans="11:14" x14ac:dyDescent="0.3">
      <c r="K21075" s="1">
        <v>44105</v>
      </c>
      <c r="M21075" t="e">
        <v>#N/A</v>
      </c>
      <c r="N21075" s="1">
        <v>43739</v>
      </c>
    </row>
    <row r="21076" spans="11:14" x14ac:dyDescent="0.3">
      <c r="K21076" s="1">
        <v>44105</v>
      </c>
      <c r="M21076" t="e">
        <v>#N/A</v>
      </c>
      <c r="N21076" s="1">
        <v>43739</v>
      </c>
    </row>
    <row r="21077" spans="11:14" x14ac:dyDescent="0.3">
      <c r="K21077" s="1">
        <v>44105</v>
      </c>
      <c r="M21077" t="e">
        <v>#N/A</v>
      </c>
      <c r="N21077" s="1">
        <v>43739</v>
      </c>
    </row>
    <row r="21078" spans="11:14" x14ac:dyDescent="0.3">
      <c r="K21078" s="1">
        <v>44105</v>
      </c>
      <c r="M21078" t="e">
        <v>#N/A</v>
      </c>
      <c r="N21078" s="1">
        <v>43739</v>
      </c>
    </row>
    <row r="21079" spans="11:14" x14ac:dyDescent="0.3">
      <c r="K21079" s="1">
        <v>44105</v>
      </c>
      <c r="M21079" t="e">
        <v>#N/A</v>
      </c>
      <c r="N21079" s="1">
        <v>43739</v>
      </c>
    </row>
    <row r="21080" spans="11:14" x14ac:dyDescent="0.3">
      <c r="K21080" s="1">
        <v>44105</v>
      </c>
      <c r="M21080" t="e">
        <v>#N/A</v>
      </c>
      <c r="N21080" s="1">
        <v>43739</v>
      </c>
    </row>
    <row r="21081" spans="11:14" x14ac:dyDescent="0.3">
      <c r="K21081" s="1">
        <v>44105</v>
      </c>
      <c r="M21081" t="e">
        <v>#N/A</v>
      </c>
      <c r="N21081" s="1">
        <v>43739</v>
      </c>
    </row>
    <row r="21082" spans="11:14" x14ac:dyDescent="0.3">
      <c r="K21082" s="1">
        <v>44105</v>
      </c>
      <c r="M21082" t="e">
        <v>#N/A</v>
      </c>
      <c r="N21082" s="1">
        <v>43739</v>
      </c>
    </row>
    <row r="21083" spans="11:14" x14ac:dyDescent="0.3">
      <c r="K21083" s="1">
        <v>44105</v>
      </c>
      <c r="M21083" t="e">
        <v>#N/A</v>
      </c>
      <c r="N21083" s="1">
        <v>43739</v>
      </c>
    </row>
    <row r="21084" spans="11:14" x14ac:dyDescent="0.3">
      <c r="K21084" s="1">
        <v>44105</v>
      </c>
      <c r="M21084" t="e">
        <v>#N/A</v>
      </c>
      <c r="N21084" s="1">
        <v>43739</v>
      </c>
    </row>
    <row r="21085" spans="11:14" x14ac:dyDescent="0.3">
      <c r="K21085" s="1">
        <v>44105</v>
      </c>
      <c r="M21085" t="e">
        <v>#N/A</v>
      </c>
      <c r="N21085" s="1">
        <v>43739</v>
      </c>
    </row>
    <row r="21086" spans="11:14" x14ac:dyDescent="0.3">
      <c r="K21086" s="1">
        <v>44105</v>
      </c>
      <c r="M21086" t="e">
        <v>#N/A</v>
      </c>
      <c r="N21086" s="1">
        <v>43739</v>
      </c>
    </row>
    <row r="21087" spans="11:14" x14ac:dyDescent="0.3">
      <c r="K21087" s="1">
        <v>44105</v>
      </c>
      <c r="M21087" t="e">
        <v>#N/A</v>
      </c>
      <c r="N21087" s="1">
        <v>43739</v>
      </c>
    </row>
    <row r="21088" spans="11:14" x14ac:dyDescent="0.3">
      <c r="K21088" s="1">
        <v>44105</v>
      </c>
      <c r="M21088" t="e">
        <v>#N/A</v>
      </c>
      <c r="N21088" s="1">
        <v>43739</v>
      </c>
    </row>
    <row r="21089" spans="11:14" x14ac:dyDescent="0.3">
      <c r="K21089" s="1">
        <v>44105</v>
      </c>
      <c r="M21089" t="e">
        <v>#N/A</v>
      </c>
      <c r="N21089" s="1">
        <v>43739</v>
      </c>
    </row>
    <row r="21090" spans="11:14" x14ac:dyDescent="0.3">
      <c r="K21090" s="1">
        <v>44105</v>
      </c>
      <c r="M21090" t="e">
        <v>#N/A</v>
      </c>
      <c r="N21090" s="1">
        <v>43739</v>
      </c>
    </row>
    <row r="21091" spans="11:14" x14ac:dyDescent="0.3">
      <c r="K21091" s="1">
        <v>44105</v>
      </c>
      <c r="M21091" t="e">
        <v>#N/A</v>
      </c>
      <c r="N21091" s="1">
        <v>43739</v>
      </c>
    </row>
    <row r="21092" spans="11:14" x14ac:dyDescent="0.3">
      <c r="K21092" s="1">
        <v>44105</v>
      </c>
      <c r="M21092" t="e">
        <v>#N/A</v>
      </c>
      <c r="N21092" s="1">
        <v>43739</v>
      </c>
    </row>
    <row r="21093" spans="11:14" x14ac:dyDescent="0.3">
      <c r="K21093" s="1">
        <v>44105</v>
      </c>
      <c r="M21093" t="e">
        <v>#N/A</v>
      </c>
      <c r="N21093" s="1">
        <v>43739</v>
      </c>
    </row>
    <row r="21094" spans="11:14" x14ac:dyDescent="0.3">
      <c r="K21094" s="1">
        <v>44105</v>
      </c>
      <c r="M21094" t="e">
        <v>#N/A</v>
      </c>
      <c r="N21094" s="1">
        <v>43739</v>
      </c>
    </row>
    <row r="21095" spans="11:14" x14ac:dyDescent="0.3">
      <c r="K21095" s="1">
        <v>44105</v>
      </c>
      <c r="M21095" t="e">
        <v>#N/A</v>
      </c>
      <c r="N21095" s="1">
        <v>43739</v>
      </c>
    </row>
    <row r="21096" spans="11:14" x14ac:dyDescent="0.3">
      <c r="K21096" s="1">
        <v>44105</v>
      </c>
      <c r="M21096" t="e">
        <v>#N/A</v>
      </c>
      <c r="N21096" s="1">
        <v>43739</v>
      </c>
    </row>
    <row r="21097" spans="11:14" x14ac:dyDescent="0.3">
      <c r="K21097" s="1">
        <v>44105</v>
      </c>
      <c r="M21097" t="e">
        <v>#N/A</v>
      </c>
      <c r="N21097" s="1">
        <v>43739</v>
      </c>
    </row>
    <row r="21098" spans="11:14" x14ac:dyDescent="0.3">
      <c r="K21098" s="1">
        <v>44105</v>
      </c>
      <c r="M21098" t="e">
        <v>#N/A</v>
      </c>
      <c r="N21098" s="1">
        <v>43739</v>
      </c>
    </row>
    <row r="21099" spans="11:14" x14ac:dyDescent="0.3">
      <c r="K21099" s="1">
        <v>44105</v>
      </c>
      <c r="M21099" t="e">
        <v>#N/A</v>
      </c>
      <c r="N21099" s="1">
        <v>43739</v>
      </c>
    </row>
    <row r="21100" spans="11:14" x14ac:dyDescent="0.3">
      <c r="K21100" s="1">
        <v>44105</v>
      </c>
      <c r="M21100" t="e">
        <v>#N/A</v>
      </c>
      <c r="N21100" s="1">
        <v>43739</v>
      </c>
    </row>
    <row r="21101" spans="11:14" x14ac:dyDescent="0.3">
      <c r="K21101" s="1">
        <v>44105</v>
      </c>
      <c r="M21101" t="e">
        <v>#N/A</v>
      </c>
      <c r="N21101" s="1">
        <v>43739</v>
      </c>
    </row>
    <row r="21102" spans="11:14" x14ac:dyDescent="0.3">
      <c r="K21102" s="1">
        <v>44105</v>
      </c>
      <c r="M21102" t="e">
        <v>#N/A</v>
      </c>
      <c r="N21102" s="1">
        <v>43739</v>
      </c>
    </row>
    <row r="21103" spans="11:14" x14ac:dyDescent="0.3">
      <c r="K21103" s="1">
        <v>44105</v>
      </c>
      <c r="M21103" t="e">
        <v>#N/A</v>
      </c>
      <c r="N21103" s="1">
        <v>43739</v>
      </c>
    </row>
    <row r="21104" spans="11:14" x14ac:dyDescent="0.3">
      <c r="K21104" s="1">
        <v>44105</v>
      </c>
      <c r="M21104" t="e">
        <v>#N/A</v>
      </c>
      <c r="N21104" s="1">
        <v>43739</v>
      </c>
    </row>
    <row r="21105" spans="11:14" x14ac:dyDescent="0.3">
      <c r="K21105" s="1">
        <v>44105</v>
      </c>
      <c r="M21105" t="e">
        <v>#N/A</v>
      </c>
      <c r="N21105" s="1">
        <v>43739</v>
      </c>
    </row>
    <row r="21106" spans="11:14" x14ac:dyDescent="0.3">
      <c r="K21106" s="1">
        <v>44105</v>
      </c>
      <c r="M21106" t="e">
        <v>#N/A</v>
      </c>
      <c r="N21106" s="1">
        <v>43739</v>
      </c>
    </row>
    <row r="21107" spans="11:14" x14ac:dyDescent="0.3">
      <c r="K21107" s="1">
        <v>44105</v>
      </c>
      <c r="M21107" t="e">
        <v>#N/A</v>
      </c>
      <c r="N21107" s="1">
        <v>43739</v>
      </c>
    </row>
    <row r="21108" spans="11:14" x14ac:dyDescent="0.3">
      <c r="K21108" s="1">
        <v>44105</v>
      </c>
      <c r="M21108" t="e">
        <v>#N/A</v>
      </c>
      <c r="N21108" s="1">
        <v>43739</v>
      </c>
    </row>
    <row r="21109" spans="11:14" x14ac:dyDescent="0.3">
      <c r="K21109" s="1">
        <v>44105</v>
      </c>
      <c r="M21109" t="e">
        <v>#N/A</v>
      </c>
      <c r="N21109" s="1">
        <v>43739</v>
      </c>
    </row>
    <row r="21110" spans="11:14" x14ac:dyDescent="0.3">
      <c r="K21110" s="1">
        <v>44105</v>
      </c>
      <c r="M21110" t="e">
        <v>#N/A</v>
      </c>
      <c r="N21110" s="1">
        <v>43739</v>
      </c>
    </row>
    <row r="21111" spans="11:14" x14ac:dyDescent="0.3">
      <c r="K21111" s="1">
        <v>44105</v>
      </c>
      <c r="M21111" t="e">
        <v>#N/A</v>
      </c>
      <c r="N21111" s="1">
        <v>43739</v>
      </c>
    </row>
    <row r="21112" spans="11:14" x14ac:dyDescent="0.3">
      <c r="K21112" s="1">
        <v>44105</v>
      </c>
      <c r="M21112" t="e">
        <v>#N/A</v>
      </c>
      <c r="N21112" s="1">
        <v>43739</v>
      </c>
    </row>
    <row r="21113" spans="11:14" x14ac:dyDescent="0.3">
      <c r="K21113" s="1">
        <v>44105</v>
      </c>
      <c r="M21113" t="e">
        <v>#N/A</v>
      </c>
      <c r="N21113" s="1">
        <v>43739</v>
      </c>
    </row>
    <row r="21114" spans="11:14" x14ac:dyDescent="0.3">
      <c r="K21114" s="1">
        <v>44105</v>
      </c>
      <c r="M21114" t="e">
        <v>#N/A</v>
      </c>
      <c r="N21114" s="1">
        <v>43739</v>
      </c>
    </row>
    <row r="21115" spans="11:14" x14ac:dyDescent="0.3">
      <c r="K21115" s="1">
        <v>44105</v>
      </c>
      <c r="M21115" t="e">
        <v>#N/A</v>
      </c>
      <c r="N21115" s="1">
        <v>43739</v>
      </c>
    </row>
    <row r="21116" spans="11:14" x14ac:dyDescent="0.3">
      <c r="K21116" s="1">
        <v>44105</v>
      </c>
      <c r="M21116" t="e">
        <v>#N/A</v>
      </c>
      <c r="N21116" s="1">
        <v>43739</v>
      </c>
    </row>
    <row r="21117" spans="11:14" x14ac:dyDescent="0.3">
      <c r="K21117" s="1">
        <v>44105</v>
      </c>
      <c r="M21117" t="e">
        <v>#N/A</v>
      </c>
      <c r="N21117" s="1">
        <v>43739</v>
      </c>
    </row>
    <row r="21118" spans="11:14" x14ac:dyDescent="0.3">
      <c r="K21118" s="1">
        <v>44105</v>
      </c>
      <c r="M21118" t="e">
        <v>#N/A</v>
      </c>
      <c r="N21118" s="1">
        <v>43739</v>
      </c>
    </row>
    <row r="21119" spans="11:14" x14ac:dyDescent="0.3">
      <c r="K21119" s="1">
        <v>44105</v>
      </c>
      <c r="M21119" t="e">
        <v>#N/A</v>
      </c>
      <c r="N21119" s="1">
        <v>43739</v>
      </c>
    </row>
    <row r="21120" spans="11:14" x14ac:dyDescent="0.3">
      <c r="K21120" s="1">
        <v>44105</v>
      </c>
      <c r="M21120" t="e">
        <v>#N/A</v>
      </c>
      <c r="N21120" s="1">
        <v>43739</v>
      </c>
    </row>
    <row r="21121" spans="11:14" x14ac:dyDescent="0.3">
      <c r="K21121" s="1">
        <v>44105</v>
      </c>
      <c r="M21121" t="e">
        <v>#N/A</v>
      </c>
      <c r="N21121" s="1">
        <v>43739</v>
      </c>
    </row>
    <row r="21122" spans="11:14" x14ac:dyDescent="0.3">
      <c r="K21122" s="1">
        <v>44105</v>
      </c>
      <c r="M21122" t="e">
        <v>#N/A</v>
      </c>
      <c r="N21122" s="1">
        <v>43739</v>
      </c>
    </row>
    <row r="21123" spans="11:14" x14ac:dyDescent="0.3">
      <c r="K21123" s="1">
        <v>44105</v>
      </c>
      <c r="M21123" t="e">
        <v>#N/A</v>
      </c>
      <c r="N21123" s="1">
        <v>43739</v>
      </c>
    </row>
    <row r="21124" spans="11:14" x14ac:dyDescent="0.3">
      <c r="K21124" s="1">
        <v>44105</v>
      </c>
      <c r="M21124" t="e">
        <v>#N/A</v>
      </c>
      <c r="N21124" s="1">
        <v>43739</v>
      </c>
    </row>
    <row r="21125" spans="11:14" x14ac:dyDescent="0.3">
      <c r="K21125" s="1">
        <v>44105</v>
      </c>
      <c r="M21125" t="e">
        <v>#N/A</v>
      </c>
      <c r="N21125" s="1">
        <v>43739</v>
      </c>
    </row>
    <row r="21126" spans="11:14" x14ac:dyDescent="0.3">
      <c r="K21126" s="1">
        <v>44105</v>
      </c>
      <c r="M21126" t="e">
        <v>#N/A</v>
      </c>
      <c r="N21126" s="1">
        <v>43739</v>
      </c>
    </row>
    <row r="21127" spans="11:14" x14ac:dyDescent="0.3">
      <c r="K21127" s="1">
        <v>44105</v>
      </c>
      <c r="M21127" t="e">
        <v>#N/A</v>
      </c>
      <c r="N21127" s="1">
        <v>43739</v>
      </c>
    </row>
    <row r="21128" spans="11:14" x14ac:dyDescent="0.3">
      <c r="K21128" s="1">
        <v>44105</v>
      </c>
      <c r="M21128" t="e">
        <v>#N/A</v>
      </c>
      <c r="N21128" s="1">
        <v>43739</v>
      </c>
    </row>
    <row r="21129" spans="11:14" x14ac:dyDescent="0.3">
      <c r="K21129" s="1">
        <v>44105</v>
      </c>
      <c r="M21129" t="e">
        <v>#N/A</v>
      </c>
      <c r="N21129" s="1">
        <v>43739</v>
      </c>
    </row>
    <row r="21130" spans="11:14" x14ac:dyDescent="0.3">
      <c r="K21130" s="1">
        <v>44105</v>
      </c>
      <c r="M21130" t="e">
        <v>#N/A</v>
      </c>
      <c r="N21130" s="1">
        <v>43739</v>
      </c>
    </row>
    <row r="21131" spans="11:14" x14ac:dyDescent="0.3">
      <c r="K21131" s="1">
        <v>44105</v>
      </c>
      <c r="M21131" t="e">
        <v>#N/A</v>
      </c>
      <c r="N21131" s="1">
        <v>43739</v>
      </c>
    </row>
    <row r="21132" spans="11:14" x14ac:dyDescent="0.3">
      <c r="K21132" s="1">
        <v>44105</v>
      </c>
      <c r="M21132" t="e">
        <v>#N/A</v>
      </c>
      <c r="N21132" s="1">
        <v>43739</v>
      </c>
    </row>
    <row r="21133" spans="11:14" x14ac:dyDescent="0.3">
      <c r="K21133" s="1">
        <v>44105</v>
      </c>
      <c r="M21133" t="e">
        <v>#N/A</v>
      </c>
      <c r="N21133" s="1">
        <v>43739</v>
      </c>
    </row>
    <row r="21134" spans="11:14" x14ac:dyDescent="0.3">
      <c r="K21134" s="1">
        <v>44105</v>
      </c>
      <c r="M21134" t="e">
        <v>#N/A</v>
      </c>
      <c r="N21134" s="1">
        <v>43739</v>
      </c>
    </row>
    <row r="21135" spans="11:14" x14ac:dyDescent="0.3">
      <c r="K21135" s="1">
        <v>44105</v>
      </c>
      <c r="M21135" t="e">
        <v>#N/A</v>
      </c>
      <c r="N21135" s="1">
        <v>43739</v>
      </c>
    </row>
    <row r="21136" spans="11:14" x14ac:dyDescent="0.3">
      <c r="K21136" s="1">
        <v>44105</v>
      </c>
      <c r="M21136" t="e">
        <v>#N/A</v>
      </c>
      <c r="N21136" s="1">
        <v>43739</v>
      </c>
    </row>
    <row r="21137" spans="11:14" x14ac:dyDescent="0.3">
      <c r="K21137" s="1">
        <v>44105</v>
      </c>
      <c r="M21137" t="e">
        <v>#N/A</v>
      </c>
      <c r="N21137" s="1">
        <v>43739</v>
      </c>
    </row>
    <row r="21138" spans="11:14" x14ac:dyDescent="0.3">
      <c r="K21138" s="1">
        <v>44105</v>
      </c>
      <c r="M21138" t="e">
        <v>#N/A</v>
      </c>
      <c r="N21138" s="1">
        <v>43739</v>
      </c>
    </row>
    <row r="21139" spans="11:14" x14ac:dyDescent="0.3">
      <c r="K21139" s="1">
        <v>44105</v>
      </c>
      <c r="M21139" t="e">
        <v>#N/A</v>
      </c>
      <c r="N21139" s="1">
        <v>43739</v>
      </c>
    </row>
    <row r="21140" spans="11:14" x14ac:dyDescent="0.3">
      <c r="K21140" s="1">
        <v>44105</v>
      </c>
      <c r="M21140" t="e">
        <v>#N/A</v>
      </c>
      <c r="N21140" s="1">
        <v>43739</v>
      </c>
    </row>
    <row r="21141" spans="11:14" x14ac:dyDescent="0.3">
      <c r="K21141" s="1">
        <v>44105</v>
      </c>
      <c r="M21141" t="e">
        <v>#N/A</v>
      </c>
      <c r="N21141" s="1">
        <v>43739</v>
      </c>
    </row>
    <row r="21142" spans="11:14" x14ac:dyDescent="0.3">
      <c r="K21142" s="1">
        <v>44105</v>
      </c>
      <c r="M21142" t="e">
        <v>#N/A</v>
      </c>
      <c r="N21142" s="1">
        <v>43739</v>
      </c>
    </row>
    <row r="21143" spans="11:14" x14ac:dyDescent="0.3">
      <c r="K21143" s="1">
        <v>44105</v>
      </c>
      <c r="M21143" t="e">
        <v>#N/A</v>
      </c>
      <c r="N21143" s="1">
        <v>43739</v>
      </c>
    </row>
    <row r="21144" spans="11:14" x14ac:dyDescent="0.3">
      <c r="K21144" s="1">
        <v>44105</v>
      </c>
      <c r="M21144" t="e">
        <v>#N/A</v>
      </c>
      <c r="N21144" s="1">
        <v>43739</v>
      </c>
    </row>
    <row r="21145" spans="11:14" x14ac:dyDescent="0.3">
      <c r="K21145" s="1">
        <v>44105</v>
      </c>
      <c r="M21145" t="e">
        <v>#N/A</v>
      </c>
      <c r="N21145" s="1">
        <v>43739</v>
      </c>
    </row>
    <row r="21146" spans="11:14" x14ac:dyDescent="0.3">
      <c r="K21146" s="1">
        <v>44105</v>
      </c>
      <c r="M21146" t="e">
        <v>#N/A</v>
      </c>
      <c r="N21146" s="1">
        <v>43739</v>
      </c>
    </row>
    <row r="21147" spans="11:14" x14ac:dyDescent="0.3">
      <c r="K21147" s="1">
        <v>44105</v>
      </c>
      <c r="M21147" t="e">
        <v>#N/A</v>
      </c>
      <c r="N21147" s="1">
        <v>43739</v>
      </c>
    </row>
    <row r="21148" spans="11:14" x14ac:dyDescent="0.3">
      <c r="K21148" s="1">
        <v>44105</v>
      </c>
      <c r="M21148" t="e">
        <v>#N/A</v>
      </c>
      <c r="N21148" s="1">
        <v>43739</v>
      </c>
    </row>
    <row r="21149" spans="11:14" x14ac:dyDescent="0.3">
      <c r="K21149" s="1">
        <v>44105</v>
      </c>
      <c r="M21149" t="e">
        <v>#N/A</v>
      </c>
      <c r="N21149" s="1">
        <v>43739</v>
      </c>
    </row>
    <row r="21150" spans="11:14" x14ac:dyDescent="0.3">
      <c r="K21150" s="1">
        <v>44105</v>
      </c>
      <c r="M21150" t="e">
        <v>#N/A</v>
      </c>
      <c r="N21150" s="1">
        <v>43739</v>
      </c>
    </row>
    <row r="21151" spans="11:14" x14ac:dyDescent="0.3">
      <c r="K21151" s="1">
        <v>44105</v>
      </c>
      <c r="M21151" t="e">
        <v>#N/A</v>
      </c>
      <c r="N21151" s="1">
        <v>43739</v>
      </c>
    </row>
    <row r="21152" spans="11:14" x14ac:dyDescent="0.3">
      <c r="K21152" s="1">
        <v>44105</v>
      </c>
      <c r="M21152" t="e">
        <v>#N/A</v>
      </c>
      <c r="N21152" s="1">
        <v>43739</v>
      </c>
    </row>
    <row r="21153" spans="11:14" x14ac:dyDescent="0.3">
      <c r="K21153" s="1">
        <v>44105</v>
      </c>
      <c r="M21153" t="e">
        <v>#N/A</v>
      </c>
      <c r="N21153" s="1">
        <v>43739</v>
      </c>
    </row>
    <row r="21154" spans="11:14" x14ac:dyDescent="0.3">
      <c r="K21154" s="1">
        <v>44105</v>
      </c>
      <c r="M21154" t="e">
        <v>#N/A</v>
      </c>
      <c r="N21154" s="1">
        <v>43739</v>
      </c>
    </row>
    <row r="21155" spans="11:14" x14ac:dyDescent="0.3">
      <c r="K21155" s="1">
        <v>44105</v>
      </c>
      <c r="M21155" t="e">
        <v>#N/A</v>
      </c>
      <c r="N21155" s="1">
        <v>43739</v>
      </c>
    </row>
    <row r="21156" spans="11:14" x14ac:dyDescent="0.3">
      <c r="K21156" s="1">
        <v>44105</v>
      </c>
      <c r="M21156" t="e">
        <v>#N/A</v>
      </c>
      <c r="N21156" s="1">
        <v>43739</v>
      </c>
    </row>
    <row r="21157" spans="11:14" x14ac:dyDescent="0.3">
      <c r="K21157" s="1">
        <v>44105</v>
      </c>
      <c r="M21157" t="e">
        <v>#N/A</v>
      </c>
      <c r="N21157" s="1">
        <v>43739</v>
      </c>
    </row>
    <row r="21158" spans="11:14" x14ac:dyDescent="0.3">
      <c r="K21158" s="1">
        <v>44105</v>
      </c>
      <c r="M21158" t="e">
        <v>#N/A</v>
      </c>
      <c r="N21158" s="1">
        <v>43739</v>
      </c>
    </row>
    <row r="21159" spans="11:14" x14ac:dyDescent="0.3">
      <c r="K21159" s="1">
        <v>44105</v>
      </c>
      <c r="M21159" t="e">
        <v>#N/A</v>
      </c>
      <c r="N21159" s="1">
        <v>43739</v>
      </c>
    </row>
    <row r="21160" spans="11:14" x14ac:dyDescent="0.3">
      <c r="K21160" s="1">
        <v>44105</v>
      </c>
      <c r="M21160" t="e">
        <v>#N/A</v>
      </c>
      <c r="N21160" s="1">
        <v>43739</v>
      </c>
    </row>
    <row r="21161" spans="11:14" x14ac:dyDescent="0.3">
      <c r="K21161" s="1">
        <v>44105</v>
      </c>
      <c r="M21161" t="e">
        <v>#N/A</v>
      </c>
      <c r="N21161" s="1">
        <v>43739</v>
      </c>
    </row>
    <row r="21162" spans="11:14" x14ac:dyDescent="0.3">
      <c r="K21162" s="1">
        <v>44105</v>
      </c>
      <c r="M21162" t="e">
        <v>#N/A</v>
      </c>
      <c r="N21162" s="1">
        <v>43739</v>
      </c>
    </row>
    <row r="21163" spans="11:14" x14ac:dyDescent="0.3">
      <c r="K21163" s="1">
        <v>44105</v>
      </c>
      <c r="M21163" t="e">
        <v>#N/A</v>
      </c>
      <c r="N21163" s="1">
        <v>43739</v>
      </c>
    </row>
    <row r="21164" spans="11:14" x14ac:dyDescent="0.3">
      <c r="K21164" s="1">
        <v>44105</v>
      </c>
      <c r="M21164" t="e">
        <v>#N/A</v>
      </c>
      <c r="N21164" s="1">
        <v>43739</v>
      </c>
    </row>
    <row r="21165" spans="11:14" x14ac:dyDescent="0.3">
      <c r="K21165" s="1">
        <v>44105</v>
      </c>
      <c r="M21165" t="e">
        <v>#N/A</v>
      </c>
      <c r="N21165" s="1">
        <v>43739</v>
      </c>
    </row>
    <row r="21166" spans="11:14" x14ac:dyDescent="0.3">
      <c r="K21166" s="1">
        <v>44105</v>
      </c>
      <c r="M21166" t="e">
        <v>#N/A</v>
      </c>
      <c r="N21166" s="1">
        <v>43739</v>
      </c>
    </row>
    <row r="21167" spans="11:14" x14ac:dyDescent="0.3">
      <c r="K21167" s="1">
        <v>44105</v>
      </c>
      <c r="M21167" t="e">
        <v>#N/A</v>
      </c>
      <c r="N21167" s="1">
        <v>43739</v>
      </c>
    </row>
    <row r="21168" spans="11:14" x14ac:dyDescent="0.3">
      <c r="K21168" s="1">
        <v>44105</v>
      </c>
      <c r="M21168" t="e">
        <v>#N/A</v>
      </c>
      <c r="N21168" s="1">
        <v>43739</v>
      </c>
    </row>
    <row r="21169" spans="11:14" x14ac:dyDescent="0.3">
      <c r="K21169" s="1">
        <v>44105</v>
      </c>
      <c r="M21169" t="e">
        <v>#N/A</v>
      </c>
      <c r="N21169" s="1">
        <v>43739</v>
      </c>
    </row>
    <row r="21170" spans="11:14" x14ac:dyDescent="0.3">
      <c r="K21170" s="1">
        <v>44105</v>
      </c>
      <c r="M21170" t="e">
        <v>#N/A</v>
      </c>
      <c r="N21170" s="1">
        <v>43739</v>
      </c>
    </row>
    <row r="21171" spans="11:14" x14ac:dyDescent="0.3">
      <c r="K21171" s="1">
        <v>44105</v>
      </c>
      <c r="M21171" t="e">
        <v>#N/A</v>
      </c>
      <c r="N21171" s="1">
        <v>43739</v>
      </c>
    </row>
    <row r="21172" spans="11:14" x14ac:dyDescent="0.3">
      <c r="K21172" s="1">
        <v>44105</v>
      </c>
      <c r="M21172" t="e">
        <v>#N/A</v>
      </c>
      <c r="N21172" s="1">
        <v>43739</v>
      </c>
    </row>
    <row r="21173" spans="11:14" x14ac:dyDescent="0.3">
      <c r="K21173" s="1">
        <v>44105</v>
      </c>
      <c r="M21173" t="e">
        <v>#N/A</v>
      </c>
      <c r="N21173" s="1">
        <v>43739</v>
      </c>
    </row>
    <row r="21174" spans="11:14" x14ac:dyDescent="0.3">
      <c r="K21174" s="1">
        <v>44105</v>
      </c>
      <c r="M21174" t="e">
        <v>#N/A</v>
      </c>
      <c r="N21174" s="1">
        <v>43739</v>
      </c>
    </row>
    <row r="21175" spans="11:14" x14ac:dyDescent="0.3">
      <c r="K21175" s="1">
        <v>44105</v>
      </c>
      <c r="M21175" t="e">
        <v>#N/A</v>
      </c>
      <c r="N21175" s="1">
        <v>43739</v>
      </c>
    </row>
    <row r="21176" spans="11:14" x14ac:dyDescent="0.3">
      <c r="K21176" s="1">
        <v>44105</v>
      </c>
      <c r="M21176" t="e">
        <v>#N/A</v>
      </c>
      <c r="N21176" s="1">
        <v>43739</v>
      </c>
    </row>
    <row r="21177" spans="11:14" x14ac:dyDescent="0.3">
      <c r="K21177" s="1">
        <v>44105</v>
      </c>
      <c r="M21177" t="e">
        <v>#N/A</v>
      </c>
      <c r="N21177" s="1">
        <v>43739</v>
      </c>
    </row>
    <row r="21178" spans="11:14" x14ac:dyDescent="0.3">
      <c r="K21178" s="1">
        <v>44105</v>
      </c>
      <c r="M21178" t="e">
        <v>#N/A</v>
      </c>
      <c r="N21178" s="1">
        <v>43739</v>
      </c>
    </row>
    <row r="21179" spans="11:14" x14ac:dyDescent="0.3">
      <c r="K21179" s="1">
        <v>44105</v>
      </c>
      <c r="M21179" t="e">
        <v>#N/A</v>
      </c>
      <c r="N21179" s="1">
        <v>43739</v>
      </c>
    </row>
    <row r="21180" spans="11:14" x14ac:dyDescent="0.3">
      <c r="K21180" s="1">
        <v>44105</v>
      </c>
      <c r="M21180" t="e">
        <v>#N/A</v>
      </c>
      <c r="N21180" s="1">
        <v>43739</v>
      </c>
    </row>
    <row r="21181" spans="11:14" x14ac:dyDescent="0.3">
      <c r="K21181" s="1">
        <v>44105</v>
      </c>
      <c r="M21181" t="e">
        <v>#N/A</v>
      </c>
      <c r="N21181" s="1">
        <v>43739</v>
      </c>
    </row>
    <row r="21182" spans="11:14" x14ac:dyDescent="0.3">
      <c r="K21182" s="1">
        <v>44105</v>
      </c>
      <c r="M21182" t="e">
        <v>#N/A</v>
      </c>
      <c r="N21182" s="1">
        <v>43739</v>
      </c>
    </row>
    <row r="21183" spans="11:14" x14ac:dyDescent="0.3">
      <c r="K21183" s="1">
        <v>44105</v>
      </c>
      <c r="M21183" t="e">
        <v>#N/A</v>
      </c>
      <c r="N21183" s="1">
        <v>43739</v>
      </c>
    </row>
    <row r="21184" spans="11:14" x14ac:dyDescent="0.3">
      <c r="K21184" s="1">
        <v>44105</v>
      </c>
      <c r="M21184" t="e">
        <v>#N/A</v>
      </c>
      <c r="N21184" s="1">
        <v>43739</v>
      </c>
    </row>
    <row r="21185" spans="11:14" x14ac:dyDescent="0.3">
      <c r="K21185" s="1">
        <v>44105</v>
      </c>
      <c r="M21185" t="e">
        <v>#N/A</v>
      </c>
      <c r="N21185" s="1">
        <v>43739</v>
      </c>
    </row>
    <row r="21186" spans="11:14" x14ac:dyDescent="0.3">
      <c r="K21186" s="1">
        <v>44105</v>
      </c>
      <c r="M21186" t="e">
        <v>#N/A</v>
      </c>
      <c r="N21186" s="1">
        <v>43739</v>
      </c>
    </row>
    <row r="21187" spans="11:14" x14ac:dyDescent="0.3">
      <c r="K21187" s="1">
        <v>44105</v>
      </c>
      <c r="M21187" t="e">
        <v>#N/A</v>
      </c>
      <c r="N21187" s="1">
        <v>43739</v>
      </c>
    </row>
    <row r="21188" spans="11:14" x14ac:dyDescent="0.3">
      <c r="K21188" s="1">
        <v>44105</v>
      </c>
      <c r="M21188" t="e">
        <v>#N/A</v>
      </c>
      <c r="N21188" s="1">
        <v>43739</v>
      </c>
    </row>
    <row r="21189" spans="11:14" x14ac:dyDescent="0.3">
      <c r="K21189" s="1">
        <v>44105</v>
      </c>
      <c r="M21189" t="e">
        <v>#N/A</v>
      </c>
      <c r="N21189" s="1">
        <v>43739</v>
      </c>
    </row>
    <row r="21190" spans="11:14" x14ac:dyDescent="0.3">
      <c r="K21190" s="1">
        <v>44105</v>
      </c>
      <c r="M21190" t="e">
        <v>#N/A</v>
      </c>
      <c r="N21190" s="1">
        <v>43739</v>
      </c>
    </row>
    <row r="21191" spans="11:14" x14ac:dyDescent="0.3">
      <c r="K21191" s="1">
        <v>44105</v>
      </c>
      <c r="M21191" t="e">
        <v>#N/A</v>
      </c>
      <c r="N21191" s="1">
        <v>43739</v>
      </c>
    </row>
    <row r="21192" spans="11:14" x14ac:dyDescent="0.3">
      <c r="K21192" s="1">
        <v>44105</v>
      </c>
      <c r="M21192" t="e">
        <v>#N/A</v>
      </c>
      <c r="N21192" s="1">
        <v>43739</v>
      </c>
    </row>
    <row r="21193" spans="11:14" x14ac:dyDescent="0.3">
      <c r="K21193" s="1">
        <v>44105</v>
      </c>
      <c r="M21193" t="e">
        <v>#N/A</v>
      </c>
      <c r="N21193" s="1">
        <v>43739</v>
      </c>
    </row>
    <row r="21194" spans="11:14" x14ac:dyDescent="0.3">
      <c r="K21194" s="1">
        <v>44105</v>
      </c>
      <c r="M21194" t="e">
        <v>#N/A</v>
      </c>
      <c r="N21194" s="1">
        <v>43739</v>
      </c>
    </row>
    <row r="21195" spans="11:14" x14ac:dyDescent="0.3">
      <c r="K21195" s="1">
        <v>44105</v>
      </c>
      <c r="M21195" t="e">
        <v>#N/A</v>
      </c>
      <c r="N21195" s="1">
        <v>43739</v>
      </c>
    </row>
    <row r="21196" spans="11:14" x14ac:dyDescent="0.3">
      <c r="K21196" s="1">
        <v>44105</v>
      </c>
      <c r="M21196" t="e">
        <v>#N/A</v>
      </c>
      <c r="N21196" s="1">
        <v>43739</v>
      </c>
    </row>
    <row r="21197" spans="11:14" x14ac:dyDescent="0.3">
      <c r="K21197" s="1">
        <v>44105</v>
      </c>
      <c r="M21197" t="e">
        <v>#N/A</v>
      </c>
      <c r="N21197" s="1">
        <v>43739</v>
      </c>
    </row>
    <row r="21198" spans="11:14" x14ac:dyDescent="0.3">
      <c r="K21198" s="1">
        <v>44105</v>
      </c>
      <c r="M21198" t="e">
        <v>#N/A</v>
      </c>
      <c r="N21198" s="1">
        <v>43739</v>
      </c>
    </row>
    <row r="21199" spans="11:14" x14ac:dyDescent="0.3">
      <c r="K21199" s="1">
        <v>44105</v>
      </c>
      <c r="M21199" t="e">
        <v>#N/A</v>
      </c>
      <c r="N21199" s="1">
        <v>43739</v>
      </c>
    </row>
    <row r="21200" spans="11:14" x14ac:dyDescent="0.3">
      <c r="K21200" s="1">
        <v>44105</v>
      </c>
      <c r="M21200" t="e">
        <v>#N/A</v>
      </c>
      <c r="N21200" s="1">
        <v>43739</v>
      </c>
    </row>
    <row r="21201" spans="11:14" x14ac:dyDescent="0.3">
      <c r="K21201" s="1">
        <v>44105</v>
      </c>
      <c r="M21201" t="e">
        <v>#N/A</v>
      </c>
      <c r="N21201" s="1">
        <v>43739</v>
      </c>
    </row>
    <row r="21202" spans="11:14" x14ac:dyDescent="0.3">
      <c r="K21202" s="1">
        <v>44105</v>
      </c>
      <c r="M21202" t="e">
        <v>#N/A</v>
      </c>
      <c r="N21202" s="1">
        <v>43739</v>
      </c>
    </row>
    <row r="21203" spans="11:14" x14ac:dyDescent="0.3">
      <c r="K21203" s="1">
        <v>44105</v>
      </c>
      <c r="M21203" t="e">
        <v>#N/A</v>
      </c>
      <c r="N21203" s="1">
        <v>43739</v>
      </c>
    </row>
    <row r="21204" spans="11:14" x14ac:dyDescent="0.3">
      <c r="K21204" s="1">
        <v>44105</v>
      </c>
      <c r="M21204" t="e">
        <v>#N/A</v>
      </c>
      <c r="N21204" s="1">
        <v>43739</v>
      </c>
    </row>
    <row r="21205" spans="11:14" x14ac:dyDescent="0.3">
      <c r="K21205" s="1">
        <v>44105</v>
      </c>
      <c r="M21205" t="e">
        <v>#N/A</v>
      </c>
      <c r="N21205" s="1">
        <v>43739</v>
      </c>
    </row>
    <row r="21206" spans="11:14" x14ac:dyDescent="0.3">
      <c r="K21206" s="1">
        <v>44105</v>
      </c>
      <c r="M21206" t="e">
        <v>#N/A</v>
      </c>
      <c r="N21206" s="1">
        <v>43739</v>
      </c>
    </row>
    <row r="21207" spans="11:14" x14ac:dyDescent="0.3">
      <c r="K21207" s="1">
        <v>44105</v>
      </c>
      <c r="M21207" t="e">
        <v>#N/A</v>
      </c>
      <c r="N21207" s="1">
        <v>43739</v>
      </c>
    </row>
    <row r="21208" spans="11:14" x14ac:dyDescent="0.3">
      <c r="K21208" s="1">
        <v>44105</v>
      </c>
      <c r="M21208" t="e">
        <v>#N/A</v>
      </c>
      <c r="N21208" s="1">
        <v>43739</v>
      </c>
    </row>
    <row r="21209" spans="11:14" x14ac:dyDescent="0.3">
      <c r="K21209" s="1">
        <v>44105</v>
      </c>
      <c r="M21209" t="e">
        <v>#N/A</v>
      </c>
      <c r="N21209" s="1">
        <v>43739</v>
      </c>
    </row>
    <row r="21210" spans="11:14" x14ac:dyDescent="0.3">
      <c r="K21210" s="1">
        <v>44105</v>
      </c>
      <c r="M21210" t="e">
        <v>#N/A</v>
      </c>
      <c r="N21210" s="1">
        <v>43739</v>
      </c>
    </row>
    <row r="21211" spans="11:14" x14ac:dyDescent="0.3">
      <c r="K21211" s="1">
        <v>44105</v>
      </c>
      <c r="M21211" t="e">
        <v>#N/A</v>
      </c>
      <c r="N21211" s="1">
        <v>43739</v>
      </c>
    </row>
    <row r="21212" spans="11:14" x14ac:dyDescent="0.3">
      <c r="K21212" s="1">
        <v>44105</v>
      </c>
      <c r="M21212" t="e">
        <v>#N/A</v>
      </c>
      <c r="N21212" s="1">
        <v>43739</v>
      </c>
    </row>
    <row r="21213" spans="11:14" x14ac:dyDescent="0.3">
      <c r="K21213" s="1">
        <v>44105</v>
      </c>
      <c r="M21213" t="e">
        <v>#N/A</v>
      </c>
      <c r="N21213" s="1">
        <v>43739</v>
      </c>
    </row>
    <row r="21214" spans="11:14" x14ac:dyDescent="0.3">
      <c r="K21214" s="1">
        <v>44105</v>
      </c>
      <c r="M21214" t="e">
        <v>#N/A</v>
      </c>
      <c r="N21214" s="1">
        <v>43739</v>
      </c>
    </row>
    <row r="21215" spans="11:14" x14ac:dyDescent="0.3">
      <c r="K21215" s="1">
        <v>44105</v>
      </c>
      <c r="M21215" t="e">
        <v>#N/A</v>
      </c>
      <c r="N21215" s="1">
        <v>43739</v>
      </c>
    </row>
    <row r="21216" spans="11:14" x14ac:dyDescent="0.3">
      <c r="K21216" s="1">
        <v>44105</v>
      </c>
      <c r="M21216" t="e">
        <v>#N/A</v>
      </c>
      <c r="N21216" s="1">
        <v>43739</v>
      </c>
    </row>
    <row r="21217" spans="11:14" x14ac:dyDescent="0.3">
      <c r="K21217" s="1">
        <v>44105</v>
      </c>
      <c r="M21217" t="e">
        <v>#N/A</v>
      </c>
      <c r="N21217" s="1">
        <v>43739</v>
      </c>
    </row>
    <row r="21218" spans="11:14" x14ac:dyDescent="0.3">
      <c r="K21218" s="1">
        <v>44105</v>
      </c>
      <c r="M21218" t="e">
        <v>#N/A</v>
      </c>
      <c r="N21218" s="1">
        <v>43739</v>
      </c>
    </row>
    <row r="21219" spans="11:14" x14ac:dyDescent="0.3">
      <c r="K21219" s="1">
        <v>44105</v>
      </c>
      <c r="M21219" t="e">
        <v>#N/A</v>
      </c>
      <c r="N21219" s="1">
        <v>43739</v>
      </c>
    </row>
    <row r="21220" spans="11:14" x14ac:dyDescent="0.3">
      <c r="K21220" s="1">
        <v>44105</v>
      </c>
      <c r="M21220" t="e">
        <v>#N/A</v>
      </c>
      <c r="N21220" s="1">
        <v>43739</v>
      </c>
    </row>
    <row r="21221" spans="11:14" x14ac:dyDescent="0.3">
      <c r="K21221" s="1">
        <v>44105</v>
      </c>
      <c r="M21221" t="e">
        <v>#N/A</v>
      </c>
      <c r="N21221" s="1">
        <v>43739</v>
      </c>
    </row>
    <row r="21222" spans="11:14" x14ac:dyDescent="0.3">
      <c r="K21222" s="1">
        <v>44105</v>
      </c>
      <c r="M21222" t="e">
        <v>#N/A</v>
      </c>
      <c r="N21222" s="1">
        <v>43739</v>
      </c>
    </row>
    <row r="21223" spans="11:14" x14ac:dyDescent="0.3">
      <c r="K21223" s="1">
        <v>44105</v>
      </c>
      <c r="M21223" t="e">
        <v>#N/A</v>
      </c>
      <c r="N21223" s="1">
        <v>43739</v>
      </c>
    </row>
    <row r="21224" spans="11:14" x14ac:dyDescent="0.3">
      <c r="K21224" s="1">
        <v>44105</v>
      </c>
      <c r="M21224" t="e">
        <v>#N/A</v>
      </c>
      <c r="N21224" s="1">
        <v>43739</v>
      </c>
    </row>
    <row r="21225" spans="11:14" x14ac:dyDescent="0.3">
      <c r="K21225" s="1">
        <v>44105</v>
      </c>
      <c r="M21225" t="e">
        <v>#N/A</v>
      </c>
      <c r="N21225" s="1">
        <v>43739</v>
      </c>
    </row>
    <row r="21226" spans="11:14" x14ac:dyDescent="0.3">
      <c r="K21226" s="1">
        <v>44105</v>
      </c>
      <c r="M21226" t="e">
        <v>#N/A</v>
      </c>
      <c r="N21226" s="1">
        <v>43739</v>
      </c>
    </row>
    <row r="21227" spans="11:14" x14ac:dyDescent="0.3">
      <c r="K21227" s="1">
        <v>44105</v>
      </c>
      <c r="M21227" t="e">
        <v>#N/A</v>
      </c>
      <c r="N21227" s="1">
        <v>43739</v>
      </c>
    </row>
    <row r="21228" spans="11:14" x14ac:dyDescent="0.3">
      <c r="K21228" s="1">
        <v>44105</v>
      </c>
      <c r="M21228" t="e">
        <v>#N/A</v>
      </c>
      <c r="N21228" s="1">
        <v>43739</v>
      </c>
    </row>
    <row r="21229" spans="11:14" x14ac:dyDescent="0.3">
      <c r="K21229" s="1">
        <v>44105</v>
      </c>
      <c r="M21229" t="e">
        <v>#N/A</v>
      </c>
      <c r="N21229" s="1">
        <v>43739</v>
      </c>
    </row>
    <row r="21230" spans="11:14" x14ac:dyDescent="0.3">
      <c r="K21230" s="1">
        <v>44105</v>
      </c>
      <c r="M21230" t="e">
        <v>#N/A</v>
      </c>
      <c r="N21230" s="1">
        <v>43739</v>
      </c>
    </row>
    <row r="21231" spans="11:14" x14ac:dyDescent="0.3">
      <c r="K21231" s="1">
        <v>44105</v>
      </c>
      <c r="M21231" t="e">
        <v>#N/A</v>
      </c>
      <c r="N21231" s="1">
        <v>43739</v>
      </c>
    </row>
    <row r="21232" spans="11:14" x14ac:dyDescent="0.3">
      <c r="K21232" s="1">
        <v>44105</v>
      </c>
      <c r="M21232" t="e">
        <v>#N/A</v>
      </c>
      <c r="N21232" s="1">
        <v>43739</v>
      </c>
    </row>
    <row r="21233" spans="11:14" x14ac:dyDescent="0.3">
      <c r="K21233" s="1">
        <v>44105</v>
      </c>
      <c r="M21233" t="e">
        <v>#N/A</v>
      </c>
      <c r="N21233" s="1">
        <v>43739</v>
      </c>
    </row>
    <row r="21234" spans="11:14" x14ac:dyDescent="0.3">
      <c r="K21234" s="1">
        <v>44105</v>
      </c>
      <c r="M21234" t="e">
        <v>#N/A</v>
      </c>
      <c r="N21234" s="1">
        <v>43739</v>
      </c>
    </row>
    <row r="21235" spans="11:14" x14ac:dyDescent="0.3">
      <c r="K21235" s="1">
        <v>44105</v>
      </c>
      <c r="M21235" t="e">
        <v>#N/A</v>
      </c>
      <c r="N21235" s="1">
        <v>43739</v>
      </c>
    </row>
    <row r="21236" spans="11:14" x14ac:dyDescent="0.3">
      <c r="K21236" s="1">
        <v>44105</v>
      </c>
      <c r="M21236" t="e">
        <v>#N/A</v>
      </c>
      <c r="N21236" s="1">
        <v>43739</v>
      </c>
    </row>
    <row r="21237" spans="11:14" x14ac:dyDescent="0.3">
      <c r="K21237" s="1">
        <v>44105</v>
      </c>
      <c r="M21237" t="e">
        <v>#N/A</v>
      </c>
      <c r="N21237" s="1">
        <v>43739</v>
      </c>
    </row>
    <row r="21238" spans="11:14" x14ac:dyDescent="0.3">
      <c r="K21238" s="1">
        <v>44105</v>
      </c>
      <c r="M21238" t="e">
        <v>#N/A</v>
      </c>
      <c r="N21238" s="1">
        <v>43739</v>
      </c>
    </row>
    <row r="21239" spans="11:14" x14ac:dyDescent="0.3">
      <c r="K21239" s="1">
        <v>44105</v>
      </c>
      <c r="M21239" t="e">
        <v>#N/A</v>
      </c>
      <c r="N21239" s="1">
        <v>43739</v>
      </c>
    </row>
    <row r="21240" spans="11:14" x14ac:dyDescent="0.3">
      <c r="K21240" s="1">
        <v>44105</v>
      </c>
      <c r="M21240" t="e">
        <v>#N/A</v>
      </c>
      <c r="N21240" s="1">
        <v>43739</v>
      </c>
    </row>
    <row r="21241" spans="11:14" x14ac:dyDescent="0.3">
      <c r="K21241" s="1">
        <v>44105</v>
      </c>
      <c r="M21241" t="e">
        <v>#N/A</v>
      </c>
      <c r="N21241" s="1">
        <v>43739</v>
      </c>
    </row>
    <row r="21242" spans="11:14" x14ac:dyDescent="0.3">
      <c r="K21242" s="1">
        <v>44105</v>
      </c>
      <c r="M21242" t="e">
        <v>#N/A</v>
      </c>
      <c r="N21242" s="1">
        <v>43739</v>
      </c>
    </row>
    <row r="21243" spans="11:14" x14ac:dyDescent="0.3">
      <c r="K21243" s="1">
        <v>44105</v>
      </c>
      <c r="M21243" t="e">
        <v>#N/A</v>
      </c>
      <c r="N21243" s="1">
        <v>43739</v>
      </c>
    </row>
    <row r="21244" spans="11:14" x14ac:dyDescent="0.3">
      <c r="K21244" s="1">
        <v>44105</v>
      </c>
      <c r="M21244" t="e">
        <v>#N/A</v>
      </c>
      <c r="N21244" s="1">
        <v>43739</v>
      </c>
    </row>
    <row r="21245" spans="11:14" x14ac:dyDescent="0.3">
      <c r="K21245" s="1">
        <v>44105</v>
      </c>
      <c r="M21245" t="e">
        <v>#N/A</v>
      </c>
      <c r="N21245" s="1">
        <v>43739</v>
      </c>
    </row>
    <row r="21246" spans="11:14" x14ac:dyDescent="0.3">
      <c r="K21246" s="1">
        <v>44105</v>
      </c>
      <c r="M21246" t="e">
        <v>#N/A</v>
      </c>
      <c r="N21246" s="1">
        <v>43739</v>
      </c>
    </row>
    <row r="21247" spans="11:14" x14ac:dyDescent="0.3">
      <c r="K21247" s="1">
        <v>44105</v>
      </c>
      <c r="M21247" t="e">
        <v>#N/A</v>
      </c>
      <c r="N21247" s="1">
        <v>43739</v>
      </c>
    </row>
    <row r="21248" spans="11:14" x14ac:dyDescent="0.3">
      <c r="K21248" s="1">
        <v>44105</v>
      </c>
      <c r="M21248" t="e">
        <v>#N/A</v>
      </c>
      <c r="N21248" s="1">
        <v>43739</v>
      </c>
    </row>
    <row r="21249" spans="11:14" x14ac:dyDescent="0.3">
      <c r="K21249" s="1">
        <v>44105</v>
      </c>
      <c r="M21249" t="e">
        <v>#N/A</v>
      </c>
      <c r="N21249" s="1">
        <v>43739</v>
      </c>
    </row>
    <row r="21250" spans="11:14" x14ac:dyDescent="0.3">
      <c r="K21250" s="1">
        <v>44105</v>
      </c>
      <c r="M21250" t="e">
        <v>#N/A</v>
      </c>
      <c r="N21250" s="1">
        <v>43739</v>
      </c>
    </row>
    <row r="21251" spans="11:14" x14ac:dyDescent="0.3">
      <c r="K21251" s="1">
        <v>44105</v>
      </c>
      <c r="M21251" t="e">
        <v>#N/A</v>
      </c>
      <c r="N21251" s="1">
        <v>43739</v>
      </c>
    </row>
    <row r="21252" spans="11:14" x14ac:dyDescent="0.3">
      <c r="K21252" s="1">
        <v>44105</v>
      </c>
      <c r="M21252" t="e">
        <v>#N/A</v>
      </c>
      <c r="N21252" s="1">
        <v>43739</v>
      </c>
    </row>
    <row r="21253" spans="11:14" x14ac:dyDescent="0.3">
      <c r="K21253" s="1">
        <v>44105</v>
      </c>
      <c r="M21253" t="e">
        <v>#N/A</v>
      </c>
      <c r="N21253" s="1">
        <v>43739</v>
      </c>
    </row>
    <row r="21254" spans="11:14" x14ac:dyDescent="0.3">
      <c r="K21254" s="1">
        <v>44105</v>
      </c>
      <c r="M21254" t="e">
        <v>#N/A</v>
      </c>
      <c r="N21254" s="1">
        <v>43739</v>
      </c>
    </row>
    <row r="21255" spans="11:14" x14ac:dyDescent="0.3">
      <c r="K21255" s="1">
        <v>44105</v>
      </c>
      <c r="M21255" t="e">
        <v>#N/A</v>
      </c>
      <c r="N21255" s="1">
        <v>43739</v>
      </c>
    </row>
    <row r="21256" spans="11:14" x14ac:dyDescent="0.3">
      <c r="K21256" s="1">
        <v>44105</v>
      </c>
      <c r="M21256" t="e">
        <v>#N/A</v>
      </c>
      <c r="N21256" s="1">
        <v>43739</v>
      </c>
    </row>
    <row r="21257" spans="11:14" x14ac:dyDescent="0.3">
      <c r="K21257" s="1">
        <v>44105</v>
      </c>
      <c r="M21257" t="e">
        <v>#N/A</v>
      </c>
      <c r="N21257" s="1">
        <v>43739</v>
      </c>
    </row>
    <row r="21258" spans="11:14" x14ac:dyDescent="0.3">
      <c r="K21258" s="1">
        <v>44105</v>
      </c>
      <c r="M21258" t="e">
        <v>#N/A</v>
      </c>
      <c r="N21258" s="1">
        <v>43739</v>
      </c>
    </row>
    <row r="21259" spans="11:14" x14ac:dyDescent="0.3">
      <c r="K21259" s="1">
        <v>44105</v>
      </c>
      <c r="M21259" t="e">
        <v>#N/A</v>
      </c>
      <c r="N21259" s="1">
        <v>43739</v>
      </c>
    </row>
    <row r="21260" spans="11:14" x14ac:dyDescent="0.3">
      <c r="K21260" s="1">
        <v>44105</v>
      </c>
      <c r="M21260" t="e">
        <v>#N/A</v>
      </c>
      <c r="N21260" s="1">
        <v>43739</v>
      </c>
    </row>
    <row r="21261" spans="11:14" x14ac:dyDescent="0.3">
      <c r="K21261" s="1">
        <v>44105</v>
      </c>
      <c r="M21261" t="e">
        <v>#N/A</v>
      </c>
      <c r="N21261" s="1">
        <v>43739</v>
      </c>
    </row>
    <row r="21262" spans="11:14" x14ac:dyDescent="0.3">
      <c r="K21262" s="1">
        <v>44105</v>
      </c>
      <c r="M21262" t="e">
        <v>#N/A</v>
      </c>
      <c r="N21262" s="1">
        <v>43739</v>
      </c>
    </row>
    <row r="21263" spans="11:14" x14ac:dyDescent="0.3">
      <c r="K21263" s="1">
        <v>44105</v>
      </c>
      <c r="M21263" t="e">
        <v>#N/A</v>
      </c>
      <c r="N21263" s="1">
        <v>43739</v>
      </c>
    </row>
    <row r="21264" spans="11:14" x14ac:dyDescent="0.3">
      <c r="K21264" s="1">
        <v>44197</v>
      </c>
      <c r="M21264" t="e">
        <v>#N/A</v>
      </c>
      <c r="N21264" s="1">
        <v>43739</v>
      </c>
    </row>
    <row r="21265" spans="11:14" x14ac:dyDescent="0.3">
      <c r="K21265" s="1">
        <v>44197</v>
      </c>
      <c r="M21265" t="e">
        <v>#N/A</v>
      </c>
      <c r="N21265" s="1">
        <v>43739</v>
      </c>
    </row>
    <row r="21266" spans="11:14" x14ac:dyDescent="0.3">
      <c r="K21266" s="1">
        <v>44197</v>
      </c>
      <c r="M21266" t="e">
        <v>#N/A</v>
      </c>
      <c r="N21266" s="1">
        <v>43739</v>
      </c>
    </row>
    <row r="21267" spans="11:14" x14ac:dyDescent="0.3">
      <c r="K21267" s="1">
        <v>44197</v>
      </c>
      <c r="M21267" t="e">
        <v>#N/A</v>
      </c>
      <c r="N21267" s="1">
        <v>43739</v>
      </c>
    </row>
    <row r="21268" spans="11:14" x14ac:dyDescent="0.3">
      <c r="K21268" s="1">
        <v>44197</v>
      </c>
      <c r="M21268" t="e">
        <v>#N/A</v>
      </c>
      <c r="N21268" s="1">
        <v>43739</v>
      </c>
    </row>
    <row r="21269" spans="11:14" x14ac:dyDescent="0.3">
      <c r="K21269" s="1">
        <v>44197</v>
      </c>
      <c r="M21269" t="e">
        <v>#N/A</v>
      </c>
      <c r="N21269" s="1">
        <v>43739</v>
      </c>
    </row>
    <row r="21270" spans="11:14" x14ac:dyDescent="0.3">
      <c r="K21270" s="1">
        <v>44197</v>
      </c>
      <c r="M21270" t="e">
        <v>#N/A</v>
      </c>
      <c r="N21270" s="1">
        <v>43739</v>
      </c>
    </row>
    <row r="21271" spans="11:14" x14ac:dyDescent="0.3">
      <c r="K21271" s="1">
        <v>44197</v>
      </c>
      <c r="M21271" t="e">
        <v>#N/A</v>
      </c>
      <c r="N21271" s="1">
        <v>43739</v>
      </c>
    </row>
    <row r="21272" spans="11:14" x14ac:dyDescent="0.3">
      <c r="K21272" s="1">
        <v>44197</v>
      </c>
      <c r="M21272" t="e">
        <v>#N/A</v>
      </c>
      <c r="N21272" s="1">
        <v>43739</v>
      </c>
    </row>
    <row r="21273" spans="11:14" x14ac:dyDescent="0.3">
      <c r="K21273" s="1">
        <v>44197</v>
      </c>
      <c r="M21273" t="e">
        <v>#N/A</v>
      </c>
      <c r="N21273" s="1">
        <v>43739</v>
      </c>
    </row>
    <row r="21274" spans="11:14" x14ac:dyDescent="0.3">
      <c r="K21274" s="1">
        <v>44197</v>
      </c>
      <c r="M21274" t="e">
        <v>#N/A</v>
      </c>
      <c r="N21274" s="1">
        <v>43739</v>
      </c>
    </row>
    <row r="21275" spans="11:14" x14ac:dyDescent="0.3">
      <c r="K21275" s="1">
        <v>44197</v>
      </c>
      <c r="M21275" t="e">
        <v>#N/A</v>
      </c>
      <c r="N21275" s="1">
        <v>43739</v>
      </c>
    </row>
    <row r="21276" spans="11:14" x14ac:dyDescent="0.3">
      <c r="K21276" s="1">
        <v>44197</v>
      </c>
      <c r="M21276" t="e">
        <v>#N/A</v>
      </c>
      <c r="N21276" s="1">
        <v>43739</v>
      </c>
    </row>
    <row r="21277" spans="11:14" x14ac:dyDescent="0.3">
      <c r="K21277" s="1">
        <v>44197</v>
      </c>
      <c r="M21277" t="e">
        <v>#N/A</v>
      </c>
      <c r="N21277" s="1">
        <v>43739</v>
      </c>
    </row>
    <row r="21278" spans="11:14" x14ac:dyDescent="0.3">
      <c r="K21278" s="1">
        <v>44197</v>
      </c>
      <c r="M21278" t="e">
        <v>#N/A</v>
      </c>
      <c r="N21278" s="1">
        <v>43739</v>
      </c>
    </row>
    <row r="21279" spans="11:14" x14ac:dyDescent="0.3">
      <c r="K21279" s="1">
        <v>44197</v>
      </c>
      <c r="M21279" t="e">
        <v>#N/A</v>
      </c>
      <c r="N21279" s="1">
        <v>43739</v>
      </c>
    </row>
    <row r="21280" spans="11:14" x14ac:dyDescent="0.3">
      <c r="K21280" s="1">
        <v>44197</v>
      </c>
      <c r="M21280" t="e">
        <v>#N/A</v>
      </c>
      <c r="N21280" s="1">
        <v>43739</v>
      </c>
    </row>
    <row r="21281" spans="11:14" x14ac:dyDescent="0.3">
      <c r="K21281" s="1">
        <v>44197</v>
      </c>
      <c r="M21281" t="e">
        <v>#N/A</v>
      </c>
      <c r="N21281" s="1">
        <v>43739</v>
      </c>
    </row>
    <row r="21282" spans="11:14" x14ac:dyDescent="0.3">
      <c r="K21282" s="1">
        <v>44197</v>
      </c>
      <c r="M21282" t="e">
        <v>#N/A</v>
      </c>
      <c r="N21282" s="1">
        <v>43739</v>
      </c>
    </row>
    <row r="21283" spans="11:14" x14ac:dyDescent="0.3">
      <c r="K21283" s="1">
        <v>44197</v>
      </c>
      <c r="M21283" t="e">
        <v>#N/A</v>
      </c>
      <c r="N21283" s="1">
        <v>43739</v>
      </c>
    </row>
    <row r="21284" spans="11:14" x14ac:dyDescent="0.3">
      <c r="K21284" s="1">
        <v>44197</v>
      </c>
      <c r="M21284" t="e">
        <v>#N/A</v>
      </c>
      <c r="N21284" s="1">
        <v>43739</v>
      </c>
    </row>
    <row r="21285" spans="11:14" x14ac:dyDescent="0.3">
      <c r="K21285" s="1">
        <v>44197</v>
      </c>
      <c r="M21285" t="e">
        <v>#N/A</v>
      </c>
      <c r="N21285" s="1">
        <v>43739</v>
      </c>
    </row>
    <row r="21286" spans="11:14" x14ac:dyDescent="0.3">
      <c r="K21286" s="1">
        <v>44197</v>
      </c>
      <c r="M21286" t="e">
        <v>#N/A</v>
      </c>
      <c r="N21286" s="1">
        <v>43739</v>
      </c>
    </row>
    <row r="21287" spans="11:14" x14ac:dyDescent="0.3">
      <c r="K21287" s="1">
        <v>44197</v>
      </c>
      <c r="M21287" t="e">
        <v>#N/A</v>
      </c>
      <c r="N21287" s="1">
        <v>43739</v>
      </c>
    </row>
    <row r="21288" spans="11:14" x14ac:dyDescent="0.3">
      <c r="K21288" s="1">
        <v>44197</v>
      </c>
      <c r="M21288" t="e">
        <v>#N/A</v>
      </c>
      <c r="N21288" s="1">
        <v>43739</v>
      </c>
    </row>
    <row r="21289" spans="11:14" x14ac:dyDescent="0.3">
      <c r="K21289" s="1">
        <v>44197</v>
      </c>
      <c r="M21289" t="e">
        <v>#N/A</v>
      </c>
      <c r="N21289" s="1">
        <v>43739</v>
      </c>
    </row>
    <row r="21290" spans="11:14" x14ac:dyDescent="0.3">
      <c r="K21290" s="1">
        <v>44197</v>
      </c>
      <c r="M21290" t="e">
        <v>#N/A</v>
      </c>
      <c r="N21290" s="1">
        <v>43739</v>
      </c>
    </row>
    <row r="21291" spans="11:14" x14ac:dyDescent="0.3">
      <c r="K21291" s="1">
        <v>44197</v>
      </c>
      <c r="M21291" t="e">
        <v>#N/A</v>
      </c>
      <c r="N21291" s="1">
        <v>43739</v>
      </c>
    </row>
    <row r="21292" spans="11:14" x14ac:dyDescent="0.3">
      <c r="K21292" s="1">
        <v>44197</v>
      </c>
      <c r="M21292" t="e">
        <v>#N/A</v>
      </c>
      <c r="N21292" s="1">
        <v>43739</v>
      </c>
    </row>
    <row r="21293" spans="11:14" x14ac:dyDescent="0.3">
      <c r="K21293" s="1">
        <v>44197</v>
      </c>
      <c r="M21293" t="e">
        <v>#N/A</v>
      </c>
      <c r="N21293" s="1">
        <v>43739</v>
      </c>
    </row>
    <row r="21294" spans="11:14" x14ac:dyDescent="0.3">
      <c r="K21294" s="1">
        <v>44197</v>
      </c>
      <c r="M21294" t="e">
        <v>#N/A</v>
      </c>
      <c r="N21294" s="1">
        <v>43739</v>
      </c>
    </row>
    <row r="21295" spans="11:14" x14ac:dyDescent="0.3">
      <c r="K21295" s="1">
        <v>44197</v>
      </c>
      <c r="M21295" t="e">
        <v>#N/A</v>
      </c>
      <c r="N21295" s="1">
        <v>43739</v>
      </c>
    </row>
    <row r="21296" spans="11:14" x14ac:dyDescent="0.3">
      <c r="K21296" s="1">
        <v>44197</v>
      </c>
      <c r="M21296" t="e">
        <v>#N/A</v>
      </c>
      <c r="N21296" s="1">
        <v>43739</v>
      </c>
    </row>
    <row r="21297" spans="11:14" x14ac:dyDescent="0.3">
      <c r="K21297" s="1">
        <v>44197</v>
      </c>
      <c r="M21297" t="e">
        <v>#N/A</v>
      </c>
      <c r="N21297" s="1">
        <v>43739</v>
      </c>
    </row>
    <row r="21298" spans="11:14" x14ac:dyDescent="0.3">
      <c r="K21298" s="1">
        <v>44197</v>
      </c>
      <c r="M21298" t="e">
        <v>#N/A</v>
      </c>
      <c r="N21298" s="1">
        <v>43739</v>
      </c>
    </row>
    <row r="21299" spans="11:14" x14ac:dyDescent="0.3">
      <c r="K21299" s="1">
        <v>44197</v>
      </c>
      <c r="M21299" t="e">
        <v>#N/A</v>
      </c>
      <c r="N21299" s="1">
        <v>43739</v>
      </c>
    </row>
    <row r="21300" spans="11:14" x14ac:dyDescent="0.3">
      <c r="K21300" s="1">
        <v>44197</v>
      </c>
      <c r="M21300" t="e">
        <v>#N/A</v>
      </c>
      <c r="N21300" s="1">
        <v>43739</v>
      </c>
    </row>
    <row r="21301" spans="11:14" x14ac:dyDescent="0.3">
      <c r="K21301" s="1">
        <v>44197</v>
      </c>
      <c r="M21301" t="e">
        <v>#N/A</v>
      </c>
      <c r="N21301" s="1">
        <v>43739</v>
      </c>
    </row>
    <row r="21302" spans="11:14" x14ac:dyDescent="0.3">
      <c r="K21302" s="1">
        <v>44197</v>
      </c>
      <c r="M21302" t="e">
        <v>#N/A</v>
      </c>
      <c r="N21302" s="1">
        <v>43739</v>
      </c>
    </row>
    <row r="21303" spans="11:14" x14ac:dyDescent="0.3">
      <c r="K21303" s="1">
        <v>44197</v>
      </c>
      <c r="M21303" t="e">
        <v>#N/A</v>
      </c>
      <c r="N21303" s="1">
        <v>43739</v>
      </c>
    </row>
    <row r="21304" spans="11:14" x14ac:dyDescent="0.3">
      <c r="K21304" s="1">
        <v>44197</v>
      </c>
      <c r="M21304" t="e">
        <v>#N/A</v>
      </c>
      <c r="N21304" s="1">
        <v>43739</v>
      </c>
    </row>
    <row r="21305" spans="11:14" x14ac:dyDescent="0.3">
      <c r="K21305" s="1">
        <v>44197</v>
      </c>
      <c r="M21305" t="e">
        <v>#N/A</v>
      </c>
      <c r="N21305" s="1">
        <v>43739</v>
      </c>
    </row>
    <row r="21306" spans="11:14" x14ac:dyDescent="0.3">
      <c r="K21306" s="1">
        <v>44197</v>
      </c>
      <c r="M21306" t="e">
        <v>#N/A</v>
      </c>
      <c r="N21306" s="1">
        <v>43739</v>
      </c>
    </row>
    <row r="21307" spans="11:14" x14ac:dyDescent="0.3">
      <c r="K21307" s="1">
        <v>44197</v>
      </c>
      <c r="M21307" t="e">
        <v>#N/A</v>
      </c>
      <c r="N21307" s="1">
        <v>43739</v>
      </c>
    </row>
    <row r="21308" spans="11:14" x14ac:dyDescent="0.3">
      <c r="K21308" s="1">
        <v>44197</v>
      </c>
      <c r="M21308" t="e">
        <v>#N/A</v>
      </c>
      <c r="N21308" s="1">
        <v>43739</v>
      </c>
    </row>
    <row r="21309" spans="11:14" x14ac:dyDescent="0.3">
      <c r="K21309" s="1">
        <v>44197</v>
      </c>
      <c r="M21309" t="e">
        <v>#N/A</v>
      </c>
      <c r="N21309" s="1">
        <v>43739</v>
      </c>
    </row>
    <row r="21310" spans="11:14" x14ac:dyDescent="0.3">
      <c r="K21310" s="1">
        <v>44197</v>
      </c>
      <c r="M21310" t="e">
        <v>#N/A</v>
      </c>
      <c r="N21310" s="1">
        <v>43739</v>
      </c>
    </row>
    <row r="21311" spans="11:14" x14ac:dyDescent="0.3">
      <c r="K21311" s="1">
        <v>44197</v>
      </c>
      <c r="M21311" t="e">
        <v>#N/A</v>
      </c>
      <c r="N21311" s="1">
        <v>43739</v>
      </c>
    </row>
    <row r="21312" spans="11:14" x14ac:dyDescent="0.3">
      <c r="K21312" s="1">
        <v>44197</v>
      </c>
      <c r="M21312" t="e">
        <v>#N/A</v>
      </c>
      <c r="N21312" s="1">
        <v>43739</v>
      </c>
    </row>
    <row r="21313" spans="11:14" x14ac:dyDescent="0.3">
      <c r="K21313" s="1">
        <v>44197</v>
      </c>
      <c r="M21313" t="e">
        <v>#N/A</v>
      </c>
      <c r="N21313" s="1">
        <v>43739</v>
      </c>
    </row>
    <row r="21314" spans="11:14" x14ac:dyDescent="0.3">
      <c r="K21314" s="1">
        <v>44197</v>
      </c>
      <c r="M21314" t="e">
        <v>#N/A</v>
      </c>
      <c r="N21314" s="1">
        <v>43739</v>
      </c>
    </row>
    <row r="21315" spans="11:14" x14ac:dyDescent="0.3">
      <c r="K21315" s="1">
        <v>44197</v>
      </c>
      <c r="M21315" t="e">
        <v>#N/A</v>
      </c>
      <c r="N21315" s="1">
        <v>43739</v>
      </c>
    </row>
    <row r="21316" spans="11:14" x14ac:dyDescent="0.3">
      <c r="K21316" s="1">
        <v>44197</v>
      </c>
      <c r="M21316" t="e">
        <v>#N/A</v>
      </c>
      <c r="N21316" s="1">
        <v>43739</v>
      </c>
    </row>
    <row r="21317" spans="11:14" x14ac:dyDescent="0.3">
      <c r="K21317" s="1">
        <v>44197</v>
      </c>
      <c r="M21317" t="e">
        <v>#N/A</v>
      </c>
      <c r="N21317" s="1">
        <v>43739</v>
      </c>
    </row>
    <row r="21318" spans="11:14" x14ac:dyDescent="0.3">
      <c r="K21318" s="1">
        <v>44197</v>
      </c>
      <c r="M21318" t="e">
        <v>#N/A</v>
      </c>
      <c r="N21318" s="1">
        <v>43739</v>
      </c>
    </row>
    <row r="21319" spans="11:14" x14ac:dyDescent="0.3">
      <c r="K21319" s="1">
        <v>44197</v>
      </c>
      <c r="M21319" t="e">
        <v>#N/A</v>
      </c>
      <c r="N21319" s="1">
        <v>43739</v>
      </c>
    </row>
    <row r="21320" spans="11:14" x14ac:dyDescent="0.3">
      <c r="K21320" s="1">
        <v>44197</v>
      </c>
      <c r="M21320" t="e">
        <v>#N/A</v>
      </c>
      <c r="N21320" s="1">
        <v>43739</v>
      </c>
    </row>
    <row r="21321" spans="11:14" x14ac:dyDescent="0.3">
      <c r="K21321" s="1">
        <v>44197</v>
      </c>
      <c r="M21321" t="e">
        <v>#N/A</v>
      </c>
      <c r="N21321" s="1">
        <v>43739</v>
      </c>
    </row>
    <row r="21322" spans="11:14" x14ac:dyDescent="0.3">
      <c r="K21322" s="1">
        <v>44197</v>
      </c>
      <c r="M21322" t="e">
        <v>#N/A</v>
      </c>
      <c r="N21322" s="1">
        <v>43739</v>
      </c>
    </row>
    <row r="21323" spans="11:14" x14ac:dyDescent="0.3">
      <c r="K21323" s="1">
        <v>44197</v>
      </c>
      <c r="M21323" t="e">
        <v>#N/A</v>
      </c>
      <c r="N21323" s="1">
        <v>43739</v>
      </c>
    </row>
    <row r="21324" spans="11:14" x14ac:dyDescent="0.3">
      <c r="K21324" s="1">
        <v>44197</v>
      </c>
      <c r="M21324" t="e">
        <v>#N/A</v>
      </c>
      <c r="N21324" s="1">
        <v>43739</v>
      </c>
    </row>
    <row r="21325" spans="11:14" x14ac:dyDescent="0.3">
      <c r="K21325" s="1">
        <v>44197</v>
      </c>
      <c r="M21325" t="e">
        <v>#N/A</v>
      </c>
      <c r="N21325" s="1">
        <v>43739</v>
      </c>
    </row>
    <row r="21326" spans="11:14" x14ac:dyDescent="0.3">
      <c r="K21326" s="1">
        <v>44197</v>
      </c>
      <c r="M21326" t="e">
        <v>#N/A</v>
      </c>
      <c r="N21326" s="1">
        <v>43739</v>
      </c>
    </row>
    <row r="21327" spans="11:14" x14ac:dyDescent="0.3">
      <c r="K21327" s="1">
        <v>44197</v>
      </c>
      <c r="M21327" t="e">
        <v>#N/A</v>
      </c>
      <c r="N21327" s="1">
        <v>43739</v>
      </c>
    </row>
    <row r="21328" spans="11:14" x14ac:dyDescent="0.3">
      <c r="K21328" s="1">
        <v>44197</v>
      </c>
      <c r="M21328" t="e">
        <v>#N/A</v>
      </c>
      <c r="N21328" s="1">
        <v>43739</v>
      </c>
    </row>
    <row r="21329" spans="11:14" x14ac:dyDescent="0.3">
      <c r="K21329" s="1">
        <v>44197</v>
      </c>
      <c r="M21329" t="e">
        <v>#N/A</v>
      </c>
      <c r="N21329" s="1">
        <v>43739</v>
      </c>
    </row>
    <row r="21330" spans="11:14" x14ac:dyDescent="0.3">
      <c r="K21330" s="1">
        <v>44197</v>
      </c>
      <c r="M21330" t="e">
        <v>#N/A</v>
      </c>
      <c r="N21330" s="1">
        <v>43739</v>
      </c>
    </row>
    <row r="21331" spans="11:14" x14ac:dyDescent="0.3">
      <c r="K21331" s="1">
        <v>44197</v>
      </c>
      <c r="M21331" t="e">
        <v>#N/A</v>
      </c>
      <c r="N21331" s="1">
        <v>43739</v>
      </c>
    </row>
    <row r="21332" spans="11:14" x14ac:dyDescent="0.3">
      <c r="K21332" s="1">
        <v>44197</v>
      </c>
      <c r="M21332" t="e">
        <v>#N/A</v>
      </c>
      <c r="N21332" s="1">
        <v>43739</v>
      </c>
    </row>
    <row r="21333" spans="11:14" x14ac:dyDescent="0.3">
      <c r="K21333" s="1">
        <v>44197</v>
      </c>
      <c r="M21333" t="e">
        <v>#N/A</v>
      </c>
      <c r="N21333" s="1">
        <v>43739</v>
      </c>
    </row>
    <row r="21334" spans="11:14" x14ac:dyDescent="0.3">
      <c r="K21334" s="1">
        <v>44197</v>
      </c>
      <c r="M21334" t="e">
        <v>#N/A</v>
      </c>
      <c r="N21334" s="1">
        <v>43739</v>
      </c>
    </row>
    <row r="21335" spans="11:14" x14ac:dyDescent="0.3">
      <c r="K21335" s="1">
        <v>44197</v>
      </c>
      <c r="M21335" t="e">
        <v>#N/A</v>
      </c>
      <c r="N21335" s="1">
        <v>43739</v>
      </c>
    </row>
    <row r="21336" spans="11:14" x14ac:dyDescent="0.3">
      <c r="K21336" s="1">
        <v>44197</v>
      </c>
      <c r="M21336" t="e">
        <v>#N/A</v>
      </c>
      <c r="N21336" s="1">
        <v>43739</v>
      </c>
    </row>
    <row r="21337" spans="11:14" x14ac:dyDescent="0.3">
      <c r="K21337" s="1">
        <v>44197</v>
      </c>
      <c r="M21337" t="e">
        <v>#N/A</v>
      </c>
      <c r="N21337" s="1">
        <v>43739</v>
      </c>
    </row>
    <row r="21338" spans="11:14" x14ac:dyDescent="0.3">
      <c r="K21338" s="1">
        <v>44197</v>
      </c>
      <c r="M21338" t="e">
        <v>#N/A</v>
      </c>
      <c r="N21338" s="1">
        <v>43739</v>
      </c>
    </row>
    <row r="21339" spans="11:14" x14ac:dyDescent="0.3">
      <c r="K21339" s="1">
        <v>44197</v>
      </c>
      <c r="M21339" t="e">
        <v>#N/A</v>
      </c>
      <c r="N21339" s="1">
        <v>43739</v>
      </c>
    </row>
    <row r="21340" spans="11:14" x14ac:dyDescent="0.3">
      <c r="K21340" s="1">
        <v>44197</v>
      </c>
      <c r="M21340" t="e">
        <v>#N/A</v>
      </c>
      <c r="N21340" s="1">
        <v>43739</v>
      </c>
    </row>
    <row r="21341" spans="11:14" x14ac:dyDescent="0.3">
      <c r="K21341" s="1">
        <v>44197</v>
      </c>
      <c r="M21341" t="e">
        <v>#N/A</v>
      </c>
      <c r="N21341" s="1">
        <v>43739</v>
      </c>
    </row>
    <row r="21342" spans="11:14" x14ac:dyDescent="0.3">
      <c r="K21342" s="1">
        <v>44197</v>
      </c>
      <c r="M21342" t="e">
        <v>#N/A</v>
      </c>
      <c r="N21342" s="1">
        <v>43739</v>
      </c>
    </row>
    <row r="21343" spans="11:14" x14ac:dyDescent="0.3">
      <c r="K21343" s="1">
        <v>44197</v>
      </c>
      <c r="M21343" t="e">
        <v>#N/A</v>
      </c>
      <c r="N21343" s="1">
        <v>43739</v>
      </c>
    </row>
    <row r="21344" spans="11:14" x14ac:dyDescent="0.3">
      <c r="K21344" s="1">
        <v>44197</v>
      </c>
      <c r="M21344" t="e">
        <v>#N/A</v>
      </c>
      <c r="N21344" s="1">
        <v>43739</v>
      </c>
    </row>
    <row r="21345" spans="11:14" x14ac:dyDescent="0.3">
      <c r="K21345" s="1">
        <v>44197</v>
      </c>
      <c r="M21345" t="e">
        <v>#N/A</v>
      </c>
      <c r="N21345" s="1">
        <v>43739</v>
      </c>
    </row>
    <row r="21346" spans="11:14" x14ac:dyDescent="0.3">
      <c r="K21346" s="1">
        <v>44197</v>
      </c>
      <c r="M21346" t="e">
        <v>#N/A</v>
      </c>
      <c r="N21346" s="1">
        <v>43739</v>
      </c>
    </row>
    <row r="21347" spans="11:14" x14ac:dyDescent="0.3">
      <c r="K21347" s="1">
        <v>44197</v>
      </c>
      <c r="M21347" t="e">
        <v>#N/A</v>
      </c>
      <c r="N21347" s="1">
        <v>43739</v>
      </c>
    </row>
    <row r="21348" spans="11:14" x14ac:dyDescent="0.3">
      <c r="K21348" s="1">
        <v>44197</v>
      </c>
      <c r="M21348" t="e">
        <v>#N/A</v>
      </c>
      <c r="N21348" s="1">
        <v>43739</v>
      </c>
    </row>
    <row r="21349" spans="11:14" x14ac:dyDescent="0.3">
      <c r="K21349" s="1">
        <v>44197</v>
      </c>
      <c r="M21349" t="e">
        <v>#N/A</v>
      </c>
      <c r="N21349" s="1">
        <v>43739</v>
      </c>
    </row>
    <row r="21350" spans="11:14" x14ac:dyDescent="0.3">
      <c r="K21350" s="1">
        <v>44197</v>
      </c>
      <c r="M21350" t="e">
        <v>#N/A</v>
      </c>
      <c r="N21350" s="1">
        <v>43739</v>
      </c>
    </row>
    <row r="21351" spans="11:14" x14ac:dyDescent="0.3">
      <c r="K21351" s="1">
        <v>44197</v>
      </c>
      <c r="M21351" t="e">
        <v>#N/A</v>
      </c>
      <c r="N21351" s="1">
        <v>43739</v>
      </c>
    </row>
    <row r="21352" spans="11:14" x14ac:dyDescent="0.3">
      <c r="K21352" s="1">
        <v>44197</v>
      </c>
      <c r="M21352" t="e">
        <v>#N/A</v>
      </c>
      <c r="N21352" s="1">
        <v>43739</v>
      </c>
    </row>
    <row r="21353" spans="11:14" x14ac:dyDescent="0.3">
      <c r="K21353" s="1">
        <v>44197</v>
      </c>
      <c r="M21353" t="e">
        <v>#N/A</v>
      </c>
      <c r="N21353" s="1">
        <v>43739</v>
      </c>
    </row>
    <row r="21354" spans="11:14" x14ac:dyDescent="0.3">
      <c r="K21354" s="1">
        <v>44197</v>
      </c>
      <c r="M21354" t="e">
        <v>#N/A</v>
      </c>
      <c r="N21354" s="1">
        <v>43739</v>
      </c>
    </row>
    <row r="21355" spans="11:14" x14ac:dyDescent="0.3">
      <c r="K21355" s="1">
        <v>44197</v>
      </c>
      <c r="M21355" t="e">
        <v>#N/A</v>
      </c>
      <c r="N21355" s="1">
        <v>43831</v>
      </c>
    </row>
    <row r="21356" spans="11:14" x14ac:dyDescent="0.3">
      <c r="K21356" s="1">
        <v>44197</v>
      </c>
      <c r="M21356" t="e">
        <v>#N/A</v>
      </c>
      <c r="N21356" s="1">
        <v>43831</v>
      </c>
    </row>
    <row r="21357" spans="11:14" x14ac:dyDescent="0.3">
      <c r="K21357" s="1">
        <v>44197</v>
      </c>
      <c r="M21357" t="e">
        <v>#N/A</v>
      </c>
      <c r="N21357" s="1">
        <v>43831</v>
      </c>
    </row>
    <row r="21358" spans="11:14" x14ac:dyDescent="0.3">
      <c r="K21358" s="1">
        <v>44197</v>
      </c>
      <c r="M21358" t="e">
        <v>#N/A</v>
      </c>
      <c r="N21358" s="1">
        <v>43831</v>
      </c>
    </row>
    <row r="21359" spans="11:14" x14ac:dyDescent="0.3">
      <c r="K21359" s="1">
        <v>44197</v>
      </c>
      <c r="M21359" t="e">
        <v>#N/A</v>
      </c>
      <c r="N21359" s="1">
        <v>43831</v>
      </c>
    </row>
    <row r="21360" spans="11:14" x14ac:dyDescent="0.3">
      <c r="K21360" s="1">
        <v>44197</v>
      </c>
      <c r="M21360" t="e">
        <v>#N/A</v>
      </c>
      <c r="N21360" s="1">
        <v>43831</v>
      </c>
    </row>
    <row r="21361" spans="11:14" x14ac:dyDescent="0.3">
      <c r="K21361" s="1">
        <v>44197</v>
      </c>
      <c r="M21361" t="e">
        <v>#N/A</v>
      </c>
      <c r="N21361" s="1">
        <v>43831</v>
      </c>
    </row>
    <row r="21362" spans="11:14" x14ac:dyDescent="0.3">
      <c r="K21362" s="1">
        <v>44197</v>
      </c>
      <c r="M21362" t="e">
        <v>#N/A</v>
      </c>
      <c r="N21362" s="1">
        <v>43831</v>
      </c>
    </row>
    <row r="21363" spans="11:14" x14ac:dyDescent="0.3">
      <c r="K21363" s="1">
        <v>44197</v>
      </c>
      <c r="M21363" t="e">
        <v>#N/A</v>
      </c>
      <c r="N21363" s="1">
        <v>43831</v>
      </c>
    </row>
    <row r="21364" spans="11:14" x14ac:dyDescent="0.3">
      <c r="K21364" s="1">
        <v>44197</v>
      </c>
      <c r="M21364" t="e">
        <v>#N/A</v>
      </c>
      <c r="N21364" s="1">
        <v>43831</v>
      </c>
    </row>
    <row r="21365" spans="11:14" x14ac:dyDescent="0.3">
      <c r="K21365" s="1">
        <v>44197</v>
      </c>
      <c r="M21365" t="e">
        <v>#N/A</v>
      </c>
      <c r="N21365" s="1">
        <v>43831</v>
      </c>
    </row>
    <row r="21366" spans="11:14" x14ac:dyDescent="0.3">
      <c r="K21366" s="1">
        <v>44197</v>
      </c>
      <c r="M21366" t="e">
        <v>#N/A</v>
      </c>
      <c r="N21366" s="1">
        <v>43831</v>
      </c>
    </row>
    <row r="21367" spans="11:14" x14ac:dyDescent="0.3">
      <c r="K21367" s="1">
        <v>44197</v>
      </c>
      <c r="M21367" t="e">
        <v>#N/A</v>
      </c>
      <c r="N21367" s="1">
        <v>43831</v>
      </c>
    </row>
    <row r="21368" spans="11:14" x14ac:dyDescent="0.3">
      <c r="K21368" s="1">
        <v>44197</v>
      </c>
      <c r="M21368" t="e">
        <v>#N/A</v>
      </c>
      <c r="N21368" s="1">
        <v>43831</v>
      </c>
    </row>
    <row r="21369" spans="11:14" x14ac:dyDescent="0.3">
      <c r="K21369" s="1">
        <v>44197</v>
      </c>
      <c r="M21369" t="e">
        <v>#N/A</v>
      </c>
      <c r="N21369" s="1">
        <v>43831</v>
      </c>
    </row>
    <row r="21370" spans="11:14" x14ac:dyDescent="0.3">
      <c r="K21370" s="1">
        <v>44197</v>
      </c>
      <c r="M21370" t="e">
        <v>#N/A</v>
      </c>
      <c r="N21370" s="1">
        <v>43831</v>
      </c>
    </row>
    <row r="21371" spans="11:14" x14ac:dyDescent="0.3">
      <c r="K21371" s="1">
        <v>44197</v>
      </c>
      <c r="M21371" t="e">
        <v>#N/A</v>
      </c>
      <c r="N21371" s="1">
        <v>43831</v>
      </c>
    </row>
    <row r="21372" spans="11:14" x14ac:dyDescent="0.3">
      <c r="K21372" s="1">
        <v>44197</v>
      </c>
      <c r="M21372" t="e">
        <v>#N/A</v>
      </c>
      <c r="N21372" s="1">
        <v>43831</v>
      </c>
    </row>
    <row r="21373" spans="11:14" x14ac:dyDescent="0.3">
      <c r="K21373" s="1">
        <v>44197</v>
      </c>
      <c r="M21373" t="e">
        <v>#N/A</v>
      </c>
      <c r="N21373" s="1">
        <v>43831</v>
      </c>
    </row>
    <row r="21374" spans="11:14" x14ac:dyDescent="0.3">
      <c r="K21374" s="1">
        <v>44197</v>
      </c>
      <c r="M21374" t="e">
        <v>#N/A</v>
      </c>
      <c r="N21374" s="1">
        <v>43831</v>
      </c>
    </row>
    <row r="21375" spans="11:14" x14ac:dyDescent="0.3">
      <c r="K21375" s="1">
        <v>44197</v>
      </c>
      <c r="M21375" t="e">
        <v>#N/A</v>
      </c>
      <c r="N21375" s="1">
        <v>43831</v>
      </c>
    </row>
    <row r="21376" spans="11:14" x14ac:dyDescent="0.3">
      <c r="K21376" s="1">
        <v>44197</v>
      </c>
      <c r="M21376" t="e">
        <v>#N/A</v>
      </c>
      <c r="N21376" s="1">
        <v>43831</v>
      </c>
    </row>
    <row r="21377" spans="11:14" x14ac:dyDescent="0.3">
      <c r="K21377" s="1">
        <v>44197</v>
      </c>
      <c r="M21377" t="e">
        <v>#N/A</v>
      </c>
      <c r="N21377" s="1">
        <v>43831</v>
      </c>
    </row>
    <row r="21378" spans="11:14" x14ac:dyDescent="0.3">
      <c r="K21378" s="1">
        <v>44197</v>
      </c>
      <c r="M21378" t="e">
        <v>#N/A</v>
      </c>
      <c r="N21378" s="1">
        <v>43831</v>
      </c>
    </row>
    <row r="21379" spans="11:14" x14ac:dyDescent="0.3">
      <c r="K21379" s="1">
        <v>44197</v>
      </c>
      <c r="M21379" t="e">
        <v>#N/A</v>
      </c>
      <c r="N21379" s="1">
        <v>43831</v>
      </c>
    </row>
    <row r="21380" spans="11:14" x14ac:dyDescent="0.3">
      <c r="K21380" s="1">
        <v>44197</v>
      </c>
      <c r="M21380" t="e">
        <v>#N/A</v>
      </c>
      <c r="N21380" s="1">
        <v>43831</v>
      </c>
    </row>
    <row r="21381" spans="11:14" x14ac:dyDescent="0.3">
      <c r="K21381" s="1">
        <v>44197</v>
      </c>
      <c r="M21381" t="e">
        <v>#N/A</v>
      </c>
      <c r="N21381" s="1">
        <v>43831</v>
      </c>
    </row>
    <row r="21382" spans="11:14" x14ac:dyDescent="0.3">
      <c r="K21382" s="1">
        <v>44197</v>
      </c>
      <c r="M21382" t="e">
        <v>#N/A</v>
      </c>
      <c r="N21382" s="1">
        <v>43831</v>
      </c>
    </row>
    <row r="21383" spans="11:14" x14ac:dyDescent="0.3">
      <c r="K21383" s="1">
        <v>44197</v>
      </c>
      <c r="M21383" t="e">
        <v>#N/A</v>
      </c>
      <c r="N21383" s="1">
        <v>43831</v>
      </c>
    </row>
    <row r="21384" spans="11:14" x14ac:dyDescent="0.3">
      <c r="K21384" s="1">
        <v>44197</v>
      </c>
      <c r="M21384" t="e">
        <v>#N/A</v>
      </c>
      <c r="N21384" s="1">
        <v>43831</v>
      </c>
    </row>
    <row r="21385" spans="11:14" x14ac:dyDescent="0.3">
      <c r="K21385" s="1">
        <v>44197</v>
      </c>
      <c r="M21385" t="e">
        <v>#N/A</v>
      </c>
      <c r="N21385" s="1">
        <v>43831</v>
      </c>
    </row>
    <row r="21386" spans="11:14" x14ac:dyDescent="0.3">
      <c r="K21386" s="1">
        <v>44197</v>
      </c>
      <c r="M21386" t="e">
        <v>#N/A</v>
      </c>
      <c r="N21386" s="1">
        <v>43831</v>
      </c>
    </row>
    <row r="21387" spans="11:14" x14ac:dyDescent="0.3">
      <c r="K21387" s="1">
        <v>44197</v>
      </c>
      <c r="M21387" t="e">
        <v>#N/A</v>
      </c>
      <c r="N21387" s="1">
        <v>43831</v>
      </c>
    </row>
    <row r="21388" spans="11:14" x14ac:dyDescent="0.3">
      <c r="K21388" s="1">
        <v>44197</v>
      </c>
      <c r="M21388" t="e">
        <v>#N/A</v>
      </c>
      <c r="N21388" s="1">
        <v>43831</v>
      </c>
    </row>
    <row r="21389" spans="11:14" x14ac:dyDescent="0.3">
      <c r="K21389" s="1">
        <v>44197</v>
      </c>
      <c r="M21389" t="e">
        <v>#N/A</v>
      </c>
      <c r="N21389" s="1">
        <v>43831</v>
      </c>
    </row>
    <row r="21390" spans="11:14" x14ac:dyDescent="0.3">
      <c r="K21390" s="1">
        <v>44197</v>
      </c>
      <c r="M21390" t="e">
        <v>#N/A</v>
      </c>
      <c r="N21390" s="1">
        <v>43831</v>
      </c>
    </row>
    <row r="21391" spans="11:14" x14ac:dyDescent="0.3">
      <c r="K21391" s="1">
        <v>44197</v>
      </c>
      <c r="M21391" t="e">
        <v>#N/A</v>
      </c>
      <c r="N21391" s="1">
        <v>43831</v>
      </c>
    </row>
    <row r="21392" spans="11:14" x14ac:dyDescent="0.3">
      <c r="K21392" s="1">
        <v>44197</v>
      </c>
      <c r="M21392" t="e">
        <v>#N/A</v>
      </c>
      <c r="N21392" s="1">
        <v>43831</v>
      </c>
    </row>
    <row r="21393" spans="11:14" x14ac:dyDescent="0.3">
      <c r="K21393" s="1">
        <v>44197</v>
      </c>
      <c r="M21393" t="e">
        <v>#N/A</v>
      </c>
      <c r="N21393" s="1">
        <v>43831</v>
      </c>
    </row>
    <row r="21394" spans="11:14" x14ac:dyDescent="0.3">
      <c r="K21394" s="1">
        <v>44197</v>
      </c>
      <c r="M21394" t="e">
        <v>#N/A</v>
      </c>
      <c r="N21394" s="1">
        <v>43831</v>
      </c>
    </row>
    <row r="21395" spans="11:14" x14ac:dyDescent="0.3">
      <c r="K21395" s="1">
        <v>44197</v>
      </c>
      <c r="M21395" t="e">
        <v>#N/A</v>
      </c>
      <c r="N21395" s="1">
        <v>43831</v>
      </c>
    </row>
    <row r="21396" spans="11:14" x14ac:dyDescent="0.3">
      <c r="K21396" s="1">
        <v>44197</v>
      </c>
      <c r="M21396" t="e">
        <v>#N/A</v>
      </c>
      <c r="N21396" s="1">
        <v>43831</v>
      </c>
    </row>
    <row r="21397" spans="11:14" x14ac:dyDescent="0.3">
      <c r="K21397" s="1">
        <v>44197</v>
      </c>
      <c r="M21397" t="e">
        <v>#N/A</v>
      </c>
      <c r="N21397" s="1">
        <v>43831</v>
      </c>
    </row>
    <row r="21398" spans="11:14" x14ac:dyDescent="0.3">
      <c r="K21398" s="1">
        <v>44197</v>
      </c>
      <c r="M21398" t="e">
        <v>#N/A</v>
      </c>
      <c r="N21398" s="1">
        <v>43831</v>
      </c>
    </row>
    <row r="21399" spans="11:14" x14ac:dyDescent="0.3">
      <c r="K21399" s="1">
        <v>44197</v>
      </c>
      <c r="M21399" t="e">
        <v>#N/A</v>
      </c>
      <c r="N21399" s="1">
        <v>43831</v>
      </c>
    </row>
    <row r="21400" spans="11:14" x14ac:dyDescent="0.3">
      <c r="K21400" s="1">
        <v>44197</v>
      </c>
      <c r="M21400" t="e">
        <v>#N/A</v>
      </c>
      <c r="N21400" s="1">
        <v>43831</v>
      </c>
    </row>
    <row r="21401" spans="11:14" x14ac:dyDescent="0.3">
      <c r="K21401" s="1">
        <v>44197</v>
      </c>
      <c r="M21401" t="e">
        <v>#N/A</v>
      </c>
      <c r="N21401" s="1">
        <v>43831</v>
      </c>
    </row>
    <row r="21402" spans="11:14" x14ac:dyDescent="0.3">
      <c r="K21402" s="1">
        <v>44197</v>
      </c>
      <c r="M21402" t="e">
        <v>#N/A</v>
      </c>
      <c r="N21402" s="1">
        <v>43831</v>
      </c>
    </row>
    <row r="21403" spans="11:14" x14ac:dyDescent="0.3">
      <c r="K21403" s="1">
        <v>44197</v>
      </c>
      <c r="M21403" t="e">
        <v>#N/A</v>
      </c>
      <c r="N21403" s="1">
        <v>43831</v>
      </c>
    </row>
    <row r="21404" spans="11:14" x14ac:dyDescent="0.3">
      <c r="K21404" s="1">
        <v>44197</v>
      </c>
      <c r="M21404" t="e">
        <v>#N/A</v>
      </c>
      <c r="N21404" s="1">
        <v>43831</v>
      </c>
    </row>
    <row r="21405" spans="11:14" x14ac:dyDescent="0.3">
      <c r="K21405" s="1">
        <v>44197</v>
      </c>
      <c r="M21405" t="e">
        <v>#N/A</v>
      </c>
      <c r="N21405" s="1">
        <v>43831</v>
      </c>
    </row>
    <row r="21406" spans="11:14" x14ac:dyDescent="0.3">
      <c r="K21406" s="1">
        <v>44197</v>
      </c>
      <c r="M21406" t="e">
        <v>#N/A</v>
      </c>
      <c r="N21406" s="1">
        <v>43831</v>
      </c>
    </row>
    <row r="21407" spans="11:14" x14ac:dyDescent="0.3">
      <c r="K21407" s="1">
        <v>44197</v>
      </c>
      <c r="M21407" t="e">
        <v>#N/A</v>
      </c>
      <c r="N21407" s="1">
        <v>43831</v>
      </c>
    </row>
    <row r="21408" spans="11:14" x14ac:dyDescent="0.3">
      <c r="K21408" s="1">
        <v>44197</v>
      </c>
      <c r="M21408" t="e">
        <v>#N/A</v>
      </c>
      <c r="N21408" s="1">
        <v>43831</v>
      </c>
    </row>
    <row r="21409" spans="11:14" x14ac:dyDescent="0.3">
      <c r="K21409" s="1">
        <v>44197</v>
      </c>
      <c r="M21409" t="e">
        <v>#N/A</v>
      </c>
      <c r="N21409" s="1">
        <v>43831</v>
      </c>
    </row>
    <row r="21410" spans="11:14" x14ac:dyDescent="0.3">
      <c r="K21410" s="1">
        <v>44197</v>
      </c>
      <c r="M21410" t="e">
        <v>#N/A</v>
      </c>
      <c r="N21410" s="1">
        <v>43831</v>
      </c>
    </row>
    <row r="21411" spans="11:14" x14ac:dyDescent="0.3">
      <c r="K21411" s="1">
        <v>44197</v>
      </c>
      <c r="M21411" t="e">
        <v>#N/A</v>
      </c>
      <c r="N21411" s="1">
        <v>43831</v>
      </c>
    </row>
    <row r="21412" spans="11:14" x14ac:dyDescent="0.3">
      <c r="K21412" s="1">
        <v>44197</v>
      </c>
      <c r="M21412" t="e">
        <v>#N/A</v>
      </c>
      <c r="N21412" s="1">
        <v>43831</v>
      </c>
    </row>
    <row r="21413" spans="11:14" x14ac:dyDescent="0.3">
      <c r="K21413" s="1">
        <v>44197</v>
      </c>
      <c r="M21413" t="e">
        <v>#N/A</v>
      </c>
      <c r="N21413" s="1">
        <v>43831</v>
      </c>
    </row>
    <row r="21414" spans="11:14" x14ac:dyDescent="0.3">
      <c r="K21414" s="1">
        <v>44197</v>
      </c>
      <c r="M21414" t="e">
        <v>#N/A</v>
      </c>
      <c r="N21414" s="1">
        <v>43831</v>
      </c>
    </row>
    <row r="21415" spans="11:14" x14ac:dyDescent="0.3">
      <c r="K21415" s="1">
        <v>44197</v>
      </c>
      <c r="M21415" t="e">
        <v>#N/A</v>
      </c>
      <c r="N21415" s="1">
        <v>43831</v>
      </c>
    </row>
    <row r="21416" spans="11:14" x14ac:dyDescent="0.3">
      <c r="K21416" s="1">
        <v>44197</v>
      </c>
      <c r="M21416" t="e">
        <v>#N/A</v>
      </c>
      <c r="N21416" s="1">
        <v>43831</v>
      </c>
    </row>
    <row r="21417" spans="11:14" x14ac:dyDescent="0.3">
      <c r="K21417" s="1">
        <v>44197</v>
      </c>
      <c r="M21417" t="e">
        <v>#N/A</v>
      </c>
      <c r="N21417" s="1">
        <v>43831</v>
      </c>
    </row>
    <row r="21418" spans="11:14" x14ac:dyDescent="0.3">
      <c r="K21418" s="1">
        <v>44197</v>
      </c>
      <c r="M21418" t="e">
        <v>#N/A</v>
      </c>
      <c r="N21418" s="1">
        <v>43831</v>
      </c>
    </row>
    <row r="21419" spans="11:14" x14ac:dyDescent="0.3">
      <c r="K21419" s="1">
        <v>44197</v>
      </c>
      <c r="M21419" t="e">
        <v>#N/A</v>
      </c>
      <c r="N21419" s="1">
        <v>43831</v>
      </c>
    </row>
    <row r="21420" spans="11:14" x14ac:dyDescent="0.3">
      <c r="K21420" s="1">
        <v>44197</v>
      </c>
      <c r="M21420" t="e">
        <v>#N/A</v>
      </c>
      <c r="N21420" s="1">
        <v>43831</v>
      </c>
    </row>
    <row r="21421" spans="11:14" x14ac:dyDescent="0.3">
      <c r="K21421" s="1">
        <v>44197</v>
      </c>
      <c r="M21421" t="e">
        <v>#N/A</v>
      </c>
      <c r="N21421" s="1">
        <v>43831</v>
      </c>
    </row>
    <row r="21422" spans="11:14" x14ac:dyDescent="0.3">
      <c r="K21422" s="1">
        <v>44197</v>
      </c>
      <c r="M21422" t="e">
        <v>#N/A</v>
      </c>
      <c r="N21422" s="1">
        <v>43831</v>
      </c>
    </row>
    <row r="21423" spans="11:14" x14ac:dyDescent="0.3">
      <c r="K21423" s="1">
        <v>44197</v>
      </c>
      <c r="M21423" t="e">
        <v>#N/A</v>
      </c>
      <c r="N21423" s="1">
        <v>43831</v>
      </c>
    </row>
    <row r="21424" spans="11:14" x14ac:dyDescent="0.3">
      <c r="K21424" s="1">
        <v>44197</v>
      </c>
      <c r="M21424" t="e">
        <v>#N/A</v>
      </c>
      <c r="N21424" s="1">
        <v>43831</v>
      </c>
    </row>
    <row r="21425" spans="11:14" x14ac:dyDescent="0.3">
      <c r="K21425" s="1">
        <v>44197</v>
      </c>
      <c r="M21425" t="e">
        <v>#N/A</v>
      </c>
      <c r="N21425" s="1">
        <v>43831</v>
      </c>
    </row>
    <row r="21426" spans="11:14" x14ac:dyDescent="0.3">
      <c r="K21426" s="1">
        <v>44197</v>
      </c>
      <c r="M21426" t="e">
        <v>#N/A</v>
      </c>
      <c r="N21426" s="1">
        <v>43831</v>
      </c>
    </row>
    <row r="21427" spans="11:14" x14ac:dyDescent="0.3">
      <c r="K21427" s="1">
        <v>44197</v>
      </c>
      <c r="M21427" t="e">
        <v>#N/A</v>
      </c>
      <c r="N21427" s="1">
        <v>43831</v>
      </c>
    </row>
    <row r="21428" spans="11:14" x14ac:dyDescent="0.3">
      <c r="K21428" s="1">
        <v>44197</v>
      </c>
      <c r="M21428" t="e">
        <v>#N/A</v>
      </c>
      <c r="N21428" s="1">
        <v>43831</v>
      </c>
    </row>
    <row r="21429" spans="11:14" x14ac:dyDescent="0.3">
      <c r="K21429" s="1">
        <v>44197</v>
      </c>
      <c r="M21429" t="e">
        <v>#N/A</v>
      </c>
      <c r="N21429" s="1">
        <v>43831</v>
      </c>
    </row>
    <row r="21430" spans="11:14" x14ac:dyDescent="0.3">
      <c r="K21430" s="1">
        <v>44197</v>
      </c>
      <c r="M21430" t="e">
        <v>#N/A</v>
      </c>
      <c r="N21430" s="1">
        <v>43831</v>
      </c>
    </row>
    <row r="21431" spans="11:14" x14ac:dyDescent="0.3">
      <c r="K21431" s="1">
        <v>44197</v>
      </c>
      <c r="M21431" t="e">
        <v>#N/A</v>
      </c>
      <c r="N21431" s="1">
        <v>43831</v>
      </c>
    </row>
    <row r="21432" spans="11:14" x14ac:dyDescent="0.3">
      <c r="K21432" s="1">
        <v>44197</v>
      </c>
      <c r="M21432" t="e">
        <v>#N/A</v>
      </c>
      <c r="N21432" s="1">
        <v>43831</v>
      </c>
    </row>
    <row r="21433" spans="11:14" x14ac:dyDescent="0.3">
      <c r="K21433" s="1">
        <v>44197</v>
      </c>
      <c r="M21433" t="e">
        <v>#N/A</v>
      </c>
      <c r="N21433" s="1">
        <v>43831</v>
      </c>
    </row>
    <row r="21434" spans="11:14" x14ac:dyDescent="0.3">
      <c r="K21434" s="1">
        <v>44197</v>
      </c>
      <c r="M21434" t="e">
        <v>#N/A</v>
      </c>
      <c r="N21434" s="1">
        <v>43831</v>
      </c>
    </row>
    <row r="21435" spans="11:14" x14ac:dyDescent="0.3">
      <c r="K21435" s="1">
        <v>44197</v>
      </c>
      <c r="M21435" t="e">
        <v>#N/A</v>
      </c>
      <c r="N21435" s="1">
        <v>43831</v>
      </c>
    </row>
    <row r="21436" spans="11:14" x14ac:dyDescent="0.3">
      <c r="K21436" s="1">
        <v>44197</v>
      </c>
      <c r="M21436" t="e">
        <v>#N/A</v>
      </c>
      <c r="N21436" s="1">
        <v>43831</v>
      </c>
    </row>
    <row r="21437" spans="11:14" x14ac:dyDescent="0.3">
      <c r="K21437" s="1">
        <v>44197</v>
      </c>
      <c r="M21437" t="e">
        <v>#N/A</v>
      </c>
      <c r="N21437" s="1">
        <v>43831</v>
      </c>
    </row>
    <row r="21438" spans="11:14" x14ac:dyDescent="0.3">
      <c r="K21438" s="1">
        <v>44197</v>
      </c>
      <c r="M21438" t="e">
        <v>#N/A</v>
      </c>
      <c r="N21438" s="1">
        <v>43831</v>
      </c>
    </row>
    <row r="21439" spans="11:14" x14ac:dyDescent="0.3">
      <c r="K21439" s="1">
        <v>44197</v>
      </c>
      <c r="M21439" t="e">
        <v>#N/A</v>
      </c>
      <c r="N21439" s="1">
        <v>43831</v>
      </c>
    </row>
    <row r="21440" spans="11:14" x14ac:dyDescent="0.3">
      <c r="K21440" s="1">
        <v>44197</v>
      </c>
      <c r="M21440" t="e">
        <v>#N/A</v>
      </c>
      <c r="N21440" s="1">
        <v>43831</v>
      </c>
    </row>
    <row r="21441" spans="11:14" x14ac:dyDescent="0.3">
      <c r="K21441" s="1">
        <v>44197</v>
      </c>
      <c r="M21441" t="e">
        <v>#N/A</v>
      </c>
      <c r="N21441" s="1">
        <v>43831</v>
      </c>
    </row>
    <row r="21442" spans="11:14" x14ac:dyDescent="0.3">
      <c r="K21442" s="1">
        <v>44197</v>
      </c>
      <c r="M21442" t="e">
        <v>#N/A</v>
      </c>
      <c r="N21442" s="1">
        <v>43831</v>
      </c>
    </row>
    <row r="21443" spans="11:14" x14ac:dyDescent="0.3">
      <c r="K21443" s="1">
        <v>44197</v>
      </c>
      <c r="M21443" t="e">
        <v>#N/A</v>
      </c>
      <c r="N21443" s="1">
        <v>43831</v>
      </c>
    </row>
    <row r="21444" spans="11:14" x14ac:dyDescent="0.3">
      <c r="K21444" s="1">
        <v>44197</v>
      </c>
      <c r="M21444" t="e">
        <v>#N/A</v>
      </c>
      <c r="N21444" s="1">
        <v>43831</v>
      </c>
    </row>
    <row r="21445" spans="11:14" x14ac:dyDescent="0.3">
      <c r="K21445" s="1">
        <v>44197</v>
      </c>
      <c r="M21445" t="e">
        <v>#N/A</v>
      </c>
      <c r="N21445" s="1">
        <v>43831</v>
      </c>
    </row>
    <row r="21446" spans="11:14" x14ac:dyDescent="0.3">
      <c r="K21446" s="1">
        <v>44197</v>
      </c>
      <c r="M21446" t="e">
        <v>#N/A</v>
      </c>
      <c r="N21446" s="1">
        <v>43831</v>
      </c>
    </row>
    <row r="21447" spans="11:14" x14ac:dyDescent="0.3">
      <c r="K21447" s="1">
        <v>44197</v>
      </c>
      <c r="M21447" t="e">
        <v>#N/A</v>
      </c>
      <c r="N21447" s="1">
        <v>43831</v>
      </c>
    </row>
    <row r="21448" spans="11:14" x14ac:dyDescent="0.3">
      <c r="K21448" s="1">
        <v>44197</v>
      </c>
      <c r="M21448" t="e">
        <v>#N/A</v>
      </c>
      <c r="N21448" s="1">
        <v>43831</v>
      </c>
    </row>
    <row r="21449" spans="11:14" x14ac:dyDescent="0.3">
      <c r="K21449" s="1">
        <v>44197</v>
      </c>
      <c r="M21449" t="e">
        <v>#N/A</v>
      </c>
      <c r="N21449" s="1">
        <v>43831</v>
      </c>
    </row>
    <row r="21450" spans="11:14" x14ac:dyDescent="0.3">
      <c r="K21450" s="1">
        <v>44197</v>
      </c>
      <c r="M21450" t="e">
        <v>#N/A</v>
      </c>
      <c r="N21450" s="1">
        <v>43831</v>
      </c>
    </row>
    <row r="21451" spans="11:14" x14ac:dyDescent="0.3">
      <c r="K21451" s="1">
        <v>44197</v>
      </c>
      <c r="M21451" t="e">
        <v>#N/A</v>
      </c>
      <c r="N21451" s="1">
        <v>43831</v>
      </c>
    </row>
    <row r="21452" spans="11:14" x14ac:dyDescent="0.3">
      <c r="K21452" s="1">
        <v>44197</v>
      </c>
      <c r="M21452" t="e">
        <v>#N/A</v>
      </c>
      <c r="N21452" s="1">
        <v>43831</v>
      </c>
    </row>
    <row r="21453" spans="11:14" x14ac:dyDescent="0.3">
      <c r="K21453" s="1">
        <v>44197</v>
      </c>
      <c r="M21453" t="e">
        <v>#N/A</v>
      </c>
      <c r="N21453" s="1">
        <v>43831</v>
      </c>
    </row>
    <row r="21454" spans="11:14" x14ac:dyDescent="0.3">
      <c r="K21454" s="1">
        <v>44197</v>
      </c>
      <c r="M21454" t="e">
        <v>#N/A</v>
      </c>
      <c r="N21454" s="1">
        <v>43831</v>
      </c>
    </row>
    <row r="21455" spans="11:14" x14ac:dyDescent="0.3">
      <c r="K21455" s="1">
        <v>44197</v>
      </c>
      <c r="M21455" t="e">
        <v>#N/A</v>
      </c>
      <c r="N21455" s="1">
        <v>43831</v>
      </c>
    </row>
    <row r="21456" spans="11:14" x14ac:dyDescent="0.3">
      <c r="K21456" s="1">
        <v>44197</v>
      </c>
      <c r="M21456" t="e">
        <v>#N/A</v>
      </c>
      <c r="N21456" s="1">
        <v>43831</v>
      </c>
    </row>
    <row r="21457" spans="11:14" x14ac:dyDescent="0.3">
      <c r="K21457" s="1">
        <v>44197</v>
      </c>
      <c r="M21457" t="e">
        <v>#N/A</v>
      </c>
      <c r="N21457" s="1">
        <v>43831</v>
      </c>
    </row>
    <row r="21458" spans="11:14" x14ac:dyDescent="0.3">
      <c r="K21458" s="1">
        <v>44197</v>
      </c>
      <c r="M21458" t="e">
        <v>#N/A</v>
      </c>
      <c r="N21458" s="1">
        <v>43831</v>
      </c>
    </row>
    <row r="21459" spans="11:14" x14ac:dyDescent="0.3">
      <c r="K21459" s="1">
        <v>44197</v>
      </c>
      <c r="M21459" t="e">
        <v>#N/A</v>
      </c>
      <c r="N21459" s="1">
        <v>43831</v>
      </c>
    </row>
    <row r="21460" spans="11:14" x14ac:dyDescent="0.3">
      <c r="K21460" s="1">
        <v>44197</v>
      </c>
      <c r="M21460" t="e">
        <v>#N/A</v>
      </c>
      <c r="N21460" s="1">
        <v>43831</v>
      </c>
    </row>
    <row r="21461" spans="11:14" x14ac:dyDescent="0.3">
      <c r="K21461" s="1">
        <v>44197</v>
      </c>
      <c r="M21461" t="e">
        <v>#N/A</v>
      </c>
      <c r="N21461" s="1">
        <v>43831</v>
      </c>
    </row>
    <row r="21462" spans="11:14" x14ac:dyDescent="0.3">
      <c r="K21462" s="1">
        <v>44197</v>
      </c>
      <c r="M21462" t="e">
        <v>#N/A</v>
      </c>
      <c r="N21462" s="1">
        <v>43831</v>
      </c>
    </row>
    <row r="21463" spans="11:14" x14ac:dyDescent="0.3">
      <c r="K21463" s="1">
        <v>44197</v>
      </c>
      <c r="M21463" t="e">
        <v>#N/A</v>
      </c>
      <c r="N21463" s="1">
        <v>43831</v>
      </c>
    </row>
    <row r="21464" spans="11:14" x14ac:dyDescent="0.3">
      <c r="K21464" s="1">
        <v>44197</v>
      </c>
      <c r="M21464" t="e">
        <v>#N/A</v>
      </c>
      <c r="N21464" s="1">
        <v>43831</v>
      </c>
    </row>
    <row r="21465" spans="11:14" x14ac:dyDescent="0.3">
      <c r="K21465" s="1">
        <v>44197</v>
      </c>
      <c r="M21465" t="e">
        <v>#N/A</v>
      </c>
      <c r="N21465" s="1">
        <v>43831</v>
      </c>
    </row>
    <row r="21466" spans="11:14" x14ac:dyDescent="0.3">
      <c r="K21466" s="1">
        <v>44197</v>
      </c>
      <c r="M21466" t="e">
        <v>#N/A</v>
      </c>
      <c r="N21466" s="1">
        <v>43831</v>
      </c>
    </row>
    <row r="21467" spans="11:14" x14ac:dyDescent="0.3">
      <c r="K21467" s="1">
        <v>44197</v>
      </c>
      <c r="M21467" t="e">
        <v>#N/A</v>
      </c>
      <c r="N21467" s="1">
        <v>43831</v>
      </c>
    </row>
    <row r="21468" spans="11:14" x14ac:dyDescent="0.3">
      <c r="K21468" s="1">
        <v>44197</v>
      </c>
      <c r="M21468" t="e">
        <v>#N/A</v>
      </c>
      <c r="N21468" s="1">
        <v>43831</v>
      </c>
    </row>
    <row r="21469" spans="11:14" x14ac:dyDescent="0.3">
      <c r="K21469" s="1">
        <v>44197</v>
      </c>
      <c r="M21469" t="e">
        <v>#N/A</v>
      </c>
      <c r="N21469" s="1">
        <v>43831</v>
      </c>
    </row>
    <row r="21470" spans="11:14" x14ac:dyDescent="0.3">
      <c r="K21470" s="1">
        <v>44197</v>
      </c>
      <c r="M21470" t="e">
        <v>#N/A</v>
      </c>
      <c r="N21470" s="1">
        <v>43831</v>
      </c>
    </row>
    <row r="21471" spans="11:14" x14ac:dyDescent="0.3">
      <c r="K21471" s="1">
        <v>44197</v>
      </c>
      <c r="M21471" t="e">
        <v>#N/A</v>
      </c>
      <c r="N21471" s="1">
        <v>43831</v>
      </c>
    </row>
    <row r="21472" spans="11:14" x14ac:dyDescent="0.3">
      <c r="K21472" s="1">
        <v>44197</v>
      </c>
      <c r="M21472" t="e">
        <v>#N/A</v>
      </c>
      <c r="N21472" s="1">
        <v>43831</v>
      </c>
    </row>
    <row r="21473" spans="11:14" x14ac:dyDescent="0.3">
      <c r="K21473" s="1">
        <v>44197</v>
      </c>
      <c r="M21473" t="e">
        <v>#N/A</v>
      </c>
      <c r="N21473" s="1">
        <v>43831</v>
      </c>
    </row>
    <row r="21474" spans="11:14" x14ac:dyDescent="0.3">
      <c r="K21474" s="1">
        <v>44197</v>
      </c>
      <c r="M21474" t="e">
        <v>#N/A</v>
      </c>
      <c r="N21474" s="1">
        <v>43831</v>
      </c>
    </row>
    <row r="21475" spans="11:14" x14ac:dyDescent="0.3">
      <c r="K21475" s="1">
        <v>44197</v>
      </c>
      <c r="M21475" t="e">
        <v>#N/A</v>
      </c>
      <c r="N21475" s="1">
        <v>43831</v>
      </c>
    </row>
    <row r="21476" spans="11:14" x14ac:dyDescent="0.3">
      <c r="K21476" s="1">
        <v>44197</v>
      </c>
      <c r="M21476" t="e">
        <v>#N/A</v>
      </c>
      <c r="N21476" s="1">
        <v>43831</v>
      </c>
    </row>
    <row r="21477" spans="11:14" x14ac:dyDescent="0.3">
      <c r="K21477" s="1">
        <v>44197</v>
      </c>
      <c r="M21477" t="e">
        <v>#N/A</v>
      </c>
      <c r="N21477" s="1">
        <v>43831</v>
      </c>
    </row>
    <row r="21478" spans="11:14" x14ac:dyDescent="0.3">
      <c r="K21478" s="1">
        <v>44197</v>
      </c>
      <c r="M21478" t="e">
        <v>#N/A</v>
      </c>
      <c r="N21478" s="1">
        <v>43831</v>
      </c>
    </row>
    <row r="21479" spans="11:14" x14ac:dyDescent="0.3">
      <c r="K21479" s="1">
        <v>44197</v>
      </c>
      <c r="M21479" t="e">
        <v>#N/A</v>
      </c>
      <c r="N21479" s="1">
        <v>43831</v>
      </c>
    </row>
    <row r="21480" spans="11:14" x14ac:dyDescent="0.3">
      <c r="K21480" s="1">
        <v>44197</v>
      </c>
      <c r="M21480" t="e">
        <v>#N/A</v>
      </c>
      <c r="N21480" s="1">
        <v>43831</v>
      </c>
    </row>
    <row r="21481" spans="11:14" x14ac:dyDescent="0.3">
      <c r="K21481" s="1">
        <v>44197</v>
      </c>
      <c r="M21481" t="e">
        <v>#N/A</v>
      </c>
      <c r="N21481" s="1">
        <v>43831</v>
      </c>
    </row>
    <row r="21482" spans="11:14" x14ac:dyDescent="0.3">
      <c r="K21482" s="1">
        <v>44197</v>
      </c>
      <c r="M21482" t="e">
        <v>#N/A</v>
      </c>
      <c r="N21482" s="1">
        <v>43831</v>
      </c>
    </row>
    <row r="21483" spans="11:14" x14ac:dyDescent="0.3">
      <c r="K21483" s="1">
        <v>44197</v>
      </c>
      <c r="M21483" t="e">
        <v>#N/A</v>
      </c>
      <c r="N21483" s="1">
        <v>43831</v>
      </c>
    </row>
    <row r="21484" spans="11:14" x14ac:dyDescent="0.3">
      <c r="K21484" s="1">
        <v>44197</v>
      </c>
      <c r="M21484" t="e">
        <v>#N/A</v>
      </c>
      <c r="N21484" s="1">
        <v>43831</v>
      </c>
    </row>
    <row r="21485" spans="11:14" x14ac:dyDescent="0.3">
      <c r="K21485" s="1">
        <v>44197</v>
      </c>
      <c r="M21485" t="e">
        <v>#N/A</v>
      </c>
      <c r="N21485" s="1">
        <v>43831</v>
      </c>
    </row>
    <row r="21486" spans="11:14" x14ac:dyDescent="0.3">
      <c r="K21486" s="1">
        <v>44197</v>
      </c>
      <c r="M21486" t="e">
        <v>#N/A</v>
      </c>
      <c r="N21486" s="1">
        <v>43831</v>
      </c>
    </row>
    <row r="21487" spans="11:14" x14ac:dyDescent="0.3">
      <c r="K21487" s="1">
        <v>44197</v>
      </c>
      <c r="M21487" t="e">
        <v>#N/A</v>
      </c>
      <c r="N21487" s="1">
        <v>43831</v>
      </c>
    </row>
    <row r="21488" spans="11:14" x14ac:dyDescent="0.3">
      <c r="K21488" s="1">
        <v>44197</v>
      </c>
      <c r="M21488" t="e">
        <v>#N/A</v>
      </c>
      <c r="N21488" s="1">
        <v>43831</v>
      </c>
    </row>
    <row r="21489" spans="11:14" x14ac:dyDescent="0.3">
      <c r="K21489" s="1">
        <v>44197</v>
      </c>
      <c r="M21489" t="e">
        <v>#N/A</v>
      </c>
      <c r="N21489" s="1">
        <v>43831</v>
      </c>
    </row>
    <row r="21490" spans="11:14" x14ac:dyDescent="0.3">
      <c r="K21490" s="1">
        <v>44197</v>
      </c>
      <c r="M21490" t="e">
        <v>#N/A</v>
      </c>
      <c r="N21490" s="1">
        <v>43831</v>
      </c>
    </row>
    <row r="21491" spans="11:14" x14ac:dyDescent="0.3">
      <c r="K21491" s="1">
        <v>44197</v>
      </c>
      <c r="M21491" t="e">
        <v>#N/A</v>
      </c>
      <c r="N21491" s="1">
        <v>43831</v>
      </c>
    </row>
    <row r="21492" spans="11:14" x14ac:dyDescent="0.3">
      <c r="K21492" s="1">
        <v>44197</v>
      </c>
      <c r="M21492" t="e">
        <v>#N/A</v>
      </c>
      <c r="N21492" s="1">
        <v>43831</v>
      </c>
    </row>
    <row r="21493" spans="11:14" x14ac:dyDescent="0.3">
      <c r="K21493" s="1">
        <v>44197</v>
      </c>
      <c r="M21493" t="e">
        <v>#N/A</v>
      </c>
      <c r="N21493" s="1">
        <v>43831</v>
      </c>
    </row>
    <row r="21494" spans="11:14" x14ac:dyDescent="0.3">
      <c r="K21494" s="1">
        <v>44197</v>
      </c>
      <c r="M21494" t="e">
        <v>#N/A</v>
      </c>
      <c r="N21494" s="1">
        <v>43831</v>
      </c>
    </row>
    <row r="21495" spans="11:14" x14ac:dyDescent="0.3">
      <c r="K21495" s="1">
        <v>44197</v>
      </c>
      <c r="M21495" t="e">
        <v>#N/A</v>
      </c>
      <c r="N21495" s="1">
        <v>43831</v>
      </c>
    </row>
    <row r="21496" spans="11:14" x14ac:dyDescent="0.3">
      <c r="K21496" s="1">
        <v>44197</v>
      </c>
      <c r="M21496" t="e">
        <v>#N/A</v>
      </c>
      <c r="N21496" s="1">
        <v>43831</v>
      </c>
    </row>
    <row r="21497" spans="11:14" x14ac:dyDescent="0.3">
      <c r="K21497" s="1">
        <v>44197</v>
      </c>
      <c r="M21497" t="e">
        <v>#N/A</v>
      </c>
      <c r="N21497" s="1">
        <v>43831</v>
      </c>
    </row>
    <row r="21498" spans="11:14" x14ac:dyDescent="0.3">
      <c r="K21498" s="1">
        <v>44197</v>
      </c>
      <c r="M21498" t="e">
        <v>#N/A</v>
      </c>
      <c r="N21498" s="1">
        <v>43831</v>
      </c>
    </row>
    <row r="21499" spans="11:14" x14ac:dyDescent="0.3">
      <c r="K21499" s="1">
        <v>44197</v>
      </c>
      <c r="M21499" t="e">
        <v>#N/A</v>
      </c>
      <c r="N21499" s="1">
        <v>43831</v>
      </c>
    </row>
    <row r="21500" spans="11:14" x14ac:dyDescent="0.3">
      <c r="K21500" s="1">
        <v>44197</v>
      </c>
      <c r="M21500" t="e">
        <v>#N/A</v>
      </c>
      <c r="N21500" s="1">
        <v>43831</v>
      </c>
    </row>
    <row r="21501" spans="11:14" x14ac:dyDescent="0.3">
      <c r="K21501" s="1">
        <v>44197</v>
      </c>
      <c r="M21501" t="e">
        <v>#N/A</v>
      </c>
      <c r="N21501" s="1">
        <v>43831</v>
      </c>
    </row>
    <row r="21502" spans="11:14" x14ac:dyDescent="0.3">
      <c r="K21502" s="1">
        <v>44197</v>
      </c>
      <c r="M21502" t="e">
        <v>#N/A</v>
      </c>
      <c r="N21502" s="1">
        <v>43831</v>
      </c>
    </row>
    <row r="21503" spans="11:14" x14ac:dyDescent="0.3">
      <c r="K21503" s="1">
        <v>44197</v>
      </c>
      <c r="M21503" t="e">
        <v>#N/A</v>
      </c>
      <c r="N21503" s="1">
        <v>43831</v>
      </c>
    </row>
    <row r="21504" spans="11:14" x14ac:dyDescent="0.3">
      <c r="K21504" s="1">
        <v>44197</v>
      </c>
      <c r="M21504" t="e">
        <v>#N/A</v>
      </c>
      <c r="N21504" s="1">
        <v>43831</v>
      </c>
    </row>
    <row r="21505" spans="11:14" x14ac:dyDescent="0.3">
      <c r="K21505" s="1">
        <v>44197</v>
      </c>
      <c r="M21505" t="e">
        <v>#N/A</v>
      </c>
      <c r="N21505" s="1">
        <v>43831</v>
      </c>
    </row>
    <row r="21506" spans="11:14" x14ac:dyDescent="0.3">
      <c r="K21506" s="1">
        <v>44197</v>
      </c>
      <c r="M21506" t="e">
        <v>#N/A</v>
      </c>
      <c r="N21506" s="1">
        <v>43831</v>
      </c>
    </row>
    <row r="21507" spans="11:14" x14ac:dyDescent="0.3">
      <c r="K21507" s="1">
        <v>44197</v>
      </c>
      <c r="M21507" t="e">
        <v>#N/A</v>
      </c>
      <c r="N21507" s="1">
        <v>43831</v>
      </c>
    </row>
    <row r="21508" spans="11:14" x14ac:dyDescent="0.3">
      <c r="K21508" s="1">
        <v>44197</v>
      </c>
      <c r="M21508" t="e">
        <v>#N/A</v>
      </c>
      <c r="N21508" s="1">
        <v>43831</v>
      </c>
    </row>
    <row r="21509" spans="11:14" x14ac:dyDescent="0.3">
      <c r="K21509" s="1">
        <v>44197</v>
      </c>
      <c r="M21509" t="e">
        <v>#N/A</v>
      </c>
      <c r="N21509" s="1">
        <v>43831</v>
      </c>
    </row>
    <row r="21510" spans="11:14" x14ac:dyDescent="0.3">
      <c r="K21510" s="1">
        <v>44197</v>
      </c>
      <c r="M21510" t="e">
        <v>#N/A</v>
      </c>
      <c r="N21510" s="1">
        <v>43831</v>
      </c>
    </row>
    <row r="21511" spans="11:14" x14ac:dyDescent="0.3">
      <c r="K21511" s="1">
        <v>44197</v>
      </c>
      <c r="M21511" t="e">
        <v>#N/A</v>
      </c>
      <c r="N21511" s="1">
        <v>43831</v>
      </c>
    </row>
    <row r="21512" spans="11:14" x14ac:dyDescent="0.3">
      <c r="K21512" s="1">
        <v>44197</v>
      </c>
      <c r="M21512" t="e">
        <v>#N/A</v>
      </c>
      <c r="N21512" s="1">
        <v>43831</v>
      </c>
    </row>
    <row r="21513" spans="11:14" x14ac:dyDescent="0.3">
      <c r="K21513" s="1">
        <v>44197</v>
      </c>
      <c r="M21513" t="e">
        <v>#N/A</v>
      </c>
      <c r="N21513" s="1">
        <v>43831</v>
      </c>
    </row>
    <row r="21514" spans="11:14" x14ac:dyDescent="0.3">
      <c r="K21514" s="1">
        <v>44197</v>
      </c>
      <c r="M21514" t="e">
        <v>#N/A</v>
      </c>
      <c r="N21514" s="1">
        <v>43831</v>
      </c>
    </row>
    <row r="21515" spans="11:14" x14ac:dyDescent="0.3">
      <c r="K21515" s="1">
        <v>44197</v>
      </c>
      <c r="M21515" t="e">
        <v>#N/A</v>
      </c>
      <c r="N21515" s="1">
        <v>43831</v>
      </c>
    </row>
    <row r="21516" spans="11:14" x14ac:dyDescent="0.3">
      <c r="K21516" s="1">
        <v>44197</v>
      </c>
      <c r="M21516" t="e">
        <v>#N/A</v>
      </c>
      <c r="N21516" s="1">
        <v>43831</v>
      </c>
    </row>
    <row r="21517" spans="11:14" x14ac:dyDescent="0.3">
      <c r="K21517" s="1">
        <v>44197</v>
      </c>
      <c r="M21517" t="e">
        <v>#N/A</v>
      </c>
      <c r="N21517" s="1">
        <v>43831</v>
      </c>
    </row>
    <row r="21518" spans="11:14" x14ac:dyDescent="0.3">
      <c r="K21518" s="1">
        <v>44197</v>
      </c>
      <c r="M21518" t="e">
        <v>#N/A</v>
      </c>
      <c r="N21518" s="1">
        <v>43831</v>
      </c>
    </row>
    <row r="21519" spans="11:14" x14ac:dyDescent="0.3">
      <c r="K21519" s="1">
        <v>44197</v>
      </c>
      <c r="M21519" t="e">
        <v>#N/A</v>
      </c>
      <c r="N21519" s="1">
        <v>43831</v>
      </c>
    </row>
    <row r="21520" spans="11:14" x14ac:dyDescent="0.3">
      <c r="K21520" s="1">
        <v>44197</v>
      </c>
      <c r="M21520" t="e">
        <v>#N/A</v>
      </c>
      <c r="N21520" s="1">
        <v>43831</v>
      </c>
    </row>
    <row r="21521" spans="11:14" x14ac:dyDescent="0.3">
      <c r="K21521" s="1">
        <v>44197</v>
      </c>
      <c r="M21521" t="e">
        <v>#N/A</v>
      </c>
      <c r="N21521" s="1">
        <v>43831</v>
      </c>
    </row>
    <row r="21522" spans="11:14" x14ac:dyDescent="0.3">
      <c r="K21522" s="1">
        <v>44197</v>
      </c>
      <c r="M21522" t="e">
        <v>#N/A</v>
      </c>
      <c r="N21522" s="1">
        <v>43831</v>
      </c>
    </row>
    <row r="21523" spans="11:14" x14ac:dyDescent="0.3">
      <c r="K21523" s="1">
        <v>44197</v>
      </c>
      <c r="M21523" t="e">
        <v>#N/A</v>
      </c>
      <c r="N21523" s="1">
        <v>43831</v>
      </c>
    </row>
    <row r="21524" spans="11:14" x14ac:dyDescent="0.3">
      <c r="K21524" s="1">
        <v>44197</v>
      </c>
      <c r="M21524" t="e">
        <v>#N/A</v>
      </c>
      <c r="N21524" s="1">
        <v>43831</v>
      </c>
    </row>
    <row r="21525" spans="11:14" x14ac:dyDescent="0.3">
      <c r="K21525" s="1">
        <v>44197</v>
      </c>
      <c r="M21525" t="e">
        <v>#N/A</v>
      </c>
      <c r="N21525" s="1">
        <v>43831</v>
      </c>
    </row>
    <row r="21526" spans="11:14" x14ac:dyDescent="0.3">
      <c r="K21526" s="1">
        <v>44197</v>
      </c>
      <c r="M21526" t="e">
        <v>#N/A</v>
      </c>
      <c r="N21526" s="1">
        <v>43831</v>
      </c>
    </row>
    <row r="21527" spans="11:14" x14ac:dyDescent="0.3">
      <c r="K21527" s="1">
        <v>44197</v>
      </c>
      <c r="M21527" t="e">
        <v>#N/A</v>
      </c>
      <c r="N21527" s="1">
        <v>43831</v>
      </c>
    </row>
    <row r="21528" spans="11:14" x14ac:dyDescent="0.3">
      <c r="K21528" s="1">
        <v>44197</v>
      </c>
      <c r="M21528" t="e">
        <v>#N/A</v>
      </c>
      <c r="N21528" s="1">
        <v>43831</v>
      </c>
    </row>
    <row r="21529" spans="11:14" x14ac:dyDescent="0.3">
      <c r="K21529" s="1">
        <v>44197</v>
      </c>
      <c r="M21529" t="e">
        <v>#N/A</v>
      </c>
      <c r="N21529" s="1">
        <v>43831</v>
      </c>
    </row>
    <row r="21530" spans="11:14" x14ac:dyDescent="0.3">
      <c r="K21530" s="1">
        <v>44197</v>
      </c>
      <c r="M21530" t="e">
        <v>#N/A</v>
      </c>
      <c r="N21530" s="1">
        <v>43831</v>
      </c>
    </row>
    <row r="21531" spans="11:14" x14ac:dyDescent="0.3">
      <c r="K21531" s="1">
        <v>44197</v>
      </c>
      <c r="M21531" t="e">
        <v>#N/A</v>
      </c>
      <c r="N21531" s="1">
        <v>43831</v>
      </c>
    </row>
    <row r="21532" spans="11:14" x14ac:dyDescent="0.3">
      <c r="K21532" s="1">
        <v>44197</v>
      </c>
      <c r="M21532" t="e">
        <v>#N/A</v>
      </c>
      <c r="N21532" s="1">
        <v>43831</v>
      </c>
    </row>
    <row r="21533" spans="11:14" x14ac:dyDescent="0.3">
      <c r="K21533" s="1">
        <v>44197</v>
      </c>
      <c r="M21533" t="e">
        <v>#N/A</v>
      </c>
      <c r="N21533" s="1">
        <v>43831</v>
      </c>
    </row>
    <row r="21534" spans="11:14" x14ac:dyDescent="0.3">
      <c r="K21534" s="1">
        <v>44197</v>
      </c>
      <c r="M21534" t="e">
        <v>#N/A</v>
      </c>
      <c r="N21534" s="1">
        <v>43831</v>
      </c>
    </row>
    <row r="21535" spans="11:14" x14ac:dyDescent="0.3">
      <c r="K21535" s="1">
        <v>44197</v>
      </c>
      <c r="M21535" t="e">
        <v>#N/A</v>
      </c>
      <c r="N21535" s="1">
        <v>43831</v>
      </c>
    </row>
    <row r="21536" spans="11:14" x14ac:dyDescent="0.3">
      <c r="K21536" s="1">
        <v>44197</v>
      </c>
      <c r="M21536" t="e">
        <v>#N/A</v>
      </c>
      <c r="N21536" s="1">
        <v>43831</v>
      </c>
    </row>
    <row r="21537" spans="11:14" x14ac:dyDescent="0.3">
      <c r="K21537" s="1">
        <v>44197</v>
      </c>
      <c r="M21537" t="e">
        <v>#N/A</v>
      </c>
      <c r="N21537" s="1">
        <v>43831</v>
      </c>
    </row>
    <row r="21538" spans="11:14" x14ac:dyDescent="0.3">
      <c r="K21538" s="1">
        <v>44197</v>
      </c>
      <c r="M21538" t="e">
        <v>#N/A</v>
      </c>
      <c r="N21538" s="1">
        <v>43831</v>
      </c>
    </row>
    <row r="21539" spans="11:14" x14ac:dyDescent="0.3">
      <c r="K21539" s="1">
        <v>44197</v>
      </c>
      <c r="M21539" t="e">
        <v>#N/A</v>
      </c>
      <c r="N21539" s="1">
        <v>43831</v>
      </c>
    </row>
    <row r="21540" spans="11:14" x14ac:dyDescent="0.3">
      <c r="K21540" s="1">
        <v>44197</v>
      </c>
      <c r="M21540" t="e">
        <v>#N/A</v>
      </c>
      <c r="N21540" s="1">
        <v>43831</v>
      </c>
    </row>
    <row r="21541" spans="11:14" x14ac:dyDescent="0.3">
      <c r="K21541" s="1">
        <v>44197</v>
      </c>
      <c r="M21541" t="e">
        <v>#N/A</v>
      </c>
      <c r="N21541" s="1">
        <v>43831</v>
      </c>
    </row>
    <row r="21542" spans="11:14" x14ac:dyDescent="0.3">
      <c r="K21542" s="1">
        <v>44197</v>
      </c>
      <c r="M21542" t="e">
        <v>#N/A</v>
      </c>
      <c r="N21542" s="1">
        <v>43831</v>
      </c>
    </row>
    <row r="21543" spans="11:14" x14ac:dyDescent="0.3">
      <c r="K21543" s="1">
        <v>44197</v>
      </c>
      <c r="M21543" t="e">
        <v>#N/A</v>
      </c>
      <c r="N21543" s="1">
        <v>43831</v>
      </c>
    </row>
    <row r="21544" spans="11:14" x14ac:dyDescent="0.3">
      <c r="K21544" s="1">
        <v>44197</v>
      </c>
      <c r="M21544" t="e">
        <v>#N/A</v>
      </c>
      <c r="N21544" s="1">
        <v>43831</v>
      </c>
    </row>
    <row r="21545" spans="11:14" x14ac:dyDescent="0.3">
      <c r="K21545" s="1">
        <v>44197</v>
      </c>
      <c r="M21545" t="e">
        <v>#N/A</v>
      </c>
      <c r="N21545" s="1">
        <v>43831</v>
      </c>
    </row>
    <row r="21546" spans="11:14" x14ac:dyDescent="0.3">
      <c r="K21546" s="1">
        <v>44197</v>
      </c>
      <c r="M21546" t="e">
        <v>#N/A</v>
      </c>
      <c r="N21546" s="1">
        <v>43831</v>
      </c>
    </row>
    <row r="21547" spans="11:14" x14ac:dyDescent="0.3">
      <c r="K21547" s="1">
        <v>44197</v>
      </c>
      <c r="M21547" t="e">
        <v>#N/A</v>
      </c>
      <c r="N21547" s="1">
        <v>43831</v>
      </c>
    </row>
    <row r="21548" spans="11:14" x14ac:dyDescent="0.3">
      <c r="K21548" s="1">
        <v>44197</v>
      </c>
      <c r="M21548" t="e">
        <v>#N/A</v>
      </c>
      <c r="N21548" s="1">
        <v>43831</v>
      </c>
    </row>
    <row r="21549" spans="11:14" x14ac:dyDescent="0.3">
      <c r="K21549" s="1">
        <v>44197</v>
      </c>
      <c r="M21549" t="e">
        <v>#N/A</v>
      </c>
      <c r="N21549" s="1">
        <v>43831</v>
      </c>
    </row>
    <row r="21550" spans="11:14" x14ac:dyDescent="0.3">
      <c r="K21550" s="1">
        <v>44197</v>
      </c>
      <c r="M21550" t="e">
        <v>#N/A</v>
      </c>
      <c r="N21550" s="1">
        <v>43831</v>
      </c>
    </row>
    <row r="21551" spans="11:14" x14ac:dyDescent="0.3">
      <c r="K21551" s="1">
        <v>44197</v>
      </c>
      <c r="M21551" t="e">
        <v>#N/A</v>
      </c>
      <c r="N21551" s="1">
        <v>43831</v>
      </c>
    </row>
    <row r="21552" spans="11:14" x14ac:dyDescent="0.3">
      <c r="K21552" s="1">
        <v>44197</v>
      </c>
      <c r="M21552" t="e">
        <v>#N/A</v>
      </c>
      <c r="N21552" s="1">
        <v>43831</v>
      </c>
    </row>
    <row r="21553" spans="11:14" x14ac:dyDescent="0.3">
      <c r="K21553" s="1">
        <v>44197</v>
      </c>
      <c r="M21553" t="e">
        <v>#N/A</v>
      </c>
      <c r="N21553" s="1">
        <v>43831</v>
      </c>
    </row>
    <row r="21554" spans="11:14" x14ac:dyDescent="0.3">
      <c r="K21554" s="1">
        <v>44197</v>
      </c>
      <c r="M21554" t="e">
        <v>#N/A</v>
      </c>
      <c r="N21554" s="1">
        <v>43831</v>
      </c>
    </row>
    <row r="21555" spans="11:14" x14ac:dyDescent="0.3">
      <c r="K21555" s="1">
        <v>44197</v>
      </c>
      <c r="M21555" t="e">
        <v>#N/A</v>
      </c>
      <c r="N21555" s="1">
        <v>43831</v>
      </c>
    </row>
    <row r="21556" spans="11:14" x14ac:dyDescent="0.3">
      <c r="K21556" s="1">
        <v>44197</v>
      </c>
      <c r="M21556" t="e">
        <v>#N/A</v>
      </c>
      <c r="N21556" s="1">
        <v>43831</v>
      </c>
    </row>
    <row r="21557" spans="11:14" x14ac:dyDescent="0.3">
      <c r="K21557" s="1">
        <v>44197</v>
      </c>
      <c r="M21557" t="e">
        <v>#N/A</v>
      </c>
      <c r="N21557" s="1">
        <v>43831</v>
      </c>
    </row>
    <row r="21558" spans="11:14" x14ac:dyDescent="0.3">
      <c r="K21558" s="1">
        <v>44197</v>
      </c>
      <c r="M21558" t="e">
        <v>#N/A</v>
      </c>
      <c r="N21558" s="1">
        <v>43831</v>
      </c>
    </row>
    <row r="21559" spans="11:14" x14ac:dyDescent="0.3">
      <c r="K21559" s="1">
        <v>44197</v>
      </c>
      <c r="M21559" t="e">
        <v>#N/A</v>
      </c>
      <c r="N21559" s="1">
        <v>43831</v>
      </c>
    </row>
    <row r="21560" spans="11:14" x14ac:dyDescent="0.3">
      <c r="K21560" s="1">
        <v>44197</v>
      </c>
      <c r="M21560" t="e">
        <v>#N/A</v>
      </c>
      <c r="N21560" s="1">
        <v>43831</v>
      </c>
    </row>
    <row r="21561" spans="11:14" x14ac:dyDescent="0.3">
      <c r="K21561" s="1">
        <v>44197</v>
      </c>
      <c r="M21561" t="e">
        <v>#N/A</v>
      </c>
      <c r="N21561" s="1">
        <v>43831</v>
      </c>
    </row>
    <row r="21562" spans="11:14" x14ac:dyDescent="0.3">
      <c r="K21562" s="1">
        <v>44197</v>
      </c>
      <c r="M21562" t="e">
        <v>#N/A</v>
      </c>
      <c r="N21562" s="1">
        <v>43831</v>
      </c>
    </row>
    <row r="21563" spans="11:14" x14ac:dyDescent="0.3">
      <c r="K21563" s="1">
        <v>44197</v>
      </c>
      <c r="M21563" t="e">
        <v>#N/A</v>
      </c>
      <c r="N21563" s="1">
        <v>43831</v>
      </c>
    </row>
    <row r="21564" spans="11:14" x14ac:dyDescent="0.3">
      <c r="K21564" s="1">
        <v>44197</v>
      </c>
      <c r="M21564" t="e">
        <v>#N/A</v>
      </c>
      <c r="N21564" s="1">
        <v>43831</v>
      </c>
    </row>
    <row r="21565" spans="11:14" x14ac:dyDescent="0.3">
      <c r="K21565" s="1">
        <v>44197</v>
      </c>
      <c r="M21565" t="e">
        <v>#N/A</v>
      </c>
      <c r="N21565" s="1">
        <v>43831</v>
      </c>
    </row>
    <row r="21566" spans="11:14" x14ac:dyDescent="0.3">
      <c r="K21566" s="1">
        <v>44197</v>
      </c>
      <c r="M21566" t="e">
        <v>#N/A</v>
      </c>
      <c r="N21566" s="1">
        <v>43831</v>
      </c>
    </row>
    <row r="21567" spans="11:14" x14ac:dyDescent="0.3">
      <c r="K21567" s="1">
        <v>44197</v>
      </c>
      <c r="M21567" t="e">
        <v>#N/A</v>
      </c>
      <c r="N21567" s="1">
        <v>43831</v>
      </c>
    </row>
    <row r="21568" spans="11:14" x14ac:dyDescent="0.3">
      <c r="K21568" s="1">
        <v>44197</v>
      </c>
      <c r="M21568" t="e">
        <v>#N/A</v>
      </c>
      <c r="N21568" s="1">
        <v>43831</v>
      </c>
    </row>
    <row r="21569" spans="11:14" x14ac:dyDescent="0.3">
      <c r="K21569" s="1">
        <v>44197</v>
      </c>
      <c r="M21569" t="e">
        <v>#N/A</v>
      </c>
      <c r="N21569" s="1">
        <v>43831</v>
      </c>
    </row>
    <row r="21570" spans="11:14" x14ac:dyDescent="0.3">
      <c r="K21570" s="1">
        <v>44197</v>
      </c>
      <c r="M21570" t="e">
        <v>#N/A</v>
      </c>
      <c r="N21570" s="1">
        <v>43831</v>
      </c>
    </row>
    <row r="21571" spans="11:14" x14ac:dyDescent="0.3">
      <c r="K21571" s="1">
        <v>44197</v>
      </c>
      <c r="M21571" t="e">
        <v>#N/A</v>
      </c>
      <c r="N21571" s="1">
        <v>43831</v>
      </c>
    </row>
    <row r="21572" spans="11:14" x14ac:dyDescent="0.3">
      <c r="K21572" s="1">
        <v>44197</v>
      </c>
      <c r="M21572" t="e">
        <v>#N/A</v>
      </c>
      <c r="N21572" s="1">
        <v>43831</v>
      </c>
    </row>
    <row r="21573" spans="11:14" x14ac:dyDescent="0.3">
      <c r="K21573" s="1">
        <v>44197</v>
      </c>
      <c r="M21573" t="e">
        <v>#N/A</v>
      </c>
      <c r="N21573" s="1">
        <v>43831</v>
      </c>
    </row>
    <row r="21574" spans="11:14" x14ac:dyDescent="0.3">
      <c r="K21574" s="1">
        <v>44287</v>
      </c>
      <c r="M21574" t="e">
        <v>#N/A</v>
      </c>
      <c r="N21574" s="1">
        <v>43831</v>
      </c>
    </row>
    <row r="21575" spans="11:14" x14ac:dyDescent="0.3">
      <c r="K21575" s="1">
        <v>44287</v>
      </c>
      <c r="M21575" t="e">
        <v>#N/A</v>
      </c>
      <c r="N21575" s="1">
        <v>43831</v>
      </c>
    </row>
    <row r="21576" spans="11:14" x14ac:dyDescent="0.3">
      <c r="K21576" s="1">
        <v>44287</v>
      </c>
      <c r="M21576" t="e">
        <v>#N/A</v>
      </c>
      <c r="N21576" s="1">
        <v>43831</v>
      </c>
    </row>
    <row r="21577" spans="11:14" x14ac:dyDescent="0.3">
      <c r="K21577" s="1">
        <v>44287</v>
      </c>
      <c r="M21577" t="e">
        <v>#N/A</v>
      </c>
      <c r="N21577" s="1">
        <v>43831</v>
      </c>
    </row>
    <row r="21578" spans="11:14" x14ac:dyDescent="0.3">
      <c r="K21578" s="1">
        <v>44287</v>
      </c>
      <c r="M21578" t="e">
        <v>#N/A</v>
      </c>
      <c r="N21578" s="1">
        <v>43831</v>
      </c>
    </row>
    <row r="21579" spans="11:14" x14ac:dyDescent="0.3">
      <c r="K21579" s="1">
        <v>44287</v>
      </c>
      <c r="M21579" t="e">
        <v>#N/A</v>
      </c>
      <c r="N21579" s="1">
        <v>43831</v>
      </c>
    </row>
    <row r="21580" spans="11:14" x14ac:dyDescent="0.3">
      <c r="K21580" s="1">
        <v>44287</v>
      </c>
      <c r="M21580" t="e">
        <v>#N/A</v>
      </c>
      <c r="N21580" s="1">
        <v>43831</v>
      </c>
    </row>
    <row r="21581" spans="11:14" x14ac:dyDescent="0.3">
      <c r="K21581" s="1">
        <v>44287</v>
      </c>
      <c r="M21581" t="e">
        <v>#N/A</v>
      </c>
      <c r="N21581" s="1">
        <v>43831</v>
      </c>
    </row>
    <row r="21582" spans="11:14" x14ac:dyDescent="0.3">
      <c r="K21582" s="1">
        <v>44287</v>
      </c>
      <c r="M21582" t="e">
        <v>#N/A</v>
      </c>
      <c r="N21582" s="1">
        <v>43831</v>
      </c>
    </row>
    <row r="21583" spans="11:14" x14ac:dyDescent="0.3">
      <c r="K21583" s="1">
        <v>44287</v>
      </c>
      <c r="M21583" t="e">
        <v>#N/A</v>
      </c>
      <c r="N21583" s="1">
        <v>43831</v>
      </c>
    </row>
    <row r="21584" spans="11:14" x14ac:dyDescent="0.3">
      <c r="K21584" s="1">
        <v>44287</v>
      </c>
      <c r="M21584" t="e">
        <v>#N/A</v>
      </c>
      <c r="N21584" s="1">
        <v>43831</v>
      </c>
    </row>
    <row r="21585" spans="11:14" x14ac:dyDescent="0.3">
      <c r="K21585" s="1">
        <v>44287</v>
      </c>
      <c r="M21585" t="e">
        <v>#N/A</v>
      </c>
      <c r="N21585" s="1">
        <v>43831</v>
      </c>
    </row>
    <row r="21586" spans="11:14" x14ac:dyDescent="0.3">
      <c r="K21586" s="1">
        <v>44287</v>
      </c>
      <c r="M21586" t="e">
        <v>#N/A</v>
      </c>
      <c r="N21586" s="1">
        <v>43831</v>
      </c>
    </row>
    <row r="21587" spans="11:14" x14ac:dyDescent="0.3">
      <c r="K21587" s="1">
        <v>44287</v>
      </c>
      <c r="M21587" t="e">
        <v>#N/A</v>
      </c>
      <c r="N21587" s="1">
        <v>43831</v>
      </c>
    </row>
    <row r="21588" spans="11:14" x14ac:dyDescent="0.3">
      <c r="K21588" s="1">
        <v>44287</v>
      </c>
      <c r="M21588" t="e">
        <v>#N/A</v>
      </c>
      <c r="N21588" s="1">
        <v>43831</v>
      </c>
    </row>
    <row r="21589" spans="11:14" x14ac:dyDescent="0.3">
      <c r="K21589" s="1">
        <v>44287</v>
      </c>
      <c r="M21589" t="e">
        <v>#N/A</v>
      </c>
      <c r="N21589" s="1">
        <v>43831</v>
      </c>
    </row>
    <row r="21590" spans="11:14" x14ac:dyDescent="0.3">
      <c r="K21590" s="1">
        <v>44287</v>
      </c>
      <c r="M21590" t="e">
        <v>#N/A</v>
      </c>
      <c r="N21590" s="1">
        <v>43831</v>
      </c>
    </row>
    <row r="21591" spans="11:14" x14ac:dyDescent="0.3">
      <c r="K21591" s="1">
        <v>44287</v>
      </c>
      <c r="M21591" t="e">
        <v>#N/A</v>
      </c>
      <c r="N21591" s="1">
        <v>43831</v>
      </c>
    </row>
    <row r="21592" spans="11:14" x14ac:dyDescent="0.3">
      <c r="K21592" s="1">
        <v>44287</v>
      </c>
      <c r="M21592" t="e">
        <v>#N/A</v>
      </c>
      <c r="N21592" s="1">
        <v>43831</v>
      </c>
    </row>
    <row r="21593" spans="11:14" x14ac:dyDescent="0.3">
      <c r="K21593" s="1">
        <v>44287</v>
      </c>
      <c r="M21593" t="e">
        <v>#N/A</v>
      </c>
      <c r="N21593" s="1">
        <v>43831</v>
      </c>
    </row>
    <row r="21594" spans="11:14" x14ac:dyDescent="0.3">
      <c r="K21594" s="1">
        <v>44287</v>
      </c>
      <c r="M21594" t="e">
        <v>#N/A</v>
      </c>
      <c r="N21594" s="1">
        <v>43831</v>
      </c>
    </row>
    <row r="21595" spans="11:14" x14ac:dyDescent="0.3">
      <c r="K21595" s="1">
        <v>44287</v>
      </c>
      <c r="M21595" t="e">
        <v>#N/A</v>
      </c>
      <c r="N21595" s="1">
        <v>43831</v>
      </c>
    </row>
    <row r="21596" spans="11:14" x14ac:dyDescent="0.3">
      <c r="K21596" s="1">
        <v>44287</v>
      </c>
      <c r="M21596" t="e">
        <v>#N/A</v>
      </c>
      <c r="N21596" s="1">
        <v>43831</v>
      </c>
    </row>
    <row r="21597" spans="11:14" x14ac:dyDescent="0.3">
      <c r="K21597" s="1">
        <v>44287</v>
      </c>
      <c r="M21597" t="e">
        <v>#N/A</v>
      </c>
      <c r="N21597" s="1">
        <v>43831</v>
      </c>
    </row>
    <row r="21598" spans="11:14" x14ac:dyDescent="0.3">
      <c r="K21598" s="1">
        <v>44287</v>
      </c>
      <c r="M21598" t="e">
        <v>#N/A</v>
      </c>
      <c r="N21598" s="1">
        <v>43831</v>
      </c>
    </row>
    <row r="21599" spans="11:14" x14ac:dyDescent="0.3">
      <c r="K21599" s="1">
        <v>44287</v>
      </c>
      <c r="M21599" t="e">
        <v>#N/A</v>
      </c>
      <c r="N21599" s="1">
        <v>43831</v>
      </c>
    </row>
    <row r="21600" spans="11:14" x14ac:dyDescent="0.3">
      <c r="K21600" s="1">
        <v>44287</v>
      </c>
      <c r="M21600" t="e">
        <v>#N/A</v>
      </c>
      <c r="N21600" s="1">
        <v>43831</v>
      </c>
    </row>
    <row r="21601" spans="11:14" x14ac:dyDescent="0.3">
      <c r="K21601" s="1">
        <v>44287</v>
      </c>
      <c r="M21601" t="e">
        <v>#N/A</v>
      </c>
      <c r="N21601" s="1">
        <v>43831</v>
      </c>
    </row>
    <row r="21602" spans="11:14" x14ac:dyDescent="0.3">
      <c r="K21602" s="1">
        <v>44287</v>
      </c>
      <c r="M21602" t="e">
        <v>#N/A</v>
      </c>
      <c r="N21602" s="1">
        <v>43831</v>
      </c>
    </row>
    <row r="21603" spans="11:14" x14ac:dyDescent="0.3">
      <c r="K21603" s="1">
        <v>44287</v>
      </c>
      <c r="M21603" t="e">
        <v>#N/A</v>
      </c>
      <c r="N21603" s="1">
        <v>43831</v>
      </c>
    </row>
    <row r="21604" spans="11:14" x14ac:dyDescent="0.3">
      <c r="K21604" s="1">
        <v>44287</v>
      </c>
      <c r="M21604" t="e">
        <v>#N/A</v>
      </c>
      <c r="N21604" s="1">
        <v>43831</v>
      </c>
    </row>
    <row r="21605" spans="11:14" x14ac:dyDescent="0.3">
      <c r="K21605" s="1">
        <v>44287</v>
      </c>
      <c r="M21605" t="e">
        <v>#N/A</v>
      </c>
      <c r="N21605" s="1">
        <v>43831</v>
      </c>
    </row>
    <row r="21606" spans="11:14" x14ac:dyDescent="0.3">
      <c r="K21606" s="1">
        <v>44287</v>
      </c>
      <c r="M21606" t="e">
        <v>#N/A</v>
      </c>
      <c r="N21606" s="1">
        <v>43831</v>
      </c>
    </row>
    <row r="21607" spans="11:14" x14ac:dyDescent="0.3">
      <c r="K21607" s="1">
        <v>44287</v>
      </c>
      <c r="M21607" t="e">
        <v>#N/A</v>
      </c>
      <c r="N21607" s="1">
        <v>43831</v>
      </c>
    </row>
    <row r="21608" spans="11:14" x14ac:dyDescent="0.3">
      <c r="K21608" s="1">
        <v>44287</v>
      </c>
      <c r="M21608" t="e">
        <v>#N/A</v>
      </c>
      <c r="N21608" s="1">
        <v>43831</v>
      </c>
    </row>
    <row r="21609" spans="11:14" x14ac:dyDescent="0.3">
      <c r="K21609" s="1">
        <v>44287</v>
      </c>
      <c r="M21609" t="e">
        <v>#N/A</v>
      </c>
      <c r="N21609" s="1">
        <v>43831</v>
      </c>
    </row>
    <row r="21610" spans="11:14" x14ac:dyDescent="0.3">
      <c r="K21610" s="1">
        <v>44287</v>
      </c>
      <c r="M21610" t="e">
        <v>#N/A</v>
      </c>
      <c r="N21610" s="1">
        <v>43831</v>
      </c>
    </row>
    <row r="21611" spans="11:14" x14ac:dyDescent="0.3">
      <c r="K21611" s="1">
        <v>44287</v>
      </c>
      <c r="M21611" t="e">
        <v>#N/A</v>
      </c>
      <c r="N21611" s="1">
        <v>43831</v>
      </c>
    </row>
    <row r="21612" spans="11:14" x14ac:dyDescent="0.3">
      <c r="K21612" s="1">
        <v>44287</v>
      </c>
      <c r="M21612" t="e">
        <v>#N/A</v>
      </c>
      <c r="N21612" s="1">
        <v>43831</v>
      </c>
    </row>
    <row r="21613" spans="11:14" x14ac:dyDescent="0.3">
      <c r="K21613" s="1">
        <v>44287</v>
      </c>
      <c r="M21613" t="e">
        <v>#N/A</v>
      </c>
      <c r="N21613" s="1">
        <v>43831</v>
      </c>
    </row>
    <row r="21614" spans="11:14" x14ac:dyDescent="0.3">
      <c r="K21614" s="1">
        <v>44287</v>
      </c>
      <c r="M21614" t="e">
        <v>#N/A</v>
      </c>
      <c r="N21614" s="1">
        <v>43831</v>
      </c>
    </row>
    <row r="21615" spans="11:14" x14ac:dyDescent="0.3">
      <c r="K21615" s="1">
        <v>44287</v>
      </c>
      <c r="M21615" t="e">
        <v>#N/A</v>
      </c>
      <c r="N21615" s="1">
        <v>43831</v>
      </c>
    </row>
    <row r="21616" spans="11:14" x14ac:dyDescent="0.3">
      <c r="K21616" s="1">
        <v>44287</v>
      </c>
      <c r="M21616" t="e">
        <v>#N/A</v>
      </c>
      <c r="N21616" s="1">
        <v>43831</v>
      </c>
    </row>
    <row r="21617" spans="11:14" x14ac:dyDescent="0.3">
      <c r="K21617" s="1">
        <v>44287</v>
      </c>
      <c r="M21617" t="e">
        <v>#N/A</v>
      </c>
      <c r="N21617" s="1">
        <v>43831</v>
      </c>
    </row>
    <row r="21618" spans="11:14" x14ac:dyDescent="0.3">
      <c r="K21618" s="1">
        <v>44287</v>
      </c>
      <c r="M21618" t="e">
        <v>#N/A</v>
      </c>
      <c r="N21618" s="1">
        <v>43831</v>
      </c>
    </row>
    <row r="21619" spans="11:14" x14ac:dyDescent="0.3">
      <c r="K21619" s="1">
        <v>44287</v>
      </c>
      <c r="M21619" t="e">
        <v>#N/A</v>
      </c>
      <c r="N21619" s="1">
        <v>43831</v>
      </c>
    </row>
    <row r="21620" spans="11:14" x14ac:dyDescent="0.3">
      <c r="K21620" s="1">
        <v>44287</v>
      </c>
      <c r="M21620" t="e">
        <v>#N/A</v>
      </c>
      <c r="N21620" s="1">
        <v>43831</v>
      </c>
    </row>
    <row r="21621" spans="11:14" x14ac:dyDescent="0.3">
      <c r="K21621" s="1">
        <v>44287</v>
      </c>
      <c r="M21621" t="e">
        <v>#N/A</v>
      </c>
      <c r="N21621" s="1">
        <v>43831</v>
      </c>
    </row>
    <row r="21622" spans="11:14" x14ac:dyDescent="0.3">
      <c r="K21622" s="1">
        <v>44287</v>
      </c>
      <c r="M21622" t="e">
        <v>#N/A</v>
      </c>
      <c r="N21622" s="1">
        <v>43831</v>
      </c>
    </row>
    <row r="21623" spans="11:14" x14ac:dyDescent="0.3">
      <c r="K21623" s="1">
        <v>44287</v>
      </c>
      <c r="M21623" t="e">
        <v>#N/A</v>
      </c>
      <c r="N21623" s="1">
        <v>43831</v>
      </c>
    </row>
    <row r="21624" spans="11:14" x14ac:dyDescent="0.3">
      <c r="K21624" s="1">
        <v>44287</v>
      </c>
      <c r="M21624" t="e">
        <v>#N/A</v>
      </c>
      <c r="N21624" s="1">
        <v>43831</v>
      </c>
    </row>
    <row r="21625" spans="11:14" x14ac:dyDescent="0.3">
      <c r="K21625" s="1">
        <v>44287</v>
      </c>
      <c r="M21625" t="e">
        <v>#N/A</v>
      </c>
      <c r="N21625" s="1">
        <v>43831</v>
      </c>
    </row>
    <row r="21626" spans="11:14" x14ac:dyDescent="0.3">
      <c r="K21626" s="1">
        <v>44287</v>
      </c>
      <c r="M21626" t="e">
        <v>#N/A</v>
      </c>
      <c r="N21626" s="1">
        <v>43831</v>
      </c>
    </row>
    <row r="21627" spans="11:14" x14ac:dyDescent="0.3">
      <c r="K21627" s="1">
        <v>44287</v>
      </c>
      <c r="M21627" t="e">
        <v>#N/A</v>
      </c>
      <c r="N21627" s="1">
        <v>43831</v>
      </c>
    </row>
    <row r="21628" spans="11:14" x14ac:dyDescent="0.3">
      <c r="K21628" s="1">
        <v>44287</v>
      </c>
      <c r="M21628" t="e">
        <v>#N/A</v>
      </c>
      <c r="N21628" s="1">
        <v>43831</v>
      </c>
    </row>
    <row r="21629" spans="11:14" x14ac:dyDescent="0.3">
      <c r="K21629" s="1">
        <v>44287</v>
      </c>
      <c r="M21629" t="e">
        <v>#N/A</v>
      </c>
      <c r="N21629" s="1">
        <v>43831</v>
      </c>
    </row>
    <row r="21630" spans="11:14" x14ac:dyDescent="0.3">
      <c r="K21630" s="1">
        <v>44287</v>
      </c>
      <c r="M21630" t="e">
        <v>#N/A</v>
      </c>
      <c r="N21630" s="1">
        <v>43831</v>
      </c>
    </row>
    <row r="21631" spans="11:14" x14ac:dyDescent="0.3">
      <c r="K21631" s="1">
        <v>44287</v>
      </c>
      <c r="M21631" t="e">
        <v>#N/A</v>
      </c>
      <c r="N21631" s="1">
        <v>43831</v>
      </c>
    </row>
    <row r="21632" spans="11:14" x14ac:dyDescent="0.3">
      <c r="K21632" s="1">
        <v>44287</v>
      </c>
      <c r="M21632" t="e">
        <v>#N/A</v>
      </c>
      <c r="N21632" s="1">
        <v>43831</v>
      </c>
    </row>
    <row r="21633" spans="11:14" x14ac:dyDescent="0.3">
      <c r="K21633" s="1">
        <v>44287</v>
      </c>
      <c r="M21633" t="e">
        <v>#N/A</v>
      </c>
      <c r="N21633" s="1">
        <v>43831</v>
      </c>
    </row>
    <row r="21634" spans="11:14" x14ac:dyDescent="0.3">
      <c r="K21634" s="1">
        <v>44287</v>
      </c>
      <c r="M21634" t="e">
        <v>#N/A</v>
      </c>
      <c r="N21634" s="1">
        <v>43831</v>
      </c>
    </row>
    <row r="21635" spans="11:14" x14ac:dyDescent="0.3">
      <c r="K21635" s="1">
        <v>44287</v>
      </c>
      <c r="M21635" t="e">
        <v>#N/A</v>
      </c>
      <c r="N21635" s="1">
        <v>43831</v>
      </c>
    </row>
    <row r="21636" spans="11:14" x14ac:dyDescent="0.3">
      <c r="K21636" s="1">
        <v>44287</v>
      </c>
      <c r="M21636" t="e">
        <v>#N/A</v>
      </c>
      <c r="N21636" s="1">
        <v>43831</v>
      </c>
    </row>
    <row r="21637" spans="11:14" x14ac:dyDescent="0.3">
      <c r="K21637" s="1">
        <v>44287</v>
      </c>
      <c r="M21637" t="e">
        <v>#N/A</v>
      </c>
      <c r="N21637" s="1">
        <v>43831</v>
      </c>
    </row>
    <row r="21638" spans="11:14" x14ac:dyDescent="0.3">
      <c r="K21638" s="1">
        <v>44287</v>
      </c>
      <c r="M21638" t="e">
        <v>#N/A</v>
      </c>
      <c r="N21638" s="1">
        <v>43831</v>
      </c>
    </row>
    <row r="21639" spans="11:14" x14ac:dyDescent="0.3">
      <c r="K21639" s="1">
        <v>44287</v>
      </c>
      <c r="M21639" t="e">
        <v>#N/A</v>
      </c>
      <c r="N21639" s="1">
        <v>43831</v>
      </c>
    </row>
    <row r="21640" spans="11:14" x14ac:dyDescent="0.3">
      <c r="K21640" s="1">
        <v>44287</v>
      </c>
      <c r="M21640" t="e">
        <v>#N/A</v>
      </c>
      <c r="N21640" s="1">
        <v>43831</v>
      </c>
    </row>
    <row r="21641" spans="11:14" x14ac:dyDescent="0.3">
      <c r="K21641" s="1">
        <v>44287</v>
      </c>
      <c r="M21641" t="e">
        <v>#N/A</v>
      </c>
      <c r="N21641" s="1">
        <v>43831</v>
      </c>
    </row>
    <row r="21642" spans="11:14" x14ac:dyDescent="0.3">
      <c r="K21642" s="1">
        <v>44287</v>
      </c>
      <c r="M21642" t="e">
        <v>#N/A</v>
      </c>
      <c r="N21642" s="1">
        <v>43831</v>
      </c>
    </row>
    <row r="21643" spans="11:14" x14ac:dyDescent="0.3">
      <c r="K21643" s="1">
        <v>44287</v>
      </c>
      <c r="M21643" t="e">
        <v>#N/A</v>
      </c>
      <c r="N21643" s="1">
        <v>43831</v>
      </c>
    </row>
    <row r="21644" spans="11:14" x14ac:dyDescent="0.3">
      <c r="K21644" s="1">
        <v>44287</v>
      </c>
      <c r="M21644" t="e">
        <v>#N/A</v>
      </c>
      <c r="N21644" s="1">
        <v>43831</v>
      </c>
    </row>
    <row r="21645" spans="11:14" x14ac:dyDescent="0.3">
      <c r="K21645" s="1">
        <v>44287</v>
      </c>
      <c r="M21645" t="e">
        <v>#N/A</v>
      </c>
      <c r="N21645" s="1">
        <v>43831</v>
      </c>
    </row>
    <row r="21646" spans="11:14" x14ac:dyDescent="0.3">
      <c r="K21646" s="1">
        <v>44287</v>
      </c>
      <c r="M21646" t="e">
        <v>#N/A</v>
      </c>
      <c r="N21646" s="1">
        <v>43831</v>
      </c>
    </row>
    <row r="21647" spans="11:14" x14ac:dyDescent="0.3">
      <c r="K21647" s="1">
        <v>44287</v>
      </c>
      <c r="M21647" t="e">
        <v>#N/A</v>
      </c>
      <c r="N21647" s="1">
        <v>43831</v>
      </c>
    </row>
    <row r="21648" spans="11:14" x14ac:dyDescent="0.3">
      <c r="K21648" s="1">
        <v>44287</v>
      </c>
      <c r="M21648" t="e">
        <v>#N/A</v>
      </c>
      <c r="N21648" s="1">
        <v>43831</v>
      </c>
    </row>
    <row r="21649" spans="11:14" x14ac:dyDescent="0.3">
      <c r="K21649" s="1">
        <v>44287</v>
      </c>
      <c r="M21649" t="e">
        <v>#N/A</v>
      </c>
      <c r="N21649" s="1">
        <v>43831</v>
      </c>
    </row>
    <row r="21650" spans="11:14" x14ac:dyDescent="0.3">
      <c r="K21650" s="1">
        <v>44287</v>
      </c>
      <c r="M21650" t="e">
        <v>#N/A</v>
      </c>
      <c r="N21650" s="1">
        <v>43831</v>
      </c>
    </row>
    <row r="21651" spans="11:14" x14ac:dyDescent="0.3">
      <c r="K21651" s="1">
        <v>44287</v>
      </c>
      <c r="M21651" t="e">
        <v>#N/A</v>
      </c>
      <c r="N21651" s="1">
        <v>43831</v>
      </c>
    </row>
    <row r="21652" spans="11:14" x14ac:dyDescent="0.3">
      <c r="K21652" s="1">
        <v>44287</v>
      </c>
      <c r="M21652" t="e">
        <v>#N/A</v>
      </c>
      <c r="N21652" s="1">
        <v>43831</v>
      </c>
    </row>
    <row r="21653" spans="11:14" x14ac:dyDescent="0.3">
      <c r="K21653" s="1">
        <v>44287</v>
      </c>
      <c r="M21653" t="e">
        <v>#N/A</v>
      </c>
      <c r="N21653" s="1">
        <v>43831</v>
      </c>
    </row>
    <row r="21654" spans="11:14" x14ac:dyDescent="0.3">
      <c r="K21654" s="1">
        <v>44287</v>
      </c>
      <c r="M21654" t="e">
        <v>#N/A</v>
      </c>
      <c r="N21654" s="1">
        <v>43831</v>
      </c>
    </row>
    <row r="21655" spans="11:14" x14ac:dyDescent="0.3">
      <c r="K21655" s="1">
        <v>44287</v>
      </c>
      <c r="M21655" t="e">
        <v>#N/A</v>
      </c>
      <c r="N21655" s="1">
        <v>43831</v>
      </c>
    </row>
    <row r="21656" spans="11:14" x14ac:dyDescent="0.3">
      <c r="K21656" s="1">
        <v>44287</v>
      </c>
      <c r="M21656" t="e">
        <v>#N/A</v>
      </c>
      <c r="N21656" s="1">
        <v>43831</v>
      </c>
    </row>
    <row r="21657" spans="11:14" x14ac:dyDescent="0.3">
      <c r="K21657" s="1">
        <v>44287</v>
      </c>
      <c r="M21657" t="e">
        <v>#N/A</v>
      </c>
      <c r="N21657" s="1">
        <v>43831</v>
      </c>
    </row>
    <row r="21658" spans="11:14" x14ac:dyDescent="0.3">
      <c r="K21658" s="1">
        <v>44287</v>
      </c>
      <c r="M21658" t="e">
        <v>#N/A</v>
      </c>
      <c r="N21658" s="1">
        <v>43831</v>
      </c>
    </row>
    <row r="21659" spans="11:14" x14ac:dyDescent="0.3">
      <c r="K21659" s="1">
        <v>44287</v>
      </c>
      <c r="M21659" t="e">
        <v>#N/A</v>
      </c>
      <c r="N21659" s="1">
        <v>43831</v>
      </c>
    </row>
    <row r="21660" spans="11:14" x14ac:dyDescent="0.3">
      <c r="K21660" s="1">
        <v>44287</v>
      </c>
      <c r="M21660" t="e">
        <v>#N/A</v>
      </c>
      <c r="N21660" s="1">
        <v>43831</v>
      </c>
    </row>
    <row r="21661" spans="11:14" x14ac:dyDescent="0.3">
      <c r="K21661" s="1">
        <v>44287</v>
      </c>
      <c r="M21661" t="e">
        <v>#N/A</v>
      </c>
      <c r="N21661" s="1">
        <v>43831</v>
      </c>
    </row>
    <row r="21662" spans="11:14" x14ac:dyDescent="0.3">
      <c r="K21662" s="1">
        <v>44287</v>
      </c>
      <c r="M21662" t="e">
        <v>#N/A</v>
      </c>
      <c r="N21662" s="1">
        <v>43831</v>
      </c>
    </row>
    <row r="21663" spans="11:14" x14ac:dyDescent="0.3">
      <c r="K21663" s="1">
        <v>44287</v>
      </c>
      <c r="M21663" t="e">
        <v>#N/A</v>
      </c>
      <c r="N21663" s="1">
        <v>43831</v>
      </c>
    </row>
    <row r="21664" spans="11:14" x14ac:dyDescent="0.3">
      <c r="K21664" s="1">
        <v>44287</v>
      </c>
      <c r="M21664" t="e">
        <v>#N/A</v>
      </c>
      <c r="N21664" s="1">
        <v>43831</v>
      </c>
    </row>
    <row r="21665" spans="11:14" x14ac:dyDescent="0.3">
      <c r="K21665" s="1">
        <v>44287</v>
      </c>
      <c r="M21665" t="e">
        <v>#N/A</v>
      </c>
      <c r="N21665" s="1">
        <v>43831</v>
      </c>
    </row>
    <row r="21666" spans="11:14" x14ac:dyDescent="0.3">
      <c r="K21666" s="1">
        <v>44287</v>
      </c>
      <c r="M21666" t="e">
        <v>#N/A</v>
      </c>
      <c r="N21666" s="1">
        <v>43922</v>
      </c>
    </row>
    <row r="21667" spans="11:14" x14ac:dyDescent="0.3">
      <c r="K21667" s="1">
        <v>44287</v>
      </c>
      <c r="M21667" t="e">
        <v>#N/A</v>
      </c>
      <c r="N21667" s="1">
        <v>43922</v>
      </c>
    </row>
    <row r="21668" spans="11:14" x14ac:dyDescent="0.3">
      <c r="K21668" s="1">
        <v>44287</v>
      </c>
      <c r="M21668" t="e">
        <v>#N/A</v>
      </c>
      <c r="N21668" s="1">
        <v>43922</v>
      </c>
    </row>
    <row r="21669" spans="11:14" x14ac:dyDescent="0.3">
      <c r="K21669" s="1">
        <v>44287</v>
      </c>
      <c r="M21669" t="e">
        <v>#N/A</v>
      </c>
      <c r="N21669" s="1">
        <v>43922</v>
      </c>
    </row>
    <row r="21670" spans="11:14" x14ac:dyDescent="0.3">
      <c r="K21670" s="1">
        <v>44287</v>
      </c>
      <c r="M21670" t="e">
        <v>#N/A</v>
      </c>
      <c r="N21670" s="1">
        <v>43922</v>
      </c>
    </row>
    <row r="21671" spans="11:14" x14ac:dyDescent="0.3">
      <c r="K21671" s="1">
        <v>44287</v>
      </c>
      <c r="M21671" t="e">
        <v>#N/A</v>
      </c>
      <c r="N21671" s="1">
        <v>43922</v>
      </c>
    </row>
    <row r="21672" spans="11:14" x14ac:dyDescent="0.3">
      <c r="K21672" s="1">
        <v>44287</v>
      </c>
      <c r="M21672" t="e">
        <v>#N/A</v>
      </c>
      <c r="N21672" s="1">
        <v>43922</v>
      </c>
    </row>
    <row r="21673" spans="11:14" x14ac:dyDescent="0.3">
      <c r="K21673" s="1">
        <v>44287</v>
      </c>
      <c r="M21673" t="e">
        <v>#N/A</v>
      </c>
      <c r="N21673" s="1">
        <v>43922</v>
      </c>
    </row>
    <row r="21674" spans="11:14" x14ac:dyDescent="0.3">
      <c r="K21674" s="1">
        <v>44287</v>
      </c>
      <c r="M21674" t="e">
        <v>#N/A</v>
      </c>
      <c r="N21674" s="1">
        <v>43922</v>
      </c>
    </row>
    <row r="21675" spans="11:14" x14ac:dyDescent="0.3">
      <c r="K21675" s="1">
        <v>44287</v>
      </c>
      <c r="M21675" t="e">
        <v>#N/A</v>
      </c>
      <c r="N21675" s="1">
        <v>43922</v>
      </c>
    </row>
    <row r="21676" spans="11:14" x14ac:dyDescent="0.3">
      <c r="K21676" s="1">
        <v>44287</v>
      </c>
      <c r="M21676" t="e">
        <v>#N/A</v>
      </c>
      <c r="N21676" s="1">
        <v>43922</v>
      </c>
    </row>
    <row r="21677" spans="11:14" x14ac:dyDescent="0.3">
      <c r="K21677" s="1">
        <v>44287</v>
      </c>
      <c r="M21677" t="e">
        <v>#N/A</v>
      </c>
      <c r="N21677" s="1">
        <v>43922</v>
      </c>
    </row>
    <row r="21678" spans="11:14" x14ac:dyDescent="0.3">
      <c r="K21678" s="1">
        <v>44287</v>
      </c>
      <c r="M21678" t="e">
        <v>#N/A</v>
      </c>
      <c r="N21678" s="1">
        <v>43922</v>
      </c>
    </row>
    <row r="21679" spans="11:14" x14ac:dyDescent="0.3">
      <c r="K21679" s="1">
        <v>44287</v>
      </c>
      <c r="M21679" t="e">
        <v>#N/A</v>
      </c>
      <c r="N21679" s="1">
        <v>43922</v>
      </c>
    </row>
    <row r="21680" spans="11:14" x14ac:dyDescent="0.3">
      <c r="K21680" s="1">
        <v>44287</v>
      </c>
      <c r="M21680" t="e">
        <v>#N/A</v>
      </c>
      <c r="N21680" s="1">
        <v>43922</v>
      </c>
    </row>
    <row r="21681" spans="11:14" x14ac:dyDescent="0.3">
      <c r="K21681" s="1">
        <v>44287</v>
      </c>
      <c r="M21681" t="e">
        <v>#N/A</v>
      </c>
      <c r="N21681" s="1">
        <v>43922</v>
      </c>
    </row>
    <row r="21682" spans="11:14" x14ac:dyDescent="0.3">
      <c r="K21682" s="1">
        <v>44287</v>
      </c>
      <c r="M21682" t="e">
        <v>#N/A</v>
      </c>
      <c r="N21682" s="1">
        <v>43922</v>
      </c>
    </row>
    <row r="21683" spans="11:14" x14ac:dyDescent="0.3">
      <c r="K21683" s="1">
        <v>44287</v>
      </c>
      <c r="M21683" t="e">
        <v>#N/A</v>
      </c>
      <c r="N21683" s="1">
        <v>43922</v>
      </c>
    </row>
    <row r="21684" spans="11:14" x14ac:dyDescent="0.3">
      <c r="K21684" s="1">
        <v>44287</v>
      </c>
      <c r="M21684" t="e">
        <v>#N/A</v>
      </c>
      <c r="N21684" s="1">
        <v>43922</v>
      </c>
    </row>
    <row r="21685" spans="11:14" x14ac:dyDescent="0.3">
      <c r="K21685" s="1">
        <v>44287</v>
      </c>
      <c r="M21685" t="e">
        <v>#N/A</v>
      </c>
      <c r="N21685" s="1">
        <v>43922</v>
      </c>
    </row>
    <row r="21686" spans="11:14" x14ac:dyDescent="0.3">
      <c r="K21686" s="1">
        <v>44287</v>
      </c>
      <c r="M21686" t="e">
        <v>#N/A</v>
      </c>
      <c r="N21686" s="1">
        <v>43922</v>
      </c>
    </row>
    <row r="21687" spans="11:14" x14ac:dyDescent="0.3">
      <c r="K21687" s="1">
        <v>44287</v>
      </c>
      <c r="M21687" t="e">
        <v>#N/A</v>
      </c>
      <c r="N21687" s="1">
        <v>43922</v>
      </c>
    </row>
    <row r="21688" spans="11:14" x14ac:dyDescent="0.3">
      <c r="K21688" s="1">
        <v>44287</v>
      </c>
      <c r="M21688" t="e">
        <v>#N/A</v>
      </c>
      <c r="N21688" s="1">
        <v>43922</v>
      </c>
    </row>
    <row r="21689" spans="11:14" x14ac:dyDescent="0.3">
      <c r="K21689" s="1">
        <v>44287</v>
      </c>
      <c r="M21689" t="e">
        <v>#N/A</v>
      </c>
      <c r="N21689" s="1">
        <v>43922</v>
      </c>
    </row>
    <row r="21690" spans="11:14" x14ac:dyDescent="0.3">
      <c r="K21690" s="1">
        <v>44287</v>
      </c>
      <c r="M21690" t="e">
        <v>#N/A</v>
      </c>
      <c r="N21690" s="1">
        <v>43922</v>
      </c>
    </row>
    <row r="21691" spans="11:14" x14ac:dyDescent="0.3">
      <c r="K21691" s="1">
        <v>44287</v>
      </c>
      <c r="M21691" t="e">
        <v>#N/A</v>
      </c>
      <c r="N21691" s="1">
        <v>43922</v>
      </c>
    </row>
    <row r="21692" spans="11:14" x14ac:dyDescent="0.3">
      <c r="K21692" s="1">
        <v>44287</v>
      </c>
      <c r="M21692" t="e">
        <v>#N/A</v>
      </c>
      <c r="N21692" s="1">
        <v>43922</v>
      </c>
    </row>
    <row r="21693" spans="11:14" x14ac:dyDescent="0.3">
      <c r="K21693" s="1">
        <v>44287</v>
      </c>
      <c r="M21693" t="e">
        <v>#N/A</v>
      </c>
      <c r="N21693" s="1">
        <v>43922</v>
      </c>
    </row>
    <row r="21694" spans="11:14" x14ac:dyDescent="0.3">
      <c r="K21694" s="1">
        <v>44287</v>
      </c>
      <c r="M21694" t="e">
        <v>#N/A</v>
      </c>
      <c r="N21694" s="1">
        <v>43922</v>
      </c>
    </row>
    <row r="21695" spans="11:14" x14ac:dyDescent="0.3">
      <c r="K21695" s="1">
        <v>44287</v>
      </c>
      <c r="M21695" t="e">
        <v>#N/A</v>
      </c>
      <c r="N21695" s="1">
        <v>43922</v>
      </c>
    </row>
    <row r="21696" spans="11:14" x14ac:dyDescent="0.3">
      <c r="K21696" s="1">
        <v>44287</v>
      </c>
      <c r="M21696" t="e">
        <v>#N/A</v>
      </c>
      <c r="N21696" s="1">
        <v>43922</v>
      </c>
    </row>
    <row r="21697" spans="11:14" x14ac:dyDescent="0.3">
      <c r="K21697" s="1">
        <v>44287</v>
      </c>
      <c r="M21697" t="e">
        <v>#N/A</v>
      </c>
      <c r="N21697" s="1">
        <v>43922</v>
      </c>
    </row>
    <row r="21698" spans="11:14" x14ac:dyDescent="0.3">
      <c r="K21698" s="1">
        <v>44287</v>
      </c>
      <c r="M21698" t="e">
        <v>#N/A</v>
      </c>
      <c r="N21698" s="1">
        <v>43922</v>
      </c>
    </row>
    <row r="21699" spans="11:14" x14ac:dyDescent="0.3">
      <c r="K21699" s="1">
        <v>44287</v>
      </c>
      <c r="M21699" t="e">
        <v>#N/A</v>
      </c>
      <c r="N21699" s="1">
        <v>43922</v>
      </c>
    </row>
    <row r="21700" spans="11:14" x14ac:dyDescent="0.3">
      <c r="K21700" s="1">
        <v>44287</v>
      </c>
      <c r="M21700" t="e">
        <v>#N/A</v>
      </c>
      <c r="N21700" s="1">
        <v>43922</v>
      </c>
    </row>
    <row r="21701" spans="11:14" x14ac:dyDescent="0.3">
      <c r="K21701" s="1">
        <v>44287</v>
      </c>
      <c r="M21701" t="e">
        <v>#N/A</v>
      </c>
      <c r="N21701" s="1">
        <v>43922</v>
      </c>
    </row>
    <row r="21702" spans="11:14" x14ac:dyDescent="0.3">
      <c r="K21702" s="1">
        <v>44287</v>
      </c>
      <c r="M21702" t="e">
        <v>#N/A</v>
      </c>
      <c r="N21702" s="1">
        <v>43922</v>
      </c>
    </row>
    <row r="21703" spans="11:14" x14ac:dyDescent="0.3">
      <c r="K21703" s="1">
        <v>44287</v>
      </c>
      <c r="M21703" t="e">
        <v>#N/A</v>
      </c>
      <c r="N21703" s="1">
        <v>43922</v>
      </c>
    </row>
    <row r="21704" spans="11:14" x14ac:dyDescent="0.3">
      <c r="K21704" s="1">
        <v>44287</v>
      </c>
      <c r="M21704" t="e">
        <v>#N/A</v>
      </c>
      <c r="N21704" s="1">
        <v>43922</v>
      </c>
    </row>
    <row r="21705" spans="11:14" x14ac:dyDescent="0.3">
      <c r="K21705" s="1">
        <v>44287</v>
      </c>
      <c r="M21705" t="e">
        <v>#N/A</v>
      </c>
      <c r="N21705" s="1">
        <v>43922</v>
      </c>
    </row>
    <row r="21706" spans="11:14" x14ac:dyDescent="0.3">
      <c r="K21706" s="1">
        <v>44287</v>
      </c>
      <c r="M21706" t="e">
        <v>#N/A</v>
      </c>
      <c r="N21706" s="1">
        <v>43922</v>
      </c>
    </row>
    <row r="21707" spans="11:14" x14ac:dyDescent="0.3">
      <c r="K21707" s="1">
        <v>44287</v>
      </c>
      <c r="M21707" t="e">
        <v>#N/A</v>
      </c>
      <c r="N21707" s="1">
        <v>43922</v>
      </c>
    </row>
    <row r="21708" spans="11:14" x14ac:dyDescent="0.3">
      <c r="K21708" s="1">
        <v>44287</v>
      </c>
      <c r="M21708" t="e">
        <v>#N/A</v>
      </c>
      <c r="N21708" s="1">
        <v>43922</v>
      </c>
    </row>
    <row r="21709" spans="11:14" x14ac:dyDescent="0.3">
      <c r="K21709" s="1">
        <v>44287</v>
      </c>
      <c r="M21709" t="e">
        <v>#N/A</v>
      </c>
      <c r="N21709" s="1">
        <v>43922</v>
      </c>
    </row>
    <row r="21710" spans="11:14" x14ac:dyDescent="0.3">
      <c r="K21710" s="1">
        <v>44287</v>
      </c>
      <c r="M21710" t="e">
        <v>#N/A</v>
      </c>
      <c r="N21710" s="1">
        <v>43922</v>
      </c>
    </row>
    <row r="21711" spans="11:14" x14ac:dyDescent="0.3">
      <c r="K21711" s="1">
        <v>44287</v>
      </c>
      <c r="M21711" t="e">
        <v>#N/A</v>
      </c>
      <c r="N21711" s="1">
        <v>43922</v>
      </c>
    </row>
    <row r="21712" spans="11:14" x14ac:dyDescent="0.3">
      <c r="K21712" s="1">
        <v>44287</v>
      </c>
      <c r="M21712" t="e">
        <v>#N/A</v>
      </c>
      <c r="N21712" s="1">
        <v>43922</v>
      </c>
    </row>
    <row r="21713" spans="11:14" x14ac:dyDescent="0.3">
      <c r="K21713" s="1">
        <v>44287</v>
      </c>
      <c r="M21713" t="e">
        <v>#N/A</v>
      </c>
      <c r="N21713" s="1">
        <v>43922</v>
      </c>
    </row>
    <row r="21714" spans="11:14" x14ac:dyDescent="0.3">
      <c r="K21714" s="1">
        <v>44287</v>
      </c>
      <c r="M21714" t="e">
        <v>#N/A</v>
      </c>
      <c r="N21714" s="1">
        <v>43922</v>
      </c>
    </row>
    <row r="21715" spans="11:14" x14ac:dyDescent="0.3">
      <c r="K21715" s="1">
        <v>44287</v>
      </c>
      <c r="M21715" t="e">
        <v>#N/A</v>
      </c>
      <c r="N21715" s="1">
        <v>43922</v>
      </c>
    </row>
    <row r="21716" spans="11:14" x14ac:dyDescent="0.3">
      <c r="K21716" s="1">
        <v>44287</v>
      </c>
      <c r="M21716" t="e">
        <v>#N/A</v>
      </c>
      <c r="N21716" s="1">
        <v>43922</v>
      </c>
    </row>
    <row r="21717" spans="11:14" x14ac:dyDescent="0.3">
      <c r="K21717" s="1">
        <v>44287</v>
      </c>
      <c r="M21717" t="e">
        <v>#N/A</v>
      </c>
      <c r="N21717" s="1">
        <v>43922</v>
      </c>
    </row>
    <row r="21718" spans="11:14" x14ac:dyDescent="0.3">
      <c r="K21718" s="1">
        <v>44287</v>
      </c>
      <c r="M21718" t="e">
        <v>#N/A</v>
      </c>
      <c r="N21718" s="1">
        <v>43922</v>
      </c>
    </row>
    <row r="21719" spans="11:14" x14ac:dyDescent="0.3">
      <c r="K21719" s="1">
        <v>44287</v>
      </c>
      <c r="M21719" t="e">
        <v>#N/A</v>
      </c>
      <c r="N21719" s="1">
        <v>43922</v>
      </c>
    </row>
    <row r="21720" spans="11:14" x14ac:dyDescent="0.3">
      <c r="K21720" s="1">
        <v>44287</v>
      </c>
      <c r="M21720" t="e">
        <v>#N/A</v>
      </c>
      <c r="N21720" s="1">
        <v>43922</v>
      </c>
    </row>
    <row r="21721" spans="11:14" x14ac:dyDescent="0.3">
      <c r="K21721" s="1">
        <v>44287</v>
      </c>
      <c r="M21721" t="e">
        <v>#N/A</v>
      </c>
      <c r="N21721" s="1">
        <v>43922</v>
      </c>
    </row>
    <row r="21722" spans="11:14" x14ac:dyDescent="0.3">
      <c r="K21722" s="1">
        <v>44287</v>
      </c>
      <c r="M21722" t="e">
        <v>#N/A</v>
      </c>
      <c r="N21722" s="1">
        <v>43922</v>
      </c>
    </row>
    <row r="21723" spans="11:14" x14ac:dyDescent="0.3">
      <c r="K21723" s="1">
        <v>44287</v>
      </c>
      <c r="M21723" t="e">
        <v>#N/A</v>
      </c>
      <c r="N21723" s="1">
        <v>43922</v>
      </c>
    </row>
    <row r="21724" spans="11:14" x14ac:dyDescent="0.3">
      <c r="K21724" s="1">
        <v>44287</v>
      </c>
      <c r="M21724" t="e">
        <v>#N/A</v>
      </c>
      <c r="N21724" s="1">
        <v>43922</v>
      </c>
    </row>
    <row r="21725" spans="11:14" x14ac:dyDescent="0.3">
      <c r="K21725" s="1">
        <v>44287</v>
      </c>
      <c r="M21725" t="e">
        <v>#N/A</v>
      </c>
      <c r="N21725" s="1">
        <v>43922</v>
      </c>
    </row>
    <row r="21726" spans="11:14" x14ac:dyDescent="0.3">
      <c r="K21726" s="1">
        <v>44287</v>
      </c>
      <c r="M21726" t="e">
        <v>#N/A</v>
      </c>
      <c r="N21726" s="1">
        <v>43922</v>
      </c>
    </row>
    <row r="21727" spans="11:14" x14ac:dyDescent="0.3">
      <c r="K21727" s="1">
        <v>44287</v>
      </c>
      <c r="M21727" t="e">
        <v>#N/A</v>
      </c>
      <c r="N21727" s="1">
        <v>43922</v>
      </c>
    </row>
    <row r="21728" spans="11:14" x14ac:dyDescent="0.3">
      <c r="K21728" s="1">
        <v>44287</v>
      </c>
      <c r="M21728" t="e">
        <v>#N/A</v>
      </c>
      <c r="N21728" s="1">
        <v>43922</v>
      </c>
    </row>
    <row r="21729" spans="11:14" x14ac:dyDescent="0.3">
      <c r="K21729" s="1">
        <v>44287</v>
      </c>
      <c r="M21729" t="e">
        <v>#N/A</v>
      </c>
      <c r="N21729" s="1">
        <v>43922</v>
      </c>
    </row>
    <row r="21730" spans="11:14" x14ac:dyDescent="0.3">
      <c r="K21730" s="1">
        <v>44287</v>
      </c>
      <c r="M21730" t="e">
        <v>#N/A</v>
      </c>
      <c r="N21730" s="1">
        <v>43922</v>
      </c>
    </row>
    <row r="21731" spans="11:14" x14ac:dyDescent="0.3">
      <c r="K21731" s="1">
        <v>44287</v>
      </c>
      <c r="M21731" t="e">
        <v>#N/A</v>
      </c>
      <c r="N21731" s="1">
        <v>43922</v>
      </c>
    </row>
    <row r="21732" spans="11:14" x14ac:dyDescent="0.3">
      <c r="K21732" s="1">
        <v>44287</v>
      </c>
      <c r="M21732" t="e">
        <v>#N/A</v>
      </c>
      <c r="N21732" s="1">
        <v>43922</v>
      </c>
    </row>
    <row r="21733" spans="11:14" x14ac:dyDescent="0.3">
      <c r="K21733" s="1">
        <v>44287</v>
      </c>
      <c r="M21733" t="e">
        <v>#N/A</v>
      </c>
      <c r="N21733" s="1">
        <v>43922</v>
      </c>
    </row>
    <row r="21734" spans="11:14" x14ac:dyDescent="0.3">
      <c r="K21734" s="1">
        <v>44287</v>
      </c>
      <c r="M21734" t="e">
        <v>#N/A</v>
      </c>
      <c r="N21734" s="1">
        <v>43922</v>
      </c>
    </row>
    <row r="21735" spans="11:14" x14ac:dyDescent="0.3">
      <c r="K21735" s="1">
        <v>44287</v>
      </c>
      <c r="M21735" t="e">
        <v>#N/A</v>
      </c>
      <c r="N21735" s="1">
        <v>43922</v>
      </c>
    </row>
    <row r="21736" spans="11:14" x14ac:dyDescent="0.3">
      <c r="K21736" s="1">
        <v>44287</v>
      </c>
      <c r="M21736" t="e">
        <v>#N/A</v>
      </c>
      <c r="N21736" s="1">
        <v>43922</v>
      </c>
    </row>
    <row r="21737" spans="11:14" x14ac:dyDescent="0.3">
      <c r="K21737" s="1">
        <v>44287</v>
      </c>
      <c r="M21737" t="e">
        <v>#N/A</v>
      </c>
      <c r="N21737" s="1">
        <v>43922</v>
      </c>
    </row>
    <row r="21738" spans="11:14" x14ac:dyDescent="0.3">
      <c r="K21738" s="1">
        <v>44287</v>
      </c>
      <c r="M21738" t="e">
        <v>#N/A</v>
      </c>
      <c r="N21738" s="1">
        <v>43922</v>
      </c>
    </row>
    <row r="21739" spans="11:14" x14ac:dyDescent="0.3">
      <c r="K21739" s="1">
        <v>44287</v>
      </c>
      <c r="M21739" t="e">
        <v>#N/A</v>
      </c>
      <c r="N21739" s="1">
        <v>43922</v>
      </c>
    </row>
    <row r="21740" spans="11:14" x14ac:dyDescent="0.3">
      <c r="K21740" s="1">
        <v>44287</v>
      </c>
      <c r="M21740" t="e">
        <v>#N/A</v>
      </c>
      <c r="N21740" s="1">
        <v>43922</v>
      </c>
    </row>
    <row r="21741" spans="11:14" x14ac:dyDescent="0.3">
      <c r="K21741" s="1">
        <v>44287</v>
      </c>
      <c r="M21741" t="e">
        <v>#N/A</v>
      </c>
      <c r="N21741" s="1">
        <v>43922</v>
      </c>
    </row>
    <row r="21742" spans="11:14" x14ac:dyDescent="0.3">
      <c r="K21742" s="1">
        <v>44287</v>
      </c>
      <c r="M21742" t="e">
        <v>#N/A</v>
      </c>
      <c r="N21742" s="1">
        <v>43922</v>
      </c>
    </row>
    <row r="21743" spans="11:14" x14ac:dyDescent="0.3">
      <c r="K21743" s="1">
        <v>44287</v>
      </c>
      <c r="M21743" t="e">
        <v>#N/A</v>
      </c>
      <c r="N21743" s="1">
        <v>43922</v>
      </c>
    </row>
    <row r="21744" spans="11:14" x14ac:dyDescent="0.3">
      <c r="K21744" s="1">
        <v>44287</v>
      </c>
      <c r="M21744" t="e">
        <v>#N/A</v>
      </c>
      <c r="N21744" s="1">
        <v>43922</v>
      </c>
    </row>
    <row r="21745" spans="11:14" x14ac:dyDescent="0.3">
      <c r="K21745" s="1">
        <v>44287</v>
      </c>
      <c r="M21745" t="e">
        <v>#N/A</v>
      </c>
      <c r="N21745" s="1">
        <v>43922</v>
      </c>
    </row>
    <row r="21746" spans="11:14" x14ac:dyDescent="0.3">
      <c r="K21746" s="1">
        <v>44287</v>
      </c>
      <c r="M21746" t="e">
        <v>#N/A</v>
      </c>
      <c r="N21746" s="1">
        <v>43922</v>
      </c>
    </row>
    <row r="21747" spans="11:14" x14ac:dyDescent="0.3">
      <c r="K21747" s="1">
        <v>44287</v>
      </c>
      <c r="M21747" t="e">
        <v>#N/A</v>
      </c>
      <c r="N21747" s="1">
        <v>43922</v>
      </c>
    </row>
    <row r="21748" spans="11:14" x14ac:dyDescent="0.3">
      <c r="K21748" s="1">
        <v>44287</v>
      </c>
      <c r="M21748" t="e">
        <v>#N/A</v>
      </c>
      <c r="N21748" s="1">
        <v>43922</v>
      </c>
    </row>
    <row r="21749" spans="11:14" x14ac:dyDescent="0.3">
      <c r="K21749" s="1">
        <v>44287</v>
      </c>
      <c r="M21749" t="e">
        <v>#N/A</v>
      </c>
      <c r="N21749" s="1">
        <v>43922</v>
      </c>
    </row>
    <row r="21750" spans="11:14" x14ac:dyDescent="0.3">
      <c r="K21750" s="1">
        <v>44287</v>
      </c>
      <c r="M21750" t="e">
        <v>#N/A</v>
      </c>
      <c r="N21750" s="1">
        <v>43922</v>
      </c>
    </row>
    <row r="21751" spans="11:14" x14ac:dyDescent="0.3">
      <c r="K21751" s="1">
        <v>44287</v>
      </c>
      <c r="M21751" t="e">
        <v>#N/A</v>
      </c>
      <c r="N21751" s="1">
        <v>43922</v>
      </c>
    </row>
    <row r="21752" spans="11:14" x14ac:dyDescent="0.3">
      <c r="K21752" s="1">
        <v>44287</v>
      </c>
      <c r="M21752" t="e">
        <v>#N/A</v>
      </c>
      <c r="N21752" s="1">
        <v>43922</v>
      </c>
    </row>
    <row r="21753" spans="11:14" x14ac:dyDescent="0.3">
      <c r="K21753" s="1">
        <v>44287</v>
      </c>
      <c r="M21753" t="e">
        <v>#N/A</v>
      </c>
      <c r="N21753" s="1">
        <v>43922</v>
      </c>
    </row>
    <row r="21754" spans="11:14" x14ac:dyDescent="0.3">
      <c r="K21754" s="1">
        <v>44287</v>
      </c>
      <c r="M21754" t="e">
        <v>#N/A</v>
      </c>
      <c r="N21754" s="1">
        <v>43922</v>
      </c>
    </row>
    <row r="21755" spans="11:14" x14ac:dyDescent="0.3">
      <c r="K21755" s="1">
        <v>44287</v>
      </c>
      <c r="M21755" t="e">
        <v>#N/A</v>
      </c>
      <c r="N21755" s="1">
        <v>43922</v>
      </c>
    </row>
    <row r="21756" spans="11:14" x14ac:dyDescent="0.3">
      <c r="K21756" s="1">
        <v>44287</v>
      </c>
      <c r="M21756" t="e">
        <v>#N/A</v>
      </c>
      <c r="N21756" s="1">
        <v>43922</v>
      </c>
    </row>
    <row r="21757" spans="11:14" x14ac:dyDescent="0.3">
      <c r="K21757" s="1">
        <v>44287</v>
      </c>
      <c r="M21757" t="e">
        <v>#N/A</v>
      </c>
      <c r="N21757" s="1">
        <v>43922</v>
      </c>
    </row>
    <row r="21758" spans="11:14" x14ac:dyDescent="0.3">
      <c r="K21758" s="1">
        <v>44287</v>
      </c>
      <c r="M21758" t="e">
        <v>#N/A</v>
      </c>
      <c r="N21758" s="1">
        <v>43922</v>
      </c>
    </row>
    <row r="21759" spans="11:14" x14ac:dyDescent="0.3">
      <c r="K21759" s="1">
        <v>44287</v>
      </c>
      <c r="M21759" t="e">
        <v>#N/A</v>
      </c>
      <c r="N21759" s="1">
        <v>43922</v>
      </c>
    </row>
    <row r="21760" spans="11:14" x14ac:dyDescent="0.3">
      <c r="K21760" s="1">
        <v>44287</v>
      </c>
      <c r="M21760" t="e">
        <v>#N/A</v>
      </c>
      <c r="N21760" s="1">
        <v>43922</v>
      </c>
    </row>
    <row r="21761" spans="11:14" x14ac:dyDescent="0.3">
      <c r="K21761" s="1">
        <v>44287</v>
      </c>
      <c r="M21761" t="e">
        <v>#N/A</v>
      </c>
      <c r="N21761" s="1">
        <v>43922</v>
      </c>
    </row>
    <row r="21762" spans="11:14" x14ac:dyDescent="0.3">
      <c r="K21762" s="1">
        <v>44287</v>
      </c>
      <c r="M21762" t="e">
        <v>#N/A</v>
      </c>
      <c r="N21762" s="1">
        <v>43922</v>
      </c>
    </row>
    <row r="21763" spans="11:14" x14ac:dyDescent="0.3">
      <c r="K21763" s="1">
        <v>44287</v>
      </c>
      <c r="M21763" t="e">
        <v>#N/A</v>
      </c>
      <c r="N21763" s="1">
        <v>43922</v>
      </c>
    </row>
    <row r="21764" spans="11:14" x14ac:dyDescent="0.3">
      <c r="K21764" s="1">
        <v>44287</v>
      </c>
      <c r="M21764" t="e">
        <v>#N/A</v>
      </c>
      <c r="N21764" s="1">
        <v>43922</v>
      </c>
    </row>
    <row r="21765" spans="11:14" x14ac:dyDescent="0.3">
      <c r="K21765" s="1">
        <v>44287</v>
      </c>
      <c r="M21765" t="e">
        <v>#N/A</v>
      </c>
      <c r="N21765" s="1">
        <v>43922</v>
      </c>
    </row>
    <row r="21766" spans="11:14" x14ac:dyDescent="0.3">
      <c r="K21766" s="1">
        <v>44287</v>
      </c>
      <c r="M21766" t="e">
        <v>#N/A</v>
      </c>
      <c r="N21766" s="1">
        <v>43922</v>
      </c>
    </row>
    <row r="21767" spans="11:14" x14ac:dyDescent="0.3">
      <c r="K21767" s="1">
        <v>44287</v>
      </c>
      <c r="M21767" t="e">
        <v>#N/A</v>
      </c>
      <c r="N21767" s="1">
        <v>43922</v>
      </c>
    </row>
    <row r="21768" spans="11:14" x14ac:dyDescent="0.3">
      <c r="K21768" s="1">
        <v>44287</v>
      </c>
      <c r="M21768" t="e">
        <v>#N/A</v>
      </c>
      <c r="N21768" s="1">
        <v>43922</v>
      </c>
    </row>
    <row r="21769" spans="11:14" x14ac:dyDescent="0.3">
      <c r="K21769" s="1">
        <v>44287</v>
      </c>
      <c r="M21769" t="e">
        <v>#N/A</v>
      </c>
      <c r="N21769" s="1">
        <v>43922</v>
      </c>
    </row>
    <row r="21770" spans="11:14" x14ac:dyDescent="0.3">
      <c r="K21770" s="1">
        <v>44287</v>
      </c>
      <c r="M21770" t="e">
        <v>#N/A</v>
      </c>
      <c r="N21770" s="1">
        <v>43922</v>
      </c>
    </row>
    <row r="21771" spans="11:14" x14ac:dyDescent="0.3">
      <c r="K21771" s="1">
        <v>44287</v>
      </c>
      <c r="M21771" t="e">
        <v>#N/A</v>
      </c>
      <c r="N21771" s="1">
        <v>43922</v>
      </c>
    </row>
    <row r="21772" spans="11:14" x14ac:dyDescent="0.3">
      <c r="K21772" s="1">
        <v>44287</v>
      </c>
      <c r="M21772" t="e">
        <v>#N/A</v>
      </c>
      <c r="N21772" s="1">
        <v>43922</v>
      </c>
    </row>
    <row r="21773" spans="11:14" x14ac:dyDescent="0.3">
      <c r="K21773" s="1">
        <v>44287</v>
      </c>
      <c r="M21773" t="e">
        <v>#N/A</v>
      </c>
      <c r="N21773" s="1">
        <v>43922</v>
      </c>
    </row>
    <row r="21774" spans="11:14" x14ac:dyDescent="0.3">
      <c r="K21774" s="1">
        <v>44287</v>
      </c>
      <c r="M21774" t="e">
        <v>#N/A</v>
      </c>
      <c r="N21774" s="1">
        <v>43922</v>
      </c>
    </row>
    <row r="21775" spans="11:14" x14ac:dyDescent="0.3">
      <c r="K21775" s="1">
        <v>44287</v>
      </c>
      <c r="M21775" t="e">
        <v>#N/A</v>
      </c>
      <c r="N21775" s="1">
        <v>43922</v>
      </c>
    </row>
    <row r="21776" spans="11:14" x14ac:dyDescent="0.3">
      <c r="K21776" s="1">
        <v>44287</v>
      </c>
      <c r="M21776" t="e">
        <v>#N/A</v>
      </c>
      <c r="N21776" s="1">
        <v>43922</v>
      </c>
    </row>
    <row r="21777" spans="11:14" x14ac:dyDescent="0.3">
      <c r="K21777" s="1">
        <v>44287</v>
      </c>
      <c r="M21777" t="e">
        <v>#N/A</v>
      </c>
      <c r="N21777" s="1">
        <v>43922</v>
      </c>
    </row>
    <row r="21778" spans="11:14" x14ac:dyDescent="0.3">
      <c r="K21778" s="1">
        <v>44287</v>
      </c>
      <c r="M21778" t="e">
        <v>#N/A</v>
      </c>
      <c r="N21778" s="1">
        <v>43922</v>
      </c>
    </row>
    <row r="21779" spans="11:14" x14ac:dyDescent="0.3">
      <c r="K21779" s="1">
        <v>44287</v>
      </c>
      <c r="M21779" t="e">
        <v>#N/A</v>
      </c>
      <c r="N21779" s="1">
        <v>43922</v>
      </c>
    </row>
    <row r="21780" spans="11:14" x14ac:dyDescent="0.3">
      <c r="K21780" s="1">
        <v>44287</v>
      </c>
      <c r="M21780" t="e">
        <v>#N/A</v>
      </c>
      <c r="N21780" s="1">
        <v>43922</v>
      </c>
    </row>
    <row r="21781" spans="11:14" x14ac:dyDescent="0.3">
      <c r="K21781" s="1">
        <v>44287</v>
      </c>
      <c r="M21781" t="e">
        <v>#N/A</v>
      </c>
      <c r="N21781" s="1">
        <v>43922</v>
      </c>
    </row>
    <row r="21782" spans="11:14" x14ac:dyDescent="0.3">
      <c r="K21782" s="1">
        <v>44287</v>
      </c>
      <c r="M21782" t="e">
        <v>#N/A</v>
      </c>
      <c r="N21782" s="1">
        <v>43922</v>
      </c>
    </row>
    <row r="21783" spans="11:14" x14ac:dyDescent="0.3">
      <c r="K21783" s="1">
        <v>44287</v>
      </c>
      <c r="M21783" t="e">
        <v>#N/A</v>
      </c>
      <c r="N21783" s="1">
        <v>43922</v>
      </c>
    </row>
    <row r="21784" spans="11:14" x14ac:dyDescent="0.3">
      <c r="K21784" s="1">
        <v>44287</v>
      </c>
      <c r="M21784" t="e">
        <v>#N/A</v>
      </c>
      <c r="N21784" s="1">
        <v>43922</v>
      </c>
    </row>
    <row r="21785" spans="11:14" x14ac:dyDescent="0.3">
      <c r="K21785" s="1">
        <v>44287</v>
      </c>
      <c r="M21785" t="e">
        <v>#N/A</v>
      </c>
      <c r="N21785" s="1">
        <v>43922</v>
      </c>
    </row>
    <row r="21786" spans="11:14" x14ac:dyDescent="0.3">
      <c r="K21786" s="1">
        <v>44287</v>
      </c>
      <c r="M21786" t="e">
        <v>#N/A</v>
      </c>
      <c r="N21786" s="1">
        <v>43922</v>
      </c>
    </row>
    <row r="21787" spans="11:14" x14ac:dyDescent="0.3">
      <c r="K21787" s="1">
        <v>44287</v>
      </c>
      <c r="M21787" t="e">
        <v>#N/A</v>
      </c>
      <c r="N21787" s="1">
        <v>43922</v>
      </c>
    </row>
    <row r="21788" spans="11:14" x14ac:dyDescent="0.3">
      <c r="K21788" s="1">
        <v>44287</v>
      </c>
      <c r="M21788" t="e">
        <v>#N/A</v>
      </c>
      <c r="N21788" s="1">
        <v>43922</v>
      </c>
    </row>
    <row r="21789" spans="11:14" x14ac:dyDescent="0.3">
      <c r="K21789" s="1">
        <v>44287</v>
      </c>
      <c r="M21789" t="e">
        <v>#N/A</v>
      </c>
      <c r="N21789" s="1">
        <v>43922</v>
      </c>
    </row>
    <row r="21790" spans="11:14" x14ac:dyDescent="0.3">
      <c r="K21790" s="1">
        <v>44287</v>
      </c>
      <c r="M21790" t="e">
        <v>#N/A</v>
      </c>
      <c r="N21790" s="1">
        <v>43922</v>
      </c>
    </row>
    <row r="21791" spans="11:14" x14ac:dyDescent="0.3">
      <c r="K21791" s="1">
        <v>44287</v>
      </c>
      <c r="M21791" t="e">
        <v>#N/A</v>
      </c>
      <c r="N21791" s="1">
        <v>43922</v>
      </c>
    </row>
    <row r="21792" spans="11:14" x14ac:dyDescent="0.3">
      <c r="K21792" s="1">
        <v>44287</v>
      </c>
      <c r="M21792" t="e">
        <v>#N/A</v>
      </c>
      <c r="N21792" s="1">
        <v>43922</v>
      </c>
    </row>
    <row r="21793" spans="11:14" x14ac:dyDescent="0.3">
      <c r="K21793" s="1">
        <v>44287</v>
      </c>
      <c r="M21793" t="e">
        <v>#N/A</v>
      </c>
      <c r="N21793" s="1">
        <v>43922</v>
      </c>
    </row>
    <row r="21794" spans="11:14" x14ac:dyDescent="0.3">
      <c r="K21794" s="1">
        <v>44287</v>
      </c>
      <c r="M21794" t="e">
        <v>#N/A</v>
      </c>
      <c r="N21794" s="1">
        <v>43922</v>
      </c>
    </row>
    <row r="21795" spans="11:14" x14ac:dyDescent="0.3">
      <c r="K21795" s="1">
        <v>44287</v>
      </c>
      <c r="M21795" t="e">
        <v>#N/A</v>
      </c>
      <c r="N21795" s="1">
        <v>43922</v>
      </c>
    </row>
    <row r="21796" spans="11:14" x14ac:dyDescent="0.3">
      <c r="K21796" s="1">
        <v>44287</v>
      </c>
      <c r="M21796" t="e">
        <v>#N/A</v>
      </c>
      <c r="N21796" s="1">
        <v>43922</v>
      </c>
    </row>
    <row r="21797" spans="11:14" x14ac:dyDescent="0.3">
      <c r="K21797" s="1">
        <v>44287</v>
      </c>
      <c r="M21797" t="e">
        <v>#N/A</v>
      </c>
      <c r="N21797" s="1">
        <v>43922</v>
      </c>
    </row>
    <row r="21798" spans="11:14" x14ac:dyDescent="0.3">
      <c r="K21798" s="1">
        <v>44287</v>
      </c>
      <c r="M21798" t="e">
        <v>#N/A</v>
      </c>
      <c r="N21798" s="1">
        <v>43922</v>
      </c>
    </row>
    <row r="21799" spans="11:14" x14ac:dyDescent="0.3">
      <c r="K21799" s="1">
        <v>44287</v>
      </c>
      <c r="M21799" t="e">
        <v>#N/A</v>
      </c>
      <c r="N21799" s="1">
        <v>43922</v>
      </c>
    </row>
    <row r="21800" spans="11:14" x14ac:dyDescent="0.3">
      <c r="K21800" s="1">
        <v>44287</v>
      </c>
      <c r="M21800" t="e">
        <v>#N/A</v>
      </c>
      <c r="N21800" s="1">
        <v>43922</v>
      </c>
    </row>
    <row r="21801" spans="11:14" x14ac:dyDescent="0.3">
      <c r="K21801" s="1">
        <v>44287</v>
      </c>
      <c r="M21801" t="e">
        <v>#N/A</v>
      </c>
      <c r="N21801" s="1">
        <v>43922</v>
      </c>
    </row>
    <row r="21802" spans="11:14" x14ac:dyDescent="0.3">
      <c r="K21802" s="1">
        <v>44287</v>
      </c>
      <c r="M21802" t="e">
        <v>#N/A</v>
      </c>
      <c r="N21802" s="1">
        <v>43922</v>
      </c>
    </row>
    <row r="21803" spans="11:14" x14ac:dyDescent="0.3">
      <c r="K21803" s="1">
        <v>44287</v>
      </c>
      <c r="M21803" t="e">
        <v>#N/A</v>
      </c>
      <c r="N21803" s="1">
        <v>43922</v>
      </c>
    </row>
    <row r="21804" spans="11:14" x14ac:dyDescent="0.3">
      <c r="K21804" s="1">
        <v>44287</v>
      </c>
      <c r="M21804" t="e">
        <v>#N/A</v>
      </c>
      <c r="N21804" s="1">
        <v>43922</v>
      </c>
    </row>
    <row r="21805" spans="11:14" x14ac:dyDescent="0.3">
      <c r="K21805" s="1">
        <v>44287</v>
      </c>
      <c r="M21805" t="e">
        <v>#N/A</v>
      </c>
      <c r="N21805" s="1">
        <v>43922</v>
      </c>
    </row>
    <row r="21806" spans="11:14" x14ac:dyDescent="0.3">
      <c r="K21806" s="1">
        <v>44287</v>
      </c>
      <c r="M21806" t="e">
        <v>#N/A</v>
      </c>
      <c r="N21806" s="1">
        <v>43922</v>
      </c>
    </row>
    <row r="21807" spans="11:14" x14ac:dyDescent="0.3">
      <c r="K21807" s="1">
        <v>44287</v>
      </c>
      <c r="M21807" t="e">
        <v>#N/A</v>
      </c>
      <c r="N21807" s="1">
        <v>43922</v>
      </c>
    </row>
    <row r="21808" spans="11:14" x14ac:dyDescent="0.3">
      <c r="K21808" s="1">
        <v>44287</v>
      </c>
      <c r="M21808" t="e">
        <v>#N/A</v>
      </c>
      <c r="N21808" s="1">
        <v>43922</v>
      </c>
    </row>
    <row r="21809" spans="11:14" x14ac:dyDescent="0.3">
      <c r="K21809" s="1">
        <v>44287</v>
      </c>
      <c r="M21809" t="e">
        <v>#N/A</v>
      </c>
      <c r="N21809" s="1">
        <v>43922</v>
      </c>
    </row>
    <row r="21810" spans="11:14" x14ac:dyDescent="0.3">
      <c r="K21810" s="1">
        <v>44287</v>
      </c>
      <c r="M21810" t="e">
        <v>#N/A</v>
      </c>
      <c r="N21810" s="1">
        <v>43922</v>
      </c>
    </row>
    <row r="21811" spans="11:14" x14ac:dyDescent="0.3">
      <c r="K21811" s="1">
        <v>44287</v>
      </c>
      <c r="M21811" t="e">
        <v>#N/A</v>
      </c>
      <c r="N21811" s="1">
        <v>43922</v>
      </c>
    </row>
    <row r="21812" spans="11:14" x14ac:dyDescent="0.3">
      <c r="K21812" s="1">
        <v>44287</v>
      </c>
      <c r="M21812" t="e">
        <v>#N/A</v>
      </c>
      <c r="N21812" s="1">
        <v>43922</v>
      </c>
    </row>
    <row r="21813" spans="11:14" x14ac:dyDescent="0.3">
      <c r="K21813" s="1">
        <v>44287</v>
      </c>
      <c r="M21813" t="e">
        <v>#N/A</v>
      </c>
      <c r="N21813" s="1">
        <v>43922</v>
      </c>
    </row>
    <row r="21814" spans="11:14" x14ac:dyDescent="0.3">
      <c r="K21814" s="1">
        <v>44287</v>
      </c>
      <c r="M21814" t="e">
        <v>#N/A</v>
      </c>
      <c r="N21814" s="1">
        <v>43922</v>
      </c>
    </row>
    <row r="21815" spans="11:14" x14ac:dyDescent="0.3">
      <c r="K21815" s="1">
        <v>44287</v>
      </c>
      <c r="M21815" t="e">
        <v>#N/A</v>
      </c>
      <c r="N21815" s="1">
        <v>43922</v>
      </c>
    </row>
    <row r="21816" spans="11:14" x14ac:dyDescent="0.3">
      <c r="K21816" s="1">
        <v>44287</v>
      </c>
      <c r="M21816" t="e">
        <v>#N/A</v>
      </c>
      <c r="N21816" s="1">
        <v>43922</v>
      </c>
    </row>
    <row r="21817" spans="11:14" x14ac:dyDescent="0.3">
      <c r="K21817" s="1">
        <v>44287</v>
      </c>
      <c r="M21817" t="e">
        <v>#N/A</v>
      </c>
      <c r="N21817" s="1">
        <v>43922</v>
      </c>
    </row>
    <row r="21818" spans="11:14" x14ac:dyDescent="0.3">
      <c r="K21818" s="1">
        <v>44287</v>
      </c>
      <c r="M21818" t="e">
        <v>#N/A</v>
      </c>
      <c r="N21818" s="1">
        <v>43922</v>
      </c>
    </row>
    <row r="21819" spans="11:14" x14ac:dyDescent="0.3">
      <c r="K21819" s="1">
        <v>44287</v>
      </c>
      <c r="M21819" t="e">
        <v>#N/A</v>
      </c>
      <c r="N21819" s="1">
        <v>43922</v>
      </c>
    </row>
    <row r="21820" spans="11:14" x14ac:dyDescent="0.3">
      <c r="K21820" s="1">
        <v>44287</v>
      </c>
      <c r="M21820" t="e">
        <v>#N/A</v>
      </c>
      <c r="N21820" s="1">
        <v>43922</v>
      </c>
    </row>
    <row r="21821" spans="11:14" x14ac:dyDescent="0.3">
      <c r="K21821" s="1">
        <v>44287</v>
      </c>
      <c r="M21821" t="e">
        <v>#N/A</v>
      </c>
      <c r="N21821" s="1">
        <v>43922</v>
      </c>
    </row>
    <row r="21822" spans="11:14" x14ac:dyDescent="0.3">
      <c r="K21822" s="1">
        <v>44287</v>
      </c>
      <c r="M21822" t="e">
        <v>#N/A</v>
      </c>
      <c r="N21822" s="1">
        <v>43922</v>
      </c>
    </row>
    <row r="21823" spans="11:14" x14ac:dyDescent="0.3">
      <c r="K21823" s="1">
        <v>44287</v>
      </c>
      <c r="M21823" t="e">
        <v>#N/A</v>
      </c>
      <c r="N21823" s="1">
        <v>43922</v>
      </c>
    </row>
    <row r="21824" spans="11:14" x14ac:dyDescent="0.3">
      <c r="K21824" s="1">
        <v>44287</v>
      </c>
      <c r="M21824" t="e">
        <v>#N/A</v>
      </c>
      <c r="N21824" s="1">
        <v>43922</v>
      </c>
    </row>
    <row r="21825" spans="11:14" x14ac:dyDescent="0.3">
      <c r="K21825" s="1">
        <v>44287</v>
      </c>
      <c r="M21825" t="e">
        <v>#N/A</v>
      </c>
      <c r="N21825" s="1">
        <v>43922</v>
      </c>
    </row>
    <row r="21826" spans="11:14" x14ac:dyDescent="0.3">
      <c r="K21826" s="1">
        <v>44287</v>
      </c>
      <c r="M21826" t="e">
        <v>#N/A</v>
      </c>
      <c r="N21826" s="1">
        <v>43922</v>
      </c>
    </row>
    <row r="21827" spans="11:14" x14ac:dyDescent="0.3">
      <c r="K21827" s="1">
        <v>44287</v>
      </c>
      <c r="M21827" t="e">
        <v>#N/A</v>
      </c>
      <c r="N21827" s="1">
        <v>43922</v>
      </c>
    </row>
    <row r="21828" spans="11:14" x14ac:dyDescent="0.3">
      <c r="K21828" s="1">
        <v>44287</v>
      </c>
      <c r="M21828" t="e">
        <v>#N/A</v>
      </c>
      <c r="N21828" s="1">
        <v>43922</v>
      </c>
    </row>
    <row r="21829" spans="11:14" x14ac:dyDescent="0.3">
      <c r="K21829" s="1">
        <v>44287</v>
      </c>
      <c r="M21829" t="e">
        <v>#N/A</v>
      </c>
      <c r="N21829" s="1">
        <v>43922</v>
      </c>
    </row>
    <row r="21830" spans="11:14" x14ac:dyDescent="0.3">
      <c r="K21830" s="1">
        <v>44287</v>
      </c>
      <c r="M21830" t="e">
        <v>#N/A</v>
      </c>
      <c r="N21830" s="1">
        <v>43922</v>
      </c>
    </row>
    <row r="21831" spans="11:14" x14ac:dyDescent="0.3">
      <c r="K21831" s="1">
        <v>44287</v>
      </c>
      <c r="M21831" t="e">
        <v>#N/A</v>
      </c>
      <c r="N21831" s="1">
        <v>43922</v>
      </c>
    </row>
    <row r="21832" spans="11:14" x14ac:dyDescent="0.3">
      <c r="K21832" s="1">
        <v>44287</v>
      </c>
      <c r="M21832" t="e">
        <v>#N/A</v>
      </c>
      <c r="N21832" s="1">
        <v>43922</v>
      </c>
    </row>
    <row r="21833" spans="11:14" x14ac:dyDescent="0.3">
      <c r="K21833" s="1">
        <v>44287</v>
      </c>
      <c r="M21833" t="e">
        <v>#N/A</v>
      </c>
      <c r="N21833" s="1">
        <v>43922</v>
      </c>
    </row>
    <row r="21834" spans="11:14" x14ac:dyDescent="0.3">
      <c r="K21834" s="1">
        <v>44287</v>
      </c>
      <c r="M21834" t="e">
        <v>#N/A</v>
      </c>
      <c r="N21834" s="1">
        <v>43922</v>
      </c>
    </row>
    <row r="21835" spans="11:14" x14ac:dyDescent="0.3">
      <c r="K21835" s="1">
        <v>44287</v>
      </c>
      <c r="M21835" t="e">
        <v>#N/A</v>
      </c>
      <c r="N21835" s="1">
        <v>43922</v>
      </c>
    </row>
    <row r="21836" spans="11:14" x14ac:dyDescent="0.3">
      <c r="K21836" s="1">
        <v>44287</v>
      </c>
      <c r="M21836" t="e">
        <v>#N/A</v>
      </c>
      <c r="N21836" s="1">
        <v>43922</v>
      </c>
    </row>
    <row r="21837" spans="11:14" x14ac:dyDescent="0.3">
      <c r="K21837" s="1">
        <v>44287</v>
      </c>
      <c r="M21837" t="e">
        <v>#N/A</v>
      </c>
      <c r="N21837" s="1">
        <v>43922</v>
      </c>
    </row>
    <row r="21838" spans="11:14" x14ac:dyDescent="0.3">
      <c r="K21838" s="1">
        <v>44287</v>
      </c>
      <c r="M21838" t="e">
        <v>#N/A</v>
      </c>
      <c r="N21838" s="1">
        <v>43922</v>
      </c>
    </row>
    <row r="21839" spans="11:14" x14ac:dyDescent="0.3">
      <c r="K21839" s="1">
        <v>44287</v>
      </c>
      <c r="M21839" t="e">
        <v>#N/A</v>
      </c>
      <c r="N21839" s="1">
        <v>43922</v>
      </c>
    </row>
    <row r="21840" spans="11:14" x14ac:dyDescent="0.3">
      <c r="K21840" s="1">
        <v>44287</v>
      </c>
      <c r="M21840" t="e">
        <v>#N/A</v>
      </c>
      <c r="N21840" s="1">
        <v>43922</v>
      </c>
    </row>
    <row r="21841" spans="11:14" x14ac:dyDescent="0.3">
      <c r="K21841" s="1">
        <v>44287</v>
      </c>
      <c r="M21841" t="e">
        <v>#N/A</v>
      </c>
      <c r="N21841" s="1">
        <v>43922</v>
      </c>
    </row>
    <row r="21842" spans="11:14" x14ac:dyDescent="0.3">
      <c r="K21842" s="1">
        <v>44287</v>
      </c>
      <c r="M21842" t="e">
        <v>#N/A</v>
      </c>
      <c r="N21842" s="1">
        <v>43922</v>
      </c>
    </row>
    <row r="21843" spans="11:14" x14ac:dyDescent="0.3">
      <c r="K21843" s="1">
        <v>44287</v>
      </c>
      <c r="M21843" t="e">
        <v>#N/A</v>
      </c>
      <c r="N21843" s="1">
        <v>43922</v>
      </c>
    </row>
    <row r="21844" spans="11:14" x14ac:dyDescent="0.3">
      <c r="K21844" s="1">
        <v>44287</v>
      </c>
      <c r="M21844" t="e">
        <v>#N/A</v>
      </c>
      <c r="N21844" s="1">
        <v>43922</v>
      </c>
    </row>
    <row r="21845" spans="11:14" x14ac:dyDescent="0.3">
      <c r="K21845" s="1">
        <v>44287</v>
      </c>
      <c r="M21845" t="e">
        <v>#N/A</v>
      </c>
      <c r="N21845" s="1">
        <v>43922</v>
      </c>
    </row>
    <row r="21846" spans="11:14" x14ac:dyDescent="0.3">
      <c r="K21846" s="1">
        <v>44287</v>
      </c>
      <c r="M21846" t="e">
        <v>#N/A</v>
      </c>
      <c r="N21846" s="1">
        <v>43922</v>
      </c>
    </row>
    <row r="21847" spans="11:14" x14ac:dyDescent="0.3">
      <c r="K21847" s="1">
        <v>44287</v>
      </c>
      <c r="M21847" t="e">
        <v>#N/A</v>
      </c>
      <c r="N21847" s="1">
        <v>43922</v>
      </c>
    </row>
    <row r="21848" spans="11:14" x14ac:dyDescent="0.3">
      <c r="K21848" s="1">
        <v>44287</v>
      </c>
      <c r="M21848" t="e">
        <v>#N/A</v>
      </c>
      <c r="N21848" s="1">
        <v>43922</v>
      </c>
    </row>
    <row r="21849" spans="11:14" x14ac:dyDescent="0.3">
      <c r="K21849" s="1">
        <v>44287</v>
      </c>
      <c r="M21849" t="e">
        <v>#N/A</v>
      </c>
      <c r="N21849" s="1">
        <v>43922</v>
      </c>
    </row>
    <row r="21850" spans="11:14" x14ac:dyDescent="0.3">
      <c r="K21850" s="1">
        <v>44287</v>
      </c>
      <c r="M21850" t="e">
        <v>#N/A</v>
      </c>
      <c r="N21850" s="1">
        <v>43922</v>
      </c>
    </row>
    <row r="21851" spans="11:14" x14ac:dyDescent="0.3">
      <c r="K21851" s="1">
        <v>44287</v>
      </c>
      <c r="M21851" t="e">
        <v>#N/A</v>
      </c>
      <c r="N21851" s="1">
        <v>43922</v>
      </c>
    </row>
    <row r="21852" spans="11:14" x14ac:dyDescent="0.3">
      <c r="K21852" s="1">
        <v>44287</v>
      </c>
      <c r="M21852" t="e">
        <v>#N/A</v>
      </c>
      <c r="N21852" s="1">
        <v>43922</v>
      </c>
    </row>
    <row r="21853" spans="11:14" x14ac:dyDescent="0.3">
      <c r="K21853" s="1">
        <v>44287</v>
      </c>
      <c r="M21853" t="e">
        <v>#N/A</v>
      </c>
      <c r="N21853" s="1">
        <v>43922</v>
      </c>
    </row>
    <row r="21854" spans="11:14" x14ac:dyDescent="0.3">
      <c r="K21854" s="1">
        <v>44287</v>
      </c>
      <c r="M21854" t="e">
        <v>#N/A</v>
      </c>
      <c r="N21854" s="1">
        <v>43922</v>
      </c>
    </row>
    <row r="21855" spans="11:14" x14ac:dyDescent="0.3">
      <c r="K21855" s="1">
        <v>44287</v>
      </c>
      <c r="M21855" t="e">
        <v>#N/A</v>
      </c>
      <c r="N21855" s="1">
        <v>43922</v>
      </c>
    </row>
    <row r="21856" spans="11:14" x14ac:dyDescent="0.3">
      <c r="K21856" s="1">
        <v>44287</v>
      </c>
      <c r="M21856" t="e">
        <v>#N/A</v>
      </c>
      <c r="N21856" s="1">
        <v>43922</v>
      </c>
    </row>
    <row r="21857" spans="11:14" x14ac:dyDescent="0.3">
      <c r="K21857" s="1">
        <v>44287</v>
      </c>
      <c r="M21857" t="e">
        <v>#N/A</v>
      </c>
      <c r="N21857" s="1">
        <v>43922</v>
      </c>
    </row>
    <row r="21858" spans="11:14" x14ac:dyDescent="0.3">
      <c r="K21858" s="1">
        <v>44287</v>
      </c>
      <c r="M21858" t="e">
        <v>#N/A</v>
      </c>
      <c r="N21858" s="1">
        <v>43922</v>
      </c>
    </row>
    <row r="21859" spans="11:14" x14ac:dyDescent="0.3">
      <c r="K21859" s="1">
        <v>44287</v>
      </c>
      <c r="M21859" t="e">
        <v>#N/A</v>
      </c>
      <c r="N21859" s="1">
        <v>43922</v>
      </c>
    </row>
    <row r="21860" spans="11:14" x14ac:dyDescent="0.3">
      <c r="K21860" s="1">
        <v>44287</v>
      </c>
      <c r="M21860" t="e">
        <v>#N/A</v>
      </c>
      <c r="N21860" s="1">
        <v>43922</v>
      </c>
    </row>
    <row r="21861" spans="11:14" x14ac:dyDescent="0.3">
      <c r="K21861" s="1">
        <v>44287</v>
      </c>
      <c r="M21861" t="e">
        <v>#N/A</v>
      </c>
      <c r="N21861" s="1">
        <v>43922</v>
      </c>
    </row>
    <row r="21862" spans="11:14" x14ac:dyDescent="0.3">
      <c r="K21862" s="1">
        <v>44287</v>
      </c>
      <c r="M21862" t="e">
        <v>#N/A</v>
      </c>
      <c r="N21862" s="1">
        <v>43922</v>
      </c>
    </row>
    <row r="21863" spans="11:14" x14ac:dyDescent="0.3">
      <c r="K21863" s="1">
        <v>44287</v>
      </c>
      <c r="M21863" t="e">
        <v>#N/A</v>
      </c>
      <c r="N21863" s="1">
        <v>43922</v>
      </c>
    </row>
    <row r="21864" spans="11:14" x14ac:dyDescent="0.3">
      <c r="K21864" s="1">
        <v>44287</v>
      </c>
      <c r="M21864" t="e">
        <v>#N/A</v>
      </c>
      <c r="N21864" s="1">
        <v>43922</v>
      </c>
    </row>
    <row r="21865" spans="11:14" x14ac:dyDescent="0.3">
      <c r="K21865" s="1">
        <v>44287</v>
      </c>
      <c r="M21865" t="e">
        <v>#N/A</v>
      </c>
      <c r="N21865" s="1">
        <v>43922</v>
      </c>
    </row>
    <row r="21866" spans="11:14" x14ac:dyDescent="0.3">
      <c r="K21866" s="1">
        <v>44287</v>
      </c>
      <c r="M21866" t="e">
        <v>#N/A</v>
      </c>
      <c r="N21866" s="1">
        <v>43922</v>
      </c>
    </row>
    <row r="21867" spans="11:14" x14ac:dyDescent="0.3">
      <c r="K21867" s="1">
        <v>44287</v>
      </c>
      <c r="M21867" t="e">
        <v>#N/A</v>
      </c>
      <c r="N21867" s="1">
        <v>43922</v>
      </c>
    </row>
    <row r="21868" spans="11:14" x14ac:dyDescent="0.3">
      <c r="K21868" s="1">
        <v>44287</v>
      </c>
      <c r="M21868" t="e">
        <v>#N/A</v>
      </c>
      <c r="N21868" s="1">
        <v>43922</v>
      </c>
    </row>
    <row r="21869" spans="11:14" x14ac:dyDescent="0.3">
      <c r="K21869" s="1">
        <v>44287</v>
      </c>
      <c r="M21869" t="e">
        <v>#N/A</v>
      </c>
      <c r="N21869" s="1">
        <v>43922</v>
      </c>
    </row>
    <row r="21870" spans="11:14" x14ac:dyDescent="0.3">
      <c r="K21870" s="1">
        <v>44287</v>
      </c>
      <c r="M21870" t="e">
        <v>#N/A</v>
      </c>
      <c r="N21870" s="1">
        <v>43922</v>
      </c>
    </row>
    <row r="21871" spans="11:14" x14ac:dyDescent="0.3">
      <c r="K21871" s="1">
        <v>44287</v>
      </c>
      <c r="M21871" t="e">
        <v>#N/A</v>
      </c>
      <c r="N21871" s="1">
        <v>43922</v>
      </c>
    </row>
    <row r="21872" spans="11:14" x14ac:dyDescent="0.3">
      <c r="K21872" s="1">
        <v>44287</v>
      </c>
      <c r="M21872" t="e">
        <v>#N/A</v>
      </c>
      <c r="N21872" s="1">
        <v>43922</v>
      </c>
    </row>
    <row r="21873" spans="11:14" x14ac:dyDescent="0.3">
      <c r="K21873" s="1">
        <v>44287</v>
      </c>
      <c r="M21873" t="e">
        <v>#N/A</v>
      </c>
      <c r="N21873" s="1">
        <v>43922</v>
      </c>
    </row>
    <row r="21874" spans="11:14" x14ac:dyDescent="0.3">
      <c r="K21874" s="1">
        <v>44287</v>
      </c>
      <c r="M21874" t="e">
        <v>#N/A</v>
      </c>
      <c r="N21874" s="1">
        <v>43922</v>
      </c>
    </row>
    <row r="21875" spans="11:14" x14ac:dyDescent="0.3">
      <c r="K21875" s="1">
        <v>44287</v>
      </c>
      <c r="M21875" t="e">
        <v>#N/A</v>
      </c>
      <c r="N21875" s="1">
        <v>43922</v>
      </c>
    </row>
    <row r="21876" spans="11:14" x14ac:dyDescent="0.3">
      <c r="K21876" s="1">
        <v>44287</v>
      </c>
      <c r="M21876" t="e">
        <v>#N/A</v>
      </c>
      <c r="N21876" s="1">
        <v>43922</v>
      </c>
    </row>
    <row r="21877" spans="11:14" x14ac:dyDescent="0.3">
      <c r="K21877" s="1">
        <v>44287</v>
      </c>
      <c r="M21877" t="e">
        <v>#N/A</v>
      </c>
      <c r="N21877" s="1">
        <v>43922</v>
      </c>
    </row>
    <row r="21878" spans="11:14" x14ac:dyDescent="0.3">
      <c r="K21878" s="1">
        <v>44287</v>
      </c>
      <c r="M21878" t="e">
        <v>#N/A</v>
      </c>
      <c r="N21878" s="1">
        <v>43922</v>
      </c>
    </row>
    <row r="21879" spans="11:14" x14ac:dyDescent="0.3">
      <c r="K21879" s="1">
        <v>44378</v>
      </c>
      <c r="M21879" t="e">
        <v>#N/A</v>
      </c>
      <c r="N21879" s="1">
        <v>43922</v>
      </c>
    </row>
    <row r="21880" spans="11:14" x14ac:dyDescent="0.3">
      <c r="K21880" s="1">
        <v>44378</v>
      </c>
      <c r="M21880" t="e">
        <v>#N/A</v>
      </c>
      <c r="N21880" s="1">
        <v>43922</v>
      </c>
    </row>
    <row r="21881" spans="11:14" x14ac:dyDescent="0.3">
      <c r="K21881" s="1">
        <v>44378</v>
      </c>
      <c r="M21881" t="e">
        <v>#N/A</v>
      </c>
      <c r="N21881" s="1">
        <v>43922</v>
      </c>
    </row>
    <row r="21882" spans="11:14" x14ac:dyDescent="0.3">
      <c r="K21882" s="1">
        <v>44378</v>
      </c>
      <c r="M21882" t="e">
        <v>#N/A</v>
      </c>
      <c r="N21882" s="1">
        <v>43922</v>
      </c>
    </row>
    <row r="21883" spans="11:14" x14ac:dyDescent="0.3">
      <c r="K21883" s="1">
        <v>44378</v>
      </c>
      <c r="M21883" t="e">
        <v>#N/A</v>
      </c>
      <c r="N21883" s="1">
        <v>43922</v>
      </c>
    </row>
    <row r="21884" spans="11:14" x14ac:dyDescent="0.3">
      <c r="K21884" s="1">
        <v>44378</v>
      </c>
      <c r="M21884" t="e">
        <v>#N/A</v>
      </c>
      <c r="N21884" s="1">
        <v>43922</v>
      </c>
    </row>
    <row r="21885" spans="11:14" x14ac:dyDescent="0.3">
      <c r="K21885" s="1">
        <v>44378</v>
      </c>
      <c r="M21885" t="e">
        <v>#N/A</v>
      </c>
      <c r="N21885" s="1">
        <v>43922</v>
      </c>
    </row>
    <row r="21886" spans="11:14" x14ac:dyDescent="0.3">
      <c r="K21886" s="1">
        <v>44378</v>
      </c>
      <c r="M21886" t="e">
        <v>#N/A</v>
      </c>
      <c r="N21886" s="1">
        <v>43922</v>
      </c>
    </row>
    <row r="21887" spans="11:14" x14ac:dyDescent="0.3">
      <c r="K21887" s="1">
        <v>44378</v>
      </c>
      <c r="M21887" t="e">
        <v>#N/A</v>
      </c>
      <c r="N21887" s="1">
        <v>43922</v>
      </c>
    </row>
    <row r="21888" spans="11:14" x14ac:dyDescent="0.3">
      <c r="K21888" s="1">
        <v>44378</v>
      </c>
      <c r="M21888" t="e">
        <v>#N/A</v>
      </c>
      <c r="N21888" s="1">
        <v>43922</v>
      </c>
    </row>
    <row r="21889" spans="11:14" x14ac:dyDescent="0.3">
      <c r="K21889" s="1">
        <v>44378</v>
      </c>
      <c r="M21889" t="e">
        <v>#N/A</v>
      </c>
      <c r="N21889" s="1">
        <v>43922</v>
      </c>
    </row>
    <row r="21890" spans="11:14" x14ac:dyDescent="0.3">
      <c r="K21890" s="1">
        <v>44378</v>
      </c>
      <c r="M21890" t="e">
        <v>#N/A</v>
      </c>
      <c r="N21890" s="1">
        <v>43922</v>
      </c>
    </row>
    <row r="21891" spans="11:14" x14ac:dyDescent="0.3">
      <c r="K21891" s="1">
        <v>44378</v>
      </c>
      <c r="M21891" t="e">
        <v>#N/A</v>
      </c>
      <c r="N21891" s="1">
        <v>43922</v>
      </c>
    </row>
    <row r="21892" spans="11:14" x14ac:dyDescent="0.3">
      <c r="K21892" s="1">
        <v>44378</v>
      </c>
      <c r="M21892" t="e">
        <v>#N/A</v>
      </c>
      <c r="N21892" s="1">
        <v>43922</v>
      </c>
    </row>
    <row r="21893" spans="11:14" x14ac:dyDescent="0.3">
      <c r="K21893" s="1">
        <v>44378</v>
      </c>
      <c r="M21893" t="e">
        <v>#N/A</v>
      </c>
      <c r="N21893" s="1">
        <v>43922</v>
      </c>
    </row>
    <row r="21894" spans="11:14" x14ac:dyDescent="0.3">
      <c r="K21894" s="1">
        <v>44378</v>
      </c>
      <c r="M21894" t="e">
        <v>#N/A</v>
      </c>
      <c r="N21894" s="1">
        <v>43922</v>
      </c>
    </row>
    <row r="21895" spans="11:14" x14ac:dyDescent="0.3">
      <c r="K21895" s="1">
        <v>44378</v>
      </c>
      <c r="M21895" t="e">
        <v>#N/A</v>
      </c>
      <c r="N21895" s="1">
        <v>43922</v>
      </c>
    </row>
    <row r="21896" spans="11:14" x14ac:dyDescent="0.3">
      <c r="K21896" s="1">
        <v>44378</v>
      </c>
      <c r="M21896" t="e">
        <v>#N/A</v>
      </c>
      <c r="N21896" s="1">
        <v>43922</v>
      </c>
    </row>
    <row r="21897" spans="11:14" x14ac:dyDescent="0.3">
      <c r="K21897" s="1">
        <v>44378</v>
      </c>
      <c r="M21897" t="e">
        <v>#N/A</v>
      </c>
      <c r="N21897" s="1">
        <v>43922</v>
      </c>
    </row>
    <row r="21898" spans="11:14" x14ac:dyDescent="0.3">
      <c r="K21898" s="1">
        <v>44378</v>
      </c>
      <c r="M21898" t="e">
        <v>#N/A</v>
      </c>
      <c r="N21898" s="1">
        <v>43922</v>
      </c>
    </row>
    <row r="21899" spans="11:14" x14ac:dyDescent="0.3">
      <c r="K21899" s="1">
        <v>44378</v>
      </c>
      <c r="M21899" t="e">
        <v>#N/A</v>
      </c>
      <c r="N21899" s="1">
        <v>43922</v>
      </c>
    </row>
    <row r="21900" spans="11:14" x14ac:dyDescent="0.3">
      <c r="K21900" s="1">
        <v>44378</v>
      </c>
      <c r="M21900" t="e">
        <v>#N/A</v>
      </c>
      <c r="N21900" s="1">
        <v>43922</v>
      </c>
    </row>
    <row r="21901" spans="11:14" x14ac:dyDescent="0.3">
      <c r="K21901" s="1">
        <v>44378</v>
      </c>
      <c r="M21901" t="e">
        <v>#N/A</v>
      </c>
      <c r="N21901" s="1">
        <v>43922</v>
      </c>
    </row>
    <row r="21902" spans="11:14" x14ac:dyDescent="0.3">
      <c r="K21902" s="1">
        <v>44378</v>
      </c>
      <c r="M21902" t="e">
        <v>#N/A</v>
      </c>
      <c r="N21902" s="1">
        <v>43922</v>
      </c>
    </row>
    <row r="21903" spans="11:14" x14ac:dyDescent="0.3">
      <c r="K21903" s="1">
        <v>44378</v>
      </c>
      <c r="M21903" t="e">
        <v>#N/A</v>
      </c>
      <c r="N21903" s="1">
        <v>43922</v>
      </c>
    </row>
    <row r="21904" spans="11:14" x14ac:dyDescent="0.3">
      <c r="K21904" s="1">
        <v>44378</v>
      </c>
      <c r="M21904" t="e">
        <v>#N/A</v>
      </c>
      <c r="N21904" s="1">
        <v>43922</v>
      </c>
    </row>
    <row r="21905" spans="11:14" x14ac:dyDescent="0.3">
      <c r="K21905" s="1">
        <v>44378</v>
      </c>
      <c r="M21905" t="e">
        <v>#N/A</v>
      </c>
      <c r="N21905" s="1">
        <v>43922</v>
      </c>
    </row>
    <row r="21906" spans="11:14" x14ac:dyDescent="0.3">
      <c r="K21906" s="1">
        <v>44378</v>
      </c>
      <c r="M21906" t="e">
        <v>#N/A</v>
      </c>
      <c r="N21906" s="1">
        <v>43922</v>
      </c>
    </row>
    <row r="21907" spans="11:14" x14ac:dyDescent="0.3">
      <c r="K21907" s="1">
        <v>44378</v>
      </c>
      <c r="M21907" t="e">
        <v>#N/A</v>
      </c>
      <c r="N21907" s="1">
        <v>43922</v>
      </c>
    </row>
    <row r="21908" spans="11:14" x14ac:dyDescent="0.3">
      <c r="K21908" s="1">
        <v>44378</v>
      </c>
      <c r="M21908" t="e">
        <v>#N/A</v>
      </c>
      <c r="N21908" s="1">
        <v>43922</v>
      </c>
    </row>
    <row r="21909" spans="11:14" x14ac:dyDescent="0.3">
      <c r="K21909" s="1">
        <v>44378</v>
      </c>
      <c r="M21909" t="e">
        <v>#N/A</v>
      </c>
      <c r="N21909" s="1">
        <v>43922</v>
      </c>
    </row>
    <row r="21910" spans="11:14" x14ac:dyDescent="0.3">
      <c r="K21910" s="1">
        <v>44378</v>
      </c>
      <c r="M21910" t="e">
        <v>#N/A</v>
      </c>
      <c r="N21910" s="1">
        <v>43922</v>
      </c>
    </row>
    <row r="21911" spans="11:14" x14ac:dyDescent="0.3">
      <c r="K21911" s="1">
        <v>44378</v>
      </c>
      <c r="M21911" t="e">
        <v>#N/A</v>
      </c>
      <c r="N21911" s="1">
        <v>43922</v>
      </c>
    </row>
    <row r="21912" spans="11:14" x14ac:dyDescent="0.3">
      <c r="K21912" s="1">
        <v>44378</v>
      </c>
      <c r="M21912" t="e">
        <v>#N/A</v>
      </c>
      <c r="N21912" s="1">
        <v>43922</v>
      </c>
    </row>
    <row r="21913" spans="11:14" x14ac:dyDescent="0.3">
      <c r="K21913" s="1">
        <v>44378</v>
      </c>
      <c r="M21913" t="e">
        <v>#N/A</v>
      </c>
      <c r="N21913" s="1">
        <v>43922</v>
      </c>
    </row>
    <row r="21914" spans="11:14" x14ac:dyDescent="0.3">
      <c r="K21914" s="1">
        <v>44378</v>
      </c>
      <c r="M21914" t="e">
        <v>#N/A</v>
      </c>
      <c r="N21914" s="1">
        <v>43922</v>
      </c>
    </row>
    <row r="21915" spans="11:14" x14ac:dyDescent="0.3">
      <c r="K21915" s="1">
        <v>44378</v>
      </c>
      <c r="M21915" t="e">
        <v>#N/A</v>
      </c>
      <c r="N21915" s="1">
        <v>43922</v>
      </c>
    </row>
    <row r="21916" spans="11:14" x14ac:dyDescent="0.3">
      <c r="K21916" s="1">
        <v>44378</v>
      </c>
      <c r="M21916" t="e">
        <v>#N/A</v>
      </c>
      <c r="N21916" s="1">
        <v>43922</v>
      </c>
    </row>
    <row r="21917" spans="11:14" x14ac:dyDescent="0.3">
      <c r="K21917" s="1">
        <v>44378</v>
      </c>
      <c r="M21917" t="e">
        <v>#N/A</v>
      </c>
      <c r="N21917" s="1">
        <v>43922</v>
      </c>
    </row>
    <row r="21918" spans="11:14" x14ac:dyDescent="0.3">
      <c r="K21918" s="1">
        <v>44378</v>
      </c>
      <c r="M21918" t="e">
        <v>#N/A</v>
      </c>
      <c r="N21918" s="1">
        <v>43922</v>
      </c>
    </row>
    <row r="21919" spans="11:14" x14ac:dyDescent="0.3">
      <c r="K21919" s="1">
        <v>44378</v>
      </c>
      <c r="M21919" t="e">
        <v>#N/A</v>
      </c>
      <c r="N21919" s="1">
        <v>43922</v>
      </c>
    </row>
    <row r="21920" spans="11:14" x14ac:dyDescent="0.3">
      <c r="K21920" s="1">
        <v>44378</v>
      </c>
      <c r="M21920" t="e">
        <v>#N/A</v>
      </c>
      <c r="N21920" s="1">
        <v>43922</v>
      </c>
    </row>
    <row r="21921" spans="11:14" x14ac:dyDescent="0.3">
      <c r="K21921" s="1">
        <v>44378</v>
      </c>
      <c r="M21921" t="e">
        <v>#N/A</v>
      </c>
      <c r="N21921" s="1">
        <v>43922</v>
      </c>
    </row>
    <row r="21922" spans="11:14" x14ac:dyDescent="0.3">
      <c r="K21922" s="1">
        <v>44378</v>
      </c>
      <c r="M21922" t="e">
        <v>#N/A</v>
      </c>
      <c r="N21922" s="1">
        <v>43922</v>
      </c>
    </row>
    <row r="21923" spans="11:14" x14ac:dyDescent="0.3">
      <c r="K21923" s="1">
        <v>44378</v>
      </c>
      <c r="M21923" t="e">
        <v>#N/A</v>
      </c>
      <c r="N21923" s="1">
        <v>43922</v>
      </c>
    </row>
    <row r="21924" spans="11:14" x14ac:dyDescent="0.3">
      <c r="K21924" s="1">
        <v>44378</v>
      </c>
      <c r="M21924" t="e">
        <v>#N/A</v>
      </c>
      <c r="N21924" s="1">
        <v>43922</v>
      </c>
    </row>
    <row r="21925" spans="11:14" x14ac:dyDescent="0.3">
      <c r="K21925" s="1">
        <v>44378</v>
      </c>
      <c r="M21925" t="e">
        <v>#N/A</v>
      </c>
      <c r="N21925" s="1">
        <v>43922</v>
      </c>
    </row>
    <row r="21926" spans="11:14" x14ac:dyDescent="0.3">
      <c r="K21926" s="1">
        <v>44378</v>
      </c>
      <c r="M21926" t="e">
        <v>#N/A</v>
      </c>
      <c r="N21926" s="1">
        <v>43922</v>
      </c>
    </row>
    <row r="21927" spans="11:14" x14ac:dyDescent="0.3">
      <c r="K21927" s="1">
        <v>44378</v>
      </c>
      <c r="M21927" t="e">
        <v>#N/A</v>
      </c>
      <c r="N21927" s="1">
        <v>43922</v>
      </c>
    </row>
    <row r="21928" spans="11:14" x14ac:dyDescent="0.3">
      <c r="K21928" s="1">
        <v>44378</v>
      </c>
      <c r="M21928" t="e">
        <v>#N/A</v>
      </c>
      <c r="N21928" s="1">
        <v>43922</v>
      </c>
    </row>
    <row r="21929" spans="11:14" x14ac:dyDescent="0.3">
      <c r="K21929" s="1">
        <v>44378</v>
      </c>
      <c r="M21929" t="e">
        <v>#N/A</v>
      </c>
      <c r="N21929" s="1">
        <v>43922</v>
      </c>
    </row>
    <row r="21930" spans="11:14" x14ac:dyDescent="0.3">
      <c r="K21930" s="1">
        <v>44378</v>
      </c>
      <c r="M21930" t="e">
        <v>#N/A</v>
      </c>
      <c r="N21930" s="1">
        <v>43922</v>
      </c>
    </row>
    <row r="21931" spans="11:14" x14ac:dyDescent="0.3">
      <c r="K21931" s="1">
        <v>44378</v>
      </c>
      <c r="M21931" t="e">
        <v>#N/A</v>
      </c>
      <c r="N21931" s="1">
        <v>43922</v>
      </c>
    </row>
    <row r="21932" spans="11:14" x14ac:dyDescent="0.3">
      <c r="K21932" s="1">
        <v>44378</v>
      </c>
      <c r="M21932" t="e">
        <v>#N/A</v>
      </c>
      <c r="N21932" s="1">
        <v>43922</v>
      </c>
    </row>
    <row r="21933" spans="11:14" x14ac:dyDescent="0.3">
      <c r="K21933" s="1">
        <v>44378</v>
      </c>
      <c r="M21933" t="e">
        <v>#N/A</v>
      </c>
      <c r="N21933" s="1">
        <v>43922</v>
      </c>
    </row>
    <row r="21934" spans="11:14" x14ac:dyDescent="0.3">
      <c r="K21934" s="1">
        <v>44378</v>
      </c>
      <c r="M21934" t="e">
        <v>#N/A</v>
      </c>
      <c r="N21934" s="1">
        <v>43922</v>
      </c>
    </row>
    <row r="21935" spans="11:14" x14ac:dyDescent="0.3">
      <c r="K21935" s="1">
        <v>44378</v>
      </c>
      <c r="M21935" t="e">
        <v>#N/A</v>
      </c>
      <c r="N21935" s="1">
        <v>43922</v>
      </c>
    </row>
    <row r="21936" spans="11:14" x14ac:dyDescent="0.3">
      <c r="K21936" s="1">
        <v>44378</v>
      </c>
      <c r="M21936" t="e">
        <v>#N/A</v>
      </c>
      <c r="N21936" s="1">
        <v>43922</v>
      </c>
    </row>
    <row r="21937" spans="11:14" x14ac:dyDescent="0.3">
      <c r="K21937" s="1">
        <v>44378</v>
      </c>
      <c r="M21937" t="e">
        <v>#N/A</v>
      </c>
      <c r="N21937" s="1">
        <v>43922</v>
      </c>
    </row>
    <row r="21938" spans="11:14" x14ac:dyDescent="0.3">
      <c r="K21938" s="1">
        <v>44378</v>
      </c>
      <c r="M21938" t="e">
        <v>#N/A</v>
      </c>
      <c r="N21938" s="1">
        <v>43922</v>
      </c>
    </row>
    <row r="21939" spans="11:14" x14ac:dyDescent="0.3">
      <c r="K21939" s="1">
        <v>44378</v>
      </c>
      <c r="M21939" t="e">
        <v>#N/A</v>
      </c>
      <c r="N21939" s="1">
        <v>43922</v>
      </c>
    </row>
    <row r="21940" spans="11:14" x14ac:dyDescent="0.3">
      <c r="K21940" s="1">
        <v>44378</v>
      </c>
      <c r="M21940" t="e">
        <v>#N/A</v>
      </c>
      <c r="N21940" s="1">
        <v>43922</v>
      </c>
    </row>
    <row r="21941" spans="11:14" x14ac:dyDescent="0.3">
      <c r="K21941" s="1">
        <v>44378</v>
      </c>
      <c r="M21941" t="e">
        <v>#N/A</v>
      </c>
      <c r="N21941" s="1">
        <v>43922</v>
      </c>
    </row>
    <row r="21942" spans="11:14" x14ac:dyDescent="0.3">
      <c r="K21942" s="1">
        <v>44378</v>
      </c>
      <c r="M21942" t="e">
        <v>#N/A</v>
      </c>
      <c r="N21942" s="1">
        <v>43922</v>
      </c>
    </row>
    <row r="21943" spans="11:14" x14ac:dyDescent="0.3">
      <c r="K21943" s="1">
        <v>44378</v>
      </c>
      <c r="M21943" t="e">
        <v>#N/A</v>
      </c>
      <c r="N21943" s="1">
        <v>43922</v>
      </c>
    </row>
    <row r="21944" spans="11:14" x14ac:dyDescent="0.3">
      <c r="K21944" s="1">
        <v>44378</v>
      </c>
      <c r="M21944" t="e">
        <v>#N/A</v>
      </c>
      <c r="N21944" s="1">
        <v>43922</v>
      </c>
    </row>
    <row r="21945" spans="11:14" x14ac:dyDescent="0.3">
      <c r="K21945" s="1">
        <v>44378</v>
      </c>
      <c r="M21945" t="e">
        <v>#N/A</v>
      </c>
      <c r="N21945" s="1">
        <v>43922</v>
      </c>
    </row>
    <row r="21946" spans="11:14" x14ac:dyDescent="0.3">
      <c r="K21946" s="1">
        <v>44378</v>
      </c>
      <c r="M21946" t="e">
        <v>#N/A</v>
      </c>
      <c r="N21946" s="1">
        <v>43922</v>
      </c>
    </row>
    <row r="21947" spans="11:14" x14ac:dyDescent="0.3">
      <c r="K21947" s="1">
        <v>44378</v>
      </c>
      <c r="M21947" t="e">
        <v>#N/A</v>
      </c>
      <c r="N21947" s="1">
        <v>43922</v>
      </c>
    </row>
    <row r="21948" spans="11:14" x14ac:dyDescent="0.3">
      <c r="K21948" s="1">
        <v>44378</v>
      </c>
      <c r="M21948" t="e">
        <v>#N/A</v>
      </c>
      <c r="N21948" s="1">
        <v>43922</v>
      </c>
    </row>
    <row r="21949" spans="11:14" x14ac:dyDescent="0.3">
      <c r="K21949" s="1">
        <v>44378</v>
      </c>
      <c r="M21949" t="e">
        <v>#N/A</v>
      </c>
      <c r="N21949" s="1">
        <v>43922</v>
      </c>
    </row>
    <row r="21950" spans="11:14" x14ac:dyDescent="0.3">
      <c r="K21950" s="1">
        <v>44378</v>
      </c>
      <c r="M21950" t="e">
        <v>#N/A</v>
      </c>
      <c r="N21950" s="1">
        <v>43922</v>
      </c>
    </row>
    <row r="21951" spans="11:14" x14ac:dyDescent="0.3">
      <c r="K21951" s="1">
        <v>44378</v>
      </c>
      <c r="M21951" t="e">
        <v>#N/A</v>
      </c>
      <c r="N21951" s="1">
        <v>43922</v>
      </c>
    </row>
    <row r="21952" spans="11:14" x14ac:dyDescent="0.3">
      <c r="K21952" s="1">
        <v>44378</v>
      </c>
      <c r="M21952" t="e">
        <v>#N/A</v>
      </c>
      <c r="N21952" s="1">
        <v>43922</v>
      </c>
    </row>
    <row r="21953" spans="11:14" x14ac:dyDescent="0.3">
      <c r="K21953" s="1">
        <v>44378</v>
      </c>
      <c r="M21953" t="e">
        <v>#N/A</v>
      </c>
      <c r="N21953" s="1">
        <v>43922</v>
      </c>
    </row>
    <row r="21954" spans="11:14" x14ac:dyDescent="0.3">
      <c r="K21954" s="1">
        <v>44378</v>
      </c>
      <c r="M21954" t="e">
        <v>#N/A</v>
      </c>
      <c r="N21954" s="1">
        <v>43922</v>
      </c>
    </row>
    <row r="21955" spans="11:14" x14ac:dyDescent="0.3">
      <c r="K21955" s="1">
        <v>44378</v>
      </c>
      <c r="M21955" t="e">
        <v>#N/A</v>
      </c>
      <c r="N21955" s="1">
        <v>43922</v>
      </c>
    </row>
    <row r="21956" spans="11:14" x14ac:dyDescent="0.3">
      <c r="K21956" s="1">
        <v>44378</v>
      </c>
      <c r="M21956" t="e">
        <v>#N/A</v>
      </c>
      <c r="N21956" s="1">
        <v>43922</v>
      </c>
    </row>
    <row r="21957" spans="11:14" x14ac:dyDescent="0.3">
      <c r="K21957" s="1">
        <v>44378</v>
      </c>
      <c r="M21957" t="e">
        <v>#N/A</v>
      </c>
      <c r="N21957" s="1">
        <v>43922</v>
      </c>
    </row>
    <row r="21958" spans="11:14" x14ac:dyDescent="0.3">
      <c r="K21958" s="1">
        <v>44378</v>
      </c>
      <c r="M21958" t="e">
        <v>#N/A</v>
      </c>
      <c r="N21958" s="1">
        <v>44013</v>
      </c>
    </row>
    <row r="21959" spans="11:14" x14ac:dyDescent="0.3">
      <c r="K21959" s="1">
        <v>44378</v>
      </c>
      <c r="M21959" t="e">
        <v>#N/A</v>
      </c>
      <c r="N21959" s="1">
        <v>44013</v>
      </c>
    </row>
    <row r="21960" spans="11:14" x14ac:dyDescent="0.3">
      <c r="K21960" s="1">
        <v>44378</v>
      </c>
      <c r="M21960" t="e">
        <v>#N/A</v>
      </c>
      <c r="N21960" s="1">
        <v>44013</v>
      </c>
    </row>
    <row r="21961" spans="11:14" x14ac:dyDescent="0.3">
      <c r="K21961" s="1">
        <v>44378</v>
      </c>
      <c r="M21961" t="e">
        <v>#N/A</v>
      </c>
      <c r="N21961" s="1">
        <v>44013</v>
      </c>
    </row>
    <row r="21962" spans="11:14" x14ac:dyDescent="0.3">
      <c r="K21962" s="1">
        <v>44378</v>
      </c>
      <c r="M21962" t="e">
        <v>#N/A</v>
      </c>
      <c r="N21962" s="1">
        <v>44013</v>
      </c>
    </row>
    <row r="21963" spans="11:14" x14ac:dyDescent="0.3">
      <c r="K21963" s="1">
        <v>44378</v>
      </c>
      <c r="M21963" t="e">
        <v>#N/A</v>
      </c>
      <c r="N21963" s="1">
        <v>44013</v>
      </c>
    </row>
    <row r="21964" spans="11:14" x14ac:dyDescent="0.3">
      <c r="K21964" s="1">
        <v>44378</v>
      </c>
      <c r="M21964" t="e">
        <v>#N/A</v>
      </c>
      <c r="N21964" s="1">
        <v>44013</v>
      </c>
    </row>
    <row r="21965" spans="11:14" x14ac:dyDescent="0.3">
      <c r="K21965" s="1">
        <v>44378</v>
      </c>
      <c r="M21965" t="e">
        <v>#N/A</v>
      </c>
      <c r="N21965" s="1">
        <v>44013</v>
      </c>
    </row>
    <row r="21966" spans="11:14" x14ac:dyDescent="0.3">
      <c r="K21966" s="1">
        <v>44378</v>
      </c>
      <c r="M21966" t="e">
        <v>#N/A</v>
      </c>
      <c r="N21966" s="1">
        <v>44013</v>
      </c>
    </row>
    <row r="21967" spans="11:14" x14ac:dyDescent="0.3">
      <c r="K21967" s="1">
        <v>44378</v>
      </c>
      <c r="M21967" t="e">
        <v>#N/A</v>
      </c>
      <c r="N21967" s="1">
        <v>44013</v>
      </c>
    </row>
    <row r="21968" spans="11:14" x14ac:dyDescent="0.3">
      <c r="K21968" s="1">
        <v>44378</v>
      </c>
      <c r="M21968" t="e">
        <v>#N/A</v>
      </c>
      <c r="N21968" s="1">
        <v>44013</v>
      </c>
    </row>
    <row r="21969" spans="11:14" x14ac:dyDescent="0.3">
      <c r="K21969" s="1">
        <v>44378</v>
      </c>
      <c r="M21969" t="e">
        <v>#N/A</v>
      </c>
      <c r="N21969" s="1">
        <v>44013</v>
      </c>
    </row>
    <row r="21970" spans="11:14" x14ac:dyDescent="0.3">
      <c r="K21970" s="1">
        <v>44378</v>
      </c>
      <c r="M21970" t="e">
        <v>#N/A</v>
      </c>
      <c r="N21970" s="1">
        <v>44013</v>
      </c>
    </row>
    <row r="21971" spans="11:14" x14ac:dyDescent="0.3">
      <c r="K21971" s="1">
        <v>44378</v>
      </c>
      <c r="M21971" t="e">
        <v>#N/A</v>
      </c>
      <c r="N21971" s="1">
        <v>44013</v>
      </c>
    </row>
    <row r="21972" spans="11:14" x14ac:dyDescent="0.3">
      <c r="K21972" s="1">
        <v>44378</v>
      </c>
      <c r="M21972" t="e">
        <v>#N/A</v>
      </c>
      <c r="N21972" s="1">
        <v>44013</v>
      </c>
    </row>
    <row r="21973" spans="11:14" x14ac:dyDescent="0.3">
      <c r="K21973" s="1">
        <v>44378</v>
      </c>
      <c r="M21973" t="e">
        <v>#N/A</v>
      </c>
      <c r="N21973" s="1">
        <v>44013</v>
      </c>
    </row>
    <row r="21974" spans="11:14" x14ac:dyDescent="0.3">
      <c r="K21974" s="1">
        <v>44378</v>
      </c>
      <c r="M21974" t="e">
        <v>#N/A</v>
      </c>
      <c r="N21974" s="1">
        <v>44013</v>
      </c>
    </row>
    <row r="21975" spans="11:14" x14ac:dyDescent="0.3">
      <c r="K21975" s="1">
        <v>44378</v>
      </c>
      <c r="M21975" t="e">
        <v>#N/A</v>
      </c>
      <c r="N21975" s="1">
        <v>44013</v>
      </c>
    </row>
    <row r="21976" spans="11:14" x14ac:dyDescent="0.3">
      <c r="K21976" s="1">
        <v>44378</v>
      </c>
      <c r="M21976" t="e">
        <v>#N/A</v>
      </c>
      <c r="N21976" s="1">
        <v>44013</v>
      </c>
    </row>
    <row r="21977" spans="11:14" x14ac:dyDescent="0.3">
      <c r="K21977" s="1">
        <v>44378</v>
      </c>
      <c r="M21977" t="e">
        <v>#N/A</v>
      </c>
      <c r="N21977" s="1">
        <v>44013</v>
      </c>
    </row>
    <row r="21978" spans="11:14" x14ac:dyDescent="0.3">
      <c r="K21978" s="1">
        <v>44378</v>
      </c>
      <c r="M21978" t="e">
        <v>#N/A</v>
      </c>
      <c r="N21978" s="1">
        <v>44013</v>
      </c>
    </row>
    <row r="21979" spans="11:14" x14ac:dyDescent="0.3">
      <c r="K21979" s="1">
        <v>44378</v>
      </c>
      <c r="M21979" t="e">
        <v>#N/A</v>
      </c>
      <c r="N21979" s="1">
        <v>44013</v>
      </c>
    </row>
    <row r="21980" spans="11:14" x14ac:dyDescent="0.3">
      <c r="K21980" s="1">
        <v>44378</v>
      </c>
      <c r="M21980" t="e">
        <v>#N/A</v>
      </c>
      <c r="N21980" s="1">
        <v>44013</v>
      </c>
    </row>
    <row r="21981" spans="11:14" x14ac:dyDescent="0.3">
      <c r="K21981" s="1">
        <v>44378</v>
      </c>
      <c r="M21981" t="e">
        <v>#N/A</v>
      </c>
      <c r="N21981" s="1">
        <v>44013</v>
      </c>
    </row>
    <row r="21982" spans="11:14" x14ac:dyDescent="0.3">
      <c r="K21982" s="1">
        <v>44378</v>
      </c>
      <c r="M21982" t="e">
        <v>#N/A</v>
      </c>
      <c r="N21982" s="1">
        <v>44013</v>
      </c>
    </row>
    <row r="21983" spans="11:14" x14ac:dyDescent="0.3">
      <c r="K21983" s="1">
        <v>44378</v>
      </c>
      <c r="M21983" t="e">
        <v>#N/A</v>
      </c>
      <c r="N21983" s="1">
        <v>44013</v>
      </c>
    </row>
    <row r="21984" spans="11:14" x14ac:dyDescent="0.3">
      <c r="K21984" s="1">
        <v>44378</v>
      </c>
      <c r="M21984" t="e">
        <v>#N/A</v>
      </c>
      <c r="N21984" s="1">
        <v>44013</v>
      </c>
    </row>
    <row r="21985" spans="11:14" x14ac:dyDescent="0.3">
      <c r="K21985" s="1">
        <v>44378</v>
      </c>
      <c r="M21985" t="e">
        <v>#N/A</v>
      </c>
      <c r="N21985" s="1">
        <v>44013</v>
      </c>
    </row>
    <row r="21986" spans="11:14" x14ac:dyDescent="0.3">
      <c r="K21986" s="1">
        <v>44378</v>
      </c>
      <c r="M21986" t="e">
        <v>#N/A</v>
      </c>
      <c r="N21986" s="1">
        <v>44013</v>
      </c>
    </row>
    <row r="21987" spans="11:14" x14ac:dyDescent="0.3">
      <c r="K21987" s="1">
        <v>44378</v>
      </c>
      <c r="M21987" t="e">
        <v>#N/A</v>
      </c>
      <c r="N21987" s="1">
        <v>44013</v>
      </c>
    </row>
    <row r="21988" spans="11:14" x14ac:dyDescent="0.3">
      <c r="K21988" s="1">
        <v>44378</v>
      </c>
      <c r="M21988" t="e">
        <v>#N/A</v>
      </c>
      <c r="N21988" s="1">
        <v>44013</v>
      </c>
    </row>
    <row r="21989" spans="11:14" x14ac:dyDescent="0.3">
      <c r="K21989" s="1">
        <v>44378</v>
      </c>
      <c r="M21989" t="e">
        <v>#N/A</v>
      </c>
      <c r="N21989" s="1">
        <v>44013</v>
      </c>
    </row>
    <row r="21990" spans="11:14" x14ac:dyDescent="0.3">
      <c r="K21990" s="1">
        <v>44378</v>
      </c>
      <c r="M21990" t="e">
        <v>#N/A</v>
      </c>
      <c r="N21990" s="1">
        <v>44013</v>
      </c>
    </row>
    <row r="21991" spans="11:14" x14ac:dyDescent="0.3">
      <c r="K21991" s="1">
        <v>44378</v>
      </c>
      <c r="M21991" t="e">
        <v>#N/A</v>
      </c>
      <c r="N21991" s="1">
        <v>44013</v>
      </c>
    </row>
    <row r="21992" spans="11:14" x14ac:dyDescent="0.3">
      <c r="K21992" s="1">
        <v>44378</v>
      </c>
      <c r="M21992" t="e">
        <v>#N/A</v>
      </c>
      <c r="N21992" s="1">
        <v>44013</v>
      </c>
    </row>
    <row r="21993" spans="11:14" x14ac:dyDescent="0.3">
      <c r="K21993" s="1">
        <v>44378</v>
      </c>
      <c r="M21993" t="e">
        <v>#N/A</v>
      </c>
      <c r="N21993" s="1">
        <v>44013</v>
      </c>
    </row>
    <row r="21994" spans="11:14" x14ac:dyDescent="0.3">
      <c r="K21994" s="1">
        <v>44378</v>
      </c>
      <c r="M21994" t="e">
        <v>#N/A</v>
      </c>
      <c r="N21994" s="1">
        <v>44013</v>
      </c>
    </row>
    <row r="21995" spans="11:14" x14ac:dyDescent="0.3">
      <c r="K21995" s="1">
        <v>44378</v>
      </c>
      <c r="M21995" t="e">
        <v>#N/A</v>
      </c>
      <c r="N21995" s="1">
        <v>44013</v>
      </c>
    </row>
    <row r="21996" spans="11:14" x14ac:dyDescent="0.3">
      <c r="K21996" s="1">
        <v>44378</v>
      </c>
      <c r="M21996" t="e">
        <v>#N/A</v>
      </c>
      <c r="N21996" s="1">
        <v>44013</v>
      </c>
    </row>
    <row r="21997" spans="11:14" x14ac:dyDescent="0.3">
      <c r="K21997" s="1">
        <v>44378</v>
      </c>
      <c r="M21997" t="e">
        <v>#N/A</v>
      </c>
      <c r="N21997" s="1">
        <v>44013</v>
      </c>
    </row>
    <row r="21998" spans="11:14" x14ac:dyDescent="0.3">
      <c r="K21998" s="1">
        <v>44378</v>
      </c>
      <c r="M21998" t="e">
        <v>#N/A</v>
      </c>
      <c r="N21998" s="1">
        <v>44013</v>
      </c>
    </row>
    <row r="21999" spans="11:14" x14ac:dyDescent="0.3">
      <c r="K21999" s="1">
        <v>44378</v>
      </c>
      <c r="M21999" t="e">
        <v>#N/A</v>
      </c>
      <c r="N21999" s="1">
        <v>44013</v>
      </c>
    </row>
    <row r="22000" spans="11:14" x14ac:dyDescent="0.3">
      <c r="K22000" s="1">
        <v>44378</v>
      </c>
      <c r="M22000" t="e">
        <v>#N/A</v>
      </c>
      <c r="N22000" s="1">
        <v>44013</v>
      </c>
    </row>
    <row r="22001" spans="11:14" x14ac:dyDescent="0.3">
      <c r="K22001" s="1">
        <v>44378</v>
      </c>
      <c r="M22001" t="e">
        <v>#N/A</v>
      </c>
      <c r="N22001" s="1">
        <v>44013</v>
      </c>
    </row>
    <row r="22002" spans="11:14" x14ac:dyDescent="0.3">
      <c r="K22002" s="1">
        <v>44378</v>
      </c>
      <c r="M22002" t="e">
        <v>#N/A</v>
      </c>
      <c r="N22002" s="1">
        <v>44013</v>
      </c>
    </row>
    <row r="22003" spans="11:14" x14ac:dyDescent="0.3">
      <c r="K22003" s="1">
        <v>44378</v>
      </c>
      <c r="M22003" t="e">
        <v>#N/A</v>
      </c>
      <c r="N22003" s="1">
        <v>44013</v>
      </c>
    </row>
    <row r="22004" spans="11:14" x14ac:dyDescent="0.3">
      <c r="K22004" s="1">
        <v>44378</v>
      </c>
      <c r="M22004" t="e">
        <v>#N/A</v>
      </c>
      <c r="N22004" s="1">
        <v>44013</v>
      </c>
    </row>
    <row r="22005" spans="11:14" x14ac:dyDescent="0.3">
      <c r="K22005" s="1">
        <v>44378</v>
      </c>
      <c r="M22005" t="e">
        <v>#N/A</v>
      </c>
      <c r="N22005" s="1">
        <v>44013</v>
      </c>
    </row>
    <row r="22006" spans="11:14" x14ac:dyDescent="0.3">
      <c r="K22006" s="1">
        <v>44378</v>
      </c>
      <c r="M22006" t="e">
        <v>#N/A</v>
      </c>
      <c r="N22006" s="1">
        <v>44013</v>
      </c>
    </row>
    <row r="22007" spans="11:14" x14ac:dyDescent="0.3">
      <c r="K22007" s="1">
        <v>44378</v>
      </c>
      <c r="M22007" t="e">
        <v>#N/A</v>
      </c>
      <c r="N22007" s="1">
        <v>44013</v>
      </c>
    </row>
    <row r="22008" spans="11:14" x14ac:dyDescent="0.3">
      <c r="K22008" s="1">
        <v>44378</v>
      </c>
      <c r="M22008" t="e">
        <v>#N/A</v>
      </c>
      <c r="N22008" s="1">
        <v>44013</v>
      </c>
    </row>
    <row r="22009" spans="11:14" x14ac:dyDescent="0.3">
      <c r="K22009" s="1">
        <v>44378</v>
      </c>
      <c r="M22009" t="e">
        <v>#N/A</v>
      </c>
      <c r="N22009" s="1">
        <v>44013</v>
      </c>
    </row>
    <row r="22010" spans="11:14" x14ac:dyDescent="0.3">
      <c r="K22010" s="1">
        <v>44378</v>
      </c>
      <c r="M22010" t="e">
        <v>#N/A</v>
      </c>
      <c r="N22010" s="1">
        <v>44013</v>
      </c>
    </row>
    <row r="22011" spans="11:14" x14ac:dyDescent="0.3">
      <c r="K22011" s="1">
        <v>44378</v>
      </c>
      <c r="M22011" t="e">
        <v>#N/A</v>
      </c>
      <c r="N22011" s="1">
        <v>44013</v>
      </c>
    </row>
    <row r="22012" spans="11:14" x14ac:dyDescent="0.3">
      <c r="K22012" s="1">
        <v>44378</v>
      </c>
      <c r="M22012" t="e">
        <v>#N/A</v>
      </c>
      <c r="N22012" s="1">
        <v>44013</v>
      </c>
    </row>
    <row r="22013" spans="11:14" x14ac:dyDescent="0.3">
      <c r="K22013" s="1">
        <v>44378</v>
      </c>
      <c r="M22013" t="e">
        <v>#N/A</v>
      </c>
      <c r="N22013" s="1">
        <v>44013</v>
      </c>
    </row>
    <row r="22014" spans="11:14" x14ac:dyDescent="0.3">
      <c r="K22014" s="1">
        <v>44378</v>
      </c>
      <c r="M22014" t="e">
        <v>#N/A</v>
      </c>
      <c r="N22014" s="1">
        <v>44013</v>
      </c>
    </row>
    <row r="22015" spans="11:14" x14ac:dyDescent="0.3">
      <c r="K22015" s="1">
        <v>44378</v>
      </c>
      <c r="M22015" t="e">
        <v>#N/A</v>
      </c>
      <c r="N22015" s="1">
        <v>44013</v>
      </c>
    </row>
    <row r="22016" spans="11:14" x14ac:dyDescent="0.3">
      <c r="K22016" s="1">
        <v>44378</v>
      </c>
      <c r="M22016" t="e">
        <v>#N/A</v>
      </c>
      <c r="N22016" s="1">
        <v>44013</v>
      </c>
    </row>
    <row r="22017" spans="11:14" x14ac:dyDescent="0.3">
      <c r="K22017" s="1">
        <v>44378</v>
      </c>
      <c r="M22017" t="e">
        <v>#N/A</v>
      </c>
      <c r="N22017" s="1">
        <v>44013</v>
      </c>
    </row>
    <row r="22018" spans="11:14" x14ac:dyDescent="0.3">
      <c r="K22018" s="1">
        <v>44378</v>
      </c>
      <c r="M22018" t="e">
        <v>#N/A</v>
      </c>
      <c r="N22018" s="1">
        <v>44013</v>
      </c>
    </row>
    <row r="22019" spans="11:14" x14ac:dyDescent="0.3">
      <c r="K22019" s="1">
        <v>44378</v>
      </c>
      <c r="M22019" t="e">
        <v>#N/A</v>
      </c>
      <c r="N22019" s="1">
        <v>44013</v>
      </c>
    </row>
    <row r="22020" spans="11:14" x14ac:dyDescent="0.3">
      <c r="K22020" s="1">
        <v>44378</v>
      </c>
      <c r="M22020" t="e">
        <v>#N/A</v>
      </c>
      <c r="N22020" s="1">
        <v>44013</v>
      </c>
    </row>
    <row r="22021" spans="11:14" x14ac:dyDescent="0.3">
      <c r="K22021" s="1">
        <v>44378</v>
      </c>
      <c r="M22021" t="e">
        <v>#N/A</v>
      </c>
      <c r="N22021" s="1">
        <v>44013</v>
      </c>
    </row>
    <row r="22022" spans="11:14" x14ac:dyDescent="0.3">
      <c r="K22022" s="1">
        <v>44378</v>
      </c>
      <c r="M22022" t="e">
        <v>#N/A</v>
      </c>
      <c r="N22022" s="1">
        <v>44013</v>
      </c>
    </row>
    <row r="22023" spans="11:14" x14ac:dyDescent="0.3">
      <c r="K22023" s="1">
        <v>44378</v>
      </c>
      <c r="M22023" t="e">
        <v>#N/A</v>
      </c>
      <c r="N22023" s="1">
        <v>44013</v>
      </c>
    </row>
    <row r="22024" spans="11:14" x14ac:dyDescent="0.3">
      <c r="K22024" s="1">
        <v>44378</v>
      </c>
      <c r="M22024" t="e">
        <v>#N/A</v>
      </c>
      <c r="N22024" s="1">
        <v>44013</v>
      </c>
    </row>
    <row r="22025" spans="11:14" x14ac:dyDescent="0.3">
      <c r="K22025" s="1">
        <v>44378</v>
      </c>
      <c r="M22025" t="e">
        <v>#N/A</v>
      </c>
      <c r="N22025" s="1">
        <v>44013</v>
      </c>
    </row>
    <row r="22026" spans="11:14" x14ac:dyDescent="0.3">
      <c r="K22026" s="1">
        <v>44378</v>
      </c>
      <c r="M22026" t="e">
        <v>#N/A</v>
      </c>
      <c r="N22026" s="1">
        <v>44013</v>
      </c>
    </row>
    <row r="22027" spans="11:14" x14ac:dyDescent="0.3">
      <c r="K22027" s="1">
        <v>44378</v>
      </c>
      <c r="M22027" t="e">
        <v>#N/A</v>
      </c>
      <c r="N22027" s="1">
        <v>44013</v>
      </c>
    </row>
    <row r="22028" spans="11:14" x14ac:dyDescent="0.3">
      <c r="K22028" s="1">
        <v>44378</v>
      </c>
      <c r="M22028" t="e">
        <v>#N/A</v>
      </c>
      <c r="N22028" s="1">
        <v>44013</v>
      </c>
    </row>
    <row r="22029" spans="11:14" x14ac:dyDescent="0.3">
      <c r="K22029" s="1">
        <v>44378</v>
      </c>
      <c r="M22029" t="e">
        <v>#N/A</v>
      </c>
      <c r="N22029" s="1">
        <v>44013</v>
      </c>
    </row>
    <row r="22030" spans="11:14" x14ac:dyDescent="0.3">
      <c r="K22030" s="1">
        <v>44378</v>
      </c>
      <c r="M22030" t="e">
        <v>#N/A</v>
      </c>
      <c r="N22030" s="1">
        <v>44013</v>
      </c>
    </row>
    <row r="22031" spans="11:14" x14ac:dyDescent="0.3">
      <c r="K22031" s="1">
        <v>44378</v>
      </c>
      <c r="M22031" t="e">
        <v>#N/A</v>
      </c>
      <c r="N22031" s="1">
        <v>44013</v>
      </c>
    </row>
    <row r="22032" spans="11:14" x14ac:dyDescent="0.3">
      <c r="K22032" s="1">
        <v>44378</v>
      </c>
      <c r="M22032" t="e">
        <v>#N/A</v>
      </c>
      <c r="N22032" s="1">
        <v>44013</v>
      </c>
    </row>
    <row r="22033" spans="11:14" x14ac:dyDescent="0.3">
      <c r="K22033" s="1">
        <v>44378</v>
      </c>
      <c r="M22033" t="e">
        <v>#N/A</v>
      </c>
      <c r="N22033" s="1">
        <v>44013</v>
      </c>
    </row>
    <row r="22034" spans="11:14" x14ac:dyDescent="0.3">
      <c r="K22034" s="1">
        <v>44378</v>
      </c>
      <c r="M22034" t="e">
        <v>#N/A</v>
      </c>
      <c r="N22034" s="1">
        <v>44013</v>
      </c>
    </row>
    <row r="22035" spans="11:14" x14ac:dyDescent="0.3">
      <c r="K22035" s="1">
        <v>44378</v>
      </c>
      <c r="M22035" t="e">
        <v>#N/A</v>
      </c>
      <c r="N22035" s="1">
        <v>44013</v>
      </c>
    </row>
    <row r="22036" spans="11:14" x14ac:dyDescent="0.3">
      <c r="K22036" s="1">
        <v>44378</v>
      </c>
      <c r="M22036" t="e">
        <v>#N/A</v>
      </c>
      <c r="N22036" s="1">
        <v>44013</v>
      </c>
    </row>
    <row r="22037" spans="11:14" x14ac:dyDescent="0.3">
      <c r="K22037" s="1">
        <v>44378</v>
      </c>
      <c r="M22037" t="e">
        <v>#N/A</v>
      </c>
      <c r="N22037" s="1">
        <v>44013</v>
      </c>
    </row>
    <row r="22038" spans="11:14" x14ac:dyDescent="0.3">
      <c r="K22038" s="1">
        <v>44378</v>
      </c>
      <c r="M22038" t="e">
        <v>#N/A</v>
      </c>
      <c r="N22038" s="1">
        <v>44013</v>
      </c>
    </row>
    <row r="22039" spans="11:14" x14ac:dyDescent="0.3">
      <c r="K22039" s="1">
        <v>44378</v>
      </c>
      <c r="M22039" t="e">
        <v>#N/A</v>
      </c>
      <c r="N22039" s="1">
        <v>44013</v>
      </c>
    </row>
    <row r="22040" spans="11:14" x14ac:dyDescent="0.3">
      <c r="K22040" s="1">
        <v>44378</v>
      </c>
      <c r="M22040" t="e">
        <v>#N/A</v>
      </c>
      <c r="N22040" s="1">
        <v>44013</v>
      </c>
    </row>
    <row r="22041" spans="11:14" x14ac:dyDescent="0.3">
      <c r="K22041" s="1">
        <v>44378</v>
      </c>
      <c r="M22041" t="e">
        <v>#N/A</v>
      </c>
      <c r="N22041" s="1">
        <v>44013</v>
      </c>
    </row>
    <row r="22042" spans="11:14" x14ac:dyDescent="0.3">
      <c r="K22042" s="1">
        <v>44378</v>
      </c>
      <c r="M22042" t="e">
        <v>#N/A</v>
      </c>
      <c r="N22042" s="1">
        <v>44013</v>
      </c>
    </row>
    <row r="22043" spans="11:14" x14ac:dyDescent="0.3">
      <c r="K22043" s="1">
        <v>44378</v>
      </c>
      <c r="M22043" t="e">
        <v>#N/A</v>
      </c>
      <c r="N22043" s="1">
        <v>44013</v>
      </c>
    </row>
    <row r="22044" spans="11:14" x14ac:dyDescent="0.3">
      <c r="K22044" s="1">
        <v>44378</v>
      </c>
      <c r="M22044" t="e">
        <v>#N/A</v>
      </c>
      <c r="N22044" s="1">
        <v>44013</v>
      </c>
    </row>
    <row r="22045" spans="11:14" x14ac:dyDescent="0.3">
      <c r="K22045" s="1">
        <v>44378</v>
      </c>
      <c r="M22045" t="e">
        <v>#N/A</v>
      </c>
      <c r="N22045" s="1">
        <v>44013</v>
      </c>
    </row>
    <row r="22046" spans="11:14" x14ac:dyDescent="0.3">
      <c r="K22046" s="1">
        <v>44378</v>
      </c>
      <c r="M22046" t="e">
        <v>#N/A</v>
      </c>
      <c r="N22046" s="1">
        <v>44013</v>
      </c>
    </row>
    <row r="22047" spans="11:14" x14ac:dyDescent="0.3">
      <c r="K22047" s="1">
        <v>44378</v>
      </c>
      <c r="M22047" t="e">
        <v>#N/A</v>
      </c>
      <c r="N22047" s="1">
        <v>44013</v>
      </c>
    </row>
    <row r="22048" spans="11:14" x14ac:dyDescent="0.3">
      <c r="K22048" s="1">
        <v>44378</v>
      </c>
      <c r="M22048" t="e">
        <v>#N/A</v>
      </c>
      <c r="N22048" s="1">
        <v>44013</v>
      </c>
    </row>
    <row r="22049" spans="11:14" x14ac:dyDescent="0.3">
      <c r="K22049" s="1">
        <v>44378</v>
      </c>
      <c r="M22049" t="e">
        <v>#N/A</v>
      </c>
      <c r="N22049" s="1">
        <v>44013</v>
      </c>
    </row>
    <row r="22050" spans="11:14" x14ac:dyDescent="0.3">
      <c r="K22050" s="1">
        <v>44378</v>
      </c>
      <c r="M22050" t="e">
        <v>#N/A</v>
      </c>
      <c r="N22050" s="1">
        <v>44013</v>
      </c>
    </row>
    <row r="22051" spans="11:14" x14ac:dyDescent="0.3">
      <c r="K22051" s="1">
        <v>44378</v>
      </c>
      <c r="M22051" t="e">
        <v>#N/A</v>
      </c>
      <c r="N22051" s="1">
        <v>44013</v>
      </c>
    </row>
    <row r="22052" spans="11:14" x14ac:dyDescent="0.3">
      <c r="K22052" s="1">
        <v>44378</v>
      </c>
      <c r="M22052" t="e">
        <v>#N/A</v>
      </c>
      <c r="N22052" s="1">
        <v>44013</v>
      </c>
    </row>
    <row r="22053" spans="11:14" x14ac:dyDescent="0.3">
      <c r="K22053" s="1">
        <v>44378</v>
      </c>
      <c r="M22053" t="e">
        <v>#N/A</v>
      </c>
      <c r="N22053" s="1">
        <v>44013</v>
      </c>
    </row>
    <row r="22054" spans="11:14" x14ac:dyDescent="0.3">
      <c r="K22054" s="1">
        <v>44378</v>
      </c>
      <c r="M22054" t="e">
        <v>#N/A</v>
      </c>
      <c r="N22054" s="1">
        <v>44013</v>
      </c>
    </row>
    <row r="22055" spans="11:14" x14ac:dyDescent="0.3">
      <c r="K22055" s="1">
        <v>44378</v>
      </c>
      <c r="M22055" t="e">
        <v>#N/A</v>
      </c>
      <c r="N22055" s="1">
        <v>44013</v>
      </c>
    </row>
    <row r="22056" spans="11:14" x14ac:dyDescent="0.3">
      <c r="K22056" s="1">
        <v>44378</v>
      </c>
      <c r="M22056" t="e">
        <v>#N/A</v>
      </c>
      <c r="N22056" s="1">
        <v>44013</v>
      </c>
    </row>
    <row r="22057" spans="11:14" x14ac:dyDescent="0.3">
      <c r="K22057" s="1">
        <v>44378</v>
      </c>
      <c r="M22057" t="e">
        <v>#N/A</v>
      </c>
      <c r="N22057" s="1">
        <v>44013</v>
      </c>
    </row>
    <row r="22058" spans="11:14" x14ac:dyDescent="0.3">
      <c r="K22058" s="1">
        <v>44378</v>
      </c>
      <c r="M22058" t="e">
        <v>#N/A</v>
      </c>
      <c r="N22058" s="1">
        <v>44013</v>
      </c>
    </row>
    <row r="22059" spans="11:14" x14ac:dyDescent="0.3">
      <c r="K22059" s="1">
        <v>44378</v>
      </c>
      <c r="M22059" t="e">
        <v>#N/A</v>
      </c>
      <c r="N22059" s="1">
        <v>44013</v>
      </c>
    </row>
    <row r="22060" spans="11:14" x14ac:dyDescent="0.3">
      <c r="K22060" s="1">
        <v>44378</v>
      </c>
      <c r="M22060" t="e">
        <v>#N/A</v>
      </c>
      <c r="N22060" s="1">
        <v>44013</v>
      </c>
    </row>
    <row r="22061" spans="11:14" x14ac:dyDescent="0.3">
      <c r="K22061" s="1">
        <v>44378</v>
      </c>
      <c r="M22061" t="e">
        <v>#N/A</v>
      </c>
      <c r="N22061" s="1">
        <v>44013</v>
      </c>
    </row>
    <row r="22062" spans="11:14" x14ac:dyDescent="0.3">
      <c r="K22062" s="1">
        <v>44378</v>
      </c>
      <c r="M22062" t="e">
        <v>#N/A</v>
      </c>
      <c r="N22062" s="1">
        <v>44013</v>
      </c>
    </row>
    <row r="22063" spans="11:14" x14ac:dyDescent="0.3">
      <c r="K22063" s="1">
        <v>44378</v>
      </c>
      <c r="M22063" t="e">
        <v>#N/A</v>
      </c>
      <c r="N22063" s="1">
        <v>44013</v>
      </c>
    </row>
    <row r="22064" spans="11:14" x14ac:dyDescent="0.3">
      <c r="K22064" s="1">
        <v>44378</v>
      </c>
      <c r="M22064" t="e">
        <v>#N/A</v>
      </c>
      <c r="N22064" s="1">
        <v>44013</v>
      </c>
    </row>
    <row r="22065" spans="11:14" x14ac:dyDescent="0.3">
      <c r="K22065" s="1">
        <v>44378</v>
      </c>
      <c r="M22065" t="e">
        <v>#N/A</v>
      </c>
      <c r="N22065" s="1">
        <v>44013</v>
      </c>
    </row>
    <row r="22066" spans="11:14" x14ac:dyDescent="0.3">
      <c r="K22066" s="1">
        <v>44378</v>
      </c>
      <c r="M22066" t="e">
        <v>#N/A</v>
      </c>
      <c r="N22066" s="1">
        <v>44013</v>
      </c>
    </row>
    <row r="22067" spans="11:14" x14ac:dyDescent="0.3">
      <c r="K22067" s="1">
        <v>44378</v>
      </c>
      <c r="M22067" t="e">
        <v>#N/A</v>
      </c>
      <c r="N22067" s="1">
        <v>44013</v>
      </c>
    </row>
    <row r="22068" spans="11:14" x14ac:dyDescent="0.3">
      <c r="K22068" s="1">
        <v>44378</v>
      </c>
      <c r="M22068" t="e">
        <v>#N/A</v>
      </c>
      <c r="N22068" s="1">
        <v>44013</v>
      </c>
    </row>
    <row r="22069" spans="11:14" x14ac:dyDescent="0.3">
      <c r="K22069" s="1">
        <v>44378</v>
      </c>
      <c r="M22069" t="e">
        <v>#N/A</v>
      </c>
      <c r="N22069" s="1">
        <v>44013</v>
      </c>
    </row>
    <row r="22070" spans="11:14" x14ac:dyDescent="0.3">
      <c r="K22070" s="1">
        <v>44378</v>
      </c>
      <c r="M22070" t="e">
        <v>#N/A</v>
      </c>
      <c r="N22070" s="1">
        <v>44013</v>
      </c>
    </row>
    <row r="22071" spans="11:14" x14ac:dyDescent="0.3">
      <c r="K22071" s="1">
        <v>44378</v>
      </c>
      <c r="M22071" t="e">
        <v>#N/A</v>
      </c>
      <c r="N22071" s="1">
        <v>44013</v>
      </c>
    </row>
    <row r="22072" spans="11:14" x14ac:dyDescent="0.3">
      <c r="K22072" s="1">
        <v>44378</v>
      </c>
      <c r="M22072" t="e">
        <v>#N/A</v>
      </c>
      <c r="N22072" s="1">
        <v>44013</v>
      </c>
    </row>
    <row r="22073" spans="11:14" x14ac:dyDescent="0.3">
      <c r="K22073" s="1">
        <v>44378</v>
      </c>
      <c r="M22073" t="e">
        <v>#N/A</v>
      </c>
      <c r="N22073" s="1">
        <v>44013</v>
      </c>
    </row>
    <row r="22074" spans="11:14" x14ac:dyDescent="0.3">
      <c r="K22074" s="1">
        <v>44378</v>
      </c>
      <c r="M22074" t="e">
        <v>#N/A</v>
      </c>
      <c r="N22074" s="1">
        <v>44013</v>
      </c>
    </row>
    <row r="22075" spans="11:14" x14ac:dyDescent="0.3">
      <c r="K22075" s="1">
        <v>44378</v>
      </c>
      <c r="M22075" t="e">
        <v>#N/A</v>
      </c>
      <c r="N22075" s="1">
        <v>44013</v>
      </c>
    </row>
    <row r="22076" spans="11:14" x14ac:dyDescent="0.3">
      <c r="K22076" s="1">
        <v>44378</v>
      </c>
      <c r="M22076" t="e">
        <v>#N/A</v>
      </c>
      <c r="N22076" s="1">
        <v>44013</v>
      </c>
    </row>
    <row r="22077" spans="11:14" x14ac:dyDescent="0.3">
      <c r="K22077" s="1">
        <v>44378</v>
      </c>
      <c r="M22077" t="e">
        <v>#N/A</v>
      </c>
      <c r="N22077" s="1">
        <v>44013</v>
      </c>
    </row>
    <row r="22078" spans="11:14" x14ac:dyDescent="0.3">
      <c r="K22078" s="1">
        <v>44378</v>
      </c>
      <c r="M22078" t="e">
        <v>#N/A</v>
      </c>
      <c r="N22078" s="1">
        <v>44013</v>
      </c>
    </row>
    <row r="22079" spans="11:14" x14ac:dyDescent="0.3">
      <c r="K22079" s="1">
        <v>44378</v>
      </c>
      <c r="M22079" t="e">
        <v>#N/A</v>
      </c>
      <c r="N22079" s="1">
        <v>44013</v>
      </c>
    </row>
    <row r="22080" spans="11:14" x14ac:dyDescent="0.3">
      <c r="K22080" s="1">
        <v>44378</v>
      </c>
      <c r="M22080" t="e">
        <v>#N/A</v>
      </c>
      <c r="N22080" s="1">
        <v>44013</v>
      </c>
    </row>
    <row r="22081" spans="11:14" x14ac:dyDescent="0.3">
      <c r="K22081" s="1">
        <v>44378</v>
      </c>
      <c r="M22081" t="e">
        <v>#N/A</v>
      </c>
      <c r="N22081" s="1">
        <v>44013</v>
      </c>
    </row>
    <row r="22082" spans="11:14" x14ac:dyDescent="0.3">
      <c r="K22082" s="1">
        <v>44378</v>
      </c>
      <c r="M22082" t="e">
        <v>#N/A</v>
      </c>
      <c r="N22082" s="1">
        <v>44013</v>
      </c>
    </row>
    <row r="22083" spans="11:14" x14ac:dyDescent="0.3">
      <c r="K22083" s="1">
        <v>44378</v>
      </c>
      <c r="M22083" t="e">
        <v>#N/A</v>
      </c>
      <c r="N22083" s="1">
        <v>44013</v>
      </c>
    </row>
    <row r="22084" spans="11:14" x14ac:dyDescent="0.3">
      <c r="K22084" s="1">
        <v>44378</v>
      </c>
      <c r="M22084" t="e">
        <v>#N/A</v>
      </c>
      <c r="N22084" s="1">
        <v>44013</v>
      </c>
    </row>
    <row r="22085" spans="11:14" x14ac:dyDescent="0.3">
      <c r="K22085" s="1">
        <v>44378</v>
      </c>
      <c r="M22085" t="e">
        <v>#N/A</v>
      </c>
      <c r="N22085" s="1">
        <v>44013</v>
      </c>
    </row>
    <row r="22086" spans="11:14" x14ac:dyDescent="0.3">
      <c r="K22086" s="1">
        <v>44378</v>
      </c>
      <c r="M22086" t="e">
        <v>#N/A</v>
      </c>
      <c r="N22086" s="1">
        <v>44013</v>
      </c>
    </row>
    <row r="22087" spans="11:14" x14ac:dyDescent="0.3">
      <c r="K22087" s="1">
        <v>44378</v>
      </c>
      <c r="M22087" t="e">
        <v>#N/A</v>
      </c>
      <c r="N22087" s="1">
        <v>44013</v>
      </c>
    </row>
    <row r="22088" spans="11:14" x14ac:dyDescent="0.3">
      <c r="K22088" s="1">
        <v>44378</v>
      </c>
      <c r="M22088" t="e">
        <v>#N/A</v>
      </c>
      <c r="N22088" s="1">
        <v>44013</v>
      </c>
    </row>
    <row r="22089" spans="11:14" x14ac:dyDescent="0.3">
      <c r="K22089" s="1">
        <v>44378</v>
      </c>
      <c r="M22089" t="e">
        <v>#N/A</v>
      </c>
      <c r="N22089" s="1">
        <v>44013</v>
      </c>
    </row>
    <row r="22090" spans="11:14" x14ac:dyDescent="0.3">
      <c r="K22090" s="1">
        <v>44378</v>
      </c>
      <c r="M22090" t="e">
        <v>#N/A</v>
      </c>
      <c r="N22090" s="1">
        <v>44013</v>
      </c>
    </row>
    <row r="22091" spans="11:14" x14ac:dyDescent="0.3">
      <c r="K22091" s="1">
        <v>44378</v>
      </c>
      <c r="M22091" t="e">
        <v>#N/A</v>
      </c>
      <c r="N22091" s="1">
        <v>44013</v>
      </c>
    </row>
    <row r="22092" spans="11:14" x14ac:dyDescent="0.3">
      <c r="K22092" s="1">
        <v>44378</v>
      </c>
      <c r="M22092" t="e">
        <v>#N/A</v>
      </c>
      <c r="N22092" s="1">
        <v>44013</v>
      </c>
    </row>
    <row r="22093" spans="11:14" x14ac:dyDescent="0.3">
      <c r="K22093" s="1">
        <v>44378</v>
      </c>
      <c r="M22093" t="e">
        <v>#N/A</v>
      </c>
      <c r="N22093" s="1">
        <v>44013</v>
      </c>
    </row>
    <row r="22094" spans="11:14" x14ac:dyDescent="0.3">
      <c r="K22094" s="1">
        <v>44378</v>
      </c>
      <c r="M22094" t="e">
        <v>#N/A</v>
      </c>
      <c r="N22094" s="1">
        <v>44013</v>
      </c>
    </row>
    <row r="22095" spans="11:14" x14ac:dyDescent="0.3">
      <c r="K22095" s="1">
        <v>44378</v>
      </c>
      <c r="M22095" t="e">
        <v>#N/A</v>
      </c>
      <c r="N22095" s="1">
        <v>44013</v>
      </c>
    </row>
    <row r="22096" spans="11:14" x14ac:dyDescent="0.3">
      <c r="K22096" s="1">
        <v>44378</v>
      </c>
      <c r="M22096" t="e">
        <v>#N/A</v>
      </c>
      <c r="N22096" s="1">
        <v>44013</v>
      </c>
    </row>
    <row r="22097" spans="11:14" x14ac:dyDescent="0.3">
      <c r="K22097" s="1">
        <v>44378</v>
      </c>
      <c r="M22097" t="e">
        <v>#N/A</v>
      </c>
      <c r="N22097" s="1">
        <v>44013</v>
      </c>
    </row>
    <row r="22098" spans="11:14" x14ac:dyDescent="0.3">
      <c r="K22098" s="1">
        <v>44378</v>
      </c>
      <c r="M22098" t="e">
        <v>#N/A</v>
      </c>
      <c r="N22098" s="1">
        <v>44013</v>
      </c>
    </row>
    <row r="22099" spans="11:14" x14ac:dyDescent="0.3">
      <c r="K22099" s="1">
        <v>44378</v>
      </c>
      <c r="M22099" t="e">
        <v>#N/A</v>
      </c>
      <c r="N22099" s="1">
        <v>44013</v>
      </c>
    </row>
    <row r="22100" spans="11:14" x14ac:dyDescent="0.3">
      <c r="K22100" s="1">
        <v>44378</v>
      </c>
      <c r="M22100" t="e">
        <v>#N/A</v>
      </c>
      <c r="N22100" s="1">
        <v>44013</v>
      </c>
    </row>
    <row r="22101" spans="11:14" x14ac:dyDescent="0.3">
      <c r="K22101" s="1">
        <v>44378</v>
      </c>
      <c r="M22101" t="e">
        <v>#N/A</v>
      </c>
      <c r="N22101" s="1">
        <v>44013</v>
      </c>
    </row>
    <row r="22102" spans="11:14" x14ac:dyDescent="0.3">
      <c r="K22102" s="1">
        <v>44378</v>
      </c>
      <c r="M22102" t="e">
        <v>#N/A</v>
      </c>
      <c r="N22102" s="1">
        <v>44013</v>
      </c>
    </row>
    <row r="22103" spans="11:14" x14ac:dyDescent="0.3">
      <c r="K22103" s="1">
        <v>44378</v>
      </c>
      <c r="M22103" t="e">
        <v>#N/A</v>
      </c>
      <c r="N22103" s="1">
        <v>44013</v>
      </c>
    </row>
    <row r="22104" spans="11:14" x14ac:dyDescent="0.3">
      <c r="K22104" s="1">
        <v>44378</v>
      </c>
      <c r="M22104" t="e">
        <v>#N/A</v>
      </c>
      <c r="N22104" s="1">
        <v>44013</v>
      </c>
    </row>
    <row r="22105" spans="11:14" x14ac:dyDescent="0.3">
      <c r="K22105" s="1">
        <v>44378</v>
      </c>
      <c r="M22105" t="e">
        <v>#N/A</v>
      </c>
      <c r="N22105" s="1">
        <v>44013</v>
      </c>
    </row>
    <row r="22106" spans="11:14" x14ac:dyDescent="0.3">
      <c r="K22106" s="1">
        <v>44378</v>
      </c>
      <c r="M22106" t="e">
        <v>#N/A</v>
      </c>
      <c r="N22106" s="1">
        <v>44013</v>
      </c>
    </row>
    <row r="22107" spans="11:14" x14ac:dyDescent="0.3">
      <c r="K22107" s="1">
        <v>44378</v>
      </c>
      <c r="M22107" t="e">
        <v>#N/A</v>
      </c>
      <c r="N22107" s="1">
        <v>44013</v>
      </c>
    </row>
    <row r="22108" spans="11:14" x14ac:dyDescent="0.3">
      <c r="K22108" s="1">
        <v>44378</v>
      </c>
      <c r="M22108" t="e">
        <v>#N/A</v>
      </c>
      <c r="N22108" s="1">
        <v>44013</v>
      </c>
    </row>
    <row r="22109" spans="11:14" x14ac:dyDescent="0.3">
      <c r="K22109" s="1">
        <v>44378</v>
      </c>
      <c r="M22109" t="e">
        <v>#N/A</v>
      </c>
      <c r="N22109" s="1">
        <v>44013</v>
      </c>
    </row>
    <row r="22110" spans="11:14" x14ac:dyDescent="0.3">
      <c r="K22110" s="1">
        <v>44378</v>
      </c>
      <c r="M22110" t="e">
        <v>#N/A</v>
      </c>
      <c r="N22110" s="1">
        <v>44013</v>
      </c>
    </row>
    <row r="22111" spans="11:14" x14ac:dyDescent="0.3">
      <c r="K22111" s="1">
        <v>44378</v>
      </c>
      <c r="M22111" t="e">
        <v>#N/A</v>
      </c>
      <c r="N22111" s="1">
        <v>44013</v>
      </c>
    </row>
    <row r="22112" spans="11:14" x14ac:dyDescent="0.3">
      <c r="K22112" s="1">
        <v>44378</v>
      </c>
      <c r="M22112" t="e">
        <v>#N/A</v>
      </c>
      <c r="N22112" s="1">
        <v>44013</v>
      </c>
    </row>
    <row r="22113" spans="11:14" x14ac:dyDescent="0.3">
      <c r="K22113" s="1">
        <v>44378</v>
      </c>
      <c r="M22113" t="e">
        <v>#N/A</v>
      </c>
      <c r="N22113" s="1">
        <v>44013</v>
      </c>
    </row>
    <row r="22114" spans="11:14" x14ac:dyDescent="0.3">
      <c r="K22114" s="1">
        <v>44378</v>
      </c>
      <c r="M22114" t="e">
        <v>#N/A</v>
      </c>
      <c r="N22114" s="1">
        <v>44013</v>
      </c>
    </row>
    <row r="22115" spans="11:14" x14ac:dyDescent="0.3">
      <c r="K22115" s="1">
        <v>44378</v>
      </c>
      <c r="M22115" t="e">
        <v>#N/A</v>
      </c>
      <c r="N22115" s="1">
        <v>44013</v>
      </c>
    </row>
    <row r="22116" spans="11:14" x14ac:dyDescent="0.3">
      <c r="K22116" s="1">
        <v>44378</v>
      </c>
      <c r="M22116" t="e">
        <v>#N/A</v>
      </c>
      <c r="N22116" s="1">
        <v>44013</v>
      </c>
    </row>
    <row r="22117" spans="11:14" x14ac:dyDescent="0.3">
      <c r="K22117" s="1">
        <v>44378</v>
      </c>
      <c r="M22117" t="e">
        <v>#N/A</v>
      </c>
      <c r="N22117" s="1">
        <v>44013</v>
      </c>
    </row>
    <row r="22118" spans="11:14" x14ac:dyDescent="0.3">
      <c r="K22118" s="1">
        <v>44378</v>
      </c>
      <c r="M22118" t="e">
        <v>#N/A</v>
      </c>
      <c r="N22118" s="1">
        <v>44013</v>
      </c>
    </row>
    <row r="22119" spans="11:14" x14ac:dyDescent="0.3">
      <c r="K22119" s="1">
        <v>44378</v>
      </c>
      <c r="M22119" t="e">
        <v>#N/A</v>
      </c>
      <c r="N22119" s="1">
        <v>44013</v>
      </c>
    </row>
    <row r="22120" spans="11:14" x14ac:dyDescent="0.3">
      <c r="K22120" s="1">
        <v>44378</v>
      </c>
      <c r="M22120" t="e">
        <v>#N/A</v>
      </c>
      <c r="N22120" s="1">
        <v>44013</v>
      </c>
    </row>
    <row r="22121" spans="11:14" x14ac:dyDescent="0.3">
      <c r="K22121" s="1">
        <v>44378</v>
      </c>
      <c r="M22121" t="e">
        <v>#N/A</v>
      </c>
      <c r="N22121" s="1">
        <v>44013</v>
      </c>
    </row>
    <row r="22122" spans="11:14" x14ac:dyDescent="0.3">
      <c r="K22122" s="1">
        <v>44378</v>
      </c>
      <c r="M22122" t="e">
        <v>#N/A</v>
      </c>
      <c r="N22122" s="1">
        <v>44013</v>
      </c>
    </row>
    <row r="22123" spans="11:14" x14ac:dyDescent="0.3">
      <c r="K22123" s="1">
        <v>44378</v>
      </c>
      <c r="M22123" t="e">
        <v>#N/A</v>
      </c>
      <c r="N22123" s="1">
        <v>44013</v>
      </c>
    </row>
    <row r="22124" spans="11:14" x14ac:dyDescent="0.3">
      <c r="K22124" s="1">
        <v>44378</v>
      </c>
      <c r="M22124" t="e">
        <v>#N/A</v>
      </c>
      <c r="N22124" s="1">
        <v>44013</v>
      </c>
    </row>
    <row r="22125" spans="11:14" x14ac:dyDescent="0.3">
      <c r="K22125" s="1">
        <v>44378</v>
      </c>
      <c r="M22125" t="e">
        <v>#N/A</v>
      </c>
      <c r="N22125" s="1">
        <v>44013</v>
      </c>
    </row>
    <row r="22126" spans="11:14" x14ac:dyDescent="0.3">
      <c r="K22126" s="1">
        <v>44378</v>
      </c>
      <c r="M22126" t="e">
        <v>#N/A</v>
      </c>
      <c r="N22126" s="1">
        <v>44013</v>
      </c>
    </row>
    <row r="22127" spans="11:14" x14ac:dyDescent="0.3">
      <c r="K22127" s="1">
        <v>44378</v>
      </c>
      <c r="M22127" t="e">
        <v>#N/A</v>
      </c>
      <c r="N22127" s="1">
        <v>44013</v>
      </c>
    </row>
    <row r="22128" spans="11:14" x14ac:dyDescent="0.3">
      <c r="K22128" s="1">
        <v>44378</v>
      </c>
      <c r="M22128" t="e">
        <v>#N/A</v>
      </c>
      <c r="N22128" s="1">
        <v>44013</v>
      </c>
    </row>
    <row r="22129" spans="11:14" x14ac:dyDescent="0.3">
      <c r="K22129" s="1">
        <v>44378</v>
      </c>
      <c r="M22129" t="e">
        <v>#N/A</v>
      </c>
      <c r="N22129" s="1">
        <v>44013</v>
      </c>
    </row>
    <row r="22130" spans="11:14" x14ac:dyDescent="0.3">
      <c r="K22130" s="1">
        <v>44378</v>
      </c>
      <c r="M22130" t="e">
        <v>#N/A</v>
      </c>
      <c r="N22130" s="1">
        <v>44013</v>
      </c>
    </row>
    <row r="22131" spans="11:14" x14ac:dyDescent="0.3">
      <c r="K22131" s="1">
        <v>44378</v>
      </c>
      <c r="M22131" t="e">
        <v>#N/A</v>
      </c>
      <c r="N22131" s="1">
        <v>44013</v>
      </c>
    </row>
    <row r="22132" spans="11:14" x14ac:dyDescent="0.3">
      <c r="K22132" s="1">
        <v>44378</v>
      </c>
      <c r="M22132" t="e">
        <v>#N/A</v>
      </c>
      <c r="N22132" s="1">
        <v>44013</v>
      </c>
    </row>
    <row r="22133" spans="11:14" x14ac:dyDescent="0.3">
      <c r="K22133" s="1">
        <v>44378</v>
      </c>
      <c r="M22133" t="e">
        <v>#N/A</v>
      </c>
      <c r="N22133" s="1">
        <v>44013</v>
      </c>
    </row>
    <row r="22134" spans="11:14" x14ac:dyDescent="0.3">
      <c r="K22134" s="1">
        <v>44378</v>
      </c>
      <c r="M22134" t="e">
        <v>#N/A</v>
      </c>
      <c r="N22134" s="1">
        <v>44013</v>
      </c>
    </row>
    <row r="22135" spans="11:14" x14ac:dyDescent="0.3">
      <c r="K22135" s="1">
        <v>44378</v>
      </c>
      <c r="M22135" t="e">
        <v>#N/A</v>
      </c>
      <c r="N22135" s="1">
        <v>44013</v>
      </c>
    </row>
    <row r="22136" spans="11:14" x14ac:dyDescent="0.3">
      <c r="K22136" s="1">
        <v>44378</v>
      </c>
      <c r="M22136" t="e">
        <v>#N/A</v>
      </c>
      <c r="N22136" s="1">
        <v>44013</v>
      </c>
    </row>
    <row r="22137" spans="11:14" x14ac:dyDescent="0.3">
      <c r="K22137" s="1">
        <v>44378</v>
      </c>
      <c r="M22137" t="e">
        <v>#N/A</v>
      </c>
      <c r="N22137" s="1">
        <v>44013</v>
      </c>
    </row>
    <row r="22138" spans="11:14" x14ac:dyDescent="0.3">
      <c r="K22138" s="1">
        <v>44378</v>
      </c>
      <c r="M22138" t="e">
        <v>#N/A</v>
      </c>
      <c r="N22138" s="1">
        <v>44013</v>
      </c>
    </row>
    <row r="22139" spans="11:14" x14ac:dyDescent="0.3">
      <c r="K22139" s="1">
        <v>44378</v>
      </c>
      <c r="M22139" t="e">
        <v>#N/A</v>
      </c>
      <c r="N22139" s="1">
        <v>44013</v>
      </c>
    </row>
    <row r="22140" spans="11:14" x14ac:dyDescent="0.3">
      <c r="K22140" s="1">
        <v>44378</v>
      </c>
      <c r="M22140" t="e">
        <v>#N/A</v>
      </c>
      <c r="N22140" s="1">
        <v>44013</v>
      </c>
    </row>
    <row r="22141" spans="11:14" x14ac:dyDescent="0.3">
      <c r="K22141" s="1">
        <v>44378</v>
      </c>
      <c r="M22141" t="e">
        <v>#N/A</v>
      </c>
      <c r="N22141" s="1">
        <v>44013</v>
      </c>
    </row>
    <row r="22142" spans="11:14" x14ac:dyDescent="0.3">
      <c r="K22142" s="1">
        <v>44378</v>
      </c>
      <c r="M22142" t="e">
        <v>#N/A</v>
      </c>
      <c r="N22142" s="1">
        <v>44013</v>
      </c>
    </row>
    <row r="22143" spans="11:14" x14ac:dyDescent="0.3">
      <c r="K22143" s="1">
        <v>44378</v>
      </c>
      <c r="M22143" t="e">
        <v>#N/A</v>
      </c>
      <c r="N22143" s="1">
        <v>44013</v>
      </c>
    </row>
    <row r="22144" spans="11:14" x14ac:dyDescent="0.3">
      <c r="K22144" s="1">
        <v>44378</v>
      </c>
      <c r="M22144" t="e">
        <v>#N/A</v>
      </c>
      <c r="N22144" s="1">
        <v>44013</v>
      </c>
    </row>
    <row r="22145" spans="11:14" x14ac:dyDescent="0.3">
      <c r="K22145" s="1">
        <v>44378</v>
      </c>
      <c r="M22145" t="e">
        <v>#N/A</v>
      </c>
      <c r="N22145" s="1">
        <v>44013</v>
      </c>
    </row>
    <row r="22146" spans="11:14" x14ac:dyDescent="0.3">
      <c r="K22146" s="1">
        <v>44378</v>
      </c>
      <c r="M22146" t="e">
        <v>#N/A</v>
      </c>
      <c r="N22146" s="1">
        <v>44013</v>
      </c>
    </row>
    <row r="22147" spans="11:14" x14ac:dyDescent="0.3">
      <c r="K22147" s="1">
        <v>44378</v>
      </c>
      <c r="M22147" t="e">
        <v>#N/A</v>
      </c>
      <c r="N22147" s="1">
        <v>44013</v>
      </c>
    </row>
    <row r="22148" spans="11:14" x14ac:dyDescent="0.3">
      <c r="K22148" s="1">
        <v>44378</v>
      </c>
      <c r="M22148" t="e">
        <v>#N/A</v>
      </c>
      <c r="N22148" s="1">
        <v>44013</v>
      </c>
    </row>
    <row r="22149" spans="11:14" x14ac:dyDescent="0.3">
      <c r="K22149" s="1">
        <v>44378</v>
      </c>
      <c r="M22149" t="e">
        <v>#N/A</v>
      </c>
      <c r="N22149" s="1">
        <v>44013</v>
      </c>
    </row>
    <row r="22150" spans="11:14" x14ac:dyDescent="0.3">
      <c r="K22150" s="1">
        <v>44378</v>
      </c>
      <c r="M22150" t="e">
        <v>#N/A</v>
      </c>
      <c r="N22150" s="1">
        <v>44013</v>
      </c>
    </row>
    <row r="22151" spans="11:14" x14ac:dyDescent="0.3">
      <c r="K22151" s="1">
        <v>44378</v>
      </c>
      <c r="M22151" t="e">
        <v>#N/A</v>
      </c>
      <c r="N22151" s="1">
        <v>44013</v>
      </c>
    </row>
    <row r="22152" spans="11:14" x14ac:dyDescent="0.3">
      <c r="K22152" s="1">
        <v>44378</v>
      </c>
      <c r="M22152" t="e">
        <v>#N/A</v>
      </c>
      <c r="N22152" s="1">
        <v>44013</v>
      </c>
    </row>
    <row r="22153" spans="11:14" x14ac:dyDescent="0.3">
      <c r="K22153" s="1">
        <v>44378</v>
      </c>
      <c r="M22153" t="e">
        <v>#N/A</v>
      </c>
      <c r="N22153" s="1">
        <v>44013</v>
      </c>
    </row>
    <row r="22154" spans="11:14" x14ac:dyDescent="0.3">
      <c r="K22154" s="1">
        <v>44378</v>
      </c>
      <c r="M22154" t="e">
        <v>#N/A</v>
      </c>
      <c r="N22154" s="1">
        <v>44013</v>
      </c>
    </row>
    <row r="22155" spans="11:14" x14ac:dyDescent="0.3">
      <c r="K22155" s="1">
        <v>44378</v>
      </c>
      <c r="M22155" t="e">
        <v>#N/A</v>
      </c>
      <c r="N22155" s="1">
        <v>44013</v>
      </c>
    </row>
    <row r="22156" spans="11:14" x14ac:dyDescent="0.3">
      <c r="K22156" s="1">
        <v>44378</v>
      </c>
      <c r="M22156" t="e">
        <v>#N/A</v>
      </c>
      <c r="N22156" s="1">
        <v>44013</v>
      </c>
    </row>
    <row r="22157" spans="11:14" x14ac:dyDescent="0.3">
      <c r="K22157" s="1">
        <v>44378</v>
      </c>
      <c r="M22157" t="e">
        <v>#N/A</v>
      </c>
      <c r="N22157" s="1">
        <v>44013</v>
      </c>
    </row>
    <row r="22158" spans="11:14" x14ac:dyDescent="0.3">
      <c r="K22158" s="1">
        <v>44378</v>
      </c>
      <c r="M22158" t="e">
        <v>#N/A</v>
      </c>
      <c r="N22158" s="1">
        <v>44013</v>
      </c>
    </row>
    <row r="22159" spans="11:14" x14ac:dyDescent="0.3">
      <c r="K22159" s="1">
        <v>44378</v>
      </c>
      <c r="M22159" t="e">
        <v>#N/A</v>
      </c>
      <c r="N22159" s="1">
        <v>44013</v>
      </c>
    </row>
    <row r="22160" spans="11:14" x14ac:dyDescent="0.3">
      <c r="K22160" s="1">
        <v>44378</v>
      </c>
      <c r="M22160" t="e">
        <v>#N/A</v>
      </c>
      <c r="N22160" s="1">
        <v>44013</v>
      </c>
    </row>
    <row r="22161" spans="11:14" x14ac:dyDescent="0.3">
      <c r="K22161" s="1">
        <v>44378</v>
      </c>
      <c r="M22161" t="e">
        <v>#N/A</v>
      </c>
      <c r="N22161" s="1">
        <v>44013</v>
      </c>
    </row>
    <row r="22162" spans="11:14" x14ac:dyDescent="0.3">
      <c r="K22162" s="1">
        <v>44378</v>
      </c>
      <c r="M22162" t="e">
        <v>#N/A</v>
      </c>
      <c r="N22162" s="1">
        <v>44013</v>
      </c>
    </row>
    <row r="22163" spans="11:14" x14ac:dyDescent="0.3">
      <c r="K22163" s="1">
        <v>44378</v>
      </c>
      <c r="M22163" t="e">
        <v>#N/A</v>
      </c>
      <c r="N22163" s="1">
        <v>44013</v>
      </c>
    </row>
    <row r="22164" spans="11:14" x14ac:dyDescent="0.3">
      <c r="K22164" s="1">
        <v>44378</v>
      </c>
      <c r="M22164" t="e">
        <v>#N/A</v>
      </c>
      <c r="N22164" s="1">
        <v>44013</v>
      </c>
    </row>
    <row r="22165" spans="11:14" x14ac:dyDescent="0.3">
      <c r="K22165" s="1">
        <v>44378</v>
      </c>
      <c r="M22165" t="e">
        <v>#N/A</v>
      </c>
      <c r="N22165" s="1">
        <v>44013</v>
      </c>
    </row>
    <row r="22166" spans="11:14" x14ac:dyDescent="0.3">
      <c r="K22166" s="1">
        <v>44378</v>
      </c>
      <c r="M22166" t="e">
        <v>#N/A</v>
      </c>
      <c r="N22166" s="1">
        <v>44013</v>
      </c>
    </row>
    <row r="22167" spans="11:14" x14ac:dyDescent="0.3">
      <c r="K22167" s="1">
        <v>44378</v>
      </c>
      <c r="M22167" t="e">
        <v>#N/A</v>
      </c>
      <c r="N22167" s="1">
        <v>44013</v>
      </c>
    </row>
    <row r="22168" spans="11:14" x14ac:dyDescent="0.3">
      <c r="K22168" s="1">
        <v>44378</v>
      </c>
      <c r="M22168" t="e">
        <v>#N/A</v>
      </c>
      <c r="N22168" s="1">
        <v>44013</v>
      </c>
    </row>
    <row r="22169" spans="11:14" x14ac:dyDescent="0.3">
      <c r="K22169" s="1">
        <v>44378</v>
      </c>
      <c r="M22169" t="e">
        <v>#N/A</v>
      </c>
      <c r="N22169" s="1">
        <v>44013</v>
      </c>
    </row>
    <row r="22170" spans="11:14" x14ac:dyDescent="0.3">
      <c r="K22170" s="1">
        <v>44378</v>
      </c>
      <c r="M22170" t="e">
        <v>#N/A</v>
      </c>
      <c r="N22170" s="1">
        <v>44013</v>
      </c>
    </row>
    <row r="22171" spans="11:14" x14ac:dyDescent="0.3">
      <c r="K22171" s="1">
        <v>44378</v>
      </c>
      <c r="M22171" t="e">
        <v>#N/A</v>
      </c>
      <c r="N22171" s="1">
        <v>44013</v>
      </c>
    </row>
    <row r="22172" spans="11:14" x14ac:dyDescent="0.3">
      <c r="K22172" s="1">
        <v>44378</v>
      </c>
      <c r="M22172" t="e">
        <v>#N/A</v>
      </c>
      <c r="N22172" s="1">
        <v>44013</v>
      </c>
    </row>
    <row r="22173" spans="11:14" x14ac:dyDescent="0.3">
      <c r="K22173" s="1">
        <v>44378</v>
      </c>
      <c r="M22173" t="e">
        <v>#N/A</v>
      </c>
      <c r="N22173" s="1">
        <v>44013</v>
      </c>
    </row>
    <row r="22174" spans="11:14" x14ac:dyDescent="0.3">
      <c r="K22174" s="1">
        <v>44378</v>
      </c>
      <c r="M22174" t="e">
        <v>#N/A</v>
      </c>
      <c r="N22174" s="1">
        <v>44013</v>
      </c>
    </row>
    <row r="22175" spans="11:14" x14ac:dyDescent="0.3">
      <c r="K22175" s="1">
        <v>44378</v>
      </c>
      <c r="M22175" t="e">
        <v>#N/A</v>
      </c>
      <c r="N22175" s="1">
        <v>44013</v>
      </c>
    </row>
    <row r="22176" spans="11:14" x14ac:dyDescent="0.3">
      <c r="K22176" s="1">
        <v>44378</v>
      </c>
      <c r="M22176" t="e">
        <v>#N/A</v>
      </c>
      <c r="N22176" s="1">
        <v>44013</v>
      </c>
    </row>
    <row r="22177" spans="11:14" x14ac:dyDescent="0.3">
      <c r="K22177" s="1">
        <v>44378</v>
      </c>
      <c r="M22177" t="e">
        <v>#N/A</v>
      </c>
      <c r="N22177" s="1">
        <v>44013</v>
      </c>
    </row>
    <row r="22178" spans="11:14" x14ac:dyDescent="0.3">
      <c r="K22178" s="1">
        <v>44378</v>
      </c>
      <c r="M22178" t="e">
        <v>#N/A</v>
      </c>
      <c r="N22178" s="1">
        <v>44013</v>
      </c>
    </row>
    <row r="22179" spans="11:14" x14ac:dyDescent="0.3">
      <c r="K22179" s="1">
        <v>44378</v>
      </c>
      <c r="M22179" t="e">
        <v>#N/A</v>
      </c>
      <c r="N22179" s="1">
        <v>44013</v>
      </c>
    </row>
    <row r="22180" spans="11:14" x14ac:dyDescent="0.3">
      <c r="K22180" s="1">
        <v>44378</v>
      </c>
      <c r="M22180" t="e">
        <v>#N/A</v>
      </c>
      <c r="N22180" s="1">
        <v>44013</v>
      </c>
    </row>
    <row r="22181" spans="11:14" x14ac:dyDescent="0.3">
      <c r="K22181" s="1">
        <v>44378</v>
      </c>
      <c r="M22181" t="e">
        <v>#N/A</v>
      </c>
      <c r="N22181" s="1">
        <v>44013</v>
      </c>
    </row>
    <row r="22182" spans="11:14" x14ac:dyDescent="0.3">
      <c r="K22182" s="1">
        <v>44378</v>
      </c>
      <c r="M22182" t="e">
        <v>#N/A</v>
      </c>
      <c r="N22182" s="1">
        <v>44013</v>
      </c>
    </row>
    <row r="22183" spans="11:14" x14ac:dyDescent="0.3">
      <c r="K22183" s="1">
        <v>44378</v>
      </c>
      <c r="M22183" t="e">
        <v>#N/A</v>
      </c>
      <c r="N22183" s="1">
        <v>44013</v>
      </c>
    </row>
    <row r="22184" spans="11:14" x14ac:dyDescent="0.3">
      <c r="K22184" s="1">
        <v>44378</v>
      </c>
      <c r="M22184" t="e">
        <v>#N/A</v>
      </c>
      <c r="N22184" s="1">
        <v>44013</v>
      </c>
    </row>
    <row r="22185" spans="11:14" x14ac:dyDescent="0.3">
      <c r="K22185" s="1">
        <v>44378</v>
      </c>
      <c r="M22185" t="e">
        <v>#N/A</v>
      </c>
      <c r="N22185" s="1">
        <v>44013</v>
      </c>
    </row>
    <row r="22186" spans="11:14" x14ac:dyDescent="0.3">
      <c r="K22186" s="1">
        <v>44378</v>
      </c>
      <c r="M22186" t="e">
        <v>#N/A</v>
      </c>
      <c r="N22186" s="1">
        <v>44013</v>
      </c>
    </row>
    <row r="22187" spans="11:14" x14ac:dyDescent="0.3">
      <c r="K22187" s="1">
        <v>44378</v>
      </c>
      <c r="M22187" t="e">
        <v>#N/A</v>
      </c>
      <c r="N22187" s="1">
        <v>44013</v>
      </c>
    </row>
    <row r="22188" spans="11:14" x14ac:dyDescent="0.3">
      <c r="K22188" s="1">
        <v>44378</v>
      </c>
      <c r="M22188" t="e">
        <v>#N/A</v>
      </c>
      <c r="N22188" s="1">
        <v>44013</v>
      </c>
    </row>
    <row r="22189" spans="11:14" x14ac:dyDescent="0.3">
      <c r="K22189" s="1">
        <v>44378</v>
      </c>
      <c r="M22189" t="e">
        <v>#N/A</v>
      </c>
      <c r="N22189" s="1">
        <v>44013</v>
      </c>
    </row>
    <row r="22190" spans="11:14" x14ac:dyDescent="0.3">
      <c r="K22190" s="1">
        <v>44378</v>
      </c>
      <c r="M22190" t="e">
        <v>#N/A</v>
      </c>
      <c r="N22190" s="1">
        <v>44013</v>
      </c>
    </row>
    <row r="22191" spans="11:14" x14ac:dyDescent="0.3">
      <c r="K22191" s="1">
        <v>44378</v>
      </c>
      <c r="M22191" t="e">
        <v>#N/A</v>
      </c>
      <c r="N22191" s="1">
        <v>44013</v>
      </c>
    </row>
    <row r="22192" spans="11:14" x14ac:dyDescent="0.3">
      <c r="K22192" s="1">
        <v>44378</v>
      </c>
      <c r="M22192" t="e">
        <v>#N/A</v>
      </c>
      <c r="N22192" s="1">
        <v>44013</v>
      </c>
    </row>
    <row r="22193" spans="11:14" x14ac:dyDescent="0.3">
      <c r="K22193" s="1">
        <v>44378</v>
      </c>
      <c r="M22193" t="e">
        <v>#N/A</v>
      </c>
      <c r="N22193" s="1">
        <v>44013</v>
      </c>
    </row>
    <row r="22194" spans="11:14" x14ac:dyDescent="0.3">
      <c r="K22194" s="1">
        <v>44378</v>
      </c>
      <c r="M22194" t="e">
        <v>#N/A</v>
      </c>
      <c r="N22194" s="1">
        <v>44013</v>
      </c>
    </row>
    <row r="22195" spans="11:14" x14ac:dyDescent="0.3">
      <c r="K22195" s="1">
        <v>44378</v>
      </c>
      <c r="M22195" t="e">
        <v>#N/A</v>
      </c>
      <c r="N22195" s="1">
        <v>44013</v>
      </c>
    </row>
    <row r="22196" spans="11:14" x14ac:dyDescent="0.3">
      <c r="K22196" s="1">
        <v>44378</v>
      </c>
      <c r="M22196" t="e">
        <v>#N/A</v>
      </c>
      <c r="N22196" s="1">
        <v>44013</v>
      </c>
    </row>
    <row r="22197" spans="11:14" x14ac:dyDescent="0.3">
      <c r="K22197" s="1">
        <v>44378</v>
      </c>
      <c r="M22197" t="e">
        <v>#N/A</v>
      </c>
      <c r="N22197" s="1">
        <v>44013</v>
      </c>
    </row>
    <row r="22198" spans="11:14" x14ac:dyDescent="0.3">
      <c r="K22198" s="1">
        <v>44378</v>
      </c>
      <c r="M22198" t="e">
        <v>#N/A</v>
      </c>
      <c r="N22198" s="1">
        <v>44013</v>
      </c>
    </row>
    <row r="22199" spans="11:14" x14ac:dyDescent="0.3">
      <c r="K22199" s="1">
        <v>44378</v>
      </c>
      <c r="M22199" t="e">
        <v>#N/A</v>
      </c>
      <c r="N22199" s="1">
        <v>44013</v>
      </c>
    </row>
    <row r="22200" spans="11:14" x14ac:dyDescent="0.3">
      <c r="K22200" s="1">
        <v>44378</v>
      </c>
      <c r="M22200" t="e">
        <v>#N/A</v>
      </c>
      <c r="N22200" s="1">
        <v>44013</v>
      </c>
    </row>
    <row r="22201" spans="11:14" x14ac:dyDescent="0.3">
      <c r="K22201" s="1">
        <v>44378</v>
      </c>
      <c r="M22201" t="e">
        <v>#N/A</v>
      </c>
      <c r="N22201" s="1">
        <v>44013</v>
      </c>
    </row>
    <row r="22202" spans="11:14" x14ac:dyDescent="0.3">
      <c r="K22202" s="1">
        <v>44378</v>
      </c>
      <c r="M22202" t="e">
        <v>#N/A</v>
      </c>
      <c r="N22202" s="1">
        <v>44013</v>
      </c>
    </row>
    <row r="22203" spans="11:14" x14ac:dyDescent="0.3">
      <c r="K22203" s="1">
        <v>44378</v>
      </c>
      <c r="M22203" t="e">
        <v>#N/A</v>
      </c>
      <c r="N22203" s="1">
        <v>44013</v>
      </c>
    </row>
    <row r="22204" spans="11:14" x14ac:dyDescent="0.3">
      <c r="K22204" s="1">
        <v>44470</v>
      </c>
      <c r="M22204" t="e">
        <v>#N/A</v>
      </c>
      <c r="N22204" s="1">
        <v>44013</v>
      </c>
    </row>
    <row r="22205" spans="11:14" x14ac:dyDescent="0.3">
      <c r="K22205" s="1">
        <v>44470</v>
      </c>
      <c r="M22205" t="e">
        <v>#N/A</v>
      </c>
      <c r="N22205" s="1">
        <v>44013</v>
      </c>
    </row>
    <row r="22206" spans="11:14" x14ac:dyDescent="0.3">
      <c r="K22206" s="1">
        <v>44470</v>
      </c>
      <c r="M22206" t="e">
        <v>#N/A</v>
      </c>
      <c r="N22206" s="1">
        <v>44013</v>
      </c>
    </row>
    <row r="22207" spans="11:14" x14ac:dyDescent="0.3">
      <c r="K22207" s="1">
        <v>44470</v>
      </c>
      <c r="M22207" t="e">
        <v>#N/A</v>
      </c>
      <c r="N22207" s="1">
        <v>44013</v>
      </c>
    </row>
    <row r="22208" spans="11:14" x14ac:dyDescent="0.3">
      <c r="K22208" s="1">
        <v>44470</v>
      </c>
      <c r="M22208" t="e">
        <v>#N/A</v>
      </c>
      <c r="N22208" s="1">
        <v>44013</v>
      </c>
    </row>
    <row r="22209" spans="11:14" x14ac:dyDescent="0.3">
      <c r="K22209" s="1">
        <v>44470</v>
      </c>
      <c r="M22209" t="e">
        <v>#N/A</v>
      </c>
      <c r="N22209" s="1">
        <v>44013</v>
      </c>
    </row>
    <row r="22210" spans="11:14" x14ac:dyDescent="0.3">
      <c r="K22210" s="1">
        <v>44470</v>
      </c>
      <c r="M22210" t="e">
        <v>#N/A</v>
      </c>
      <c r="N22210" s="1">
        <v>44013</v>
      </c>
    </row>
    <row r="22211" spans="11:14" x14ac:dyDescent="0.3">
      <c r="K22211" s="1">
        <v>44470</v>
      </c>
      <c r="M22211" t="e">
        <v>#N/A</v>
      </c>
      <c r="N22211" s="1">
        <v>44013</v>
      </c>
    </row>
    <row r="22212" spans="11:14" x14ac:dyDescent="0.3">
      <c r="K22212" s="1">
        <v>44470</v>
      </c>
      <c r="M22212" t="e">
        <v>#N/A</v>
      </c>
      <c r="N22212" s="1">
        <v>44013</v>
      </c>
    </row>
    <row r="22213" spans="11:14" x14ac:dyDescent="0.3">
      <c r="K22213" s="1">
        <v>44470</v>
      </c>
      <c r="M22213" t="e">
        <v>#N/A</v>
      </c>
      <c r="N22213" s="1">
        <v>44013</v>
      </c>
    </row>
    <row r="22214" spans="11:14" x14ac:dyDescent="0.3">
      <c r="K22214" s="1">
        <v>44470</v>
      </c>
      <c r="M22214" t="e">
        <v>#N/A</v>
      </c>
      <c r="N22214" s="1">
        <v>44013</v>
      </c>
    </row>
    <row r="22215" spans="11:14" x14ac:dyDescent="0.3">
      <c r="K22215" s="1">
        <v>44470</v>
      </c>
      <c r="M22215" t="e">
        <v>#N/A</v>
      </c>
      <c r="N22215" s="1">
        <v>44013</v>
      </c>
    </row>
    <row r="22216" spans="11:14" x14ac:dyDescent="0.3">
      <c r="K22216" s="1">
        <v>44470</v>
      </c>
      <c r="M22216" t="e">
        <v>#N/A</v>
      </c>
      <c r="N22216" s="1">
        <v>44013</v>
      </c>
    </row>
    <row r="22217" spans="11:14" x14ac:dyDescent="0.3">
      <c r="K22217" s="1">
        <v>44470</v>
      </c>
      <c r="M22217" t="e">
        <v>#N/A</v>
      </c>
      <c r="N22217" s="1">
        <v>44013</v>
      </c>
    </row>
    <row r="22218" spans="11:14" x14ac:dyDescent="0.3">
      <c r="K22218" s="1">
        <v>44470</v>
      </c>
      <c r="M22218" t="e">
        <v>#N/A</v>
      </c>
      <c r="N22218" s="1">
        <v>44013</v>
      </c>
    </row>
    <row r="22219" spans="11:14" x14ac:dyDescent="0.3">
      <c r="K22219" s="1">
        <v>44470</v>
      </c>
      <c r="M22219" t="e">
        <v>#N/A</v>
      </c>
      <c r="N22219" s="1">
        <v>44013</v>
      </c>
    </row>
    <row r="22220" spans="11:14" x14ac:dyDescent="0.3">
      <c r="K22220" s="1">
        <v>44470</v>
      </c>
      <c r="M22220" t="e">
        <v>#N/A</v>
      </c>
      <c r="N22220" s="1">
        <v>44013</v>
      </c>
    </row>
    <row r="22221" spans="11:14" x14ac:dyDescent="0.3">
      <c r="K22221" s="1">
        <v>44470</v>
      </c>
      <c r="M22221" t="e">
        <v>#N/A</v>
      </c>
      <c r="N22221" s="1">
        <v>44013</v>
      </c>
    </row>
    <row r="22222" spans="11:14" x14ac:dyDescent="0.3">
      <c r="K22222" s="1">
        <v>44470</v>
      </c>
      <c r="M22222" t="e">
        <v>#N/A</v>
      </c>
      <c r="N22222" s="1">
        <v>44013</v>
      </c>
    </row>
    <row r="22223" spans="11:14" x14ac:dyDescent="0.3">
      <c r="K22223" s="1">
        <v>44470</v>
      </c>
      <c r="M22223" t="e">
        <v>#N/A</v>
      </c>
      <c r="N22223" s="1">
        <v>44013</v>
      </c>
    </row>
    <row r="22224" spans="11:14" x14ac:dyDescent="0.3">
      <c r="K22224" s="1">
        <v>44470</v>
      </c>
      <c r="M22224" t="e">
        <v>#N/A</v>
      </c>
      <c r="N22224" s="1">
        <v>44013</v>
      </c>
    </row>
    <row r="22225" spans="11:14" x14ac:dyDescent="0.3">
      <c r="K22225" s="1">
        <v>44470</v>
      </c>
      <c r="M22225" t="e">
        <v>#N/A</v>
      </c>
      <c r="N22225" s="1">
        <v>44013</v>
      </c>
    </row>
    <row r="22226" spans="11:14" x14ac:dyDescent="0.3">
      <c r="K22226" s="1">
        <v>44470</v>
      </c>
      <c r="M22226" t="e">
        <v>#N/A</v>
      </c>
      <c r="N22226" s="1">
        <v>44013</v>
      </c>
    </row>
    <row r="22227" spans="11:14" x14ac:dyDescent="0.3">
      <c r="K22227" s="1">
        <v>44470</v>
      </c>
      <c r="M22227" t="e">
        <v>#N/A</v>
      </c>
      <c r="N22227" s="1">
        <v>44013</v>
      </c>
    </row>
    <row r="22228" spans="11:14" x14ac:dyDescent="0.3">
      <c r="K22228" s="1">
        <v>44470</v>
      </c>
      <c r="M22228" t="e">
        <v>#N/A</v>
      </c>
      <c r="N22228" s="1">
        <v>44013</v>
      </c>
    </row>
    <row r="22229" spans="11:14" x14ac:dyDescent="0.3">
      <c r="K22229" s="1">
        <v>44470</v>
      </c>
      <c r="M22229" t="e">
        <v>#N/A</v>
      </c>
      <c r="N22229" s="1">
        <v>44013</v>
      </c>
    </row>
    <row r="22230" spans="11:14" x14ac:dyDescent="0.3">
      <c r="K22230" s="1">
        <v>44470</v>
      </c>
      <c r="M22230" t="e">
        <v>#N/A</v>
      </c>
      <c r="N22230" s="1">
        <v>44013</v>
      </c>
    </row>
    <row r="22231" spans="11:14" x14ac:dyDescent="0.3">
      <c r="K22231" s="1">
        <v>44470</v>
      </c>
      <c r="M22231" t="e">
        <v>#N/A</v>
      </c>
      <c r="N22231" s="1">
        <v>44013</v>
      </c>
    </row>
    <row r="22232" spans="11:14" x14ac:dyDescent="0.3">
      <c r="K22232" s="1">
        <v>44470</v>
      </c>
      <c r="M22232" t="e">
        <v>#N/A</v>
      </c>
      <c r="N22232" s="1">
        <v>44013</v>
      </c>
    </row>
    <row r="22233" spans="11:14" x14ac:dyDescent="0.3">
      <c r="K22233" s="1">
        <v>44470</v>
      </c>
      <c r="M22233" t="e">
        <v>#N/A</v>
      </c>
      <c r="N22233" s="1">
        <v>44013</v>
      </c>
    </row>
    <row r="22234" spans="11:14" x14ac:dyDescent="0.3">
      <c r="K22234" s="1">
        <v>44470</v>
      </c>
      <c r="M22234" t="e">
        <v>#N/A</v>
      </c>
      <c r="N22234" s="1">
        <v>44013</v>
      </c>
    </row>
    <row r="22235" spans="11:14" x14ac:dyDescent="0.3">
      <c r="K22235" s="1">
        <v>44470</v>
      </c>
      <c r="M22235" t="e">
        <v>#N/A</v>
      </c>
      <c r="N22235" s="1">
        <v>44013</v>
      </c>
    </row>
    <row r="22236" spans="11:14" x14ac:dyDescent="0.3">
      <c r="K22236" s="1">
        <v>44470</v>
      </c>
      <c r="M22236" t="e">
        <v>#N/A</v>
      </c>
      <c r="N22236" s="1">
        <v>44013</v>
      </c>
    </row>
    <row r="22237" spans="11:14" x14ac:dyDescent="0.3">
      <c r="K22237" s="1">
        <v>44470</v>
      </c>
      <c r="M22237" t="e">
        <v>#N/A</v>
      </c>
      <c r="N22237" s="1">
        <v>44013</v>
      </c>
    </row>
    <row r="22238" spans="11:14" x14ac:dyDescent="0.3">
      <c r="K22238" s="1">
        <v>44470</v>
      </c>
      <c r="M22238" t="e">
        <v>#N/A</v>
      </c>
      <c r="N22238" s="1">
        <v>44013</v>
      </c>
    </row>
    <row r="22239" spans="11:14" x14ac:dyDescent="0.3">
      <c r="K22239" s="1">
        <v>44470</v>
      </c>
      <c r="M22239" t="e">
        <v>#N/A</v>
      </c>
      <c r="N22239" s="1">
        <v>44013</v>
      </c>
    </row>
    <row r="22240" spans="11:14" x14ac:dyDescent="0.3">
      <c r="K22240" s="1">
        <v>44470</v>
      </c>
      <c r="M22240" t="e">
        <v>#N/A</v>
      </c>
      <c r="N22240" s="1">
        <v>44013</v>
      </c>
    </row>
    <row r="22241" spans="11:14" x14ac:dyDescent="0.3">
      <c r="K22241" s="1">
        <v>44470</v>
      </c>
      <c r="M22241" t="e">
        <v>#N/A</v>
      </c>
      <c r="N22241" s="1">
        <v>44013</v>
      </c>
    </row>
    <row r="22242" spans="11:14" x14ac:dyDescent="0.3">
      <c r="K22242" s="1">
        <v>44470</v>
      </c>
      <c r="M22242" t="e">
        <v>#N/A</v>
      </c>
      <c r="N22242" s="1">
        <v>44013</v>
      </c>
    </row>
    <row r="22243" spans="11:14" x14ac:dyDescent="0.3">
      <c r="K22243" s="1">
        <v>44470</v>
      </c>
      <c r="M22243" t="e">
        <v>#N/A</v>
      </c>
      <c r="N22243" s="1">
        <v>44013</v>
      </c>
    </row>
    <row r="22244" spans="11:14" x14ac:dyDescent="0.3">
      <c r="K22244" s="1">
        <v>44470</v>
      </c>
      <c r="M22244" t="e">
        <v>#N/A</v>
      </c>
      <c r="N22244" s="1">
        <v>44013</v>
      </c>
    </row>
    <row r="22245" spans="11:14" x14ac:dyDescent="0.3">
      <c r="K22245" s="1">
        <v>44470</v>
      </c>
      <c r="M22245" t="e">
        <v>#N/A</v>
      </c>
      <c r="N22245" s="1">
        <v>44013</v>
      </c>
    </row>
    <row r="22246" spans="11:14" x14ac:dyDescent="0.3">
      <c r="K22246" s="1">
        <v>44470</v>
      </c>
      <c r="M22246" t="e">
        <v>#N/A</v>
      </c>
      <c r="N22246" s="1">
        <v>44013</v>
      </c>
    </row>
    <row r="22247" spans="11:14" x14ac:dyDescent="0.3">
      <c r="K22247" s="1">
        <v>44470</v>
      </c>
      <c r="M22247" t="e">
        <v>#N/A</v>
      </c>
      <c r="N22247" s="1">
        <v>44013</v>
      </c>
    </row>
    <row r="22248" spans="11:14" x14ac:dyDescent="0.3">
      <c r="K22248" s="1">
        <v>44470</v>
      </c>
      <c r="M22248" t="e">
        <v>#N/A</v>
      </c>
      <c r="N22248" s="1">
        <v>44013</v>
      </c>
    </row>
    <row r="22249" spans="11:14" x14ac:dyDescent="0.3">
      <c r="K22249" s="1">
        <v>44470</v>
      </c>
      <c r="M22249" t="e">
        <v>#N/A</v>
      </c>
      <c r="N22249" s="1">
        <v>44013</v>
      </c>
    </row>
    <row r="22250" spans="11:14" x14ac:dyDescent="0.3">
      <c r="K22250" s="1">
        <v>44470</v>
      </c>
      <c r="M22250" t="e">
        <v>#N/A</v>
      </c>
      <c r="N22250" s="1">
        <v>44013</v>
      </c>
    </row>
    <row r="22251" spans="11:14" x14ac:dyDescent="0.3">
      <c r="K22251" s="1">
        <v>44470</v>
      </c>
      <c r="M22251" t="e">
        <v>#N/A</v>
      </c>
      <c r="N22251" s="1">
        <v>44013</v>
      </c>
    </row>
    <row r="22252" spans="11:14" x14ac:dyDescent="0.3">
      <c r="K22252" s="1">
        <v>44470</v>
      </c>
      <c r="M22252" t="e">
        <v>#N/A</v>
      </c>
      <c r="N22252" s="1">
        <v>44013</v>
      </c>
    </row>
    <row r="22253" spans="11:14" x14ac:dyDescent="0.3">
      <c r="K22253" s="1">
        <v>44470</v>
      </c>
      <c r="M22253" t="e">
        <v>#N/A</v>
      </c>
      <c r="N22253" s="1">
        <v>44013</v>
      </c>
    </row>
    <row r="22254" spans="11:14" x14ac:dyDescent="0.3">
      <c r="K22254" s="1">
        <v>44470</v>
      </c>
      <c r="M22254" t="e">
        <v>#N/A</v>
      </c>
      <c r="N22254" s="1">
        <v>44013</v>
      </c>
    </row>
    <row r="22255" spans="11:14" x14ac:dyDescent="0.3">
      <c r="K22255" s="1">
        <v>44470</v>
      </c>
      <c r="M22255" t="e">
        <v>#N/A</v>
      </c>
      <c r="N22255" s="1">
        <v>44013</v>
      </c>
    </row>
    <row r="22256" spans="11:14" x14ac:dyDescent="0.3">
      <c r="K22256" s="1">
        <v>44470</v>
      </c>
      <c r="M22256" t="e">
        <v>#N/A</v>
      </c>
      <c r="N22256" s="1">
        <v>44013</v>
      </c>
    </row>
    <row r="22257" spans="11:14" x14ac:dyDescent="0.3">
      <c r="K22257" s="1">
        <v>44470</v>
      </c>
      <c r="M22257" t="e">
        <v>#N/A</v>
      </c>
      <c r="N22257" s="1">
        <v>44105</v>
      </c>
    </row>
    <row r="22258" spans="11:14" x14ac:dyDescent="0.3">
      <c r="K22258" s="1">
        <v>44470</v>
      </c>
      <c r="M22258" t="e">
        <v>#N/A</v>
      </c>
      <c r="N22258" s="1">
        <v>44105</v>
      </c>
    </row>
    <row r="22259" spans="11:14" x14ac:dyDescent="0.3">
      <c r="K22259" s="1">
        <v>44470</v>
      </c>
      <c r="M22259" t="e">
        <v>#N/A</v>
      </c>
      <c r="N22259" s="1">
        <v>44105</v>
      </c>
    </row>
    <row r="22260" spans="11:14" x14ac:dyDescent="0.3">
      <c r="K22260" s="1">
        <v>44470</v>
      </c>
      <c r="M22260" t="e">
        <v>#N/A</v>
      </c>
      <c r="N22260" s="1">
        <v>44105</v>
      </c>
    </row>
    <row r="22261" spans="11:14" x14ac:dyDescent="0.3">
      <c r="K22261" s="1">
        <v>44470</v>
      </c>
      <c r="M22261" t="e">
        <v>#N/A</v>
      </c>
      <c r="N22261" s="1">
        <v>44105</v>
      </c>
    </row>
    <row r="22262" spans="11:14" x14ac:dyDescent="0.3">
      <c r="K22262" s="1">
        <v>44470</v>
      </c>
      <c r="M22262" t="e">
        <v>#N/A</v>
      </c>
      <c r="N22262" s="1">
        <v>44105</v>
      </c>
    </row>
    <row r="22263" spans="11:14" x14ac:dyDescent="0.3">
      <c r="K22263" s="1">
        <v>44470</v>
      </c>
      <c r="M22263" t="e">
        <v>#N/A</v>
      </c>
      <c r="N22263" s="1">
        <v>44105</v>
      </c>
    </row>
    <row r="22264" spans="11:14" x14ac:dyDescent="0.3">
      <c r="K22264" s="1">
        <v>44470</v>
      </c>
      <c r="M22264" t="e">
        <v>#N/A</v>
      </c>
      <c r="N22264" s="1">
        <v>44105</v>
      </c>
    </row>
    <row r="22265" spans="11:14" x14ac:dyDescent="0.3">
      <c r="K22265" s="1">
        <v>44470</v>
      </c>
      <c r="M22265" t="e">
        <v>#N/A</v>
      </c>
      <c r="N22265" s="1">
        <v>44105</v>
      </c>
    </row>
    <row r="22266" spans="11:14" x14ac:dyDescent="0.3">
      <c r="K22266" s="1">
        <v>44470</v>
      </c>
      <c r="M22266" t="e">
        <v>#N/A</v>
      </c>
      <c r="N22266" s="1">
        <v>44105</v>
      </c>
    </row>
    <row r="22267" spans="11:14" x14ac:dyDescent="0.3">
      <c r="K22267" s="1">
        <v>44470</v>
      </c>
      <c r="M22267" t="e">
        <v>#N/A</v>
      </c>
      <c r="N22267" s="1">
        <v>44105</v>
      </c>
    </row>
    <row r="22268" spans="11:14" x14ac:dyDescent="0.3">
      <c r="K22268" s="1">
        <v>44470</v>
      </c>
      <c r="M22268" t="e">
        <v>#N/A</v>
      </c>
      <c r="N22268" s="1">
        <v>44105</v>
      </c>
    </row>
    <row r="22269" spans="11:14" x14ac:dyDescent="0.3">
      <c r="K22269" s="1">
        <v>44470</v>
      </c>
      <c r="M22269" t="e">
        <v>#N/A</v>
      </c>
      <c r="N22269" s="1">
        <v>44105</v>
      </c>
    </row>
    <row r="22270" spans="11:14" x14ac:dyDescent="0.3">
      <c r="K22270" s="1">
        <v>44470</v>
      </c>
      <c r="M22270" t="e">
        <v>#N/A</v>
      </c>
      <c r="N22270" s="1">
        <v>44105</v>
      </c>
    </row>
    <row r="22271" spans="11:14" x14ac:dyDescent="0.3">
      <c r="K22271" s="1">
        <v>44470</v>
      </c>
      <c r="M22271" t="e">
        <v>#N/A</v>
      </c>
      <c r="N22271" s="1">
        <v>44105</v>
      </c>
    </row>
    <row r="22272" spans="11:14" x14ac:dyDescent="0.3">
      <c r="K22272" s="1">
        <v>44470</v>
      </c>
      <c r="M22272" t="e">
        <v>#N/A</v>
      </c>
      <c r="N22272" s="1">
        <v>44105</v>
      </c>
    </row>
    <row r="22273" spans="11:14" x14ac:dyDescent="0.3">
      <c r="K22273" s="1">
        <v>44470</v>
      </c>
      <c r="M22273" t="e">
        <v>#N/A</v>
      </c>
      <c r="N22273" s="1">
        <v>44105</v>
      </c>
    </row>
    <row r="22274" spans="11:14" x14ac:dyDescent="0.3">
      <c r="K22274" s="1">
        <v>44470</v>
      </c>
      <c r="M22274" t="e">
        <v>#N/A</v>
      </c>
      <c r="N22274" s="1">
        <v>44105</v>
      </c>
    </row>
    <row r="22275" spans="11:14" x14ac:dyDescent="0.3">
      <c r="K22275" s="1">
        <v>44470</v>
      </c>
      <c r="M22275" t="e">
        <v>#N/A</v>
      </c>
      <c r="N22275" s="1">
        <v>44105</v>
      </c>
    </row>
    <row r="22276" spans="11:14" x14ac:dyDescent="0.3">
      <c r="K22276" s="1">
        <v>44470</v>
      </c>
      <c r="M22276" t="e">
        <v>#N/A</v>
      </c>
      <c r="N22276" s="1">
        <v>44105</v>
      </c>
    </row>
    <row r="22277" spans="11:14" x14ac:dyDescent="0.3">
      <c r="K22277" s="1">
        <v>44470</v>
      </c>
      <c r="M22277" t="e">
        <v>#N/A</v>
      </c>
      <c r="N22277" s="1">
        <v>44105</v>
      </c>
    </row>
    <row r="22278" spans="11:14" x14ac:dyDescent="0.3">
      <c r="K22278" s="1">
        <v>44470</v>
      </c>
      <c r="M22278" t="e">
        <v>#N/A</v>
      </c>
      <c r="N22278" s="1">
        <v>44105</v>
      </c>
    </row>
    <row r="22279" spans="11:14" x14ac:dyDescent="0.3">
      <c r="K22279" s="1">
        <v>44470</v>
      </c>
      <c r="M22279" t="e">
        <v>#N/A</v>
      </c>
      <c r="N22279" s="1">
        <v>44105</v>
      </c>
    </row>
    <row r="22280" spans="11:14" x14ac:dyDescent="0.3">
      <c r="K22280" s="1">
        <v>44470</v>
      </c>
      <c r="M22280" t="e">
        <v>#N/A</v>
      </c>
      <c r="N22280" s="1">
        <v>44105</v>
      </c>
    </row>
    <row r="22281" spans="11:14" x14ac:dyDescent="0.3">
      <c r="K22281" s="1">
        <v>44470</v>
      </c>
      <c r="M22281" t="e">
        <v>#N/A</v>
      </c>
      <c r="N22281" s="1">
        <v>44105</v>
      </c>
    </row>
    <row r="22282" spans="11:14" x14ac:dyDescent="0.3">
      <c r="K22282" s="1">
        <v>44470</v>
      </c>
      <c r="M22282" t="e">
        <v>#N/A</v>
      </c>
      <c r="N22282" s="1">
        <v>44105</v>
      </c>
    </row>
    <row r="22283" spans="11:14" x14ac:dyDescent="0.3">
      <c r="K22283" s="1">
        <v>44470</v>
      </c>
      <c r="M22283" t="e">
        <v>#N/A</v>
      </c>
      <c r="N22283" s="1">
        <v>44105</v>
      </c>
    </row>
    <row r="22284" spans="11:14" x14ac:dyDescent="0.3">
      <c r="K22284" s="1">
        <v>44470</v>
      </c>
      <c r="M22284" t="e">
        <v>#N/A</v>
      </c>
      <c r="N22284" s="1">
        <v>44105</v>
      </c>
    </row>
    <row r="22285" spans="11:14" x14ac:dyDescent="0.3">
      <c r="K22285" s="1">
        <v>44470</v>
      </c>
      <c r="M22285" t="e">
        <v>#N/A</v>
      </c>
      <c r="N22285" s="1">
        <v>44105</v>
      </c>
    </row>
    <row r="22286" spans="11:14" x14ac:dyDescent="0.3">
      <c r="K22286" s="1">
        <v>44470</v>
      </c>
      <c r="M22286" t="e">
        <v>#N/A</v>
      </c>
      <c r="N22286" s="1">
        <v>44105</v>
      </c>
    </row>
    <row r="22287" spans="11:14" x14ac:dyDescent="0.3">
      <c r="K22287" s="1">
        <v>44470</v>
      </c>
      <c r="M22287" t="e">
        <v>#N/A</v>
      </c>
      <c r="N22287" s="1">
        <v>44105</v>
      </c>
    </row>
    <row r="22288" spans="11:14" x14ac:dyDescent="0.3">
      <c r="K22288" s="1">
        <v>44470</v>
      </c>
      <c r="M22288" t="e">
        <v>#N/A</v>
      </c>
      <c r="N22288" s="1">
        <v>44105</v>
      </c>
    </row>
    <row r="22289" spans="11:14" x14ac:dyDescent="0.3">
      <c r="K22289" s="1">
        <v>44470</v>
      </c>
      <c r="M22289" t="e">
        <v>#N/A</v>
      </c>
      <c r="N22289" s="1">
        <v>44105</v>
      </c>
    </row>
    <row r="22290" spans="11:14" x14ac:dyDescent="0.3">
      <c r="K22290" s="1">
        <v>44470</v>
      </c>
      <c r="M22290" t="e">
        <v>#N/A</v>
      </c>
      <c r="N22290" s="1">
        <v>44105</v>
      </c>
    </row>
    <row r="22291" spans="11:14" x14ac:dyDescent="0.3">
      <c r="K22291" s="1">
        <v>44470</v>
      </c>
      <c r="M22291" t="e">
        <v>#N/A</v>
      </c>
      <c r="N22291" s="1">
        <v>44105</v>
      </c>
    </row>
    <row r="22292" spans="11:14" x14ac:dyDescent="0.3">
      <c r="K22292" s="1">
        <v>44470</v>
      </c>
      <c r="M22292" t="e">
        <v>#N/A</v>
      </c>
      <c r="N22292" s="1">
        <v>44105</v>
      </c>
    </row>
    <row r="22293" spans="11:14" x14ac:dyDescent="0.3">
      <c r="K22293" s="1">
        <v>44470</v>
      </c>
      <c r="M22293" t="e">
        <v>#N/A</v>
      </c>
      <c r="N22293" s="1">
        <v>44105</v>
      </c>
    </row>
    <row r="22294" spans="11:14" x14ac:dyDescent="0.3">
      <c r="K22294" s="1">
        <v>44470</v>
      </c>
      <c r="M22294" t="e">
        <v>#N/A</v>
      </c>
      <c r="N22294" s="1">
        <v>44105</v>
      </c>
    </row>
    <row r="22295" spans="11:14" x14ac:dyDescent="0.3">
      <c r="K22295" s="1">
        <v>44470</v>
      </c>
      <c r="M22295" t="e">
        <v>#N/A</v>
      </c>
      <c r="N22295" s="1">
        <v>44105</v>
      </c>
    </row>
    <row r="22296" spans="11:14" x14ac:dyDescent="0.3">
      <c r="K22296" s="1">
        <v>44470</v>
      </c>
      <c r="M22296" t="e">
        <v>#N/A</v>
      </c>
      <c r="N22296" s="1">
        <v>44105</v>
      </c>
    </row>
    <row r="22297" spans="11:14" x14ac:dyDescent="0.3">
      <c r="K22297" s="1">
        <v>44470</v>
      </c>
      <c r="M22297" t="e">
        <v>#N/A</v>
      </c>
      <c r="N22297" s="1">
        <v>44105</v>
      </c>
    </row>
    <row r="22298" spans="11:14" x14ac:dyDescent="0.3">
      <c r="K22298" s="1">
        <v>44470</v>
      </c>
      <c r="M22298" t="e">
        <v>#N/A</v>
      </c>
      <c r="N22298" s="1">
        <v>44105</v>
      </c>
    </row>
    <row r="22299" spans="11:14" x14ac:dyDescent="0.3">
      <c r="K22299" s="1">
        <v>44470</v>
      </c>
      <c r="M22299" t="e">
        <v>#N/A</v>
      </c>
      <c r="N22299" s="1">
        <v>44105</v>
      </c>
    </row>
    <row r="22300" spans="11:14" x14ac:dyDescent="0.3">
      <c r="K22300" s="1">
        <v>44470</v>
      </c>
      <c r="M22300" t="e">
        <v>#N/A</v>
      </c>
      <c r="N22300" s="1">
        <v>44105</v>
      </c>
    </row>
    <row r="22301" spans="11:14" x14ac:dyDescent="0.3">
      <c r="K22301" s="1">
        <v>44470</v>
      </c>
      <c r="M22301" t="e">
        <v>#N/A</v>
      </c>
      <c r="N22301" s="1">
        <v>44105</v>
      </c>
    </row>
    <row r="22302" spans="11:14" x14ac:dyDescent="0.3">
      <c r="K22302" s="1">
        <v>44470</v>
      </c>
      <c r="M22302" t="e">
        <v>#N/A</v>
      </c>
      <c r="N22302" s="1">
        <v>44105</v>
      </c>
    </row>
    <row r="22303" spans="11:14" x14ac:dyDescent="0.3">
      <c r="K22303" s="1">
        <v>44470</v>
      </c>
      <c r="M22303" t="e">
        <v>#N/A</v>
      </c>
      <c r="N22303" s="1">
        <v>44105</v>
      </c>
    </row>
    <row r="22304" spans="11:14" x14ac:dyDescent="0.3">
      <c r="K22304" s="1">
        <v>44470</v>
      </c>
      <c r="M22304" t="e">
        <v>#N/A</v>
      </c>
      <c r="N22304" s="1">
        <v>44105</v>
      </c>
    </row>
    <row r="22305" spans="11:14" x14ac:dyDescent="0.3">
      <c r="K22305" s="1">
        <v>44470</v>
      </c>
      <c r="M22305" t="e">
        <v>#N/A</v>
      </c>
      <c r="N22305" s="1">
        <v>44105</v>
      </c>
    </row>
    <row r="22306" spans="11:14" x14ac:dyDescent="0.3">
      <c r="K22306" s="1">
        <v>44470</v>
      </c>
      <c r="M22306" t="e">
        <v>#N/A</v>
      </c>
      <c r="N22306" s="1">
        <v>44105</v>
      </c>
    </row>
    <row r="22307" spans="11:14" x14ac:dyDescent="0.3">
      <c r="K22307" s="1">
        <v>44470</v>
      </c>
      <c r="M22307" t="e">
        <v>#N/A</v>
      </c>
      <c r="N22307" s="1">
        <v>44105</v>
      </c>
    </row>
    <row r="22308" spans="11:14" x14ac:dyDescent="0.3">
      <c r="K22308" s="1">
        <v>44470</v>
      </c>
      <c r="M22308" t="e">
        <v>#N/A</v>
      </c>
      <c r="N22308" s="1">
        <v>44105</v>
      </c>
    </row>
    <row r="22309" spans="11:14" x14ac:dyDescent="0.3">
      <c r="K22309" s="1">
        <v>44470</v>
      </c>
      <c r="M22309" t="e">
        <v>#N/A</v>
      </c>
      <c r="N22309" s="1">
        <v>44105</v>
      </c>
    </row>
    <row r="22310" spans="11:14" x14ac:dyDescent="0.3">
      <c r="K22310" s="1">
        <v>44470</v>
      </c>
      <c r="M22310" t="e">
        <v>#N/A</v>
      </c>
      <c r="N22310" s="1">
        <v>44105</v>
      </c>
    </row>
    <row r="22311" spans="11:14" x14ac:dyDescent="0.3">
      <c r="K22311" s="1">
        <v>44470</v>
      </c>
      <c r="M22311" t="e">
        <v>#N/A</v>
      </c>
      <c r="N22311" s="1">
        <v>44105</v>
      </c>
    </row>
    <row r="22312" spans="11:14" x14ac:dyDescent="0.3">
      <c r="K22312" s="1">
        <v>44470</v>
      </c>
      <c r="M22312" t="e">
        <v>#N/A</v>
      </c>
      <c r="N22312" s="1">
        <v>44105</v>
      </c>
    </row>
    <row r="22313" spans="11:14" x14ac:dyDescent="0.3">
      <c r="K22313" s="1">
        <v>44470</v>
      </c>
      <c r="M22313" t="e">
        <v>#N/A</v>
      </c>
      <c r="N22313" s="1">
        <v>44105</v>
      </c>
    </row>
    <row r="22314" spans="11:14" x14ac:dyDescent="0.3">
      <c r="K22314" s="1">
        <v>44470</v>
      </c>
      <c r="M22314" t="e">
        <v>#N/A</v>
      </c>
      <c r="N22314" s="1">
        <v>44105</v>
      </c>
    </row>
    <row r="22315" spans="11:14" x14ac:dyDescent="0.3">
      <c r="K22315" s="1">
        <v>44470</v>
      </c>
      <c r="M22315" t="e">
        <v>#N/A</v>
      </c>
      <c r="N22315" s="1">
        <v>44105</v>
      </c>
    </row>
    <row r="22316" spans="11:14" x14ac:dyDescent="0.3">
      <c r="K22316" s="1">
        <v>44470</v>
      </c>
      <c r="M22316" t="e">
        <v>#N/A</v>
      </c>
      <c r="N22316" s="1">
        <v>44105</v>
      </c>
    </row>
    <row r="22317" spans="11:14" x14ac:dyDescent="0.3">
      <c r="K22317" s="1">
        <v>44470</v>
      </c>
      <c r="M22317" t="e">
        <v>#N/A</v>
      </c>
      <c r="N22317" s="1">
        <v>44105</v>
      </c>
    </row>
    <row r="22318" spans="11:14" x14ac:dyDescent="0.3">
      <c r="K22318" s="1">
        <v>44470</v>
      </c>
      <c r="M22318" t="e">
        <v>#N/A</v>
      </c>
      <c r="N22318" s="1">
        <v>44105</v>
      </c>
    </row>
    <row r="22319" spans="11:14" x14ac:dyDescent="0.3">
      <c r="K22319" s="1">
        <v>44470</v>
      </c>
      <c r="M22319" t="e">
        <v>#N/A</v>
      </c>
      <c r="N22319" s="1">
        <v>44105</v>
      </c>
    </row>
    <row r="22320" spans="11:14" x14ac:dyDescent="0.3">
      <c r="K22320" s="1">
        <v>44470</v>
      </c>
      <c r="M22320" t="e">
        <v>#N/A</v>
      </c>
      <c r="N22320" s="1">
        <v>44105</v>
      </c>
    </row>
    <row r="22321" spans="11:14" x14ac:dyDescent="0.3">
      <c r="K22321" s="1">
        <v>44470</v>
      </c>
      <c r="M22321" t="e">
        <v>#N/A</v>
      </c>
      <c r="N22321" s="1">
        <v>44105</v>
      </c>
    </row>
    <row r="22322" spans="11:14" x14ac:dyDescent="0.3">
      <c r="K22322" s="1">
        <v>44470</v>
      </c>
      <c r="M22322" t="e">
        <v>#N/A</v>
      </c>
      <c r="N22322" s="1">
        <v>44105</v>
      </c>
    </row>
    <row r="22323" spans="11:14" x14ac:dyDescent="0.3">
      <c r="K22323" s="1">
        <v>44470</v>
      </c>
      <c r="M22323" t="e">
        <v>#N/A</v>
      </c>
      <c r="N22323" s="1">
        <v>44105</v>
      </c>
    </row>
    <row r="22324" spans="11:14" x14ac:dyDescent="0.3">
      <c r="K22324" s="1">
        <v>44470</v>
      </c>
      <c r="M22324" t="e">
        <v>#N/A</v>
      </c>
      <c r="N22324" s="1">
        <v>44105</v>
      </c>
    </row>
    <row r="22325" spans="11:14" x14ac:dyDescent="0.3">
      <c r="K22325" s="1">
        <v>44470</v>
      </c>
      <c r="M22325" t="e">
        <v>#N/A</v>
      </c>
      <c r="N22325" s="1">
        <v>44105</v>
      </c>
    </row>
    <row r="22326" spans="11:14" x14ac:dyDescent="0.3">
      <c r="K22326" s="1">
        <v>44470</v>
      </c>
      <c r="M22326" t="e">
        <v>#N/A</v>
      </c>
      <c r="N22326" s="1">
        <v>44105</v>
      </c>
    </row>
    <row r="22327" spans="11:14" x14ac:dyDescent="0.3">
      <c r="K22327" s="1">
        <v>44470</v>
      </c>
      <c r="M22327" t="e">
        <v>#N/A</v>
      </c>
      <c r="N22327" s="1">
        <v>44105</v>
      </c>
    </row>
    <row r="22328" spans="11:14" x14ac:dyDescent="0.3">
      <c r="K22328" s="1">
        <v>44470</v>
      </c>
      <c r="M22328" t="e">
        <v>#N/A</v>
      </c>
      <c r="N22328" s="1">
        <v>44105</v>
      </c>
    </row>
    <row r="22329" spans="11:14" x14ac:dyDescent="0.3">
      <c r="K22329" s="1">
        <v>44470</v>
      </c>
      <c r="M22329" t="e">
        <v>#N/A</v>
      </c>
      <c r="N22329" s="1">
        <v>44105</v>
      </c>
    </row>
    <row r="22330" spans="11:14" x14ac:dyDescent="0.3">
      <c r="K22330" s="1">
        <v>44470</v>
      </c>
      <c r="M22330" t="e">
        <v>#N/A</v>
      </c>
      <c r="N22330" s="1">
        <v>44105</v>
      </c>
    </row>
    <row r="22331" spans="11:14" x14ac:dyDescent="0.3">
      <c r="K22331" s="1">
        <v>44470</v>
      </c>
      <c r="M22331" t="e">
        <v>#N/A</v>
      </c>
      <c r="N22331" s="1">
        <v>44105</v>
      </c>
    </row>
    <row r="22332" spans="11:14" x14ac:dyDescent="0.3">
      <c r="K22332" s="1">
        <v>44470</v>
      </c>
      <c r="M22332" t="e">
        <v>#N/A</v>
      </c>
      <c r="N22332" s="1">
        <v>44105</v>
      </c>
    </row>
    <row r="22333" spans="11:14" x14ac:dyDescent="0.3">
      <c r="K22333" s="1">
        <v>44470</v>
      </c>
      <c r="M22333" t="e">
        <v>#N/A</v>
      </c>
      <c r="N22333" s="1">
        <v>44105</v>
      </c>
    </row>
    <row r="22334" spans="11:14" x14ac:dyDescent="0.3">
      <c r="K22334" s="1">
        <v>44470</v>
      </c>
      <c r="M22334" t="e">
        <v>#N/A</v>
      </c>
      <c r="N22334" s="1">
        <v>44105</v>
      </c>
    </row>
    <row r="22335" spans="11:14" x14ac:dyDescent="0.3">
      <c r="K22335" s="1">
        <v>44470</v>
      </c>
      <c r="M22335" t="e">
        <v>#N/A</v>
      </c>
      <c r="N22335" s="1">
        <v>44105</v>
      </c>
    </row>
    <row r="22336" spans="11:14" x14ac:dyDescent="0.3">
      <c r="K22336" s="1">
        <v>44470</v>
      </c>
      <c r="M22336" t="e">
        <v>#N/A</v>
      </c>
      <c r="N22336" s="1">
        <v>44105</v>
      </c>
    </row>
    <row r="22337" spans="11:14" x14ac:dyDescent="0.3">
      <c r="K22337" s="1">
        <v>44470</v>
      </c>
      <c r="M22337" t="e">
        <v>#N/A</v>
      </c>
      <c r="N22337" s="1">
        <v>44105</v>
      </c>
    </row>
    <row r="22338" spans="11:14" x14ac:dyDescent="0.3">
      <c r="K22338" s="1">
        <v>44470</v>
      </c>
      <c r="M22338" t="e">
        <v>#N/A</v>
      </c>
      <c r="N22338" s="1">
        <v>44105</v>
      </c>
    </row>
    <row r="22339" spans="11:14" x14ac:dyDescent="0.3">
      <c r="K22339" s="1">
        <v>44470</v>
      </c>
      <c r="M22339" t="e">
        <v>#N/A</v>
      </c>
      <c r="N22339" s="1">
        <v>44105</v>
      </c>
    </row>
    <row r="22340" spans="11:14" x14ac:dyDescent="0.3">
      <c r="K22340" s="1">
        <v>44470</v>
      </c>
      <c r="M22340" t="e">
        <v>#N/A</v>
      </c>
      <c r="N22340" s="1">
        <v>44105</v>
      </c>
    </row>
    <row r="22341" spans="11:14" x14ac:dyDescent="0.3">
      <c r="K22341" s="1">
        <v>44470</v>
      </c>
      <c r="M22341" t="e">
        <v>#N/A</v>
      </c>
      <c r="N22341" s="1">
        <v>44105</v>
      </c>
    </row>
    <row r="22342" spans="11:14" x14ac:dyDescent="0.3">
      <c r="K22342" s="1">
        <v>44470</v>
      </c>
      <c r="M22342" t="e">
        <v>#N/A</v>
      </c>
      <c r="N22342" s="1">
        <v>44105</v>
      </c>
    </row>
    <row r="22343" spans="11:14" x14ac:dyDescent="0.3">
      <c r="K22343" s="1">
        <v>44470</v>
      </c>
      <c r="M22343" t="e">
        <v>#N/A</v>
      </c>
      <c r="N22343" s="1">
        <v>44105</v>
      </c>
    </row>
    <row r="22344" spans="11:14" x14ac:dyDescent="0.3">
      <c r="K22344" s="1">
        <v>44470</v>
      </c>
      <c r="M22344" t="e">
        <v>#N/A</v>
      </c>
      <c r="N22344" s="1">
        <v>44105</v>
      </c>
    </row>
    <row r="22345" spans="11:14" x14ac:dyDescent="0.3">
      <c r="K22345" s="1">
        <v>44470</v>
      </c>
      <c r="M22345" t="e">
        <v>#N/A</v>
      </c>
      <c r="N22345" s="1">
        <v>44105</v>
      </c>
    </row>
    <row r="22346" spans="11:14" x14ac:dyDescent="0.3">
      <c r="K22346" s="1">
        <v>44470</v>
      </c>
      <c r="M22346" t="e">
        <v>#N/A</v>
      </c>
      <c r="N22346" s="1">
        <v>44105</v>
      </c>
    </row>
    <row r="22347" spans="11:14" x14ac:dyDescent="0.3">
      <c r="K22347" s="1">
        <v>44470</v>
      </c>
      <c r="M22347" t="e">
        <v>#N/A</v>
      </c>
      <c r="N22347" s="1">
        <v>44105</v>
      </c>
    </row>
    <row r="22348" spans="11:14" x14ac:dyDescent="0.3">
      <c r="K22348" s="1">
        <v>44470</v>
      </c>
      <c r="M22348" t="e">
        <v>#N/A</v>
      </c>
      <c r="N22348" s="1">
        <v>44105</v>
      </c>
    </row>
    <row r="22349" spans="11:14" x14ac:dyDescent="0.3">
      <c r="K22349" s="1">
        <v>44470</v>
      </c>
      <c r="M22349" t="e">
        <v>#N/A</v>
      </c>
      <c r="N22349" s="1">
        <v>44105</v>
      </c>
    </row>
    <row r="22350" spans="11:14" x14ac:dyDescent="0.3">
      <c r="K22350" s="1">
        <v>44470</v>
      </c>
      <c r="M22350" t="e">
        <v>#N/A</v>
      </c>
      <c r="N22350" s="1">
        <v>44105</v>
      </c>
    </row>
    <row r="22351" spans="11:14" x14ac:dyDescent="0.3">
      <c r="K22351" s="1">
        <v>44470</v>
      </c>
      <c r="M22351" t="e">
        <v>#N/A</v>
      </c>
      <c r="N22351" s="1">
        <v>44105</v>
      </c>
    </row>
    <row r="22352" spans="11:14" x14ac:dyDescent="0.3">
      <c r="K22352" s="1">
        <v>44470</v>
      </c>
      <c r="M22352" t="e">
        <v>#N/A</v>
      </c>
      <c r="N22352" s="1">
        <v>44105</v>
      </c>
    </row>
    <row r="22353" spans="11:14" x14ac:dyDescent="0.3">
      <c r="K22353" s="1">
        <v>44470</v>
      </c>
      <c r="M22353" t="e">
        <v>#N/A</v>
      </c>
      <c r="N22353" s="1">
        <v>44105</v>
      </c>
    </row>
    <row r="22354" spans="11:14" x14ac:dyDescent="0.3">
      <c r="K22354" s="1">
        <v>44470</v>
      </c>
      <c r="M22354" t="e">
        <v>#N/A</v>
      </c>
      <c r="N22354" s="1">
        <v>44105</v>
      </c>
    </row>
    <row r="22355" spans="11:14" x14ac:dyDescent="0.3">
      <c r="K22355" s="1">
        <v>44470</v>
      </c>
      <c r="M22355" t="e">
        <v>#N/A</v>
      </c>
      <c r="N22355" s="1">
        <v>44105</v>
      </c>
    </row>
    <row r="22356" spans="11:14" x14ac:dyDescent="0.3">
      <c r="K22356" s="1">
        <v>44470</v>
      </c>
      <c r="M22356" t="e">
        <v>#N/A</v>
      </c>
      <c r="N22356" s="1">
        <v>44105</v>
      </c>
    </row>
    <row r="22357" spans="11:14" x14ac:dyDescent="0.3">
      <c r="K22357" s="1">
        <v>44470</v>
      </c>
      <c r="M22357" t="e">
        <v>#N/A</v>
      </c>
      <c r="N22357" s="1">
        <v>44105</v>
      </c>
    </row>
    <row r="22358" spans="11:14" x14ac:dyDescent="0.3">
      <c r="K22358" s="1">
        <v>44470</v>
      </c>
      <c r="M22358" t="e">
        <v>#N/A</v>
      </c>
      <c r="N22358" s="1">
        <v>44105</v>
      </c>
    </row>
    <row r="22359" spans="11:14" x14ac:dyDescent="0.3">
      <c r="K22359" s="1">
        <v>44470</v>
      </c>
      <c r="M22359" t="e">
        <v>#N/A</v>
      </c>
      <c r="N22359" s="1">
        <v>44105</v>
      </c>
    </row>
    <row r="22360" spans="11:14" x14ac:dyDescent="0.3">
      <c r="K22360" s="1">
        <v>44470</v>
      </c>
      <c r="M22360" t="e">
        <v>#N/A</v>
      </c>
      <c r="N22360" s="1">
        <v>44105</v>
      </c>
    </row>
    <row r="22361" spans="11:14" x14ac:dyDescent="0.3">
      <c r="K22361" s="1">
        <v>44470</v>
      </c>
      <c r="M22361" t="e">
        <v>#N/A</v>
      </c>
      <c r="N22361" s="1">
        <v>44105</v>
      </c>
    </row>
    <row r="22362" spans="11:14" x14ac:dyDescent="0.3">
      <c r="K22362" s="1">
        <v>44470</v>
      </c>
      <c r="M22362" t="e">
        <v>#N/A</v>
      </c>
      <c r="N22362" s="1">
        <v>44105</v>
      </c>
    </row>
    <row r="22363" spans="11:14" x14ac:dyDescent="0.3">
      <c r="K22363" s="1">
        <v>44470</v>
      </c>
      <c r="M22363" t="e">
        <v>#N/A</v>
      </c>
      <c r="N22363" s="1">
        <v>44105</v>
      </c>
    </row>
    <row r="22364" spans="11:14" x14ac:dyDescent="0.3">
      <c r="K22364" s="1">
        <v>44470</v>
      </c>
      <c r="M22364" t="e">
        <v>#N/A</v>
      </c>
      <c r="N22364" s="1">
        <v>44105</v>
      </c>
    </row>
    <row r="22365" spans="11:14" x14ac:dyDescent="0.3">
      <c r="K22365" s="1">
        <v>44470</v>
      </c>
      <c r="M22365" t="e">
        <v>#N/A</v>
      </c>
      <c r="N22365" s="1">
        <v>44105</v>
      </c>
    </row>
    <row r="22366" spans="11:14" x14ac:dyDescent="0.3">
      <c r="K22366" s="1">
        <v>44470</v>
      </c>
      <c r="M22366" t="e">
        <v>#N/A</v>
      </c>
      <c r="N22366" s="1">
        <v>44105</v>
      </c>
    </row>
    <row r="22367" spans="11:14" x14ac:dyDescent="0.3">
      <c r="K22367" s="1">
        <v>44470</v>
      </c>
      <c r="M22367" t="e">
        <v>#N/A</v>
      </c>
      <c r="N22367" s="1">
        <v>44105</v>
      </c>
    </row>
    <row r="22368" spans="11:14" x14ac:dyDescent="0.3">
      <c r="K22368" s="1">
        <v>44470</v>
      </c>
      <c r="M22368" t="e">
        <v>#N/A</v>
      </c>
      <c r="N22368" s="1">
        <v>44105</v>
      </c>
    </row>
    <row r="22369" spans="11:14" x14ac:dyDescent="0.3">
      <c r="K22369" s="1">
        <v>44470</v>
      </c>
      <c r="M22369" t="e">
        <v>#N/A</v>
      </c>
      <c r="N22369" s="1">
        <v>44105</v>
      </c>
    </row>
    <row r="22370" spans="11:14" x14ac:dyDescent="0.3">
      <c r="K22370" s="1">
        <v>44470</v>
      </c>
      <c r="M22370" t="e">
        <v>#N/A</v>
      </c>
      <c r="N22370" s="1">
        <v>44105</v>
      </c>
    </row>
    <row r="22371" spans="11:14" x14ac:dyDescent="0.3">
      <c r="K22371" s="1">
        <v>44470</v>
      </c>
      <c r="M22371" t="e">
        <v>#N/A</v>
      </c>
      <c r="N22371" s="1">
        <v>44105</v>
      </c>
    </row>
    <row r="22372" spans="11:14" x14ac:dyDescent="0.3">
      <c r="K22372" s="1">
        <v>44470</v>
      </c>
      <c r="M22372" t="e">
        <v>#N/A</v>
      </c>
      <c r="N22372" s="1">
        <v>44105</v>
      </c>
    </row>
    <row r="22373" spans="11:14" x14ac:dyDescent="0.3">
      <c r="K22373" s="1">
        <v>44470</v>
      </c>
      <c r="M22373" t="e">
        <v>#N/A</v>
      </c>
      <c r="N22373" s="1">
        <v>44105</v>
      </c>
    </row>
    <row r="22374" spans="11:14" x14ac:dyDescent="0.3">
      <c r="K22374" s="1">
        <v>44470</v>
      </c>
      <c r="M22374" t="e">
        <v>#N/A</v>
      </c>
      <c r="N22374" s="1">
        <v>44105</v>
      </c>
    </row>
    <row r="22375" spans="11:14" x14ac:dyDescent="0.3">
      <c r="K22375" s="1">
        <v>44470</v>
      </c>
      <c r="M22375" t="e">
        <v>#N/A</v>
      </c>
      <c r="N22375" s="1">
        <v>44105</v>
      </c>
    </row>
    <row r="22376" spans="11:14" x14ac:dyDescent="0.3">
      <c r="K22376" s="1">
        <v>44470</v>
      </c>
      <c r="M22376" t="e">
        <v>#N/A</v>
      </c>
      <c r="N22376" s="1">
        <v>44105</v>
      </c>
    </row>
    <row r="22377" spans="11:14" x14ac:dyDescent="0.3">
      <c r="K22377" s="1">
        <v>44470</v>
      </c>
      <c r="M22377" t="e">
        <v>#N/A</v>
      </c>
      <c r="N22377" s="1">
        <v>44105</v>
      </c>
    </row>
    <row r="22378" spans="11:14" x14ac:dyDescent="0.3">
      <c r="K22378" s="1">
        <v>44470</v>
      </c>
      <c r="M22378" t="e">
        <v>#N/A</v>
      </c>
      <c r="N22378" s="1">
        <v>44105</v>
      </c>
    </row>
    <row r="22379" spans="11:14" x14ac:dyDescent="0.3">
      <c r="K22379" s="1">
        <v>44470</v>
      </c>
      <c r="M22379" t="e">
        <v>#N/A</v>
      </c>
      <c r="N22379" s="1">
        <v>44105</v>
      </c>
    </row>
    <row r="22380" spans="11:14" x14ac:dyDescent="0.3">
      <c r="K22380" s="1">
        <v>44470</v>
      </c>
      <c r="M22380" t="e">
        <v>#N/A</v>
      </c>
      <c r="N22380" s="1">
        <v>44105</v>
      </c>
    </row>
    <row r="22381" spans="11:14" x14ac:dyDescent="0.3">
      <c r="K22381" s="1">
        <v>44470</v>
      </c>
      <c r="M22381" t="e">
        <v>#N/A</v>
      </c>
      <c r="N22381" s="1">
        <v>44105</v>
      </c>
    </row>
    <row r="22382" spans="11:14" x14ac:dyDescent="0.3">
      <c r="K22382" s="1">
        <v>44470</v>
      </c>
      <c r="M22382" t="e">
        <v>#N/A</v>
      </c>
      <c r="N22382" s="1">
        <v>44105</v>
      </c>
    </row>
    <row r="22383" spans="11:14" x14ac:dyDescent="0.3">
      <c r="K22383" s="1">
        <v>44470</v>
      </c>
      <c r="M22383" t="e">
        <v>#N/A</v>
      </c>
      <c r="N22383" s="1">
        <v>44105</v>
      </c>
    </row>
    <row r="22384" spans="11:14" x14ac:dyDescent="0.3">
      <c r="K22384" s="1">
        <v>44470</v>
      </c>
      <c r="M22384" t="e">
        <v>#N/A</v>
      </c>
      <c r="N22384" s="1">
        <v>44105</v>
      </c>
    </row>
    <row r="22385" spans="11:14" x14ac:dyDescent="0.3">
      <c r="K22385" s="1">
        <v>44470</v>
      </c>
      <c r="M22385" t="e">
        <v>#N/A</v>
      </c>
      <c r="N22385" s="1">
        <v>44105</v>
      </c>
    </row>
    <row r="22386" spans="11:14" x14ac:dyDescent="0.3">
      <c r="K22386" s="1">
        <v>44470</v>
      </c>
      <c r="M22386" t="e">
        <v>#N/A</v>
      </c>
      <c r="N22386" s="1">
        <v>44105</v>
      </c>
    </row>
    <row r="22387" spans="11:14" x14ac:dyDescent="0.3">
      <c r="K22387" s="1">
        <v>44470</v>
      </c>
      <c r="M22387" t="e">
        <v>#N/A</v>
      </c>
      <c r="N22387" s="1">
        <v>44105</v>
      </c>
    </row>
    <row r="22388" spans="11:14" x14ac:dyDescent="0.3">
      <c r="K22388" s="1">
        <v>44470</v>
      </c>
      <c r="M22388" t="e">
        <v>#N/A</v>
      </c>
      <c r="N22388" s="1">
        <v>44105</v>
      </c>
    </row>
    <row r="22389" spans="11:14" x14ac:dyDescent="0.3">
      <c r="K22389" s="1">
        <v>44470</v>
      </c>
      <c r="M22389" t="e">
        <v>#N/A</v>
      </c>
      <c r="N22389" s="1">
        <v>44105</v>
      </c>
    </row>
    <row r="22390" spans="11:14" x14ac:dyDescent="0.3">
      <c r="K22390" s="1">
        <v>44470</v>
      </c>
      <c r="M22390" t="e">
        <v>#N/A</v>
      </c>
      <c r="N22390" s="1">
        <v>44105</v>
      </c>
    </row>
    <row r="22391" spans="11:14" x14ac:dyDescent="0.3">
      <c r="K22391" s="1">
        <v>44470</v>
      </c>
      <c r="M22391" t="e">
        <v>#N/A</v>
      </c>
      <c r="N22391" s="1">
        <v>44105</v>
      </c>
    </row>
    <row r="22392" spans="11:14" x14ac:dyDescent="0.3">
      <c r="K22392" s="1">
        <v>44470</v>
      </c>
      <c r="M22392" t="e">
        <v>#N/A</v>
      </c>
      <c r="N22392" s="1">
        <v>44105</v>
      </c>
    </row>
    <row r="22393" spans="11:14" x14ac:dyDescent="0.3">
      <c r="K22393" s="1">
        <v>44470</v>
      </c>
      <c r="M22393" t="e">
        <v>#N/A</v>
      </c>
      <c r="N22393" s="1">
        <v>44105</v>
      </c>
    </row>
    <row r="22394" spans="11:14" x14ac:dyDescent="0.3">
      <c r="K22394" s="1">
        <v>44470</v>
      </c>
      <c r="M22394" t="e">
        <v>#N/A</v>
      </c>
      <c r="N22394" s="1">
        <v>44105</v>
      </c>
    </row>
    <row r="22395" spans="11:14" x14ac:dyDescent="0.3">
      <c r="K22395" s="1">
        <v>44470</v>
      </c>
      <c r="M22395" t="e">
        <v>#N/A</v>
      </c>
      <c r="N22395" s="1">
        <v>44105</v>
      </c>
    </row>
    <row r="22396" spans="11:14" x14ac:dyDescent="0.3">
      <c r="K22396" s="1">
        <v>44470</v>
      </c>
      <c r="M22396" t="e">
        <v>#N/A</v>
      </c>
      <c r="N22396" s="1">
        <v>44105</v>
      </c>
    </row>
    <row r="22397" spans="11:14" x14ac:dyDescent="0.3">
      <c r="K22397" s="1">
        <v>44470</v>
      </c>
      <c r="M22397" t="e">
        <v>#N/A</v>
      </c>
      <c r="N22397" s="1">
        <v>44105</v>
      </c>
    </row>
    <row r="22398" spans="11:14" x14ac:dyDescent="0.3">
      <c r="K22398" s="1">
        <v>44470</v>
      </c>
      <c r="M22398" t="e">
        <v>#N/A</v>
      </c>
      <c r="N22398" s="1">
        <v>44105</v>
      </c>
    </row>
    <row r="22399" spans="11:14" x14ac:dyDescent="0.3">
      <c r="K22399" s="1">
        <v>44470</v>
      </c>
      <c r="M22399" t="e">
        <v>#N/A</v>
      </c>
      <c r="N22399" s="1">
        <v>44105</v>
      </c>
    </row>
    <row r="22400" spans="11:14" x14ac:dyDescent="0.3">
      <c r="K22400" s="1">
        <v>44470</v>
      </c>
      <c r="M22400" t="e">
        <v>#N/A</v>
      </c>
      <c r="N22400" s="1">
        <v>44105</v>
      </c>
    </row>
    <row r="22401" spans="11:14" x14ac:dyDescent="0.3">
      <c r="K22401" s="1">
        <v>44470</v>
      </c>
      <c r="M22401" t="e">
        <v>#N/A</v>
      </c>
      <c r="N22401" s="1">
        <v>44105</v>
      </c>
    </row>
    <row r="22402" spans="11:14" x14ac:dyDescent="0.3">
      <c r="K22402" s="1">
        <v>44470</v>
      </c>
      <c r="M22402" t="e">
        <v>#N/A</v>
      </c>
      <c r="N22402" s="1">
        <v>44105</v>
      </c>
    </row>
    <row r="22403" spans="11:14" x14ac:dyDescent="0.3">
      <c r="K22403" s="1">
        <v>44470</v>
      </c>
      <c r="M22403" t="e">
        <v>#N/A</v>
      </c>
      <c r="N22403" s="1">
        <v>44105</v>
      </c>
    </row>
    <row r="22404" spans="11:14" x14ac:dyDescent="0.3">
      <c r="K22404" s="1">
        <v>44470</v>
      </c>
      <c r="M22404" t="e">
        <v>#N/A</v>
      </c>
      <c r="N22404" s="1">
        <v>44105</v>
      </c>
    </row>
    <row r="22405" spans="11:14" x14ac:dyDescent="0.3">
      <c r="K22405" s="1">
        <v>44470</v>
      </c>
      <c r="M22405" t="e">
        <v>#N/A</v>
      </c>
      <c r="N22405" s="1">
        <v>44105</v>
      </c>
    </row>
    <row r="22406" spans="11:14" x14ac:dyDescent="0.3">
      <c r="K22406" s="1">
        <v>44470</v>
      </c>
      <c r="M22406" t="e">
        <v>#N/A</v>
      </c>
      <c r="N22406" s="1">
        <v>44105</v>
      </c>
    </row>
    <row r="22407" spans="11:14" x14ac:dyDescent="0.3">
      <c r="K22407" s="1">
        <v>44470</v>
      </c>
      <c r="M22407" t="e">
        <v>#N/A</v>
      </c>
      <c r="N22407" s="1">
        <v>44105</v>
      </c>
    </row>
    <row r="22408" spans="11:14" x14ac:dyDescent="0.3">
      <c r="K22408" s="1">
        <v>44470</v>
      </c>
      <c r="M22408" t="e">
        <v>#N/A</v>
      </c>
      <c r="N22408" s="1">
        <v>44105</v>
      </c>
    </row>
    <row r="22409" spans="11:14" x14ac:dyDescent="0.3">
      <c r="K22409" s="1">
        <v>44470</v>
      </c>
      <c r="M22409" t="e">
        <v>#N/A</v>
      </c>
      <c r="N22409" s="1">
        <v>44105</v>
      </c>
    </row>
    <row r="22410" spans="11:14" x14ac:dyDescent="0.3">
      <c r="K22410" s="1">
        <v>44470</v>
      </c>
      <c r="M22410" t="e">
        <v>#N/A</v>
      </c>
      <c r="N22410" s="1">
        <v>44105</v>
      </c>
    </row>
    <row r="22411" spans="11:14" x14ac:dyDescent="0.3">
      <c r="K22411" s="1">
        <v>44470</v>
      </c>
      <c r="M22411" t="e">
        <v>#N/A</v>
      </c>
      <c r="N22411" s="1">
        <v>44105</v>
      </c>
    </row>
    <row r="22412" spans="11:14" x14ac:dyDescent="0.3">
      <c r="K22412" s="1">
        <v>44470</v>
      </c>
      <c r="M22412" t="e">
        <v>#N/A</v>
      </c>
      <c r="N22412" s="1">
        <v>44105</v>
      </c>
    </row>
    <row r="22413" spans="11:14" x14ac:dyDescent="0.3">
      <c r="K22413" s="1">
        <v>44470</v>
      </c>
      <c r="M22413" t="e">
        <v>#N/A</v>
      </c>
      <c r="N22413" s="1">
        <v>44105</v>
      </c>
    </row>
    <row r="22414" spans="11:14" x14ac:dyDescent="0.3">
      <c r="K22414" s="1">
        <v>44470</v>
      </c>
      <c r="M22414" t="e">
        <v>#N/A</v>
      </c>
      <c r="N22414" s="1">
        <v>44105</v>
      </c>
    </row>
    <row r="22415" spans="11:14" x14ac:dyDescent="0.3">
      <c r="K22415" s="1">
        <v>44470</v>
      </c>
      <c r="M22415" t="e">
        <v>#N/A</v>
      </c>
      <c r="N22415" s="1">
        <v>44105</v>
      </c>
    </row>
    <row r="22416" spans="11:14" x14ac:dyDescent="0.3">
      <c r="K22416" s="1">
        <v>44470</v>
      </c>
      <c r="M22416" t="e">
        <v>#N/A</v>
      </c>
      <c r="N22416" s="1">
        <v>44105</v>
      </c>
    </row>
    <row r="22417" spans="11:14" x14ac:dyDescent="0.3">
      <c r="K22417" s="1">
        <v>44470</v>
      </c>
      <c r="M22417" t="e">
        <v>#N/A</v>
      </c>
      <c r="N22417" s="1">
        <v>44105</v>
      </c>
    </row>
    <row r="22418" spans="11:14" x14ac:dyDescent="0.3">
      <c r="K22418" s="1">
        <v>44470</v>
      </c>
      <c r="M22418" t="e">
        <v>#N/A</v>
      </c>
      <c r="N22418" s="1">
        <v>44105</v>
      </c>
    </row>
    <row r="22419" spans="11:14" x14ac:dyDescent="0.3">
      <c r="K22419" s="1">
        <v>44470</v>
      </c>
      <c r="M22419" t="e">
        <v>#N/A</v>
      </c>
      <c r="N22419" s="1">
        <v>44105</v>
      </c>
    </row>
    <row r="22420" spans="11:14" x14ac:dyDescent="0.3">
      <c r="K22420" s="1">
        <v>44470</v>
      </c>
      <c r="M22420" t="e">
        <v>#N/A</v>
      </c>
      <c r="N22420" s="1">
        <v>44105</v>
      </c>
    </row>
    <row r="22421" spans="11:14" x14ac:dyDescent="0.3">
      <c r="K22421" s="1">
        <v>44470</v>
      </c>
      <c r="M22421" t="e">
        <v>#N/A</v>
      </c>
      <c r="N22421" s="1">
        <v>44105</v>
      </c>
    </row>
    <row r="22422" spans="11:14" x14ac:dyDescent="0.3">
      <c r="K22422" s="1">
        <v>44470</v>
      </c>
      <c r="M22422" t="e">
        <v>#N/A</v>
      </c>
      <c r="N22422" s="1">
        <v>44105</v>
      </c>
    </row>
    <row r="22423" spans="11:14" x14ac:dyDescent="0.3">
      <c r="K22423" s="1">
        <v>44470</v>
      </c>
      <c r="M22423" t="e">
        <v>#N/A</v>
      </c>
      <c r="N22423" s="1">
        <v>44105</v>
      </c>
    </row>
    <row r="22424" spans="11:14" x14ac:dyDescent="0.3">
      <c r="K22424" s="1">
        <v>44470</v>
      </c>
      <c r="M22424" t="e">
        <v>#N/A</v>
      </c>
      <c r="N22424" s="1">
        <v>44105</v>
      </c>
    </row>
    <row r="22425" spans="11:14" x14ac:dyDescent="0.3">
      <c r="K22425" s="1">
        <v>44470</v>
      </c>
      <c r="M22425" t="e">
        <v>#N/A</v>
      </c>
      <c r="N22425" s="1">
        <v>44105</v>
      </c>
    </row>
    <row r="22426" spans="11:14" x14ac:dyDescent="0.3">
      <c r="K22426" s="1">
        <v>44470</v>
      </c>
      <c r="M22426" t="e">
        <v>#N/A</v>
      </c>
      <c r="N22426" s="1">
        <v>44105</v>
      </c>
    </row>
    <row r="22427" spans="11:14" x14ac:dyDescent="0.3">
      <c r="K22427" s="1">
        <v>44470</v>
      </c>
      <c r="M22427" t="e">
        <v>#N/A</v>
      </c>
      <c r="N22427" s="1">
        <v>44105</v>
      </c>
    </row>
    <row r="22428" spans="11:14" x14ac:dyDescent="0.3">
      <c r="K22428" s="1">
        <v>44470</v>
      </c>
      <c r="M22428" t="e">
        <v>#N/A</v>
      </c>
      <c r="N22428" s="1">
        <v>44105</v>
      </c>
    </row>
    <row r="22429" spans="11:14" x14ac:dyDescent="0.3">
      <c r="K22429" s="1">
        <v>44470</v>
      </c>
      <c r="M22429" t="e">
        <v>#N/A</v>
      </c>
      <c r="N22429" s="1">
        <v>44105</v>
      </c>
    </row>
    <row r="22430" spans="11:14" x14ac:dyDescent="0.3">
      <c r="K22430" s="1">
        <v>44470</v>
      </c>
      <c r="M22430" t="e">
        <v>#N/A</v>
      </c>
      <c r="N22430" s="1">
        <v>44105</v>
      </c>
    </row>
    <row r="22431" spans="11:14" x14ac:dyDescent="0.3">
      <c r="K22431" s="1">
        <v>44470</v>
      </c>
      <c r="M22431" t="e">
        <v>#N/A</v>
      </c>
      <c r="N22431" s="1">
        <v>44105</v>
      </c>
    </row>
    <row r="22432" spans="11:14" x14ac:dyDescent="0.3">
      <c r="K22432" s="1">
        <v>44470</v>
      </c>
      <c r="M22432" t="e">
        <v>#N/A</v>
      </c>
      <c r="N22432" s="1">
        <v>44105</v>
      </c>
    </row>
    <row r="22433" spans="11:14" x14ac:dyDescent="0.3">
      <c r="K22433" s="1">
        <v>44470</v>
      </c>
      <c r="M22433" t="e">
        <v>#N/A</v>
      </c>
      <c r="N22433" s="1">
        <v>44105</v>
      </c>
    </row>
    <row r="22434" spans="11:14" x14ac:dyDescent="0.3">
      <c r="K22434" s="1">
        <v>44470</v>
      </c>
      <c r="M22434" t="e">
        <v>#N/A</v>
      </c>
      <c r="N22434" s="1">
        <v>44105</v>
      </c>
    </row>
    <row r="22435" spans="11:14" x14ac:dyDescent="0.3">
      <c r="K22435" s="1">
        <v>44470</v>
      </c>
      <c r="M22435" t="e">
        <v>#N/A</v>
      </c>
      <c r="N22435" s="1">
        <v>44105</v>
      </c>
    </row>
    <row r="22436" spans="11:14" x14ac:dyDescent="0.3">
      <c r="K22436" s="1">
        <v>44470</v>
      </c>
      <c r="M22436" t="e">
        <v>#N/A</v>
      </c>
      <c r="N22436" s="1">
        <v>44105</v>
      </c>
    </row>
    <row r="22437" spans="11:14" x14ac:dyDescent="0.3">
      <c r="K22437" s="1">
        <v>44470</v>
      </c>
      <c r="M22437" t="e">
        <v>#N/A</v>
      </c>
      <c r="N22437" s="1">
        <v>44105</v>
      </c>
    </row>
    <row r="22438" spans="11:14" x14ac:dyDescent="0.3">
      <c r="K22438" s="1">
        <v>44470</v>
      </c>
      <c r="M22438" t="e">
        <v>#N/A</v>
      </c>
      <c r="N22438" s="1">
        <v>44105</v>
      </c>
    </row>
    <row r="22439" spans="11:14" x14ac:dyDescent="0.3">
      <c r="K22439" s="1">
        <v>44470</v>
      </c>
      <c r="M22439" t="e">
        <v>#N/A</v>
      </c>
      <c r="N22439" s="1">
        <v>44105</v>
      </c>
    </row>
    <row r="22440" spans="11:14" x14ac:dyDescent="0.3">
      <c r="K22440" s="1">
        <v>44470</v>
      </c>
      <c r="M22440" t="e">
        <v>#N/A</v>
      </c>
      <c r="N22440" s="1">
        <v>44105</v>
      </c>
    </row>
    <row r="22441" spans="11:14" x14ac:dyDescent="0.3">
      <c r="K22441" s="1">
        <v>44470</v>
      </c>
      <c r="M22441" t="e">
        <v>#N/A</v>
      </c>
      <c r="N22441" s="1">
        <v>44105</v>
      </c>
    </row>
    <row r="22442" spans="11:14" x14ac:dyDescent="0.3">
      <c r="K22442" s="1">
        <v>44470</v>
      </c>
      <c r="M22442" t="e">
        <v>#N/A</v>
      </c>
      <c r="N22442" s="1">
        <v>44105</v>
      </c>
    </row>
    <row r="22443" spans="11:14" x14ac:dyDescent="0.3">
      <c r="K22443" s="1">
        <v>44470</v>
      </c>
      <c r="M22443" t="e">
        <v>#N/A</v>
      </c>
      <c r="N22443" s="1">
        <v>44105</v>
      </c>
    </row>
    <row r="22444" spans="11:14" x14ac:dyDescent="0.3">
      <c r="K22444" s="1">
        <v>44470</v>
      </c>
      <c r="M22444" t="e">
        <v>#N/A</v>
      </c>
      <c r="N22444" s="1">
        <v>44105</v>
      </c>
    </row>
    <row r="22445" spans="11:14" x14ac:dyDescent="0.3">
      <c r="K22445" s="1">
        <v>44470</v>
      </c>
      <c r="M22445" t="e">
        <v>#N/A</v>
      </c>
      <c r="N22445" s="1">
        <v>44105</v>
      </c>
    </row>
    <row r="22446" spans="11:14" x14ac:dyDescent="0.3">
      <c r="K22446" s="1">
        <v>44470</v>
      </c>
      <c r="M22446" t="e">
        <v>#N/A</v>
      </c>
      <c r="N22446" s="1">
        <v>44105</v>
      </c>
    </row>
    <row r="22447" spans="11:14" x14ac:dyDescent="0.3">
      <c r="K22447" s="1">
        <v>44470</v>
      </c>
      <c r="M22447" t="e">
        <v>#N/A</v>
      </c>
      <c r="N22447" s="1">
        <v>44105</v>
      </c>
    </row>
    <row r="22448" spans="11:14" x14ac:dyDescent="0.3">
      <c r="K22448" s="1">
        <v>44470</v>
      </c>
      <c r="M22448" t="e">
        <v>#N/A</v>
      </c>
      <c r="N22448" s="1">
        <v>44105</v>
      </c>
    </row>
    <row r="22449" spans="11:14" x14ac:dyDescent="0.3">
      <c r="K22449" s="1">
        <v>44470</v>
      </c>
      <c r="M22449" t="e">
        <v>#N/A</v>
      </c>
      <c r="N22449" s="1">
        <v>44105</v>
      </c>
    </row>
    <row r="22450" spans="11:14" x14ac:dyDescent="0.3">
      <c r="K22450" s="1">
        <v>44470</v>
      </c>
      <c r="M22450" t="e">
        <v>#N/A</v>
      </c>
      <c r="N22450" s="1">
        <v>44105</v>
      </c>
    </row>
    <row r="22451" spans="11:14" x14ac:dyDescent="0.3">
      <c r="K22451" s="1">
        <v>44470</v>
      </c>
      <c r="M22451" t="e">
        <v>#N/A</v>
      </c>
      <c r="N22451" s="1">
        <v>44105</v>
      </c>
    </row>
    <row r="22452" spans="11:14" x14ac:dyDescent="0.3">
      <c r="K22452" s="1">
        <v>44470</v>
      </c>
      <c r="M22452" t="e">
        <v>#N/A</v>
      </c>
      <c r="N22452" s="1">
        <v>44105</v>
      </c>
    </row>
    <row r="22453" spans="11:14" x14ac:dyDescent="0.3">
      <c r="K22453" s="1">
        <v>44470</v>
      </c>
      <c r="M22453" t="e">
        <v>#N/A</v>
      </c>
      <c r="N22453" s="1">
        <v>44105</v>
      </c>
    </row>
    <row r="22454" spans="11:14" x14ac:dyDescent="0.3">
      <c r="K22454" s="1">
        <v>44470</v>
      </c>
      <c r="M22454" t="e">
        <v>#N/A</v>
      </c>
      <c r="N22454" s="1">
        <v>44105</v>
      </c>
    </row>
    <row r="22455" spans="11:14" x14ac:dyDescent="0.3">
      <c r="K22455" s="1">
        <v>44470</v>
      </c>
      <c r="M22455" t="e">
        <v>#N/A</v>
      </c>
      <c r="N22455" s="1">
        <v>44105</v>
      </c>
    </row>
    <row r="22456" spans="11:14" x14ac:dyDescent="0.3">
      <c r="K22456" s="1">
        <v>44470</v>
      </c>
      <c r="M22456" t="e">
        <v>#N/A</v>
      </c>
      <c r="N22456" s="1">
        <v>44105</v>
      </c>
    </row>
    <row r="22457" spans="11:14" x14ac:dyDescent="0.3">
      <c r="K22457" s="1">
        <v>44470</v>
      </c>
      <c r="M22457" t="e">
        <v>#N/A</v>
      </c>
      <c r="N22457" s="1">
        <v>44105</v>
      </c>
    </row>
    <row r="22458" spans="11:14" x14ac:dyDescent="0.3">
      <c r="K22458" s="1">
        <v>44470</v>
      </c>
      <c r="M22458" t="e">
        <v>#N/A</v>
      </c>
      <c r="N22458" s="1">
        <v>44105</v>
      </c>
    </row>
    <row r="22459" spans="11:14" x14ac:dyDescent="0.3">
      <c r="K22459" s="1">
        <v>44470</v>
      </c>
      <c r="M22459" t="e">
        <v>#N/A</v>
      </c>
      <c r="N22459" s="1">
        <v>44105</v>
      </c>
    </row>
    <row r="22460" spans="11:14" x14ac:dyDescent="0.3">
      <c r="K22460" s="1">
        <v>44470</v>
      </c>
      <c r="M22460" t="e">
        <v>#N/A</v>
      </c>
      <c r="N22460" s="1">
        <v>44105</v>
      </c>
    </row>
    <row r="22461" spans="11:14" x14ac:dyDescent="0.3">
      <c r="K22461" s="1">
        <v>44470</v>
      </c>
      <c r="M22461" t="e">
        <v>#N/A</v>
      </c>
      <c r="N22461" s="1">
        <v>44105</v>
      </c>
    </row>
    <row r="22462" spans="11:14" x14ac:dyDescent="0.3">
      <c r="K22462" s="1">
        <v>44470</v>
      </c>
      <c r="M22462" t="e">
        <v>#N/A</v>
      </c>
      <c r="N22462" s="1">
        <v>44105</v>
      </c>
    </row>
    <row r="22463" spans="11:14" x14ac:dyDescent="0.3">
      <c r="K22463" s="1">
        <v>44470</v>
      </c>
      <c r="M22463" t="e">
        <v>#N/A</v>
      </c>
      <c r="N22463" s="1">
        <v>44105</v>
      </c>
    </row>
    <row r="22464" spans="11:14" x14ac:dyDescent="0.3">
      <c r="K22464" s="1">
        <v>44470</v>
      </c>
      <c r="M22464" t="e">
        <v>#N/A</v>
      </c>
      <c r="N22464" s="1">
        <v>44105</v>
      </c>
    </row>
    <row r="22465" spans="11:14" x14ac:dyDescent="0.3">
      <c r="K22465" s="1">
        <v>44470</v>
      </c>
      <c r="M22465" t="e">
        <v>#N/A</v>
      </c>
      <c r="N22465" s="1">
        <v>44105</v>
      </c>
    </row>
    <row r="22466" spans="11:14" x14ac:dyDescent="0.3">
      <c r="K22466" s="1">
        <v>44470</v>
      </c>
      <c r="M22466" t="e">
        <v>#N/A</v>
      </c>
      <c r="N22466" s="1">
        <v>44105</v>
      </c>
    </row>
    <row r="22467" spans="11:14" x14ac:dyDescent="0.3">
      <c r="K22467" s="1">
        <v>44470</v>
      </c>
      <c r="M22467" t="e">
        <v>#N/A</v>
      </c>
      <c r="N22467" s="1">
        <v>44105</v>
      </c>
    </row>
    <row r="22468" spans="11:14" x14ac:dyDescent="0.3">
      <c r="K22468" s="1">
        <v>44470</v>
      </c>
      <c r="M22468" t="e">
        <v>#N/A</v>
      </c>
      <c r="N22468" s="1">
        <v>44105</v>
      </c>
    </row>
    <row r="22469" spans="11:14" x14ac:dyDescent="0.3">
      <c r="K22469" s="1">
        <v>44470</v>
      </c>
      <c r="M22469" t="e">
        <v>#N/A</v>
      </c>
      <c r="N22469" s="1">
        <v>44105</v>
      </c>
    </row>
    <row r="22470" spans="11:14" x14ac:dyDescent="0.3">
      <c r="K22470" s="1">
        <v>44470</v>
      </c>
      <c r="M22470" t="e">
        <v>#N/A</v>
      </c>
      <c r="N22470" s="1">
        <v>44105</v>
      </c>
    </row>
    <row r="22471" spans="11:14" x14ac:dyDescent="0.3">
      <c r="K22471" s="1">
        <v>44470</v>
      </c>
      <c r="M22471" t="e">
        <v>#N/A</v>
      </c>
      <c r="N22471" s="1">
        <v>44105</v>
      </c>
    </row>
    <row r="22472" spans="11:14" x14ac:dyDescent="0.3">
      <c r="K22472" s="1">
        <v>44470</v>
      </c>
      <c r="M22472" t="e">
        <v>#N/A</v>
      </c>
      <c r="N22472" s="1">
        <v>44105</v>
      </c>
    </row>
    <row r="22473" spans="11:14" x14ac:dyDescent="0.3">
      <c r="K22473" s="1">
        <v>44470</v>
      </c>
      <c r="M22473" t="e">
        <v>#N/A</v>
      </c>
      <c r="N22473" s="1">
        <v>44105</v>
      </c>
    </row>
    <row r="22474" spans="11:14" x14ac:dyDescent="0.3">
      <c r="K22474" s="1">
        <v>44470</v>
      </c>
      <c r="M22474" t="e">
        <v>#N/A</v>
      </c>
      <c r="N22474" s="1">
        <v>44105</v>
      </c>
    </row>
    <row r="22475" spans="11:14" x14ac:dyDescent="0.3">
      <c r="K22475" s="1">
        <v>44470</v>
      </c>
      <c r="M22475" t="e">
        <v>#N/A</v>
      </c>
      <c r="N22475" s="1">
        <v>44105</v>
      </c>
    </row>
    <row r="22476" spans="11:14" x14ac:dyDescent="0.3">
      <c r="K22476" s="1">
        <v>44470</v>
      </c>
      <c r="M22476" t="e">
        <v>#N/A</v>
      </c>
      <c r="N22476" s="1">
        <v>44105</v>
      </c>
    </row>
    <row r="22477" spans="11:14" x14ac:dyDescent="0.3">
      <c r="K22477" s="1">
        <v>44470</v>
      </c>
      <c r="M22477" t="e">
        <v>#N/A</v>
      </c>
      <c r="N22477" s="1">
        <v>44105</v>
      </c>
    </row>
    <row r="22478" spans="11:14" x14ac:dyDescent="0.3">
      <c r="K22478" s="1">
        <v>44470</v>
      </c>
      <c r="M22478" t="e">
        <v>#N/A</v>
      </c>
      <c r="N22478" s="1">
        <v>44105</v>
      </c>
    </row>
    <row r="22479" spans="11:14" x14ac:dyDescent="0.3">
      <c r="K22479" s="1">
        <v>44470</v>
      </c>
      <c r="M22479" t="e">
        <v>#N/A</v>
      </c>
      <c r="N22479" s="1">
        <v>44105</v>
      </c>
    </row>
    <row r="22480" spans="11:14" x14ac:dyDescent="0.3">
      <c r="K22480" s="1">
        <v>44470</v>
      </c>
      <c r="M22480" t="e">
        <v>#N/A</v>
      </c>
      <c r="N22480" s="1">
        <v>44105</v>
      </c>
    </row>
    <row r="22481" spans="11:14" x14ac:dyDescent="0.3">
      <c r="K22481" s="1">
        <v>44470</v>
      </c>
      <c r="M22481" t="e">
        <v>#N/A</v>
      </c>
      <c r="N22481" s="1">
        <v>44105</v>
      </c>
    </row>
    <row r="22482" spans="11:14" x14ac:dyDescent="0.3">
      <c r="K22482" s="1">
        <v>44470</v>
      </c>
      <c r="M22482" t="e">
        <v>#N/A</v>
      </c>
      <c r="N22482" s="1">
        <v>44105</v>
      </c>
    </row>
    <row r="22483" spans="11:14" x14ac:dyDescent="0.3">
      <c r="K22483" s="1">
        <v>44470</v>
      </c>
      <c r="M22483" t="e">
        <v>#N/A</v>
      </c>
      <c r="N22483" s="1">
        <v>44105</v>
      </c>
    </row>
    <row r="22484" spans="11:14" x14ac:dyDescent="0.3">
      <c r="K22484" s="1">
        <v>44470</v>
      </c>
      <c r="M22484" t="e">
        <v>#N/A</v>
      </c>
      <c r="N22484" s="1">
        <v>44105</v>
      </c>
    </row>
    <row r="22485" spans="11:14" x14ac:dyDescent="0.3">
      <c r="K22485" s="1">
        <v>44470</v>
      </c>
      <c r="M22485" t="e">
        <v>#N/A</v>
      </c>
      <c r="N22485" s="1">
        <v>44105</v>
      </c>
    </row>
    <row r="22486" spans="11:14" x14ac:dyDescent="0.3">
      <c r="K22486" s="1">
        <v>44470</v>
      </c>
      <c r="M22486" t="e">
        <v>#N/A</v>
      </c>
      <c r="N22486" s="1">
        <v>44105</v>
      </c>
    </row>
    <row r="22487" spans="11:14" x14ac:dyDescent="0.3">
      <c r="K22487" s="1">
        <v>44470</v>
      </c>
      <c r="M22487" t="e">
        <v>#N/A</v>
      </c>
      <c r="N22487" s="1">
        <v>44105</v>
      </c>
    </row>
    <row r="22488" spans="11:14" x14ac:dyDescent="0.3">
      <c r="K22488" s="1">
        <v>44470</v>
      </c>
      <c r="M22488" t="e">
        <v>#N/A</v>
      </c>
      <c r="N22488" s="1">
        <v>44105</v>
      </c>
    </row>
    <row r="22489" spans="11:14" x14ac:dyDescent="0.3">
      <c r="K22489" s="1">
        <v>44470</v>
      </c>
      <c r="M22489" t="e">
        <v>#N/A</v>
      </c>
      <c r="N22489" s="1">
        <v>44105</v>
      </c>
    </row>
    <row r="22490" spans="11:14" x14ac:dyDescent="0.3">
      <c r="K22490" s="1">
        <v>44470</v>
      </c>
      <c r="M22490" t="e">
        <v>#N/A</v>
      </c>
      <c r="N22490" s="1">
        <v>44105</v>
      </c>
    </row>
    <row r="22491" spans="11:14" x14ac:dyDescent="0.3">
      <c r="K22491" s="1">
        <v>44470</v>
      </c>
      <c r="M22491" t="e">
        <v>#N/A</v>
      </c>
      <c r="N22491" s="1">
        <v>44105</v>
      </c>
    </row>
    <row r="22492" spans="11:14" x14ac:dyDescent="0.3">
      <c r="K22492" s="1">
        <v>44470</v>
      </c>
      <c r="M22492" t="e">
        <v>#N/A</v>
      </c>
      <c r="N22492" s="1">
        <v>44105</v>
      </c>
    </row>
    <row r="22493" spans="11:14" x14ac:dyDescent="0.3">
      <c r="K22493" s="1">
        <v>44470</v>
      </c>
      <c r="M22493" t="e">
        <v>#N/A</v>
      </c>
      <c r="N22493" s="1">
        <v>44105</v>
      </c>
    </row>
    <row r="22494" spans="11:14" x14ac:dyDescent="0.3">
      <c r="K22494" s="1">
        <v>44470</v>
      </c>
      <c r="M22494" t="e">
        <v>#N/A</v>
      </c>
      <c r="N22494" s="1">
        <v>44105</v>
      </c>
    </row>
    <row r="22495" spans="11:14" x14ac:dyDescent="0.3">
      <c r="K22495" s="1">
        <v>44470</v>
      </c>
      <c r="M22495" t="e">
        <v>#N/A</v>
      </c>
      <c r="N22495" s="1">
        <v>44105</v>
      </c>
    </row>
    <row r="22496" spans="11:14" x14ac:dyDescent="0.3">
      <c r="K22496" s="1">
        <v>44470</v>
      </c>
      <c r="M22496" t="e">
        <v>#N/A</v>
      </c>
      <c r="N22496" s="1">
        <v>44105</v>
      </c>
    </row>
    <row r="22497" spans="11:14" x14ac:dyDescent="0.3">
      <c r="K22497" s="1">
        <v>44470</v>
      </c>
      <c r="M22497" t="e">
        <v>#N/A</v>
      </c>
      <c r="N22497" s="1">
        <v>44105</v>
      </c>
    </row>
    <row r="22498" spans="11:14" x14ac:dyDescent="0.3">
      <c r="K22498" s="1">
        <v>44470</v>
      </c>
      <c r="M22498" t="e">
        <v>#N/A</v>
      </c>
      <c r="N22498" s="1">
        <v>44105</v>
      </c>
    </row>
    <row r="22499" spans="11:14" x14ac:dyDescent="0.3">
      <c r="K22499" s="1">
        <v>44470</v>
      </c>
      <c r="M22499" t="e">
        <v>#N/A</v>
      </c>
      <c r="N22499" s="1">
        <v>44105</v>
      </c>
    </row>
    <row r="22500" spans="11:14" x14ac:dyDescent="0.3">
      <c r="K22500" s="1">
        <v>44470</v>
      </c>
      <c r="M22500" t="e">
        <v>#N/A</v>
      </c>
      <c r="N22500" s="1">
        <v>44105</v>
      </c>
    </row>
    <row r="22501" spans="11:14" x14ac:dyDescent="0.3">
      <c r="K22501" s="1">
        <v>44470</v>
      </c>
      <c r="M22501" t="e">
        <v>#N/A</v>
      </c>
      <c r="N22501" s="1">
        <v>44105</v>
      </c>
    </row>
    <row r="22502" spans="11:14" x14ac:dyDescent="0.3">
      <c r="K22502" s="1">
        <v>44470</v>
      </c>
      <c r="M22502" t="e">
        <v>#N/A</v>
      </c>
      <c r="N22502" s="1">
        <v>44105</v>
      </c>
    </row>
    <row r="22503" spans="11:14" x14ac:dyDescent="0.3">
      <c r="K22503" s="1">
        <v>44470</v>
      </c>
      <c r="M22503" t="e">
        <v>#N/A</v>
      </c>
      <c r="N22503" s="1">
        <v>44105</v>
      </c>
    </row>
    <row r="22504" spans="11:14" x14ac:dyDescent="0.3">
      <c r="K22504" s="1">
        <v>44562</v>
      </c>
      <c r="M22504" t="e">
        <v>#N/A</v>
      </c>
      <c r="N22504" s="1">
        <v>44105</v>
      </c>
    </row>
    <row r="22505" spans="11:14" x14ac:dyDescent="0.3">
      <c r="K22505" s="1">
        <v>44562</v>
      </c>
      <c r="M22505" t="e">
        <v>#N/A</v>
      </c>
      <c r="N22505" s="1">
        <v>44105</v>
      </c>
    </row>
    <row r="22506" spans="11:14" x14ac:dyDescent="0.3">
      <c r="K22506" s="1">
        <v>44562</v>
      </c>
      <c r="M22506" t="e">
        <v>#N/A</v>
      </c>
      <c r="N22506" s="1">
        <v>44105</v>
      </c>
    </row>
    <row r="22507" spans="11:14" x14ac:dyDescent="0.3">
      <c r="K22507" s="1">
        <v>44562</v>
      </c>
      <c r="M22507" t="e">
        <v>#N/A</v>
      </c>
      <c r="N22507" s="1">
        <v>44105</v>
      </c>
    </row>
    <row r="22508" spans="11:14" x14ac:dyDescent="0.3">
      <c r="K22508" s="1">
        <v>44562</v>
      </c>
      <c r="M22508" t="e">
        <v>#N/A</v>
      </c>
      <c r="N22508" s="1">
        <v>44105</v>
      </c>
    </row>
    <row r="22509" spans="11:14" x14ac:dyDescent="0.3">
      <c r="K22509" s="1">
        <v>44562</v>
      </c>
      <c r="M22509" t="e">
        <v>#N/A</v>
      </c>
      <c r="N22509" s="1">
        <v>44105</v>
      </c>
    </row>
    <row r="22510" spans="11:14" x14ac:dyDescent="0.3">
      <c r="K22510" s="1">
        <v>44562</v>
      </c>
      <c r="M22510" t="e">
        <v>#N/A</v>
      </c>
      <c r="N22510" s="1">
        <v>44105</v>
      </c>
    </row>
    <row r="22511" spans="11:14" x14ac:dyDescent="0.3">
      <c r="K22511" s="1">
        <v>44562</v>
      </c>
      <c r="M22511" t="e">
        <v>#N/A</v>
      </c>
      <c r="N22511" s="1">
        <v>44105</v>
      </c>
    </row>
    <row r="22512" spans="11:14" x14ac:dyDescent="0.3">
      <c r="K22512" s="1">
        <v>44562</v>
      </c>
      <c r="M22512" t="e">
        <v>#N/A</v>
      </c>
      <c r="N22512" s="1">
        <v>44105</v>
      </c>
    </row>
    <row r="22513" spans="11:14" x14ac:dyDescent="0.3">
      <c r="K22513" s="1">
        <v>44562</v>
      </c>
      <c r="M22513" t="e">
        <v>#N/A</v>
      </c>
      <c r="N22513" s="1">
        <v>44105</v>
      </c>
    </row>
    <row r="22514" spans="11:14" x14ac:dyDescent="0.3">
      <c r="K22514" s="1">
        <v>44562</v>
      </c>
      <c r="M22514" t="e">
        <v>#N/A</v>
      </c>
      <c r="N22514" s="1">
        <v>44105</v>
      </c>
    </row>
    <row r="22515" spans="11:14" x14ac:dyDescent="0.3">
      <c r="K22515" s="1">
        <v>44562</v>
      </c>
      <c r="M22515" t="e">
        <v>#N/A</v>
      </c>
      <c r="N22515" s="1">
        <v>44105</v>
      </c>
    </row>
    <row r="22516" spans="11:14" x14ac:dyDescent="0.3">
      <c r="K22516" s="1">
        <v>44562</v>
      </c>
      <c r="M22516" t="e">
        <v>#N/A</v>
      </c>
      <c r="N22516" s="1">
        <v>44105</v>
      </c>
    </row>
    <row r="22517" spans="11:14" x14ac:dyDescent="0.3">
      <c r="K22517" s="1">
        <v>44562</v>
      </c>
      <c r="M22517" t="e">
        <v>#N/A</v>
      </c>
      <c r="N22517" s="1">
        <v>44105</v>
      </c>
    </row>
    <row r="22518" spans="11:14" x14ac:dyDescent="0.3">
      <c r="K22518" s="1">
        <v>44562</v>
      </c>
      <c r="M22518" t="e">
        <v>#N/A</v>
      </c>
      <c r="N22518" s="1">
        <v>44105</v>
      </c>
    </row>
    <row r="22519" spans="11:14" x14ac:dyDescent="0.3">
      <c r="K22519" s="1">
        <v>44562</v>
      </c>
      <c r="M22519" t="e">
        <v>#N/A</v>
      </c>
      <c r="N22519" s="1">
        <v>44105</v>
      </c>
    </row>
    <row r="22520" spans="11:14" x14ac:dyDescent="0.3">
      <c r="K22520" s="1">
        <v>44562</v>
      </c>
      <c r="M22520" t="e">
        <v>#N/A</v>
      </c>
      <c r="N22520" s="1">
        <v>44105</v>
      </c>
    </row>
    <row r="22521" spans="11:14" x14ac:dyDescent="0.3">
      <c r="K22521" s="1">
        <v>44562</v>
      </c>
      <c r="M22521" t="e">
        <v>#N/A</v>
      </c>
      <c r="N22521" s="1">
        <v>44105</v>
      </c>
    </row>
    <row r="22522" spans="11:14" x14ac:dyDescent="0.3">
      <c r="K22522" s="1">
        <v>44562</v>
      </c>
      <c r="M22522" t="e">
        <v>#N/A</v>
      </c>
      <c r="N22522" s="1">
        <v>44105</v>
      </c>
    </row>
    <row r="22523" spans="11:14" x14ac:dyDescent="0.3">
      <c r="K22523" s="1">
        <v>44562</v>
      </c>
      <c r="M22523" t="e">
        <v>#N/A</v>
      </c>
      <c r="N22523" s="1">
        <v>44105</v>
      </c>
    </row>
    <row r="22524" spans="11:14" x14ac:dyDescent="0.3">
      <c r="K22524" s="1">
        <v>44562</v>
      </c>
      <c r="M22524" t="e">
        <v>#N/A</v>
      </c>
      <c r="N22524" s="1">
        <v>44105</v>
      </c>
    </row>
    <row r="22525" spans="11:14" x14ac:dyDescent="0.3">
      <c r="K22525" s="1">
        <v>44562</v>
      </c>
      <c r="M22525" t="e">
        <v>#N/A</v>
      </c>
      <c r="N22525" s="1">
        <v>44105</v>
      </c>
    </row>
    <row r="22526" spans="11:14" x14ac:dyDescent="0.3">
      <c r="K22526" s="1">
        <v>44562</v>
      </c>
      <c r="M22526" t="e">
        <v>#N/A</v>
      </c>
      <c r="N22526" s="1">
        <v>44105</v>
      </c>
    </row>
    <row r="22527" spans="11:14" x14ac:dyDescent="0.3">
      <c r="K22527" s="1">
        <v>44562</v>
      </c>
      <c r="M22527" t="e">
        <v>#N/A</v>
      </c>
      <c r="N22527" s="1">
        <v>44105</v>
      </c>
    </row>
    <row r="22528" spans="11:14" x14ac:dyDescent="0.3">
      <c r="K22528" s="1">
        <v>44562</v>
      </c>
      <c r="M22528" t="e">
        <v>#N/A</v>
      </c>
      <c r="N22528" s="1">
        <v>44105</v>
      </c>
    </row>
    <row r="22529" spans="11:14" x14ac:dyDescent="0.3">
      <c r="K22529" s="1">
        <v>44562</v>
      </c>
      <c r="M22529" t="e">
        <v>#N/A</v>
      </c>
      <c r="N22529" s="1">
        <v>44105</v>
      </c>
    </row>
    <row r="22530" spans="11:14" x14ac:dyDescent="0.3">
      <c r="K22530" s="1">
        <v>44562</v>
      </c>
      <c r="M22530" t="e">
        <v>#N/A</v>
      </c>
      <c r="N22530" s="1">
        <v>44105</v>
      </c>
    </row>
    <row r="22531" spans="11:14" x14ac:dyDescent="0.3">
      <c r="K22531" s="1">
        <v>44562</v>
      </c>
      <c r="M22531" t="e">
        <v>#N/A</v>
      </c>
      <c r="N22531" s="1">
        <v>44105</v>
      </c>
    </row>
    <row r="22532" spans="11:14" x14ac:dyDescent="0.3">
      <c r="K22532" s="1">
        <v>44562</v>
      </c>
      <c r="M22532" t="e">
        <v>#N/A</v>
      </c>
      <c r="N22532" s="1">
        <v>44105</v>
      </c>
    </row>
    <row r="22533" spans="11:14" x14ac:dyDescent="0.3">
      <c r="K22533" s="1">
        <v>44562</v>
      </c>
      <c r="M22533" t="e">
        <v>#N/A</v>
      </c>
      <c r="N22533" s="1">
        <v>44105</v>
      </c>
    </row>
    <row r="22534" spans="11:14" x14ac:dyDescent="0.3">
      <c r="K22534" s="1">
        <v>44562</v>
      </c>
      <c r="M22534" t="e">
        <v>#N/A</v>
      </c>
      <c r="N22534" s="1">
        <v>44105</v>
      </c>
    </row>
    <row r="22535" spans="11:14" x14ac:dyDescent="0.3">
      <c r="K22535" s="1">
        <v>44562</v>
      </c>
      <c r="M22535" t="e">
        <v>#N/A</v>
      </c>
      <c r="N22535" s="1">
        <v>44105</v>
      </c>
    </row>
    <row r="22536" spans="11:14" x14ac:dyDescent="0.3">
      <c r="K22536" s="1">
        <v>44562</v>
      </c>
      <c r="M22536" t="e">
        <v>#N/A</v>
      </c>
      <c r="N22536" s="1">
        <v>44105</v>
      </c>
    </row>
    <row r="22537" spans="11:14" x14ac:dyDescent="0.3">
      <c r="K22537" s="1">
        <v>44562</v>
      </c>
      <c r="M22537" t="e">
        <v>#N/A</v>
      </c>
      <c r="N22537" s="1">
        <v>44105</v>
      </c>
    </row>
    <row r="22538" spans="11:14" x14ac:dyDescent="0.3">
      <c r="K22538" s="1">
        <v>44562</v>
      </c>
      <c r="M22538" t="e">
        <v>#N/A</v>
      </c>
      <c r="N22538" s="1">
        <v>44105</v>
      </c>
    </row>
    <row r="22539" spans="11:14" x14ac:dyDescent="0.3">
      <c r="K22539" s="1">
        <v>44562</v>
      </c>
      <c r="M22539" t="e">
        <v>#N/A</v>
      </c>
      <c r="N22539" s="1">
        <v>44105</v>
      </c>
    </row>
    <row r="22540" spans="11:14" x14ac:dyDescent="0.3">
      <c r="K22540" s="1">
        <v>44562</v>
      </c>
      <c r="M22540" t="e">
        <v>#N/A</v>
      </c>
      <c r="N22540" s="1">
        <v>44105</v>
      </c>
    </row>
    <row r="22541" spans="11:14" x14ac:dyDescent="0.3">
      <c r="K22541" s="1">
        <v>44562</v>
      </c>
      <c r="M22541" t="e">
        <v>#N/A</v>
      </c>
      <c r="N22541" s="1">
        <v>44105</v>
      </c>
    </row>
    <row r="22542" spans="11:14" x14ac:dyDescent="0.3">
      <c r="K22542" s="1">
        <v>44562</v>
      </c>
      <c r="M22542" t="e">
        <v>#N/A</v>
      </c>
      <c r="N22542" s="1">
        <v>44105</v>
      </c>
    </row>
    <row r="22543" spans="11:14" x14ac:dyDescent="0.3">
      <c r="K22543" s="1">
        <v>44562</v>
      </c>
      <c r="M22543" t="e">
        <v>#N/A</v>
      </c>
      <c r="N22543" s="1">
        <v>44105</v>
      </c>
    </row>
    <row r="22544" spans="11:14" x14ac:dyDescent="0.3">
      <c r="K22544" s="1">
        <v>44562</v>
      </c>
      <c r="M22544" t="e">
        <v>#N/A</v>
      </c>
      <c r="N22544" s="1">
        <v>44105</v>
      </c>
    </row>
    <row r="22545" spans="11:14" x14ac:dyDescent="0.3">
      <c r="K22545" s="1">
        <v>44562</v>
      </c>
      <c r="M22545" t="e">
        <v>#N/A</v>
      </c>
      <c r="N22545" s="1">
        <v>44105</v>
      </c>
    </row>
    <row r="22546" spans="11:14" x14ac:dyDescent="0.3">
      <c r="K22546" s="1">
        <v>44562</v>
      </c>
      <c r="M22546" t="e">
        <v>#N/A</v>
      </c>
      <c r="N22546" s="1">
        <v>44105</v>
      </c>
    </row>
    <row r="22547" spans="11:14" x14ac:dyDescent="0.3">
      <c r="K22547" s="1">
        <v>44562</v>
      </c>
      <c r="M22547" t="e">
        <v>#N/A</v>
      </c>
      <c r="N22547" s="1">
        <v>44105</v>
      </c>
    </row>
    <row r="22548" spans="11:14" x14ac:dyDescent="0.3">
      <c r="K22548" s="1">
        <v>44562</v>
      </c>
      <c r="M22548" t="e">
        <v>#N/A</v>
      </c>
      <c r="N22548" s="1">
        <v>44105</v>
      </c>
    </row>
    <row r="22549" spans="11:14" x14ac:dyDescent="0.3">
      <c r="K22549" s="1">
        <v>44562</v>
      </c>
      <c r="M22549" t="e">
        <v>#N/A</v>
      </c>
      <c r="N22549" s="1">
        <v>44105</v>
      </c>
    </row>
    <row r="22550" spans="11:14" x14ac:dyDescent="0.3">
      <c r="K22550" s="1">
        <v>44562</v>
      </c>
      <c r="M22550" t="e">
        <v>#N/A</v>
      </c>
      <c r="N22550" s="1">
        <v>44105</v>
      </c>
    </row>
    <row r="22551" spans="11:14" x14ac:dyDescent="0.3">
      <c r="K22551" s="1">
        <v>44562</v>
      </c>
      <c r="M22551" t="e">
        <v>#N/A</v>
      </c>
      <c r="N22551" s="1">
        <v>44105</v>
      </c>
    </row>
    <row r="22552" spans="11:14" x14ac:dyDescent="0.3">
      <c r="K22552" s="1">
        <v>44562</v>
      </c>
      <c r="M22552" t="e">
        <v>#N/A</v>
      </c>
      <c r="N22552" s="1">
        <v>44105</v>
      </c>
    </row>
    <row r="22553" spans="11:14" x14ac:dyDescent="0.3">
      <c r="K22553" s="1">
        <v>44562</v>
      </c>
      <c r="M22553" t="e">
        <v>#N/A</v>
      </c>
      <c r="N22553" s="1">
        <v>44105</v>
      </c>
    </row>
    <row r="22554" spans="11:14" x14ac:dyDescent="0.3">
      <c r="K22554" s="1">
        <v>44562</v>
      </c>
      <c r="M22554" t="e">
        <v>#N/A</v>
      </c>
      <c r="N22554" s="1">
        <v>44105</v>
      </c>
    </row>
    <row r="22555" spans="11:14" x14ac:dyDescent="0.3">
      <c r="K22555" s="1">
        <v>44562</v>
      </c>
      <c r="M22555" t="e">
        <v>#N/A</v>
      </c>
      <c r="N22555" s="1">
        <v>44105</v>
      </c>
    </row>
    <row r="22556" spans="11:14" x14ac:dyDescent="0.3">
      <c r="K22556" s="1">
        <v>44562</v>
      </c>
      <c r="M22556" t="e">
        <v>#N/A</v>
      </c>
      <c r="N22556" s="1">
        <v>44105</v>
      </c>
    </row>
    <row r="22557" spans="11:14" x14ac:dyDescent="0.3">
      <c r="K22557" s="1">
        <v>44562</v>
      </c>
      <c r="M22557" t="e">
        <v>#N/A</v>
      </c>
      <c r="N22557" s="1">
        <v>44105</v>
      </c>
    </row>
    <row r="22558" spans="11:14" x14ac:dyDescent="0.3">
      <c r="K22558" s="1">
        <v>44562</v>
      </c>
      <c r="M22558" t="e">
        <v>#N/A</v>
      </c>
      <c r="N22558" s="1">
        <v>44105</v>
      </c>
    </row>
    <row r="22559" spans="11:14" x14ac:dyDescent="0.3">
      <c r="K22559" s="1">
        <v>44562</v>
      </c>
      <c r="M22559" t="e">
        <v>#N/A</v>
      </c>
      <c r="N22559" s="1">
        <v>44105</v>
      </c>
    </row>
    <row r="22560" spans="11:14" x14ac:dyDescent="0.3">
      <c r="K22560" s="1">
        <v>44562</v>
      </c>
      <c r="M22560" t="e">
        <v>#N/A</v>
      </c>
      <c r="N22560" s="1">
        <v>44105</v>
      </c>
    </row>
    <row r="22561" spans="11:14" x14ac:dyDescent="0.3">
      <c r="K22561" s="1">
        <v>44562</v>
      </c>
      <c r="M22561" t="e">
        <v>#N/A</v>
      </c>
      <c r="N22561" s="1">
        <v>44105</v>
      </c>
    </row>
    <row r="22562" spans="11:14" x14ac:dyDescent="0.3">
      <c r="K22562" s="1">
        <v>44562</v>
      </c>
      <c r="M22562" t="e">
        <v>#N/A</v>
      </c>
      <c r="N22562" s="1">
        <v>44105</v>
      </c>
    </row>
    <row r="22563" spans="11:14" x14ac:dyDescent="0.3">
      <c r="K22563" s="1">
        <v>44562</v>
      </c>
      <c r="M22563" t="e">
        <v>#N/A</v>
      </c>
      <c r="N22563" s="1">
        <v>44105</v>
      </c>
    </row>
    <row r="22564" spans="11:14" x14ac:dyDescent="0.3">
      <c r="K22564" s="1">
        <v>44562</v>
      </c>
      <c r="M22564" t="e">
        <v>#N/A</v>
      </c>
      <c r="N22564" s="1">
        <v>44105</v>
      </c>
    </row>
    <row r="22565" spans="11:14" x14ac:dyDescent="0.3">
      <c r="K22565" s="1">
        <v>44562</v>
      </c>
      <c r="M22565" t="e">
        <v>#N/A</v>
      </c>
      <c r="N22565" s="1">
        <v>44105</v>
      </c>
    </row>
    <row r="22566" spans="11:14" x14ac:dyDescent="0.3">
      <c r="K22566" s="1">
        <v>44562</v>
      </c>
      <c r="M22566" t="e">
        <v>#N/A</v>
      </c>
      <c r="N22566" s="1">
        <v>44105</v>
      </c>
    </row>
    <row r="22567" spans="11:14" x14ac:dyDescent="0.3">
      <c r="K22567" s="1">
        <v>44562</v>
      </c>
      <c r="M22567" t="e">
        <v>#N/A</v>
      </c>
      <c r="N22567" s="1">
        <v>44105</v>
      </c>
    </row>
    <row r="22568" spans="11:14" x14ac:dyDescent="0.3">
      <c r="K22568" s="1">
        <v>44562</v>
      </c>
      <c r="M22568" t="e">
        <v>#N/A</v>
      </c>
      <c r="N22568" s="1">
        <v>44105</v>
      </c>
    </row>
    <row r="22569" spans="11:14" x14ac:dyDescent="0.3">
      <c r="K22569" s="1">
        <v>44562</v>
      </c>
      <c r="M22569" t="e">
        <v>#N/A</v>
      </c>
      <c r="N22569" s="1">
        <v>44105</v>
      </c>
    </row>
    <row r="22570" spans="11:14" x14ac:dyDescent="0.3">
      <c r="K22570" s="1">
        <v>44562</v>
      </c>
      <c r="M22570" t="e">
        <v>#N/A</v>
      </c>
      <c r="N22570" s="1">
        <v>44105</v>
      </c>
    </row>
    <row r="22571" spans="11:14" x14ac:dyDescent="0.3">
      <c r="K22571" s="1">
        <v>44562</v>
      </c>
      <c r="M22571" t="e">
        <v>#N/A</v>
      </c>
      <c r="N22571" s="1">
        <v>44105</v>
      </c>
    </row>
    <row r="22572" spans="11:14" x14ac:dyDescent="0.3">
      <c r="K22572" s="1">
        <v>44562</v>
      </c>
      <c r="M22572" t="e">
        <v>#N/A</v>
      </c>
      <c r="N22572" s="1">
        <v>44105</v>
      </c>
    </row>
    <row r="22573" spans="11:14" x14ac:dyDescent="0.3">
      <c r="K22573" s="1">
        <v>44562</v>
      </c>
      <c r="M22573" t="e">
        <v>#N/A</v>
      </c>
      <c r="N22573" s="1">
        <v>44105</v>
      </c>
    </row>
    <row r="22574" spans="11:14" x14ac:dyDescent="0.3">
      <c r="K22574" s="1">
        <v>44562</v>
      </c>
      <c r="M22574" t="e">
        <v>#N/A</v>
      </c>
      <c r="N22574" s="1">
        <v>44105</v>
      </c>
    </row>
    <row r="22575" spans="11:14" x14ac:dyDescent="0.3">
      <c r="K22575" s="1">
        <v>44562</v>
      </c>
      <c r="M22575" t="e">
        <v>#N/A</v>
      </c>
      <c r="N22575" s="1">
        <v>44105</v>
      </c>
    </row>
    <row r="22576" spans="11:14" x14ac:dyDescent="0.3">
      <c r="K22576" s="1">
        <v>44562</v>
      </c>
      <c r="M22576" t="e">
        <v>#N/A</v>
      </c>
      <c r="N22576" s="1">
        <v>44105</v>
      </c>
    </row>
    <row r="22577" spans="11:14" x14ac:dyDescent="0.3">
      <c r="K22577" s="1">
        <v>44562</v>
      </c>
      <c r="M22577" t="e">
        <v>#N/A</v>
      </c>
      <c r="N22577" s="1">
        <v>44105</v>
      </c>
    </row>
    <row r="22578" spans="11:14" x14ac:dyDescent="0.3">
      <c r="K22578" s="1">
        <v>44562</v>
      </c>
      <c r="M22578" t="e">
        <v>#N/A</v>
      </c>
      <c r="N22578" s="1">
        <v>44105</v>
      </c>
    </row>
    <row r="22579" spans="11:14" x14ac:dyDescent="0.3">
      <c r="K22579" s="1">
        <v>44562</v>
      </c>
      <c r="M22579" t="e">
        <v>#N/A</v>
      </c>
      <c r="N22579" s="1">
        <v>44105</v>
      </c>
    </row>
    <row r="22580" spans="11:14" x14ac:dyDescent="0.3">
      <c r="K22580" s="1">
        <v>44562</v>
      </c>
      <c r="M22580" t="e">
        <v>#N/A</v>
      </c>
      <c r="N22580" s="1">
        <v>44105</v>
      </c>
    </row>
    <row r="22581" spans="11:14" x14ac:dyDescent="0.3">
      <c r="K22581" s="1">
        <v>44562</v>
      </c>
      <c r="M22581" t="e">
        <v>#N/A</v>
      </c>
      <c r="N22581" s="1">
        <v>44105</v>
      </c>
    </row>
    <row r="22582" spans="11:14" x14ac:dyDescent="0.3">
      <c r="K22582" s="1">
        <v>44562</v>
      </c>
      <c r="M22582" t="e">
        <v>#N/A</v>
      </c>
      <c r="N22582" s="1">
        <v>44105</v>
      </c>
    </row>
    <row r="22583" spans="11:14" x14ac:dyDescent="0.3">
      <c r="K22583" s="1">
        <v>44562</v>
      </c>
      <c r="M22583" t="e">
        <v>#N/A</v>
      </c>
      <c r="N22583" s="1">
        <v>44105</v>
      </c>
    </row>
    <row r="22584" spans="11:14" x14ac:dyDescent="0.3">
      <c r="K22584" s="1">
        <v>44562</v>
      </c>
      <c r="M22584" t="e">
        <v>#N/A</v>
      </c>
      <c r="N22584" s="1">
        <v>44105</v>
      </c>
    </row>
    <row r="22585" spans="11:14" x14ac:dyDescent="0.3">
      <c r="K22585" s="1">
        <v>44562</v>
      </c>
      <c r="M22585" t="e">
        <v>#N/A</v>
      </c>
      <c r="N22585" s="1">
        <v>44105</v>
      </c>
    </row>
    <row r="22586" spans="11:14" x14ac:dyDescent="0.3">
      <c r="K22586" s="1">
        <v>44562</v>
      </c>
      <c r="M22586" t="e">
        <v>#N/A</v>
      </c>
      <c r="N22586" s="1">
        <v>44105</v>
      </c>
    </row>
    <row r="22587" spans="11:14" x14ac:dyDescent="0.3">
      <c r="K22587" s="1">
        <v>44562</v>
      </c>
      <c r="M22587" t="e">
        <v>#N/A</v>
      </c>
      <c r="N22587" s="1">
        <v>44105</v>
      </c>
    </row>
    <row r="22588" spans="11:14" x14ac:dyDescent="0.3">
      <c r="K22588" s="1">
        <v>44562</v>
      </c>
      <c r="M22588" t="e">
        <v>#N/A</v>
      </c>
      <c r="N22588" s="1">
        <v>44105</v>
      </c>
    </row>
    <row r="22589" spans="11:14" x14ac:dyDescent="0.3">
      <c r="K22589" s="1">
        <v>44562</v>
      </c>
      <c r="M22589" t="e">
        <v>#N/A</v>
      </c>
      <c r="N22589" s="1">
        <v>44105</v>
      </c>
    </row>
    <row r="22590" spans="11:14" x14ac:dyDescent="0.3">
      <c r="K22590" s="1">
        <v>44562</v>
      </c>
      <c r="M22590" t="e">
        <v>#N/A</v>
      </c>
      <c r="N22590" s="1">
        <v>44105</v>
      </c>
    </row>
    <row r="22591" spans="11:14" x14ac:dyDescent="0.3">
      <c r="K22591" s="1">
        <v>44562</v>
      </c>
      <c r="M22591" t="e">
        <v>#N/A</v>
      </c>
      <c r="N22591" s="1">
        <v>44105</v>
      </c>
    </row>
    <row r="22592" spans="11:14" x14ac:dyDescent="0.3">
      <c r="K22592" s="1">
        <v>44562</v>
      </c>
      <c r="M22592" t="e">
        <v>#N/A</v>
      </c>
      <c r="N22592" s="1">
        <v>44105</v>
      </c>
    </row>
    <row r="22593" spans="11:14" x14ac:dyDescent="0.3">
      <c r="K22593" s="1">
        <v>44562</v>
      </c>
      <c r="M22593" t="e">
        <v>#N/A</v>
      </c>
      <c r="N22593" s="1">
        <v>44105</v>
      </c>
    </row>
    <row r="22594" spans="11:14" x14ac:dyDescent="0.3">
      <c r="K22594" s="1">
        <v>44562</v>
      </c>
      <c r="M22594" t="e">
        <v>#N/A</v>
      </c>
      <c r="N22594" s="1">
        <v>44105</v>
      </c>
    </row>
    <row r="22595" spans="11:14" x14ac:dyDescent="0.3">
      <c r="K22595" s="1">
        <v>44562</v>
      </c>
      <c r="M22595" t="e">
        <v>#N/A</v>
      </c>
      <c r="N22595" s="1">
        <v>44105</v>
      </c>
    </row>
    <row r="22596" spans="11:14" x14ac:dyDescent="0.3">
      <c r="K22596" s="1">
        <v>44562</v>
      </c>
      <c r="M22596" t="e">
        <v>#N/A</v>
      </c>
      <c r="N22596" s="1">
        <v>44197</v>
      </c>
    </row>
    <row r="22597" spans="11:14" x14ac:dyDescent="0.3">
      <c r="K22597" s="1">
        <v>44562</v>
      </c>
      <c r="M22597" t="e">
        <v>#N/A</v>
      </c>
      <c r="N22597" s="1">
        <v>44197</v>
      </c>
    </row>
    <row r="22598" spans="11:14" x14ac:dyDescent="0.3">
      <c r="K22598" s="1">
        <v>44562</v>
      </c>
      <c r="M22598" t="e">
        <v>#N/A</v>
      </c>
      <c r="N22598" s="1">
        <v>44197</v>
      </c>
    </row>
    <row r="22599" spans="11:14" x14ac:dyDescent="0.3">
      <c r="K22599" s="1">
        <v>44562</v>
      </c>
      <c r="M22599" t="e">
        <v>#N/A</v>
      </c>
      <c r="N22599" s="1">
        <v>44197</v>
      </c>
    </row>
    <row r="22600" spans="11:14" x14ac:dyDescent="0.3">
      <c r="K22600" s="1">
        <v>44562</v>
      </c>
      <c r="M22600" t="e">
        <v>#N/A</v>
      </c>
      <c r="N22600" s="1">
        <v>44197</v>
      </c>
    </row>
    <row r="22601" spans="11:14" x14ac:dyDescent="0.3">
      <c r="K22601" s="1">
        <v>44562</v>
      </c>
      <c r="M22601" t="e">
        <v>#N/A</v>
      </c>
      <c r="N22601" s="1">
        <v>44197</v>
      </c>
    </row>
    <row r="22602" spans="11:14" x14ac:dyDescent="0.3">
      <c r="K22602" s="1">
        <v>44562</v>
      </c>
      <c r="M22602" t="e">
        <v>#N/A</v>
      </c>
      <c r="N22602" s="1">
        <v>44197</v>
      </c>
    </row>
    <row r="22603" spans="11:14" x14ac:dyDescent="0.3">
      <c r="K22603" s="1">
        <v>44562</v>
      </c>
      <c r="M22603" t="e">
        <v>#N/A</v>
      </c>
      <c r="N22603" s="1">
        <v>44197</v>
      </c>
    </row>
    <row r="22604" spans="11:14" x14ac:dyDescent="0.3">
      <c r="K22604" s="1">
        <v>44562</v>
      </c>
      <c r="M22604" t="e">
        <v>#N/A</v>
      </c>
      <c r="N22604" s="1">
        <v>44197</v>
      </c>
    </row>
    <row r="22605" spans="11:14" x14ac:dyDescent="0.3">
      <c r="K22605" s="1">
        <v>44562</v>
      </c>
      <c r="M22605" t="e">
        <v>#N/A</v>
      </c>
      <c r="N22605" s="1">
        <v>44197</v>
      </c>
    </row>
    <row r="22606" spans="11:14" x14ac:dyDescent="0.3">
      <c r="K22606" s="1">
        <v>44562</v>
      </c>
      <c r="M22606" t="e">
        <v>#N/A</v>
      </c>
      <c r="N22606" s="1">
        <v>44197</v>
      </c>
    </row>
    <row r="22607" spans="11:14" x14ac:dyDescent="0.3">
      <c r="K22607" s="1">
        <v>44562</v>
      </c>
      <c r="M22607" t="e">
        <v>#N/A</v>
      </c>
      <c r="N22607" s="1">
        <v>44197</v>
      </c>
    </row>
    <row r="22608" spans="11:14" x14ac:dyDescent="0.3">
      <c r="K22608" s="1">
        <v>44562</v>
      </c>
      <c r="M22608" t="e">
        <v>#N/A</v>
      </c>
      <c r="N22608" s="1">
        <v>44197</v>
      </c>
    </row>
    <row r="22609" spans="11:14" x14ac:dyDescent="0.3">
      <c r="K22609" s="1">
        <v>44562</v>
      </c>
      <c r="M22609" t="e">
        <v>#N/A</v>
      </c>
      <c r="N22609" s="1">
        <v>44197</v>
      </c>
    </row>
    <row r="22610" spans="11:14" x14ac:dyDescent="0.3">
      <c r="K22610" s="1">
        <v>44562</v>
      </c>
      <c r="M22610" t="e">
        <v>#N/A</v>
      </c>
      <c r="N22610" s="1">
        <v>44197</v>
      </c>
    </row>
    <row r="22611" spans="11:14" x14ac:dyDescent="0.3">
      <c r="K22611" s="1">
        <v>44562</v>
      </c>
      <c r="M22611" t="e">
        <v>#N/A</v>
      </c>
      <c r="N22611" s="1">
        <v>44197</v>
      </c>
    </row>
    <row r="22612" spans="11:14" x14ac:dyDescent="0.3">
      <c r="K22612" s="1">
        <v>44562</v>
      </c>
      <c r="M22612" t="e">
        <v>#N/A</v>
      </c>
      <c r="N22612" s="1">
        <v>44197</v>
      </c>
    </row>
    <row r="22613" spans="11:14" x14ac:dyDescent="0.3">
      <c r="K22613" s="1">
        <v>44562</v>
      </c>
      <c r="M22613" t="e">
        <v>#N/A</v>
      </c>
      <c r="N22613" s="1">
        <v>44197</v>
      </c>
    </row>
    <row r="22614" spans="11:14" x14ac:dyDescent="0.3">
      <c r="K22614" s="1">
        <v>44562</v>
      </c>
      <c r="M22614" t="e">
        <v>#N/A</v>
      </c>
      <c r="N22614" s="1">
        <v>44197</v>
      </c>
    </row>
    <row r="22615" spans="11:14" x14ac:dyDescent="0.3">
      <c r="K22615" s="1">
        <v>44562</v>
      </c>
      <c r="M22615" t="e">
        <v>#N/A</v>
      </c>
      <c r="N22615" s="1">
        <v>44197</v>
      </c>
    </row>
    <row r="22616" spans="11:14" x14ac:dyDescent="0.3">
      <c r="K22616" s="1">
        <v>44562</v>
      </c>
      <c r="M22616" t="e">
        <v>#N/A</v>
      </c>
      <c r="N22616" s="1">
        <v>44197</v>
      </c>
    </row>
    <row r="22617" spans="11:14" x14ac:dyDescent="0.3">
      <c r="K22617" s="1">
        <v>44562</v>
      </c>
      <c r="M22617" t="e">
        <v>#N/A</v>
      </c>
      <c r="N22617" s="1">
        <v>44197</v>
      </c>
    </row>
    <row r="22618" spans="11:14" x14ac:dyDescent="0.3">
      <c r="K22618" s="1">
        <v>44562</v>
      </c>
      <c r="M22618" t="e">
        <v>#N/A</v>
      </c>
      <c r="N22618" s="1">
        <v>44197</v>
      </c>
    </row>
    <row r="22619" spans="11:14" x14ac:dyDescent="0.3">
      <c r="K22619" s="1">
        <v>44562</v>
      </c>
      <c r="M22619" t="e">
        <v>#N/A</v>
      </c>
      <c r="N22619" s="1">
        <v>44197</v>
      </c>
    </row>
    <row r="22620" spans="11:14" x14ac:dyDescent="0.3">
      <c r="K22620" s="1">
        <v>44562</v>
      </c>
      <c r="M22620" t="e">
        <v>#N/A</v>
      </c>
      <c r="N22620" s="1">
        <v>44197</v>
      </c>
    </row>
    <row r="22621" spans="11:14" x14ac:dyDescent="0.3">
      <c r="K22621" s="1">
        <v>44562</v>
      </c>
      <c r="M22621" t="e">
        <v>#N/A</v>
      </c>
      <c r="N22621" s="1">
        <v>44197</v>
      </c>
    </row>
    <row r="22622" spans="11:14" x14ac:dyDescent="0.3">
      <c r="K22622" s="1">
        <v>44562</v>
      </c>
      <c r="M22622" t="e">
        <v>#N/A</v>
      </c>
      <c r="N22622" s="1">
        <v>44197</v>
      </c>
    </row>
    <row r="22623" spans="11:14" x14ac:dyDescent="0.3">
      <c r="K22623" s="1">
        <v>44562</v>
      </c>
      <c r="M22623" t="e">
        <v>#N/A</v>
      </c>
      <c r="N22623" s="1">
        <v>44197</v>
      </c>
    </row>
    <row r="22624" spans="11:14" x14ac:dyDescent="0.3">
      <c r="K22624" s="1">
        <v>44562</v>
      </c>
      <c r="M22624" t="e">
        <v>#N/A</v>
      </c>
      <c r="N22624" s="1">
        <v>44197</v>
      </c>
    </row>
    <row r="22625" spans="11:14" x14ac:dyDescent="0.3">
      <c r="K22625" s="1">
        <v>44562</v>
      </c>
      <c r="M22625" t="e">
        <v>#N/A</v>
      </c>
      <c r="N22625" s="1">
        <v>44197</v>
      </c>
    </row>
    <row r="22626" spans="11:14" x14ac:dyDescent="0.3">
      <c r="K22626" s="1">
        <v>44562</v>
      </c>
      <c r="M22626" t="e">
        <v>#N/A</v>
      </c>
      <c r="N22626" s="1">
        <v>44197</v>
      </c>
    </row>
    <row r="22627" spans="11:14" x14ac:dyDescent="0.3">
      <c r="K22627" s="1">
        <v>44562</v>
      </c>
      <c r="M22627" t="e">
        <v>#N/A</v>
      </c>
      <c r="N22627" s="1">
        <v>44197</v>
      </c>
    </row>
    <row r="22628" spans="11:14" x14ac:dyDescent="0.3">
      <c r="K22628" s="1">
        <v>44562</v>
      </c>
      <c r="M22628" t="e">
        <v>#N/A</v>
      </c>
      <c r="N22628" s="1">
        <v>44197</v>
      </c>
    </row>
    <row r="22629" spans="11:14" x14ac:dyDescent="0.3">
      <c r="K22629" s="1">
        <v>44562</v>
      </c>
      <c r="M22629" t="e">
        <v>#N/A</v>
      </c>
      <c r="N22629" s="1">
        <v>44197</v>
      </c>
    </row>
    <row r="22630" spans="11:14" x14ac:dyDescent="0.3">
      <c r="K22630" s="1">
        <v>44562</v>
      </c>
      <c r="M22630" t="e">
        <v>#N/A</v>
      </c>
      <c r="N22630" s="1">
        <v>44197</v>
      </c>
    </row>
    <row r="22631" spans="11:14" x14ac:dyDescent="0.3">
      <c r="K22631" s="1">
        <v>44562</v>
      </c>
      <c r="M22631" t="e">
        <v>#N/A</v>
      </c>
      <c r="N22631" s="1">
        <v>44197</v>
      </c>
    </row>
    <row r="22632" spans="11:14" x14ac:dyDescent="0.3">
      <c r="K22632" s="1">
        <v>44562</v>
      </c>
      <c r="M22632" t="e">
        <v>#N/A</v>
      </c>
      <c r="N22632" s="1">
        <v>44197</v>
      </c>
    </row>
    <row r="22633" spans="11:14" x14ac:dyDescent="0.3">
      <c r="K22633" s="1">
        <v>44562</v>
      </c>
      <c r="M22633" t="e">
        <v>#N/A</v>
      </c>
      <c r="N22633" s="1">
        <v>44197</v>
      </c>
    </row>
    <row r="22634" spans="11:14" x14ac:dyDescent="0.3">
      <c r="K22634" s="1">
        <v>44562</v>
      </c>
      <c r="M22634" t="e">
        <v>#N/A</v>
      </c>
      <c r="N22634" s="1">
        <v>44197</v>
      </c>
    </row>
    <row r="22635" spans="11:14" x14ac:dyDescent="0.3">
      <c r="K22635" s="1">
        <v>44562</v>
      </c>
      <c r="M22635" t="e">
        <v>#N/A</v>
      </c>
      <c r="N22635" s="1">
        <v>44197</v>
      </c>
    </row>
    <row r="22636" spans="11:14" x14ac:dyDescent="0.3">
      <c r="K22636" s="1">
        <v>44562</v>
      </c>
      <c r="M22636" t="e">
        <v>#N/A</v>
      </c>
      <c r="N22636" s="1">
        <v>44197</v>
      </c>
    </row>
    <row r="22637" spans="11:14" x14ac:dyDescent="0.3">
      <c r="K22637" s="1">
        <v>44562</v>
      </c>
      <c r="M22637" t="e">
        <v>#N/A</v>
      </c>
      <c r="N22637" s="1">
        <v>44197</v>
      </c>
    </row>
    <row r="22638" spans="11:14" x14ac:dyDescent="0.3">
      <c r="K22638" s="1">
        <v>44562</v>
      </c>
      <c r="M22638" t="e">
        <v>#N/A</v>
      </c>
      <c r="N22638" s="1">
        <v>44197</v>
      </c>
    </row>
    <row r="22639" spans="11:14" x14ac:dyDescent="0.3">
      <c r="K22639" s="1">
        <v>44562</v>
      </c>
      <c r="M22639" t="e">
        <v>#N/A</v>
      </c>
      <c r="N22639" s="1">
        <v>44197</v>
      </c>
    </row>
    <row r="22640" spans="11:14" x14ac:dyDescent="0.3">
      <c r="K22640" s="1">
        <v>44562</v>
      </c>
      <c r="M22640" t="e">
        <v>#N/A</v>
      </c>
      <c r="N22640" s="1">
        <v>44197</v>
      </c>
    </row>
    <row r="22641" spans="11:14" x14ac:dyDescent="0.3">
      <c r="K22641" s="1">
        <v>44562</v>
      </c>
      <c r="M22641" t="e">
        <v>#N/A</v>
      </c>
      <c r="N22641" s="1">
        <v>44197</v>
      </c>
    </row>
    <row r="22642" spans="11:14" x14ac:dyDescent="0.3">
      <c r="K22642" s="1">
        <v>44562</v>
      </c>
      <c r="M22642" t="e">
        <v>#N/A</v>
      </c>
      <c r="N22642" s="1">
        <v>44197</v>
      </c>
    </row>
    <row r="22643" spans="11:14" x14ac:dyDescent="0.3">
      <c r="K22643" s="1">
        <v>44562</v>
      </c>
      <c r="M22643" t="e">
        <v>#N/A</v>
      </c>
      <c r="N22643" s="1">
        <v>44197</v>
      </c>
    </row>
    <row r="22644" spans="11:14" x14ac:dyDescent="0.3">
      <c r="K22644" s="1">
        <v>44562</v>
      </c>
      <c r="M22644" t="e">
        <v>#N/A</v>
      </c>
      <c r="N22644" s="1">
        <v>44197</v>
      </c>
    </row>
    <row r="22645" spans="11:14" x14ac:dyDescent="0.3">
      <c r="K22645" s="1">
        <v>44562</v>
      </c>
      <c r="M22645" t="e">
        <v>#N/A</v>
      </c>
      <c r="N22645" s="1">
        <v>44197</v>
      </c>
    </row>
    <row r="22646" spans="11:14" x14ac:dyDescent="0.3">
      <c r="K22646" s="1">
        <v>44562</v>
      </c>
      <c r="M22646" t="e">
        <v>#N/A</v>
      </c>
      <c r="N22646" s="1">
        <v>44197</v>
      </c>
    </row>
    <row r="22647" spans="11:14" x14ac:dyDescent="0.3">
      <c r="K22647" s="1">
        <v>44562</v>
      </c>
      <c r="M22647" t="e">
        <v>#N/A</v>
      </c>
      <c r="N22647" s="1">
        <v>44197</v>
      </c>
    </row>
    <row r="22648" spans="11:14" x14ac:dyDescent="0.3">
      <c r="K22648" s="1">
        <v>44562</v>
      </c>
      <c r="M22648" t="e">
        <v>#N/A</v>
      </c>
      <c r="N22648" s="1">
        <v>44197</v>
      </c>
    </row>
    <row r="22649" spans="11:14" x14ac:dyDescent="0.3">
      <c r="K22649" s="1">
        <v>44562</v>
      </c>
      <c r="M22649" t="e">
        <v>#N/A</v>
      </c>
      <c r="N22649" s="1">
        <v>44197</v>
      </c>
    </row>
    <row r="22650" spans="11:14" x14ac:dyDescent="0.3">
      <c r="K22650" s="1">
        <v>44562</v>
      </c>
      <c r="M22650" t="e">
        <v>#N/A</v>
      </c>
      <c r="N22650" s="1">
        <v>44197</v>
      </c>
    </row>
    <row r="22651" spans="11:14" x14ac:dyDescent="0.3">
      <c r="K22651" s="1">
        <v>44562</v>
      </c>
      <c r="M22651" t="e">
        <v>#N/A</v>
      </c>
      <c r="N22651" s="1">
        <v>44197</v>
      </c>
    </row>
    <row r="22652" spans="11:14" x14ac:dyDescent="0.3">
      <c r="K22652" s="1">
        <v>44562</v>
      </c>
      <c r="M22652" t="e">
        <v>#N/A</v>
      </c>
      <c r="N22652" s="1">
        <v>44197</v>
      </c>
    </row>
    <row r="22653" spans="11:14" x14ac:dyDescent="0.3">
      <c r="K22653" s="1">
        <v>44562</v>
      </c>
      <c r="M22653" t="e">
        <v>#N/A</v>
      </c>
      <c r="N22653" s="1">
        <v>44197</v>
      </c>
    </row>
    <row r="22654" spans="11:14" x14ac:dyDescent="0.3">
      <c r="K22654" s="1">
        <v>44562</v>
      </c>
      <c r="M22654" t="e">
        <v>#N/A</v>
      </c>
      <c r="N22654" s="1">
        <v>44197</v>
      </c>
    </row>
    <row r="22655" spans="11:14" x14ac:dyDescent="0.3">
      <c r="K22655" s="1">
        <v>44562</v>
      </c>
      <c r="M22655" t="e">
        <v>#N/A</v>
      </c>
      <c r="N22655" s="1">
        <v>44197</v>
      </c>
    </row>
    <row r="22656" spans="11:14" x14ac:dyDescent="0.3">
      <c r="K22656" s="1">
        <v>44562</v>
      </c>
      <c r="M22656" t="e">
        <v>#N/A</v>
      </c>
      <c r="N22656" s="1">
        <v>44197</v>
      </c>
    </row>
    <row r="22657" spans="11:14" x14ac:dyDescent="0.3">
      <c r="K22657" s="1">
        <v>44562</v>
      </c>
      <c r="M22657" t="e">
        <v>#N/A</v>
      </c>
      <c r="N22657" s="1">
        <v>44197</v>
      </c>
    </row>
    <row r="22658" spans="11:14" x14ac:dyDescent="0.3">
      <c r="K22658" s="1">
        <v>44562</v>
      </c>
      <c r="M22658" t="e">
        <v>#N/A</v>
      </c>
      <c r="N22658" s="1">
        <v>44197</v>
      </c>
    </row>
    <row r="22659" spans="11:14" x14ac:dyDescent="0.3">
      <c r="K22659" s="1">
        <v>44562</v>
      </c>
      <c r="M22659" t="e">
        <v>#N/A</v>
      </c>
      <c r="N22659" s="1">
        <v>44197</v>
      </c>
    </row>
    <row r="22660" spans="11:14" x14ac:dyDescent="0.3">
      <c r="K22660" s="1">
        <v>44562</v>
      </c>
      <c r="M22660" t="e">
        <v>#N/A</v>
      </c>
      <c r="N22660" s="1">
        <v>44197</v>
      </c>
    </row>
    <row r="22661" spans="11:14" x14ac:dyDescent="0.3">
      <c r="K22661" s="1">
        <v>44562</v>
      </c>
      <c r="M22661" t="e">
        <v>#N/A</v>
      </c>
      <c r="N22661" s="1">
        <v>44197</v>
      </c>
    </row>
    <row r="22662" spans="11:14" x14ac:dyDescent="0.3">
      <c r="K22662" s="1">
        <v>44562</v>
      </c>
      <c r="M22662" t="e">
        <v>#N/A</v>
      </c>
      <c r="N22662" s="1">
        <v>44197</v>
      </c>
    </row>
    <row r="22663" spans="11:14" x14ac:dyDescent="0.3">
      <c r="K22663" s="1">
        <v>44562</v>
      </c>
      <c r="M22663" t="e">
        <v>#N/A</v>
      </c>
      <c r="N22663" s="1">
        <v>44197</v>
      </c>
    </row>
    <row r="22664" spans="11:14" x14ac:dyDescent="0.3">
      <c r="K22664" s="1">
        <v>44562</v>
      </c>
      <c r="M22664" t="e">
        <v>#N/A</v>
      </c>
      <c r="N22664" s="1">
        <v>44197</v>
      </c>
    </row>
    <row r="22665" spans="11:14" x14ac:dyDescent="0.3">
      <c r="K22665" s="1">
        <v>44562</v>
      </c>
      <c r="M22665" t="e">
        <v>#N/A</v>
      </c>
      <c r="N22665" s="1">
        <v>44197</v>
      </c>
    </row>
    <row r="22666" spans="11:14" x14ac:dyDescent="0.3">
      <c r="K22666" s="1">
        <v>44562</v>
      </c>
      <c r="M22666" t="e">
        <v>#N/A</v>
      </c>
      <c r="N22666" s="1">
        <v>44197</v>
      </c>
    </row>
    <row r="22667" spans="11:14" x14ac:dyDescent="0.3">
      <c r="K22667" s="1">
        <v>44562</v>
      </c>
      <c r="M22667" t="e">
        <v>#N/A</v>
      </c>
      <c r="N22667" s="1">
        <v>44197</v>
      </c>
    </row>
    <row r="22668" spans="11:14" x14ac:dyDescent="0.3">
      <c r="K22668" s="1">
        <v>44562</v>
      </c>
      <c r="M22668" t="e">
        <v>#N/A</v>
      </c>
      <c r="N22668" s="1">
        <v>44197</v>
      </c>
    </row>
    <row r="22669" spans="11:14" x14ac:dyDescent="0.3">
      <c r="K22669" s="1">
        <v>44562</v>
      </c>
      <c r="M22669" t="e">
        <v>#N/A</v>
      </c>
      <c r="N22669" s="1">
        <v>44197</v>
      </c>
    </row>
    <row r="22670" spans="11:14" x14ac:dyDescent="0.3">
      <c r="K22670" s="1">
        <v>44562</v>
      </c>
      <c r="M22670" t="e">
        <v>#N/A</v>
      </c>
      <c r="N22670" s="1">
        <v>44197</v>
      </c>
    </row>
    <row r="22671" spans="11:14" x14ac:dyDescent="0.3">
      <c r="K22671" s="1">
        <v>44562</v>
      </c>
      <c r="M22671" t="e">
        <v>#N/A</v>
      </c>
      <c r="N22671" s="1">
        <v>44197</v>
      </c>
    </row>
    <row r="22672" spans="11:14" x14ac:dyDescent="0.3">
      <c r="K22672" s="1">
        <v>44562</v>
      </c>
      <c r="M22672" t="e">
        <v>#N/A</v>
      </c>
      <c r="N22672" s="1">
        <v>44197</v>
      </c>
    </row>
    <row r="22673" spans="11:14" x14ac:dyDescent="0.3">
      <c r="K22673" s="1">
        <v>44562</v>
      </c>
      <c r="M22673" t="e">
        <v>#N/A</v>
      </c>
      <c r="N22673" s="1">
        <v>44197</v>
      </c>
    </row>
    <row r="22674" spans="11:14" x14ac:dyDescent="0.3">
      <c r="K22674" s="1">
        <v>44562</v>
      </c>
      <c r="M22674" t="e">
        <v>#N/A</v>
      </c>
      <c r="N22674" s="1">
        <v>44197</v>
      </c>
    </row>
    <row r="22675" spans="11:14" x14ac:dyDescent="0.3">
      <c r="K22675" s="1">
        <v>44562</v>
      </c>
      <c r="M22675" t="e">
        <v>#N/A</v>
      </c>
      <c r="N22675" s="1">
        <v>44197</v>
      </c>
    </row>
    <row r="22676" spans="11:14" x14ac:dyDescent="0.3">
      <c r="K22676" s="1">
        <v>44562</v>
      </c>
      <c r="M22676" t="e">
        <v>#N/A</v>
      </c>
      <c r="N22676" s="1">
        <v>44197</v>
      </c>
    </row>
    <row r="22677" spans="11:14" x14ac:dyDescent="0.3">
      <c r="K22677" s="1">
        <v>44562</v>
      </c>
      <c r="M22677" t="e">
        <v>#N/A</v>
      </c>
      <c r="N22677" s="1">
        <v>44197</v>
      </c>
    </row>
    <row r="22678" spans="11:14" x14ac:dyDescent="0.3">
      <c r="K22678" s="1">
        <v>44562</v>
      </c>
      <c r="M22678" t="e">
        <v>#N/A</v>
      </c>
      <c r="N22678" s="1">
        <v>44197</v>
      </c>
    </row>
    <row r="22679" spans="11:14" x14ac:dyDescent="0.3">
      <c r="K22679" s="1">
        <v>44562</v>
      </c>
      <c r="M22679" t="e">
        <v>#N/A</v>
      </c>
      <c r="N22679" s="1">
        <v>44197</v>
      </c>
    </row>
    <row r="22680" spans="11:14" x14ac:dyDescent="0.3">
      <c r="K22680" s="1">
        <v>44562</v>
      </c>
      <c r="M22680" t="e">
        <v>#N/A</v>
      </c>
      <c r="N22680" s="1">
        <v>44197</v>
      </c>
    </row>
    <row r="22681" spans="11:14" x14ac:dyDescent="0.3">
      <c r="K22681" s="1">
        <v>44562</v>
      </c>
      <c r="M22681" t="e">
        <v>#N/A</v>
      </c>
      <c r="N22681" s="1">
        <v>44197</v>
      </c>
    </row>
    <row r="22682" spans="11:14" x14ac:dyDescent="0.3">
      <c r="K22682" s="1">
        <v>44562</v>
      </c>
      <c r="M22682" t="e">
        <v>#N/A</v>
      </c>
      <c r="N22682" s="1">
        <v>44197</v>
      </c>
    </row>
    <row r="22683" spans="11:14" x14ac:dyDescent="0.3">
      <c r="K22683" s="1">
        <v>44562</v>
      </c>
      <c r="M22683" t="e">
        <v>#N/A</v>
      </c>
      <c r="N22683" s="1">
        <v>44197</v>
      </c>
    </row>
    <row r="22684" spans="11:14" x14ac:dyDescent="0.3">
      <c r="K22684" s="1">
        <v>44562</v>
      </c>
      <c r="M22684" t="e">
        <v>#N/A</v>
      </c>
      <c r="N22684" s="1">
        <v>44197</v>
      </c>
    </row>
    <row r="22685" spans="11:14" x14ac:dyDescent="0.3">
      <c r="K22685" s="1">
        <v>44562</v>
      </c>
      <c r="M22685" t="e">
        <v>#N/A</v>
      </c>
      <c r="N22685" s="1">
        <v>44197</v>
      </c>
    </row>
    <row r="22686" spans="11:14" x14ac:dyDescent="0.3">
      <c r="K22686" s="1">
        <v>44562</v>
      </c>
      <c r="M22686" t="e">
        <v>#N/A</v>
      </c>
      <c r="N22686" s="1">
        <v>44197</v>
      </c>
    </row>
    <row r="22687" spans="11:14" x14ac:dyDescent="0.3">
      <c r="K22687" s="1">
        <v>44562</v>
      </c>
      <c r="M22687" t="e">
        <v>#N/A</v>
      </c>
      <c r="N22687" s="1">
        <v>44197</v>
      </c>
    </row>
    <row r="22688" spans="11:14" x14ac:dyDescent="0.3">
      <c r="K22688" s="1">
        <v>44562</v>
      </c>
      <c r="M22688" t="e">
        <v>#N/A</v>
      </c>
      <c r="N22688" s="1">
        <v>44197</v>
      </c>
    </row>
    <row r="22689" spans="11:14" x14ac:dyDescent="0.3">
      <c r="K22689" s="1">
        <v>44562</v>
      </c>
      <c r="M22689" t="e">
        <v>#N/A</v>
      </c>
      <c r="N22689" s="1">
        <v>44197</v>
      </c>
    </row>
    <row r="22690" spans="11:14" x14ac:dyDescent="0.3">
      <c r="K22690" s="1">
        <v>44562</v>
      </c>
      <c r="M22690" t="e">
        <v>#N/A</v>
      </c>
      <c r="N22690" s="1">
        <v>44197</v>
      </c>
    </row>
    <row r="22691" spans="11:14" x14ac:dyDescent="0.3">
      <c r="K22691" s="1">
        <v>44562</v>
      </c>
      <c r="M22691" t="e">
        <v>#N/A</v>
      </c>
      <c r="N22691" s="1">
        <v>44197</v>
      </c>
    </row>
    <row r="22692" spans="11:14" x14ac:dyDescent="0.3">
      <c r="K22692" s="1">
        <v>44562</v>
      </c>
      <c r="M22692" t="e">
        <v>#N/A</v>
      </c>
      <c r="N22692" s="1">
        <v>44197</v>
      </c>
    </row>
    <row r="22693" spans="11:14" x14ac:dyDescent="0.3">
      <c r="K22693" s="1">
        <v>44562</v>
      </c>
      <c r="M22693" t="e">
        <v>#N/A</v>
      </c>
      <c r="N22693" s="1">
        <v>44197</v>
      </c>
    </row>
    <row r="22694" spans="11:14" x14ac:dyDescent="0.3">
      <c r="K22694" s="1">
        <v>44562</v>
      </c>
      <c r="M22694" t="e">
        <v>#N/A</v>
      </c>
      <c r="N22694" s="1">
        <v>44197</v>
      </c>
    </row>
    <row r="22695" spans="11:14" x14ac:dyDescent="0.3">
      <c r="K22695" s="1">
        <v>44562</v>
      </c>
      <c r="M22695" t="e">
        <v>#N/A</v>
      </c>
      <c r="N22695" s="1">
        <v>44197</v>
      </c>
    </row>
    <row r="22696" spans="11:14" x14ac:dyDescent="0.3">
      <c r="K22696" s="1">
        <v>44562</v>
      </c>
      <c r="M22696" t="e">
        <v>#N/A</v>
      </c>
      <c r="N22696" s="1">
        <v>44197</v>
      </c>
    </row>
    <row r="22697" spans="11:14" x14ac:dyDescent="0.3">
      <c r="K22697" s="1">
        <v>44562</v>
      </c>
      <c r="M22697" t="e">
        <v>#N/A</v>
      </c>
      <c r="N22697" s="1">
        <v>44197</v>
      </c>
    </row>
    <row r="22698" spans="11:14" x14ac:dyDescent="0.3">
      <c r="K22698" s="1">
        <v>44562</v>
      </c>
      <c r="M22698" t="e">
        <v>#N/A</v>
      </c>
      <c r="N22698" s="1">
        <v>44197</v>
      </c>
    </row>
    <row r="22699" spans="11:14" x14ac:dyDescent="0.3">
      <c r="K22699" s="1">
        <v>44562</v>
      </c>
      <c r="M22699" t="e">
        <v>#N/A</v>
      </c>
      <c r="N22699" s="1">
        <v>44197</v>
      </c>
    </row>
    <row r="22700" spans="11:14" x14ac:dyDescent="0.3">
      <c r="K22700" s="1">
        <v>44562</v>
      </c>
      <c r="M22700" t="e">
        <v>#N/A</v>
      </c>
      <c r="N22700" s="1">
        <v>44197</v>
      </c>
    </row>
    <row r="22701" spans="11:14" x14ac:dyDescent="0.3">
      <c r="K22701" s="1">
        <v>44562</v>
      </c>
      <c r="M22701" t="e">
        <v>#N/A</v>
      </c>
      <c r="N22701" s="1">
        <v>44197</v>
      </c>
    </row>
    <row r="22702" spans="11:14" x14ac:dyDescent="0.3">
      <c r="K22702" s="1">
        <v>44562</v>
      </c>
      <c r="M22702" t="e">
        <v>#N/A</v>
      </c>
      <c r="N22702" s="1">
        <v>44197</v>
      </c>
    </row>
    <row r="22703" spans="11:14" x14ac:dyDescent="0.3">
      <c r="K22703" s="1">
        <v>44562</v>
      </c>
      <c r="M22703" t="e">
        <v>#N/A</v>
      </c>
      <c r="N22703" s="1">
        <v>44197</v>
      </c>
    </row>
    <row r="22704" spans="11:14" x14ac:dyDescent="0.3">
      <c r="K22704" s="1">
        <v>44562</v>
      </c>
      <c r="M22704" t="e">
        <v>#N/A</v>
      </c>
      <c r="N22704" s="1">
        <v>44197</v>
      </c>
    </row>
    <row r="22705" spans="11:14" x14ac:dyDescent="0.3">
      <c r="K22705" s="1">
        <v>44562</v>
      </c>
      <c r="M22705" t="e">
        <v>#N/A</v>
      </c>
      <c r="N22705" s="1">
        <v>44197</v>
      </c>
    </row>
    <row r="22706" spans="11:14" x14ac:dyDescent="0.3">
      <c r="K22706" s="1">
        <v>44562</v>
      </c>
      <c r="M22706" t="e">
        <v>#N/A</v>
      </c>
      <c r="N22706" s="1">
        <v>44197</v>
      </c>
    </row>
    <row r="22707" spans="11:14" x14ac:dyDescent="0.3">
      <c r="K22707" s="1">
        <v>44562</v>
      </c>
      <c r="M22707" t="e">
        <v>#N/A</v>
      </c>
      <c r="N22707" s="1">
        <v>44197</v>
      </c>
    </row>
    <row r="22708" spans="11:14" x14ac:dyDescent="0.3">
      <c r="K22708" s="1">
        <v>44562</v>
      </c>
      <c r="M22708" t="e">
        <v>#N/A</v>
      </c>
      <c r="N22708" s="1">
        <v>44197</v>
      </c>
    </row>
    <row r="22709" spans="11:14" x14ac:dyDescent="0.3">
      <c r="K22709" s="1">
        <v>44562</v>
      </c>
      <c r="M22709" t="e">
        <v>#N/A</v>
      </c>
      <c r="N22709" s="1">
        <v>44197</v>
      </c>
    </row>
    <row r="22710" spans="11:14" x14ac:dyDescent="0.3">
      <c r="K22710" s="1">
        <v>44562</v>
      </c>
      <c r="M22710" t="e">
        <v>#N/A</v>
      </c>
      <c r="N22710" s="1">
        <v>44197</v>
      </c>
    </row>
    <row r="22711" spans="11:14" x14ac:dyDescent="0.3">
      <c r="K22711" s="1">
        <v>44562</v>
      </c>
      <c r="M22711" t="e">
        <v>#N/A</v>
      </c>
      <c r="N22711" s="1">
        <v>44197</v>
      </c>
    </row>
    <row r="22712" spans="11:14" x14ac:dyDescent="0.3">
      <c r="K22712" s="1">
        <v>44562</v>
      </c>
      <c r="M22712" t="e">
        <v>#N/A</v>
      </c>
      <c r="N22712" s="1">
        <v>44197</v>
      </c>
    </row>
    <row r="22713" spans="11:14" x14ac:dyDescent="0.3">
      <c r="K22713" s="1">
        <v>44562</v>
      </c>
      <c r="M22713" t="e">
        <v>#N/A</v>
      </c>
      <c r="N22713" s="1">
        <v>44197</v>
      </c>
    </row>
    <row r="22714" spans="11:14" x14ac:dyDescent="0.3">
      <c r="K22714" s="1">
        <v>44562</v>
      </c>
      <c r="M22714" t="e">
        <v>#N/A</v>
      </c>
      <c r="N22714" s="1">
        <v>44197</v>
      </c>
    </row>
    <row r="22715" spans="11:14" x14ac:dyDescent="0.3">
      <c r="K22715" s="1">
        <v>44562</v>
      </c>
      <c r="M22715" t="e">
        <v>#N/A</v>
      </c>
      <c r="N22715" s="1">
        <v>44197</v>
      </c>
    </row>
    <row r="22716" spans="11:14" x14ac:dyDescent="0.3">
      <c r="K22716" s="1">
        <v>44562</v>
      </c>
      <c r="M22716" t="e">
        <v>#N/A</v>
      </c>
      <c r="N22716" s="1">
        <v>44197</v>
      </c>
    </row>
    <row r="22717" spans="11:14" x14ac:dyDescent="0.3">
      <c r="K22717" s="1">
        <v>44562</v>
      </c>
      <c r="M22717" t="e">
        <v>#N/A</v>
      </c>
      <c r="N22717" s="1">
        <v>44197</v>
      </c>
    </row>
    <row r="22718" spans="11:14" x14ac:dyDescent="0.3">
      <c r="K22718" s="1">
        <v>44562</v>
      </c>
      <c r="M22718" t="e">
        <v>#N/A</v>
      </c>
      <c r="N22718" s="1">
        <v>44197</v>
      </c>
    </row>
    <row r="22719" spans="11:14" x14ac:dyDescent="0.3">
      <c r="K22719" s="1">
        <v>44562</v>
      </c>
      <c r="M22719" t="e">
        <v>#N/A</v>
      </c>
      <c r="N22719" s="1">
        <v>44197</v>
      </c>
    </row>
    <row r="22720" spans="11:14" x14ac:dyDescent="0.3">
      <c r="K22720" s="1">
        <v>44562</v>
      </c>
      <c r="M22720" t="e">
        <v>#N/A</v>
      </c>
      <c r="N22720" s="1">
        <v>44197</v>
      </c>
    </row>
    <row r="22721" spans="11:14" x14ac:dyDescent="0.3">
      <c r="K22721" s="1">
        <v>44562</v>
      </c>
      <c r="M22721" t="e">
        <v>#N/A</v>
      </c>
      <c r="N22721" s="1">
        <v>44197</v>
      </c>
    </row>
    <row r="22722" spans="11:14" x14ac:dyDescent="0.3">
      <c r="K22722" s="1">
        <v>44562</v>
      </c>
      <c r="M22722" t="e">
        <v>#N/A</v>
      </c>
      <c r="N22722" s="1">
        <v>44197</v>
      </c>
    </row>
    <row r="22723" spans="11:14" x14ac:dyDescent="0.3">
      <c r="K22723" s="1">
        <v>44562</v>
      </c>
      <c r="M22723" t="e">
        <v>#N/A</v>
      </c>
      <c r="N22723" s="1">
        <v>44197</v>
      </c>
    </row>
    <row r="22724" spans="11:14" x14ac:dyDescent="0.3">
      <c r="K22724" s="1">
        <v>44562</v>
      </c>
      <c r="M22724" t="e">
        <v>#N/A</v>
      </c>
      <c r="N22724" s="1">
        <v>44197</v>
      </c>
    </row>
    <row r="22725" spans="11:14" x14ac:dyDescent="0.3">
      <c r="K22725" s="1">
        <v>44562</v>
      </c>
      <c r="M22725" t="e">
        <v>#N/A</v>
      </c>
      <c r="N22725" s="1">
        <v>44197</v>
      </c>
    </row>
    <row r="22726" spans="11:14" x14ac:dyDescent="0.3">
      <c r="K22726" s="1">
        <v>44562</v>
      </c>
      <c r="M22726" t="e">
        <v>#N/A</v>
      </c>
      <c r="N22726" s="1">
        <v>44197</v>
      </c>
    </row>
    <row r="22727" spans="11:14" x14ac:dyDescent="0.3">
      <c r="K22727" s="1">
        <v>44562</v>
      </c>
      <c r="M22727" t="e">
        <v>#N/A</v>
      </c>
      <c r="N22727" s="1">
        <v>44197</v>
      </c>
    </row>
    <row r="22728" spans="11:14" x14ac:dyDescent="0.3">
      <c r="K22728" s="1">
        <v>44562</v>
      </c>
      <c r="M22728" t="e">
        <v>#N/A</v>
      </c>
      <c r="N22728" s="1">
        <v>44197</v>
      </c>
    </row>
    <row r="22729" spans="11:14" x14ac:dyDescent="0.3">
      <c r="K22729" s="1">
        <v>44562</v>
      </c>
      <c r="M22729" t="e">
        <v>#N/A</v>
      </c>
      <c r="N22729" s="1">
        <v>44197</v>
      </c>
    </row>
    <row r="22730" spans="11:14" x14ac:dyDescent="0.3">
      <c r="K22730" s="1">
        <v>44562</v>
      </c>
      <c r="M22730" t="e">
        <v>#N/A</v>
      </c>
      <c r="N22730" s="1">
        <v>44197</v>
      </c>
    </row>
    <row r="22731" spans="11:14" x14ac:dyDescent="0.3">
      <c r="K22731" s="1">
        <v>44562</v>
      </c>
      <c r="M22731" t="e">
        <v>#N/A</v>
      </c>
      <c r="N22731" s="1">
        <v>44197</v>
      </c>
    </row>
    <row r="22732" spans="11:14" x14ac:dyDescent="0.3">
      <c r="K22732" s="1">
        <v>44562</v>
      </c>
      <c r="M22732" t="e">
        <v>#N/A</v>
      </c>
      <c r="N22732" s="1">
        <v>44197</v>
      </c>
    </row>
    <row r="22733" spans="11:14" x14ac:dyDescent="0.3">
      <c r="K22733" s="1">
        <v>44562</v>
      </c>
      <c r="M22733" t="e">
        <v>#N/A</v>
      </c>
      <c r="N22733" s="1">
        <v>44197</v>
      </c>
    </row>
    <row r="22734" spans="11:14" x14ac:dyDescent="0.3">
      <c r="K22734" s="1">
        <v>44562</v>
      </c>
      <c r="M22734" t="e">
        <v>#N/A</v>
      </c>
      <c r="N22734" s="1">
        <v>44197</v>
      </c>
    </row>
    <row r="22735" spans="11:14" x14ac:dyDescent="0.3">
      <c r="K22735" s="1">
        <v>44562</v>
      </c>
      <c r="M22735" t="e">
        <v>#N/A</v>
      </c>
      <c r="N22735" s="1">
        <v>44197</v>
      </c>
    </row>
    <row r="22736" spans="11:14" x14ac:dyDescent="0.3">
      <c r="K22736" s="1">
        <v>44562</v>
      </c>
      <c r="M22736" t="e">
        <v>#N/A</v>
      </c>
      <c r="N22736" s="1">
        <v>44197</v>
      </c>
    </row>
    <row r="22737" spans="11:14" x14ac:dyDescent="0.3">
      <c r="K22737" s="1">
        <v>44562</v>
      </c>
      <c r="M22737" t="e">
        <v>#N/A</v>
      </c>
      <c r="N22737" s="1">
        <v>44197</v>
      </c>
    </row>
    <row r="22738" spans="11:14" x14ac:dyDescent="0.3">
      <c r="K22738" s="1">
        <v>44562</v>
      </c>
      <c r="M22738" t="e">
        <v>#N/A</v>
      </c>
      <c r="N22738" s="1">
        <v>44197</v>
      </c>
    </row>
    <row r="22739" spans="11:14" x14ac:dyDescent="0.3">
      <c r="K22739" s="1">
        <v>44562</v>
      </c>
      <c r="M22739" t="e">
        <v>#N/A</v>
      </c>
      <c r="N22739" s="1">
        <v>44197</v>
      </c>
    </row>
    <row r="22740" spans="11:14" x14ac:dyDescent="0.3">
      <c r="K22740" s="1">
        <v>44562</v>
      </c>
      <c r="M22740" t="e">
        <v>#N/A</v>
      </c>
      <c r="N22740" s="1">
        <v>44197</v>
      </c>
    </row>
    <row r="22741" spans="11:14" x14ac:dyDescent="0.3">
      <c r="K22741" s="1">
        <v>44562</v>
      </c>
      <c r="M22741" t="e">
        <v>#N/A</v>
      </c>
      <c r="N22741" s="1">
        <v>44197</v>
      </c>
    </row>
    <row r="22742" spans="11:14" x14ac:dyDescent="0.3">
      <c r="K22742" s="1">
        <v>44562</v>
      </c>
      <c r="M22742" t="e">
        <v>#N/A</v>
      </c>
      <c r="N22742" s="1">
        <v>44197</v>
      </c>
    </row>
    <row r="22743" spans="11:14" x14ac:dyDescent="0.3">
      <c r="K22743" s="1">
        <v>44562</v>
      </c>
      <c r="M22743" t="e">
        <v>#N/A</v>
      </c>
      <c r="N22743" s="1">
        <v>44197</v>
      </c>
    </row>
    <row r="22744" spans="11:14" x14ac:dyDescent="0.3">
      <c r="K22744" s="1">
        <v>44562</v>
      </c>
      <c r="M22744" t="e">
        <v>#N/A</v>
      </c>
      <c r="N22744" s="1">
        <v>44197</v>
      </c>
    </row>
    <row r="22745" spans="11:14" x14ac:dyDescent="0.3">
      <c r="K22745" s="1">
        <v>44562</v>
      </c>
      <c r="M22745" t="e">
        <v>#N/A</v>
      </c>
      <c r="N22745" s="1">
        <v>44197</v>
      </c>
    </row>
    <row r="22746" spans="11:14" x14ac:dyDescent="0.3">
      <c r="K22746" s="1">
        <v>44562</v>
      </c>
      <c r="M22746" t="e">
        <v>#N/A</v>
      </c>
      <c r="N22746" s="1">
        <v>44197</v>
      </c>
    </row>
    <row r="22747" spans="11:14" x14ac:dyDescent="0.3">
      <c r="K22747" s="1">
        <v>44562</v>
      </c>
      <c r="M22747" t="e">
        <v>#N/A</v>
      </c>
      <c r="N22747" s="1">
        <v>44197</v>
      </c>
    </row>
    <row r="22748" spans="11:14" x14ac:dyDescent="0.3">
      <c r="K22748" s="1">
        <v>44562</v>
      </c>
      <c r="M22748" t="e">
        <v>#N/A</v>
      </c>
      <c r="N22748" s="1">
        <v>44197</v>
      </c>
    </row>
    <row r="22749" spans="11:14" x14ac:dyDescent="0.3">
      <c r="K22749" s="1">
        <v>44562</v>
      </c>
      <c r="M22749" t="e">
        <v>#N/A</v>
      </c>
      <c r="N22749" s="1">
        <v>44197</v>
      </c>
    </row>
    <row r="22750" spans="11:14" x14ac:dyDescent="0.3">
      <c r="K22750" s="1">
        <v>44562</v>
      </c>
      <c r="M22750" t="e">
        <v>#N/A</v>
      </c>
      <c r="N22750" s="1">
        <v>44197</v>
      </c>
    </row>
    <row r="22751" spans="11:14" x14ac:dyDescent="0.3">
      <c r="K22751" s="1">
        <v>44562</v>
      </c>
      <c r="M22751" t="e">
        <v>#N/A</v>
      </c>
      <c r="N22751" s="1">
        <v>44197</v>
      </c>
    </row>
    <row r="22752" spans="11:14" x14ac:dyDescent="0.3">
      <c r="K22752" s="1">
        <v>44562</v>
      </c>
      <c r="M22752" t="e">
        <v>#N/A</v>
      </c>
      <c r="N22752" s="1">
        <v>44197</v>
      </c>
    </row>
    <row r="22753" spans="11:14" x14ac:dyDescent="0.3">
      <c r="K22753" s="1">
        <v>44562</v>
      </c>
      <c r="M22753" t="e">
        <v>#N/A</v>
      </c>
      <c r="N22753" s="1">
        <v>44197</v>
      </c>
    </row>
    <row r="22754" spans="11:14" x14ac:dyDescent="0.3">
      <c r="K22754" s="1">
        <v>44562</v>
      </c>
      <c r="M22754" t="e">
        <v>#N/A</v>
      </c>
      <c r="N22754" s="1">
        <v>44197</v>
      </c>
    </row>
    <row r="22755" spans="11:14" x14ac:dyDescent="0.3">
      <c r="K22755" s="1">
        <v>44562</v>
      </c>
      <c r="M22755" t="e">
        <v>#N/A</v>
      </c>
      <c r="N22755" s="1">
        <v>44197</v>
      </c>
    </row>
    <row r="22756" spans="11:14" x14ac:dyDescent="0.3">
      <c r="K22756" s="1">
        <v>44562</v>
      </c>
      <c r="M22756" t="e">
        <v>#N/A</v>
      </c>
      <c r="N22756" s="1">
        <v>44197</v>
      </c>
    </row>
    <row r="22757" spans="11:14" x14ac:dyDescent="0.3">
      <c r="K22757" s="1">
        <v>44562</v>
      </c>
      <c r="M22757" t="e">
        <v>#N/A</v>
      </c>
      <c r="N22757" s="1">
        <v>44197</v>
      </c>
    </row>
    <row r="22758" spans="11:14" x14ac:dyDescent="0.3">
      <c r="K22758" s="1">
        <v>44562</v>
      </c>
      <c r="M22758" t="e">
        <v>#N/A</v>
      </c>
      <c r="N22758" s="1">
        <v>44197</v>
      </c>
    </row>
    <row r="22759" spans="11:14" x14ac:dyDescent="0.3">
      <c r="K22759" s="1">
        <v>44562</v>
      </c>
      <c r="M22759" t="e">
        <v>#N/A</v>
      </c>
      <c r="N22759" s="1">
        <v>44197</v>
      </c>
    </row>
    <row r="22760" spans="11:14" x14ac:dyDescent="0.3">
      <c r="K22760" s="1">
        <v>44562</v>
      </c>
      <c r="M22760" t="e">
        <v>#N/A</v>
      </c>
      <c r="N22760" s="1">
        <v>44197</v>
      </c>
    </row>
    <row r="22761" spans="11:14" x14ac:dyDescent="0.3">
      <c r="K22761" s="1">
        <v>44562</v>
      </c>
      <c r="M22761" t="e">
        <v>#N/A</v>
      </c>
      <c r="N22761" s="1">
        <v>44197</v>
      </c>
    </row>
    <row r="22762" spans="11:14" x14ac:dyDescent="0.3">
      <c r="K22762" s="1">
        <v>44562</v>
      </c>
      <c r="M22762" t="e">
        <v>#N/A</v>
      </c>
      <c r="N22762" s="1">
        <v>44197</v>
      </c>
    </row>
    <row r="22763" spans="11:14" x14ac:dyDescent="0.3">
      <c r="K22763" s="1">
        <v>44562</v>
      </c>
      <c r="M22763" t="e">
        <v>#N/A</v>
      </c>
      <c r="N22763" s="1">
        <v>44197</v>
      </c>
    </row>
    <row r="22764" spans="11:14" x14ac:dyDescent="0.3">
      <c r="K22764" s="1">
        <v>44562</v>
      </c>
      <c r="M22764" t="e">
        <v>#N/A</v>
      </c>
      <c r="N22764" s="1">
        <v>44197</v>
      </c>
    </row>
    <row r="22765" spans="11:14" x14ac:dyDescent="0.3">
      <c r="K22765" s="1">
        <v>44562</v>
      </c>
      <c r="M22765" t="e">
        <v>#N/A</v>
      </c>
      <c r="N22765" s="1">
        <v>44197</v>
      </c>
    </row>
    <row r="22766" spans="11:14" x14ac:dyDescent="0.3">
      <c r="K22766" s="1">
        <v>44562</v>
      </c>
      <c r="M22766" t="e">
        <v>#N/A</v>
      </c>
      <c r="N22766" s="1">
        <v>44197</v>
      </c>
    </row>
    <row r="22767" spans="11:14" x14ac:dyDescent="0.3">
      <c r="K22767" s="1">
        <v>44562</v>
      </c>
      <c r="M22767" t="e">
        <v>#N/A</v>
      </c>
      <c r="N22767" s="1">
        <v>44197</v>
      </c>
    </row>
    <row r="22768" spans="11:14" x14ac:dyDescent="0.3">
      <c r="K22768" s="1">
        <v>44562</v>
      </c>
      <c r="M22768" t="e">
        <v>#N/A</v>
      </c>
      <c r="N22768" s="1">
        <v>44197</v>
      </c>
    </row>
    <row r="22769" spans="11:14" x14ac:dyDescent="0.3">
      <c r="K22769" s="1">
        <v>44562</v>
      </c>
      <c r="M22769" t="e">
        <v>#N/A</v>
      </c>
      <c r="N22769" s="1">
        <v>44197</v>
      </c>
    </row>
    <row r="22770" spans="11:14" x14ac:dyDescent="0.3">
      <c r="K22770" s="1">
        <v>44562</v>
      </c>
      <c r="M22770" t="e">
        <v>#N/A</v>
      </c>
      <c r="N22770" s="1">
        <v>44197</v>
      </c>
    </row>
    <row r="22771" spans="11:14" x14ac:dyDescent="0.3">
      <c r="K22771" s="1">
        <v>44562</v>
      </c>
      <c r="M22771" t="e">
        <v>#N/A</v>
      </c>
      <c r="N22771" s="1">
        <v>44197</v>
      </c>
    </row>
    <row r="22772" spans="11:14" x14ac:dyDescent="0.3">
      <c r="K22772" s="1">
        <v>44562</v>
      </c>
      <c r="M22772" t="e">
        <v>#N/A</v>
      </c>
      <c r="N22772" s="1">
        <v>44197</v>
      </c>
    </row>
    <row r="22773" spans="11:14" x14ac:dyDescent="0.3">
      <c r="K22773" s="1">
        <v>44562</v>
      </c>
      <c r="M22773" t="e">
        <v>#N/A</v>
      </c>
      <c r="N22773" s="1">
        <v>44197</v>
      </c>
    </row>
    <row r="22774" spans="11:14" x14ac:dyDescent="0.3">
      <c r="K22774" s="1">
        <v>44562</v>
      </c>
      <c r="M22774" t="e">
        <v>#N/A</v>
      </c>
      <c r="N22774" s="1">
        <v>44197</v>
      </c>
    </row>
    <row r="22775" spans="11:14" x14ac:dyDescent="0.3">
      <c r="K22775" s="1">
        <v>44562</v>
      </c>
      <c r="M22775" t="e">
        <v>#N/A</v>
      </c>
      <c r="N22775" s="1">
        <v>44197</v>
      </c>
    </row>
    <row r="22776" spans="11:14" x14ac:dyDescent="0.3">
      <c r="K22776" s="1">
        <v>44562</v>
      </c>
      <c r="M22776" t="e">
        <v>#N/A</v>
      </c>
      <c r="N22776" s="1">
        <v>44197</v>
      </c>
    </row>
    <row r="22777" spans="11:14" x14ac:dyDescent="0.3">
      <c r="K22777" s="1">
        <v>44562</v>
      </c>
      <c r="M22777" t="e">
        <v>#N/A</v>
      </c>
      <c r="N22777" s="1">
        <v>44197</v>
      </c>
    </row>
    <row r="22778" spans="11:14" x14ac:dyDescent="0.3">
      <c r="K22778" s="1">
        <v>44562</v>
      </c>
      <c r="M22778" t="e">
        <v>#N/A</v>
      </c>
      <c r="N22778" s="1">
        <v>44197</v>
      </c>
    </row>
    <row r="22779" spans="11:14" x14ac:dyDescent="0.3">
      <c r="K22779" s="1">
        <v>44562</v>
      </c>
      <c r="M22779" t="e">
        <v>#N/A</v>
      </c>
      <c r="N22779" s="1">
        <v>44197</v>
      </c>
    </row>
    <row r="22780" spans="11:14" x14ac:dyDescent="0.3">
      <c r="K22780" s="1">
        <v>44562</v>
      </c>
      <c r="M22780" t="e">
        <v>#N/A</v>
      </c>
      <c r="N22780" s="1">
        <v>44197</v>
      </c>
    </row>
    <row r="22781" spans="11:14" x14ac:dyDescent="0.3">
      <c r="K22781" s="1">
        <v>44562</v>
      </c>
      <c r="M22781" t="e">
        <v>#N/A</v>
      </c>
      <c r="N22781" s="1">
        <v>44197</v>
      </c>
    </row>
    <row r="22782" spans="11:14" x14ac:dyDescent="0.3">
      <c r="K22782" s="1">
        <v>44562</v>
      </c>
      <c r="M22782" t="e">
        <v>#N/A</v>
      </c>
      <c r="N22782" s="1">
        <v>44197</v>
      </c>
    </row>
    <row r="22783" spans="11:14" x14ac:dyDescent="0.3">
      <c r="K22783" s="1">
        <v>44562</v>
      </c>
      <c r="M22783" t="e">
        <v>#N/A</v>
      </c>
      <c r="N22783" s="1">
        <v>44197</v>
      </c>
    </row>
    <row r="22784" spans="11:14" x14ac:dyDescent="0.3">
      <c r="K22784" s="1">
        <v>44562</v>
      </c>
      <c r="M22784" t="e">
        <v>#N/A</v>
      </c>
      <c r="N22784" s="1">
        <v>44197</v>
      </c>
    </row>
    <row r="22785" spans="11:14" x14ac:dyDescent="0.3">
      <c r="K22785" s="1">
        <v>44562</v>
      </c>
      <c r="M22785" t="e">
        <v>#N/A</v>
      </c>
      <c r="N22785" s="1">
        <v>44197</v>
      </c>
    </row>
    <row r="22786" spans="11:14" x14ac:dyDescent="0.3">
      <c r="K22786" s="1">
        <v>44562</v>
      </c>
      <c r="M22786" t="e">
        <v>#N/A</v>
      </c>
      <c r="N22786" s="1">
        <v>44197</v>
      </c>
    </row>
    <row r="22787" spans="11:14" x14ac:dyDescent="0.3">
      <c r="K22787" s="1">
        <v>44562</v>
      </c>
      <c r="M22787" t="e">
        <v>#N/A</v>
      </c>
      <c r="N22787" s="1">
        <v>44197</v>
      </c>
    </row>
    <row r="22788" spans="11:14" x14ac:dyDescent="0.3">
      <c r="K22788" s="1">
        <v>44562</v>
      </c>
      <c r="M22788" t="e">
        <v>#N/A</v>
      </c>
      <c r="N22788" s="1">
        <v>44197</v>
      </c>
    </row>
    <row r="22789" spans="11:14" x14ac:dyDescent="0.3">
      <c r="K22789" s="1">
        <v>44562</v>
      </c>
      <c r="M22789" t="e">
        <v>#N/A</v>
      </c>
      <c r="N22789" s="1">
        <v>44197</v>
      </c>
    </row>
    <row r="22790" spans="11:14" x14ac:dyDescent="0.3">
      <c r="K22790" s="1">
        <v>44562</v>
      </c>
      <c r="M22790" t="e">
        <v>#N/A</v>
      </c>
      <c r="N22790" s="1">
        <v>44197</v>
      </c>
    </row>
    <row r="22791" spans="11:14" x14ac:dyDescent="0.3">
      <c r="K22791" s="1">
        <v>44562</v>
      </c>
      <c r="M22791" t="e">
        <v>#N/A</v>
      </c>
      <c r="N22791" s="1">
        <v>44197</v>
      </c>
    </row>
    <row r="22792" spans="11:14" x14ac:dyDescent="0.3">
      <c r="K22792" s="1">
        <v>44562</v>
      </c>
      <c r="M22792" t="e">
        <v>#N/A</v>
      </c>
      <c r="N22792" s="1">
        <v>44197</v>
      </c>
    </row>
    <row r="22793" spans="11:14" x14ac:dyDescent="0.3">
      <c r="K22793" s="1">
        <v>44562</v>
      </c>
      <c r="M22793" t="e">
        <v>#N/A</v>
      </c>
      <c r="N22793" s="1">
        <v>44197</v>
      </c>
    </row>
    <row r="22794" spans="11:14" x14ac:dyDescent="0.3">
      <c r="K22794" s="1">
        <v>44562</v>
      </c>
      <c r="M22794" t="e">
        <v>#N/A</v>
      </c>
      <c r="N22794" s="1">
        <v>44197</v>
      </c>
    </row>
    <row r="22795" spans="11:14" x14ac:dyDescent="0.3">
      <c r="K22795" s="1">
        <v>44562</v>
      </c>
      <c r="M22795" t="e">
        <v>#N/A</v>
      </c>
      <c r="N22795" s="1">
        <v>44197</v>
      </c>
    </row>
    <row r="22796" spans="11:14" x14ac:dyDescent="0.3">
      <c r="K22796" s="1">
        <v>44562</v>
      </c>
      <c r="M22796" t="e">
        <v>#N/A</v>
      </c>
      <c r="N22796" s="1">
        <v>44197</v>
      </c>
    </row>
    <row r="22797" spans="11:14" x14ac:dyDescent="0.3">
      <c r="K22797" s="1">
        <v>44562</v>
      </c>
      <c r="M22797" t="e">
        <v>#N/A</v>
      </c>
      <c r="N22797" s="1">
        <v>44197</v>
      </c>
    </row>
    <row r="22798" spans="11:14" x14ac:dyDescent="0.3">
      <c r="K22798" s="1">
        <v>44562</v>
      </c>
      <c r="M22798" t="e">
        <v>#N/A</v>
      </c>
      <c r="N22798" s="1">
        <v>44197</v>
      </c>
    </row>
    <row r="22799" spans="11:14" x14ac:dyDescent="0.3">
      <c r="K22799" s="1">
        <v>44562</v>
      </c>
      <c r="M22799" t="e">
        <v>#N/A</v>
      </c>
      <c r="N22799" s="1">
        <v>44197</v>
      </c>
    </row>
    <row r="22800" spans="11:14" x14ac:dyDescent="0.3">
      <c r="K22800" s="1">
        <v>44562</v>
      </c>
      <c r="M22800" t="e">
        <v>#N/A</v>
      </c>
      <c r="N22800" s="1">
        <v>44197</v>
      </c>
    </row>
    <row r="22801" spans="11:14" x14ac:dyDescent="0.3">
      <c r="K22801" s="1">
        <v>44562</v>
      </c>
      <c r="M22801" t="e">
        <v>#N/A</v>
      </c>
      <c r="N22801" s="1">
        <v>44197</v>
      </c>
    </row>
    <row r="22802" spans="11:14" x14ac:dyDescent="0.3">
      <c r="K22802" s="1">
        <v>44562</v>
      </c>
      <c r="M22802" t="e">
        <v>#N/A</v>
      </c>
      <c r="N22802" s="1">
        <v>44197</v>
      </c>
    </row>
    <row r="22803" spans="11:14" x14ac:dyDescent="0.3">
      <c r="K22803" s="1">
        <v>44562</v>
      </c>
      <c r="M22803" t="e">
        <v>#N/A</v>
      </c>
      <c r="N22803" s="1">
        <v>44197</v>
      </c>
    </row>
    <row r="22804" spans="11:14" x14ac:dyDescent="0.3">
      <c r="K22804" s="1">
        <v>44562</v>
      </c>
      <c r="M22804" t="e">
        <v>#N/A</v>
      </c>
      <c r="N22804" s="1">
        <v>44197</v>
      </c>
    </row>
    <row r="22805" spans="11:14" x14ac:dyDescent="0.3">
      <c r="K22805" s="1">
        <v>44562</v>
      </c>
      <c r="M22805" t="e">
        <v>#N/A</v>
      </c>
      <c r="N22805" s="1">
        <v>44197</v>
      </c>
    </row>
    <row r="22806" spans="11:14" x14ac:dyDescent="0.3">
      <c r="K22806" s="1">
        <v>44562</v>
      </c>
      <c r="M22806" t="e">
        <v>#N/A</v>
      </c>
      <c r="N22806" s="1">
        <v>44197</v>
      </c>
    </row>
    <row r="22807" spans="11:14" x14ac:dyDescent="0.3">
      <c r="K22807" s="1">
        <v>44562</v>
      </c>
      <c r="M22807" t="e">
        <v>#N/A</v>
      </c>
      <c r="N22807" s="1">
        <v>44197</v>
      </c>
    </row>
    <row r="22808" spans="11:14" x14ac:dyDescent="0.3">
      <c r="K22808" s="1">
        <v>44562</v>
      </c>
      <c r="M22808" t="e">
        <v>#N/A</v>
      </c>
      <c r="N22808" s="1">
        <v>44197</v>
      </c>
    </row>
    <row r="22809" spans="11:14" x14ac:dyDescent="0.3">
      <c r="K22809" s="1">
        <v>44562</v>
      </c>
      <c r="M22809" t="e">
        <v>#N/A</v>
      </c>
      <c r="N22809" s="1">
        <v>44197</v>
      </c>
    </row>
    <row r="22810" spans="11:14" x14ac:dyDescent="0.3">
      <c r="K22810" s="1">
        <v>44562</v>
      </c>
      <c r="M22810" t="e">
        <v>#N/A</v>
      </c>
      <c r="N22810" s="1">
        <v>44197</v>
      </c>
    </row>
    <row r="22811" spans="11:14" x14ac:dyDescent="0.3">
      <c r="K22811" s="1">
        <v>44562</v>
      </c>
      <c r="M22811" t="e">
        <v>#N/A</v>
      </c>
      <c r="N22811" s="1">
        <v>44197</v>
      </c>
    </row>
    <row r="22812" spans="11:14" x14ac:dyDescent="0.3">
      <c r="K22812" s="1">
        <v>44562</v>
      </c>
      <c r="M22812" t="e">
        <v>#N/A</v>
      </c>
      <c r="N22812" s="1">
        <v>44197</v>
      </c>
    </row>
    <row r="22813" spans="11:14" x14ac:dyDescent="0.3">
      <c r="K22813" s="1">
        <v>44562</v>
      </c>
      <c r="M22813" t="e">
        <v>#N/A</v>
      </c>
      <c r="N22813" s="1">
        <v>44197</v>
      </c>
    </row>
    <row r="22814" spans="11:14" x14ac:dyDescent="0.3">
      <c r="K22814" s="1">
        <v>44562</v>
      </c>
      <c r="M22814" t="e">
        <v>#N/A</v>
      </c>
      <c r="N22814" s="1">
        <v>44197</v>
      </c>
    </row>
    <row r="22815" spans="11:14" x14ac:dyDescent="0.3">
      <c r="K22815" s="1">
        <v>44562</v>
      </c>
      <c r="M22815" t="e">
        <v>#N/A</v>
      </c>
      <c r="N22815" s="1">
        <v>44197</v>
      </c>
    </row>
    <row r="22816" spans="11:14" x14ac:dyDescent="0.3">
      <c r="K22816" s="1">
        <v>44562</v>
      </c>
      <c r="M22816" t="e">
        <v>#N/A</v>
      </c>
      <c r="N22816" s="1">
        <v>44197</v>
      </c>
    </row>
    <row r="22817" spans="11:14" x14ac:dyDescent="0.3">
      <c r="K22817" s="1">
        <v>44562</v>
      </c>
      <c r="M22817" t="e">
        <v>#N/A</v>
      </c>
      <c r="N22817" s="1">
        <v>44197</v>
      </c>
    </row>
    <row r="22818" spans="11:14" x14ac:dyDescent="0.3">
      <c r="K22818" s="1">
        <v>44562</v>
      </c>
      <c r="M22818" t="e">
        <v>#N/A</v>
      </c>
      <c r="N22818" s="1">
        <v>44197</v>
      </c>
    </row>
    <row r="22819" spans="11:14" x14ac:dyDescent="0.3">
      <c r="K22819" s="1">
        <v>44562</v>
      </c>
      <c r="M22819" t="e">
        <v>#N/A</v>
      </c>
      <c r="N22819" s="1">
        <v>44197</v>
      </c>
    </row>
    <row r="22820" spans="11:14" x14ac:dyDescent="0.3">
      <c r="K22820" s="1">
        <v>44562</v>
      </c>
      <c r="M22820" t="e">
        <v>#N/A</v>
      </c>
      <c r="N22820" s="1">
        <v>44197</v>
      </c>
    </row>
    <row r="22821" spans="11:14" x14ac:dyDescent="0.3">
      <c r="K22821" s="1">
        <v>44562</v>
      </c>
      <c r="M22821" t="e">
        <v>#N/A</v>
      </c>
      <c r="N22821" s="1">
        <v>44197</v>
      </c>
    </row>
    <row r="22822" spans="11:14" x14ac:dyDescent="0.3">
      <c r="K22822" s="1">
        <v>44562</v>
      </c>
      <c r="M22822" t="e">
        <v>#N/A</v>
      </c>
      <c r="N22822" s="1">
        <v>44197</v>
      </c>
    </row>
    <row r="22823" spans="11:14" x14ac:dyDescent="0.3">
      <c r="K22823" s="1">
        <v>44562</v>
      </c>
      <c r="M22823" t="e">
        <v>#N/A</v>
      </c>
      <c r="N22823" s="1">
        <v>44197</v>
      </c>
    </row>
    <row r="22824" spans="11:14" x14ac:dyDescent="0.3">
      <c r="K22824" s="1">
        <v>44562</v>
      </c>
      <c r="M22824" t="e">
        <v>#N/A</v>
      </c>
      <c r="N22824" s="1">
        <v>44197</v>
      </c>
    </row>
    <row r="22825" spans="11:14" x14ac:dyDescent="0.3">
      <c r="K22825" s="1">
        <v>44562</v>
      </c>
      <c r="M22825" t="e">
        <v>#N/A</v>
      </c>
      <c r="N22825" s="1">
        <v>44197</v>
      </c>
    </row>
    <row r="22826" spans="11:14" x14ac:dyDescent="0.3">
      <c r="K22826" s="1">
        <v>44562</v>
      </c>
      <c r="M22826" t="e">
        <v>#N/A</v>
      </c>
      <c r="N22826" s="1">
        <v>44197</v>
      </c>
    </row>
    <row r="22827" spans="11:14" x14ac:dyDescent="0.3">
      <c r="K22827" s="1">
        <v>44652</v>
      </c>
      <c r="M22827" t="e">
        <v>#N/A</v>
      </c>
      <c r="N22827" s="1">
        <v>44197</v>
      </c>
    </row>
    <row r="22828" spans="11:14" x14ac:dyDescent="0.3">
      <c r="K22828" s="1">
        <v>44652</v>
      </c>
      <c r="M22828" t="e">
        <v>#N/A</v>
      </c>
      <c r="N22828" s="1">
        <v>44197</v>
      </c>
    </row>
    <row r="22829" spans="11:14" x14ac:dyDescent="0.3">
      <c r="K22829" s="1">
        <v>44652</v>
      </c>
      <c r="M22829" t="e">
        <v>#N/A</v>
      </c>
      <c r="N22829" s="1">
        <v>44197</v>
      </c>
    </row>
    <row r="22830" spans="11:14" x14ac:dyDescent="0.3">
      <c r="K22830" s="1">
        <v>44652</v>
      </c>
      <c r="M22830" t="e">
        <v>#N/A</v>
      </c>
      <c r="N22830" s="1">
        <v>44197</v>
      </c>
    </row>
    <row r="22831" spans="11:14" x14ac:dyDescent="0.3">
      <c r="K22831" s="1">
        <v>44652</v>
      </c>
      <c r="M22831" t="e">
        <v>#N/A</v>
      </c>
      <c r="N22831" s="1">
        <v>44197</v>
      </c>
    </row>
    <row r="22832" spans="11:14" x14ac:dyDescent="0.3">
      <c r="K22832" s="1">
        <v>44652</v>
      </c>
      <c r="M22832" t="e">
        <v>#N/A</v>
      </c>
      <c r="N22832" s="1">
        <v>44197</v>
      </c>
    </row>
    <row r="22833" spans="11:14" x14ac:dyDescent="0.3">
      <c r="K22833" s="1">
        <v>44652</v>
      </c>
      <c r="M22833" t="e">
        <v>#N/A</v>
      </c>
      <c r="N22833" s="1">
        <v>44197</v>
      </c>
    </row>
    <row r="22834" spans="11:14" x14ac:dyDescent="0.3">
      <c r="K22834" s="1">
        <v>44652</v>
      </c>
      <c r="M22834" t="e">
        <v>#N/A</v>
      </c>
      <c r="N22834" s="1">
        <v>44197</v>
      </c>
    </row>
    <row r="22835" spans="11:14" x14ac:dyDescent="0.3">
      <c r="K22835" s="1">
        <v>44652</v>
      </c>
      <c r="M22835" t="e">
        <v>#N/A</v>
      </c>
      <c r="N22835" s="1">
        <v>44197</v>
      </c>
    </row>
    <row r="22836" spans="11:14" x14ac:dyDescent="0.3">
      <c r="K22836" s="1">
        <v>44652</v>
      </c>
      <c r="M22836" t="e">
        <v>#N/A</v>
      </c>
      <c r="N22836" s="1">
        <v>44197</v>
      </c>
    </row>
    <row r="22837" spans="11:14" x14ac:dyDescent="0.3">
      <c r="K22837" s="1">
        <v>44652</v>
      </c>
      <c r="M22837" t="e">
        <v>#N/A</v>
      </c>
      <c r="N22837" s="1">
        <v>44197</v>
      </c>
    </row>
    <row r="22838" spans="11:14" x14ac:dyDescent="0.3">
      <c r="K22838" s="1">
        <v>44652</v>
      </c>
      <c r="M22838" t="e">
        <v>#N/A</v>
      </c>
      <c r="N22838" s="1">
        <v>44197</v>
      </c>
    </row>
    <row r="22839" spans="11:14" x14ac:dyDescent="0.3">
      <c r="K22839" s="1">
        <v>44652</v>
      </c>
      <c r="M22839" t="e">
        <v>#N/A</v>
      </c>
      <c r="N22839" s="1">
        <v>44197</v>
      </c>
    </row>
    <row r="22840" spans="11:14" x14ac:dyDescent="0.3">
      <c r="K22840" s="1">
        <v>44652</v>
      </c>
      <c r="M22840" t="e">
        <v>#N/A</v>
      </c>
      <c r="N22840" s="1">
        <v>44197</v>
      </c>
    </row>
    <row r="22841" spans="11:14" x14ac:dyDescent="0.3">
      <c r="K22841" s="1">
        <v>44652</v>
      </c>
      <c r="M22841" t="e">
        <v>#N/A</v>
      </c>
      <c r="N22841" s="1">
        <v>44197</v>
      </c>
    </row>
    <row r="22842" spans="11:14" x14ac:dyDescent="0.3">
      <c r="K22842" s="1">
        <v>44652</v>
      </c>
      <c r="M22842" t="e">
        <v>#N/A</v>
      </c>
      <c r="N22842" s="1">
        <v>44197</v>
      </c>
    </row>
    <row r="22843" spans="11:14" x14ac:dyDescent="0.3">
      <c r="K22843" s="1">
        <v>44652</v>
      </c>
      <c r="M22843" t="e">
        <v>#N/A</v>
      </c>
      <c r="N22843" s="1">
        <v>44197</v>
      </c>
    </row>
    <row r="22844" spans="11:14" x14ac:dyDescent="0.3">
      <c r="K22844" s="1">
        <v>44652</v>
      </c>
      <c r="M22844" t="e">
        <v>#N/A</v>
      </c>
      <c r="N22844" s="1">
        <v>44197</v>
      </c>
    </row>
    <row r="22845" spans="11:14" x14ac:dyDescent="0.3">
      <c r="K22845" s="1">
        <v>44652</v>
      </c>
      <c r="M22845" t="e">
        <v>#N/A</v>
      </c>
      <c r="N22845" s="1">
        <v>44197</v>
      </c>
    </row>
    <row r="22846" spans="11:14" x14ac:dyDescent="0.3">
      <c r="K22846" s="1">
        <v>44652</v>
      </c>
      <c r="M22846" t="e">
        <v>#N/A</v>
      </c>
      <c r="N22846" s="1">
        <v>44197</v>
      </c>
    </row>
    <row r="22847" spans="11:14" x14ac:dyDescent="0.3">
      <c r="K22847" s="1">
        <v>44652</v>
      </c>
      <c r="M22847" t="e">
        <v>#N/A</v>
      </c>
      <c r="N22847" s="1">
        <v>44197</v>
      </c>
    </row>
    <row r="22848" spans="11:14" x14ac:dyDescent="0.3">
      <c r="K22848" s="1">
        <v>44652</v>
      </c>
      <c r="M22848" t="e">
        <v>#N/A</v>
      </c>
      <c r="N22848" s="1">
        <v>44197</v>
      </c>
    </row>
    <row r="22849" spans="11:14" x14ac:dyDescent="0.3">
      <c r="K22849" s="1">
        <v>44652</v>
      </c>
      <c r="M22849" t="e">
        <v>#N/A</v>
      </c>
      <c r="N22849" s="1">
        <v>44197</v>
      </c>
    </row>
    <row r="22850" spans="11:14" x14ac:dyDescent="0.3">
      <c r="K22850" s="1">
        <v>44652</v>
      </c>
      <c r="M22850" t="e">
        <v>#N/A</v>
      </c>
      <c r="N22850" s="1">
        <v>44197</v>
      </c>
    </row>
    <row r="22851" spans="11:14" x14ac:dyDescent="0.3">
      <c r="K22851" s="1">
        <v>44652</v>
      </c>
      <c r="M22851" t="e">
        <v>#N/A</v>
      </c>
      <c r="N22851" s="1">
        <v>44197</v>
      </c>
    </row>
    <row r="22852" spans="11:14" x14ac:dyDescent="0.3">
      <c r="K22852" s="1">
        <v>44652</v>
      </c>
      <c r="M22852" t="e">
        <v>#N/A</v>
      </c>
      <c r="N22852" s="1">
        <v>44197</v>
      </c>
    </row>
    <row r="22853" spans="11:14" x14ac:dyDescent="0.3">
      <c r="K22853" s="1">
        <v>44652</v>
      </c>
      <c r="M22853" t="e">
        <v>#N/A</v>
      </c>
      <c r="N22853" s="1">
        <v>44197</v>
      </c>
    </row>
    <row r="22854" spans="11:14" x14ac:dyDescent="0.3">
      <c r="K22854" s="1">
        <v>44652</v>
      </c>
      <c r="M22854" t="e">
        <v>#N/A</v>
      </c>
      <c r="N22854" s="1">
        <v>44197</v>
      </c>
    </row>
    <row r="22855" spans="11:14" x14ac:dyDescent="0.3">
      <c r="K22855" s="1">
        <v>44652</v>
      </c>
      <c r="M22855" t="e">
        <v>#N/A</v>
      </c>
      <c r="N22855" s="1">
        <v>44197</v>
      </c>
    </row>
    <row r="22856" spans="11:14" x14ac:dyDescent="0.3">
      <c r="K22856" s="1">
        <v>44652</v>
      </c>
      <c r="M22856" t="e">
        <v>#N/A</v>
      </c>
      <c r="N22856" s="1">
        <v>44197</v>
      </c>
    </row>
    <row r="22857" spans="11:14" x14ac:dyDescent="0.3">
      <c r="K22857" s="1">
        <v>44652</v>
      </c>
      <c r="M22857" t="e">
        <v>#N/A</v>
      </c>
      <c r="N22857" s="1">
        <v>44197</v>
      </c>
    </row>
    <row r="22858" spans="11:14" x14ac:dyDescent="0.3">
      <c r="K22858" s="1">
        <v>44652</v>
      </c>
      <c r="M22858" t="e">
        <v>#N/A</v>
      </c>
      <c r="N22858" s="1">
        <v>44197</v>
      </c>
    </row>
    <row r="22859" spans="11:14" x14ac:dyDescent="0.3">
      <c r="K22859" s="1">
        <v>44652</v>
      </c>
      <c r="M22859" t="e">
        <v>#N/A</v>
      </c>
      <c r="N22859" s="1">
        <v>44197</v>
      </c>
    </row>
    <row r="22860" spans="11:14" x14ac:dyDescent="0.3">
      <c r="K22860" s="1">
        <v>44652</v>
      </c>
      <c r="M22860" t="e">
        <v>#N/A</v>
      </c>
      <c r="N22860" s="1">
        <v>44197</v>
      </c>
    </row>
    <row r="22861" spans="11:14" x14ac:dyDescent="0.3">
      <c r="K22861" s="1">
        <v>44652</v>
      </c>
      <c r="M22861" t="e">
        <v>#N/A</v>
      </c>
      <c r="N22861" s="1">
        <v>44197</v>
      </c>
    </row>
    <row r="22862" spans="11:14" x14ac:dyDescent="0.3">
      <c r="K22862" s="1">
        <v>44652</v>
      </c>
      <c r="M22862" t="e">
        <v>#N/A</v>
      </c>
      <c r="N22862" s="1">
        <v>44197</v>
      </c>
    </row>
    <row r="22863" spans="11:14" x14ac:dyDescent="0.3">
      <c r="K22863" s="1">
        <v>44652</v>
      </c>
      <c r="M22863" t="e">
        <v>#N/A</v>
      </c>
      <c r="N22863" s="1">
        <v>44197</v>
      </c>
    </row>
    <row r="22864" spans="11:14" x14ac:dyDescent="0.3">
      <c r="K22864" s="1">
        <v>44652</v>
      </c>
      <c r="M22864" t="e">
        <v>#N/A</v>
      </c>
      <c r="N22864" s="1">
        <v>44197</v>
      </c>
    </row>
    <row r="22865" spans="11:14" x14ac:dyDescent="0.3">
      <c r="K22865" s="1">
        <v>44652</v>
      </c>
      <c r="M22865" t="e">
        <v>#N/A</v>
      </c>
      <c r="N22865" s="1">
        <v>44197</v>
      </c>
    </row>
    <row r="22866" spans="11:14" x14ac:dyDescent="0.3">
      <c r="K22866" s="1">
        <v>44652</v>
      </c>
      <c r="M22866" t="e">
        <v>#N/A</v>
      </c>
      <c r="N22866" s="1">
        <v>44197</v>
      </c>
    </row>
    <row r="22867" spans="11:14" x14ac:dyDescent="0.3">
      <c r="K22867" s="1">
        <v>44652</v>
      </c>
      <c r="M22867" t="e">
        <v>#N/A</v>
      </c>
      <c r="N22867" s="1">
        <v>44197</v>
      </c>
    </row>
    <row r="22868" spans="11:14" x14ac:dyDescent="0.3">
      <c r="K22868" s="1">
        <v>44652</v>
      </c>
      <c r="M22868" t="e">
        <v>#N/A</v>
      </c>
      <c r="N22868" s="1">
        <v>44197</v>
      </c>
    </row>
    <row r="22869" spans="11:14" x14ac:dyDescent="0.3">
      <c r="K22869" s="1">
        <v>44652</v>
      </c>
      <c r="M22869" t="e">
        <v>#N/A</v>
      </c>
      <c r="N22869" s="1">
        <v>44197</v>
      </c>
    </row>
    <row r="22870" spans="11:14" x14ac:dyDescent="0.3">
      <c r="K22870" s="1">
        <v>44652</v>
      </c>
      <c r="M22870" t="e">
        <v>#N/A</v>
      </c>
      <c r="N22870" s="1">
        <v>44197</v>
      </c>
    </row>
    <row r="22871" spans="11:14" x14ac:dyDescent="0.3">
      <c r="K22871" s="1">
        <v>44652</v>
      </c>
      <c r="M22871" t="e">
        <v>#N/A</v>
      </c>
      <c r="N22871" s="1">
        <v>44197</v>
      </c>
    </row>
    <row r="22872" spans="11:14" x14ac:dyDescent="0.3">
      <c r="K22872" s="1">
        <v>44652</v>
      </c>
      <c r="M22872" t="e">
        <v>#N/A</v>
      </c>
      <c r="N22872" s="1">
        <v>44197</v>
      </c>
    </row>
    <row r="22873" spans="11:14" x14ac:dyDescent="0.3">
      <c r="K22873" s="1">
        <v>44652</v>
      </c>
      <c r="M22873" t="e">
        <v>#N/A</v>
      </c>
      <c r="N22873" s="1">
        <v>44197</v>
      </c>
    </row>
    <row r="22874" spans="11:14" x14ac:dyDescent="0.3">
      <c r="K22874" s="1">
        <v>44652</v>
      </c>
      <c r="M22874" t="e">
        <v>#N/A</v>
      </c>
      <c r="N22874" s="1">
        <v>44197</v>
      </c>
    </row>
    <row r="22875" spans="11:14" x14ac:dyDescent="0.3">
      <c r="K22875" s="1">
        <v>44652</v>
      </c>
      <c r="M22875" t="e">
        <v>#N/A</v>
      </c>
      <c r="N22875" s="1">
        <v>44197</v>
      </c>
    </row>
    <row r="22876" spans="11:14" x14ac:dyDescent="0.3">
      <c r="K22876" s="1">
        <v>44652</v>
      </c>
      <c r="M22876" t="e">
        <v>#N/A</v>
      </c>
      <c r="N22876" s="1">
        <v>44197</v>
      </c>
    </row>
    <row r="22877" spans="11:14" x14ac:dyDescent="0.3">
      <c r="K22877" s="1">
        <v>44652</v>
      </c>
      <c r="M22877" t="e">
        <v>#N/A</v>
      </c>
      <c r="N22877" s="1">
        <v>44197</v>
      </c>
    </row>
    <row r="22878" spans="11:14" x14ac:dyDescent="0.3">
      <c r="K22878" s="1">
        <v>44652</v>
      </c>
      <c r="M22878" t="e">
        <v>#N/A</v>
      </c>
      <c r="N22878" s="1">
        <v>44197</v>
      </c>
    </row>
    <row r="22879" spans="11:14" x14ac:dyDescent="0.3">
      <c r="K22879" s="1">
        <v>44652</v>
      </c>
      <c r="M22879" t="e">
        <v>#N/A</v>
      </c>
      <c r="N22879" s="1">
        <v>44197</v>
      </c>
    </row>
    <row r="22880" spans="11:14" x14ac:dyDescent="0.3">
      <c r="K22880" s="1">
        <v>44652</v>
      </c>
      <c r="M22880" t="e">
        <v>#N/A</v>
      </c>
      <c r="N22880" s="1">
        <v>44197</v>
      </c>
    </row>
    <row r="22881" spans="11:14" x14ac:dyDescent="0.3">
      <c r="K22881" s="1">
        <v>44652</v>
      </c>
      <c r="M22881" t="e">
        <v>#N/A</v>
      </c>
      <c r="N22881" s="1">
        <v>44197</v>
      </c>
    </row>
    <row r="22882" spans="11:14" x14ac:dyDescent="0.3">
      <c r="K22882" s="1">
        <v>44652</v>
      </c>
      <c r="M22882" t="e">
        <v>#N/A</v>
      </c>
      <c r="N22882" s="1">
        <v>44197</v>
      </c>
    </row>
    <row r="22883" spans="11:14" x14ac:dyDescent="0.3">
      <c r="K22883" s="1">
        <v>44652</v>
      </c>
      <c r="M22883" t="e">
        <v>#N/A</v>
      </c>
      <c r="N22883" s="1">
        <v>44197</v>
      </c>
    </row>
    <row r="22884" spans="11:14" x14ac:dyDescent="0.3">
      <c r="K22884" s="1">
        <v>44652</v>
      </c>
      <c r="M22884" t="e">
        <v>#N/A</v>
      </c>
      <c r="N22884" s="1">
        <v>44197</v>
      </c>
    </row>
    <row r="22885" spans="11:14" x14ac:dyDescent="0.3">
      <c r="K22885" s="1">
        <v>44652</v>
      </c>
      <c r="M22885" t="e">
        <v>#N/A</v>
      </c>
      <c r="N22885" s="1">
        <v>44197</v>
      </c>
    </row>
    <row r="22886" spans="11:14" x14ac:dyDescent="0.3">
      <c r="K22886" s="1">
        <v>44652</v>
      </c>
      <c r="M22886" t="e">
        <v>#N/A</v>
      </c>
      <c r="N22886" s="1">
        <v>44197</v>
      </c>
    </row>
    <row r="22887" spans="11:14" x14ac:dyDescent="0.3">
      <c r="K22887" s="1">
        <v>44652</v>
      </c>
      <c r="M22887" t="e">
        <v>#N/A</v>
      </c>
      <c r="N22887" s="1">
        <v>44197</v>
      </c>
    </row>
    <row r="22888" spans="11:14" x14ac:dyDescent="0.3">
      <c r="K22888" s="1">
        <v>44652</v>
      </c>
      <c r="M22888" t="e">
        <v>#N/A</v>
      </c>
      <c r="N22888" s="1">
        <v>44197</v>
      </c>
    </row>
    <row r="22889" spans="11:14" x14ac:dyDescent="0.3">
      <c r="K22889" s="1">
        <v>44652</v>
      </c>
      <c r="M22889" t="e">
        <v>#N/A</v>
      </c>
      <c r="N22889" s="1">
        <v>44197</v>
      </c>
    </row>
    <row r="22890" spans="11:14" x14ac:dyDescent="0.3">
      <c r="K22890" s="1">
        <v>44652</v>
      </c>
      <c r="M22890" t="e">
        <v>#N/A</v>
      </c>
      <c r="N22890" s="1">
        <v>44197</v>
      </c>
    </row>
    <row r="22891" spans="11:14" x14ac:dyDescent="0.3">
      <c r="K22891" s="1">
        <v>44652</v>
      </c>
      <c r="M22891" t="e">
        <v>#N/A</v>
      </c>
      <c r="N22891" s="1">
        <v>44197</v>
      </c>
    </row>
    <row r="22892" spans="11:14" x14ac:dyDescent="0.3">
      <c r="K22892" s="1">
        <v>44652</v>
      </c>
      <c r="M22892" t="e">
        <v>#N/A</v>
      </c>
      <c r="N22892" s="1">
        <v>44197</v>
      </c>
    </row>
    <row r="22893" spans="11:14" x14ac:dyDescent="0.3">
      <c r="K22893" s="1">
        <v>44652</v>
      </c>
      <c r="M22893" t="e">
        <v>#N/A</v>
      </c>
      <c r="N22893" s="1">
        <v>44197</v>
      </c>
    </row>
    <row r="22894" spans="11:14" x14ac:dyDescent="0.3">
      <c r="K22894" s="1">
        <v>44652</v>
      </c>
      <c r="M22894" t="e">
        <v>#N/A</v>
      </c>
      <c r="N22894" s="1">
        <v>44197</v>
      </c>
    </row>
    <row r="22895" spans="11:14" x14ac:dyDescent="0.3">
      <c r="K22895" s="1">
        <v>44652</v>
      </c>
      <c r="M22895" t="e">
        <v>#N/A</v>
      </c>
      <c r="N22895" s="1">
        <v>44197</v>
      </c>
    </row>
    <row r="22896" spans="11:14" x14ac:dyDescent="0.3">
      <c r="K22896" s="1">
        <v>44652</v>
      </c>
      <c r="M22896" t="e">
        <v>#N/A</v>
      </c>
      <c r="N22896" s="1">
        <v>44197</v>
      </c>
    </row>
    <row r="22897" spans="11:14" x14ac:dyDescent="0.3">
      <c r="K22897" s="1">
        <v>44652</v>
      </c>
      <c r="M22897" t="e">
        <v>#N/A</v>
      </c>
      <c r="N22897" s="1">
        <v>44197</v>
      </c>
    </row>
    <row r="22898" spans="11:14" x14ac:dyDescent="0.3">
      <c r="K22898" s="1">
        <v>44652</v>
      </c>
      <c r="M22898" t="e">
        <v>#N/A</v>
      </c>
      <c r="N22898" s="1">
        <v>44197</v>
      </c>
    </row>
    <row r="22899" spans="11:14" x14ac:dyDescent="0.3">
      <c r="K22899" s="1">
        <v>44652</v>
      </c>
      <c r="M22899" t="e">
        <v>#N/A</v>
      </c>
      <c r="N22899" s="1">
        <v>44197</v>
      </c>
    </row>
    <row r="22900" spans="11:14" x14ac:dyDescent="0.3">
      <c r="K22900" s="1">
        <v>44652</v>
      </c>
      <c r="M22900" t="e">
        <v>#N/A</v>
      </c>
      <c r="N22900" s="1">
        <v>44197</v>
      </c>
    </row>
    <row r="22901" spans="11:14" x14ac:dyDescent="0.3">
      <c r="K22901" s="1">
        <v>44652</v>
      </c>
      <c r="M22901" t="e">
        <v>#N/A</v>
      </c>
      <c r="N22901" s="1">
        <v>44197</v>
      </c>
    </row>
    <row r="22902" spans="11:14" x14ac:dyDescent="0.3">
      <c r="K22902" s="1">
        <v>44652</v>
      </c>
      <c r="M22902" t="e">
        <v>#N/A</v>
      </c>
      <c r="N22902" s="1">
        <v>44197</v>
      </c>
    </row>
    <row r="22903" spans="11:14" x14ac:dyDescent="0.3">
      <c r="K22903" s="1">
        <v>44652</v>
      </c>
      <c r="M22903" t="e">
        <v>#N/A</v>
      </c>
      <c r="N22903" s="1">
        <v>44197</v>
      </c>
    </row>
    <row r="22904" spans="11:14" x14ac:dyDescent="0.3">
      <c r="K22904" s="1">
        <v>44652</v>
      </c>
      <c r="M22904" t="e">
        <v>#N/A</v>
      </c>
      <c r="N22904" s="1">
        <v>44197</v>
      </c>
    </row>
    <row r="22905" spans="11:14" x14ac:dyDescent="0.3">
      <c r="K22905" s="1">
        <v>44652</v>
      </c>
      <c r="M22905" t="e">
        <v>#N/A</v>
      </c>
      <c r="N22905" s="1">
        <v>44197</v>
      </c>
    </row>
    <row r="22906" spans="11:14" x14ac:dyDescent="0.3">
      <c r="K22906" s="1">
        <v>44652</v>
      </c>
      <c r="M22906" t="e">
        <v>#N/A</v>
      </c>
      <c r="N22906" s="1">
        <v>44287</v>
      </c>
    </row>
    <row r="22907" spans="11:14" x14ac:dyDescent="0.3">
      <c r="K22907" s="1">
        <v>44652</v>
      </c>
      <c r="M22907" t="e">
        <v>#N/A</v>
      </c>
      <c r="N22907" s="1">
        <v>44287</v>
      </c>
    </row>
    <row r="22908" spans="11:14" x14ac:dyDescent="0.3">
      <c r="K22908" s="1">
        <v>44652</v>
      </c>
      <c r="M22908" t="e">
        <v>#N/A</v>
      </c>
      <c r="N22908" s="1">
        <v>44287</v>
      </c>
    </row>
    <row r="22909" spans="11:14" x14ac:dyDescent="0.3">
      <c r="K22909" s="1">
        <v>44652</v>
      </c>
      <c r="M22909" t="e">
        <v>#N/A</v>
      </c>
      <c r="N22909" s="1">
        <v>44287</v>
      </c>
    </row>
    <row r="22910" spans="11:14" x14ac:dyDescent="0.3">
      <c r="K22910" s="1">
        <v>44652</v>
      </c>
      <c r="M22910" t="e">
        <v>#N/A</v>
      </c>
      <c r="N22910" s="1">
        <v>44287</v>
      </c>
    </row>
    <row r="22911" spans="11:14" x14ac:dyDescent="0.3">
      <c r="K22911" s="1">
        <v>44652</v>
      </c>
      <c r="M22911" t="e">
        <v>#N/A</v>
      </c>
      <c r="N22911" s="1">
        <v>44287</v>
      </c>
    </row>
    <row r="22912" spans="11:14" x14ac:dyDescent="0.3">
      <c r="K22912" s="1">
        <v>44652</v>
      </c>
      <c r="M22912" t="e">
        <v>#N/A</v>
      </c>
      <c r="N22912" s="1">
        <v>44287</v>
      </c>
    </row>
    <row r="22913" spans="11:14" x14ac:dyDescent="0.3">
      <c r="K22913" s="1">
        <v>44652</v>
      </c>
      <c r="M22913" t="e">
        <v>#N/A</v>
      </c>
      <c r="N22913" s="1">
        <v>44287</v>
      </c>
    </row>
    <row r="22914" spans="11:14" x14ac:dyDescent="0.3">
      <c r="K22914" s="1">
        <v>44652</v>
      </c>
      <c r="M22914" t="e">
        <v>#N/A</v>
      </c>
      <c r="N22914" s="1">
        <v>44287</v>
      </c>
    </row>
    <row r="22915" spans="11:14" x14ac:dyDescent="0.3">
      <c r="K22915" s="1">
        <v>44652</v>
      </c>
      <c r="M22915" t="e">
        <v>#N/A</v>
      </c>
      <c r="N22915" s="1">
        <v>44287</v>
      </c>
    </row>
    <row r="22916" spans="11:14" x14ac:dyDescent="0.3">
      <c r="K22916" s="1">
        <v>44652</v>
      </c>
      <c r="M22916" t="e">
        <v>#N/A</v>
      </c>
      <c r="N22916" s="1">
        <v>44287</v>
      </c>
    </row>
    <row r="22917" spans="11:14" x14ac:dyDescent="0.3">
      <c r="K22917" s="1">
        <v>44652</v>
      </c>
      <c r="M22917" t="e">
        <v>#N/A</v>
      </c>
      <c r="N22917" s="1">
        <v>44287</v>
      </c>
    </row>
    <row r="22918" spans="11:14" x14ac:dyDescent="0.3">
      <c r="K22918" s="1">
        <v>44652</v>
      </c>
      <c r="M22918" t="e">
        <v>#N/A</v>
      </c>
      <c r="N22918" s="1">
        <v>44287</v>
      </c>
    </row>
    <row r="22919" spans="11:14" x14ac:dyDescent="0.3">
      <c r="K22919" s="1">
        <v>44652</v>
      </c>
      <c r="M22919" t="e">
        <v>#N/A</v>
      </c>
      <c r="N22919" s="1">
        <v>44287</v>
      </c>
    </row>
    <row r="22920" spans="11:14" x14ac:dyDescent="0.3">
      <c r="K22920" s="1">
        <v>44652</v>
      </c>
      <c r="M22920" t="e">
        <v>#N/A</v>
      </c>
      <c r="N22920" s="1">
        <v>44287</v>
      </c>
    </row>
    <row r="22921" spans="11:14" x14ac:dyDescent="0.3">
      <c r="K22921" s="1">
        <v>44652</v>
      </c>
      <c r="M22921" t="e">
        <v>#N/A</v>
      </c>
      <c r="N22921" s="1">
        <v>44287</v>
      </c>
    </row>
    <row r="22922" spans="11:14" x14ac:dyDescent="0.3">
      <c r="K22922" s="1">
        <v>44652</v>
      </c>
      <c r="M22922" t="e">
        <v>#N/A</v>
      </c>
      <c r="N22922" s="1">
        <v>44287</v>
      </c>
    </row>
    <row r="22923" spans="11:14" x14ac:dyDescent="0.3">
      <c r="K22923" s="1">
        <v>44652</v>
      </c>
      <c r="M22923" t="e">
        <v>#N/A</v>
      </c>
      <c r="N22923" s="1">
        <v>44287</v>
      </c>
    </row>
    <row r="22924" spans="11:14" x14ac:dyDescent="0.3">
      <c r="K22924" s="1">
        <v>44652</v>
      </c>
      <c r="M22924" t="e">
        <v>#N/A</v>
      </c>
      <c r="N22924" s="1">
        <v>44287</v>
      </c>
    </row>
    <row r="22925" spans="11:14" x14ac:dyDescent="0.3">
      <c r="K22925" s="1">
        <v>44652</v>
      </c>
      <c r="M22925" t="e">
        <v>#N/A</v>
      </c>
      <c r="N22925" s="1">
        <v>44287</v>
      </c>
    </row>
    <row r="22926" spans="11:14" x14ac:dyDescent="0.3">
      <c r="K22926" s="1">
        <v>44652</v>
      </c>
      <c r="M22926" t="e">
        <v>#N/A</v>
      </c>
      <c r="N22926" s="1">
        <v>44287</v>
      </c>
    </row>
    <row r="22927" spans="11:14" x14ac:dyDescent="0.3">
      <c r="K22927" s="1">
        <v>44652</v>
      </c>
      <c r="M22927" t="e">
        <v>#N/A</v>
      </c>
      <c r="N22927" s="1">
        <v>44287</v>
      </c>
    </row>
    <row r="22928" spans="11:14" x14ac:dyDescent="0.3">
      <c r="K22928" s="1">
        <v>44652</v>
      </c>
      <c r="M22928" t="e">
        <v>#N/A</v>
      </c>
      <c r="N22928" s="1">
        <v>44287</v>
      </c>
    </row>
    <row r="22929" spans="11:14" x14ac:dyDescent="0.3">
      <c r="K22929" s="1">
        <v>44652</v>
      </c>
      <c r="M22929" t="e">
        <v>#N/A</v>
      </c>
      <c r="N22929" s="1">
        <v>44287</v>
      </c>
    </row>
    <row r="22930" spans="11:14" x14ac:dyDescent="0.3">
      <c r="K22930" s="1">
        <v>44652</v>
      </c>
      <c r="M22930" t="e">
        <v>#N/A</v>
      </c>
      <c r="N22930" s="1">
        <v>44287</v>
      </c>
    </row>
    <row r="22931" spans="11:14" x14ac:dyDescent="0.3">
      <c r="K22931" s="1">
        <v>44652</v>
      </c>
      <c r="M22931" t="e">
        <v>#N/A</v>
      </c>
      <c r="N22931" s="1">
        <v>44287</v>
      </c>
    </row>
    <row r="22932" spans="11:14" x14ac:dyDescent="0.3">
      <c r="K22932" s="1">
        <v>44652</v>
      </c>
      <c r="M22932" t="e">
        <v>#N/A</v>
      </c>
      <c r="N22932" s="1">
        <v>44287</v>
      </c>
    </row>
    <row r="22933" spans="11:14" x14ac:dyDescent="0.3">
      <c r="K22933" s="1">
        <v>44652</v>
      </c>
      <c r="M22933" t="e">
        <v>#N/A</v>
      </c>
      <c r="N22933" s="1">
        <v>44287</v>
      </c>
    </row>
    <row r="22934" spans="11:14" x14ac:dyDescent="0.3">
      <c r="K22934" s="1">
        <v>44652</v>
      </c>
      <c r="M22934" t="e">
        <v>#N/A</v>
      </c>
      <c r="N22934" s="1">
        <v>44287</v>
      </c>
    </row>
    <row r="22935" spans="11:14" x14ac:dyDescent="0.3">
      <c r="K22935" s="1">
        <v>44652</v>
      </c>
      <c r="M22935" t="e">
        <v>#N/A</v>
      </c>
      <c r="N22935" s="1">
        <v>44287</v>
      </c>
    </row>
    <row r="22936" spans="11:14" x14ac:dyDescent="0.3">
      <c r="K22936" s="1">
        <v>44652</v>
      </c>
      <c r="M22936" t="e">
        <v>#N/A</v>
      </c>
      <c r="N22936" s="1">
        <v>44287</v>
      </c>
    </row>
    <row r="22937" spans="11:14" x14ac:dyDescent="0.3">
      <c r="K22937" s="1">
        <v>44652</v>
      </c>
      <c r="M22937" t="e">
        <v>#N/A</v>
      </c>
      <c r="N22937" s="1">
        <v>44287</v>
      </c>
    </row>
    <row r="22938" spans="11:14" x14ac:dyDescent="0.3">
      <c r="K22938" s="1">
        <v>44652</v>
      </c>
      <c r="M22938" t="e">
        <v>#N/A</v>
      </c>
      <c r="N22938" s="1">
        <v>44287</v>
      </c>
    </row>
    <row r="22939" spans="11:14" x14ac:dyDescent="0.3">
      <c r="K22939" s="1">
        <v>44652</v>
      </c>
      <c r="M22939" t="e">
        <v>#N/A</v>
      </c>
      <c r="N22939" s="1">
        <v>44287</v>
      </c>
    </row>
    <row r="22940" spans="11:14" x14ac:dyDescent="0.3">
      <c r="K22940" s="1">
        <v>44652</v>
      </c>
      <c r="M22940" t="e">
        <v>#N/A</v>
      </c>
      <c r="N22940" s="1">
        <v>44287</v>
      </c>
    </row>
    <row r="22941" spans="11:14" x14ac:dyDescent="0.3">
      <c r="K22941" s="1">
        <v>44652</v>
      </c>
      <c r="M22941" t="e">
        <v>#N/A</v>
      </c>
      <c r="N22941" s="1">
        <v>44287</v>
      </c>
    </row>
    <row r="22942" spans="11:14" x14ac:dyDescent="0.3">
      <c r="K22942" s="1">
        <v>44652</v>
      </c>
      <c r="M22942" t="e">
        <v>#N/A</v>
      </c>
      <c r="N22942" s="1">
        <v>44287</v>
      </c>
    </row>
    <row r="22943" spans="11:14" x14ac:dyDescent="0.3">
      <c r="K22943" s="1">
        <v>44652</v>
      </c>
      <c r="M22943" t="e">
        <v>#N/A</v>
      </c>
      <c r="N22943" s="1">
        <v>44287</v>
      </c>
    </row>
    <row r="22944" spans="11:14" x14ac:dyDescent="0.3">
      <c r="K22944" s="1">
        <v>44652</v>
      </c>
      <c r="M22944" t="e">
        <v>#N/A</v>
      </c>
      <c r="N22944" s="1">
        <v>44287</v>
      </c>
    </row>
    <row r="22945" spans="11:14" x14ac:dyDescent="0.3">
      <c r="K22945" s="1">
        <v>44652</v>
      </c>
      <c r="M22945" t="e">
        <v>#N/A</v>
      </c>
      <c r="N22945" s="1">
        <v>44287</v>
      </c>
    </row>
    <row r="22946" spans="11:14" x14ac:dyDescent="0.3">
      <c r="K22946" s="1">
        <v>44652</v>
      </c>
      <c r="M22946" t="e">
        <v>#N/A</v>
      </c>
      <c r="N22946" s="1">
        <v>44287</v>
      </c>
    </row>
    <row r="22947" spans="11:14" x14ac:dyDescent="0.3">
      <c r="K22947" s="1">
        <v>44652</v>
      </c>
      <c r="M22947" t="e">
        <v>#N/A</v>
      </c>
      <c r="N22947" s="1">
        <v>44287</v>
      </c>
    </row>
    <row r="22948" spans="11:14" x14ac:dyDescent="0.3">
      <c r="K22948" s="1">
        <v>44652</v>
      </c>
      <c r="M22948" t="e">
        <v>#N/A</v>
      </c>
      <c r="N22948" s="1">
        <v>44287</v>
      </c>
    </row>
    <row r="22949" spans="11:14" x14ac:dyDescent="0.3">
      <c r="K22949" s="1">
        <v>44652</v>
      </c>
      <c r="M22949" t="e">
        <v>#N/A</v>
      </c>
      <c r="N22949" s="1">
        <v>44287</v>
      </c>
    </row>
    <row r="22950" spans="11:14" x14ac:dyDescent="0.3">
      <c r="K22950" s="1">
        <v>44652</v>
      </c>
      <c r="M22950" t="e">
        <v>#N/A</v>
      </c>
      <c r="N22950" s="1">
        <v>44287</v>
      </c>
    </row>
    <row r="22951" spans="11:14" x14ac:dyDescent="0.3">
      <c r="K22951" s="1">
        <v>44652</v>
      </c>
      <c r="M22951" t="e">
        <v>#N/A</v>
      </c>
      <c r="N22951" s="1">
        <v>44287</v>
      </c>
    </row>
    <row r="22952" spans="11:14" x14ac:dyDescent="0.3">
      <c r="K22952" s="1">
        <v>44652</v>
      </c>
      <c r="M22952" t="e">
        <v>#N/A</v>
      </c>
      <c r="N22952" s="1">
        <v>44287</v>
      </c>
    </row>
    <row r="22953" spans="11:14" x14ac:dyDescent="0.3">
      <c r="K22953" s="1">
        <v>44652</v>
      </c>
      <c r="M22953" t="e">
        <v>#N/A</v>
      </c>
      <c r="N22953" s="1">
        <v>44287</v>
      </c>
    </row>
    <row r="22954" spans="11:14" x14ac:dyDescent="0.3">
      <c r="K22954" s="1">
        <v>44652</v>
      </c>
      <c r="M22954" t="e">
        <v>#N/A</v>
      </c>
      <c r="N22954" s="1">
        <v>44287</v>
      </c>
    </row>
    <row r="22955" spans="11:14" x14ac:dyDescent="0.3">
      <c r="K22955" s="1">
        <v>44652</v>
      </c>
      <c r="M22955" t="e">
        <v>#N/A</v>
      </c>
      <c r="N22955" s="1">
        <v>44287</v>
      </c>
    </row>
    <row r="22956" spans="11:14" x14ac:dyDescent="0.3">
      <c r="K22956" s="1">
        <v>44652</v>
      </c>
      <c r="M22956" t="e">
        <v>#N/A</v>
      </c>
      <c r="N22956" s="1">
        <v>44287</v>
      </c>
    </row>
    <row r="22957" spans="11:14" x14ac:dyDescent="0.3">
      <c r="K22957" s="1">
        <v>44652</v>
      </c>
      <c r="M22957" t="e">
        <v>#N/A</v>
      </c>
      <c r="N22957" s="1">
        <v>44287</v>
      </c>
    </row>
    <row r="22958" spans="11:14" x14ac:dyDescent="0.3">
      <c r="K22958" s="1">
        <v>44652</v>
      </c>
      <c r="M22958" t="e">
        <v>#N/A</v>
      </c>
      <c r="N22958" s="1">
        <v>44287</v>
      </c>
    </row>
    <row r="22959" spans="11:14" x14ac:dyDescent="0.3">
      <c r="K22959" s="1">
        <v>44652</v>
      </c>
      <c r="M22959" t="e">
        <v>#N/A</v>
      </c>
      <c r="N22959" s="1">
        <v>44287</v>
      </c>
    </row>
    <row r="22960" spans="11:14" x14ac:dyDescent="0.3">
      <c r="K22960" s="1">
        <v>44652</v>
      </c>
      <c r="M22960" t="e">
        <v>#N/A</v>
      </c>
      <c r="N22960" s="1">
        <v>44287</v>
      </c>
    </row>
    <row r="22961" spans="11:14" x14ac:dyDescent="0.3">
      <c r="K22961" s="1">
        <v>44652</v>
      </c>
      <c r="M22961" t="e">
        <v>#N/A</v>
      </c>
      <c r="N22961" s="1">
        <v>44287</v>
      </c>
    </row>
    <row r="22962" spans="11:14" x14ac:dyDescent="0.3">
      <c r="K22962" s="1">
        <v>44652</v>
      </c>
      <c r="M22962" t="e">
        <v>#N/A</v>
      </c>
      <c r="N22962" s="1">
        <v>44287</v>
      </c>
    </row>
    <row r="22963" spans="11:14" x14ac:dyDescent="0.3">
      <c r="K22963" s="1">
        <v>44652</v>
      </c>
      <c r="M22963" t="e">
        <v>#N/A</v>
      </c>
      <c r="N22963" s="1">
        <v>44287</v>
      </c>
    </row>
    <row r="22964" spans="11:14" x14ac:dyDescent="0.3">
      <c r="K22964" s="1">
        <v>44652</v>
      </c>
      <c r="M22964" t="e">
        <v>#N/A</v>
      </c>
      <c r="N22964" s="1">
        <v>44287</v>
      </c>
    </row>
    <row r="22965" spans="11:14" x14ac:dyDescent="0.3">
      <c r="K22965" s="1">
        <v>44652</v>
      </c>
      <c r="M22965" t="e">
        <v>#N/A</v>
      </c>
      <c r="N22965" s="1">
        <v>44287</v>
      </c>
    </row>
    <row r="22966" spans="11:14" x14ac:dyDescent="0.3">
      <c r="K22966" s="1">
        <v>44652</v>
      </c>
      <c r="M22966" t="e">
        <v>#N/A</v>
      </c>
      <c r="N22966" s="1">
        <v>44287</v>
      </c>
    </row>
    <row r="22967" spans="11:14" x14ac:dyDescent="0.3">
      <c r="K22967" s="1">
        <v>44652</v>
      </c>
      <c r="M22967" t="e">
        <v>#N/A</v>
      </c>
      <c r="N22967" s="1">
        <v>44287</v>
      </c>
    </row>
    <row r="22968" spans="11:14" x14ac:dyDescent="0.3">
      <c r="K22968" s="1">
        <v>44652</v>
      </c>
      <c r="M22968" t="e">
        <v>#N/A</v>
      </c>
      <c r="N22968" s="1">
        <v>44287</v>
      </c>
    </row>
    <row r="22969" spans="11:14" x14ac:dyDescent="0.3">
      <c r="K22969" s="1">
        <v>44652</v>
      </c>
      <c r="M22969" t="e">
        <v>#N/A</v>
      </c>
      <c r="N22969" s="1">
        <v>44287</v>
      </c>
    </row>
    <row r="22970" spans="11:14" x14ac:dyDescent="0.3">
      <c r="K22970" s="1">
        <v>44652</v>
      </c>
      <c r="M22970" t="e">
        <v>#N/A</v>
      </c>
      <c r="N22970" s="1">
        <v>44287</v>
      </c>
    </row>
    <row r="22971" spans="11:14" x14ac:dyDescent="0.3">
      <c r="K22971" s="1">
        <v>44652</v>
      </c>
      <c r="M22971" t="e">
        <v>#N/A</v>
      </c>
      <c r="N22971" s="1">
        <v>44287</v>
      </c>
    </row>
    <row r="22972" spans="11:14" x14ac:dyDescent="0.3">
      <c r="K22972" s="1">
        <v>44652</v>
      </c>
      <c r="M22972" t="e">
        <v>#N/A</v>
      </c>
      <c r="N22972" s="1">
        <v>44287</v>
      </c>
    </row>
    <row r="22973" spans="11:14" x14ac:dyDescent="0.3">
      <c r="K22973" s="1">
        <v>44652</v>
      </c>
      <c r="M22973" t="e">
        <v>#N/A</v>
      </c>
      <c r="N22973" s="1">
        <v>44287</v>
      </c>
    </row>
    <row r="22974" spans="11:14" x14ac:dyDescent="0.3">
      <c r="K22974" s="1">
        <v>44652</v>
      </c>
      <c r="M22974" t="e">
        <v>#N/A</v>
      </c>
      <c r="N22974" s="1">
        <v>44287</v>
      </c>
    </row>
    <row r="22975" spans="11:14" x14ac:dyDescent="0.3">
      <c r="K22975" s="1">
        <v>44652</v>
      </c>
      <c r="M22975" t="e">
        <v>#N/A</v>
      </c>
      <c r="N22975" s="1">
        <v>44287</v>
      </c>
    </row>
    <row r="22976" spans="11:14" x14ac:dyDescent="0.3">
      <c r="K22976" s="1">
        <v>44652</v>
      </c>
      <c r="M22976" t="e">
        <v>#N/A</v>
      </c>
      <c r="N22976" s="1">
        <v>44287</v>
      </c>
    </row>
    <row r="22977" spans="11:14" x14ac:dyDescent="0.3">
      <c r="K22977" s="1">
        <v>44652</v>
      </c>
      <c r="M22977" t="e">
        <v>#N/A</v>
      </c>
      <c r="N22977" s="1">
        <v>44287</v>
      </c>
    </row>
    <row r="22978" spans="11:14" x14ac:dyDescent="0.3">
      <c r="K22978" s="1">
        <v>44652</v>
      </c>
      <c r="M22978" t="e">
        <v>#N/A</v>
      </c>
      <c r="N22978" s="1">
        <v>44287</v>
      </c>
    </row>
    <row r="22979" spans="11:14" x14ac:dyDescent="0.3">
      <c r="K22979" s="1">
        <v>44652</v>
      </c>
      <c r="M22979" t="e">
        <v>#N/A</v>
      </c>
      <c r="N22979" s="1">
        <v>44287</v>
      </c>
    </row>
    <row r="22980" spans="11:14" x14ac:dyDescent="0.3">
      <c r="K22980" s="1">
        <v>44652</v>
      </c>
      <c r="M22980" t="e">
        <v>#N/A</v>
      </c>
      <c r="N22980" s="1">
        <v>44287</v>
      </c>
    </row>
    <row r="22981" spans="11:14" x14ac:dyDescent="0.3">
      <c r="K22981" s="1">
        <v>44652</v>
      </c>
      <c r="M22981" t="e">
        <v>#N/A</v>
      </c>
      <c r="N22981" s="1">
        <v>44287</v>
      </c>
    </row>
    <row r="22982" spans="11:14" x14ac:dyDescent="0.3">
      <c r="K22982" s="1">
        <v>44652</v>
      </c>
      <c r="M22982" t="e">
        <v>#N/A</v>
      </c>
      <c r="N22982" s="1">
        <v>44287</v>
      </c>
    </row>
    <row r="22983" spans="11:14" x14ac:dyDescent="0.3">
      <c r="K22983" s="1">
        <v>44652</v>
      </c>
      <c r="M22983" t="e">
        <v>#N/A</v>
      </c>
      <c r="N22983" s="1">
        <v>44287</v>
      </c>
    </row>
    <row r="22984" spans="11:14" x14ac:dyDescent="0.3">
      <c r="K22984" s="1">
        <v>44652</v>
      </c>
      <c r="M22984" t="e">
        <v>#N/A</v>
      </c>
      <c r="N22984" s="1">
        <v>44287</v>
      </c>
    </row>
    <row r="22985" spans="11:14" x14ac:dyDescent="0.3">
      <c r="K22985" s="1">
        <v>44652</v>
      </c>
      <c r="M22985" t="e">
        <v>#N/A</v>
      </c>
      <c r="N22985" s="1">
        <v>44287</v>
      </c>
    </row>
    <row r="22986" spans="11:14" x14ac:dyDescent="0.3">
      <c r="K22986" s="1">
        <v>44652</v>
      </c>
      <c r="M22986" t="e">
        <v>#N/A</v>
      </c>
      <c r="N22986" s="1">
        <v>44287</v>
      </c>
    </row>
    <row r="22987" spans="11:14" x14ac:dyDescent="0.3">
      <c r="K22987" s="1">
        <v>44652</v>
      </c>
      <c r="M22987" t="e">
        <v>#N/A</v>
      </c>
      <c r="N22987" s="1">
        <v>44287</v>
      </c>
    </row>
    <row r="22988" spans="11:14" x14ac:dyDescent="0.3">
      <c r="K22988" s="1">
        <v>44652</v>
      </c>
      <c r="M22988" t="e">
        <v>#N/A</v>
      </c>
      <c r="N22988" s="1">
        <v>44287</v>
      </c>
    </row>
    <row r="22989" spans="11:14" x14ac:dyDescent="0.3">
      <c r="K22989" s="1">
        <v>44652</v>
      </c>
      <c r="M22989" t="e">
        <v>#N/A</v>
      </c>
      <c r="N22989" s="1">
        <v>44287</v>
      </c>
    </row>
    <row r="22990" spans="11:14" x14ac:dyDescent="0.3">
      <c r="K22990" s="1">
        <v>44652</v>
      </c>
      <c r="M22990" t="e">
        <v>#N/A</v>
      </c>
      <c r="N22990" s="1">
        <v>44287</v>
      </c>
    </row>
    <row r="22991" spans="11:14" x14ac:dyDescent="0.3">
      <c r="K22991" s="1">
        <v>44652</v>
      </c>
      <c r="M22991" t="e">
        <v>#N/A</v>
      </c>
      <c r="N22991" s="1">
        <v>44287</v>
      </c>
    </row>
    <row r="22992" spans="11:14" x14ac:dyDescent="0.3">
      <c r="K22992" s="1">
        <v>44652</v>
      </c>
      <c r="M22992" t="e">
        <v>#N/A</v>
      </c>
      <c r="N22992" s="1">
        <v>44287</v>
      </c>
    </row>
    <row r="22993" spans="11:14" x14ac:dyDescent="0.3">
      <c r="K22993" s="1">
        <v>44652</v>
      </c>
      <c r="M22993" t="e">
        <v>#N/A</v>
      </c>
      <c r="N22993" s="1">
        <v>44287</v>
      </c>
    </row>
    <row r="22994" spans="11:14" x14ac:dyDescent="0.3">
      <c r="K22994" s="1">
        <v>44652</v>
      </c>
      <c r="M22994" t="e">
        <v>#N/A</v>
      </c>
      <c r="N22994" s="1">
        <v>44287</v>
      </c>
    </row>
    <row r="22995" spans="11:14" x14ac:dyDescent="0.3">
      <c r="K22995" s="1">
        <v>44652</v>
      </c>
      <c r="M22995" t="e">
        <v>#N/A</v>
      </c>
      <c r="N22995" s="1">
        <v>44287</v>
      </c>
    </row>
    <row r="22996" spans="11:14" x14ac:dyDescent="0.3">
      <c r="K22996" s="1">
        <v>44652</v>
      </c>
      <c r="M22996" t="e">
        <v>#N/A</v>
      </c>
      <c r="N22996" s="1">
        <v>44287</v>
      </c>
    </row>
    <row r="22997" spans="11:14" x14ac:dyDescent="0.3">
      <c r="K22997" s="1">
        <v>44652</v>
      </c>
      <c r="M22997" t="e">
        <v>#N/A</v>
      </c>
      <c r="N22997" s="1">
        <v>44287</v>
      </c>
    </row>
    <row r="22998" spans="11:14" x14ac:dyDescent="0.3">
      <c r="K22998" s="1">
        <v>44652</v>
      </c>
      <c r="M22998" t="e">
        <v>#N/A</v>
      </c>
      <c r="N22998" s="1">
        <v>44287</v>
      </c>
    </row>
    <row r="22999" spans="11:14" x14ac:dyDescent="0.3">
      <c r="K22999" s="1">
        <v>44652</v>
      </c>
      <c r="M22999" t="e">
        <v>#N/A</v>
      </c>
      <c r="N22999" s="1">
        <v>44287</v>
      </c>
    </row>
    <row r="23000" spans="11:14" x14ac:dyDescent="0.3">
      <c r="K23000" s="1">
        <v>44652</v>
      </c>
      <c r="M23000" t="e">
        <v>#N/A</v>
      </c>
      <c r="N23000" s="1">
        <v>44287</v>
      </c>
    </row>
    <row r="23001" spans="11:14" x14ac:dyDescent="0.3">
      <c r="K23001" s="1">
        <v>44652</v>
      </c>
      <c r="M23001" t="e">
        <v>#N/A</v>
      </c>
      <c r="N23001" s="1">
        <v>44287</v>
      </c>
    </row>
    <row r="23002" spans="11:14" x14ac:dyDescent="0.3">
      <c r="K23002" s="1">
        <v>44652</v>
      </c>
      <c r="M23002" t="e">
        <v>#N/A</v>
      </c>
      <c r="N23002" s="1">
        <v>44287</v>
      </c>
    </row>
    <row r="23003" spans="11:14" x14ac:dyDescent="0.3">
      <c r="K23003" s="1">
        <v>44652</v>
      </c>
      <c r="M23003" t="e">
        <v>#N/A</v>
      </c>
      <c r="N23003" s="1">
        <v>44287</v>
      </c>
    </row>
    <row r="23004" spans="11:14" x14ac:dyDescent="0.3">
      <c r="K23004" s="1">
        <v>44652</v>
      </c>
      <c r="M23004" t="e">
        <v>#N/A</v>
      </c>
      <c r="N23004" s="1">
        <v>44287</v>
      </c>
    </row>
    <row r="23005" spans="11:14" x14ac:dyDescent="0.3">
      <c r="K23005" s="1">
        <v>44652</v>
      </c>
      <c r="M23005" t="e">
        <v>#N/A</v>
      </c>
      <c r="N23005" s="1">
        <v>44287</v>
      </c>
    </row>
    <row r="23006" spans="11:14" x14ac:dyDescent="0.3">
      <c r="K23006" s="1">
        <v>44652</v>
      </c>
      <c r="M23006" t="e">
        <v>#N/A</v>
      </c>
      <c r="N23006" s="1">
        <v>44287</v>
      </c>
    </row>
    <row r="23007" spans="11:14" x14ac:dyDescent="0.3">
      <c r="K23007" s="1">
        <v>44652</v>
      </c>
      <c r="M23007" t="e">
        <v>#N/A</v>
      </c>
      <c r="N23007" s="1">
        <v>44287</v>
      </c>
    </row>
    <row r="23008" spans="11:14" x14ac:dyDescent="0.3">
      <c r="K23008" s="1">
        <v>44652</v>
      </c>
      <c r="M23008" t="e">
        <v>#N/A</v>
      </c>
      <c r="N23008" s="1">
        <v>44287</v>
      </c>
    </row>
    <row r="23009" spans="11:14" x14ac:dyDescent="0.3">
      <c r="K23009" s="1">
        <v>44652</v>
      </c>
      <c r="M23009" t="e">
        <v>#N/A</v>
      </c>
      <c r="N23009" s="1">
        <v>44287</v>
      </c>
    </row>
    <row r="23010" spans="11:14" x14ac:dyDescent="0.3">
      <c r="K23010" s="1">
        <v>44652</v>
      </c>
      <c r="M23010" t="e">
        <v>#N/A</v>
      </c>
      <c r="N23010" s="1">
        <v>44287</v>
      </c>
    </row>
    <row r="23011" spans="11:14" x14ac:dyDescent="0.3">
      <c r="K23011" s="1">
        <v>44652</v>
      </c>
      <c r="M23011" t="e">
        <v>#N/A</v>
      </c>
      <c r="N23011" s="1">
        <v>44287</v>
      </c>
    </row>
    <row r="23012" spans="11:14" x14ac:dyDescent="0.3">
      <c r="K23012" s="1">
        <v>44652</v>
      </c>
      <c r="M23012" t="e">
        <v>#N/A</v>
      </c>
      <c r="N23012" s="1">
        <v>44287</v>
      </c>
    </row>
    <row r="23013" spans="11:14" x14ac:dyDescent="0.3">
      <c r="K23013" s="1">
        <v>44652</v>
      </c>
      <c r="M23013" t="e">
        <v>#N/A</v>
      </c>
      <c r="N23013" s="1">
        <v>44287</v>
      </c>
    </row>
    <row r="23014" spans="11:14" x14ac:dyDescent="0.3">
      <c r="K23014" s="1">
        <v>44652</v>
      </c>
      <c r="M23014" t="e">
        <v>#N/A</v>
      </c>
      <c r="N23014" s="1">
        <v>44287</v>
      </c>
    </row>
    <row r="23015" spans="11:14" x14ac:dyDescent="0.3">
      <c r="K23015" s="1">
        <v>44652</v>
      </c>
      <c r="M23015" t="e">
        <v>#N/A</v>
      </c>
      <c r="N23015" s="1">
        <v>44287</v>
      </c>
    </row>
    <row r="23016" spans="11:14" x14ac:dyDescent="0.3">
      <c r="K23016" s="1">
        <v>44652</v>
      </c>
      <c r="M23016" t="e">
        <v>#N/A</v>
      </c>
      <c r="N23016" s="1">
        <v>44287</v>
      </c>
    </row>
    <row r="23017" spans="11:14" x14ac:dyDescent="0.3">
      <c r="K23017" s="1">
        <v>44652</v>
      </c>
      <c r="M23017" t="e">
        <v>#N/A</v>
      </c>
      <c r="N23017" s="1">
        <v>44287</v>
      </c>
    </row>
    <row r="23018" spans="11:14" x14ac:dyDescent="0.3">
      <c r="K23018" s="1">
        <v>44652</v>
      </c>
      <c r="M23018" t="e">
        <v>#N/A</v>
      </c>
      <c r="N23018" s="1">
        <v>44287</v>
      </c>
    </row>
    <row r="23019" spans="11:14" x14ac:dyDescent="0.3">
      <c r="K23019" s="1">
        <v>44652</v>
      </c>
      <c r="M23019" t="e">
        <v>#N/A</v>
      </c>
      <c r="N23019" s="1">
        <v>44287</v>
      </c>
    </row>
    <row r="23020" spans="11:14" x14ac:dyDescent="0.3">
      <c r="K23020" s="1">
        <v>44652</v>
      </c>
      <c r="M23020" t="e">
        <v>#N/A</v>
      </c>
      <c r="N23020" s="1">
        <v>44287</v>
      </c>
    </row>
    <row r="23021" spans="11:14" x14ac:dyDescent="0.3">
      <c r="K23021" s="1">
        <v>44652</v>
      </c>
      <c r="M23021" t="e">
        <v>#N/A</v>
      </c>
      <c r="N23021" s="1">
        <v>44287</v>
      </c>
    </row>
    <row r="23022" spans="11:14" x14ac:dyDescent="0.3">
      <c r="K23022" s="1">
        <v>44652</v>
      </c>
      <c r="M23022" t="e">
        <v>#N/A</v>
      </c>
      <c r="N23022" s="1">
        <v>44287</v>
      </c>
    </row>
    <row r="23023" spans="11:14" x14ac:dyDescent="0.3">
      <c r="K23023" s="1">
        <v>44652</v>
      </c>
      <c r="M23023" t="e">
        <v>#N/A</v>
      </c>
      <c r="N23023" s="1">
        <v>44287</v>
      </c>
    </row>
    <row r="23024" spans="11:14" x14ac:dyDescent="0.3">
      <c r="K23024" s="1">
        <v>44652</v>
      </c>
      <c r="M23024" t="e">
        <v>#N/A</v>
      </c>
      <c r="N23024" s="1">
        <v>44287</v>
      </c>
    </row>
    <row r="23025" spans="11:14" x14ac:dyDescent="0.3">
      <c r="K23025" s="1">
        <v>44652</v>
      </c>
      <c r="M23025" t="e">
        <v>#N/A</v>
      </c>
      <c r="N23025" s="1">
        <v>44287</v>
      </c>
    </row>
    <row r="23026" spans="11:14" x14ac:dyDescent="0.3">
      <c r="K23026" s="1">
        <v>44652</v>
      </c>
      <c r="M23026" t="e">
        <v>#N/A</v>
      </c>
      <c r="N23026" s="1">
        <v>44287</v>
      </c>
    </row>
    <row r="23027" spans="11:14" x14ac:dyDescent="0.3">
      <c r="K23027" s="1">
        <v>44652</v>
      </c>
      <c r="M23027" t="e">
        <v>#N/A</v>
      </c>
      <c r="N23027" s="1">
        <v>44287</v>
      </c>
    </row>
    <row r="23028" spans="11:14" x14ac:dyDescent="0.3">
      <c r="K23028" s="1">
        <v>44652</v>
      </c>
      <c r="M23028" t="e">
        <v>#N/A</v>
      </c>
      <c r="N23028" s="1">
        <v>44287</v>
      </c>
    </row>
    <row r="23029" spans="11:14" x14ac:dyDescent="0.3">
      <c r="K23029" s="1">
        <v>44652</v>
      </c>
      <c r="M23029" t="e">
        <v>#N/A</v>
      </c>
      <c r="N23029" s="1">
        <v>44287</v>
      </c>
    </row>
    <row r="23030" spans="11:14" x14ac:dyDescent="0.3">
      <c r="K23030" s="1">
        <v>44652</v>
      </c>
      <c r="M23030" t="e">
        <v>#N/A</v>
      </c>
      <c r="N23030" s="1">
        <v>44287</v>
      </c>
    </row>
    <row r="23031" spans="11:14" x14ac:dyDescent="0.3">
      <c r="K23031" s="1">
        <v>44652</v>
      </c>
      <c r="M23031" t="e">
        <v>#N/A</v>
      </c>
      <c r="N23031" s="1">
        <v>44287</v>
      </c>
    </row>
    <row r="23032" spans="11:14" x14ac:dyDescent="0.3">
      <c r="K23032" s="1">
        <v>44652</v>
      </c>
      <c r="M23032" t="e">
        <v>#N/A</v>
      </c>
      <c r="N23032" s="1">
        <v>44287</v>
      </c>
    </row>
    <row r="23033" spans="11:14" x14ac:dyDescent="0.3">
      <c r="K23033" s="1">
        <v>44652</v>
      </c>
      <c r="M23033" t="e">
        <v>#N/A</v>
      </c>
      <c r="N23033" s="1">
        <v>44287</v>
      </c>
    </row>
    <row r="23034" spans="11:14" x14ac:dyDescent="0.3">
      <c r="K23034" s="1">
        <v>44652</v>
      </c>
      <c r="M23034" t="e">
        <v>#N/A</v>
      </c>
      <c r="N23034" s="1">
        <v>44287</v>
      </c>
    </row>
    <row r="23035" spans="11:14" x14ac:dyDescent="0.3">
      <c r="K23035" s="1">
        <v>44652</v>
      </c>
      <c r="M23035" t="e">
        <v>#N/A</v>
      </c>
      <c r="N23035" s="1">
        <v>44287</v>
      </c>
    </row>
    <row r="23036" spans="11:14" x14ac:dyDescent="0.3">
      <c r="K23036" s="1">
        <v>44652</v>
      </c>
      <c r="M23036" t="e">
        <v>#N/A</v>
      </c>
      <c r="N23036" s="1">
        <v>44287</v>
      </c>
    </row>
    <row r="23037" spans="11:14" x14ac:dyDescent="0.3">
      <c r="K23037" s="1">
        <v>44652</v>
      </c>
      <c r="M23037" t="e">
        <v>#N/A</v>
      </c>
      <c r="N23037" s="1">
        <v>44287</v>
      </c>
    </row>
    <row r="23038" spans="11:14" x14ac:dyDescent="0.3">
      <c r="K23038" s="1">
        <v>44652</v>
      </c>
      <c r="M23038" t="e">
        <v>#N/A</v>
      </c>
      <c r="N23038" s="1">
        <v>44287</v>
      </c>
    </row>
    <row r="23039" spans="11:14" x14ac:dyDescent="0.3">
      <c r="K23039" s="1">
        <v>44652</v>
      </c>
      <c r="M23039" t="e">
        <v>#N/A</v>
      </c>
      <c r="N23039" s="1">
        <v>44287</v>
      </c>
    </row>
    <row r="23040" spans="11:14" x14ac:dyDescent="0.3">
      <c r="K23040" s="1">
        <v>44652</v>
      </c>
      <c r="M23040" t="e">
        <v>#N/A</v>
      </c>
      <c r="N23040" s="1">
        <v>44287</v>
      </c>
    </row>
    <row r="23041" spans="11:14" x14ac:dyDescent="0.3">
      <c r="K23041" s="1">
        <v>44652</v>
      </c>
      <c r="M23041" t="e">
        <v>#N/A</v>
      </c>
      <c r="N23041" s="1">
        <v>44287</v>
      </c>
    </row>
    <row r="23042" spans="11:14" x14ac:dyDescent="0.3">
      <c r="K23042" s="1">
        <v>44652</v>
      </c>
      <c r="M23042" t="e">
        <v>#N/A</v>
      </c>
      <c r="N23042" s="1">
        <v>44287</v>
      </c>
    </row>
    <row r="23043" spans="11:14" x14ac:dyDescent="0.3">
      <c r="K23043" s="1">
        <v>44652</v>
      </c>
      <c r="M23043" t="e">
        <v>#N/A</v>
      </c>
      <c r="N23043" s="1">
        <v>44287</v>
      </c>
    </row>
    <row r="23044" spans="11:14" x14ac:dyDescent="0.3">
      <c r="K23044" s="1">
        <v>44652</v>
      </c>
      <c r="M23044" t="e">
        <v>#N/A</v>
      </c>
      <c r="N23044" s="1">
        <v>44287</v>
      </c>
    </row>
    <row r="23045" spans="11:14" x14ac:dyDescent="0.3">
      <c r="K23045" s="1">
        <v>44652</v>
      </c>
      <c r="M23045" t="e">
        <v>#N/A</v>
      </c>
      <c r="N23045" s="1">
        <v>44287</v>
      </c>
    </row>
    <row r="23046" spans="11:14" x14ac:dyDescent="0.3">
      <c r="K23046" s="1">
        <v>44652</v>
      </c>
      <c r="M23046" t="e">
        <v>#N/A</v>
      </c>
      <c r="N23046" s="1">
        <v>44287</v>
      </c>
    </row>
    <row r="23047" spans="11:14" x14ac:dyDescent="0.3">
      <c r="K23047" s="1">
        <v>44652</v>
      </c>
      <c r="M23047" t="e">
        <v>#N/A</v>
      </c>
      <c r="N23047" s="1">
        <v>44287</v>
      </c>
    </row>
    <row r="23048" spans="11:14" x14ac:dyDescent="0.3">
      <c r="K23048" s="1">
        <v>44652</v>
      </c>
      <c r="M23048" t="e">
        <v>#N/A</v>
      </c>
      <c r="N23048" s="1">
        <v>44287</v>
      </c>
    </row>
    <row r="23049" spans="11:14" x14ac:dyDescent="0.3">
      <c r="K23049" s="1">
        <v>44652</v>
      </c>
      <c r="M23049" t="e">
        <v>#N/A</v>
      </c>
      <c r="N23049" s="1">
        <v>44287</v>
      </c>
    </row>
    <row r="23050" spans="11:14" x14ac:dyDescent="0.3">
      <c r="K23050" s="1">
        <v>44652</v>
      </c>
      <c r="M23050" t="e">
        <v>#N/A</v>
      </c>
      <c r="N23050" s="1">
        <v>44287</v>
      </c>
    </row>
    <row r="23051" spans="11:14" x14ac:dyDescent="0.3">
      <c r="K23051" s="1">
        <v>44652</v>
      </c>
      <c r="M23051" t="e">
        <v>#N/A</v>
      </c>
      <c r="N23051" s="1">
        <v>44287</v>
      </c>
    </row>
    <row r="23052" spans="11:14" x14ac:dyDescent="0.3">
      <c r="K23052" s="1">
        <v>44652</v>
      </c>
      <c r="M23052" t="e">
        <v>#N/A</v>
      </c>
      <c r="N23052" s="1">
        <v>44287</v>
      </c>
    </row>
    <row r="23053" spans="11:14" x14ac:dyDescent="0.3">
      <c r="K23053" s="1">
        <v>44652</v>
      </c>
      <c r="M23053" t="e">
        <v>#N/A</v>
      </c>
      <c r="N23053" s="1">
        <v>44287</v>
      </c>
    </row>
    <row r="23054" spans="11:14" x14ac:dyDescent="0.3">
      <c r="K23054" s="1">
        <v>44652</v>
      </c>
      <c r="M23054" t="e">
        <v>#N/A</v>
      </c>
      <c r="N23054" s="1">
        <v>44287</v>
      </c>
    </row>
    <row r="23055" spans="11:14" x14ac:dyDescent="0.3">
      <c r="K23055" s="1">
        <v>44652</v>
      </c>
      <c r="M23055" t="e">
        <v>#N/A</v>
      </c>
      <c r="N23055" s="1">
        <v>44287</v>
      </c>
    </row>
    <row r="23056" spans="11:14" x14ac:dyDescent="0.3">
      <c r="K23056" s="1">
        <v>44652</v>
      </c>
      <c r="M23056" t="e">
        <v>#N/A</v>
      </c>
      <c r="N23056" s="1">
        <v>44287</v>
      </c>
    </row>
    <row r="23057" spans="11:14" x14ac:dyDescent="0.3">
      <c r="K23057" s="1">
        <v>44652</v>
      </c>
      <c r="M23057" t="e">
        <v>#N/A</v>
      </c>
      <c r="N23057" s="1">
        <v>44287</v>
      </c>
    </row>
    <row r="23058" spans="11:14" x14ac:dyDescent="0.3">
      <c r="K23058" s="1">
        <v>44652</v>
      </c>
      <c r="M23058" t="e">
        <v>#N/A</v>
      </c>
      <c r="N23058" s="1">
        <v>44287</v>
      </c>
    </row>
    <row r="23059" spans="11:14" x14ac:dyDescent="0.3">
      <c r="K23059" s="1">
        <v>44652</v>
      </c>
      <c r="M23059" t="e">
        <v>#N/A</v>
      </c>
      <c r="N23059" s="1">
        <v>44287</v>
      </c>
    </row>
    <row r="23060" spans="11:14" x14ac:dyDescent="0.3">
      <c r="K23060" s="1">
        <v>44652</v>
      </c>
      <c r="M23060" t="e">
        <v>#N/A</v>
      </c>
      <c r="N23060" s="1">
        <v>44287</v>
      </c>
    </row>
    <row r="23061" spans="11:14" x14ac:dyDescent="0.3">
      <c r="K23061" s="1">
        <v>44652</v>
      </c>
      <c r="M23061" t="e">
        <v>#N/A</v>
      </c>
      <c r="N23061" s="1">
        <v>44287</v>
      </c>
    </row>
    <row r="23062" spans="11:14" x14ac:dyDescent="0.3">
      <c r="K23062" s="1">
        <v>44652</v>
      </c>
      <c r="M23062" t="e">
        <v>#N/A</v>
      </c>
      <c r="N23062" s="1">
        <v>44287</v>
      </c>
    </row>
    <row r="23063" spans="11:14" x14ac:dyDescent="0.3">
      <c r="K23063" s="1">
        <v>44652</v>
      </c>
      <c r="M23063" t="e">
        <v>#N/A</v>
      </c>
      <c r="N23063" s="1">
        <v>44287</v>
      </c>
    </row>
    <row r="23064" spans="11:14" x14ac:dyDescent="0.3">
      <c r="K23064" s="1">
        <v>44652</v>
      </c>
      <c r="M23064" t="e">
        <v>#N/A</v>
      </c>
      <c r="N23064" s="1">
        <v>44287</v>
      </c>
    </row>
    <row r="23065" spans="11:14" x14ac:dyDescent="0.3">
      <c r="K23065" s="1">
        <v>44652</v>
      </c>
      <c r="M23065" t="e">
        <v>#N/A</v>
      </c>
      <c r="N23065" s="1">
        <v>44287</v>
      </c>
    </row>
    <row r="23066" spans="11:14" x14ac:dyDescent="0.3">
      <c r="K23066" s="1">
        <v>44652</v>
      </c>
      <c r="M23066" t="e">
        <v>#N/A</v>
      </c>
      <c r="N23066" s="1">
        <v>44287</v>
      </c>
    </row>
    <row r="23067" spans="11:14" x14ac:dyDescent="0.3">
      <c r="K23067" s="1">
        <v>44652</v>
      </c>
      <c r="M23067" t="e">
        <v>#N/A</v>
      </c>
      <c r="N23067" s="1">
        <v>44287</v>
      </c>
    </row>
    <row r="23068" spans="11:14" x14ac:dyDescent="0.3">
      <c r="K23068" s="1">
        <v>44652</v>
      </c>
      <c r="M23068" t="e">
        <v>#N/A</v>
      </c>
      <c r="N23068" s="1">
        <v>44287</v>
      </c>
    </row>
    <row r="23069" spans="11:14" x14ac:dyDescent="0.3">
      <c r="K23069" s="1">
        <v>44652</v>
      </c>
      <c r="M23069" t="e">
        <v>#N/A</v>
      </c>
      <c r="N23069" s="1">
        <v>44287</v>
      </c>
    </row>
    <row r="23070" spans="11:14" x14ac:dyDescent="0.3">
      <c r="K23070" s="1">
        <v>44652</v>
      </c>
      <c r="M23070" t="e">
        <v>#N/A</v>
      </c>
      <c r="N23070" s="1">
        <v>44287</v>
      </c>
    </row>
    <row r="23071" spans="11:14" x14ac:dyDescent="0.3">
      <c r="K23071" s="1">
        <v>44652</v>
      </c>
      <c r="M23071" t="e">
        <v>#N/A</v>
      </c>
      <c r="N23071" s="1">
        <v>44287</v>
      </c>
    </row>
    <row r="23072" spans="11:14" x14ac:dyDescent="0.3">
      <c r="K23072" s="1">
        <v>44652</v>
      </c>
      <c r="M23072" t="e">
        <v>#N/A</v>
      </c>
      <c r="N23072" s="1">
        <v>44287</v>
      </c>
    </row>
    <row r="23073" spans="11:14" x14ac:dyDescent="0.3">
      <c r="K23073" s="1">
        <v>44652</v>
      </c>
      <c r="M23073" t="e">
        <v>#N/A</v>
      </c>
      <c r="N23073" s="1">
        <v>44287</v>
      </c>
    </row>
    <row r="23074" spans="11:14" x14ac:dyDescent="0.3">
      <c r="K23074" s="1">
        <v>44652</v>
      </c>
      <c r="M23074" t="e">
        <v>#N/A</v>
      </c>
      <c r="N23074" s="1">
        <v>44287</v>
      </c>
    </row>
    <row r="23075" spans="11:14" x14ac:dyDescent="0.3">
      <c r="K23075" s="1">
        <v>44652</v>
      </c>
      <c r="M23075" t="e">
        <v>#N/A</v>
      </c>
      <c r="N23075" s="1">
        <v>44287</v>
      </c>
    </row>
    <row r="23076" spans="11:14" x14ac:dyDescent="0.3">
      <c r="K23076" s="1">
        <v>44652</v>
      </c>
      <c r="M23076" t="e">
        <v>#N/A</v>
      </c>
      <c r="N23076" s="1">
        <v>44287</v>
      </c>
    </row>
    <row r="23077" spans="11:14" x14ac:dyDescent="0.3">
      <c r="K23077" s="1">
        <v>44652</v>
      </c>
      <c r="M23077" t="e">
        <v>#N/A</v>
      </c>
      <c r="N23077" s="1">
        <v>44287</v>
      </c>
    </row>
    <row r="23078" spans="11:14" x14ac:dyDescent="0.3">
      <c r="K23078" s="1">
        <v>44652</v>
      </c>
      <c r="M23078" t="e">
        <v>#N/A</v>
      </c>
      <c r="N23078" s="1">
        <v>44287</v>
      </c>
    </row>
    <row r="23079" spans="11:14" x14ac:dyDescent="0.3">
      <c r="K23079" s="1">
        <v>44652</v>
      </c>
      <c r="M23079" t="e">
        <v>#N/A</v>
      </c>
      <c r="N23079" s="1">
        <v>44287</v>
      </c>
    </row>
    <row r="23080" spans="11:14" x14ac:dyDescent="0.3">
      <c r="K23080" s="1">
        <v>44652</v>
      </c>
      <c r="M23080" t="e">
        <v>#N/A</v>
      </c>
      <c r="N23080" s="1">
        <v>44287</v>
      </c>
    </row>
    <row r="23081" spans="11:14" x14ac:dyDescent="0.3">
      <c r="K23081" s="1">
        <v>44652</v>
      </c>
      <c r="M23081" t="e">
        <v>#N/A</v>
      </c>
      <c r="N23081" s="1">
        <v>44287</v>
      </c>
    </row>
    <row r="23082" spans="11:14" x14ac:dyDescent="0.3">
      <c r="K23082" s="1">
        <v>44652</v>
      </c>
      <c r="M23082" t="e">
        <v>#N/A</v>
      </c>
      <c r="N23082" s="1">
        <v>44287</v>
      </c>
    </row>
    <row r="23083" spans="11:14" x14ac:dyDescent="0.3">
      <c r="K23083" s="1">
        <v>44652</v>
      </c>
      <c r="M23083" t="e">
        <v>#N/A</v>
      </c>
      <c r="N23083" s="1">
        <v>44287</v>
      </c>
    </row>
    <row r="23084" spans="11:14" x14ac:dyDescent="0.3">
      <c r="K23084" s="1">
        <v>44652</v>
      </c>
      <c r="M23084" t="e">
        <v>#N/A</v>
      </c>
      <c r="N23084" s="1">
        <v>44287</v>
      </c>
    </row>
    <row r="23085" spans="11:14" x14ac:dyDescent="0.3">
      <c r="K23085" s="1">
        <v>44652</v>
      </c>
      <c r="M23085" t="e">
        <v>#N/A</v>
      </c>
      <c r="N23085" s="1">
        <v>44287</v>
      </c>
    </row>
    <row r="23086" spans="11:14" x14ac:dyDescent="0.3">
      <c r="K23086" s="1">
        <v>44652</v>
      </c>
      <c r="M23086" t="e">
        <v>#N/A</v>
      </c>
      <c r="N23086" s="1">
        <v>44287</v>
      </c>
    </row>
    <row r="23087" spans="11:14" x14ac:dyDescent="0.3">
      <c r="K23087" s="1">
        <v>44652</v>
      </c>
      <c r="M23087" t="e">
        <v>#N/A</v>
      </c>
      <c r="N23087" s="1">
        <v>44287</v>
      </c>
    </row>
    <row r="23088" spans="11:14" x14ac:dyDescent="0.3">
      <c r="K23088" s="1">
        <v>44652</v>
      </c>
      <c r="M23088" t="e">
        <v>#N/A</v>
      </c>
      <c r="N23088" s="1">
        <v>44287</v>
      </c>
    </row>
    <row r="23089" spans="11:14" x14ac:dyDescent="0.3">
      <c r="K23089" s="1">
        <v>44652</v>
      </c>
      <c r="M23089" t="e">
        <v>#N/A</v>
      </c>
      <c r="N23089" s="1">
        <v>44287</v>
      </c>
    </row>
    <row r="23090" spans="11:14" x14ac:dyDescent="0.3">
      <c r="K23090" s="1">
        <v>44652</v>
      </c>
      <c r="M23090" t="e">
        <v>#N/A</v>
      </c>
      <c r="N23090" s="1">
        <v>44287</v>
      </c>
    </row>
    <row r="23091" spans="11:14" x14ac:dyDescent="0.3">
      <c r="K23091" s="1">
        <v>44652</v>
      </c>
      <c r="M23091" t="e">
        <v>#N/A</v>
      </c>
      <c r="N23091" s="1">
        <v>44287</v>
      </c>
    </row>
    <row r="23092" spans="11:14" x14ac:dyDescent="0.3">
      <c r="K23092" s="1">
        <v>44652</v>
      </c>
      <c r="M23092" t="e">
        <v>#N/A</v>
      </c>
      <c r="N23092" s="1">
        <v>44287</v>
      </c>
    </row>
    <row r="23093" spans="11:14" x14ac:dyDescent="0.3">
      <c r="K23093" s="1">
        <v>44652</v>
      </c>
      <c r="M23093" t="e">
        <v>#N/A</v>
      </c>
      <c r="N23093" s="1">
        <v>44287</v>
      </c>
    </row>
    <row r="23094" spans="11:14" x14ac:dyDescent="0.3">
      <c r="K23094" s="1">
        <v>44652</v>
      </c>
      <c r="M23094" t="e">
        <v>#N/A</v>
      </c>
      <c r="N23094" s="1">
        <v>44287</v>
      </c>
    </row>
    <row r="23095" spans="11:14" x14ac:dyDescent="0.3">
      <c r="K23095" s="1">
        <v>44652</v>
      </c>
      <c r="M23095" t="e">
        <v>#N/A</v>
      </c>
      <c r="N23095" s="1">
        <v>44287</v>
      </c>
    </row>
    <row r="23096" spans="11:14" x14ac:dyDescent="0.3">
      <c r="K23096" s="1">
        <v>44652</v>
      </c>
      <c r="M23096" t="e">
        <v>#N/A</v>
      </c>
      <c r="N23096" s="1">
        <v>44287</v>
      </c>
    </row>
    <row r="23097" spans="11:14" x14ac:dyDescent="0.3">
      <c r="K23097" s="1">
        <v>44652</v>
      </c>
      <c r="M23097" t="e">
        <v>#N/A</v>
      </c>
      <c r="N23097" s="1">
        <v>44287</v>
      </c>
    </row>
    <row r="23098" spans="11:14" x14ac:dyDescent="0.3">
      <c r="K23098" s="1">
        <v>44652</v>
      </c>
      <c r="M23098" t="e">
        <v>#N/A</v>
      </c>
      <c r="N23098" s="1">
        <v>44287</v>
      </c>
    </row>
    <row r="23099" spans="11:14" x14ac:dyDescent="0.3">
      <c r="K23099" s="1">
        <v>44652</v>
      </c>
      <c r="M23099" t="e">
        <v>#N/A</v>
      </c>
      <c r="N23099" s="1">
        <v>44287</v>
      </c>
    </row>
    <row r="23100" spans="11:14" x14ac:dyDescent="0.3">
      <c r="K23100" s="1">
        <v>44652</v>
      </c>
      <c r="M23100" t="e">
        <v>#N/A</v>
      </c>
      <c r="N23100" s="1">
        <v>44287</v>
      </c>
    </row>
    <row r="23101" spans="11:14" x14ac:dyDescent="0.3">
      <c r="K23101" s="1">
        <v>44652</v>
      </c>
      <c r="M23101" t="e">
        <v>#N/A</v>
      </c>
      <c r="N23101" s="1">
        <v>44287</v>
      </c>
    </row>
    <row r="23102" spans="11:14" x14ac:dyDescent="0.3">
      <c r="K23102" s="1">
        <v>44652</v>
      </c>
      <c r="M23102" t="e">
        <v>#N/A</v>
      </c>
      <c r="N23102" s="1">
        <v>44287</v>
      </c>
    </row>
    <row r="23103" spans="11:14" x14ac:dyDescent="0.3">
      <c r="K23103" s="1">
        <v>44652</v>
      </c>
      <c r="M23103" t="e">
        <v>#N/A</v>
      </c>
      <c r="N23103" s="1">
        <v>44287</v>
      </c>
    </row>
    <row r="23104" spans="11:14" x14ac:dyDescent="0.3">
      <c r="K23104" s="1">
        <v>44652</v>
      </c>
      <c r="M23104" t="e">
        <v>#N/A</v>
      </c>
      <c r="N23104" s="1">
        <v>44287</v>
      </c>
    </row>
    <row r="23105" spans="11:14" x14ac:dyDescent="0.3">
      <c r="K23105" s="1">
        <v>44652</v>
      </c>
      <c r="M23105" t="e">
        <v>#N/A</v>
      </c>
      <c r="N23105" s="1">
        <v>44287</v>
      </c>
    </row>
    <row r="23106" spans="11:14" x14ac:dyDescent="0.3">
      <c r="K23106" s="1">
        <v>44652</v>
      </c>
      <c r="M23106" t="e">
        <v>#N/A</v>
      </c>
      <c r="N23106" s="1">
        <v>44287</v>
      </c>
    </row>
    <row r="23107" spans="11:14" x14ac:dyDescent="0.3">
      <c r="K23107" s="1">
        <v>44652</v>
      </c>
      <c r="M23107" t="e">
        <v>#N/A</v>
      </c>
      <c r="N23107" s="1">
        <v>44287</v>
      </c>
    </row>
    <row r="23108" spans="11:14" x14ac:dyDescent="0.3">
      <c r="K23108" s="1">
        <v>44652</v>
      </c>
      <c r="M23108" t="e">
        <v>#N/A</v>
      </c>
      <c r="N23108" s="1">
        <v>44287</v>
      </c>
    </row>
    <row r="23109" spans="11:14" x14ac:dyDescent="0.3">
      <c r="K23109" s="1">
        <v>44652</v>
      </c>
      <c r="M23109" t="e">
        <v>#N/A</v>
      </c>
      <c r="N23109" s="1">
        <v>44287</v>
      </c>
    </row>
    <row r="23110" spans="11:14" x14ac:dyDescent="0.3">
      <c r="K23110" s="1">
        <v>44652</v>
      </c>
      <c r="M23110" t="e">
        <v>#N/A</v>
      </c>
      <c r="N23110" s="1">
        <v>44287</v>
      </c>
    </row>
    <row r="23111" spans="11:14" x14ac:dyDescent="0.3">
      <c r="K23111" s="1">
        <v>44652</v>
      </c>
      <c r="M23111" t="e">
        <v>#N/A</v>
      </c>
      <c r="N23111" s="1">
        <v>44287</v>
      </c>
    </row>
    <row r="23112" spans="11:14" x14ac:dyDescent="0.3">
      <c r="K23112" s="1">
        <v>44652</v>
      </c>
      <c r="M23112" t="e">
        <v>#N/A</v>
      </c>
      <c r="N23112" s="1">
        <v>44287</v>
      </c>
    </row>
    <row r="23113" spans="11:14" x14ac:dyDescent="0.3">
      <c r="K23113" s="1">
        <v>44652</v>
      </c>
      <c r="M23113" t="e">
        <v>#N/A</v>
      </c>
      <c r="N23113" s="1">
        <v>44287</v>
      </c>
    </row>
    <row r="23114" spans="11:14" x14ac:dyDescent="0.3">
      <c r="K23114" s="1">
        <v>44652</v>
      </c>
      <c r="M23114" t="e">
        <v>#N/A</v>
      </c>
      <c r="N23114" s="1">
        <v>44287</v>
      </c>
    </row>
    <row r="23115" spans="11:14" x14ac:dyDescent="0.3">
      <c r="K23115" s="1">
        <v>44652</v>
      </c>
      <c r="M23115" t="e">
        <v>#N/A</v>
      </c>
      <c r="N23115" s="1">
        <v>44287</v>
      </c>
    </row>
    <row r="23116" spans="11:14" x14ac:dyDescent="0.3">
      <c r="K23116" s="1">
        <v>44652</v>
      </c>
      <c r="M23116" t="e">
        <v>#N/A</v>
      </c>
      <c r="N23116" s="1">
        <v>44287</v>
      </c>
    </row>
    <row r="23117" spans="11:14" x14ac:dyDescent="0.3">
      <c r="K23117" s="1">
        <v>44652</v>
      </c>
      <c r="M23117" t="e">
        <v>#N/A</v>
      </c>
      <c r="N23117" s="1">
        <v>44287</v>
      </c>
    </row>
    <row r="23118" spans="11:14" x14ac:dyDescent="0.3">
      <c r="K23118" s="1">
        <v>44652</v>
      </c>
      <c r="M23118" t="e">
        <v>#N/A</v>
      </c>
      <c r="N23118" s="1">
        <v>44287</v>
      </c>
    </row>
    <row r="23119" spans="11:14" x14ac:dyDescent="0.3">
      <c r="K23119" s="1">
        <v>44652</v>
      </c>
      <c r="M23119" t="e">
        <v>#N/A</v>
      </c>
      <c r="N23119" s="1">
        <v>44287</v>
      </c>
    </row>
    <row r="23120" spans="11:14" x14ac:dyDescent="0.3">
      <c r="K23120" s="1">
        <v>44652</v>
      </c>
      <c r="M23120" t="e">
        <v>#N/A</v>
      </c>
      <c r="N23120" s="1">
        <v>44287</v>
      </c>
    </row>
    <row r="23121" spans="11:14" x14ac:dyDescent="0.3">
      <c r="K23121" s="1">
        <v>44652</v>
      </c>
      <c r="M23121" t="e">
        <v>#N/A</v>
      </c>
      <c r="N23121" s="1">
        <v>44287</v>
      </c>
    </row>
    <row r="23122" spans="11:14" x14ac:dyDescent="0.3">
      <c r="K23122" s="1">
        <v>44652</v>
      </c>
      <c r="M23122" t="e">
        <v>#N/A</v>
      </c>
      <c r="N23122" s="1">
        <v>44287</v>
      </c>
    </row>
    <row r="23123" spans="11:14" x14ac:dyDescent="0.3">
      <c r="K23123" s="1">
        <v>44652</v>
      </c>
      <c r="M23123" t="e">
        <v>#N/A</v>
      </c>
      <c r="N23123" s="1">
        <v>44287</v>
      </c>
    </row>
    <row r="23124" spans="11:14" x14ac:dyDescent="0.3">
      <c r="K23124" s="1">
        <v>44652</v>
      </c>
      <c r="M23124" t="e">
        <v>#N/A</v>
      </c>
      <c r="N23124" s="1">
        <v>44287</v>
      </c>
    </row>
    <row r="23125" spans="11:14" x14ac:dyDescent="0.3">
      <c r="K23125" s="1">
        <v>44652</v>
      </c>
      <c r="M23125" t="e">
        <v>#N/A</v>
      </c>
      <c r="N23125" s="1">
        <v>44287</v>
      </c>
    </row>
    <row r="23126" spans="11:14" x14ac:dyDescent="0.3">
      <c r="K23126" s="1">
        <v>44652</v>
      </c>
      <c r="M23126" t="e">
        <v>#N/A</v>
      </c>
      <c r="N23126" s="1">
        <v>44287</v>
      </c>
    </row>
    <row r="23127" spans="11:14" x14ac:dyDescent="0.3">
      <c r="K23127" s="1">
        <v>44652</v>
      </c>
      <c r="M23127" t="e">
        <v>#N/A</v>
      </c>
      <c r="N23127" s="1">
        <v>44287</v>
      </c>
    </row>
    <row r="23128" spans="11:14" x14ac:dyDescent="0.3">
      <c r="K23128" s="1">
        <v>44652</v>
      </c>
      <c r="M23128" t="e">
        <v>#N/A</v>
      </c>
      <c r="N23128" s="1">
        <v>44287</v>
      </c>
    </row>
    <row r="23129" spans="11:14" x14ac:dyDescent="0.3">
      <c r="K23129" s="1">
        <v>44652</v>
      </c>
      <c r="M23129" t="e">
        <v>#N/A</v>
      </c>
      <c r="N23129" s="1">
        <v>44287</v>
      </c>
    </row>
    <row r="23130" spans="11:14" x14ac:dyDescent="0.3">
      <c r="K23130" s="1">
        <v>44652</v>
      </c>
      <c r="M23130" t="e">
        <v>#N/A</v>
      </c>
      <c r="N23130" s="1">
        <v>44287</v>
      </c>
    </row>
    <row r="23131" spans="11:14" x14ac:dyDescent="0.3">
      <c r="K23131" s="1">
        <v>44652</v>
      </c>
      <c r="M23131" t="e">
        <v>#N/A</v>
      </c>
      <c r="N23131" s="1">
        <v>44287</v>
      </c>
    </row>
    <row r="23132" spans="11:14" x14ac:dyDescent="0.3">
      <c r="K23132" s="1">
        <v>44652</v>
      </c>
      <c r="M23132" t="e">
        <v>#N/A</v>
      </c>
      <c r="N23132" s="1">
        <v>44287</v>
      </c>
    </row>
    <row r="23133" spans="11:14" x14ac:dyDescent="0.3">
      <c r="K23133" s="1">
        <v>44652</v>
      </c>
      <c r="M23133" t="e">
        <v>#N/A</v>
      </c>
      <c r="N23133" s="1">
        <v>44287</v>
      </c>
    </row>
    <row r="23134" spans="11:14" x14ac:dyDescent="0.3">
      <c r="K23134" s="1">
        <v>44652</v>
      </c>
      <c r="M23134" t="e">
        <v>#N/A</v>
      </c>
      <c r="N23134" s="1">
        <v>44287</v>
      </c>
    </row>
    <row r="23135" spans="11:14" x14ac:dyDescent="0.3">
      <c r="K23135" s="1">
        <v>44743</v>
      </c>
      <c r="M23135" t="e">
        <v>#N/A</v>
      </c>
      <c r="N23135" s="1">
        <v>44287</v>
      </c>
    </row>
    <row r="23136" spans="11:14" x14ac:dyDescent="0.3">
      <c r="K23136" s="1">
        <v>44743</v>
      </c>
      <c r="M23136" t="e">
        <v>#N/A</v>
      </c>
      <c r="N23136" s="1">
        <v>44287</v>
      </c>
    </row>
    <row r="23137" spans="11:14" x14ac:dyDescent="0.3">
      <c r="K23137" s="1">
        <v>44743</v>
      </c>
      <c r="M23137" t="e">
        <v>#N/A</v>
      </c>
      <c r="N23137" s="1">
        <v>44287</v>
      </c>
    </row>
    <row r="23138" spans="11:14" x14ac:dyDescent="0.3">
      <c r="K23138" s="1">
        <v>44743</v>
      </c>
      <c r="M23138" t="e">
        <v>#N/A</v>
      </c>
      <c r="N23138" s="1">
        <v>44287</v>
      </c>
    </row>
    <row r="23139" spans="11:14" x14ac:dyDescent="0.3">
      <c r="K23139" s="1">
        <v>44743</v>
      </c>
      <c r="M23139" t="e">
        <v>#N/A</v>
      </c>
      <c r="N23139" s="1">
        <v>44287</v>
      </c>
    </row>
    <row r="23140" spans="11:14" x14ac:dyDescent="0.3">
      <c r="K23140" s="1">
        <v>44743</v>
      </c>
      <c r="M23140" t="e">
        <v>#N/A</v>
      </c>
      <c r="N23140" s="1">
        <v>44287</v>
      </c>
    </row>
    <row r="23141" spans="11:14" x14ac:dyDescent="0.3">
      <c r="K23141" s="1">
        <v>44743</v>
      </c>
      <c r="M23141" t="e">
        <v>#N/A</v>
      </c>
      <c r="N23141" s="1">
        <v>44287</v>
      </c>
    </row>
    <row r="23142" spans="11:14" x14ac:dyDescent="0.3">
      <c r="K23142" s="1">
        <v>44743</v>
      </c>
      <c r="M23142" t="e">
        <v>#N/A</v>
      </c>
      <c r="N23142" s="1">
        <v>44287</v>
      </c>
    </row>
    <row r="23143" spans="11:14" x14ac:dyDescent="0.3">
      <c r="K23143" s="1">
        <v>44743</v>
      </c>
      <c r="M23143" t="e">
        <v>#N/A</v>
      </c>
      <c r="N23143" s="1">
        <v>44287</v>
      </c>
    </row>
    <row r="23144" spans="11:14" x14ac:dyDescent="0.3">
      <c r="K23144" s="1">
        <v>44743</v>
      </c>
      <c r="M23144" t="e">
        <v>#N/A</v>
      </c>
      <c r="N23144" s="1">
        <v>44287</v>
      </c>
    </row>
    <row r="23145" spans="11:14" x14ac:dyDescent="0.3">
      <c r="K23145" s="1">
        <v>44743</v>
      </c>
      <c r="M23145" t="e">
        <v>#N/A</v>
      </c>
      <c r="N23145" s="1">
        <v>44287</v>
      </c>
    </row>
    <row r="23146" spans="11:14" x14ac:dyDescent="0.3">
      <c r="K23146" s="1">
        <v>44743</v>
      </c>
      <c r="M23146" t="e">
        <v>#N/A</v>
      </c>
      <c r="N23146" s="1">
        <v>44287</v>
      </c>
    </row>
    <row r="23147" spans="11:14" x14ac:dyDescent="0.3">
      <c r="K23147" s="1">
        <v>44743</v>
      </c>
      <c r="M23147" t="e">
        <v>#N/A</v>
      </c>
      <c r="N23147" s="1">
        <v>44287</v>
      </c>
    </row>
    <row r="23148" spans="11:14" x14ac:dyDescent="0.3">
      <c r="K23148" s="1">
        <v>44743</v>
      </c>
      <c r="M23148" t="e">
        <v>#N/A</v>
      </c>
      <c r="N23148" s="1">
        <v>44287</v>
      </c>
    </row>
    <row r="23149" spans="11:14" x14ac:dyDescent="0.3">
      <c r="K23149" s="1">
        <v>44743</v>
      </c>
      <c r="M23149" t="e">
        <v>#N/A</v>
      </c>
      <c r="N23149" s="1">
        <v>44287</v>
      </c>
    </row>
    <row r="23150" spans="11:14" x14ac:dyDescent="0.3">
      <c r="K23150" s="1">
        <v>44743</v>
      </c>
      <c r="M23150" t="e">
        <v>#N/A</v>
      </c>
      <c r="N23150" s="1">
        <v>44287</v>
      </c>
    </row>
    <row r="23151" spans="11:14" x14ac:dyDescent="0.3">
      <c r="K23151" s="1">
        <v>44743</v>
      </c>
      <c r="M23151" t="e">
        <v>#N/A</v>
      </c>
      <c r="N23151" s="1">
        <v>44287</v>
      </c>
    </row>
    <row r="23152" spans="11:14" x14ac:dyDescent="0.3">
      <c r="K23152" s="1">
        <v>44743</v>
      </c>
      <c r="M23152" t="e">
        <v>#N/A</v>
      </c>
      <c r="N23152" s="1">
        <v>44287</v>
      </c>
    </row>
    <row r="23153" spans="11:14" x14ac:dyDescent="0.3">
      <c r="K23153" s="1">
        <v>44743</v>
      </c>
      <c r="M23153" t="e">
        <v>#N/A</v>
      </c>
      <c r="N23153" s="1">
        <v>44287</v>
      </c>
    </row>
    <row r="23154" spans="11:14" x14ac:dyDescent="0.3">
      <c r="K23154" s="1">
        <v>44743</v>
      </c>
      <c r="M23154" t="e">
        <v>#N/A</v>
      </c>
      <c r="N23154" s="1">
        <v>44287</v>
      </c>
    </row>
    <row r="23155" spans="11:14" x14ac:dyDescent="0.3">
      <c r="K23155" s="1">
        <v>44743</v>
      </c>
      <c r="M23155" t="e">
        <v>#N/A</v>
      </c>
      <c r="N23155" s="1">
        <v>44287</v>
      </c>
    </row>
    <row r="23156" spans="11:14" x14ac:dyDescent="0.3">
      <c r="K23156" s="1">
        <v>44743</v>
      </c>
      <c r="M23156" t="e">
        <v>#N/A</v>
      </c>
      <c r="N23156" s="1">
        <v>44287</v>
      </c>
    </row>
    <row r="23157" spans="11:14" x14ac:dyDescent="0.3">
      <c r="K23157" s="1">
        <v>44743</v>
      </c>
      <c r="M23157" t="e">
        <v>#N/A</v>
      </c>
      <c r="N23157" s="1">
        <v>44287</v>
      </c>
    </row>
    <row r="23158" spans="11:14" x14ac:dyDescent="0.3">
      <c r="K23158" s="1">
        <v>44743</v>
      </c>
      <c r="M23158" t="e">
        <v>#N/A</v>
      </c>
      <c r="N23158" s="1">
        <v>44287</v>
      </c>
    </row>
    <row r="23159" spans="11:14" x14ac:dyDescent="0.3">
      <c r="K23159" s="1">
        <v>44743</v>
      </c>
      <c r="M23159" t="e">
        <v>#N/A</v>
      </c>
      <c r="N23159" s="1">
        <v>44287</v>
      </c>
    </row>
    <row r="23160" spans="11:14" x14ac:dyDescent="0.3">
      <c r="K23160" s="1">
        <v>44743</v>
      </c>
      <c r="M23160" t="e">
        <v>#N/A</v>
      </c>
      <c r="N23160" s="1">
        <v>44287</v>
      </c>
    </row>
    <row r="23161" spans="11:14" x14ac:dyDescent="0.3">
      <c r="K23161" s="1">
        <v>44743</v>
      </c>
      <c r="M23161" t="e">
        <v>#N/A</v>
      </c>
      <c r="N23161" s="1">
        <v>44287</v>
      </c>
    </row>
    <row r="23162" spans="11:14" x14ac:dyDescent="0.3">
      <c r="K23162" s="1">
        <v>44743</v>
      </c>
      <c r="M23162" t="e">
        <v>#N/A</v>
      </c>
      <c r="N23162" s="1">
        <v>44287</v>
      </c>
    </row>
    <row r="23163" spans="11:14" x14ac:dyDescent="0.3">
      <c r="K23163" s="1">
        <v>44743</v>
      </c>
      <c r="M23163" t="e">
        <v>#N/A</v>
      </c>
      <c r="N23163" s="1">
        <v>44287</v>
      </c>
    </row>
    <row r="23164" spans="11:14" x14ac:dyDescent="0.3">
      <c r="K23164" s="1">
        <v>44743</v>
      </c>
      <c r="M23164" t="e">
        <v>#N/A</v>
      </c>
      <c r="N23164" s="1">
        <v>44287</v>
      </c>
    </row>
    <row r="23165" spans="11:14" x14ac:dyDescent="0.3">
      <c r="K23165" s="1">
        <v>44743</v>
      </c>
      <c r="M23165" t="e">
        <v>#N/A</v>
      </c>
      <c r="N23165" s="1">
        <v>44287</v>
      </c>
    </row>
    <row r="23166" spans="11:14" x14ac:dyDescent="0.3">
      <c r="K23166" s="1">
        <v>44743</v>
      </c>
      <c r="M23166" t="e">
        <v>#N/A</v>
      </c>
      <c r="N23166" s="1">
        <v>44287</v>
      </c>
    </row>
    <row r="23167" spans="11:14" x14ac:dyDescent="0.3">
      <c r="K23167" s="1">
        <v>44743</v>
      </c>
      <c r="M23167" t="e">
        <v>#N/A</v>
      </c>
      <c r="N23167" s="1">
        <v>44287</v>
      </c>
    </row>
    <row r="23168" spans="11:14" x14ac:dyDescent="0.3">
      <c r="K23168" s="1">
        <v>44743</v>
      </c>
      <c r="M23168" t="e">
        <v>#N/A</v>
      </c>
      <c r="N23168" s="1">
        <v>44287</v>
      </c>
    </row>
    <row r="23169" spans="11:14" x14ac:dyDescent="0.3">
      <c r="K23169" s="1">
        <v>44743</v>
      </c>
      <c r="M23169" t="e">
        <v>#N/A</v>
      </c>
      <c r="N23169" s="1">
        <v>44287</v>
      </c>
    </row>
    <row r="23170" spans="11:14" x14ac:dyDescent="0.3">
      <c r="K23170" s="1">
        <v>44743</v>
      </c>
      <c r="M23170" t="e">
        <v>#N/A</v>
      </c>
      <c r="N23170" s="1">
        <v>44287</v>
      </c>
    </row>
    <row r="23171" spans="11:14" x14ac:dyDescent="0.3">
      <c r="K23171" s="1">
        <v>44743</v>
      </c>
      <c r="M23171" t="e">
        <v>#N/A</v>
      </c>
      <c r="N23171" s="1">
        <v>44287</v>
      </c>
    </row>
    <row r="23172" spans="11:14" x14ac:dyDescent="0.3">
      <c r="K23172" s="1">
        <v>44743</v>
      </c>
      <c r="M23172" t="e">
        <v>#N/A</v>
      </c>
      <c r="N23172" s="1">
        <v>44287</v>
      </c>
    </row>
    <row r="23173" spans="11:14" x14ac:dyDescent="0.3">
      <c r="K23173" s="1">
        <v>44743</v>
      </c>
      <c r="M23173" t="e">
        <v>#N/A</v>
      </c>
      <c r="N23173" s="1">
        <v>44287</v>
      </c>
    </row>
    <row r="23174" spans="11:14" x14ac:dyDescent="0.3">
      <c r="K23174" s="1">
        <v>44743</v>
      </c>
      <c r="M23174" t="e">
        <v>#N/A</v>
      </c>
      <c r="N23174" s="1">
        <v>44287</v>
      </c>
    </row>
    <row r="23175" spans="11:14" x14ac:dyDescent="0.3">
      <c r="K23175" s="1">
        <v>44743</v>
      </c>
      <c r="M23175" t="e">
        <v>#N/A</v>
      </c>
      <c r="N23175" s="1">
        <v>44287</v>
      </c>
    </row>
    <row r="23176" spans="11:14" x14ac:dyDescent="0.3">
      <c r="K23176" s="1">
        <v>44743</v>
      </c>
      <c r="M23176" t="e">
        <v>#N/A</v>
      </c>
      <c r="N23176" s="1">
        <v>44287</v>
      </c>
    </row>
    <row r="23177" spans="11:14" x14ac:dyDescent="0.3">
      <c r="K23177" s="1">
        <v>44743</v>
      </c>
      <c r="M23177" t="e">
        <v>#N/A</v>
      </c>
      <c r="N23177" s="1">
        <v>44287</v>
      </c>
    </row>
    <row r="23178" spans="11:14" x14ac:dyDescent="0.3">
      <c r="K23178" s="1">
        <v>44743</v>
      </c>
      <c r="M23178" t="e">
        <v>#N/A</v>
      </c>
      <c r="N23178" s="1">
        <v>44287</v>
      </c>
    </row>
    <row r="23179" spans="11:14" x14ac:dyDescent="0.3">
      <c r="K23179" s="1">
        <v>44743</v>
      </c>
      <c r="M23179" t="e">
        <v>#N/A</v>
      </c>
      <c r="N23179" s="1">
        <v>44287</v>
      </c>
    </row>
    <row r="23180" spans="11:14" x14ac:dyDescent="0.3">
      <c r="K23180" s="1">
        <v>44743</v>
      </c>
      <c r="M23180" t="e">
        <v>#N/A</v>
      </c>
      <c r="N23180" s="1">
        <v>44287</v>
      </c>
    </row>
    <row r="23181" spans="11:14" x14ac:dyDescent="0.3">
      <c r="K23181" s="1">
        <v>44743</v>
      </c>
      <c r="M23181" t="e">
        <v>#N/A</v>
      </c>
      <c r="N23181" s="1">
        <v>44287</v>
      </c>
    </row>
    <row r="23182" spans="11:14" x14ac:dyDescent="0.3">
      <c r="K23182" s="1">
        <v>44743</v>
      </c>
      <c r="M23182" t="e">
        <v>#N/A</v>
      </c>
      <c r="N23182" s="1">
        <v>44287</v>
      </c>
    </row>
    <row r="23183" spans="11:14" x14ac:dyDescent="0.3">
      <c r="K23183" s="1">
        <v>44743</v>
      </c>
      <c r="M23183" t="e">
        <v>#N/A</v>
      </c>
      <c r="N23183" s="1">
        <v>44287</v>
      </c>
    </row>
    <row r="23184" spans="11:14" x14ac:dyDescent="0.3">
      <c r="K23184" s="1">
        <v>44743</v>
      </c>
      <c r="M23184" t="e">
        <v>#N/A</v>
      </c>
      <c r="N23184" s="1">
        <v>44287</v>
      </c>
    </row>
    <row r="23185" spans="11:14" x14ac:dyDescent="0.3">
      <c r="K23185" s="1">
        <v>44743</v>
      </c>
      <c r="M23185" t="e">
        <v>#N/A</v>
      </c>
      <c r="N23185" s="1">
        <v>44287</v>
      </c>
    </row>
    <row r="23186" spans="11:14" x14ac:dyDescent="0.3">
      <c r="K23186" s="1">
        <v>44743</v>
      </c>
      <c r="M23186" t="e">
        <v>#N/A</v>
      </c>
      <c r="N23186" s="1">
        <v>44287</v>
      </c>
    </row>
    <row r="23187" spans="11:14" x14ac:dyDescent="0.3">
      <c r="K23187" s="1">
        <v>44743</v>
      </c>
      <c r="M23187" t="e">
        <v>#N/A</v>
      </c>
      <c r="N23187" s="1">
        <v>44287</v>
      </c>
    </row>
    <row r="23188" spans="11:14" x14ac:dyDescent="0.3">
      <c r="K23188" s="1">
        <v>44743</v>
      </c>
      <c r="M23188" t="e">
        <v>#N/A</v>
      </c>
      <c r="N23188" s="1">
        <v>44287</v>
      </c>
    </row>
    <row r="23189" spans="11:14" x14ac:dyDescent="0.3">
      <c r="K23189" s="1">
        <v>44743</v>
      </c>
      <c r="M23189" t="e">
        <v>#N/A</v>
      </c>
      <c r="N23189" s="1">
        <v>44287</v>
      </c>
    </row>
    <row r="23190" spans="11:14" x14ac:dyDescent="0.3">
      <c r="K23190" s="1">
        <v>44743</v>
      </c>
      <c r="M23190" t="e">
        <v>#N/A</v>
      </c>
      <c r="N23190" s="1">
        <v>44287</v>
      </c>
    </row>
    <row r="23191" spans="11:14" x14ac:dyDescent="0.3">
      <c r="K23191" s="1">
        <v>44743</v>
      </c>
      <c r="M23191" t="e">
        <v>#N/A</v>
      </c>
      <c r="N23191" s="1">
        <v>44287</v>
      </c>
    </row>
    <row r="23192" spans="11:14" x14ac:dyDescent="0.3">
      <c r="K23192" s="1">
        <v>44743</v>
      </c>
      <c r="M23192" t="e">
        <v>#N/A</v>
      </c>
      <c r="N23192" s="1">
        <v>44287</v>
      </c>
    </row>
    <row r="23193" spans="11:14" x14ac:dyDescent="0.3">
      <c r="K23193" s="1">
        <v>44743</v>
      </c>
      <c r="M23193" t="e">
        <v>#N/A</v>
      </c>
      <c r="N23193" s="1">
        <v>44287</v>
      </c>
    </row>
    <row r="23194" spans="11:14" x14ac:dyDescent="0.3">
      <c r="K23194" s="1">
        <v>44743</v>
      </c>
      <c r="M23194" t="e">
        <v>#N/A</v>
      </c>
      <c r="N23194" s="1">
        <v>44287</v>
      </c>
    </row>
    <row r="23195" spans="11:14" x14ac:dyDescent="0.3">
      <c r="K23195" s="1">
        <v>44743</v>
      </c>
      <c r="M23195" t="e">
        <v>#N/A</v>
      </c>
      <c r="N23195" s="1">
        <v>44287</v>
      </c>
    </row>
    <row r="23196" spans="11:14" x14ac:dyDescent="0.3">
      <c r="K23196" s="1">
        <v>44743</v>
      </c>
      <c r="M23196" t="e">
        <v>#N/A</v>
      </c>
      <c r="N23196" s="1">
        <v>44287</v>
      </c>
    </row>
    <row r="23197" spans="11:14" x14ac:dyDescent="0.3">
      <c r="K23197" s="1">
        <v>44743</v>
      </c>
      <c r="M23197" t="e">
        <v>#N/A</v>
      </c>
      <c r="N23197" s="1">
        <v>44287</v>
      </c>
    </row>
    <row r="23198" spans="11:14" x14ac:dyDescent="0.3">
      <c r="K23198" s="1">
        <v>44743</v>
      </c>
      <c r="M23198" t="e">
        <v>#N/A</v>
      </c>
      <c r="N23198" s="1">
        <v>44287</v>
      </c>
    </row>
    <row r="23199" spans="11:14" x14ac:dyDescent="0.3">
      <c r="K23199" s="1">
        <v>44743</v>
      </c>
      <c r="M23199" t="e">
        <v>#N/A</v>
      </c>
      <c r="N23199" s="1">
        <v>44287</v>
      </c>
    </row>
    <row r="23200" spans="11:14" x14ac:dyDescent="0.3">
      <c r="K23200" s="1">
        <v>44743</v>
      </c>
      <c r="M23200" t="e">
        <v>#N/A</v>
      </c>
      <c r="N23200" s="1">
        <v>44287</v>
      </c>
    </row>
    <row r="23201" spans="11:14" x14ac:dyDescent="0.3">
      <c r="K23201" s="1">
        <v>44743</v>
      </c>
      <c r="M23201" t="e">
        <v>#N/A</v>
      </c>
      <c r="N23201" s="1">
        <v>44287</v>
      </c>
    </row>
    <row r="23202" spans="11:14" x14ac:dyDescent="0.3">
      <c r="K23202" s="1">
        <v>44743</v>
      </c>
      <c r="M23202" t="e">
        <v>#N/A</v>
      </c>
      <c r="N23202" s="1">
        <v>44287</v>
      </c>
    </row>
    <row r="23203" spans="11:14" x14ac:dyDescent="0.3">
      <c r="K23203" s="1">
        <v>44743</v>
      </c>
      <c r="M23203" t="e">
        <v>#N/A</v>
      </c>
      <c r="N23203" s="1">
        <v>44287</v>
      </c>
    </row>
    <row r="23204" spans="11:14" x14ac:dyDescent="0.3">
      <c r="K23204" s="1">
        <v>44743</v>
      </c>
      <c r="M23204" t="e">
        <v>#N/A</v>
      </c>
      <c r="N23204" s="1">
        <v>44287</v>
      </c>
    </row>
    <row r="23205" spans="11:14" x14ac:dyDescent="0.3">
      <c r="K23205" s="1">
        <v>44743</v>
      </c>
      <c r="M23205" t="e">
        <v>#N/A</v>
      </c>
      <c r="N23205" s="1">
        <v>44287</v>
      </c>
    </row>
    <row r="23206" spans="11:14" x14ac:dyDescent="0.3">
      <c r="K23206" s="1">
        <v>44743</v>
      </c>
      <c r="M23206" t="e">
        <v>#N/A</v>
      </c>
      <c r="N23206" s="1">
        <v>44287</v>
      </c>
    </row>
    <row r="23207" spans="11:14" x14ac:dyDescent="0.3">
      <c r="K23207" s="1">
        <v>44743</v>
      </c>
      <c r="M23207" t="e">
        <v>#N/A</v>
      </c>
      <c r="N23207" s="1">
        <v>44287</v>
      </c>
    </row>
    <row r="23208" spans="11:14" x14ac:dyDescent="0.3">
      <c r="K23208" s="1">
        <v>44743</v>
      </c>
      <c r="M23208" t="e">
        <v>#N/A</v>
      </c>
      <c r="N23208" s="1">
        <v>44287</v>
      </c>
    </row>
    <row r="23209" spans="11:14" x14ac:dyDescent="0.3">
      <c r="K23209" s="1">
        <v>44743</v>
      </c>
      <c r="M23209" t="e">
        <v>#N/A</v>
      </c>
      <c r="N23209" s="1">
        <v>44287</v>
      </c>
    </row>
    <row r="23210" spans="11:14" x14ac:dyDescent="0.3">
      <c r="K23210" s="1">
        <v>44743</v>
      </c>
      <c r="M23210" t="e">
        <v>#N/A</v>
      </c>
      <c r="N23210" s="1">
        <v>44287</v>
      </c>
    </row>
    <row r="23211" spans="11:14" x14ac:dyDescent="0.3">
      <c r="K23211" s="1">
        <v>44743</v>
      </c>
      <c r="M23211" t="e">
        <v>#N/A</v>
      </c>
      <c r="N23211" s="1">
        <v>44378</v>
      </c>
    </row>
    <row r="23212" spans="11:14" x14ac:dyDescent="0.3">
      <c r="K23212" s="1">
        <v>44743</v>
      </c>
      <c r="M23212" t="e">
        <v>#N/A</v>
      </c>
      <c r="N23212" s="1">
        <v>44378</v>
      </c>
    </row>
    <row r="23213" spans="11:14" x14ac:dyDescent="0.3">
      <c r="K23213" s="1">
        <v>44743</v>
      </c>
      <c r="M23213" t="e">
        <v>#N/A</v>
      </c>
      <c r="N23213" s="1">
        <v>44378</v>
      </c>
    </row>
    <row r="23214" spans="11:14" x14ac:dyDescent="0.3">
      <c r="K23214" s="1">
        <v>44743</v>
      </c>
      <c r="M23214" t="e">
        <v>#N/A</v>
      </c>
      <c r="N23214" s="1">
        <v>44378</v>
      </c>
    </row>
    <row r="23215" spans="11:14" x14ac:dyDescent="0.3">
      <c r="K23215" s="1">
        <v>44743</v>
      </c>
      <c r="M23215" t="e">
        <v>#N/A</v>
      </c>
      <c r="N23215" s="1">
        <v>44378</v>
      </c>
    </row>
    <row r="23216" spans="11:14" x14ac:dyDescent="0.3">
      <c r="K23216" s="1">
        <v>44743</v>
      </c>
      <c r="M23216" t="e">
        <v>#N/A</v>
      </c>
      <c r="N23216" s="1">
        <v>44378</v>
      </c>
    </row>
    <row r="23217" spans="11:14" x14ac:dyDescent="0.3">
      <c r="K23217" s="1">
        <v>44743</v>
      </c>
      <c r="M23217" t="e">
        <v>#N/A</v>
      </c>
      <c r="N23217" s="1">
        <v>44378</v>
      </c>
    </row>
    <row r="23218" spans="11:14" x14ac:dyDescent="0.3">
      <c r="K23218" s="1">
        <v>44743</v>
      </c>
      <c r="M23218" t="e">
        <v>#N/A</v>
      </c>
      <c r="N23218" s="1">
        <v>44378</v>
      </c>
    </row>
    <row r="23219" spans="11:14" x14ac:dyDescent="0.3">
      <c r="K23219" s="1">
        <v>44743</v>
      </c>
      <c r="M23219" t="e">
        <v>#N/A</v>
      </c>
      <c r="N23219" s="1">
        <v>44378</v>
      </c>
    </row>
    <row r="23220" spans="11:14" x14ac:dyDescent="0.3">
      <c r="K23220" s="1">
        <v>44743</v>
      </c>
      <c r="M23220" t="e">
        <v>#N/A</v>
      </c>
      <c r="N23220" s="1">
        <v>44378</v>
      </c>
    </row>
    <row r="23221" spans="11:14" x14ac:dyDescent="0.3">
      <c r="K23221" s="1">
        <v>44743</v>
      </c>
      <c r="M23221" t="e">
        <v>#N/A</v>
      </c>
      <c r="N23221" s="1">
        <v>44378</v>
      </c>
    </row>
    <row r="23222" spans="11:14" x14ac:dyDescent="0.3">
      <c r="K23222" s="1">
        <v>44743</v>
      </c>
      <c r="M23222" t="e">
        <v>#N/A</v>
      </c>
      <c r="N23222" s="1">
        <v>44378</v>
      </c>
    </row>
    <row r="23223" spans="11:14" x14ac:dyDescent="0.3">
      <c r="K23223" s="1">
        <v>44743</v>
      </c>
      <c r="M23223" t="e">
        <v>#N/A</v>
      </c>
      <c r="N23223" s="1">
        <v>44378</v>
      </c>
    </row>
    <row r="23224" spans="11:14" x14ac:dyDescent="0.3">
      <c r="K23224" s="1">
        <v>44743</v>
      </c>
      <c r="M23224" t="e">
        <v>#N/A</v>
      </c>
      <c r="N23224" s="1">
        <v>44378</v>
      </c>
    </row>
    <row r="23225" spans="11:14" x14ac:dyDescent="0.3">
      <c r="K23225" s="1">
        <v>44743</v>
      </c>
      <c r="M23225" t="e">
        <v>#N/A</v>
      </c>
      <c r="N23225" s="1">
        <v>44378</v>
      </c>
    </row>
    <row r="23226" spans="11:14" x14ac:dyDescent="0.3">
      <c r="K23226" s="1">
        <v>44743</v>
      </c>
      <c r="M23226" t="e">
        <v>#N/A</v>
      </c>
      <c r="N23226" s="1">
        <v>44378</v>
      </c>
    </row>
    <row r="23227" spans="11:14" x14ac:dyDescent="0.3">
      <c r="K23227" s="1">
        <v>44743</v>
      </c>
      <c r="M23227" t="e">
        <v>#N/A</v>
      </c>
      <c r="N23227" s="1">
        <v>44378</v>
      </c>
    </row>
    <row r="23228" spans="11:14" x14ac:dyDescent="0.3">
      <c r="K23228" s="1">
        <v>44743</v>
      </c>
      <c r="M23228" t="e">
        <v>#N/A</v>
      </c>
      <c r="N23228" s="1">
        <v>44378</v>
      </c>
    </row>
    <row r="23229" spans="11:14" x14ac:dyDescent="0.3">
      <c r="K23229" s="1">
        <v>44743</v>
      </c>
      <c r="M23229" t="e">
        <v>#N/A</v>
      </c>
      <c r="N23229" s="1">
        <v>44378</v>
      </c>
    </row>
    <row r="23230" spans="11:14" x14ac:dyDescent="0.3">
      <c r="K23230" s="1">
        <v>44743</v>
      </c>
      <c r="M23230" t="e">
        <v>#N/A</v>
      </c>
      <c r="N23230" s="1">
        <v>44378</v>
      </c>
    </row>
    <row r="23231" spans="11:14" x14ac:dyDescent="0.3">
      <c r="K23231" s="1">
        <v>44743</v>
      </c>
      <c r="M23231" t="e">
        <v>#N/A</v>
      </c>
      <c r="N23231" s="1">
        <v>44378</v>
      </c>
    </row>
    <row r="23232" spans="11:14" x14ac:dyDescent="0.3">
      <c r="K23232" s="1">
        <v>44743</v>
      </c>
      <c r="M23232" t="e">
        <v>#N/A</v>
      </c>
      <c r="N23232" s="1">
        <v>44378</v>
      </c>
    </row>
    <row r="23233" spans="11:14" x14ac:dyDescent="0.3">
      <c r="K23233" s="1">
        <v>44743</v>
      </c>
      <c r="M23233" t="e">
        <v>#N/A</v>
      </c>
      <c r="N23233" s="1">
        <v>44378</v>
      </c>
    </row>
    <row r="23234" spans="11:14" x14ac:dyDescent="0.3">
      <c r="K23234" s="1">
        <v>44743</v>
      </c>
      <c r="M23234" t="e">
        <v>#N/A</v>
      </c>
      <c r="N23234" s="1">
        <v>44378</v>
      </c>
    </row>
    <row r="23235" spans="11:14" x14ac:dyDescent="0.3">
      <c r="K23235" s="1">
        <v>44743</v>
      </c>
      <c r="M23235" t="e">
        <v>#N/A</v>
      </c>
      <c r="N23235" s="1">
        <v>44378</v>
      </c>
    </row>
    <row r="23236" spans="11:14" x14ac:dyDescent="0.3">
      <c r="K23236" s="1">
        <v>44743</v>
      </c>
      <c r="M23236" t="e">
        <v>#N/A</v>
      </c>
      <c r="N23236" s="1">
        <v>44378</v>
      </c>
    </row>
    <row r="23237" spans="11:14" x14ac:dyDescent="0.3">
      <c r="K23237" s="1">
        <v>44743</v>
      </c>
      <c r="M23237" t="e">
        <v>#N/A</v>
      </c>
      <c r="N23237" s="1">
        <v>44378</v>
      </c>
    </row>
    <row r="23238" spans="11:14" x14ac:dyDescent="0.3">
      <c r="K23238" s="1">
        <v>44743</v>
      </c>
      <c r="M23238" t="e">
        <v>#N/A</v>
      </c>
      <c r="N23238" s="1">
        <v>44378</v>
      </c>
    </row>
    <row r="23239" spans="11:14" x14ac:dyDescent="0.3">
      <c r="K23239" s="1">
        <v>44743</v>
      </c>
      <c r="M23239" t="e">
        <v>#N/A</v>
      </c>
      <c r="N23239" s="1">
        <v>44378</v>
      </c>
    </row>
    <row r="23240" spans="11:14" x14ac:dyDescent="0.3">
      <c r="K23240" s="1">
        <v>44743</v>
      </c>
      <c r="M23240" t="e">
        <v>#N/A</v>
      </c>
      <c r="N23240" s="1">
        <v>44378</v>
      </c>
    </row>
    <row r="23241" spans="11:14" x14ac:dyDescent="0.3">
      <c r="K23241" s="1">
        <v>44743</v>
      </c>
      <c r="M23241" t="e">
        <v>#N/A</v>
      </c>
      <c r="N23241" s="1">
        <v>44378</v>
      </c>
    </row>
    <row r="23242" spans="11:14" x14ac:dyDescent="0.3">
      <c r="K23242" s="1">
        <v>44743</v>
      </c>
      <c r="M23242" t="e">
        <v>#N/A</v>
      </c>
      <c r="N23242" s="1">
        <v>44378</v>
      </c>
    </row>
    <row r="23243" spans="11:14" x14ac:dyDescent="0.3">
      <c r="K23243" s="1">
        <v>44743</v>
      </c>
      <c r="M23243" t="e">
        <v>#N/A</v>
      </c>
      <c r="N23243" s="1">
        <v>44378</v>
      </c>
    </row>
    <row r="23244" spans="11:14" x14ac:dyDescent="0.3">
      <c r="K23244" s="1">
        <v>44743</v>
      </c>
      <c r="M23244" t="e">
        <v>#N/A</v>
      </c>
      <c r="N23244" s="1">
        <v>44378</v>
      </c>
    </row>
    <row r="23245" spans="11:14" x14ac:dyDescent="0.3">
      <c r="K23245" s="1">
        <v>44743</v>
      </c>
      <c r="M23245" t="e">
        <v>#N/A</v>
      </c>
      <c r="N23245" s="1">
        <v>44378</v>
      </c>
    </row>
    <row r="23246" spans="11:14" x14ac:dyDescent="0.3">
      <c r="K23246" s="1">
        <v>44743</v>
      </c>
      <c r="M23246" t="e">
        <v>#N/A</v>
      </c>
      <c r="N23246" s="1">
        <v>44378</v>
      </c>
    </row>
    <row r="23247" spans="11:14" x14ac:dyDescent="0.3">
      <c r="K23247" s="1">
        <v>44743</v>
      </c>
      <c r="M23247" t="e">
        <v>#N/A</v>
      </c>
      <c r="N23247" s="1">
        <v>44378</v>
      </c>
    </row>
    <row r="23248" spans="11:14" x14ac:dyDescent="0.3">
      <c r="K23248" s="1">
        <v>44743</v>
      </c>
      <c r="M23248" t="e">
        <v>#N/A</v>
      </c>
      <c r="N23248" s="1">
        <v>44378</v>
      </c>
    </row>
    <row r="23249" spans="11:14" x14ac:dyDescent="0.3">
      <c r="K23249" s="1">
        <v>44743</v>
      </c>
      <c r="M23249" t="e">
        <v>#N/A</v>
      </c>
      <c r="N23249" s="1">
        <v>44378</v>
      </c>
    </row>
    <row r="23250" spans="11:14" x14ac:dyDescent="0.3">
      <c r="K23250" s="1">
        <v>44743</v>
      </c>
      <c r="M23250" t="e">
        <v>#N/A</v>
      </c>
      <c r="N23250" s="1">
        <v>44378</v>
      </c>
    </row>
    <row r="23251" spans="11:14" x14ac:dyDescent="0.3">
      <c r="K23251" s="1">
        <v>44743</v>
      </c>
      <c r="M23251" t="e">
        <v>#N/A</v>
      </c>
      <c r="N23251" s="1">
        <v>44378</v>
      </c>
    </row>
    <row r="23252" spans="11:14" x14ac:dyDescent="0.3">
      <c r="K23252" s="1">
        <v>44743</v>
      </c>
      <c r="M23252" t="e">
        <v>#N/A</v>
      </c>
      <c r="N23252" s="1">
        <v>44378</v>
      </c>
    </row>
    <row r="23253" spans="11:14" x14ac:dyDescent="0.3">
      <c r="K23253" s="1">
        <v>44743</v>
      </c>
      <c r="M23253" t="e">
        <v>#N/A</v>
      </c>
      <c r="N23253" s="1">
        <v>44378</v>
      </c>
    </row>
    <row r="23254" spans="11:14" x14ac:dyDescent="0.3">
      <c r="K23254" s="1">
        <v>44743</v>
      </c>
      <c r="M23254" t="e">
        <v>#N/A</v>
      </c>
      <c r="N23254" s="1">
        <v>44378</v>
      </c>
    </row>
    <row r="23255" spans="11:14" x14ac:dyDescent="0.3">
      <c r="K23255" s="1">
        <v>44743</v>
      </c>
      <c r="M23255" t="e">
        <v>#N/A</v>
      </c>
      <c r="N23255" s="1">
        <v>44378</v>
      </c>
    </row>
    <row r="23256" spans="11:14" x14ac:dyDescent="0.3">
      <c r="K23256" s="1">
        <v>44743</v>
      </c>
      <c r="M23256" t="e">
        <v>#N/A</v>
      </c>
      <c r="N23256" s="1">
        <v>44378</v>
      </c>
    </row>
    <row r="23257" spans="11:14" x14ac:dyDescent="0.3">
      <c r="K23257" s="1">
        <v>44743</v>
      </c>
      <c r="M23257" t="e">
        <v>#N/A</v>
      </c>
      <c r="N23257" s="1">
        <v>44378</v>
      </c>
    </row>
    <row r="23258" spans="11:14" x14ac:dyDescent="0.3">
      <c r="K23258" s="1">
        <v>44743</v>
      </c>
      <c r="M23258" t="e">
        <v>#N/A</v>
      </c>
      <c r="N23258" s="1">
        <v>44378</v>
      </c>
    </row>
    <row r="23259" spans="11:14" x14ac:dyDescent="0.3">
      <c r="K23259" s="1">
        <v>44743</v>
      </c>
      <c r="M23259" t="e">
        <v>#N/A</v>
      </c>
      <c r="N23259" s="1">
        <v>44378</v>
      </c>
    </row>
    <row r="23260" spans="11:14" x14ac:dyDescent="0.3">
      <c r="K23260" s="1">
        <v>44743</v>
      </c>
      <c r="M23260" t="e">
        <v>#N/A</v>
      </c>
      <c r="N23260" s="1">
        <v>44378</v>
      </c>
    </row>
    <row r="23261" spans="11:14" x14ac:dyDescent="0.3">
      <c r="K23261" s="1">
        <v>44743</v>
      </c>
      <c r="M23261" t="e">
        <v>#N/A</v>
      </c>
      <c r="N23261" s="1">
        <v>44378</v>
      </c>
    </row>
    <row r="23262" spans="11:14" x14ac:dyDescent="0.3">
      <c r="K23262" s="1">
        <v>44743</v>
      </c>
      <c r="M23262" t="e">
        <v>#N/A</v>
      </c>
      <c r="N23262" s="1">
        <v>44378</v>
      </c>
    </row>
    <row r="23263" spans="11:14" x14ac:dyDescent="0.3">
      <c r="K23263" s="1">
        <v>44743</v>
      </c>
      <c r="M23263" t="e">
        <v>#N/A</v>
      </c>
      <c r="N23263" s="1">
        <v>44378</v>
      </c>
    </row>
    <row r="23264" spans="11:14" x14ac:dyDescent="0.3">
      <c r="K23264" s="1">
        <v>44743</v>
      </c>
      <c r="M23264" t="e">
        <v>#N/A</v>
      </c>
      <c r="N23264" s="1">
        <v>44378</v>
      </c>
    </row>
    <row r="23265" spans="11:14" x14ac:dyDescent="0.3">
      <c r="K23265" s="1">
        <v>44743</v>
      </c>
      <c r="M23265" t="e">
        <v>#N/A</v>
      </c>
      <c r="N23265" s="1">
        <v>44378</v>
      </c>
    </row>
    <row r="23266" spans="11:14" x14ac:dyDescent="0.3">
      <c r="K23266" s="1">
        <v>44743</v>
      </c>
      <c r="M23266" t="e">
        <v>#N/A</v>
      </c>
      <c r="N23266" s="1">
        <v>44378</v>
      </c>
    </row>
    <row r="23267" spans="11:14" x14ac:dyDescent="0.3">
      <c r="K23267" s="1">
        <v>44743</v>
      </c>
      <c r="M23267" t="e">
        <v>#N/A</v>
      </c>
      <c r="N23267" s="1">
        <v>44378</v>
      </c>
    </row>
    <row r="23268" spans="11:14" x14ac:dyDescent="0.3">
      <c r="K23268" s="1">
        <v>44743</v>
      </c>
      <c r="M23268" t="e">
        <v>#N/A</v>
      </c>
      <c r="N23268" s="1">
        <v>44378</v>
      </c>
    </row>
    <row r="23269" spans="11:14" x14ac:dyDescent="0.3">
      <c r="K23269" s="1">
        <v>44743</v>
      </c>
      <c r="M23269" t="e">
        <v>#N/A</v>
      </c>
      <c r="N23269" s="1">
        <v>44378</v>
      </c>
    </row>
    <row r="23270" spans="11:14" x14ac:dyDescent="0.3">
      <c r="K23270" s="1">
        <v>44743</v>
      </c>
      <c r="M23270" t="e">
        <v>#N/A</v>
      </c>
      <c r="N23270" s="1">
        <v>44378</v>
      </c>
    </row>
    <row r="23271" spans="11:14" x14ac:dyDescent="0.3">
      <c r="K23271" s="1">
        <v>44743</v>
      </c>
      <c r="M23271" t="e">
        <v>#N/A</v>
      </c>
      <c r="N23271" s="1">
        <v>44378</v>
      </c>
    </row>
    <row r="23272" spans="11:14" x14ac:dyDescent="0.3">
      <c r="K23272" s="1">
        <v>44743</v>
      </c>
      <c r="M23272" t="e">
        <v>#N/A</v>
      </c>
      <c r="N23272" s="1">
        <v>44378</v>
      </c>
    </row>
    <row r="23273" spans="11:14" x14ac:dyDescent="0.3">
      <c r="K23273" s="1">
        <v>44743</v>
      </c>
      <c r="M23273" t="e">
        <v>#N/A</v>
      </c>
      <c r="N23273" s="1">
        <v>44378</v>
      </c>
    </row>
    <row r="23274" spans="11:14" x14ac:dyDescent="0.3">
      <c r="K23274" s="1">
        <v>44743</v>
      </c>
      <c r="M23274" t="e">
        <v>#N/A</v>
      </c>
      <c r="N23274" s="1">
        <v>44378</v>
      </c>
    </row>
    <row r="23275" spans="11:14" x14ac:dyDescent="0.3">
      <c r="K23275" s="1">
        <v>44743</v>
      </c>
      <c r="M23275" t="e">
        <v>#N/A</v>
      </c>
      <c r="N23275" s="1">
        <v>44378</v>
      </c>
    </row>
    <row r="23276" spans="11:14" x14ac:dyDescent="0.3">
      <c r="K23276" s="1">
        <v>44743</v>
      </c>
      <c r="M23276" t="e">
        <v>#N/A</v>
      </c>
      <c r="N23276" s="1">
        <v>44378</v>
      </c>
    </row>
    <row r="23277" spans="11:14" x14ac:dyDescent="0.3">
      <c r="K23277" s="1">
        <v>44743</v>
      </c>
      <c r="M23277" t="e">
        <v>#N/A</v>
      </c>
      <c r="N23277" s="1">
        <v>44378</v>
      </c>
    </row>
    <row r="23278" spans="11:14" x14ac:dyDescent="0.3">
      <c r="K23278" s="1">
        <v>44743</v>
      </c>
      <c r="M23278" t="e">
        <v>#N/A</v>
      </c>
      <c r="N23278" s="1">
        <v>44378</v>
      </c>
    </row>
    <row r="23279" spans="11:14" x14ac:dyDescent="0.3">
      <c r="K23279" s="1">
        <v>44743</v>
      </c>
      <c r="M23279" t="e">
        <v>#N/A</v>
      </c>
      <c r="N23279" s="1">
        <v>44378</v>
      </c>
    </row>
    <row r="23280" spans="11:14" x14ac:dyDescent="0.3">
      <c r="K23280" s="1">
        <v>44743</v>
      </c>
      <c r="M23280" t="e">
        <v>#N/A</v>
      </c>
      <c r="N23280" s="1">
        <v>44378</v>
      </c>
    </row>
    <row r="23281" spans="11:14" x14ac:dyDescent="0.3">
      <c r="K23281" s="1">
        <v>44743</v>
      </c>
      <c r="M23281" t="e">
        <v>#N/A</v>
      </c>
      <c r="N23281" s="1">
        <v>44378</v>
      </c>
    </row>
    <row r="23282" spans="11:14" x14ac:dyDescent="0.3">
      <c r="K23282" s="1">
        <v>44743</v>
      </c>
      <c r="M23282" t="e">
        <v>#N/A</v>
      </c>
      <c r="N23282" s="1">
        <v>44378</v>
      </c>
    </row>
    <row r="23283" spans="11:14" x14ac:dyDescent="0.3">
      <c r="K23283" s="1">
        <v>44743</v>
      </c>
      <c r="M23283" t="e">
        <v>#N/A</v>
      </c>
      <c r="N23283" s="1">
        <v>44378</v>
      </c>
    </row>
    <row r="23284" spans="11:14" x14ac:dyDescent="0.3">
      <c r="K23284" s="1">
        <v>44743</v>
      </c>
      <c r="M23284" t="e">
        <v>#N/A</v>
      </c>
      <c r="N23284" s="1">
        <v>44378</v>
      </c>
    </row>
    <row r="23285" spans="11:14" x14ac:dyDescent="0.3">
      <c r="K23285" s="1">
        <v>44743</v>
      </c>
      <c r="M23285" t="e">
        <v>#N/A</v>
      </c>
      <c r="N23285" s="1">
        <v>44378</v>
      </c>
    </row>
    <row r="23286" spans="11:14" x14ac:dyDescent="0.3">
      <c r="K23286" s="1">
        <v>44743</v>
      </c>
      <c r="M23286" t="e">
        <v>#N/A</v>
      </c>
      <c r="N23286" s="1">
        <v>44378</v>
      </c>
    </row>
    <row r="23287" spans="11:14" x14ac:dyDescent="0.3">
      <c r="K23287" s="1">
        <v>44743</v>
      </c>
      <c r="M23287" t="e">
        <v>#N/A</v>
      </c>
      <c r="N23287" s="1">
        <v>44378</v>
      </c>
    </row>
    <row r="23288" spans="11:14" x14ac:dyDescent="0.3">
      <c r="K23288" s="1">
        <v>44743</v>
      </c>
      <c r="M23288" t="e">
        <v>#N/A</v>
      </c>
      <c r="N23288" s="1">
        <v>44378</v>
      </c>
    </row>
    <row r="23289" spans="11:14" x14ac:dyDescent="0.3">
      <c r="K23289" s="1">
        <v>44743</v>
      </c>
      <c r="M23289" t="e">
        <v>#N/A</v>
      </c>
      <c r="N23289" s="1">
        <v>44378</v>
      </c>
    </row>
    <row r="23290" spans="11:14" x14ac:dyDescent="0.3">
      <c r="K23290" s="1">
        <v>44743</v>
      </c>
      <c r="M23290" t="e">
        <v>#N/A</v>
      </c>
      <c r="N23290" s="1">
        <v>44378</v>
      </c>
    </row>
    <row r="23291" spans="11:14" x14ac:dyDescent="0.3">
      <c r="K23291" s="1">
        <v>44743</v>
      </c>
      <c r="M23291" t="e">
        <v>#N/A</v>
      </c>
      <c r="N23291" s="1">
        <v>44378</v>
      </c>
    </row>
    <row r="23292" spans="11:14" x14ac:dyDescent="0.3">
      <c r="K23292" s="1">
        <v>44743</v>
      </c>
      <c r="M23292" t="e">
        <v>#N/A</v>
      </c>
      <c r="N23292" s="1">
        <v>44378</v>
      </c>
    </row>
    <row r="23293" spans="11:14" x14ac:dyDescent="0.3">
      <c r="K23293" s="1">
        <v>44743</v>
      </c>
      <c r="M23293" t="e">
        <v>#N/A</v>
      </c>
      <c r="N23293" s="1">
        <v>44378</v>
      </c>
    </row>
    <row r="23294" spans="11:14" x14ac:dyDescent="0.3">
      <c r="K23294" s="1">
        <v>44743</v>
      </c>
      <c r="M23294" t="e">
        <v>#N/A</v>
      </c>
      <c r="N23294" s="1">
        <v>44378</v>
      </c>
    </row>
    <row r="23295" spans="11:14" x14ac:dyDescent="0.3">
      <c r="K23295" s="1">
        <v>44743</v>
      </c>
      <c r="M23295" t="e">
        <v>#N/A</v>
      </c>
      <c r="N23295" s="1">
        <v>44378</v>
      </c>
    </row>
    <row r="23296" spans="11:14" x14ac:dyDescent="0.3">
      <c r="K23296" s="1">
        <v>44743</v>
      </c>
      <c r="M23296" t="e">
        <v>#N/A</v>
      </c>
      <c r="N23296" s="1">
        <v>44378</v>
      </c>
    </row>
    <row r="23297" spans="11:14" x14ac:dyDescent="0.3">
      <c r="K23297" s="1">
        <v>44743</v>
      </c>
      <c r="M23297" t="e">
        <v>#N/A</v>
      </c>
      <c r="N23297" s="1">
        <v>44378</v>
      </c>
    </row>
    <row r="23298" spans="11:14" x14ac:dyDescent="0.3">
      <c r="K23298" s="1">
        <v>44743</v>
      </c>
      <c r="M23298" t="e">
        <v>#N/A</v>
      </c>
      <c r="N23298" s="1">
        <v>44378</v>
      </c>
    </row>
    <row r="23299" spans="11:14" x14ac:dyDescent="0.3">
      <c r="K23299" s="1">
        <v>44743</v>
      </c>
      <c r="M23299" t="e">
        <v>#N/A</v>
      </c>
      <c r="N23299" s="1">
        <v>44378</v>
      </c>
    </row>
    <row r="23300" spans="11:14" x14ac:dyDescent="0.3">
      <c r="K23300" s="1">
        <v>44743</v>
      </c>
      <c r="M23300" t="e">
        <v>#N/A</v>
      </c>
      <c r="N23300" s="1">
        <v>44378</v>
      </c>
    </row>
    <row r="23301" spans="11:14" x14ac:dyDescent="0.3">
      <c r="K23301" s="1">
        <v>44743</v>
      </c>
      <c r="M23301" t="e">
        <v>#N/A</v>
      </c>
      <c r="N23301" s="1">
        <v>44378</v>
      </c>
    </row>
    <row r="23302" spans="11:14" x14ac:dyDescent="0.3">
      <c r="K23302" s="1">
        <v>44743</v>
      </c>
      <c r="M23302" t="e">
        <v>#N/A</v>
      </c>
      <c r="N23302" s="1">
        <v>44378</v>
      </c>
    </row>
    <row r="23303" spans="11:14" x14ac:dyDescent="0.3">
      <c r="K23303" s="1">
        <v>44743</v>
      </c>
      <c r="M23303" t="e">
        <v>#N/A</v>
      </c>
      <c r="N23303" s="1">
        <v>44378</v>
      </c>
    </row>
    <row r="23304" spans="11:14" x14ac:dyDescent="0.3">
      <c r="K23304" s="1">
        <v>44743</v>
      </c>
      <c r="M23304" t="e">
        <v>#N/A</v>
      </c>
      <c r="N23304" s="1">
        <v>44378</v>
      </c>
    </row>
    <row r="23305" spans="11:14" x14ac:dyDescent="0.3">
      <c r="K23305" s="1">
        <v>44743</v>
      </c>
      <c r="M23305" t="e">
        <v>#N/A</v>
      </c>
      <c r="N23305" s="1">
        <v>44378</v>
      </c>
    </row>
    <row r="23306" spans="11:14" x14ac:dyDescent="0.3">
      <c r="K23306" s="1">
        <v>44743</v>
      </c>
      <c r="M23306" t="e">
        <v>#N/A</v>
      </c>
      <c r="N23306" s="1">
        <v>44378</v>
      </c>
    </row>
    <row r="23307" spans="11:14" x14ac:dyDescent="0.3">
      <c r="K23307" s="1">
        <v>44743</v>
      </c>
      <c r="M23307" t="e">
        <v>#N/A</v>
      </c>
      <c r="N23307" s="1">
        <v>44378</v>
      </c>
    </row>
    <row r="23308" spans="11:14" x14ac:dyDescent="0.3">
      <c r="K23308" s="1">
        <v>44743</v>
      </c>
      <c r="M23308" t="e">
        <v>#N/A</v>
      </c>
      <c r="N23308" s="1">
        <v>44378</v>
      </c>
    </row>
    <row r="23309" spans="11:14" x14ac:dyDescent="0.3">
      <c r="K23309" s="1">
        <v>44743</v>
      </c>
      <c r="M23309" t="e">
        <v>#N/A</v>
      </c>
      <c r="N23309" s="1">
        <v>44378</v>
      </c>
    </row>
    <row r="23310" spans="11:14" x14ac:dyDescent="0.3">
      <c r="K23310" s="1">
        <v>44743</v>
      </c>
      <c r="M23310" t="e">
        <v>#N/A</v>
      </c>
      <c r="N23310" s="1">
        <v>44378</v>
      </c>
    </row>
    <row r="23311" spans="11:14" x14ac:dyDescent="0.3">
      <c r="K23311" s="1">
        <v>44743</v>
      </c>
      <c r="M23311" t="e">
        <v>#N/A</v>
      </c>
      <c r="N23311" s="1">
        <v>44378</v>
      </c>
    </row>
    <row r="23312" spans="11:14" x14ac:dyDescent="0.3">
      <c r="K23312" s="1">
        <v>44743</v>
      </c>
      <c r="M23312" t="e">
        <v>#N/A</v>
      </c>
      <c r="N23312" s="1">
        <v>44378</v>
      </c>
    </row>
    <row r="23313" spans="11:14" x14ac:dyDescent="0.3">
      <c r="K23313" s="1">
        <v>44743</v>
      </c>
      <c r="M23313" t="e">
        <v>#N/A</v>
      </c>
      <c r="N23313" s="1">
        <v>44378</v>
      </c>
    </row>
    <row r="23314" spans="11:14" x14ac:dyDescent="0.3">
      <c r="K23314" s="1">
        <v>44743</v>
      </c>
      <c r="M23314" t="e">
        <v>#N/A</v>
      </c>
      <c r="N23314" s="1">
        <v>44378</v>
      </c>
    </row>
    <row r="23315" spans="11:14" x14ac:dyDescent="0.3">
      <c r="K23315" s="1">
        <v>44743</v>
      </c>
      <c r="M23315" t="e">
        <v>#N/A</v>
      </c>
      <c r="N23315" s="1">
        <v>44378</v>
      </c>
    </row>
    <row r="23316" spans="11:14" x14ac:dyDescent="0.3">
      <c r="K23316" s="1">
        <v>44743</v>
      </c>
      <c r="M23316" t="e">
        <v>#N/A</v>
      </c>
      <c r="N23316" s="1">
        <v>44378</v>
      </c>
    </row>
    <row r="23317" spans="11:14" x14ac:dyDescent="0.3">
      <c r="K23317" s="1">
        <v>44743</v>
      </c>
      <c r="M23317" t="e">
        <v>#N/A</v>
      </c>
      <c r="N23317" s="1">
        <v>44378</v>
      </c>
    </row>
    <row r="23318" spans="11:14" x14ac:dyDescent="0.3">
      <c r="K23318" s="1">
        <v>44743</v>
      </c>
      <c r="M23318" t="e">
        <v>#N/A</v>
      </c>
      <c r="N23318" s="1">
        <v>44378</v>
      </c>
    </row>
    <row r="23319" spans="11:14" x14ac:dyDescent="0.3">
      <c r="K23319" s="1">
        <v>44743</v>
      </c>
      <c r="M23319" t="e">
        <v>#N/A</v>
      </c>
      <c r="N23319" s="1">
        <v>44378</v>
      </c>
    </row>
    <row r="23320" spans="11:14" x14ac:dyDescent="0.3">
      <c r="K23320" s="1">
        <v>44743</v>
      </c>
      <c r="M23320" t="e">
        <v>#N/A</v>
      </c>
      <c r="N23320" s="1">
        <v>44378</v>
      </c>
    </row>
    <row r="23321" spans="11:14" x14ac:dyDescent="0.3">
      <c r="K23321" s="1">
        <v>44743</v>
      </c>
      <c r="M23321" t="e">
        <v>#N/A</v>
      </c>
      <c r="N23321" s="1">
        <v>44378</v>
      </c>
    </row>
    <row r="23322" spans="11:14" x14ac:dyDescent="0.3">
      <c r="K23322" s="1">
        <v>44743</v>
      </c>
      <c r="M23322" t="e">
        <v>#N/A</v>
      </c>
      <c r="N23322" s="1">
        <v>44378</v>
      </c>
    </row>
    <row r="23323" spans="11:14" x14ac:dyDescent="0.3">
      <c r="K23323" s="1">
        <v>44743</v>
      </c>
      <c r="M23323" t="e">
        <v>#N/A</v>
      </c>
      <c r="N23323" s="1">
        <v>44378</v>
      </c>
    </row>
    <row r="23324" spans="11:14" x14ac:dyDescent="0.3">
      <c r="K23324" s="1">
        <v>44743</v>
      </c>
      <c r="M23324" t="e">
        <v>#N/A</v>
      </c>
      <c r="N23324" s="1">
        <v>44378</v>
      </c>
    </row>
    <row r="23325" spans="11:14" x14ac:dyDescent="0.3">
      <c r="K23325" s="1">
        <v>44743</v>
      </c>
      <c r="M23325" t="e">
        <v>#N/A</v>
      </c>
      <c r="N23325" s="1">
        <v>44378</v>
      </c>
    </row>
    <row r="23326" spans="11:14" x14ac:dyDescent="0.3">
      <c r="K23326" s="1">
        <v>44743</v>
      </c>
      <c r="M23326" t="e">
        <v>#N/A</v>
      </c>
      <c r="N23326" s="1">
        <v>44378</v>
      </c>
    </row>
    <row r="23327" spans="11:14" x14ac:dyDescent="0.3">
      <c r="K23327" s="1">
        <v>44743</v>
      </c>
      <c r="M23327" t="e">
        <v>#N/A</v>
      </c>
      <c r="N23327" s="1">
        <v>44378</v>
      </c>
    </row>
    <row r="23328" spans="11:14" x14ac:dyDescent="0.3">
      <c r="K23328" s="1">
        <v>44743</v>
      </c>
      <c r="M23328" t="e">
        <v>#N/A</v>
      </c>
      <c r="N23328" s="1">
        <v>44378</v>
      </c>
    </row>
    <row r="23329" spans="11:14" x14ac:dyDescent="0.3">
      <c r="K23329" s="1">
        <v>44743</v>
      </c>
      <c r="M23329" t="e">
        <v>#N/A</v>
      </c>
      <c r="N23329" s="1">
        <v>44378</v>
      </c>
    </row>
    <row r="23330" spans="11:14" x14ac:dyDescent="0.3">
      <c r="K23330" s="1">
        <v>44743</v>
      </c>
      <c r="M23330" t="e">
        <v>#N/A</v>
      </c>
      <c r="N23330" s="1">
        <v>44378</v>
      </c>
    </row>
    <row r="23331" spans="11:14" x14ac:dyDescent="0.3">
      <c r="K23331" s="1">
        <v>44743</v>
      </c>
      <c r="M23331" t="e">
        <v>#N/A</v>
      </c>
      <c r="N23331" s="1">
        <v>44378</v>
      </c>
    </row>
    <row r="23332" spans="11:14" x14ac:dyDescent="0.3">
      <c r="K23332" s="1">
        <v>44743</v>
      </c>
      <c r="M23332" t="e">
        <v>#N/A</v>
      </c>
      <c r="N23332" s="1">
        <v>44378</v>
      </c>
    </row>
    <row r="23333" spans="11:14" x14ac:dyDescent="0.3">
      <c r="K23333" s="1">
        <v>44743</v>
      </c>
      <c r="M23333" t="e">
        <v>#N/A</v>
      </c>
      <c r="N23333" s="1">
        <v>44378</v>
      </c>
    </row>
    <row r="23334" spans="11:14" x14ac:dyDescent="0.3">
      <c r="K23334" s="1">
        <v>44743</v>
      </c>
      <c r="M23334" t="e">
        <v>#N/A</v>
      </c>
      <c r="N23334" s="1">
        <v>44378</v>
      </c>
    </row>
    <row r="23335" spans="11:14" x14ac:dyDescent="0.3">
      <c r="K23335" s="1">
        <v>44743</v>
      </c>
      <c r="M23335" t="e">
        <v>#N/A</v>
      </c>
      <c r="N23335" s="1">
        <v>44378</v>
      </c>
    </row>
    <row r="23336" spans="11:14" x14ac:dyDescent="0.3">
      <c r="K23336" s="1">
        <v>44743</v>
      </c>
      <c r="M23336" t="e">
        <v>#N/A</v>
      </c>
      <c r="N23336" s="1">
        <v>44378</v>
      </c>
    </row>
    <row r="23337" spans="11:14" x14ac:dyDescent="0.3">
      <c r="K23337" s="1">
        <v>44743</v>
      </c>
      <c r="M23337" t="e">
        <v>#N/A</v>
      </c>
      <c r="N23337" s="1">
        <v>44378</v>
      </c>
    </row>
    <row r="23338" spans="11:14" x14ac:dyDescent="0.3">
      <c r="K23338" s="1">
        <v>44743</v>
      </c>
      <c r="M23338" t="e">
        <v>#N/A</v>
      </c>
      <c r="N23338" s="1">
        <v>44378</v>
      </c>
    </row>
    <row r="23339" spans="11:14" x14ac:dyDescent="0.3">
      <c r="K23339" s="1">
        <v>44743</v>
      </c>
      <c r="M23339" t="e">
        <v>#N/A</v>
      </c>
      <c r="N23339" s="1">
        <v>44378</v>
      </c>
    </row>
    <row r="23340" spans="11:14" x14ac:dyDescent="0.3">
      <c r="K23340" s="1">
        <v>44743</v>
      </c>
      <c r="M23340" t="e">
        <v>#N/A</v>
      </c>
      <c r="N23340" s="1">
        <v>44378</v>
      </c>
    </row>
    <row r="23341" spans="11:14" x14ac:dyDescent="0.3">
      <c r="K23341" s="1">
        <v>44743</v>
      </c>
      <c r="M23341" t="e">
        <v>#N/A</v>
      </c>
      <c r="N23341" s="1">
        <v>44378</v>
      </c>
    </row>
    <row r="23342" spans="11:14" x14ac:dyDescent="0.3">
      <c r="K23342" s="1">
        <v>44743</v>
      </c>
      <c r="M23342" t="e">
        <v>#N/A</v>
      </c>
      <c r="N23342" s="1">
        <v>44378</v>
      </c>
    </row>
    <row r="23343" spans="11:14" x14ac:dyDescent="0.3">
      <c r="K23343" s="1">
        <v>44743</v>
      </c>
      <c r="M23343" t="e">
        <v>#N/A</v>
      </c>
      <c r="N23343" s="1">
        <v>44378</v>
      </c>
    </row>
    <row r="23344" spans="11:14" x14ac:dyDescent="0.3">
      <c r="K23344" s="1">
        <v>44743</v>
      </c>
      <c r="M23344" t="e">
        <v>#N/A</v>
      </c>
      <c r="N23344" s="1">
        <v>44378</v>
      </c>
    </row>
    <row r="23345" spans="11:14" x14ac:dyDescent="0.3">
      <c r="K23345" s="1">
        <v>44743</v>
      </c>
      <c r="M23345" t="e">
        <v>#N/A</v>
      </c>
      <c r="N23345" s="1">
        <v>44378</v>
      </c>
    </row>
    <row r="23346" spans="11:14" x14ac:dyDescent="0.3">
      <c r="K23346" s="1">
        <v>44743</v>
      </c>
      <c r="M23346" t="e">
        <v>#N/A</v>
      </c>
      <c r="N23346" s="1">
        <v>44378</v>
      </c>
    </row>
    <row r="23347" spans="11:14" x14ac:dyDescent="0.3">
      <c r="K23347" s="1">
        <v>44743</v>
      </c>
      <c r="M23347" t="e">
        <v>#N/A</v>
      </c>
      <c r="N23347" s="1">
        <v>44378</v>
      </c>
    </row>
    <row r="23348" spans="11:14" x14ac:dyDescent="0.3">
      <c r="K23348" s="1">
        <v>44743</v>
      </c>
      <c r="M23348" t="e">
        <v>#N/A</v>
      </c>
      <c r="N23348" s="1">
        <v>44378</v>
      </c>
    </row>
    <row r="23349" spans="11:14" x14ac:dyDescent="0.3">
      <c r="K23349" s="1">
        <v>44743</v>
      </c>
      <c r="M23349" t="e">
        <v>#N/A</v>
      </c>
      <c r="N23349" s="1">
        <v>44378</v>
      </c>
    </row>
    <row r="23350" spans="11:14" x14ac:dyDescent="0.3">
      <c r="K23350" s="1">
        <v>44743</v>
      </c>
      <c r="M23350" t="e">
        <v>#N/A</v>
      </c>
      <c r="N23350" s="1">
        <v>44378</v>
      </c>
    </row>
    <row r="23351" spans="11:14" x14ac:dyDescent="0.3">
      <c r="K23351" s="1">
        <v>44743</v>
      </c>
      <c r="M23351" t="e">
        <v>#N/A</v>
      </c>
      <c r="N23351" s="1">
        <v>44378</v>
      </c>
    </row>
    <row r="23352" spans="11:14" x14ac:dyDescent="0.3">
      <c r="K23352" s="1">
        <v>44743</v>
      </c>
      <c r="M23352" t="e">
        <v>#N/A</v>
      </c>
      <c r="N23352" s="1">
        <v>44378</v>
      </c>
    </row>
    <row r="23353" spans="11:14" x14ac:dyDescent="0.3">
      <c r="K23353" s="1">
        <v>44743</v>
      </c>
      <c r="M23353" t="e">
        <v>#N/A</v>
      </c>
      <c r="N23353" s="1">
        <v>44378</v>
      </c>
    </row>
    <row r="23354" spans="11:14" x14ac:dyDescent="0.3">
      <c r="K23354" s="1">
        <v>44743</v>
      </c>
      <c r="M23354" t="e">
        <v>#N/A</v>
      </c>
      <c r="N23354" s="1">
        <v>44378</v>
      </c>
    </row>
    <row r="23355" spans="11:14" x14ac:dyDescent="0.3">
      <c r="K23355" s="1">
        <v>44743</v>
      </c>
      <c r="M23355" t="e">
        <v>#N/A</v>
      </c>
      <c r="N23355" s="1">
        <v>44378</v>
      </c>
    </row>
    <row r="23356" spans="11:14" x14ac:dyDescent="0.3">
      <c r="K23356" s="1">
        <v>44743</v>
      </c>
      <c r="M23356" t="e">
        <v>#N/A</v>
      </c>
      <c r="N23356" s="1">
        <v>44378</v>
      </c>
    </row>
    <row r="23357" spans="11:14" x14ac:dyDescent="0.3">
      <c r="K23357" s="1">
        <v>44743</v>
      </c>
      <c r="M23357" t="e">
        <v>#N/A</v>
      </c>
      <c r="N23357" s="1">
        <v>44378</v>
      </c>
    </row>
    <row r="23358" spans="11:14" x14ac:dyDescent="0.3">
      <c r="K23358" s="1">
        <v>44743</v>
      </c>
      <c r="M23358" t="e">
        <v>#N/A</v>
      </c>
      <c r="N23358" s="1">
        <v>44378</v>
      </c>
    </row>
    <row r="23359" spans="11:14" x14ac:dyDescent="0.3">
      <c r="K23359" s="1">
        <v>44743</v>
      </c>
      <c r="M23359" t="e">
        <v>#N/A</v>
      </c>
      <c r="N23359" s="1">
        <v>44378</v>
      </c>
    </row>
    <row r="23360" spans="11:14" x14ac:dyDescent="0.3">
      <c r="K23360" s="1">
        <v>44743</v>
      </c>
      <c r="M23360" t="e">
        <v>#N/A</v>
      </c>
      <c r="N23360" s="1">
        <v>44378</v>
      </c>
    </row>
    <row r="23361" spans="11:14" x14ac:dyDescent="0.3">
      <c r="K23361" s="1">
        <v>44743</v>
      </c>
      <c r="M23361" t="e">
        <v>#N/A</v>
      </c>
      <c r="N23361" s="1">
        <v>44378</v>
      </c>
    </row>
    <row r="23362" spans="11:14" x14ac:dyDescent="0.3">
      <c r="K23362" s="1">
        <v>44743</v>
      </c>
      <c r="M23362" t="e">
        <v>#N/A</v>
      </c>
      <c r="N23362" s="1">
        <v>44378</v>
      </c>
    </row>
    <row r="23363" spans="11:14" x14ac:dyDescent="0.3">
      <c r="K23363" s="1">
        <v>44743</v>
      </c>
      <c r="M23363" t="e">
        <v>#N/A</v>
      </c>
      <c r="N23363" s="1">
        <v>44378</v>
      </c>
    </row>
    <row r="23364" spans="11:14" x14ac:dyDescent="0.3">
      <c r="K23364" s="1">
        <v>44743</v>
      </c>
      <c r="M23364" t="e">
        <v>#N/A</v>
      </c>
      <c r="N23364" s="1">
        <v>44378</v>
      </c>
    </row>
    <row r="23365" spans="11:14" x14ac:dyDescent="0.3">
      <c r="K23365" s="1">
        <v>44743</v>
      </c>
      <c r="M23365" t="e">
        <v>#N/A</v>
      </c>
      <c r="N23365" s="1">
        <v>44378</v>
      </c>
    </row>
    <row r="23366" spans="11:14" x14ac:dyDescent="0.3">
      <c r="K23366" s="1">
        <v>44743</v>
      </c>
      <c r="M23366" t="e">
        <v>#N/A</v>
      </c>
      <c r="N23366" s="1">
        <v>44378</v>
      </c>
    </row>
    <row r="23367" spans="11:14" x14ac:dyDescent="0.3">
      <c r="K23367" s="1">
        <v>44743</v>
      </c>
      <c r="M23367" t="e">
        <v>#N/A</v>
      </c>
      <c r="N23367" s="1">
        <v>44378</v>
      </c>
    </row>
    <row r="23368" spans="11:14" x14ac:dyDescent="0.3">
      <c r="K23368" s="1">
        <v>44743</v>
      </c>
      <c r="M23368" t="e">
        <v>#N/A</v>
      </c>
      <c r="N23368" s="1">
        <v>44378</v>
      </c>
    </row>
    <row r="23369" spans="11:14" x14ac:dyDescent="0.3">
      <c r="K23369" s="1">
        <v>44743</v>
      </c>
      <c r="M23369" t="e">
        <v>#N/A</v>
      </c>
      <c r="N23369" s="1">
        <v>44378</v>
      </c>
    </row>
    <row r="23370" spans="11:14" x14ac:dyDescent="0.3">
      <c r="K23370" s="1">
        <v>44743</v>
      </c>
      <c r="M23370" t="e">
        <v>#N/A</v>
      </c>
      <c r="N23370" s="1">
        <v>44378</v>
      </c>
    </row>
    <row r="23371" spans="11:14" x14ac:dyDescent="0.3">
      <c r="K23371" s="1">
        <v>44743</v>
      </c>
      <c r="M23371" t="e">
        <v>#N/A</v>
      </c>
      <c r="N23371" s="1">
        <v>44378</v>
      </c>
    </row>
    <row r="23372" spans="11:14" x14ac:dyDescent="0.3">
      <c r="K23372" s="1">
        <v>44743</v>
      </c>
      <c r="M23372" t="e">
        <v>#N/A</v>
      </c>
      <c r="N23372" s="1">
        <v>44378</v>
      </c>
    </row>
    <row r="23373" spans="11:14" x14ac:dyDescent="0.3">
      <c r="K23373" s="1">
        <v>44743</v>
      </c>
      <c r="M23373" t="e">
        <v>#N/A</v>
      </c>
      <c r="N23373" s="1">
        <v>44378</v>
      </c>
    </row>
    <row r="23374" spans="11:14" x14ac:dyDescent="0.3">
      <c r="K23374" s="1">
        <v>44743</v>
      </c>
      <c r="M23374" t="e">
        <v>#N/A</v>
      </c>
      <c r="N23374" s="1">
        <v>44378</v>
      </c>
    </row>
    <row r="23375" spans="11:14" x14ac:dyDescent="0.3">
      <c r="K23375" s="1">
        <v>44743</v>
      </c>
      <c r="M23375" t="e">
        <v>#N/A</v>
      </c>
      <c r="N23375" s="1">
        <v>44378</v>
      </c>
    </row>
    <row r="23376" spans="11:14" x14ac:dyDescent="0.3">
      <c r="K23376" s="1">
        <v>44743</v>
      </c>
      <c r="M23376" t="e">
        <v>#N/A</v>
      </c>
      <c r="N23376" s="1">
        <v>44378</v>
      </c>
    </row>
    <row r="23377" spans="11:14" x14ac:dyDescent="0.3">
      <c r="K23377" s="1">
        <v>44743</v>
      </c>
      <c r="M23377" t="e">
        <v>#N/A</v>
      </c>
      <c r="N23377" s="1">
        <v>44378</v>
      </c>
    </row>
    <row r="23378" spans="11:14" x14ac:dyDescent="0.3">
      <c r="K23378" s="1">
        <v>44743</v>
      </c>
      <c r="M23378" t="e">
        <v>#N/A</v>
      </c>
      <c r="N23378" s="1">
        <v>44378</v>
      </c>
    </row>
    <row r="23379" spans="11:14" x14ac:dyDescent="0.3">
      <c r="K23379" s="1">
        <v>44743</v>
      </c>
      <c r="M23379" t="e">
        <v>#N/A</v>
      </c>
      <c r="N23379" s="1">
        <v>44378</v>
      </c>
    </row>
    <row r="23380" spans="11:14" x14ac:dyDescent="0.3">
      <c r="K23380" s="1">
        <v>44743</v>
      </c>
      <c r="M23380" t="e">
        <v>#N/A</v>
      </c>
      <c r="N23380" s="1">
        <v>44378</v>
      </c>
    </row>
    <row r="23381" spans="11:14" x14ac:dyDescent="0.3">
      <c r="K23381" s="1">
        <v>44743</v>
      </c>
      <c r="M23381" t="e">
        <v>#N/A</v>
      </c>
      <c r="N23381" s="1">
        <v>44378</v>
      </c>
    </row>
    <row r="23382" spans="11:14" x14ac:dyDescent="0.3">
      <c r="K23382" s="1">
        <v>44743</v>
      </c>
      <c r="M23382" t="e">
        <v>#N/A</v>
      </c>
      <c r="N23382" s="1">
        <v>44378</v>
      </c>
    </row>
    <row r="23383" spans="11:14" x14ac:dyDescent="0.3">
      <c r="K23383" s="1">
        <v>44743</v>
      </c>
      <c r="M23383" t="e">
        <v>#N/A</v>
      </c>
      <c r="N23383" s="1">
        <v>44378</v>
      </c>
    </row>
    <row r="23384" spans="11:14" x14ac:dyDescent="0.3">
      <c r="K23384" s="1">
        <v>44743</v>
      </c>
      <c r="M23384" t="e">
        <v>#N/A</v>
      </c>
      <c r="N23384" s="1">
        <v>44378</v>
      </c>
    </row>
    <row r="23385" spans="11:14" x14ac:dyDescent="0.3">
      <c r="K23385" s="1">
        <v>44743</v>
      </c>
      <c r="M23385" t="e">
        <v>#N/A</v>
      </c>
      <c r="N23385" s="1">
        <v>44378</v>
      </c>
    </row>
    <row r="23386" spans="11:14" x14ac:dyDescent="0.3">
      <c r="K23386" s="1">
        <v>44743</v>
      </c>
      <c r="M23386" t="e">
        <v>#N/A</v>
      </c>
      <c r="N23386" s="1">
        <v>44378</v>
      </c>
    </row>
    <row r="23387" spans="11:14" x14ac:dyDescent="0.3">
      <c r="K23387" s="1">
        <v>44743</v>
      </c>
      <c r="M23387" t="e">
        <v>#N/A</v>
      </c>
      <c r="N23387" s="1">
        <v>44378</v>
      </c>
    </row>
    <row r="23388" spans="11:14" x14ac:dyDescent="0.3">
      <c r="K23388" s="1">
        <v>44743</v>
      </c>
      <c r="M23388" t="e">
        <v>#N/A</v>
      </c>
      <c r="N23388" s="1">
        <v>44378</v>
      </c>
    </row>
    <row r="23389" spans="11:14" x14ac:dyDescent="0.3">
      <c r="K23389" s="1">
        <v>44743</v>
      </c>
      <c r="M23389" t="e">
        <v>#N/A</v>
      </c>
      <c r="N23389" s="1">
        <v>44378</v>
      </c>
    </row>
    <row r="23390" spans="11:14" x14ac:dyDescent="0.3">
      <c r="K23390" s="1">
        <v>44743</v>
      </c>
      <c r="M23390" t="e">
        <v>#N/A</v>
      </c>
      <c r="N23390" s="1">
        <v>44378</v>
      </c>
    </row>
    <row r="23391" spans="11:14" x14ac:dyDescent="0.3">
      <c r="K23391" s="1">
        <v>44743</v>
      </c>
      <c r="M23391" t="e">
        <v>#N/A</v>
      </c>
      <c r="N23391" s="1">
        <v>44378</v>
      </c>
    </row>
    <row r="23392" spans="11:14" x14ac:dyDescent="0.3">
      <c r="K23392" s="1">
        <v>44743</v>
      </c>
      <c r="M23392" t="e">
        <v>#N/A</v>
      </c>
      <c r="N23392" s="1">
        <v>44378</v>
      </c>
    </row>
    <row r="23393" spans="11:14" x14ac:dyDescent="0.3">
      <c r="K23393" s="1">
        <v>44743</v>
      </c>
      <c r="M23393" t="e">
        <v>#N/A</v>
      </c>
      <c r="N23393" s="1">
        <v>44378</v>
      </c>
    </row>
    <row r="23394" spans="11:14" x14ac:dyDescent="0.3">
      <c r="K23394" s="1">
        <v>44743</v>
      </c>
      <c r="M23394" t="e">
        <v>#N/A</v>
      </c>
      <c r="N23394" s="1">
        <v>44378</v>
      </c>
    </row>
    <row r="23395" spans="11:14" x14ac:dyDescent="0.3">
      <c r="K23395" s="1">
        <v>44743</v>
      </c>
      <c r="M23395" t="e">
        <v>#N/A</v>
      </c>
      <c r="N23395" s="1">
        <v>44378</v>
      </c>
    </row>
    <row r="23396" spans="11:14" x14ac:dyDescent="0.3">
      <c r="K23396" s="1">
        <v>44743</v>
      </c>
      <c r="M23396" t="e">
        <v>#N/A</v>
      </c>
      <c r="N23396" s="1">
        <v>44378</v>
      </c>
    </row>
    <row r="23397" spans="11:14" x14ac:dyDescent="0.3">
      <c r="K23397" s="1">
        <v>44743</v>
      </c>
      <c r="M23397" t="e">
        <v>#N/A</v>
      </c>
      <c r="N23397" s="1">
        <v>44378</v>
      </c>
    </row>
    <row r="23398" spans="11:14" x14ac:dyDescent="0.3">
      <c r="K23398" s="1">
        <v>44743</v>
      </c>
      <c r="M23398" t="e">
        <v>#N/A</v>
      </c>
      <c r="N23398" s="1">
        <v>44378</v>
      </c>
    </row>
    <row r="23399" spans="11:14" x14ac:dyDescent="0.3">
      <c r="K23399" s="1">
        <v>44743</v>
      </c>
      <c r="M23399" t="e">
        <v>#N/A</v>
      </c>
      <c r="N23399" s="1">
        <v>44378</v>
      </c>
    </row>
    <row r="23400" spans="11:14" x14ac:dyDescent="0.3">
      <c r="K23400" s="1">
        <v>44743</v>
      </c>
      <c r="M23400" t="e">
        <v>#N/A</v>
      </c>
      <c r="N23400" s="1">
        <v>44378</v>
      </c>
    </row>
    <row r="23401" spans="11:14" x14ac:dyDescent="0.3">
      <c r="K23401" s="1">
        <v>44743</v>
      </c>
      <c r="M23401" t="e">
        <v>#N/A</v>
      </c>
      <c r="N23401" s="1">
        <v>44378</v>
      </c>
    </row>
    <row r="23402" spans="11:14" x14ac:dyDescent="0.3">
      <c r="K23402" s="1">
        <v>44743</v>
      </c>
      <c r="M23402" t="e">
        <v>#N/A</v>
      </c>
      <c r="N23402" s="1">
        <v>44378</v>
      </c>
    </row>
    <row r="23403" spans="11:14" x14ac:dyDescent="0.3">
      <c r="K23403" s="1">
        <v>44743</v>
      </c>
      <c r="M23403" t="e">
        <v>#N/A</v>
      </c>
      <c r="N23403" s="1">
        <v>44378</v>
      </c>
    </row>
    <row r="23404" spans="11:14" x14ac:dyDescent="0.3">
      <c r="K23404" s="1">
        <v>44743</v>
      </c>
      <c r="M23404" t="e">
        <v>#N/A</v>
      </c>
      <c r="N23404" s="1">
        <v>44378</v>
      </c>
    </row>
    <row r="23405" spans="11:14" x14ac:dyDescent="0.3">
      <c r="K23405" s="1">
        <v>44743</v>
      </c>
      <c r="M23405" t="e">
        <v>#N/A</v>
      </c>
      <c r="N23405" s="1">
        <v>44378</v>
      </c>
    </row>
    <row r="23406" spans="11:14" x14ac:dyDescent="0.3">
      <c r="K23406" s="1">
        <v>44743</v>
      </c>
      <c r="M23406" t="e">
        <v>#N/A</v>
      </c>
      <c r="N23406" s="1">
        <v>44378</v>
      </c>
    </row>
    <row r="23407" spans="11:14" x14ac:dyDescent="0.3">
      <c r="K23407" s="1">
        <v>44743</v>
      </c>
      <c r="M23407" t="e">
        <v>#N/A</v>
      </c>
      <c r="N23407" s="1">
        <v>44378</v>
      </c>
    </row>
    <row r="23408" spans="11:14" x14ac:dyDescent="0.3">
      <c r="K23408" s="1">
        <v>44743</v>
      </c>
      <c r="M23408" t="e">
        <v>#N/A</v>
      </c>
      <c r="N23408" s="1">
        <v>44378</v>
      </c>
    </row>
    <row r="23409" spans="11:14" x14ac:dyDescent="0.3">
      <c r="K23409" s="1">
        <v>44743</v>
      </c>
      <c r="M23409" t="e">
        <v>#N/A</v>
      </c>
      <c r="N23409" s="1">
        <v>44378</v>
      </c>
    </row>
    <row r="23410" spans="11:14" x14ac:dyDescent="0.3">
      <c r="K23410" s="1">
        <v>44743</v>
      </c>
      <c r="M23410" t="e">
        <v>#N/A</v>
      </c>
      <c r="N23410" s="1">
        <v>44378</v>
      </c>
    </row>
    <row r="23411" spans="11:14" x14ac:dyDescent="0.3">
      <c r="K23411" s="1">
        <v>44743</v>
      </c>
      <c r="M23411" t="e">
        <v>#N/A</v>
      </c>
      <c r="N23411" s="1">
        <v>44378</v>
      </c>
    </row>
    <row r="23412" spans="11:14" x14ac:dyDescent="0.3">
      <c r="K23412" s="1">
        <v>44743</v>
      </c>
      <c r="M23412" t="e">
        <v>#N/A</v>
      </c>
      <c r="N23412" s="1">
        <v>44378</v>
      </c>
    </row>
    <row r="23413" spans="11:14" x14ac:dyDescent="0.3">
      <c r="K23413" s="1">
        <v>44743</v>
      </c>
      <c r="M23413" t="e">
        <v>#N/A</v>
      </c>
      <c r="N23413" s="1">
        <v>44378</v>
      </c>
    </row>
    <row r="23414" spans="11:14" x14ac:dyDescent="0.3">
      <c r="K23414" s="1">
        <v>44743</v>
      </c>
      <c r="M23414" t="e">
        <v>#N/A</v>
      </c>
      <c r="N23414" s="1">
        <v>44378</v>
      </c>
    </row>
    <row r="23415" spans="11:14" x14ac:dyDescent="0.3">
      <c r="K23415" s="1">
        <v>44743</v>
      </c>
      <c r="M23415" t="e">
        <v>#N/A</v>
      </c>
      <c r="N23415" s="1">
        <v>44378</v>
      </c>
    </row>
    <row r="23416" spans="11:14" x14ac:dyDescent="0.3">
      <c r="K23416" s="1">
        <v>44743</v>
      </c>
      <c r="M23416" t="e">
        <v>#N/A</v>
      </c>
      <c r="N23416" s="1">
        <v>44378</v>
      </c>
    </row>
    <row r="23417" spans="11:14" x14ac:dyDescent="0.3">
      <c r="K23417" s="1">
        <v>44743</v>
      </c>
      <c r="M23417" t="e">
        <v>#N/A</v>
      </c>
      <c r="N23417" s="1">
        <v>44378</v>
      </c>
    </row>
    <row r="23418" spans="11:14" x14ac:dyDescent="0.3">
      <c r="K23418" s="1">
        <v>44743</v>
      </c>
      <c r="M23418" t="e">
        <v>#N/A</v>
      </c>
      <c r="N23418" s="1">
        <v>44378</v>
      </c>
    </row>
    <row r="23419" spans="11:14" x14ac:dyDescent="0.3">
      <c r="K23419" s="1">
        <v>44743</v>
      </c>
      <c r="M23419" t="e">
        <v>#N/A</v>
      </c>
      <c r="N23419" s="1">
        <v>44378</v>
      </c>
    </row>
    <row r="23420" spans="11:14" x14ac:dyDescent="0.3">
      <c r="K23420" s="1">
        <v>44743</v>
      </c>
      <c r="M23420" t="e">
        <v>#N/A</v>
      </c>
      <c r="N23420" s="1">
        <v>44378</v>
      </c>
    </row>
    <row r="23421" spans="11:14" x14ac:dyDescent="0.3">
      <c r="K23421" s="1">
        <v>44743</v>
      </c>
      <c r="M23421" t="e">
        <v>#N/A</v>
      </c>
      <c r="N23421" s="1">
        <v>44378</v>
      </c>
    </row>
    <row r="23422" spans="11:14" x14ac:dyDescent="0.3">
      <c r="K23422" s="1">
        <v>44743</v>
      </c>
      <c r="M23422" t="e">
        <v>#N/A</v>
      </c>
      <c r="N23422" s="1">
        <v>44378</v>
      </c>
    </row>
    <row r="23423" spans="11:14" x14ac:dyDescent="0.3">
      <c r="K23423" s="1">
        <v>44743</v>
      </c>
      <c r="M23423" t="e">
        <v>#N/A</v>
      </c>
      <c r="N23423" s="1">
        <v>44378</v>
      </c>
    </row>
    <row r="23424" spans="11:14" x14ac:dyDescent="0.3">
      <c r="K23424" s="1">
        <v>44743</v>
      </c>
      <c r="M23424" t="e">
        <v>#N/A</v>
      </c>
      <c r="N23424" s="1">
        <v>44378</v>
      </c>
    </row>
    <row r="23425" spans="11:14" x14ac:dyDescent="0.3">
      <c r="K23425" s="1">
        <v>44743</v>
      </c>
      <c r="M23425" t="e">
        <v>#N/A</v>
      </c>
      <c r="N23425" s="1">
        <v>44378</v>
      </c>
    </row>
    <row r="23426" spans="11:14" x14ac:dyDescent="0.3">
      <c r="K23426" s="1">
        <v>44743</v>
      </c>
      <c r="M23426" t="e">
        <v>#N/A</v>
      </c>
      <c r="N23426" s="1">
        <v>44378</v>
      </c>
    </row>
    <row r="23427" spans="11:14" x14ac:dyDescent="0.3">
      <c r="K23427" s="1">
        <v>44743</v>
      </c>
      <c r="M23427" t="e">
        <v>#N/A</v>
      </c>
      <c r="N23427" s="1">
        <v>44378</v>
      </c>
    </row>
    <row r="23428" spans="11:14" x14ac:dyDescent="0.3">
      <c r="K23428" s="1">
        <v>44743</v>
      </c>
      <c r="M23428" t="e">
        <v>#N/A</v>
      </c>
      <c r="N23428" s="1">
        <v>44378</v>
      </c>
    </row>
    <row r="23429" spans="11:14" x14ac:dyDescent="0.3">
      <c r="K23429" s="1">
        <v>44743</v>
      </c>
      <c r="M23429" t="e">
        <v>#N/A</v>
      </c>
      <c r="N23429" s="1">
        <v>44378</v>
      </c>
    </row>
    <row r="23430" spans="11:14" x14ac:dyDescent="0.3">
      <c r="K23430" s="1">
        <v>44743</v>
      </c>
      <c r="M23430" t="e">
        <v>#N/A</v>
      </c>
      <c r="N23430" s="1">
        <v>44378</v>
      </c>
    </row>
    <row r="23431" spans="11:14" x14ac:dyDescent="0.3">
      <c r="K23431" s="1">
        <v>44743</v>
      </c>
      <c r="M23431" t="e">
        <v>#N/A</v>
      </c>
      <c r="N23431" s="1">
        <v>44378</v>
      </c>
    </row>
    <row r="23432" spans="11:14" x14ac:dyDescent="0.3">
      <c r="K23432" s="1">
        <v>44743</v>
      </c>
      <c r="M23432" t="e">
        <v>#N/A</v>
      </c>
      <c r="N23432" s="1">
        <v>44378</v>
      </c>
    </row>
    <row r="23433" spans="11:14" x14ac:dyDescent="0.3">
      <c r="K23433" s="1">
        <v>44743</v>
      </c>
      <c r="M23433" t="e">
        <v>#N/A</v>
      </c>
      <c r="N23433" s="1">
        <v>44378</v>
      </c>
    </row>
    <row r="23434" spans="11:14" x14ac:dyDescent="0.3">
      <c r="K23434" s="1">
        <v>44743</v>
      </c>
      <c r="M23434" t="e">
        <v>#N/A</v>
      </c>
      <c r="N23434" s="1">
        <v>44378</v>
      </c>
    </row>
    <row r="23435" spans="11:14" x14ac:dyDescent="0.3">
      <c r="K23435" s="1">
        <v>44743</v>
      </c>
      <c r="M23435" t="e">
        <v>#N/A</v>
      </c>
      <c r="N23435" s="1">
        <v>44378</v>
      </c>
    </row>
    <row r="23436" spans="11:14" x14ac:dyDescent="0.3">
      <c r="K23436" s="1">
        <v>44743</v>
      </c>
      <c r="M23436" t="e">
        <v>#N/A</v>
      </c>
      <c r="N23436" s="1">
        <v>44378</v>
      </c>
    </row>
    <row r="23437" spans="11:14" x14ac:dyDescent="0.3">
      <c r="K23437" s="1">
        <v>44743</v>
      </c>
      <c r="M23437" t="e">
        <v>#N/A</v>
      </c>
      <c r="N23437" s="1">
        <v>44378</v>
      </c>
    </row>
    <row r="23438" spans="11:14" x14ac:dyDescent="0.3">
      <c r="K23438" s="1">
        <v>44743</v>
      </c>
      <c r="M23438" t="e">
        <v>#N/A</v>
      </c>
      <c r="N23438" s="1">
        <v>44378</v>
      </c>
    </row>
    <row r="23439" spans="11:14" x14ac:dyDescent="0.3">
      <c r="K23439" s="1">
        <v>44743</v>
      </c>
      <c r="M23439" t="e">
        <v>#N/A</v>
      </c>
      <c r="N23439" s="1">
        <v>44378</v>
      </c>
    </row>
    <row r="23440" spans="11:14" x14ac:dyDescent="0.3">
      <c r="K23440" s="1">
        <v>44743</v>
      </c>
      <c r="M23440" t="e">
        <v>#N/A</v>
      </c>
      <c r="N23440" s="1">
        <v>44378</v>
      </c>
    </row>
    <row r="23441" spans="11:14" x14ac:dyDescent="0.3">
      <c r="K23441" s="1">
        <v>44743</v>
      </c>
      <c r="M23441" t="e">
        <v>#N/A</v>
      </c>
      <c r="N23441" s="1">
        <v>44378</v>
      </c>
    </row>
    <row r="23442" spans="11:14" x14ac:dyDescent="0.3">
      <c r="K23442" s="1">
        <v>44743</v>
      </c>
      <c r="M23442" t="e">
        <v>#N/A</v>
      </c>
      <c r="N23442" s="1">
        <v>44378</v>
      </c>
    </row>
    <row r="23443" spans="11:14" x14ac:dyDescent="0.3">
      <c r="K23443" s="1">
        <v>44743</v>
      </c>
      <c r="M23443" t="e">
        <v>#N/A</v>
      </c>
      <c r="N23443" s="1">
        <v>44378</v>
      </c>
    </row>
    <row r="23444" spans="11:14" x14ac:dyDescent="0.3">
      <c r="K23444" s="1">
        <v>44743</v>
      </c>
      <c r="M23444" t="e">
        <v>#N/A</v>
      </c>
      <c r="N23444" s="1">
        <v>44378</v>
      </c>
    </row>
    <row r="23445" spans="11:14" x14ac:dyDescent="0.3">
      <c r="K23445" s="1">
        <v>44743</v>
      </c>
      <c r="M23445" t="e">
        <v>#N/A</v>
      </c>
      <c r="N23445" s="1">
        <v>44378</v>
      </c>
    </row>
    <row r="23446" spans="11:14" x14ac:dyDescent="0.3">
      <c r="K23446" s="1">
        <v>44743</v>
      </c>
      <c r="M23446" t="e">
        <v>#N/A</v>
      </c>
      <c r="N23446" s="1">
        <v>44378</v>
      </c>
    </row>
    <row r="23447" spans="11:14" x14ac:dyDescent="0.3">
      <c r="K23447" s="1">
        <v>44743</v>
      </c>
      <c r="M23447" t="e">
        <v>#N/A</v>
      </c>
      <c r="N23447" s="1">
        <v>44378</v>
      </c>
    </row>
    <row r="23448" spans="11:14" x14ac:dyDescent="0.3">
      <c r="K23448" s="1">
        <v>44743</v>
      </c>
      <c r="M23448" t="e">
        <v>#N/A</v>
      </c>
      <c r="N23448" s="1">
        <v>44378</v>
      </c>
    </row>
    <row r="23449" spans="11:14" x14ac:dyDescent="0.3">
      <c r="K23449" s="1">
        <v>44743</v>
      </c>
      <c r="M23449" t="e">
        <v>#N/A</v>
      </c>
      <c r="N23449" s="1">
        <v>44378</v>
      </c>
    </row>
    <row r="23450" spans="11:14" x14ac:dyDescent="0.3">
      <c r="K23450" s="1">
        <v>44743</v>
      </c>
      <c r="M23450" t="e">
        <v>#N/A</v>
      </c>
      <c r="N23450" s="1">
        <v>44378</v>
      </c>
    </row>
    <row r="23451" spans="11:14" x14ac:dyDescent="0.3">
      <c r="K23451" s="1">
        <v>44743</v>
      </c>
      <c r="M23451" t="e">
        <v>#N/A</v>
      </c>
      <c r="N23451" s="1">
        <v>44378</v>
      </c>
    </row>
    <row r="23452" spans="11:14" x14ac:dyDescent="0.3">
      <c r="K23452" s="1">
        <v>44743</v>
      </c>
      <c r="M23452" t="e">
        <v>#N/A</v>
      </c>
      <c r="N23452" s="1">
        <v>44378</v>
      </c>
    </row>
    <row r="23453" spans="11:14" x14ac:dyDescent="0.3">
      <c r="K23453" s="1">
        <v>44743</v>
      </c>
      <c r="M23453" t="e">
        <v>#N/A</v>
      </c>
      <c r="N23453" s="1">
        <v>44378</v>
      </c>
    </row>
    <row r="23454" spans="11:14" x14ac:dyDescent="0.3">
      <c r="K23454" s="1">
        <v>44835</v>
      </c>
      <c r="M23454" t="e">
        <v>#N/A</v>
      </c>
      <c r="N23454" s="1">
        <v>44378</v>
      </c>
    </row>
    <row r="23455" spans="11:14" x14ac:dyDescent="0.3">
      <c r="K23455" s="1">
        <v>44835</v>
      </c>
      <c r="M23455" t="e">
        <v>#N/A</v>
      </c>
      <c r="N23455" s="1">
        <v>44378</v>
      </c>
    </row>
    <row r="23456" spans="11:14" x14ac:dyDescent="0.3">
      <c r="K23456" s="1">
        <v>44835</v>
      </c>
      <c r="M23456" t="e">
        <v>#N/A</v>
      </c>
      <c r="N23456" s="1">
        <v>44378</v>
      </c>
    </row>
    <row r="23457" spans="11:14" x14ac:dyDescent="0.3">
      <c r="K23457" s="1">
        <v>44835</v>
      </c>
      <c r="M23457" t="e">
        <v>#N/A</v>
      </c>
      <c r="N23457" s="1">
        <v>44378</v>
      </c>
    </row>
    <row r="23458" spans="11:14" x14ac:dyDescent="0.3">
      <c r="K23458" s="1">
        <v>44835</v>
      </c>
      <c r="M23458" t="e">
        <v>#N/A</v>
      </c>
      <c r="N23458" s="1">
        <v>44378</v>
      </c>
    </row>
    <row r="23459" spans="11:14" x14ac:dyDescent="0.3">
      <c r="K23459" s="1">
        <v>44835</v>
      </c>
      <c r="M23459" t="e">
        <v>#N/A</v>
      </c>
      <c r="N23459" s="1">
        <v>44378</v>
      </c>
    </row>
    <row r="23460" spans="11:14" x14ac:dyDescent="0.3">
      <c r="K23460" s="1">
        <v>44835</v>
      </c>
      <c r="M23460" t="e">
        <v>#N/A</v>
      </c>
      <c r="N23460" s="1">
        <v>44378</v>
      </c>
    </row>
    <row r="23461" spans="11:14" x14ac:dyDescent="0.3">
      <c r="K23461" s="1">
        <v>44835</v>
      </c>
      <c r="M23461" t="e">
        <v>#N/A</v>
      </c>
      <c r="N23461" s="1">
        <v>44378</v>
      </c>
    </row>
    <row r="23462" spans="11:14" x14ac:dyDescent="0.3">
      <c r="K23462" s="1">
        <v>44835</v>
      </c>
      <c r="M23462" t="e">
        <v>#N/A</v>
      </c>
      <c r="N23462" s="1">
        <v>44378</v>
      </c>
    </row>
    <row r="23463" spans="11:14" x14ac:dyDescent="0.3">
      <c r="K23463" s="1">
        <v>44835</v>
      </c>
      <c r="M23463" t="e">
        <v>#N/A</v>
      </c>
      <c r="N23463" s="1">
        <v>44378</v>
      </c>
    </row>
    <row r="23464" spans="11:14" x14ac:dyDescent="0.3">
      <c r="K23464" s="1">
        <v>44835</v>
      </c>
      <c r="M23464" t="e">
        <v>#N/A</v>
      </c>
      <c r="N23464" s="1">
        <v>44378</v>
      </c>
    </row>
    <row r="23465" spans="11:14" x14ac:dyDescent="0.3">
      <c r="K23465" s="1">
        <v>44835</v>
      </c>
      <c r="M23465" t="e">
        <v>#N/A</v>
      </c>
      <c r="N23465" s="1">
        <v>44378</v>
      </c>
    </row>
    <row r="23466" spans="11:14" x14ac:dyDescent="0.3">
      <c r="K23466" s="1">
        <v>44835</v>
      </c>
      <c r="M23466" t="e">
        <v>#N/A</v>
      </c>
      <c r="N23466" s="1">
        <v>44378</v>
      </c>
    </row>
    <row r="23467" spans="11:14" x14ac:dyDescent="0.3">
      <c r="K23467" s="1">
        <v>44835</v>
      </c>
      <c r="M23467" t="e">
        <v>#N/A</v>
      </c>
      <c r="N23467" s="1">
        <v>44378</v>
      </c>
    </row>
    <row r="23468" spans="11:14" x14ac:dyDescent="0.3">
      <c r="K23468" s="1">
        <v>44835</v>
      </c>
      <c r="M23468" t="e">
        <v>#N/A</v>
      </c>
      <c r="N23468" s="1">
        <v>44378</v>
      </c>
    </row>
    <row r="23469" spans="11:14" x14ac:dyDescent="0.3">
      <c r="K23469" s="1">
        <v>44835</v>
      </c>
      <c r="M23469" t="e">
        <v>#N/A</v>
      </c>
      <c r="N23469" s="1">
        <v>44378</v>
      </c>
    </row>
    <row r="23470" spans="11:14" x14ac:dyDescent="0.3">
      <c r="K23470" s="1">
        <v>44835</v>
      </c>
      <c r="M23470" t="e">
        <v>#N/A</v>
      </c>
      <c r="N23470" s="1">
        <v>44378</v>
      </c>
    </row>
    <row r="23471" spans="11:14" x14ac:dyDescent="0.3">
      <c r="K23471" s="1">
        <v>44835</v>
      </c>
      <c r="M23471" t="e">
        <v>#N/A</v>
      </c>
      <c r="N23471" s="1">
        <v>44378</v>
      </c>
    </row>
    <row r="23472" spans="11:14" x14ac:dyDescent="0.3">
      <c r="K23472" s="1">
        <v>44835</v>
      </c>
      <c r="M23472" t="e">
        <v>#N/A</v>
      </c>
      <c r="N23472" s="1">
        <v>44378</v>
      </c>
    </row>
    <row r="23473" spans="11:14" x14ac:dyDescent="0.3">
      <c r="K23473" s="1">
        <v>44835</v>
      </c>
      <c r="M23473" t="e">
        <v>#N/A</v>
      </c>
      <c r="N23473" s="1">
        <v>44378</v>
      </c>
    </row>
    <row r="23474" spans="11:14" x14ac:dyDescent="0.3">
      <c r="K23474" s="1">
        <v>44835</v>
      </c>
      <c r="M23474" t="e">
        <v>#N/A</v>
      </c>
      <c r="N23474" s="1">
        <v>44378</v>
      </c>
    </row>
    <row r="23475" spans="11:14" x14ac:dyDescent="0.3">
      <c r="K23475" s="1">
        <v>44835</v>
      </c>
      <c r="M23475" t="e">
        <v>#N/A</v>
      </c>
      <c r="N23475" s="1">
        <v>44378</v>
      </c>
    </row>
    <row r="23476" spans="11:14" x14ac:dyDescent="0.3">
      <c r="K23476" s="1">
        <v>44835</v>
      </c>
      <c r="M23476" t="e">
        <v>#N/A</v>
      </c>
      <c r="N23476" s="1">
        <v>44378</v>
      </c>
    </row>
    <row r="23477" spans="11:14" x14ac:dyDescent="0.3">
      <c r="K23477" s="1">
        <v>44835</v>
      </c>
      <c r="M23477" t="e">
        <v>#N/A</v>
      </c>
      <c r="N23477" s="1">
        <v>44378</v>
      </c>
    </row>
    <row r="23478" spans="11:14" x14ac:dyDescent="0.3">
      <c r="K23478" s="1">
        <v>44835</v>
      </c>
      <c r="M23478" t="e">
        <v>#N/A</v>
      </c>
      <c r="N23478" s="1">
        <v>44378</v>
      </c>
    </row>
    <row r="23479" spans="11:14" x14ac:dyDescent="0.3">
      <c r="K23479" s="1">
        <v>44835</v>
      </c>
      <c r="M23479" t="e">
        <v>#N/A</v>
      </c>
      <c r="N23479" s="1">
        <v>44378</v>
      </c>
    </row>
    <row r="23480" spans="11:14" x14ac:dyDescent="0.3">
      <c r="K23480" s="1">
        <v>44835</v>
      </c>
      <c r="M23480" t="e">
        <v>#N/A</v>
      </c>
      <c r="N23480" s="1">
        <v>44378</v>
      </c>
    </row>
    <row r="23481" spans="11:14" x14ac:dyDescent="0.3">
      <c r="K23481" s="1">
        <v>44835</v>
      </c>
      <c r="M23481" t="e">
        <v>#N/A</v>
      </c>
      <c r="N23481" s="1">
        <v>44378</v>
      </c>
    </row>
    <row r="23482" spans="11:14" x14ac:dyDescent="0.3">
      <c r="K23482" s="1">
        <v>44835</v>
      </c>
      <c r="M23482" t="e">
        <v>#N/A</v>
      </c>
      <c r="N23482" s="1">
        <v>44378</v>
      </c>
    </row>
    <row r="23483" spans="11:14" x14ac:dyDescent="0.3">
      <c r="K23483" s="1">
        <v>44835</v>
      </c>
      <c r="M23483" t="e">
        <v>#N/A</v>
      </c>
      <c r="N23483" s="1">
        <v>44378</v>
      </c>
    </row>
    <row r="23484" spans="11:14" x14ac:dyDescent="0.3">
      <c r="K23484" s="1">
        <v>44835</v>
      </c>
      <c r="M23484" t="e">
        <v>#N/A</v>
      </c>
      <c r="N23484" s="1">
        <v>44378</v>
      </c>
    </row>
    <row r="23485" spans="11:14" x14ac:dyDescent="0.3">
      <c r="K23485" s="1">
        <v>44835</v>
      </c>
      <c r="M23485" t="e">
        <v>#N/A</v>
      </c>
      <c r="N23485" s="1">
        <v>44378</v>
      </c>
    </row>
    <row r="23486" spans="11:14" x14ac:dyDescent="0.3">
      <c r="K23486" s="1">
        <v>44835</v>
      </c>
      <c r="M23486" t="e">
        <v>#N/A</v>
      </c>
      <c r="N23486" s="1">
        <v>44378</v>
      </c>
    </row>
    <row r="23487" spans="11:14" x14ac:dyDescent="0.3">
      <c r="K23487" s="1">
        <v>44835</v>
      </c>
      <c r="M23487" t="e">
        <v>#N/A</v>
      </c>
      <c r="N23487" s="1">
        <v>44378</v>
      </c>
    </row>
    <row r="23488" spans="11:14" x14ac:dyDescent="0.3">
      <c r="K23488" s="1">
        <v>44835</v>
      </c>
      <c r="M23488" t="e">
        <v>#N/A</v>
      </c>
      <c r="N23488" s="1">
        <v>44378</v>
      </c>
    </row>
    <row r="23489" spans="11:14" x14ac:dyDescent="0.3">
      <c r="K23489" s="1">
        <v>44835</v>
      </c>
      <c r="M23489" t="e">
        <v>#N/A</v>
      </c>
      <c r="N23489" s="1">
        <v>44378</v>
      </c>
    </row>
    <row r="23490" spans="11:14" x14ac:dyDescent="0.3">
      <c r="K23490" s="1">
        <v>44835</v>
      </c>
      <c r="M23490" t="e">
        <v>#N/A</v>
      </c>
      <c r="N23490" s="1">
        <v>44378</v>
      </c>
    </row>
    <row r="23491" spans="11:14" x14ac:dyDescent="0.3">
      <c r="K23491" s="1">
        <v>44835</v>
      </c>
      <c r="M23491" t="e">
        <v>#N/A</v>
      </c>
      <c r="N23491" s="1">
        <v>44378</v>
      </c>
    </row>
    <row r="23492" spans="11:14" x14ac:dyDescent="0.3">
      <c r="K23492" s="1">
        <v>44835</v>
      </c>
      <c r="M23492" t="e">
        <v>#N/A</v>
      </c>
      <c r="N23492" s="1">
        <v>44378</v>
      </c>
    </row>
    <row r="23493" spans="11:14" x14ac:dyDescent="0.3">
      <c r="K23493" s="1">
        <v>44835</v>
      </c>
      <c r="M23493" t="e">
        <v>#N/A</v>
      </c>
      <c r="N23493" s="1">
        <v>44378</v>
      </c>
    </row>
    <row r="23494" spans="11:14" x14ac:dyDescent="0.3">
      <c r="K23494" s="1">
        <v>44835</v>
      </c>
      <c r="M23494" t="e">
        <v>#N/A</v>
      </c>
      <c r="N23494" s="1">
        <v>44378</v>
      </c>
    </row>
    <row r="23495" spans="11:14" x14ac:dyDescent="0.3">
      <c r="K23495" s="1">
        <v>44835</v>
      </c>
      <c r="M23495" t="e">
        <v>#N/A</v>
      </c>
      <c r="N23495" s="1">
        <v>44378</v>
      </c>
    </row>
    <row r="23496" spans="11:14" x14ac:dyDescent="0.3">
      <c r="K23496" s="1">
        <v>44835</v>
      </c>
      <c r="M23496" t="e">
        <v>#N/A</v>
      </c>
      <c r="N23496" s="1">
        <v>44378</v>
      </c>
    </row>
    <row r="23497" spans="11:14" x14ac:dyDescent="0.3">
      <c r="K23497" s="1">
        <v>44835</v>
      </c>
      <c r="M23497" t="e">
        <v>#N/A</v>
      </c>
      <c r="N23497" s="1">
        <v>44378</v>
      </c>
    </row>
    <row r="23498" spans="11:14" x14ac:dyDescent="0.3">
      <c r="K23498" s="1">
        <v>44835</v>
      </c>
      <c r="M23498" t="e">
        <v>#N/A</v>
      </c>
      <c r="N23498" s="1">
        <v>44378</v>
      </c>
    </row>
    <row r="23499" spans="11:14" x14ac:dyDescent="0.3">
      <c r="K23499" s="1">
        <v>44835</v>
      </c>
      <c r="M23499" t="e">
        <v>#N/A</v>
      </c>
      <c r="N23499" s="1">
        <v>44378</v>
      </c>
    </row>
    <row r="23500" spans="11:14" x14ac:dyDescent="0.3">
      <c r="K23500" s="1">
        <v>44835</v>
      </c>
      <c r="M23500" t="e">
        <v>#N/A</v>
      </c>
      <c r="N23500" s="1">
        <v>44378</v>
      </c>
    </row>
    <row r="23501" spans="11:14" x14ac:dyDescent="0.3">
      <c r="K23501" s="1">
        <v>44835</v>
      </c>
      <c r="M23501" t="e">
        <v>#N/A</v>
      </c>
      <c r="N23501" s="1">
        <v>44378</v>
      </c>
    </row>
    <row r="23502" spans="11:14" x14ac:dyDescent="0.3">
      <c r="K23502" s="1">
        <v>44835</v>
      </c>
      <c r="M23502" t="e">
        <v>#N/A</v>
      </c>
      <c r="N23502" s="1">
        <v>44378</v>
      </c>
    </row>
    <row r="23503" spans="11:14" x14ac:dyDescent="0.3">
      <c r="K23503" s="1">
        <v>44835</v>
      </c>
      <c r="M23503" t="e">
        <v>#N/A</v>
      </c>
      <c r="N23503" s="1">
        <v>44378</v>
      </c>
    </row>
    <row r="23504" spans="11:14" x14ac:dyDescent="0.3">
      <c r="K23504" s="1">
        <v>44835</v>
      </c>
      <c r="M23504" t="e">
        <v>#N/A</v>
      </c>
      <c r="N23504" s="1">
        <v>44378</v>
      </c>
    </row>
    <row r="23505" spans="11:14" x14ac:dyDescent="0.3">
      <c r="K23505" s="1">
        <v>44835</v>
      </c>
      <c r="M23505" t="e">
        <v>#N/A</v>
      </c>
      <c r="N23505" s="1">
        <v>44378</v>
      </c>
    </row>
    <row r="23506" spans="11:14" x14ac:dyDescent="0.3">
      <c r="K23506" s="1">
        <v>44835</v>
      </c>
      <c r="M23506" t="e">
        <v>#N/A</v>
      </c>
      <c r="N23506" s="1">
        <v>44378</v>
      </c>
    </row>
    <row r="23507" spans="11:14" x14ac:dyDescent="0.3">
      <c r="K23507" s="1">
        <v>44835</v>
      </c>
      <c r="M23507" t="e">
        <v>#N/A</v>
      </c>
      <c r="N23507" s="1">
        <v>44378</v>
      </c>
    </row>
    <row r="23508" spans="11:14" x14ac:dyDescent="0.3">
      <c r="K23508" s="1">
        <v>44835</v>
      </c>
      <c r="M23508" t="e">
        <v>#N/A</v>
      </c>
      <c r="N23508" s="1">
        <v>44378</v>
      </c>
    </row>
    <row r="23509" spans="11:14" x14ac:dyDescent="0.3">
      <c r="K23509" s="1">
        <v>44835</v>
      </c>
      <c r="M23509" t="e">
        <v>#N/A</v>
      </c>
      <c r="N23509" s="1">
        <v>44378</v>
      </c>
    </row>
    <row r="23510" spans="11:14" x14ac:dyDescent="0.3">
      <c r="K23510" s="1">
        <v>44835</v>
      </c>
      <c r="M23510" t="e">
        <v>#N/A</v>
      </c>
      <c r="N23510" s="1">
        <v>44378</v>
      </c>
    </row>
    <row r="23511" spans="11:14" x14ac:dyDescent="0.3">
      <c r="K23511" s="1">
        <v>44835</v>
      </c>
      <c r="M23511" t="e">
        <v>#N/A</v>
      </c>
      <c r="N23511" s="1">
        <v>44378</v>
      </c>
    </row>
    <row r="23512" spans="11:14" x14ac:dyDescent="0.3">
      <c r="K23512" s="1">
        <v>44835</v>
      </c>
      <c r="M23512" t="e">
        <v>#N/A</v>
      </c>
      <c r="N23512" s="1">
        <v>44378</v>
      </c>
    </row>
    <row r="23513" spans="11:14" x14ac:dyDescent="0.3">
      <c r="K23513" s="1">
        <v>44835</v>
      </c>
      <c r="M23513" t="e">
        <v>#N/A</v>
      </c>
      <c r="N23513" s="1">
        <v>44378</v>
      </c>
    </row>
    <row r="23514" spans="11:14" x14ac:dyDescent="0.3">
      <c r="K23514" s="1">
        <v>44835</v>
      </c>
      <c r="M23514" t="e">
        <v>#N/A</v>
      </c>
      <c r="N23514" s="1">
        <v>44378</v>
      </c>
    </row>
    <row r="23515" spans="11:14" x14ac:dyDescent="0.3">
      <c r="K23515" s="1">
        <v>44835</v>
      </c>
      <c r="M23515" t="e">
        <v>#N/A</v>
      </c>
      <c r="N23515" s="1">
        <v>44378</v>
      </c>
    </row>
    <row r="23516" spans="11:14" x14ac:dyDescent="0.3">
      <c r="K23516" s="1">
        <v>44835</v>
      </c>
      <c r="M23516" t="e">
        <v>#N/A</v>
      </c>
      <c r="N23516" s="1">
        <v>44378</v>
      </c>
    </row>
    <row r="23517" spans="11:14" x14ac:dyDescent="0.3">
      <c r="K23517" s="1">
        <v>44835</v>
      </c>
      <c r="M23517" t="e">
        <v>#N/A</v>
      </c>
      <c r="N23517" s="1">
        <v>44378</v>
      </c>
    </row>
    <row r="23518" spans="11:14" x14ac:dyDescent="0.3">
      <c r="K23518" s="1">
        <v>44835</v>
      </c>
      <c r="M23518" t="e">
        <v>#N/A</v>
      </c>
      <c r="N23518" s="1">
        <v>44378</v>
      </c>
    </row>
    <row r="23519" spans="11:14" x14ac:dyDescent="0.3">
      <c r="K23519" s="1">
        <v>44835</v>
      </c>
      <c r="M23519" t="e">
        <v>#N/A</v>
      </c>
      <c r="N23519" s="1">
        <v>44378</v>
      </c>
    </row>
    <row r="23520" spans="11:14" x14ac:dyDescent="0.3">
      <c r="K23520" s="1">
        <v>44835</v>
      </c>
      <c r="M23520" t="e">
        <v>#N/A</v>
      </c>
      <c r="N23520" s="1">
        <v>44378</v>
      </c>
    </row>
    <row r="23521" spans="11:14" x14ac:dyDescent="0.3">
      <c r="K23521" s="1">
        <v>44835</v>
      </c>
      <c r="M23521" t="e">
        <v>#N/A</v>
      </c>
      <c r="N23521" s="1">
        <v>44378</v>
      </c>
    </row>
    <row r="23522" spans="11:14" x14ac:dyDescent="0.3">
      <c r="K23522" s="1">
        <v>44835</v>
      </c>
      <c r="M23522" t="e">
        <v>#N/A</v>
      </c>
      <c r="N23522" s="1">
        <v>44378</v>
      </c>
    </row>
    <row r="23523" spans="11:14" x14ac:dyDescent="0.3">
      <c r="K23523" s="1">
        <v>44835</v>
      </c>
      <c r="M23523" t="e">
        <v>#N/A</v>
      </c>
      <c r="N23523" s="1">
        <v>44378</v>
      </c>
    </row>
    <row r="23524" spans="11:14" x14ac:dyDescent="0.3">
      <c r="K23524" s="1">
        <v>44835</v>
      </c>
      <c r="M23524" t="e">
        <v>#N/A</v>
      </c>
      <c r="N23524" s="1">
        <v>44378</v>
      </c>
    </row>
    <row r="23525" spans="11:14" x14ac:dyDescent="0.3">
      <c r="K23525" s="1">
        <v>44835</v>
      </c>
      <c r="M23525" t="e">
        <v>#N/A</v>
      </c>
      <c r="N23525" s="1">
        <v>44378</v>
      </c>
    </row>
    <row r="23526" spans="11:14" x14ac:dyDescent="0.3">
      <c r="K23526" s="1">
        <v>44835</v>
      </c>
      <c r="M23526" t="e">
        <v>#N/A</v>
      </c>
      <c r="N23526" s="1">
        <v>44378</v>
      </c>
    </row>
    <row r="23527" spans="11:14" x14ac:dyDescent="0.3">
      <c r="K23527" s="1">
        <v>44835</v>
      </c>
      <c r="M23527" t="e">
        <v>#N/A</v>
      </c>
      <c r="N23527" s="1">
        <v>44378</v>
      </c>
    </row>
    <row r="23528" spans="11:14" x14ac:dyDescent="0.3">
      <c r="K23528" s="1">
        <v>44835</v>
      </c>
      <c r="M23528" t="e">
        <v>#N/A</v>
      </c>
      <c r="N23528" s="1">
        <v>44378</v>
      </c>
    </row>
    <row r="23529" spans="11:14" x14ac:dyDescent="0.3">
      <c r="K23529" s="1">
        <v>44835</v>
      </c>
      <c r="M23529" t="e">
        <v>#N/A</v>
      </c>
      <c r="N23529" s="1">
        <v>44378</v>
      </c>
    </row>
    <row r="23530" spans="11:14" x14ac:dyDescent="0.3">
      <c r="K23530" s="1">
        <v>44835</v>
      </c>
      <c r="M23530" t="e">
        <v>#N/A</v>
      </c>
      <c r="N23530" s="1">
        <v>44378</v>
      </c>
    </row>
    <row r="23531" spans="11:14" x14ac:dyDescent="0.3">
      <c r="K23531" s="1">
        <v>44835</v>
      </c>
      <c r="M23531" t="e">
        <v>#N/A</v>
      </c>
      <c r="N23531" s="1">
        <v>44378</v>
      </c>
    </row>
    <row r="23532" spans="11:14" x14ac:dyDescent="0.3">
      <c r="K23532" s="1">
        <v>44835</v>
      </c>
      <c r="M23532" t="e">
        <v>#N/A</v>
      </c>
      <c r="N23532" s="1">
        <v>44378</v>
      </c>
    </row>
    <row r="23533" spans="11:14" x14ac:dyDescent="0.3">
      <c r="K23533" s="1">
        <v>44835</v>
      </c>
      <c r="M23533" t="e">
        <v>#N/A</v>
      </c>
      <c r="N23533" s="1">
        <v>44378</v>
      </c>
    </row>
    <row r="23534" spans="11:14" x14ac:dyDescent="0.3">
      <c r="K23534" s="1">
        <v>44835</v>
      </c>
      <c r="M23534" t="e">
        <v>#N/A</v>
      </c>
      <c r="N23534" s="1">
        <v>44378</v>
      </c>
    </row>
    <row r="23535" spans="11:14" x14ac:dyDescent="0.3">
      <c r="K23535" s="1">
        <v>44835</v>
      </c>
      <c r="M23535" t="e">
        <v>#N/A</v>
      </c>
      <c r="N23535" s="1">
        <v>44378</v>
      </c>
    </row>
    <row r="23536" spans="11:14" x14ac:dyDescent="0.3">
      <c r="K23536" s="1">
        <v>44835</v>
      </c>
      <c r="M23536" t="e">
        <v>#N/A</v>
      </c>
      <c r="N23536" s="1">
        <v>44470</v>
      </c>
    </row>
    <row r="23537" spans="11:14" x14ac:dyDescent="0.3">
      <c r="K23537" s="1">
        <v>44835</v>
      </c>
      <c r="M23537" t="e">
        <v>#N/A</v>
      </c>
      <c r="N23537" s="1">
        <v>44470</v>
      </c>
    </row>
    <row r="23538" spans="11:14" x14ac:dyDescent="0.3">
      <c r="K23538" s="1">
        <v>44835</v>
      </c>
      <c r="M23538" t="e">
        <v>#N/A</v>
      </c>
      <c r="N23538" s="1">
        <v>44470</v>
      </c>
    </row>
    <row r="23539" spans="11:14" x14ac:dyDescent="0.3">
      <c r="K23539" s="1">
        <v>44835</v>
      </c>
      <c r="M23539" t="e">
        <v>#N/A</v>
      </c>
      <c r="N23539" s="1">
        <v>44470</v>
      </c>
    </row>
    <row r="23540" spans="11:14" x14ac:dyDescent="0.3">
      <c r="K23540" s="1">
        <v>44835</v>
      </c>
      <c r="M23540" t="e">
        <v>#N/A</v>
      </c>
      <c r="N23540" s="1">
        <v>44470</v>
      </c>
    </row>
    <row r="23541" spans="11:14" x14ac:dyDescent="0.3">
      <c r="K23541" s="1">
        <v>44835</v>
      </c>
      <c r="M23541" t="e">
        <v>#N/A</v>
      </c>
      <c r="N23541" s="1">
        <v>44470</v>
      </c>
    </row>
    <row r="23542" spans="11:14" x14ac:dyDescent="0.3">
      <c r="K23542" s="1">
        <v>44835</v>
      </c>
      <c r="M23542" t="e">
        <v>#N/A</v>
      </c>
      <c r="N23542" s="1">
        <v>44470</v>
      </c>
    </row>
    <row r="23543" spans="11:14" x14ac:dyDescent="0.3">
      <c r="K23543" s="1">
        <v>44835</v>
      </c>
      <c r="M23543" t="e">
        <v>#N/A</v>
      </c>
      <c r="N23543" s="1">
        <v>44470</v>
      </c>
    </row>
    <row r="23544" spans="11:14" x14ac:dyDescent="0.3">
      <c r="K23544" s="1">
        <v>44835</v>
      </c>
      <c r="M23544" t="e">
        <v>#N/A</v>
      </c>
      <c r="N23544" s="1">
        <v>44470</v>
      </c>
    </row>
    <row r="23545" spans="11:14" x14ac:dyDescent="0.3">
      <c r="K23545" s="1">
        <v>44835</v>
      </c>
      <c r="M23545" t="e">
        <v>#N/A</v>
      </c>
      <c r="N23545" s="1">
        <v>44470</v>
      </c>
    </row>
    <row r="23546" spans="11:14" x14ac:dyDescent="0.3">
      <c r="K23546" s="1">
        <v>44835</v>
      </c>
      <c r="M23546" t="e">
        <v>#N/A</v>
      </c>
      <c r="N23546" s="1">
        <v>44470</v>
      </c>
    </row>
    <row r="23547" spans="11:14" x14ac:dyDescent="0.3">
      <c r="K23547" s="1">
        <v>44835</v>
      </c>
      <c r="M23547" t="e">
        <v>#N/A</v>
      </c>
      <c r="N23547" s="1">
        <v>44470</v>
      </c>
    </row>
    <row r="23548" spans="11:14" x14ac:dyDescent="0.3">
      <c r="K23548" s="1">
        <v>44835</v>
      </c>
      <c r="M23548" t="e">
        <v>#N/A</v>
      </c>
      <c r="N23548" s="1">
        <v>44470</v>
      </c>
    </row>
    <row r="23549" spans="11:14" x14ac:dyDescent="0.3">
      <c r="K23549" s="1">
        <v>44835</v>
      </c>
      <c r="M23549" t="e">
        <v>#N/A</v>
      </c>
      <c r="N23549" s="1">
        <v>44470</v>
      </c>
    </row>
    <row r="23550" spans="11:14" x14ac:dyDescent="0.3">
      <c r="K23550" s="1">
        <v>44835</v>
      </c>
      <c r="M23550" t="e">
        <v>#N/A</v>
      </c>
      <c r="N23550" s="1">
        <v>44470</v>
      </c>
    </row>
    <row r="23551" spans="11:14" x14ac:dyDescent="0.3">
      <c r="K23551" s="1">
        <v>44835</v>
      </c>
      <c r="M23551" t="e">
        <v>#N/A</v>
      </c>
      <c r="N23551" s="1">
        <v>44470</v>
      </c>
    </row>
    <row r="23552" spans="11:14" x14ac:dyDescent="0.3">
      <c r="K23552" s="1">
        <v>44835</v>
      </c>
      <c r="M23552" t="e">
        <v>#N/A</v>
      </c>
      <c r="N23552" s="1">
        <v>44470</v>
      </c>
    </row>
    <row r="23553" spans="11:14" x14ac:dyDescent="0.3">
      <c r="K23553" s="1">
        <v>44835</v>
      </c>
      <c r="M23553" t="e">
        <v>#N/A</v>
      </c>
      <c r="N23553" s="1">
        <v>44470</v>
      </c>
    </row>
    <row r="23554" spans="11:14" x14ac:dyDescent="0.3">
      <c r="K23554" s="1">
        <v>44835</v>
      </c>
      <c r="M23554" t="e">
        <v>#N/A</v>
      </c>
      <c r="N23554" s="1">
        <v>44470</v>
      </c>
    </row>
    <row r="23555" spans="11:14" x14ac:dyDescent="0.3">
      <c r="K23555" s="1">
        <v>44835</v>
      </c>
      <c r="M23555" t="e">
        <v>#N/A</v>
      </c>
      <c r="N23555" s="1">
        <v>44470</v>
      </c>
    </row>
    <row r="23556" spans="11:14" x14ac:dyDescent="0.3">
      <c r="K23556" s="1">
        <v>44835</v>
      </c>
      <c r="M23556" t="e">
        <v>#N/A</v>
      </c>
      <c r="N23556" s="1">
        <v>44470</v>
      </c>
    </row>
    <row r="23557" spans="11:14" x14ac:dyDescent="0.3">
      <c r="K23557" s="1">
        <v>44835</v>
      </c>
      <c r="M23557" t="e">
        <v>#N/A</v>
      </c>
      <c r="N23557" s="1">
        <v>44470</v>
      </c>
    </row>
    <row r="23558" spans="11:14" x14ac:dyDescent="0.3">
      <c r="K23558" s="1">
        <v>44835</v>
      </c>
      <c r="M23558" t="e">
        <v>#N/A</v>
      </c>
      <c r="N23558" s="1">
        <v>44470</v>
      </c>
    </row>
    <row r="23559" spans="11:14" x14ac:dyDescent="0.3">
      <c r="K23559" s="1">
        <v>44835</v>
      </c>
      <c r="M23559" t="e">
        <v>#N/A</v>
      </c>
      <c r="N23559" s="1">
        <v>44470</v>
      </c>
    </row>
    <row r="23560" spans="11:14" x14ac:dyDescent="0.3">
      <c r="K23560" s="1">
        <v>44835</v>
      </c>
      <c r="M23560" t="e">
        <v>#N/A</v>
      </c>
      <c r="N23560" s="1">
        <v>44470</v>
      </c>
    </row>
    <row r="23561" spans="11:14" x14ac:dyDescent="0.3">
      <c r="K23561" s="1">
        <v>44835</v>
      </c>
      <c r="M23561" t="e">
        <v>#N/A</v>
      </c>
      <c r="N23561" s="1">
        <v>44470</v>
      </c>
    </row>
    <row r="23562" spans="11:14" x14ac:dyDescent="0.3">
      <c r="K23562" s="1">
        <v>44835</v>
      </c>
      <c r="M23562" t="e">
        <v>#N/A</v>
      </c>
      <c r="N23562" s="1">
        <v>44470</v>
      </c>
    </row>
    <row r="23563" spans="11:14" x14ac:dyDescent="0.3">
      <c r="K23563" s="1">
        <v>44835</v>
      </c>
      <c r="M23563" t="e">
        <v>#N/A</v>
      </c>
      <c r="N23563" s="1">
        <v>44470</v>
      </c>
    </row>
    <row r="23564" spans="11:14" x14ac:dyDescent="0.3">
      <c r="K23564" s="1">
        <v>44835</v>
      </c>
      <c r="M23564" t="e">
        <v>#N/A</v>
      </c>
      <c r="N23564" s="1">
        <v>44470</v>
      </c>
    </row>
    <row r="23565" spans="11:14" x14ac:dyDescent="0.3">
      <c r="K23565" s="1">
        <v>44835</v>
      </c>
      <c r="M23565" t="e">
        <v>#N/A</v>
      </c>
      <c r="N23565" s="1">
        <v>44470</v>
      </c>
    </row>
    <row r="23566" spans="11:14" x14ac:dyDescent="0.3">
      <c r="K23566" s="1">
        <v>44835</v>
      </c>
      <c r="M23566" t="e">
        <v>#N/A</v>
      </c>
      <c r="N23566" s="1">
        <v>44470</v>
      </c>
    </row>
    <row r="23567" spans="11:14" x14ac:dyDescent="0.3">
      <c r="K23567" s="1">
        <v>44835</v>
      </c>
      <c r="M23567" t="e">
        <v>#N/A</v>
      </c>
      <c r="N23567" s="1">
        <v>44470</v>
      </c>
    </row>
    <row r="23568" spans="11:14" x14ac:dyDescent="0.3">
      <c r="K23568" s="1">
        <v>44835</v>
      </c>
      <c r="M23568" t="e">
        <v>#N/A</v>
      </c>
      <c r="N23568" s="1">
        <v>44470</v>
      </c>
    </row>
    <row r="23569" spans="11:14" x14ac:dyDescent="0.3">
      <c r="K23569" s="1">
        <v>44835</v>
      </c>
      <c r="M23569" t="e">
        <v>#N/A</v>
      </c>
      <c r="N23569" s="1">
        <v>44470</v>
      </c>
    </row>
    <row r="23570" spans="11:14" x14ac:dyDescent="0.3">
      <c r="K23570" s="1">
        <v>44835</v>
      </c>
      <c r="M23570" t="e">
        <v>#N/A</v>
      </c>
      <c r="N23570" s="1">
        <v>44470</v>
      </c>
    </row>
    <row r="23571" spans="11:14" x14ac:dyDescent="0.3">
      <c r="K23571" s="1">
        <v>44835</v>
      </c>
      <c r="M23571" t="e">
        <v>#N/A</v>
      </c>
      <c r="N23571" s="1">
        <v>44470</v>
      </c>
    </row>
    <row r="23572" spans="11:14" x14ac:dyDescent="0.3">
      <c r="K23572" s="1">
        <v>44835</v>
      </c>
      <c r="M23572" t="e">
        <v>#N/A</v>
      </c>
      <c r="N23572" s="1">
        <v>44470</v>
      </c>
    </row>
    <row r="23573" spans="11:14" x14ac:dyDescent="0.3">
      <c r="K23573" s="1">
        <v>44835</v>
      </c>
      <c r="M23573" t="e">
        <v>#N/A</v>
      </c>
      <c r="N23573" s="1">
        <v>44470</v>
      </c>
    </row>
    <row r="23574" spans="11:14" x14ac:dyDescent="0.3">
      <c r="K23574" s="1">
        <v>44835</v>
      </c>
      <c r="M23574" t="e">
        <v>#N/A</v>
      </c>
      <c r="N23574" s="1">
        <v>44470</v>
      </c>
    </row>
    <row r="23575" spans="11:14" x14ac:dyDescent="0.3">
      <c r="K23575" s="1">
        <v>44835</v>
      </c>
      <c r="M23575" t="e">
        <v>#N/A</v>
      </c>
      <c r="N23575" s="1">
        <v>44470</v>
      </c>
    </row>
    <row r="23576" spans="11:14" x14ac:dyDescent="0.3">
      <c r="K23576" s="1">
        <v>44835</v>
      </c>
      <c r="M23576" t="e">
        <v>#N/A</v>
      </c>
      <c r="N23576" s="1">
        <v>44470</v>
      </c>
    </row>
    <row r="23577" spans="11:14" x14ac:dyDescent="0.3">
      <c r="K23577" s="1">
        <v>44835</v>
      </c>
      <c r="M23577" t="e">
        <v>#N/A</v>
      </c>
      <c r="N23577" s="1">
        <v>44470</v>
      </c>
    </row>
    <row r="23578" spans="11:14" x14ac:dyDescent="0.3">
      <c r="K23578" s="1">
        <v>44835</v>
      </c>
      <c r="M23578" t="e">
        <v>#N/A</v>
      </c>
      <c r="N23578" s="1">
        <v>44470</v>
      </c>
    </row>
    <row r="23579" spans="11:14" x14ac:dyDescent="0.3">
      <c r="K23579" s="1">
        <v>44835</v>
      </c>
      <c r="M23579" t="e">
        <v>#N/A</v>
      </c>
      <c r="N23579" s="1">
        <v>44470</v>
      </c>
    </row>
    <row r="23580" spans="11:14" x14ac:dyDescent="0.3">
      <c r="K23580" s="1">
        <v>44835</v>
      </c>
      <c r="M23580" t="e">
        <v>#N/A</v>
      </c>
      <c r="N23580" s="1">
        <v>44470</v>
      </c>
    </row>
    <row r="23581" spans="11:14" x14ac:dyDescent="0.3">
      <c r="K23581" s="1">
        <v>44835</v>
      </c>
      <c r="M23581" t="e">
        <v>#N/A</v>
      </c>
      <c r="N23581" s="1">
        <v>44470</v>
      </c>
    </row>
    <row r="23582" spans="11:14" x14ac:dyDescent="0.3">
      <c r="K23582" s="1">
        <v>44835</v>
      </c>
      <c r="M23582" t="e">
        <v>#N/A</v>
      </c>
      <c r="N23582" s="1">
        <v>44470</v>
      </c>
    </row>
    <row r="23583" spans="11:14" x14ac:dyDescent="0.3">
      <c r="K23583" s="1">
        <v>44835</v>
      </c>
      <c r="M23583" t="e">
        <v>#N/A</v>
      </c>
      <c r="N23583" s="1">
        <v>44470</v>
      </c>
    </row>
    <row r="23584" spans="11:14" x14ac:dyDescent="0.3">
      <c r="K23584" s="1">
        <v>44835</v>
      </c>
      <c r="M23584" t="e">
        <v>#N/A</v>
      </c>
      <c r="N23584" s="1">
        <v>44470</v>
      </c>
    </row>
    <row r="23585" spans="11:14" x14ac:dyDescent="0.3">
      <c r="K23585" s="1">
        <v>44835</v>
      </c>
      <c r="M23585" t="e">
        <v>#N/A</v>
      </c>
      <c r="N23585" s="1">
        <v>44470</v>
      </c>
    </row>
    <row r="23586" spans="11:14" x14ac:dyDescent="0.3">
      <c r="K23586" s="1">
        <v>44835</v>
      </c>
      <c r="M23586" t="e">
        <v>#N/A</v>
      </c>
      <c r="N23586" s="1">
        <v>44470</v>
      </c>
    </row>
    <row r="23587" spans="11:14" x14ac:dyDescent="0.3">
      <c r="K23587" s="1">
        <v>44835</v>
      </c>
      <c r="M23587" t="e">
        <v>#N/A</v>
      </c>
      <c r="N23587" s="1">
        <v>44470</v>
      </c>
    </row>
    <row r="23588" spans="11:14" x14ac:dyDescent="0.3">
      <c r="K23588" s="1">
        <v>44835</v>
      </c>
      <c r="M23588" t="e">
        <v>#N/A</v>
      </c>
      <c r="N23588" s="1">
        <v>44470</v>
      </c>
    </row>
    <row r="23589" spans="11:14" x14ac:dyDescent="0.3">
      <c r="K23589" s="1">
        <v>44835</v>
      </c>
      <c r="M23589" t="e">
        <v>#N/A</v>
      </c>
      <c r="N23589" s="1">
        <v>44470</v>
      </c>
    </row>
    <row r="23590" spans="11:14" x14ac:dyDescent="0.3">
      <c r="K23590" s="1">
        <v>44835</v>
      </c>
      <c r="M23590" t="e">
        <v>#N/A</v>
      </c>
      <c r="N23590" s="1">
        <v>44470</v>
      </c>
    </row>
    <row r="23591" spans="11:14" x14ac:dyDescent="0.3">
      <c r="K23591" s="1">
        <v>44835</v>
      </c>
      <c r="M23591" t="e">
        <v>#N/A</v>
      </c>
      <c r="N23591" s="1">
        <v>44470</v>
      </c>
    </row>
    <row r="23592" spans="11:14" x14ac:dyDescent="0.3">
      <c r="K23592" s="1">
        <v>44835</v>
      </c>
      <c r="M23592" t="e">
        <v>#N/A</v>
      </c>
      <c r="N23592" s="1">
        <v>44470</v>
      </c>
    </row>
    <row r="23593" spans="11:14" x14ac:dyDescent="0.3">
      <c r="K23593" s="1">
        <v>44835</v>
      </c>
      <c r="M23593" t="e">
        <v>#N/A</v>
      </c>
      <c r="N23593" s="1">
        <v>44470</v>
      </c>
    </row>
    <row r="23594" spans="11:14" x14ac:dyDescent="0.3">
      <c r="K23594" s="1">
        <v>44835</v>
      </c>
      <c r="M23594" t="e">
        <v>#N/A</v>
      </c>
      <c r="N23594" s="1">
        <v>44470</v>
      </c>
    </row>
    <row r="23595" spans="11:14" x14ac:dyDescent="0.3">
      <c r="K23595" s="1">
        <v>44835</v>
      </c>
      <c r="M23595" t="e">
        <v>#N/A</v>
      </c>
      <c r="N23595" s="1">
        <v>44470</v>
      </c>
    </row>
    <row r="23596" spans="11:14" x14ac:dyDescent="0.3">
      <c r="K23596" s="1">
        <v>44835</v>
      </c>
      <c r="M23596" t="e">
        <v>#N/A</v>
      </c>
      <c r="N23596" s="1">
        <v>44470</v>
      </c>
    </row>
    <row r="23597" spans="11:14" x14ac:dyDescent="0.3">
      <c r="K23597" s="1">
        <v>44835</v>
      </c>
      <c r="M23597" t="e">
        <v>#N/A</v>
      </c>
      <c r="N23597" s="1">
        <v>44470</v>
      </c>
    </row>
    <row r="23598" spans="11:14" x14ac:dyDescent="0.3">
      <c r="K23598" s="1">
        <v>44835</v>
      </c>
      <c r="M23598" t="e">
        <v>#N/A</v>
      </c>
      <c r="N23598" s="1">
        <v>44470</v>
      </c>
    </row>
    <row r="23599" spans="11:14" x14ac:dyDescent="0.3">
      <c r="K23599" s="1">
        <v>44835</v>
      </c>
      <c r="M23599" t="e">
        <v>#N/A</v>
      </c>
      <c r="N23599" s="1">
        <v>44470</v>
      </c>
    </row>
    <row r="23600" spans="11:14" x14ac:dyDescent="0.3">
      <c r="K23600" s="1">
        <v>44835</v>
      </c>
      <c r="M23600" t="e">
        <v>#N/A</v>
      </c>
      <c r="N23600" s="1">
        <v>44470</v>
      </c>
    </row>
    <row r="23601" spans="11:14" x14ac:dyDescent="0.3">
      <c r="K23601" s="1">
        <v>44835</v>
      </c>
      <c r="M23601" t="e">
        <v>#N/A</v>
      </c>
      <c r="N23601" s="1">
        <v>44470</v>
      </c>
    </row>
    <row r="23602" spans="11:14" x14ac:dyDescent="0.3">
      <c r="K23602" s="1">
        <v>44835</v>
      </c>
      <c r="M23602" t="e">
        <v>#N/A</v>
      </c>
      <c r="N23602" s="1">
        <v>44470</v>
      </c>
    </row>
    <row r="23603" spans="11:14" x14ac:dyDescent="0.3">
      <c r="K23603" s="1">
        <v>44835</v>
      </c>
      <c r="M23603" t="e">
        <v>#N/A</v>
      </c>
      <c r="N23603" s="1">
        <v>44470</v>
      </c>
    </row>
    <row r="23604" spans="11:14" x14ac:dyDescent="0.3">
      <c r="K23604" s="1">
        <v>44835</v>
      </c>
      <c r="M23604" t="e">
        <v>#N/A</v>
      </c>
      <c r="N23604" s="1">
        <v>44470</v>
      </c>
    </row>
    <row r="23605" spans="11:14" x14ac:dyDescent="0.3">
      <c r="K23605" s="1">
        <v>44835</v>
      </c>
      <c r="M23605" t="e">
        <v>#N/A</v>
      </c>
      <c r="N23605" s="1">
        <v>44470</v>
      </c>
    </row>
    <row r="23606" spans="11:14" x14ac:dyDescent="0.3">
      <c r="K23606" s="1">
        <v>44835</v>
      </c>
      <c r="M23606" t="e">
        <v>#N/A</v>
      </c>
      <c r="N23606" s="1">
        <v>44470</v>
      </c>
    </row>
    <row r="23607" spans="11:14" x14ac:dyDescent="0.3">
      <c r="K23607" s="1">
        <v>44835</v>
      </c>
      <c r="M23607" t="e">
        <v>#N/A</v>
      </c>
      <c r="N23607" s="1">
        <v>44470</v>
      </c>
    </row>
    <row r="23608" spans="11:14" x14ac:dyDescent="0.3">
      <c r="K23608" s="1">
        <v>44835</v>
      </c>
      <c r="M23608" t="e">
        <v>#N/A</v>
      </c>
      <c r="N23608" s="1">
        <v>44470</v>
      </c>
    </row>
    <row r="23609" spans="11:14" x14ac:dyDescent="0.3">
      <c r="K23609" s="1">
        <v>44835</v>
      </c>
      <c r="M23609" t="e">
        <v>#N/A</v>
      </c>
      <c r="N23609" s="1">
        <v>44470</v>
      </c>
    </row>
    <row r="23610" spans="11:14" x14ac:dyDescent="0.3">
      <c r="K23610" s="1">
        <v>44835</v>
      </c>
      <c r="M23610" t="e">
        <v>#N/A</v>
      </c>
      <c r="N23610" s="1">
        <v>44470</v>
      </c>
    </row>
    <row r="23611" spans="11:14" x14ac:dyDescent="0.3">
      <c r="K23611" s="1">
        <v>44835</v>
      </c>
      <c r="M23611" t="e">
        <v>#N/A</v>
      </c>
      <c r="N23611" s="1">
        <v>44470</v>
      </c>
    </row>
    <row r="23612" spans="11:14" x14ac:dyDescent="0.3">
      <c r="K23612" s="1">
        <v>44835</v>
      </c>
      <c r="M23612" t="e">
        <v>#N/A</v>
      </c>
      <c r="N23612" s="1">
        <v>44470</v>
      </c>
    </row>
    <row r="23613" spans="11:14" x14ac:dyDescent="0.3">
      <c r="K23613" s="1">
        <v>44835</v>
      </c>
      <c r="M23613" t="e">
        <v>#N/A</v>
      </c>
      <c r="N23613" s="1">
        <v>44470</v>
      </c>
    </row>
    <row r="23614" spans="11:14" x14ac:dyDescent="0.3">
      <c r="K23614" s="1">
        <v>44835</v>
      </c>
      <c r="M23614" t="e">
        <v>#N/A</v>
      </c>
      <c r="N23614" s="1">
        <v>44470</v>
      </c>
    </row>
    <row r="23615" spans="11:14" x14ac:dyDescent="0.3">
      <c r="K23615" s="1">
        <v>44835</v>
      </c>
      <c r="M23615" t="e">
        <v>#N/A</v>
      </c>
      <c r="N23615" s="1">
        <v>44470</v>
      </c>
    </row>
    <row r="23616" spans="11:14" x14ac:dyDescent="0.3">
      <c r="K23616" s="1">
        <v>44835</v>
      </c>
      <c r="M23616" t="e">
        <v>#N/A</v>
      </c>
      <c r="N23616" s="1">
        <v>44470</v>
      </c>
    </row>
    <row r="23617" spans="11:14" x14ac:dyDescent="0.3">
      <c r="K23617" s="1">
        <v>44835</v>
      </c>
      <c r="M23617" t="e">
        <v>#N/A</v>
      </c>
      <c r="N23617" s="1">
        <v>44470</v>
      </c>
    </row>
    <row r="23618" spans="11:14" x14ac:dyDescent="0.3">
      <c r="K23618" s="1">
        <v>44835</v>
      </c>
      <c r="M23618" t="e">
        <v>#N/A</v>
      </c>
      <c r="N23618" s="1">
        <v>44470</v>
      </c>
    </row>
    <row r="23619" spans="11:14" x14ac:dyDescent="0.3">
      <c r="K23619" s="1">
        <v>44835</v>
      </c>
      <c r="M23619" t="e">
        <v>#N/A</v>
      </c>
      <c r="N23619" s="1">
        <v>44470</v>
      </c>
    </row>
    <row r="23620" spans="11:14" x14ac:dyDescent="0.3">
      <c r="K23620" s="1">
        <v>44835</v>
      </c>
      <c r="M23620" t="e">
        <v>#N/A</v>
      </c>
      <c r="N23620" s="1">
        <v>44470</v>
      </c>
    </row>
    <row r="23621" spans="11:14" x14ac:dyDescent="0.3">
      <c r="K23621" s="1">
        <v>44835</v>
      </c>
      <c r="M23621" t="e">
        <v>#N/A</v>
      </c>
      <c r="N23621" s="1">
        <v>44470</v>
      </c>
    </row>
    <row r="23622" spans="11:14" x14ac:dyDescent="0.3">
      <c r="K23622" s="1">
        <v>44835</v>
      </c>
      <c r="M23622" t="e">
        <v>#N/A</v>
      </c>
      <c r="N23622" s="1">
        <v>44470</v>
      </c>
    </row>
    <row r="23623" spans="11:14" x14ac:dyDescent="0.3">
      <c r="K23623" s="1">
        <v>44835</v>
      </c>
      <c r="M23623" t="e">
        <v>#N/A</v>
      </c>
      <c r="N23623" s="1">
        <v>44470</v>
      </c>
    </row>
    <row r="23624" spans="11:14" x14ac:dyDescent="0.3">
      <c r="K23624" s="1">
        <v>44835</v>
      </c>
      <c r="M23624" t="e">
        <v>#N/A</v>
      </c>
      <c r="N23624" s="1">
        <v>44470</v>
      </c>
    </row>
    <row r="23625" spans="11:14" x14ac:dyDescent="0.3">
      <c r="K23625" s="1">
        <v>44835</v>
      </c>
      <c r="M23625" t="e">
        <v>#N/A</v>
      </c>
      <c r="N23625" s="1">
        <v>44470</v>
      </c>
    </row>
    <row r="23626" spans="11:14" x14ac:dyDescent="0.3">
      <c r="K23626" s="1">
        <v>44835</v>
      </c>
      <c r="M23626" t="e">
        <v>#N/A</v>
      </c>
      <c r="N23626" s="1">
        <v>44470</v>
      </c>
    </row>
    <row r="23627" spans="11:14" x14ac:dyDescent="0.3">
      <c r="K23627" s="1">
        <v>44835</v>
      </c>
      <c r="M23627" t="e">
        <v>#N/A</v>
      </c>
      <c r="N23627" s="1">
        <v>44470</v>
      </c>
    </row>
    <row r="23628" spans="11:14" x14ac:dyDescent="0.3">
      <c r="K23628" s="1">
        <v>44835</v>
      </c>
      <c r="M23628" t="e">
        <v>#N/A</v>
      </c>
      <c r="N23628" s="1">
        <v>44470</v>
      </c>
    </row>
    <row r="23629" spans="11:14" x14ac:dyDescent="0.3">
      <c r="K23629" s="1">
        <v>44835</v>
      </c>
      <c r="M23629" t="e">
        <v>#N/A</v>
      </c>
      <c r="N23629" s="1">
        <v>44470</v>
      </c>
    </row>
    <row r="23630" spans="11:14" x14ac:dyDescent="0.3">
      <c r="K23630" s="1">
        <v>44835</v>
      </c>
      <c r="M23630" t="e">
        <v>#N/A</v>
      </c>
      <c r="N23630" s="1">
        <v>44470</v>
      </c>
    </row>
    <row r="23631" spans="11:14" x14ac:dyDescent="0.3">
      <c r="K23631" s="1">
        <v>44835</v>
      </c>
      <c r="M23631" t="e">
        <v>#N/A</v>
      </c>
      <c r="N23631" s="1">
        <v>44470</v>
      </c>
    </row>
    <row r="23632" spans="11:14" x14ac:dyDescent="0.3">
      <c r="K23632" s="1">
        <v>44835</v>
      </c>
      <c r="M23632" t="e">
        <v>#N/A</v>
      </c>
      <c r="N23632" s="1">
        <v>44470</v>
      </c>
    </row>
    <row r="23633" spans="11:14" x14ac:dyDescent="0.3">
      <c r="K23633" s="1">
        <v>44835</v>
      </c>
      <c r="M23633" t="e">
        <v>#N/A</v>
      </c>
      <c r="N23633" s="1">
        <v>44470</v>
      </c>
    </row>
    <row r="23634" spans="11:14" x14ac:dyDescent="0.3">
      <c r="K23634" s="1">
        <v>44835</v>
      </c>
      <c r="M23634" t="e">
        <v>#N/A</v>
      </c>
      <c r="N23634" s="1">
        <v>44470</v>
      </c>
    </row>
    <row r="23635" spans="11:14" x14ac:dyDescent="0.3">
      <c r="K23635" s="1">
        <v>44835</v>
      </c>
      <c r="M23635" t="e">
        <v>#N/A</v>
      </c>
      <c r="N23635" s="1">
        <v>44470</v>
      </c>
    </row>
    <row r="23636" spans="11:14" x14ac:dyDescent="0.3">
      <c r="K23636" s="1">
        <v>44835</v>
      </c>
      <c r="M23636" t="e">
        <v>#N/A</v>
      </c>
      <c r="N23636" s="1">
        <v>44470</v>
      </c>
    </row>
    <row r="23637" spans="11:14" x14ac:dyDescent="0.3">
      <c r="K23637" s="1">
        <v>44835</v>
      </c>
      <c r="M23637" t="e">
        <v>#N/A</v>
      </c>
      <c r="N23637" s="1">
        <v>44470</v>
      </c>
    </row>
    <row r="23638" spans="11:14" x14ac:dyDescent="0.3">
      <c r="K23638" s="1">
        <v>44835</v>
      </c>
      <c r="M23638" t="e">
        <v>#N/A</v>
      </c>
      <c r="N23638" s="1">
        <v>44470</v>
      </c>
    </row>
    <row r="23639" spans="11:14" x14ac:dyDescent="0.3">
      <c r="K23639" s="1">
        <v>44835</v>
      </c>
      <c r="M23639" t="e">
        <v>#N/A</v>
      </c>
      <c r="N23639" s="1">
        <v>44470</v>
      </c>
    </row>
    <row r="23640" spans="11:14" x14ac:dyDescent="0.3">
      <c r="K23640" s="1">
        <v>44835</v>
      </c>
      <c r="M23640" t="e">
        <v>#N/A</v>
      </c>
      <c r="N23640" s="1">
        <v>44470</v>
      </c>
    </row>
    <row r="23641" spans="11:14" x14ac:dyDescent="0.3">
      <c r="K23641" s="1">
        <v>44835</v>
      </c>
      <c r="M23641" t="e">
        <v>#N/A</v>
      </c>
      <c r="N23641" s="1">
        <v>44470</v>
      </c>
    </row>
    <row r="23642" spans="11:14" x14ac:dyDescent="0.3">
      <c r="K23642" s="1">
        <v>44835</v>
      </c>
      <c r="M23642" t="e">
        <v>#N/A</v>
      </c>
      <c r="N23642" s="1">
        <v>44470</v>
      </c>
    </row>
    <row r="23643" spans="11:14" x14ac:dyDescent="0.3">
      <c r="K23643" s="1">
        <v>44835</v>
      </c>
      <c r="M23643" t="e">
        <v>#N/A</v>
      </c>
      <c r="N23643" s="1">
        <v>44470</v>
      </c>
    </row>
    <row r="23644" spans="11:14" x14ac:dyDescent="0.3">
      <c r="K23644" s="1">
        <v>44835</v>
      </c>
      <c r="M23644" t="e">
        <v>#N/A</v>
      </c>
      <c r="N23644" s="1">
        <v>44470</v>
      </c>
    </row>
    <row r="23645" spans="11:14" x14ac:dyDescent="0.3">
      <c r="K23645" s="1">
        <v>44835</v>
      </c>
      <c r="M23645" t="e">
        <v>#N/A</v>
      </c>
      <c r="N23645" s="1">
        <v>44470</v>
      </c>
    </row>
    <row r="23646" spans="11:14" x14ac:dyDescent="0.3">
      <c r="K23646" s="1">
        <v>44835</v>
      </c>
      <c r="M23646" t="e">
        <v>#N/A</v>
      </c>
      <c r="N23646" s="1">
        <v>44470</v>
      </c>
    </row>
    <row r="23647" spans="11:14" x14ac:dyDescent="0.3">
      <c r="K23647" s="1">
        <v>44835</v>
      </c>
      <c r="M23647" t="e">
        <v>#N/A</v>
      </c>
      <c r="N23647" s="1">
        <v>44470</v>
      </c>
    </row>
    <row r="23648" spans="11:14" x14ac:dyDescent="0.3">
      <c r="K23648" s="1">
        <v>44835</v>
      </c>
      <c r="M23648" t="e">
        <v>#N/A</v>
      </c>
      <c r="N23648" s="1">
        <v>44470</v>
      </c>
    </row>
    <row r="23649" spans="11:14" x14ac:dyDescent="0.3">
      <c r="K23649" s="1">
        <v>44835</v>
      </c>
      <c r="M23649" t="e">
        <v>#N/A</v>
      </c>
      <c r="N23649" s="1">
        <v>44470</v>
      </c>
    </row>
    <row r="23650" spans="11:14" x14ac:dyDescent="0.3">
      <c r="K23650" s="1">
        <v>44835</v>
      </c>
      <c r="M23650" t="e">
        <v>#N/A</v>
      </c>
      <c r="N23650" s="1">
        <v>44470</v>
      </c>
    </row>
    <row r="23651" spans="11:14" x14ac:dyDescent="0.3">
      <c r="K23651" s="1">
        <v>44835</v>
      </c>
      <c r="M23651" t="e">
        <v>#N/A</v>
      </c>
      <c r="N23651" s="1">
        <v>44470</v>
      </c>
    </row>
    <row r="23652" spans="11:14" x14ac:dyDescent="0.3">
      <c r="K23652" s="1">
        <v>44835</v>
      </c>
      <c r="M23652" t="e">
        <v>#N/A</v>
      </c>
      <c r="N23652" s="1">
        <v>44470</v>
      </c>
    </row>
    <row r="23653" spans="11:14" x14ac:dyDescent="0.3">
      <c r="K23653" s="1">
        <v>44835</v>
      </c>
      <c r="M23653" t="e">
        <v>#N/A</v>
      </c>
      <c r="N23653" s="1">
        <v>44470</v>
      </c>
    </row>
    <row r="23654" spans="11:14" x14ac:dyDescent="0.3">
      <c r="K23654" s="1">
        <v>44835</v>
      </c>
      <c r="M23654" t="e">
        <v>#N/A</v>
      </c>
      <c r="N23654" s="1">
        <v>44470</v>
      </c>
    </row>
    <row r="23655" spans="11:14" x14ac:dyDescent="0.3">
      <c r="K23655" s="1">
        <v>44835</v>
      </c>
      <c r="M23655" t="e">
        <v>#N/A</v>
      </c>
      <c r="N23655" s="1">
        <v>44470</v>
      </c>
    </row>
    <row r="23656" spans="11:14" x14ac:dyDescent="0.3">
      <c r="K23656" s="1">
        <v>44835</v>
      </c>
      <c r="M23656" t="e">
        <v>#N/A</v>
      </c>
      <c r="N23656" s="1">
        <v>44470</v>
      </c>
    </row>
    <row r="23657" spans="11:14" x14ac:dyDescent="0.3">
      <c r="K23657" s="1">
        <v>44835</v>
      </c>
      <c r="M23657" t="e">
        <v>#N/A</v>
      </c>
      <c r="N23657" s="1">
        <v>44470</v>
      </c>
    </row>
    <row r="23658" spans="11:14" x14ac:dyDescent="0.3">
      <c r="K23658" s="1">
        <v>44835</v>
      </c>
      <c r="M23658" t="e">
        <v>#N/A</v>
      </c>
      <c r="N23658" s="1">
        <v>44470</v>
      </c>
    </row>
    <row r="23659" spans="11:14" x14ac:dyDescent="0.3">
      <c r="K23659" s="1">
        <v>44835</v>
      </c>
      <c r="M23659" t="e">
        <v>#N/A</v>
      </c>
      <c r="N23659" s="1">
        <v>44470</v>
      </c>
    </row>
    <row r="23660" spans="11:14" x14ac:dyDescent="0.3">
      <c r="K23660" s="1">
        <v>44835</v>
      </c>
      <c r="M23660" t="e">
        <v>#N/A</v>
      </c>
      <c r="N23660" s="1">
        <v>44470</v>
      </c>
    </row>
    <row r="23661" spans="11:14" x14ac:dyDescent="0.3">
      <c r="K23661" s="1">
        <v>44835</v>
      </c>
      <c r="M23661" t="e">
        <v>#N/A</v>
      </c>
      <c r="N23661" s="1">
        <v>44470</v>
      </c>
    </row>
    <row r="23662" spans="11:14" x14ac:dyDescent="0.3">
      <c r="K23662" s="1">
        <v>44835</v>
      </c>
      <c r="M23662" t="e">
        <v>#N/A</v>
      </c>
      <c r="N23662" s="1">
        <v>44470</v>
      </c>
    </row>
    <row r="23663" spans="11:14" x14ac:dyDescent="0.3">
      <c r="K23663" s="1">
        <v>44835</v>
      </c>
      <c r="M23663" t="e">
        <v>#N/A</v>
      </c>
      <c r="N23663" s="1">
        <v>44470</v>
      </c>
    </row>
    <row r="23664" spans="11:14" x14ac:dyDescent="0.3">
      <c r="K23664" s="1">
        <v>44835</v>
      </c>
      <c r="M23664" t="e">
        <v>#N/A</v>
      </c>
      <c r="N23664" s="1">
        <v>44470</v>
      </c>
    </row>
    <row r="23665" spans="11:14" x14ac:dyDescent="0.3">
      <c r="K23665" s="1">
        <v>44835</v>
      </c>
      <c r="M23665" t="e">
        <v>#N/A</v>
      </c>
      <c r="N23665" s="1">
        <v>44470</v>
      </c>
    </row>
    <row r="23666" spans="11:14" x14ac:dyDescent="0.3">
      <c r="K23666" s="1">
        <v>44835</v>
      </c>
      <c r="M23666" t="e">
        <v>#N/A</v>
      </c>
      <c r="N23666" s="1">
        <v>44470</v>
      </c>
    </row>
    <row r="23667" spans="11:14" x14ac:dyDescent="0.3">
      <c r="K23667" s="1">
        <v>44835</v>
      </c>
      <c r="M23667" t="e">
        <v>#N/A</v>
      </c>
      <c r="N23667" s="1">
        <v>44470</v>
      </c>
    </row>
    <row r="23668" spans="11:14" x14ac:dyDescent="0.3">
      <c r="K23668" s="1">
        <v>44835</v>
      </c>
      <c r="M23668" t="e">
        <v>#N/A</v>
      </c>
      <c r="N23668" s="1">
        <v>44470</v>
      </c>
    </row>
    <row r="23669" spans="11:14" x14ac:dyDescent="0.3">
      <c r="K23669" s="1">
        <v>44835</v>
      </c>
      <c r="M23669" t="e">
        <v>#N/A</v>
      </c>
      <c r="N23669" s="1">
        <v>44470</v>
      </c>
    </row>
    <row r="23670" spans="11:14" x14ac:dyDescent="0.3">
      <c r="K23670" s="1">
        <v>44835</v>
      </c>
      <c r="M23670" t="e">
        <v>#N/A</v>
      </c>
      <c r="N23670" s="1">
        <v>44470</v>
      </c>
    </row>
    <row r="23671" spans="11:14" x14ac:dyDescent="0.3">
      <c r="K23671" s="1">
        <v>44835</v>
      </c>
      <c r="M23671" t="e">
        <v>#N/A</v>
      </c>
      <c r="N23671" s="1">
        <v>44470</v>
      </c>
    </row>
    <row r="23672" spans="11:14" x14ac:dyDescent="0.3">
      <c r="K23672" s="1">
        <v>44835</v>
      </c>
      <c r="M23672" t="e">
        <v>#N/A</v>
      </c>
      <c r="N23672" s="1">
        <v>44470</v>
      </c>
    </row>
    <row r="23673" spans="11:14" x14ac:dyDescent="0.3">
      <c r="K23673" s="1">
        <v>44835</v>
      </c>
      <c r="M23673" t="e">
        <v>#N/A</v>
      </c>
      <c r="N23673" s="1">
        <v>44470</v>
      </c>
    </row>
    <row r="23674" spans="11:14" x14ac:dyDescent="0.3">
      <c r="K23674" s="1">
        <v>44835</v>
      </c>
      <c r="M23674" t="e">
        <v>#N/A</v>
      </c>
      <c r="N23674" s="1">
        <v>44470</v>
      </c>
    </row>
    <row r="23675" spans="11:14" x14ac:dyDescent="0.3">
      <c r="K23675" s="1">
        <v>44835</v>
      </c>
      <c r="M23675" t="e">
        <v>#N/A</v>
      </c>
      <c r="N23675" s="1">
        <v>44470</v>
      </c>
    </row>
    <row r="23676" spans="11:14" x14ac:dyDescent="0.3">
      <c r="K23676" s="1">
        <v>44835</v>
      </c>
      <c r="M23676" t="e">
        <v>#N/A</v>
      </c>
      <c r="N23676" s="1">
        <v>44470</v>
      </c>
    </row>
    <row r="23677" spans="11:14" x14ac:dyDescent="0.3">
      <c r="K23677" s="1">
        <v>44835</v>
      </c>
      <c r="M23677" t="e">
        <v>#N/A</v>
      </c>
      <c r="N23677" s="1">
        <v>44470</v>
      </c>
    </row>
    <row r="23678" spans="11:14" x14ac:dyDescent="0.3">
      <c r="K23678" s="1">
        <v>44835</v>
      </c>
      <c r="M23678" t="e">
        <v>#N/A</v>
      </c>
      <c r="N23678" s="1">
        <v>44470</v>
      </c>
    </row>
    <row r="23679" spans="11:14" x14ac:dyDescent="0.3">
      <c r="K23679" s="1">
        <v>44835</v>
      </c>
      <c r="M23679" t="e">
        <v>#N/A</v>
      </c>
      <c r="N23679" s="1">
        <v>44470</v>
      </c>
    </row>
    <row r="23680" spans="11:14" x14ac:dyDescent="0.3">
      <c r="K23680" s="1">
        <v>44835</v>
      </c>
      <c r="M23680" t="e">
        <v>#N/A</v>
      </c>
      <c r="N23680" s="1">
        <v>44470</v>
      </c>
    </row>
    <row r="23681" spans="11:14" x14ac:dyDescent="0.3">
      <c r="K23681" s="1">
        <v>44835</v>
      </c>
      <c r="M23681" t="e">
        <v>#N/A</v>
      </c>
      <c r="N23681" s="1">
        <v>44470</v>
      </c>
    </row>
    <row r="23682" spans="11:14" x14ac:dyDescent="0.3">
      <c r="K23682" s="1">
        <v>44835</v>
      </c>
      <c r="M23682" t="e">
        <v>#N/A</v>
      </c>
      <c r="N23682" s="1">
        <v>44470</v>
      </c>
    </row>
    <row r="23683" spans="11:14" x14ac:dyDescent="0.3">
      <c r="K23683" s="1">
        <v>44835</v>
      </c>
      <c r="M23683" t="e">
        <v>#N/A</v>
      </c>
      <c r="N23683" s="1">
        <v>44470</v>
      </c>
    </row>
    <row r="23684" spans="11:14" x14ac:dyDescent="0.3">
      <c r="K23684" s="1">
        <v>44835</v>
      </c>
      <c r="M23684" t="e">
        <v>#N/A</v>
      </c>
      <c r="N23684" s="1">
        <v>44470</v>
      </c>
    </row>
    <row r="23685" spans="11:14" x14ac:dyDescent="0.3">
      <c r="K23685" s="1">
        <v>44835</v>
      </c>
      <c r="M23685" t="e">
        <v>#N/A</v>
      </c>
      <c r="N23685" s="1">
        <v>44470</v>
      </c>
    </row>
    <row r="23686" spans="11:14" x14ac:dyDescent="0.3">
      <c r="K23686" s="1">
        <v>44835</v>
      </c>
      <c r="M23686" t="e">
        <v>#N/A</v>
      </c>
      <c r="N23686" s="1">
        <v>44470</v>
      </c>
    </row>
    <row r="23687" spans="11:14" x14ac:dyDescent="0.3">
      <c r="K23687" s="1">
        <v>44835</v>
      </c>
      <c r="M23687" t="e">
        <v>#N/A</v>
      </c>
      <c r="N23687" s="1">
        <v>44470</v>
      </c>
    </row>
    <row r="23688" spans="11:14" x14ac:dyDescent="0.3">
      <c r="K23688" s="1">
        <v>44835</v>
      </c>
      <c r="M23688" t="e">
        <v>#N/A</v>
      </c>
      <c r="N23688" s="1">
        <v>44470</v>
      </c>
    </row>
    <row r="23689" spans="11:14" x14ac:dyDescent="0.3">
      <c r="K23689" s="1">
        <v>44835</v>
      </c>
      <c r="M23689" t="e">
        <v>#N/A</v>
      </c>
      <c r="N23689" s="1">
        <v>44470</v>
      </c>
    </row>
    <row r="23690" spans="11:14" x14ac:dyDescent="0.3">
      <c r="K23690" s="1">
        <v>44835</v>
      </c>
      <c r="M23690" t="e">
        <v>#N/A</v>
      </c>
      <c r="N23690" s="1">
        <v>44470</v>
      </c>
    </row>
    <row r="23691" spans="11:14" x14ac:dyDescent="0.3">
      <c r="K23691" s="1">
        <v>44835</v>
      </c>
      <c r="M23691" t="e">
        <v>#N/A</v>
      </c>
      <c r="N23691" s="1">
        <v>44470</v>
      </c>
    </row>
    <row r="23692" spans="11:14" x14ac:dyDescent="0.3">
      <c r="K23692" s="1">
        <v>44835</v>
      </c>
      <c r="M23692" t="e">
        <v>#N/A</v>
      </c>
      <c r="N23692" s="1">
        <v>44470</v>
      </c>
    </row>
    <row r="23693" spans="11:14" x14ac:dyDescent="0.3">
      <c r="K23693" s="1">
        <v>44835</v>
      </c>
      <c r="M23693" t="e">
        <v>#N/A</v>
      </c>
      <c r="N23693" s="1">
        <v>44470</v>
      </c>
    </row>
    <row r="23694" spans="11:14" x14ac:dyDescent="0.3">
      <c r="K23694" s="1">
        <v>44835</v>
      </c>
      <c r="M23694" t="e">
        <v>#N/A</v>
      </c>
      <c r="N23694" s="1">
        <v>44470</v>
      </c>
    </row>
    <row r="23695" spans="11:14" x14ac:dyDescent="0.3">
      <c r="K23695" s="1">
        <v>44835</v>
      </c>
      <c r="M23695" t="e">
        <v>#N/A</v>
      </c>
      <c r="N23695" s="1">
        <v>44470</v>
      </c>
    </row>
    <row r="23696" spans="11:14" x14ac:dyDescent="0.3">
      <c r="K23696" s="1">
        <v>44835</v>
      </c>
      <c r="M23696" t="e">
        <v>#N/A</v>
      </c>
      <c r="N23696" s="1">
        <v>44470</v>
      </c>
    </row>
    <row r="23697" spans="11:14" x14ac:dyDescent="0.3">
      <c r="K23697" s="1">
        <v>44835</v>
      </c>
      <c r="M23697" t="e">
        <v>#N/A</v>
      </c>
      <c r="N23697" s="1">
        <v>44470</v>
      </c>
    </row>
    <row r="23698" spans="11:14" x14ac:dyDescent="0.3">
      <c r="K23698" s="1">
        <v>44835</v>
      </c>
      <c r="M23698" t="e">
        <v>#N/A</v>
      </c>
      <c r="N23698" s="1">
        <v>44470</v>
      </c>
    </row>
    <row r="23699" spans="11:14" x14ac:dyDescent="0.3">
      <c r="K23699" s="1">
        <v>44835</v>
      </c>
      <c r="M23699" t="e">
        <v>#N/A</v>
      </c>
      <c r="N23699" s="1">
        <v>44470</v>
      </c>
    </row>
    <row r="23700" spans="11:14" x14ac:dyDescent="0.3">
      <c r="K23700" s="1">
        <v>44835</v>
      </c>
      <c r="M23700" t="e">
        <v>#N/A</v>
      </c>
      <c r="N23700" s="1">
        <v>44470</v>
      </c>
    </row>
    <row r="23701" spans="11:14" x14ac:dyDescent="0.3">
      <c r="K23701" s="1">
        <v>44835</v>
      </c>
      <c r="M23701" t="e">
        <v>#N/A</v>
      </c>
      <c r="N23701" s="1">
        <v>44470</v>
      </c>
    </row>
    <row r="23702" spans="11:14" x14ac:dyDescent="0.3">
      <c r="K23702" s="1">
        <v>44835</v>
      </c>
      <c r="M23702" t="e">
        <v>#N/A</v>
      </c>
      <c r="N23702" s="1">
        <v>44470</v>
      </c>
    </row>
    <row r="23703" spans="11:14" x14ac:dyDescent="0.3">
      <c r="K23703" s="1">
        <v>44835</v>
      </c>
      <c r="M23703" t="e">
        <v>#N/A</v>
      </c>
      <c r="N23703" s="1">
        <v>44470</v>
      </c>
    </row>
    <row r="23704" spans="11:14" x14ac:dyDescent="0.3">
      <c r="K23704" s="1">
        <v>44835</v>
      </c>
      <c r="M23704" t="e">
        <v>#N/A</v>
      </c>
      <c r="N23704" s="1">
        <v>44470</v>
      </c>
    </row>
    <row r="23705" spans="11:14" x14ac:dyDescent="0.3">
      <c r="K23705" s="1">
        <v>44835</v>
      </c>
      <c r="M23705" t="e">
        <v>#N/A</v>
      </c>
      <c r="N23705" s="1">
        <v>44470</v>
      </c>
    </row>
    <row r="23706" spans="11:14" x14ac:dyDescent="0.3">
      <c r="K23706" s="1">
        <v>44835</v>
      </c>
      <c r="M23706" t="e">
        <v>#N/A</v>
      </c>
      <c r="N23706" s="1">
        <v>44470</v>
      </c>
    </row>
    <row r="23707" spans="11:14" x14ac:dyDescent="0.3">
      <c r="K23707" s="1">
        <v>44835</v>
      </c>
      <c r="M23707" t="e">
        <v>#N/A</v>
      </c>
      <c r="N23707" s="1">
        <v>44470</v>
      </c>
    </row>
    <row r="23708" spans="11:14" x14ac:dyDescent="0.3">
      <c r="K23708" s="1">
        <v>44835</v>
      </c>
      <c r="M23708" t="e">
        <v>#N/A</v>
      </c>
      <c r="N23708" s="1">
        <v>44470</v>
      </c>
    </row>
    <row r="23709" spans="11:14" x14ac:dyDescent="0.3">
      <c r="K23709" s="1">
        <v>44835</v>
      </c>
      <c r="M23709" t="e">
        <v>#N/A</v>
      </c>
      <c r="N23709" s="1">
        <v>44470</v>
      </c>
    </row>
    <row r="23710" spans="11:14" x14ac:dyDescent="0.3">
      <c r="K23710" s="1">
        <v>44835</v>
      </c>
      <c r="M23710" t="e">
        <v>#N/A</v>
      </c>
      <c r="N23710" s="1">
        <v>44470</v>
      </c>
    </row>
    <row r="23711" spans="11:14" x14ac:dyDescent="0.3">
      <c r="K23711" s="1">
        <v>44835</v>
      </c>
      <c r="M23711" t="e">
        <v>#N/A</v>
      </c>
      <c r="N23711" s="1">
        <v>44470</v>
      </c>
    </row>
    <row r="23712" spans="11:14" x14ac:dyDescent="0.3">
      <c r="K23712" s="1">
        <v>44835</v>
      </c>
      <c r="M23712" t="e">
        <v>#N/A</v>
      </c>
      <c r="N23712" s="1">
        <v>44470</v>
      </c>
    </row>
    <row r="23713" spans="11:14" x14ac:dyDescent="0.3">
      <c r="K23713" s="1">
        <v>44835</v>
      </c>
      <c r="M23713" t="e">
        <v>#N/A</v>
      </c>
      <c r="N23713" s="1">
        <v>44470</v>
      </c>
    </row>
    <row r="23714" spans="11:14" x14ac:dyDescent="0.3">
      <c r="K23714" s="1">
        <v>44835</v>
      </c>
      <c r="M23714" t="e">
        <v>#N/A</v>
      </c>
      <c r="N23714" s="1">
        <v>44470</v>
      </c>
    </row>
    <row r="23715" spans="11:14" x14ac:dyDescent="0.3">
      <c r="K23715" s="1">
        <v>44835</v>
      </c>
      <c r="M23715" t="e">
        <v>#N/A</v>
      </c>
      <c r="N23715" s="1">
        <v>44470</v>
      </c>
    </row>
    <row r="23716" spans="11:14" x14ac:dyDescent="0.3">
      <c r="K23716" s="1">
        <v>44835</v>
      </c>
      <c r="M23716" t="e">
        <v>#N/A</v>
      </c>
      <c r="N23716" s="1">
        <v>44470</v>
      </c>
    </row>
    <row r="23717" spans="11:14" x14ac:dyDescent="0.3">
      <c r="K23717" s="1">
        <v>44835</v>
      </c>
      <c r="M23717" t="e">
        <v>#N/A</v>
      </c>
      <c r="N23717" s="1">
        <v>44470</v>
      </c>
    </row>
    <row r="23718" spans="11:14" x14ac:dyDescent="0.3">
      <c r="K23718" s="1">
        <v>44835</v>
      </c>
      <c r="M23718" t="e">
        <v>#N/A</v>
      </c>
      <c r="N23718" s="1">
        <v>44470</v>
      </c>
    </row>
    <row r="23719" spans="11:14" x14ac:dyDescent="0.3">
      <c r="K23719" s="1">
        <v>44835</v>
      </c>
      <c r="M23719" t="e">
        <v>#N/A</v>
      </c>
      <c r="N23719" s="1">
        <v>44470</v>
      </c>
    </row>
    <row r="23720" spans="11:14" x14ac:dyDescent="0.3">
      <c r="K23720" s="1">
        <v>44835</v>
      </c>
      <c r="M23720" t="e">
        <v>#N/A</v>
      </c>
      <c r="N23720" s="1">
        <v>44470</v>
      </c>
    </row>
    <row r="23721" spans="11:14" x14ac:dyDescent="0.3">
      <c r="K23721" s="1">
        <v>44835</v>
      </c>
      <c r="M23721" t="e">
        <v>#N/A</v>
      </c>
      <c r="N23721" s="1">
        <v>44470</v>
      </c>
    </row>
    <row r="23722" spans="11:14" x14ac:dyDescent="0.3">
      <c r="K23722" s="1">
        <v>44835</v>
      </c>
      <c r="M23722" t="e">
        <v>#N/A</v>
      </c>
      <c r="N23722" s="1">
        <v>44470</v>
      </c>
    </row>
    <row r="23723" spans="11:14" x14ac:dyDescent="0.3">
      <c r="K23723" s="1">
        <v>44835</v>
      </c>
      <c r="M23723" t="e">
        <v>#N/A</v>
      </c>
      <c r="N23723" s="1">
        <v>44470</v>
      </c>
    </row>
    <row r="23724" spans="11:14" x14ac:dyDescent="0.3">
      <c r="K23724" s="1">
        <v>44835</v>
      </c>
      <c r="M23724" t="e">
        <v>#N/A</v>
      </c>
      <c r="N23724" s="1">
        <v>44470</v>
      </c>
    </row>
    <row r="23725" spans="11:14" x14ac:dyDescent="0.3">
      <c r="K23725" s="1">
        <v>44835</v>
      </c>
      <c r="M23725" t="e">
        <v>#N/A</v>
      </c>
      <c r="N23725" s="1">
        <v>44470</v>
      </c>
    </row>
    <row r="23726" spans="11:14" x14ac:dyDescent="0.3">
      <c r="K23726" s="1">
        <v>44835</v>
      </c>
      <c r="M23726" t="e">
        <v>#N/A</v>
      </c>
      <c r="N23726" s="1">
        <v>44470</v>
      </c>
    </row>
    <row r="23727" spans="11:14" x14ac:dyDescent="0.3">
      <c r="K23727" s="1">
        <v>44835</v>
      </c>
      <c r="M23727" t="e">
        <v>#N/A</v>
      </c>
      <c r="N23727" s="1">
        <v>44470</v>
      </c>
    </row>
    <row r="23728" spans="11:14" x14ac:dyDescent="0.3">
      <c r="K23728" s="1">
        <v>44835</v>
      </c>
      <c r="M23728" t="e">
        <v>#N/A</v>
      </c>
      <c r="N23728" s="1">
        <v>44470</v>
      </c>
    </row>
    <row r="23729" spans="11:14" x14ac:dyDescent="0.3">
      <c r="K23729" s="1">
        <v>44835</v>
      </c>
      <c r="M23729" t="e">
        <v>#N/A</v>
      </c>
      <c r="N23729" s="1">
        <v>44470</v>
      </c>
    </row>
    <row r="23730" spans="11:14" x14ac:dyDescent="0.3">
      <c r="K23730" s="1">
        <v>44835</v>
      </c>
      <c r="M23730" t="e">
        <v>#N/A</v>
      </c>
      <c r="N23730" s="1">
        <v>44470</v>
      </c>
    </row>
    <row r="23731" spans="11:14" x14ac:dyDescent="0.3">
      <c r="K23731" s="1">
        <v>44835</v>
      </c>
      <c r="M23731" t="e">
        <v>#N/A</v>
      </c>
      <c r="N23731" s="1">
        <v>44470</v>
      </c>
    </row>
    <row r="23732" spans="11:14" x14ac:dyDescent="0.3">
      <c r="K23732" s="1">
        <v>44835</v>
      </c>
      <c r="M23732" t="e">
        <v>#N/A</v>
      </c>
      <c r="N23732" s="1">
        <v>44470</v>
      </c>
    </row>
    <row r="23733" spans="11:14" x14ac:dyDescent="0.3">
      <c r="K23733" s="1">
        <v>44835</v>
      </c>
      <c r="M23733" t="e">
        <v>#N/A</v>
      </c>
      <c r="N23733" s="1">
        <v>44470</v>
      </c>
    </row>
    <row r="23734" spans="11:14" x14ac:dyDescent="0.3">
      <c r="K23734" s="1">
        <v>44835</v>
      </c>
      <c r="M23734" t="e">
        <v>#N/A</v>
      </c>
      <c r="N23734" s="1">
        <v>44470</v>
      </c>
    </row>
    <row r="23735" spans="11:14" x14ac:dyDescent="0.3">
      <c r="K23735" s="1">
        <v>44835</v>
      </c>
      <c r="M23735" t="e">
        <v>#N/A</v>
      </c>
      <c r="N23735" s="1">
        <v>44470</v>
      </c>
    </row>
    <row r="23736" spans="11:14" x14ac:dyDescent="0.3">
      <c r="K23736" s="1">
        <v>44835</v>
      </c>
      <c r="M23736" t="e">
        <v>#N/A</v>
      </c>
      <c r="N23736" s="1">
        <v>44470</v>
      </c>
    </row>
    <row r="23737" spans="11:14" x14ac:dyDescent="0.3">
      <c r="K23737" s="1">
        <v>44835</v>
      </c>
      <c r="M23737" t="e">
        <v>#N/A</v>
      </c>
      <c r="N23737" s="1">
        <v>44470</v>
      </c>
    </row>
    <row r="23738" spans="11:14" x14ac:dyDescent="0.3">
      <c r="K23738" s="1">
        <v>44835</v>
      </c>
      <c r="M23738" t="e">
        <v>#N/A</v>
      </c>
      <c r="N23738" s="1">
        <v>44470</v>
      </c>
    </row>
    <row r="23739" spans="11:14" x14ac:dyDescent="0.3">
      <c r="K23739" s="1">
        <v>44835</v>
      </c>
      <c r="M23739" t="e">
        <v>#N/A</v>
      </c>
      <c r="N23739" s="1">
        <v>44470</v>
      </c>
    </row>
    <row r="23740" spans="11:14" x14ac:dyDescent="0.3">
      <c r="K23740" s="1">
        <v>44835</v>
      </c>
      <c r="M23740" t="e">
        <v>#N/A</v>
      </c>
      <c r="N23740" s="1">
        <v>44470</v>
      </c>
    </row>
    <row r="23741" spans="11:14" x14ac:dyDescent="0.3">
      <c r="K23741" s="1">
        <v>44835</v>
      </c>
      <c r="M23741" t="e">
        <v>#N/A</v>
      </c>
      <c r="N23741" s="1">
        <v>44470</v>
      </c>
    </row>
    <row r="23742" spans="11:14" x14ac:dyDescent="0.3">
      <c r="K23742" s="1">
        <v>44835</v>
      </c>
      <c r="M23742" t="e">
        <v>#N/A</v>
      </c>
      <c r="N23742" s="1">
        <v>44470</v>
      </c>
    </row>
    <row r="23743" spans="11:14" x14ac:dyDescent="0.3">
      <c r="K23743" s="1">
        <v>44835</v>
      </c>
      <c r="M23743" t="e">
        <v>#N/A</v>
      </c>
      <c r="N23743" s="1">
        <v>44470</v>
      </c>
    </row>
    <row r="23744" spans="11:14" x14ac:dyDescent="0.3">
      <c r="K23744" s="1">
        <v>44835</v>
      </c>
      <c r="M23744" t="e">
        <v>#N/A</v>
      </c>
      <c r="N23744" s="1">
        <v>44470</v>
      </c>
    </row>
    <row r="23745" spans="11:14" x14ac:dyDescent="0.3">
      <c r="K23745" s="1">
        <v>44835</v>
      </c>
      <c r="M23745" t="e">
        <v>#N/A</v>
      </c>
      <c r="N23745" s="1">
        <v>44470</v>
      </c>
    </row>
    <row r="23746" spans="11:14" x14ac:dyDescent="0.3">
      <c r="K23746" s="1">
        <v>44835</v>
      </c>
      <c r="M23746" t="e">
        <v>#N/A</v>
      </c>
      <c r="N23746" s="1">
        <v>44470</v>
      </c>
    </row>
    <row r="23747" spans="11:14" x14ac:dyDescent="0.3">
      <c r="K23747" s="1">
        <v>44835</v>
      </c>
      <c r="M23747" t="e">
        <v>#N/A</v>
      </c>
      <c r="N23747" s="1">
        <v>44470</v>
      </c>
    </row>
    <row r="23748" spans="11:14" x14ac:dyDescent="0.3">
      <c r="K23748" s="1">
        <v>44835</v>
      </c>
      <c r="M23748" t="e">
        <v>#N/A</v>
      </c>
      <c r="N23748" s="1">
        <v>44470</v>
      </c>
    </row>
    <row r="23749" spans="11:14" x14ac:dyDescent="0.3">
      <c r="K23749" s="1">
        <v>44835</v>
      </c>
      <c r="M23749" t="e">
        <v>#N/A</v>
      </c>
      <c r="N23749" s="1">
        <v>44470</v>
      </c>
    </row>
    <row r="23750" spans="11:14" x14ac:dyDescent="0.3">
      <c r="K23750" s="1">
        <v>44835</v>
      </c>
      <c r="M23750" t="e">
        <v>#N/A</v>
      </c>
      <c r="N23750" s="1">
        <v>44470</v>
      </c>
    </row>
    <row r="23751" spans="11:14" x14ac:dyDescent="0.3">
      <c r="K23751" s="1">
        <v>44835</v>
      </c>
      <c r="M23751" t="e">
        <v>#N/A</v>
      </c>
      <c r="N23751" s="1">
        <v>44470</v>
      </c>
    </row>
    <row r="23752" spans="11:14" x14ac:dyDescent="0.3">
      <c r="K23752" s="1">
        <v>44835</v>
      </c>
      <c r="M23752" t="e">
        <v>#N/A</v>
      </c>
      <c r="N23752" s="1">
        <v>44470</v>
      </c>
    </row>
    <row r="23753" spans="11:14" x14ac:dyDescent="0.3">
      <c r="K23753" s="1">
        <v>44835</v>
      </c>
      <c r="M23753" t="e">
        <v>#N/A</v>
      </c>
      <c r="N23753" s="1">
        <v>44470</v>
      </c>
    </row>
    <row r="23754" spans="11:14" x14ac:dyDescent="0.3">
      <c r="K23754" s="1">
        <v>44835</v>
      </c>
      <c r="M23754" t="e">
        <v>#N/A</v>
      </c>
      <c r="N23754" s="1">
        <v>44470</v>
      </c>
    </row>
    <row r="23755" spans="11:14" x14ac:dyDescent="0.3">
      <c r="K23755" s="1">
        <v>44835</v>
      </c>
      <c r="M23755" t="e">
        <v>#N/A</v>
      </c>
      <c r="N23755" s="1">
        <v>44470</v>
      </c>
    </row>
    <row r="23756" spans="11:14" x14ac:dyDescent="0.3">
      <c r="K23756" s="1">
        <v>44835</v>
      </c>
      <c r="M23756" t="e">
        <v>#N/A</v>
      </c>
      <c r="N23756" s="1">
        <v>44470</v>
      </c>
    </row>
    <row r="23757" spans="11:14" x14ac:dyDescent="0.3">
      <c r="K23757" s="1">
        <v>44835</v>
      </c>
      <c r="M23757" t="e">
        <v>#N/A</v>
      </c>
      <c r="N23757" s="1">
        <v>44470</v>
      </c>
    </row>
    <row r="23758" spans="11:14" x14ac:dyDescent="0.3">
      <c r="K23758" s="1">
        <v>44835</v>
      </c>
      <c r="M23758" t="e">
        <v>#N/A</v>
      </c>
      <c r="N23758" s="1">
        <v>44470</v>
      </c>
    </row>
    <row r="23759" spans="11:14" x14ac:dyDescent="0.3">
      <c r="K23759" s="1">
        <v>44835</v>
      </c>
      <c r="M23759" t="e">
        <v>#N/A</v>
      </c>
      <c r="N23759" s="1">
        <v>44470</v>
      </c>
    </row>
    <row r="23760" spans="11:14" x14ac:dyDescent="0.3">
      <c r="K23760" s="1">
        <v>44835</v>
      </c>
      <c r="M23760" t="e">
        <v>#N/A</v>
      </c>
      <c r="N23760" s="1">
        <v>44470</v>
      </c>
    </row>
    <row r="23761" spans="11:14" x14ac:dyDescent="0.3">
      <c r="K23761" s="1">
        <v>44835</v>
      </c>
      <c r="M23761" t="e">
        <v>#N/A</v>
      </c>
      <c r="N23761" s="1">
        <v>44470</v>
      </c>
    </row>
    <row r="23762" spans="11:14" x14ac:dyDescent="0.3">
      <c r="K23762" s="1">
        <v>44835</v>
      </c>
      <c r="M23762" t="e">
        <v>#N/A</v>
      </c>
      <c r="N23762" s="1">
        <v>44470</v>
      </c>
    </row>
    <row r="23763" spans="11:14" x14ac:dyDescent="0.3">
      <c r="K23763" s="1">
        <v>44835</v>
      </c>
      <c r="M23763" t="e">
        <v>#N/A</v>
      </c>
      <c r="N23763" s="1">
        <v>44470</v>
      </c>
    </row>
    <row r="23764" spans="11:14" x14ac:dyDescent="0.3">
      <c r="K23764" s="1">
        <v>44835</v>
      </c>
      <c r="M23764" t="e">
        <v>#N/A</v>
      </c>
      <c r="N23764" s="1">
        <v>44470</v>
      </c>
    </row>
    <row r="23765" spans="11:14" x14ac:dyDescent="0.3">
      <c r="K23765" s="1">
        <v>44835</v>
      </c>
      <c r="M23765" t="e">
        <v>#N/A</v>
      </c>
      <c r="N23765" s="1">
        <v>44470</v>
      </c>
    </row>
    <row r="23766" spans="11:14" x14ac:dyDescent="0.3">
      <c r="K23766" s="1">
        <v>44835</v>
      </c>
      <c r="M23766" t="e">
        <v>#N/A</v>
      </c>
      <c r="N23766" s="1">
        <v>44470</v>
      </c>
    </row>
    <row r="23767" spans="11:14" x14ac:dyDescent="0.3">
      <c r="K23767" s="1">
        <v>44835</v>
      </c>
      <c r="M23767" t="e">
        <v>#N/A</v>
      </c>
      <c r="N23767" s="1">
        <v>44470</v>
      </c>
    </row>
    <row r="23768" spans="11:14" x14ac:dyDescent="0.3">
      <c r="K23768" s="1">
        <v>44835</v>
      </c>
      <c r="M23768" t="e">
        <v>#N/A</v>
      </c>
      <c r="N23768" s="1">
        <v>44470</v>
      </c>
    </row>
    <row r="23769" spans="11:14" x14ac:dyDescent="0.3">
      <c r="K23769" s="1">
        <v>44835</v>
      </c>
      <c r="M23769" t="e">
        <v>#N/A</v>
      </c>
      <c r="N23769" s="1">
        <v>44470</v>
      </c>
    </row>
    <row r="23770" spans="11:14" x14ac:dyDescent="0.3">
      <c r="K23770" s="1">
        <v>44835</v>
      </c>
      <c r="M23770" t="e">
        <v>#N/A</v>
      </c>
      <c r="N23770" s="1">
        <v>44470</v>
      </c>
    </row>
    <row r="23771" spans="11:14" x14ac:dyDescent="0.3">
      <c r="K23771" s="1">
        <v>44835</v>
      </c>
      <c r="M23771" t="e">
        <v>#N/A</v>
      </c>
      <c r="N23771" s="1">
        <v>44470</v>
      </c>
    </row>
    <row r="23772" spans="11:14" x14ac:dyDescent="0.3">
      <c r="K23772" s="1">
        <v>44835</v>
      </c>
      <c r="M23772" t="e">
        <v>#N/A</v>
      </c>
      <c r="N23772" s="1">
        <v>44470</v>
      </c>
    </row>
    <row r="23773" spans="11:14" x14ac:dyDescent="0.3">
      <c r="K23773" s="1">
        <v>44835</v>
      </c>
      <c r="M23773" t="e">
        <v>#N/A</v>
      </c>
      <c r="N23773" s="1">
        <v>44470</v>
      </c>
    </row>
    <row r="23774" spans="11:14" x14ac:dyDescent="0.3">
      <c r="K23774" s="1">
        <v>44835</v>
      </c>
      <c r="M23774" t="e">
        <v>#N/A</v>
      </c>
      <c r="N23774" s="1">
        <v>44470</v>
      </c>
    </row>
    <row r="23775" spans="11:14" x14ac:dyDescent="0.3">
      <c r="K23775" s="1">
        <v>44835</v>
      </c>
      <c r="M23775" t="e">
        <v>#N/A</v>
      </c>
      <c r="N23775" s="1">
        <v>44470</v>
      </c>
    </row>
    <row r="23776" spans="11:14" x14ac:dyDescent="0.3">
      <c r="K23776" s="1">
        <v>44835</v>
      </c>
      <c r="M23776" t="e">
        <v>#N/A</v>
      </c>
      <c r="N23776" s="1">
        <v>44470</v>
      </c>
    </row>
    <row r="23777" spans="11:14" x14ac:dyDescent="0.3">
      <c r="K23777" s="1">
        <v>44835</v>
      </c>
      <c r="M23777" t="e">
        <v>#N/A</v>
      </c>
      <c r="N23777" s="1">
        <v>44470</v>
      </c>
    </row>
    <row r="23778" spans="11:14" x14ac:dyDescent="0.3">
      <c r="K23778" s="1">
        <v>44835</v>
      </c>
      <c r="M23778" t="e">
        <v>#N/A</v>
      </c>
      <c r="N23778" s="1">
        <v>44470</v>
      </c>
    </row>
    <row r="23779" spans="11:14" x14ac:dyDescent="0.3">
      <c r="K23779" s="1">
        <v>44835</v>
      </c>
      <c r="M23779" t="e">
        <v>#N/A</v>
      </c>
      <c r="N23779" s="1">
        <v>44470</v>
      </c>
    </row>
    <row r="23780" spans="11:14" x14ac:dyDescent="0.3">
      <c r="K23780" s="1">
        <v>44835</v>
      </c>
      <c r="M23780" t="e">
        <v>#N/A</v>
      </c>
      <c r="N23780" s="1">
        <v>44470</v>
      </c>
    </row>
    <row r="23781" spans="11:14" x14ac:dyDescent="0.3">
      <c r="K23781" s="1">
        <v>44835</v>
      </c>
      <c r="M23781" t="e">
        <v>#N/A</v>
      </c>
      <c r="N23781" s="1">
        <v>44470</v>
      </c>
    </row>
    <row r="23782" spans="11:14" x14ac:dyDescent="0.3">
      <c r="K23782" s="1">
        <v>44835</v>
      </c>
      <c r="M23782" t="e">
        <v>#N/A</v>
      </c>
      <c r="N23782" s="1">
        <v>44470</v>
      </c>
    </row>
    <row r="23783" spans="11:14" x14ac:dyDescent="0.3">
      <c r="K23783" s="1">
        <v>44835</v>
      </c>
      <c r="M23783" t="e">
        <v>#N/A</v>
      </c>
      <c r="N23783" s="1">
        <v>44470</v>
      </c>
    </row>
    <row r="23784" spans="11:14" x14ac:dyDescent="0.3">
      <c r="K23784" s="1">
        <v>44835</v>
      </c>
      <c r="M23784" t="e">
        <v>#N/A</v>
      </c>
      <c r="N23784" s="1">
        <v>44470</v>
      </c>
    </row>
    <row r="23785" spans="11:14" x14ac:dyDescent="0.3">
      <c r="K23785" s="1">
        <v>44835</v>
      </c>
      <c r="M23785" t="e">
        <v>#N/A</v>
      </c>
      <c r="N23785" s="1">
        <v>44470</v>
      </c>
    </row>
    <row r="23786" spans="11:14" x14ac:dyDescent="0.3">
      <c r="K23786" s="1">
        <v>44835</v>
      </c>
      <c r="M23786" t="e">
        <v>#N/A</v>
      </c>
      <c r="N23786" s="1">
        <v>44470</v>
      </c>
    </row>
    <row r="23787" spans="11:14" x14ac:dyDescent="0.3">
      <c r="K23787" s="1">
        <v>44835</v>
      </c>
      <c r="M23787" t="e">
        <v>#N/A</v>
      </c>
      <c r="N23787" s="1">
        <v>44470</v>
      </c>
    </row>
    <row r="23788" spans="11:14" x14ac:dyDescent="0.3">
      <c r="K23788" s="1">
        <v>44835</v>
      </c>
      <c r="M23788" t="e">
        <v>#N/A</v>
      </c>
      <c r="N23788" s="1">
        <v>44470</v>
      </c>
    </row>
    <row r="23789" spans="11:14" x14ac:dyDescent="0.3">
      <c r="K23789" s="1">
        <v>44835</v>
      </c>
      <c r="M23789" t="e">
        <v>#N/A</v>
      </c>
      <c r="N23789" s="1">
        <v>44470</v>
      </c>
    </row>
    <row r="23790" spans="11:14" x14ac:dyDescent="0.3">
      <c r="K23790" s="1">
        <v>44835</v>
      </c>
      <c r="M23790" t="e">
        <v>#N/A</v>
      </c>
      <c r="N23790" s="1">
        <v>44470</v>
      </c>
    </row>
    <row r="23791" spans="11:14" x14ac:dyDescent="0.3">
      <c r="K23791" s="1">
        <v>44835</v>
      </c>
      <c r="M23791" t="e">
        <v>#N/A</v>
      </c>
      <c r="N23791" s="1">
        <v>44470</v>
      </c>
    </row>
    <row r="23792" spans="11:14" x14ac:dyDescent="0.3">
      <c r="K23792" s="1">
        <v>44835</v>
      </c>
      <c r="M23792" t="e">
        <v>#N/A</v>
      </c>
      <c r="N23792" s="1">
        <v>44470</v>
      </c>
    </row>
    <row r="23793" spans="11:14" x14ac:dyDescent="0.3">
      <c r="K23793" s="1">
        <v>44835</v>
      </c>
      <c r="M23793" t="e">
        <v>#N/A</v>
      </c>
      <c r="N23793" s="1">
        <v>44470</v>
      </c>
    </row>
    <row r="23794" spans="11:14" x14ac:dyDescent="0.3">
      <c r="K23794" s="1">
        <v>44835</v>
      </c>
      <c r="M23794" t="e">
        <v>#N/A</v>
      </c>
      <c r="N23794" s="1">
        <v>44470</v>
      </c>
    </row>
    <row r="23795" spans="11:14" x14ac:dyDescent="0.3">
      <c r="K23795" s="1">
        <v>44927</v>
      </c>
      <c r="M23795" t="e">
        <v>#N/A</v>
      </c>
      <c r="N23795" s="1">
        <v>44470</v>
      </c>
    </row>
    <row r="23796" spans="11:14" x14ac:dyDescent="0.3">
      <c r="K23796" s="1">
        <v>44927</v>
      </c>
      <c r="M23796" t="e">
        <v>#N/A</v>
      </c>
      <c r="N23796" s="1">
        <v>44470</v>
      </c>
    </row>
    <row r="23797" spans="11:14" x14ac:dyDescent="0.3">
      <c r="K23797" s="1">
        <v>44927</v>
      </c>
      <c r="M23797" t="e">
        <v>#N/A</v>
      </c>
      <c r="N23797" s="1">
        <v>44470</v>
      </c>
    </row>
    <row r="23798" spans="11:14" x14ac:dyDescent="0.3">
      <c r="K23798" s="1">
        <v>44927</v>
      </c>
      <c r="M23798" t="e">
        <v>#N/A</v>
      </c>
      <c r="N23798" s="1">
        <v>44470</v>
      </c>
    </row>
    <row r="23799" spans="11:14" x14ac:dyDescent="0.3">
      <c r="K23799" s="1">
        <v>44927</v>
      </c>
      <c r="M23799" t="e">
        <v>#N/A</v>
      </c>
      <c r="N23799" s="1">
        <v>44470</v>
      </c>
    </row>
    <row r="23800" spans="11:14" x14ac:dyDescent="0.3">
      <c r="K23800" s="1">
        <v>44927</v>
      </c>
      <c r="M23800" t="e">
        <v>#N/A</v>
      </c>
      <c r="N23800" s="1">
        <v>44470</v>
      </c>
    </row>
    <row r="23801" spans="11:14" x14ac:dyDescent="0.3">
      <c r="K23801" s="1">
        <v>44927</v>
      </c>
      <c r="M23801" t="e">
        <v>#N/A</v>
      </c>
      <c r="N23801" s="1">
        <v>44470</v>
      </c>
    </row>
    <row r="23802" spans="11:14" x14ac:dyDescent="0.3">
      <c r="K23802" s="1">
        <v>44927</v>
      </c>
      <c r="M23802" t="e">
        <v>#N/A</v>
      </c>
      <c r="N23802" s="1">
        <v>44470</v>
      </c>
    </row>
    <row r="23803" spans="11:14" x14ac:dyDescent="0.3">
      <c r="K23803" s="1">
        <v>44927</v>
      </c>
      <c r="M23803" t="e">
        <v>#N/A</v>
      </c>
      <c r="N23803" s="1">
        <v>44470</v>
      </c>
    </row>
    <row r="23804" spans="11:14" x14ac:dyDescent="0.3">
      <c r="K23804" s="1">
        <v>44927</v>
      </c>
      <c r="M23804" t="e">
        <v>#N/A</v>
      </c>
      <c r="N23804" s="1">
        <v>44470</v>
      </c>
    </row>
    <row r="23805" spans="11:14" x14ac:dyDescent="0.3">
      <c r="K23805" s="1">
        <v>44927</v>
      </c>
      <c r="M23805" t="e">
        <v>#N/A</v>
      </c>
      <c r="N23805" s="1">
        <v>44470</v>
      </c>
    </row>
    <row r="23806" spans="11:14" x14ac:dyDescent="0.3">
      <c r="K23806" s="1">
        <v>44927</v>
      </c>
      <c r="M23806" t="e">
        <v>#N/A</v>
      </c>
      <c r="N23806" s="1">
        <v>44470</v>
      </c>
    </row>
    <row r="23807" spans="11:14" x14ac:dyDescent="0.3">
      <c r="K23807" s="1">
        <v>44927</v>
      </c>
      <c r="M23807" t="e">
        <v>#N/A</v>
      </c>
      <c r="N23807" s="1">
        <v>44470</v>
      </c>
    </row>
    <row r="23808" spans="11:14" x14ac:dyDescent="0.3">
      <c r="K23808" s="1">
        <v>44927</v>
      </c>
      <c r="M23808" t="e">
        <v>#N/A</v>
      </c>
      <c r="N23808" s="1">
        <v>44470</v>
      </c>
    </row>
    <row r="23809" spans="11:14" x14ac:dyDescent="0.3">
      <c r="K23809" s="1">
        <v>44927</v>
      </c>
      <c r="M23809" t="e">
        <v>#N/A</v>
      </c>
      <c r="N23809" s="1">
        <v>44470</v>
      </c>
    </row>
    <row r="23810" spans="11:14" x14ac:dyDescent="0.3">
      <c r="K23810" s="1">
        <v>44927</v>
      </c>
      <c r="M23810" t="e">
        <v>#N/A</v>
      </c>
      <c r="N23810" s="1">
        <v>44470</v>
      </c>
    </row>
    <row r="23811" spans="11:14" x14ac:dyDescent="0.3">
      <c r="K23811" s="1">
        <v>44927</v>
      </c>
      <c r="M23811" t="e">
        <v>#N/A</v>
      </c>
      <c r="N23811" s="1">
        <v>44470</v>
      </c>
    </row>
    <row r="23812" spans="11:14" x14ac:dyDescent="0.3">
      <c r="K23812" s="1">
        <v>44927</v>
      </c>
      <c r="M23812" t="e">
        <v>#N/A</v>
      </c>
      <c r="N23812" s="1">
        <v>44470</v>
      </c>
    </row>
    <row r="23813" spans="11:14" x14ac:dyDescent="0.3">
      <c r="K23813" s="1">
        <v>44927</v>
      </c>
      <c r="M23813" t="e">
        <v>#N/A</v>
      </c>
      <c r="N23813" s="1">
        <v>44470</v>
      </c>
    </row>
    <row r="23814" spans="11:14" x14ac:dyDescent="0.3">
      <c r="K23814" s="1">
        <v>44927</v>
      </c>
      <c r="M23814" t="e">
        <v>#N/A</v>
      </c>
      <c r="N23814" s="1">
        <v>44470</v>
      </c>
    </row>
    <row r="23815" spans="11:14" x14ac:dyDescent="0.3">
      <c r="K23815" s="1">
        <v>44927</v>
      </c>
      <c r="M23815" t="e">
        <v>#N/A</v>
      </c>
      <c r="N23815" s="1">
        <v>44470</v>
      </c>
    </row>
    <row r="23816" spans="11:14" x14ac:dyDescent="0.3">
      <c r="K23816" s="1">
        <v>44927</v>
      </c>
      <c r="M23816" t="e">
        <v>#N/A</v>
      </c>
      <c r="N23816" s="1">
        <v>44470</v>
      </c>
    </row>
    <row r="23817" spans="11:14" x14ac:dyDescent="0.3">
      <c r="K23817" s="1">
        <v>44927</v>
      </c>
      <c r="M23817" t="e">
        <v>#N/A</v>
      </c>
      <c r="N23817" s="1">
        <v>44470</v>
      </c>
    </row>
    <row r="23818" spans="11:14" x14ac:dyDescent="0.3">
      <c r="K23818" s="1">
        <v>44927</v>
      </c>
      <c r="M23818" t="e">
        <v>#N/A</v>
      </c>
      <c r="N23818" s="1">
        <v>44470</v>
      </c>
    </row>
    <row r="23819" spans="11:14" x14ac:dyDescent="0.3">
      <c r="K23819" s="1">
        <v>44927</v>
      </c>
      <c r="M23819" t="e">
        <v>#N/A</v>
      </c>
      <c r="N23819" s="1">
        <v>44470</v>
      </c>
    </row>
    <row r="23820" spans="11:14" x14ac:dyDescent="0.3">
      <c r="K23820" s="1">
        <v>44927</v>
      </c>
      <c r="M23820" t="e">
        <v>#N/A</v>
      </c>
      <c r="N23820" s="1">
        <v>44470</v>
      </c>
    </row>
    <row r="23821" spans="11:14" x14ac:dyDescent="0.3">
      <c r="K23821" s="1">
        <v>44927</v>
      </c>
      <c r="M23821" t="e">
        <v>#N/A</v>
      </c>
      <c r="N23821" s="1">
        <v>44470</v>
      </c>
    </row>
    <row r="23822" spans="11:14" x14ac:dyDescent="0.3">
      <c r="K23822" s="1">
        <v>44927</v>
      </c>
      <c r="M23822" t="e">
        <v>#N/A</v>
      </c>
      <c r="N23822" s="1">
        <v>44470</v>
      </c>
    </row>
    <row r="23823" spans="11:14" x14ac:dyDescent="0.3">
      <c r="K23823" s="1">
        <v>44927</v>
      </c>
      <c r="M23823" t="e">
        <v>#N/A</v>
      </c>
      <c r="N23823" s="1">
        <v>44470</v>
      </c>
    </row>
    <row r="23824" spans="11:14" x14ac:dyDescent="0.3">
      <c r="K23824" s="1">
        <v>44927</v>
      </c>
      <c r="M23824" t="e">
        <v>#N/A</v>
      </c>
      <c r="N23824" s="1">
        <v>44470</v>
      </c>
    </row>
    <row r="23825" spans="11:14" x14ac:dyDescent="0.3">
      <c r="K23825" s="1">
        <v>44927</v>
      </c>
      <c r="M23825" t="e">
        <v>#N/A</v>
      </c>
      <c r="N23825" s="1">
        <v>44470</v>
      </c>
    </row>
    <row r="23826" spans="11:14" x14ac:dyDescent="0.3">
      <c r="K23826" s="1">
        <v>44927</v>
      </c>
      <c r="M23826" t="e">
        <v>#N/A</v>
      </c>
      <c r="N23826" s="1">
        <v>44470</v>
      </c>
    </row>
    <row r="23827" spans="11:14" x14ac:dyDescent="0.3">
      <c r="K23827" s="1">
        <v>44927</v>
      </c>
      <c r="M23827" t="e">
        <v>#N/A</v>
      </c>
      <c r="N23827" s="1">
        <v>44470</v>
      </c>
    </row>
    <row r="23828" spans="11:14" x14ac:dyDescent="0.3">
      <c r="K23828" s="1">
        <v>44927</v>
      </c>
      <c r="M23828" t="e">
        <v>#N/A</v>
      </c>
      <c r="N23828" s="1">
        <v>44470</v>
      </c>
    </row>
    <row r="23829" spans="11:14" x14ac:dyDescent="0.3">
      <c r="K23829" s="1">
        <v>44927</v>
      </c>
      <c r="M23829" t="e">
        <v>#N/A</v>
      </c>
      <c r="N23829" s="1">
        <v>44470</v>
      </c>
    </row>
    <row r="23830" spans="11:14" x14ac:dyDescent="0.3">
      <c r="K23830" s="1">
        <v>44927</v>
      </c>
      <c r="M23830" t="e">
        <v>#N/A</v>
      </c>
      <c r="N23830" s="1">
        <v>44470</v>
      </c>
    </row>
    <row r="23831" spans="11:14" x14ac:dyDescent="0.3">
      <c r="K23831" s="1">
        <v>44927</v>
      </c>
      <c r="M23831" t="e">
        <v>#N/A</v>
      </c>
      <c r="N23831" s="1">
        <v>44470</v>
      </c>
    </row>
    <row r="23832" spans="11:14" x14ac:dyDescent="0.3">
      <c r="K23832" s="1">
        <v>44927</v>
      </c>
      <c r="M23832" t="e">
        <v>#N/A</v>
      </c>
      <c r="N23832" s="1">
        <v>44470</v>
      </c>
    </row>
    <row r="23833" spans="11:14" x14ac:dyDescent="0.3">
      <c r="K23833" s="1">
        <v>44927</v>
      </c>
      <c r="M23833" t="e">
        <v>#N/A</v>
      </c>
      <c r="N23833" s="1">
        <v>44470</v>
      </c>
    </row>
    <row r="23834" spans="11:14" x14ac:dyDescent="0.3">
      <c r="K23834" s="1">
        <v>44927</v>
      </c>
      <c r="M23834" t="e">
        <v>#N/A</v>
      </c>
      <c r="N23834" s="1">
        <v>44470</v>
      </c>
    </row>
    <row r="23835" spans="11:14" x14ac:dyDescent="0.3">
      <c r="K23835" s="1">
        <v>44927</v>
      </c>
      <c r="M23835" t="e">
        <v>#N/A</v>
      </c>
      <c r="N23835" s="1">
        <v>44470</v>
      </c>
    </row>
    <row r="23836" spans="11:14" x14ac:dyDescent="0.3">
      <c r="K23836" s="1">
        <v>44927</v>
      </c>
      <c r="M23836" t="e">
        <v>#N/A</v>
      </c>
      <c r="N23836" s="1">
        <v>44562</v>
      </c>
    </row>
    <row r="23837" spans="11:14" x14ac:dyDescent="0.3">
      <c r="K23837" s="1">
        <v>44927</v>
      </c>
      <c r="M23837" t="e">
        <v>#N/A</v>
      </c>
      <c r="N23837" s="1">
        <v>44562</v>
      </c>
    </row>
    <row r="23838" spans="11:14" x14ac:dyDescent="0.3">
      <c r="K23838" s="1">
        <v>44927</v>
      </c>
      <c r="M23838" t="e">
        <v>#N/A</v>
      </c>
      <c r="N23838" s="1">
        <v>44562</v>
      </c>
    </row>
    <row r="23839" spans="11:14" x14ac:dyDescent="0.3">
      <c r="K23839" s="1">
        <v>44927</v>
      </c>
      <c r="M23839" t="e">
        <v>#N/A</v>
      </c>
      <c r="N23839" s="1">
        <v>44562</v>
      </c>
    </row>
    <row r="23840" spans="11:14" x14ac:dyDescent="0.3">
      <c r="K23840" s="1">
        <v>44927</v>
      </c>
      <c r="M23840" t="e">
        <v>#N/A</v>
      </c>
      <c r="N23840" s="1">
        <v>44562</v>
      </c>
    </row>
    <row r="23841" spans="11:14" x14ac:dyDescent="0.3">
      <c r="K23841" s="1">
        <v>44927</v>
      </c>
      <c r="M23841" t="e">
        <v>#N/A</v>
      </c>
      <c r="N23841" s="1">
        <v>44562</v>
      </c>
    </row>
    <row r="23842" spans="11:14" x14ac:dyDescent="0.3">
      <c r="K23842" s="1">
        <v>44927</v>
      </c>
      <c r="M23842" t="e">
        <v>#N/A</v>
      </c>
      <c r="N23842" s="1">
        <v>44562</v>
      </c>
    </row>
    <row r="23843" spans="11:14" x14ac:dyDescent="0.3">
      <c r="K23843" s="1">
        <v>44927</v>
      </c>
      <c r="M23843" t="e">
        <v>#N/A</v>
      </c>
      <c r="N23843" s="1">
        <v>44562</v>
      </c>
    </row>
    <row r="23844" spans="11:14" x14ac:dyDescent="0.3">
      <c r="K23844" s="1">
        <v>44927</v>
      </c>
      <c r="M23844" t="e">
        <v>#N/A</v>
      </c>
      <c r="N23844" s="1">
        <v>44562</v>
      </c>
    </row>
    <row r="23845" spans="11:14" x14ac:dyDescent="0.3">
      <c r="K23845" s="1">
        <v>44927</v>
      </c>
      <c r="M23845" t="e">
        <v>#N/A</v>
      </c>
      <c r="N23845" s="1">
        <v>44562</v>
      </c>
    </row>
    <row r="23846" spans="11:14" x14ac:dyDescent="0.3">
      <c r="K23846" s="1">
        <v>44927</v>
      </c>
      <c r="M23846" t="e">
        <v>#N/A</v>
      </c>
      <c r="N23846" s="1">
        <v>44562</v>
      </c>
    </row>
    <row r="23847" spans="11:14" x14ac:dyDescent="0.3">
      <c r="K23847" s="1">
        <v>44927</v>
      </c>
      <c r="M23847" t="e">
        <v>#N/A</v>
      </c>
      <c r="N23847" s="1">
        <v>44562</v>
      </c>
    </row>
    <row r="23848" spans="11:14" x14ac:dyDescent="0.3">
      <c r="K23848" s="1">
        <v>44927</v>
      </c>
      <c r="M23848" t="e">
        <v>#N/A</v>
      </c>
      <c r="N23848" s="1">
        <v>44562</v>
      </c>
    </row>
    <row r="23849" spans="11:14" x14ac:dyDescent="0.3">
      <c r="K23849" s="1">
        <v>44927</v>
      </c>
      <c r="M23849" t="e">
        <v>#N/A</v>
      </c>
      <c r="N23849" s="1">
        <v>44562</v>
      </c>
    </row>
    <row r="23850" spans="11:14" x14ac:dyDescent="0.3">
      <c r="K23850" s="1">
        <v>44927</v>
      </c>
      <c r="M23850" t="e">
        <v>#N/A</v>
      </c>
      <c r="N23850" s="1">
        <v>44562</v>
      </c>
    </row>
    <row r="23851" spans="11:14" x14ac:dyDescent="0.3">
      <c r="K23851" s="1">
        <v>44927</v>
      </c>
      <c r="M23851" t="e">
        <v>#N/A</v>
      </c>
      <c r="N23851" s="1">
        <v>44562</v>
      </c>
    </row>
    <row r="23852" spans="11:14" x14ac:dyDescent="0.3">
      <c r="K23852" s="1">
        <v>44927</v>
      </c>
      <c r="M23852" t="e">
        <v>#N/A</v>
      </c>
      <c r="N23852" s="1">
        <v>44562</v>
      </c>
    </row>
    <row r="23853" spans="11:14" x14ac:dyDescent="0.3">
      <c r="K23853" s="1">
        <v>44927</v>
      </c>
      <c r="M23853" t="e">
        <v>#N/A</v>
      </c>
      <c r="N23853" s="1">
        <v>44562</v>
      </c>
    </row>
    <row r="23854" spans="11:14" x14ac:dyDescent="0.3">
      <c r="K23854" s="1">
        <v>44927</v>
      </c>
      <c r="M23854" t="e">
        <v>#N/A</v>
      </c>
      <c r="N23854" s="1">
        <v>44562</v>
      </c>
    </row>
    <row r="23855" spans="11:14" x14ac:dyDescent="0.3">
      <c r="K23855" s="1">
        <v>44927</v>
      </c>
      <c r="M23855" t="e">
        <v>#N/A</v>
      </c>
      <c r="N23855" s="1">
        <v>44562</v>
      </c>
    </row>
    <row r="23856" spans="11:14" x14ac:dyDescent="0.3">
      <c r="K23856" s="1">
        <v>44927</v>
      </c>
      <c r="M23856" t="e">
        <v>#N/A</v>
      </c>
      <c r="N23856" s="1">
        <v>44562</v>
      </c>
    </row>
    <row r="23857" spans="11:14" x14ac:dyDescent="0.3">
      <c r="K23857" s="1">
        <v>44927</v>
      </c>
      <c r="M23857" t="e">
        <v>#N/A</v>
      </c>
      <c r="N23857" s="1">
        <v>44562</v>
      </c>
    </row>
    <row r="23858" spans="11:14" x14ac:dyDescent="0.3">
      <c r="K23858" s="1">
        <v>44927</v>
      </c>
      <c r="M23858" t="e">
        <v>#N/A</v>
      </c>
      <c r="N23858" s="1">
        <v>44562</v>
      </c>
    </row>
    <row r="23859" spans="11:14" x14ac:dyDescent="0.3">
      <c r="K23859" s="1">
        <v>44927</v>
      </c>
      <c r="M23859" t="e">
        <v>#N/A</v>
      </c>
      <c r="N23859" s="1">
        <v>44562</v>
      </c>
    </row>
    <row r="23860" spans="11:14" x14ac:dyDescent="0.3">
      <c r="K23860" s="1">
        <v>44927</v>
      </c>
      <c r="M23860" t="e">
        <v>#N/A</v>
      </c>
      <c r="N23860" s="1">
        <v>44562</v>
      </c>
    </row>
    <row r="23861" spans="11:14" x14ac:dyDescent="0.3">
      <c r="K23861" s="1">
        <v>44927</v>
      </c>
      <c r="M23861" t="e">
        <v>#N/A</v>
      </c>
      <c r="N23861" s="1">
        <v>44562</v>
      </c>
    </row>
    <row r="23862" spans="11:14" x14ac:dyDescent="0.3">
      <c r="K23862" s="1">
        <v>44927</v>
      </c>
      <c r="M23862" t="e">
        <v>#N/A</v>
      </c>
      <c r="N23862" s="1">
        <v>44562</v>
      </c>
    </row>
    <row r="23863" spans="11:14" x14ac:dyDescent="0.3">
      <c r="K23863" s="1">
        <v>44927</v>
      </c>
      <c r="M23863" t="e">
        <v>#N/A</v>
      </c>
      <c r="N23863" s="1">
        <v>44562</v>
      </c>
    </row>
    <row r="23864" spans="11:14" x14ac:dyDescent="0.3">
      <c r="K23864" s="1">
        <v>44927</v>
      </c>
      <c r="M23864" t="e">
        <v>#N/A</v>
      </c>
      <c r="N23864" s="1">
        <v>44562</v>
      </c>
    </row>
    <row r="23865" spans="11:14" x14ac:dyDescent="0.3">
      <c r="K23865" s="1">
        <v>44927</v>
      </c>
      <c r="M23865" t="e">
        <v>#N/A</v>
      </c>
      <c r="N23865" s="1">
        <v>44562</v>
      </c>
    </row>
    <row r="23866" spans="11:14" x14ac:dyDescent="0.3">
      <c r="K23866" s="1">
        <v>44927</v>
      </c>
      <c r="M23866" t="e">
        <v>#N/A</v>
      </c>
      <c r="N23866" s="1">
        <v>44562</v>
      </c>
    </row>
    <row r="23867" spans="11:14" x14ac:dyDescent="0.3">
      <c r="K23867" s="1">
        <v>44927</v>
      </c>
      <c r="M23867" t="e">
        <v>#N/A</v>
      </c>
      <c r="N23867" s="1">
        <v>44562</v>
      </c>
    </row>
    <row r="23868" spans="11:14" x14ac:dyDescent="0.3">
      <c r="K23868" s="1">
        <v>44927</v>
      </c>
      <c r="M23868" t="e">
        <v>#N/A</v>
      </c>
      <c r="N23868" s="1">
        <v>44562</v>
      </c>
    </row>
    <row r="23869" spans="11:14" x14ac:dyDescent="0.3">
      <c r="K23869" s="1">
        <v>44927</v>
      </c>
      <c r="M23869" t="e">
        <v>#N/A</v>
      </c>
      <c r="N23869" s="1">
        <v>44562</v>
      </c>
    </row>
    <row r="23870" spans="11:14" x14ac:dyDescent="0.3">
      <c r="K23870" s="1">
        <v>44927</v>
      </c>
      <c r="M23870" t="e">
        <v>#N/A</v>
      </c>
      <c r="N23870" s="1">
        <v>44562</v>
      </c>
    </row>
    <row r="23871" spans="11:14" x14ac:dyDescent="0.3">
      <c r="K23871" s="1">
        <v>44927</v>
      </c>
      <c r="M23871" t="e">
        <v>#N/A</v>
      </c>
      <c r="N23871" s="1">
        <v>44562</v>
      </c>
    </row>
    <row r="23872" spans="11:14" x14ac:dyDescent="0.3">
      <c r="K23872" s="1">
        <v>44927</v>
      </c>
      <c r="M23872" t="e">
        <v>#N/A</v>
      </c>
      <c r="N23872" s="1">
        <v>44562</v>
      </c>
    </row>
    <row r="23873" spans="11:14" x14ac:dyDescent="0.3">
      <c r="K23873" s="1">
        <v>44927</v>
      </c>
      <c r="M23873" t="e">
        <v>#N/A</v>
      </c>
      <c r="N23873" s="1">
        <v>44562</v>
      </c>
    </row>
    <row r="23874" spans="11:14" x14ac:dyDescent="0.3">
      <c r="K23874" s="1">
        <v>44927</v>
      </c>
      <c r="M23874" t="e">
        <v>#N/A</v>
      </c>
      <c r="N23874" s="1">
        <v>44562</v>
      </c>
    </row>
    <row r="23875" spans="11:14" x14ac:dyDescent="0.3">
      <c r="K23875" s="1">
        <v>44927</v>
      </c>
      <c r="M23875" t="e">
        <v>#N/A</v>
      </c>
      <c r="N23875" s="1">
        <v>44562</v>
      </c>
    </row>
    <row r="23876" spans="11:14" x14ac:dyDescent="0.3">
      <c r="K23876" s="1">
        <v>44927</v>
      </c>
      <c r="M23876" t="e">
        <v>#N/A</v>
      </c>
      <c r="N23876" s="1">
        <v>44562</v>
      </c>
    </row>
    <row r="23877" spans="11:14" x14ac:dyDescent="0.3">
      <c r="K23877" s="1">
        <v>44927</v>
      </c>
      <c r="M23877" t="e">
        <v>#N/A</v>
      </c>
      <c r="N23877" s="1">
        <v>44562</v>
      </c>
    </row>
    <row r="23878" spans="11:14" x14ac:dyDescent="0.3">
      <c r="K23878" s="1">
        <v>44927</v>
      </c>
      <c r="M23878" t="e">
        <v>#N/A</v>
      </c>
      <c r="N23878" s="1">
        <v>44562</v>
      </c>
    </row>
    <row r="23879" spans="11:14" x14ac:dyDescent="0.3">
      <c r="K23879" s="1">
        <v>44927</v>
      </c>
      <c r="M23879" t="e">
        <v>#N/A</v>
      </c>
      <c r="N23879" s="1">
        <v>44562</v>
      </c>
    </row>
    <row r="23880" spans="11:14" x14ac:dyDescent="0.3">
      <c r="K23880" s="1">
        <v>44927</v>
      </c>
      <c r="M23880" t="e">
        <v>#N/A</v>
      </c>
      <c r="N23880" s="1">
        <v>44562</v>
      </c>
    </row>
    <row r="23881" spans="11:14" x14ac:dyDescent="0.3">
      <c r="K23881" s="1">
        <v>44927</v>
      </c>
      <c r="M23881" t="e">
        <v>#N/A</v>
      </c>
      <c r="N23881" s="1">
        <v>44562</v>
      </c>
    </row>
    <row r="23882" spans="11:14" x14ac:dyDescent="0.3">
      <c r="K23882" s="1">
        <v>44927</v>
      </c>
      <c r="M23882" t="e">
        <v>#N/A</v>
      </c>
      <c r="N23882" s="1">
        <v>44562</v>
      </c>
    </row>
    <row r="23883" spans="11:14" x14ac:dyDescent="0.3">
      <c r="K23883" s="1">
        <v>44927</v>
      </c>
      <c r="M23883" t="e">
        <v>#N/A</v>
      </c>
      <c r="N23883" s="1">
        <v>44562</v>
      </c>
    </row>
    <row r="23884" spans="11:14" x14ac:dyDescent="0.3">
      <c r="K23884" s="1">
        <v>44927</v>
      </c>
      <c r="M23884" t="e">
        <v>#N/A</v>
      </c>
      <c r="N23884" s="1">
        <v>44562</v>
      </c>
    </row>
    <row r="23885" spans="11:14" x14ac:dyDescent="0.3">
      <c r="K23885" s="1">
        <v>44927</v>
      </c>
      <c r="M23885" t="e">
        <v>#N/A</v>
      </c>
      <c r="N23885" s="1">
        <v>44562</v>
      </c>
    </row>
    <row r="23886" spans="11:14" x14ac:dyDescent="0.3">
      <c r="K23886" s="1">
        <v>44927</v>
      </c>
      <c r="M23886" t="e">
        <v>#N/A</v>
      </c>
      <c r="N23886" s="1">
        <v>44562</v>
      </c>
    </row>
    <row r="23887" spans="11:14" x14ac:dyDescent="0.3">
      <c r="K23887" s="1">
        <v>44927</v>
      </c>
      <c r="M23887" t="e">
        <v>#N/A</v>
      </c>
      <c r="N23887" s="1">
        <v>44562</v>
      </c>
    </row>
    <row r="23888" spans="11:14" x14ac:dyDescent="0.3">
      <c r="K23888" s="1">
        <v>44927</v>
      </c>
      <c r="M23888" t="e">
        <v>#N/A</v>
      </c>
      <c r="N23888" s="1">
        <v>44562</v>
      </c>
    </row>
    <row r="23889" spans="11:14" x14ac:dyDescent="0.3">
      <c r="K23889" s="1">
        <v>44927</v>
      </c>
      <c r="M23889" t="e">
        <v>#N/A</v>
      </c>
      <c r="N23889" s="1">
        <v>44562</v>
      </c>
    </row>
    <row r="23890" spans="11:14" x14ac:dyDescent="0.3">
      <c r="K23890" s="1">
        <v>44927</v>
      </c>
      <c r="M23890" t="e">
        <v>#N/A</v>
      </c>
      <c r="N23890" s="1">
        <v>44562</v>
      </c>
    </row>
    <row r="23891" spans="11:14" x14ac:dyDescent="0.3">
      <c r="K23891" s="1">
        <v>44927</v>
      </c>
      <c r="M23891" t="e">
        <v>#N/A</v>
      </c>
      <c r="N23891" s="1">
        <v>44562</v>
      </c>
    </row>
    <row r="23892" spans="11:14" x14ac:dyDescent="0.3">
      <c r="K23892" s="1">
        <v>44927</v>
      </c>
      <c r="M23892" t="e">
        <v>#N/A</v>
      </c>
      <c r="N23892" s="1">
        <v>44562</v>
      </c>
    </row>
    <row r="23893" spans="11:14" x14ac:dyDescent="0.3">
      <c r="K23893" s="1">
        <v>44927</v>
      </c>
      <c r="M23893" t="e">
        <v>#N/A</v>
      </c>
      <c r="N23893" s="1">
        <v>44562</v>
      </c>
    </row>
    <row r="23894" spans="11:14" x14ac:dyDescent="0.3">
      <c r="K23894" s="1">
        <v>44927</v>
      </c>
      <c r="M23894" t="e">
        <v>#N/A</v>
      </c>
      <c r="N23894" s="1">
        <v>44562</v>
      </c>
    </row>
    <row r="23895" spans="11:14" x14ac:dyDescent="0.3">
      <c r="K23895" s="1">
        <v>44927</v>
      </c>
      <c r="M23895" t="e">
        <v>#N/A</v>
      </c>
      <c r="N23895" s="1">
        <v>44562</v>
      </c>
    </row>
    <row r="23896" spans="11:14" x14ac:dyDescent="0.3">
      <c r="K23896" s="1">
        <v>44927</v>
      </c>
      <c r="M23896" t="e">
        <v>#N/A</v>
      </c>
      <c r="N23896" s="1">
        <v>44562</v>
      </c>
    </row>
    <row r="23897" spans="11:14" x14ac:dyDescent="0.3">
      <c r="K23897" s="1">
        <v>44927</v>
      </c>
      <c r="M23897" t="e">
        <v>#N/A</v>
      </c>
      <c r="N23897" s="1">
        <v>44562</v>
      </c>
    </row>
    <row r="23898" spans="11:14" x14ac:dyDescent="0.3">
      <c r="K23898" s="1">
        <v>44927</v>
      </c>
      <c r="M23898" t="e">
        <v>#N/A</v>
      </c>
      <c r="N23898" s="1">
        <v>44562</v>
      </c>
    </row>
    <row r="23899" spans="11:14" x14ac:dyDescent="0.3">
      <c r="K23899" s="1">
        <v>44927</v>
      </c>
      <c r="M23899" t="e">
        <v>#N/A</v>
      </c>
      <c r="N23899" s="1">
        <v>44562</v>
      </c>
    </row>
    <row r="23900" spans="11:14" x14ac:dyDescent="0.3">
      <c r="K23900" s="1">
        <v>44927</v>
      </c>
      <c r="M23900" t="e">
        <v>#N/A</v>
      </c>
      <c r="N23900" s="1">
        <v>44562</v>
      </c>
    </row>
    <row r="23901" spans="11:14" x14ac:dyDescent="0.3">
      <c r="K23901" s="1">
        <v>44927</v>
      </c>
      <c r="M23901" t="e">
        <v>#N/A</v>
      </c>
      <c r="N23901" s="1">
        <v>44562</v>
      </c>
    </row>
    <row r="23902" spans="11:14" x14ac:dyDescent="0.3">
      <c r="K23902" s="1">
        <v>44927</v>
      </c>
      <c r="M23902" t="e">
        <v>#N/A</v>
      </c>
      <c r="N23902" s="1">
        <v>44562</v>
      </c>
    </row>
    <row r="23903" spans="11:14" x14ac:dyDescent="0.3">
      <c r="K23903" s="1">
        <v>44927</v>
      </c>
      <c r="M23903" t="e">
        <v>#N/A</v>
      </c>
      <c r="N23903" s="1">
        <v>44562</v>
      </c>
    </row>
    <row r="23904" spans="11:14" x14ac:dyDescent="0.3">
      <c r="K23904" s="1">
        <v>44927</v>
      </c>
      <c r="M23904" t="e">
        <v>#N/A</v>
      </c>
      <c r="N23904" s="1">
        <v>44562</v>
      </c>
    </row>
    <row r="23905" spans="11:14" x14ac:dyDescent="0.3">
      <c r="K23905" s="1">
        <v>44927</v>
      </c>
      <c r="M23905" t="e">
        <v>#N/A</v>
      </c>
      <c r="N23905" s="1">
        <v>44562</v>
      </c>
    </row>
    <row r="23906" spans="11:14" x14ac:dyDescent="0.3">
      <c r="K23906" s="1">
        <v>44927</v>
      </c>
      <c r="M23906" t="e">
        <v>#N/A</v>
      </c>
      <c r="N23906" s="1">
        <v>44562</v>
      </c>
    </row>
    <row r="23907" spans="11:14" x14ac:dyDescent="0.3">
      <c r="K23907" s="1">
        <v>44927</v>
      </c>
      <c r="M23907" t="e">
        <v>#N/A</v>
      </c>
      <c r="N23907" s="1">
        <v>44562</v>
      </c>
    </row>
    <row r="23908" spans="11:14" x14ac:dyDescent="0.3">
      <c r="K23908" s="1">
        <v>44927</v>
      </c>
      <c r="M23908" t="e">
        <v>#N/A</v>
      </c>
      <c r="N23908" s="1">
        <v>44562</v>
      </c>
    </row>
    <row r="23909" spans="11:14" x14ac:dyDescent="0.3">
      <c r="K23909" s="1">
        <v>44927</v>
      </c>
      <c r="M23909" t="e">
        <v>#N/A</v>
      </c>
      <c r="N23909" s="1">
        <v>44562</v>
      </c>
    </row>
    <row r="23910" spans="11:14" x14ac:dyDescent="0.3">
      <c r="K23910" s="1">
        <v>44927</v>
      </c>
      <c r="M23910" t="e">
        <v>#N/A</v>
      </c>
      <c r="N23910" s="1">
        <v>44562</v>
      </c>
    </row>
    <row r="23911" spans="11:14" x14ac:dyDescent="0.3">
      <c r="K23911" s="1">
        <v>44927</v>
      </c>
      <c r="M23911" t="e">
        <v>#N/A</v>
      </c>
      <c r="N23911" s="1">
        <v>44562</v>
      </c>
    </row>
    <row r="23912" spans="11:14" x14ac:dyDescent="0.3">
      <c r="K23912" s="1">
        <v>44927</v>
      </c>
      <c r="M23912" t="e">
        <v>#N/A</v>
      </c>
      <c r="N23912" s="1">
        <v>44562</v>
      </c>
    </row>
    <row r="23913" spans="11:14" x14ac:dyDescent="0.3">
      <c r="K23913" s="1">
        <v>44927</v>
      </c>
      <c r="M23913" t="e">
        <v>#N/A</v>
      </c>
      <c r="N23913" s="1">
        <v>44562</v>
      </c>
    </row>
    <row r="23914" spans="11:14" x14ac:dyDescent="0.3">
      <c r="K23914" s="1">
        <v>44927</v>
      </c>
      <c r="M23914" t="e">
        <v>#N/A</v>
      </c>
      <c r="N23914" s="1">
        <v>44562</v>
      </c>
    </row>
    <row r="23915" spans="11:14" x14ac:dyDescent="0.3">
      <c r="K23915" s="1">
        <v>44927</v>
      </c>
      <c r="M23915" t="e">
        <v>#N/A</v>
      </c>
      <c r="N23915" s="1">
        <v>44562</v>
      </c>
    </row>
    <row r="23916" spans="11:14" x14ac:dyDescent="0.3">
      <c r="K23916" s="1">
        <v>44927</v>
      </c>
      <c r="M23916" t="e">
        <v>#N/A</v>
      </c>
      <c r="N23916" s="1">
        <v>44562</v>
      </c>
    </row>
    <row r="23917" spans="11:14" x14ac:dyDescent="0.3">
      <c r="K23917" s="1">
        <v>44927</v>
      </c>
      <c r="M23917" t="e">
        <v>#N/A</v>
      </c>
      <c r="N23917" s="1">
        <v>44562</v>
      </c>
    </row>
    <row r="23918" spans="11:14" x14ac:dyDescent="0.3">
      <c r="K23918" s="1">
        <v>44927</v>
      </c>
      <c r="M23918" t="e">
        <v>#N/A</v>
      </c>
      <c r="N23918" s="1">
        <v>44562</v>
      </c>
    </row>
    <row r="23919" spans="11:14" x14ac:dyDescent="0.3">
      <c r="K23919" s="1">
        <v>44927</v>
      </c>
      <c r="M23919" t="e">
        <v>#N/A</v>
      </c>
      <c r="N23919" s="1">
        <v>44562</v>
      </c>
    </row>
    <row r="23920" spans="11:14" x14ac:dyDescent="0.3">
      <c r="K23920" s="1">
        <v>44927</v>
      </c>
      <c r="M23920" t="e">
        <v>#N/A</v>
      </c>
      <c r="N23920" s="1">
        <v>44562</v>
      </c>
    </row>
    <row r="23921" spans="11:14" x14ac:dyDescent="0.3">
      <c r="K23921" s="1">
        <v>44927</v>
      </c>
      <c r="M23921" t="e">
        <v>#N/A</v>
      </c>
      <c r="N23921" s="1">
        <v>44562</v>
      </c>
    </row>
    <row r="23922" spans="11:14" x14ac:dyDescent="0.3">
      <c r="K23922" s="1">
        <v>44927</v>
      </c>
      <c r="M23922" t="e">
        <v>#N/A</v>
      </c>
      <c r="N23922" s="1">
        <v>44562</v>
      </c>
    </row>
    <row r="23923" spans="11:14" x14ac:dyDescent="0.3">
      <c r="K23923" s="1">
        <v>44927</v>
      </c>
      <c r="M23923" t="e">
        <v>#N/A</v>
      </c>
      <c r="N23923" s="1">
        <v>44562</v>
      </c>
    </row>
    <row r="23924" spans="11:14" x14ac:dyDescent="0.3">
      <c r="K23924" s="1">
        <v>44927</v>
      </c>
      <c r="M23924" t="e">
        <v>#N/A</v>
      </c>
      <c r="N23924" s="1">
        <v>44562</v>
      </c>
    </row>
    <row r="23925" spans="11:14" x14ac:dyDescent="0.3">
      <c r="K23925" s="1">
        <v>44927</v>
      </c>
      <c r="M23925" t="e">
        <v>#N/A</v>
      </c>
      <c r="N23925" s="1">
        <v>44562</v>
      </c>
    </row>
    <row r="23926" spans="11:14" x14ac:dyDescent="0.3">
      <c r="K23926" s="1">
        <v>44927</v>
      </c>
      <c r="M23926" t="e">
        <v>#N/A</v>
      </c>
      <c r="N23926" s="1">
        <v>44562</v>
      </c>
    </row>
    <row r="23927" spans="11:14" x14ac:dyDescent="0.3">
      <c r="K23927" s="1">
        <v>44927</v>
      </c>
      <c r="M23927" t="e">
        <v>#N/A</v>
      </c>
      <c r="N23927" s="1">
        <v>44562</v>
      </c>
    </row>
    <row r="23928" spans="11:14" x14ac:dyDescent="0.3">
      <c r="K23928" s="1">
        <v>44927</v>
      </c>
      <c r="M23928" t="e">
        <v>#N/A</v>
      </c>
      <c r="N23928" s="1">
        <v>44562</v>
      </c>
    </row>
    <row r="23929" spans="11:14" x14ac:dyDescent="0.3">
      <c r="K23929" s="1">
        <v>44927</v>
      </c>
      <c r="M23929" t="e">
        <v>#N/A</v>
      </c>
      <c r="N23929" s="1">
        <v>44562</v>
      </c>
    </row>
    <row r="23930" spans="11:14" x14ac:dyDescent="0.3">
      <c r="K23930" s="1">
        <v>44927</v>
      </c>
      <c r="M23930" t="e">
        <v>#N/A</v>
      </c>
      <c r="N23930" s="1">
        <v>44562</v>
      </c>
    </row>
    <row r="23931" spans="11:14" x14ac:dyDescent="0.3">
      <c r="K23931" s="1">
        <v>44927</v>
      </c>
      <c r="M23931" t="e">
        <v>#N/A</v>
      </c>
      <c r="N23931" s="1">
        <v>44562</v>
      </c>
    </row>
    <row r="23932" spans="11:14" x14ac:dyDescent="0.3">
      <c r="K23932" s="1">
        <v>44927</v>
      </c>
      <c r="M23932" t="e">
        <v>#N/A</v>
      </c>
      <c r="N23932" s="1">
        <v>44562</v>
      </c>
    </row>
    <row r="23933" spans="11:14" x14ac:dyDescent="0.3">
      <c r="K23933" s="1">
        <v>44927</v>
      </c>
      <c r="M23933" t="e">
        <v>#N/A</v>
      </c>
      <c r="N23933" s="1">
        <v>44562</v>
      </c>
    </row>
    <row r="23934" spans="11:14" x14ac:dyDescent="0.3">
      <c r="K23934" s="1">
        <v>44927</v>
      </c>
      <c r="M23934" t="e">
        <v>#N/A</v>
      </c>
      <c r="N23934" s="1">
        <v>44562</v>
      </c>
    </row>
    <row r="23935" spans="11:14" x14ac:dyDescent="0.3">
      <c r="K23935" s="1">
        <v>44927</v>
      </c>
      <c r="M23935" t="e">
        <v>#N/A</v>
      </c>
      <c r="N23935" s="1">
        <v>44562</v>
      </c>
    </row>
    <row r="23936" spans="11:14" x14ac:dyDescent="0.3">
      <c r="K23936" s="1">
        <v>44927</v>
      </c>
      <c r="M23936" t="e">
        <v>#N/A</v>
      </c>
      <c r="N23936" s="1">
        <v>44562</v>
      </c>
    </row>
    <row r="23937" spans="11:14" x14ac:dyDescent="0.3">
      <c r="K23937" s="1">
        <v>44927</v>
      </c>
      <c r="M23937" t="e">
        <v>#N/A</v>
      </c>
      <c r="N23937" s="1">
        <v>44562</v>
      </c>
    </row>
    <row r="23938" spans="11:14" x14ac:dyDescent="0.3">
      <c r="K23938" s="1">
        <v>44927</v>
      </c>
      <c r="M23938" t="e">
        <v>#N/A</v>
      </c>
      <c r="N23938" s="1">
        <v>44562</v>
      </c>
    </row>
    <row r="23939" spans="11:14" x14ac:dyDescent="0.3">
      <c r="K23939" s="1">
        <v>44927</v>
      </c>
      <c r="M23939" t="e">
        <v>#N/A</v>
      </c>
      <c r="N23939" s="1">
        <v>44562</v>
      </c>
    </row>
    <row r="23940" spans="11:14" x14ac:dyDescent="0.3">
      <c r="K23940" s="1">
        <v>44927</v>
      </c>
      <c r="M23940" t="e">
        <v>#N/A</v>
      </c>
      <c r="N23940" s="1">
        <v>44562</v>
      </c>
    </row>
    <row r="23941" spans="11:14" x14ac:dyDescent="0.3">
      <c r="K23941" s="1">
        <v>44927</v>
      </c>
      <c r="M23941" t="e">
        <v>#N/A</v>
      </c>
      <c r="N23941" s="1">
        <v>44562</v>
      </c>
    </row>
    <row r="23942" spans="11:14" x14ac:dyDescent="0.3">
      <c r="K23942" s="1">
        <v>44927</v>
      </c>
      <c r="M23942" t="e">
        <v>#N/A</v>
      </c>
      <c r="N23942" s="1">
        <v>44562</v>
      </c>
    </row>
    <row r="23943" spans="11:14" x14ac:dyDescent="0.3">
      <c r="K23943" s="1">
        <v>44927</v>
      </c>
      <c r="M23943" t="e">
        <v>#N/A</v>
      </c>
      <c r="N23943" s="1">
        <v>44562</v>
      </c>
    </row>
    <row r="23944" spans="11:14" x14ac:dyDescent="0.3">
      <c r="K23944" s="1">
        <v>44927</v>
      </c>
      <c r="M23944" t="e">
        <v>#N/A</v>
      </c>
      <c r="N23944" s="1">
        <v>44562</v>
      </c>
    </row>
    <row r="23945" spans="11:14" x14ac:dyDescent="0.3">
      <c r="K23945" s="1">
        <v>44927</v>
      </c>
      <c r="M23945" t="e">
        <v>#N/A</v>
      </c>
      <c r="N23945" s="1">
        <v>44562</v>
      </c>
    </row>
    <row r="23946" spans="11:14" x14ac:dyDescent="0.3">
      <c r="K23946" s="1">
        <v>44927</v>
      </c>
      <c r="M23946" t="e">
        <v>#N/A</v>
      </c>
      <c r="N23946" s="1">
        <v>44562</v>
      </c>
    </row>
    <row r="23947" spans="11:14" x14ac:dyDescent="0.3">
      <c r="K23947" s="1">
        <v>44927</v>
      </c>
      <c r="M23947" t="e">
        <v>#N/A</v>
      </c>
      <c r="N23947" s="1">
        <v>44562</v>
      </c>
    </row>
    <row r="23948" spans="11:14" x14ac:dyDescent="0.3">
      <c r="K23948" s="1">
        <v>44927</v>
      </c>
      <c r="M23948" t="e">
        <v>#N/A</v>
      </c>
      <c r="N23948" s="1">
        <v>44562</v>
      </c>
    </row>
    <row r="23949" spans="11:14" x14ac:dyDescent="0.3">
      <c r="K23949" s="1">
        <v>44927</v>
      </c>
      <c r="M23949" t="e">
        <v>#N/A</v>
      </c>
      <c r="N23949" s="1">
        <v>44562</v>
      </c>
    </row>
    <row r="23950" spans="11:14" x14ac:dyDescent="0.3">
      <c r="K23950" s="1">
        <v>44927</v>
      </c>
      <c r="M23950" t="e">
        <v>#N/A</v>
      </c>
      <c r="N23950" s="1">
        <v>44562</v>
      </c>
    </row>
    <row r="23951" spans="11:14" x14ac:dyDescent="0.3">
      <c r="K23951" s="1">
        <v>44927</v>
      </c>
      <c r="M23951" t="e">
        <v>#N/A</v>
      </c>
      <c r="N23951" s="1">
        <v>44562</v>
      </c>
    </row>
    <row r="23952" spans="11:14" x14ac:dyDescent="0.3">
      <c r="K23952" s="1">
        <v>44927</v>
      </c>
      <c r="M23952" t="e">
        <v>#N/A</v>
      </c>
      <c r="N23952" s="1">
        <v>44562</v>
      </c>
    </row>
    <row r="23953" spans="11:14" x14ac:dyDescent="0.3">
      <c r="K23953" s="1">
        <v>44927</v>
      </c>
      <c r="M23953" t="e">
        <v>#N/A</v>
      </c>
      <c r="N23953" s="1">
        <v>44562</v>
      </c>
    </row>
    <row r="23954" spans="11:14" x14ac:dyDescent="0.3">
      <c r="K23954" s="1">
        <v>44927</v>
      </c>
      <c r="M23954" t="e">
        <v>#N/A</v>
      </c>
      <c r="N23954" s="1">
        <v>44562</v>
      </c>
    </row>
    <row r="23955" spans="11:14" x14ac:dyDescent="0.3">
      <c r="K23955" s="1">
        <v>44927</v>
      </c>
      <c r="M23955" t="e">
        <v>#N/A</v>
      </c>
      <c r="N23955" s="1">
        <v>44562</v>
      </c>
    </row>
    <row r="23956" spans="11:14" x14ac:dyDescent="0.3">
      <c r="K23956" s="1">
        <v>44927</v>
      </c>
      <c r="M23956" t="e">
        <v>#N/A</v>
      </c>
      <c r="N23956" s="1">
        <v>44562</v>
      </c>
    </row>
    <row r="23957" spans="11:14" x14ac:dyDescent="0.3">
      <c r="K23957" s="1">
        <v>44927</v>
      </c>
      <c r="M23957" t="e">
        <v>#N/A</v>
      </c>
      <c r="N23957" s="1">
        <v>44562</v>
      </c>
    </row>
    <row r="23958" spans="11:14" x14ac:dyDescent="0.3">
      <c r="K23958" s="1">
        <v>44927</v>
      </c>
      <c r="M23958" t="e">
        <v>#N/A</v>
      </c>
      <c r="N23958" s="1">
        <v>44562</v>
      </c>
    </row>
    <row r="23959" spans="11:14" x14ac:dyDescent="0.3">
      <c r="K23959" s="1">
        <v>44927</v>
      </c>
      <c r="M23959" t="e">
        <v>#N/A</v>
      </c>
      <c r="N23959" s="1">
        <v>44562</v>
      </c>
    </row>
    <row r="23960" spans="11:14" x14ac:dyDescent="0.3">
      <c r="K23960" s="1">
        <v>44927</v>
      </c>
      <c r="M23960" t="e">
        <v>#N/A</v>
      </c>
      <c r="N23960" s="1">
        <v>44562</v>
      </c>
    </row>
    <row r="23961" spans="11:14" x14ac:dyDescent="0.3">
      <c r="K23961" s="1">
        <v>44927</v>
      </c>
      <c r="M23961" t="e">
        <v>#N/A</v>
      </c>
      <c r="N23961" s="1">
        <v>44562</v>
      </c>
    </row>
    <row r="23962" spans="11:14" x14ac:dyDescent="0.3">
      <c r="K23962" s="1">
        <v>44927</v>
      </c>
      <c r="M23962" t="e">
        <v>#N/A</v>
      </c>
      <c r="N23962" s="1">
        <v>44562</v>
      </c>
    </row>
    <row r="23963" spans="11:14" x14ac:dyDescent="0.3">
      <c r="K23963" s="1">
        <v>44927</v>
      </c>
      <c r="M23963" t="e">
        <v>#N/A</v>
      </c>
      <c r="N23963" s="1">
        <v>44562</v>
      </c>
    </row>
    <row r="23964" spans="11:14" x14ac:dyDescent="0.3">
      <c r="K23964" s="1">
        <v>44927</v>
      </c>
      <c r="M23964" t="e">
        <v>#N/A</v>
      </c>
      <c r="N23964" s="1">
        <v>44562</v>
      </c>
    </row>
    <row r="23965" spans="11:14" x14ac:dyDescent="0.3">
      <c r="K23965" s="1">
        <v>44927</v>
      </c>
      <c r="M23965" t="e">
        <v>#N/A</v>
      </c>
      <c r="N23965" s="1">
        <v>44562</v>
      </c>
    </row>
    <row r="23966" spans="11:14" x14ac:dyDescent="0.3">
      <c r="K23966" s="1">
        <v>44927</v>
      </c>
      <c r="M23966" t="e">
        <v>#N/A</v>
      </c>
      <c r="N23966" s="1">
        <v>44562</v>
      </c>
    </row>
    <row r="23967" spans="11:14" x14ac:dyDescent="0.3">
      <c r="K23967" s="1">
        <v>44927</v>
      </c>
      <c r="M23967" t="e">
        <v>#N/A</v>
      </c>
      <c r="N23967" s="1">
        <v>44562</v>
      </c>
    </row>
    <row r="23968" spans="11:14" x14ac:dyDescent="0.3">
      <c r="K23968" s="1">
        <v>44927</v>
      </c>
      <c r="M23968" t="e">
        <v>#N/A</v>
      </c>
      <c r="N23968" s="1">
        <v>44562</v>
      </c>
    </row>
    <row r="23969" spans="11:14" x14ac:dyDescent="0.3">
      <c r="K23969" s="1">
        <v>44927</v>
      </c>
      <c r="M23969" t="e">
        <v>#N/A</v>
      </c>
      <c r="N23969" s="1">
        <v>44562</v>
      </c>
    </row>
    <row r="23970" spans="11:14" x14ac:dyDescent="0.3">
      <c r="K23970" s="1">
        <v>44927</v>
      </c>
      <c r="M23970" t="e">
        <v>#N/A</v>
      </c>
      <c r="N23970" s="1">
        <v>44562</v>
      </c>
    </row>
    <row r="23971" spans="11:14" x14ac:dyDescent="0.3">
      <c r="K23971" s="1">
        <v>44927</v>
      </c>
      <c r="M23971" t="e">
        <v>#N/A</v>
      </c>
      <c r="N23971" s="1">
        <v>44562</v>
      </c>
    </row>
    <row r="23972" spans="11:14" x14ac:dyDescent="0.3">
      <c r="K23972" s="1">
        <v>44927</v>
      </c>
      <c r="M23972" t="e">
        <v>#N/A</v>
      </c>
      <c r="N23972" s="1">
        <v>44562</v>
      </c>
    </row>
    <row r="23973" spans="11:14" x14ac:dyDescent="0.3">
      <c r="K23973" s="1">
        <v>44927</v>
      </c>
      <c r="M23973" t="e">
        <v>#N/A</v>
      </c>
      <c r="N23973" s="1">
        <v>44562</v>
      </c>
    </row>
    <row r="23974" spans="11:14" x14ac:dyDescent="0.3">
      <c r="K23974" s="1">
        <v>44927</v>
      </c>
      <c r="M23974" t="e">
        <v>#N/A</v>
      </c>
      <c r="N23974" s="1">
        <v>44562</v>
      </c>
    </row>
    <row r="23975" spans="11:14" x14ac:dyDescent="0.3">
      <c r="K23975" s="1">
        <v>44927</v>
      </c>
      <c r="M23975" t="e">
        <v>#N/A</v>
      </c>
      <c r="N23975" s="1">
        <v>44562</v>
      </c>
    </row>
    <row r="23976" spans="11:14" x14ac:dyDescent="0.3">
      <c r="K23976" s="1">
        <v>44927</v>
      </c>
      <c r="M23976" t="e">
        <v>#N/A</v>
      </c>
      <c r="N23976" s="1">
        <v>44562</v>
      </c>
    </row>
    <row r="23977" spans="11:14" x14ac:dyDescent="0.3">
      <c r="K23977" s="1">
        <v>44927</v>
      </c>
      <c r="M23977" t="e">
        <v>#N/A</v>
      </c>
      <c r="N23977" s="1">
        <v>44562</v>
      </c>
    </row>
    <row r="23978" spans="11:14" x14ac:dyDescent="0.3">
      <c r="K23978" s="1">
        <v>44927</v>
      </c>
      <c r="M23978" t="e">
        <v>#N/A</v>
      </c>
      <c r="N23978" s="1">
        <v>44562</v>
      </c>
    </row>
    <row r="23979" spans="11:14" x14ac:dyDescent="0.3">
      <c r="K23979" s="1">
        <v>44927</v>
      </c>
      <c r="M23979" t="e">
        <v>#N/A</v>
      </c>
      <c r="N23979" s="1">
        <v>44562</v>
      </c>
    </row>
    <row r="23980" spans="11:14" x14ac:dyDescent="0.3">
      <c r="K23980" s="1">
        <v>44927</v>
      </c>
      <c r="M23980" t="e">
        <v>#N/A</v>
      </c>
      <c r="N23980" s="1">
        <v>44562</v>
      </c>
    </row>
    <row r="23981" spans="11:14" x14ac:dyDescent="0.3">
      <c r="K23981" s="1">
        <v>44927</v>
      </c>
      <c r="M23981" t="e">
        <v>#N/A</v>
      </c>
      <c r="N23981" s="1">
        <v>44562</v>
      </c>
    </row>
    <row r="23982" spans="11:14" x14ac:dyDescent="0.3">
      <c r="K23982" s="1">
        <v>44927</v>
      </c>
      <c r="M23982" t="e">
        <v>#N/A</v>
      </c>
      <c r="N23982" s="1">
        <v>44562</v>
      </c>
    </row>
    <row r="23983" spans="11:14" x14ac:dyDescent="0.3">
      <c r="K23983" s="1">
        <v>44927</v>
      </c>
      <c r="M23983" t="e">
        <v>#N/A</v>
      </c>
      <c r="N23983" s="1">
        <v>44562</v>
      </c>
    </row>
    <row r="23984" spans="11:14" x14ac:dyDescent="0.3">
      <c r="K23984" s="1">
        <v>44927</v>
      </c>
      <c r="M23984" t="e">
        <v>#N/A</v>
      </c>
      <c r="N23984" s="1">
        <v>44562</v>
      </c>
    </row>
    <row r="23985" spans="11:14" x14ac:dyDescent="0.3">
      <c r="K23985" s="1">
        <v>44927</v>
      </c>
      <c r="M23985" t="e">
        <v>#N/A</v>
      </c>
      <c r="N23985" s="1">
        <v>44562</v>
      </c>
    </row>
    <row r="23986" spans="11:14" x14ac:dyDescent="0.3">
      <c r="K23986" s="1">
        <v>44927</v>
      </c>
      <c r="M23986" t="e">
        <v>#N/A</v>
      </c>
      <c r="N23986" s="1">
        <v>44562</v>
      </c>
    </row>
    <row r="23987" spans="11:14" x14ac:dyDescent="0.3">
      <c r="K23987" s="1">
        <v>44927</v>
      </c>
      <c r="M23987" t="e">
        <v>#N/A</v>
      </c>
      <c r="N23987" s="1">
        <v>44562</v>
      </c>
    </row>
    <row r="23988" spans="11:14" x14ac:dyDescent="0.3">
      <c r="K23988" s="1">
        <v>44927</v>
      </c>
      <c r="M23988" t="e">
        <v>#N/A</v>
      </c>
      <c r="N23988" s="1">
        <v>44562</v>
      </c>
    </row>
    <row r="23989" spans="11:14" x14ac:dyDescent="0.3">
      <c r="K23989" s="1">
        <v>44927</v>
      </c>
      <c r="M23989" t="e">
        <v>#N/A</v>
      </c>
      <c r="N23989" s="1">
        <v>44562</v>
      </c>
    </row>
    <row r="23990" spans="11:14" x14ac:dyDescent="0.3">
      <c r="K23990" s="1">
        <v>44927</v>
      </c>
      <c r="M23990" t="e">
        <v>#N/A</v>
      </c>
      <c r="N23990" s="1">
        <v>44562</v>
      </c>
    </row>
    <row r="23991" spans="11:14" x14ac:dyDescent="0.3">
      <c r="K23991" s="1">
        <v>44927</v>
      </c>
      <c r="M23991" t="e">
        <v>#N/A</v>
      </c>
      <c r="N23991" s="1">
        <v>44562</v>
      </c>
    </row>
    <row r="23992" spans="11:14" x14ac:dyDescent="0.3">
      <c r="K23992" s="1">
        <v>44927</v>
      </c>
      <c r="M23992" t="e">
        <v>#N/A</v>
      </c>
      <c r="N23992" s="1">
        <v>44562</v>
      </c>
    </row>
    <row r="23993" spans="11:14" x14ac:dyDescent="0.3">
      <c r="K23993" s="1">
        <v>44927</v>
      </c>
      <c r="M23993" t="e">
        <v>#N/A</v>
      </c>
      <c r="N23993" s="1">
        <v>44562</v>
      </c>
    </row>
    <row r="23994" spans="11:14" x14ac:dyDescent="0.3">
      <c r="K23994" s="1">
        <v>44927</v>
      </c>
      <c r="M23994" t="e">
        <v>#N/A</v>
      </c>
      <c r="N23994" s="1">
        <v>44562</v>
      </c>
    </row>
    <row r="23995" spans="11:14" x14ac:dyDescent="0.3">
      <c r="K23995" s="1">
        <v>44927</v>
      </c>
      <c r="M23995" t="e">
        <v>#N/A</v>
      </c>
      <c r="N23995" s="1">
        <v>44562</v>
      </c>
    </row>
    <row r="23996" spans="11:14" x14ac:dyDescent="0.3">
      <c r="K23996" s="1">
        <v>44927</v>
      </c>
      <c r="M23996" t="e">
        <v>#N/A</v>
      </c>
      <c r="N23996" s="1">
        <v>44562</v>
      </c>
    </row>
    <row r="23997" spans="11:14" x14ac:dyDescent="0.3">
      <c r="K23997" s="1">
        <v>44927</v>
      </c>
      <c r="M23997" t="e">
        <v>#N/A</v>
      </c>
      <c r="N23997" s="1">
        <v>44562</v>
      </c>
    </row>
    <row r="23998" spans="11:14" x14ac:dyDescent="0.3">
      <c r="K23998" s="1">
        <v>44927</v>
      </c>
      <c r="M23998" t="e">
        <v>#N/A</v>
      </c>
      <c r="N23998" s="1">
        <v>44562</v>
      </c>
    </row>
    <row r="23999" spans="11:14" x14ac:dyDescent="0.3">
      <c r="K23999" s="1">
        <v>44927</v>
      </c>
      <c r="M23999" t="e">
        <v>#N/A</v>
      </c>
      <c r="N23999" s="1">
        <v>44562</v>
      </c>
    </row>
    <row r="24000" spans="11:14" x14ac:dyDescent="0.3">
      <c r="K24000" s="1">
        <v>44927</v>
      </c>
      <c r="M24000" t="e">
        <v>#N/A</v>
      </c>
      <c r="N24000" s="1">
        <v>44562</v>
      </c>
    </row>
    <row r="24001" spans="11:14" x14ac:dyDescent="0.3">
      <c r="K24001" s="1">
        <v>44927</v>
      </c>
      <c r="M24001" t="e">
        <v>#N/A</v>
      </c>
      <c r="N24001" s="1">
        <v>44562</v>
      </c>
    </row>
    <row r="24002" spans="11:14" x14ac:dyDescent="0.3">
      <c r="K24002" s="1">
        <v>44927</v>
      </c>
      <c r="M24002" t="e">
        <v>#N/A</v>
      </c>
      <c r="N24002" s="1">
        <v>44562</v>
      </c>
    </row>
    <row r="24003" spans="11:14" x14ac:dyDescent="0.3">
      <c r="K24003" s="1">
        <v>44927</v>
      </c>
      <c r="M24003" t="e">
        <v>#N/A</v>
      </c>
      <c r="N24003" s="1">
        <v>44562</v>
      </c>
    </row>
    <row r="24004" spans="11:14" x14ac:dyDescent="0.3">
      <c r="K24004" s="1">
        <v>44927</v>
      </c>
      <c r="M24004" t="e">
        <v>#N/A</v>
      </c>
      <c r="N24004" s="1">
        <v>44562</v>
      </c>
    </row>
    <row r="24005" spans="11:14" x14ac:dyDescent="0.3">
      <c r="K24005" s="1">
        <v>44927</v>
      </c>
      <c r="M24005" t="e">
        <v>#N/A</v>
      </c>
      <c r="N24005" s="1">
        <v>44562</v>
      </c>
    </row>
    <row r="24006" spans="11:14" x14ac:dyDescent="0.3">
      <c r="K24006" s="1">
        <v>44927</v>
      </c>
      <c r="M24006" t="e">
        <v>#N/A</v>
      </c>
      <c r="N24006" s="1">
        <v>44562</v>
      </c>
    </row>
    <row r="24007" spans="11:14" x14ac:dyDescent="0.3">
      <c r="K24007" s="1">
        <v>44927</v>
      </c>
      <c r="M24007" t="e">
        <v>#N/A</v>
      </c>
      <c r="N24007" s="1">
        <v>44562</v>
      </c>
    </row>
    <row r="24008" spans="11:14" x14ac:dyDescent="0.3">
      <c r="K24008" s="1">
        <v>44927</v>
      </c>
      <c r="M24008" t="e">
        <v>#N/A</v>
      </c>
      <c r="N24008" s="1">
        <v>44562</v>
      </c>
    </row>
    <row r="24009" spans="11:14" x14ac:dyDescent="0.3">
      <c r="K24009" s="1">
        <v>44927</v>
      </c>
      <c r="M24009" t="e">
        <v>#N/A</v>
      </c>
      <c r="N24009" s="1">
        <v>44562</v>
      </c>
    </row>
    <row r="24010" spans="11:14" x14ac:dyDescent="0.3">
      <c r="K24010" s="1">
        <v>44927</v>
      </c>
      <c r="M24010" t="e">
        <v>#N/A</v>
      </c>
      <c r="N24010" s="1">
        <v>44562</v>
      </c>
    </row>
    <row r="24011" spans="11:14" x14ac:dyDescent="0.3">
      <c r="K24011" s="1">
        <v>44927</v>
      </c>
      <c r="M24011" t="e">
        <v>#N/A</v>
      </c>
      <c r="N24011" s="1">
        <v>44562</v>
      </c>
    </row>
    <row r="24012" spans="11:14" x14ac:dyDescent="0.3">
      <c r="K24012" s="1">
        <v>44927</v>
      </c>
      <c r="M24012" t="e">
        <v>#N/A</v>
      </c>
      <c r="N24012" s="1">
        <v>44562</v>
      </c>
    </row>
    <row r="24013" spans="11:14" x14ac:dyDescent="0.3">
      <c r="K24013" s="1">
        <v>44927</v>
      </c>
      <c r="M24013" t="e">
        <v>#N/A</v>
      </c>
      <c r="N24013" s="1">
        <v>44562</v>
      </c>
    </row>
    <row r="24014" spans="11:14" x14ac:dyDescent="0.3">
      <c r="K24014" s="1">
        <v>44927</v>
      </c>
      <c r="M24014" t="e">
        <v>#N/A</v>
      </c>
      <c r="N24014" s="1">
        <v>44562</v>
      </c>
    </row>
    <row r="24015" spans="11:14" x14ac:dyDescent="0.3">
      <c r="K24015" s="1">
        <v>44927</v>
      </c>
      <c r="M24015" t="e">
        <v>#N/A</v>
      </c>
      <c r="N24015" s="1">
        <v>44562</v>
      </c>
    </row>
    <row r="24016" spans="11:14" x14ac:dyDescent="0.3">
      <c r="K24016" s="1">
        <v>44927</v>
      </c>
      <c r="M24016" t="e">
        <v>#N/A</v>
      </c>
      <c r="N24016" s="1">
        <v>44562</v>
      </c>
    </row>
    <row r="24017" spans="11:14" x14ac:dyDescent="0.3">
      <c r="K24017" s="1">
        <v>44927</v>
      </c>
      <c r="M24017" t="e">
        <v>#N/A</v>
      </c>
      <c r="N24017" s="1">
        <v>44562</v>
      </c>
    </row>
    <row r="24018" spans="11:14" x14ac:dyDescent="0.3">
      <c r="K24018" s="1">
        <v>44927</v>
      </c>
      <c r="M24018" t="e">
        <v>#N/A</v>
      </c>
      <c r="N24018" s="1">
        <v>44562</v>
      </c>
    </row>
    <row r="24019" spans="11:14" x14ac:dyDescent="0.3">
      <c r="K24019" s="1">
        <v>44927</v>
      </c>
      <c r="M24019" t="e">
        <v>#N/A</v>
      </c>
      <c r="N24019" s="1">
        <v>44562</v>
      </c>
    </row>
    <row r="24020" spans="11:14" x14ac:dyDescent="0.3">
      <c r="K24020" s="1">
        <v>44927</v>
      </c>
      <c r="M24020" t="e">
        <v>#N/A</v>
      </c>
      <c r="N24020" s="1">
        <v>44562</v>
      </c>
    </row>
    <row r="24021" spans="11:14" x14ac:dyDescent="0.3">
      <c r="K24021" s="1">
        <v>44927</v>
      </c>
      <c r="M24021" t="e">
        <v>#N/A</v>
      </c>
      <c r="N24021" s="1">
        <v>44562</v>
      </c>
    </row>
    <row r="24022" spans="11:14" x14ac:dyDescent="0.3">
      <c r="K24022" s="1">
        <v>44927</v>
      </c>
      <c r="M24022" t="e">
        <v>#N/A</v>
      </c>
      <c r="N24022" s="1">
        <v>44562</v>
      </c>
    </row>
    <row r="24023" spans="11:14" x14ac:dyDescent="0.3">
      <c r="K24023" s="1">
        <v>44927</v>
      </c>
      <c r="M24023" t="e">
        <v>#N/A</v>
      </c>
      <c r="N24023" s="1">
        <v>44562</v>
      </c>
    </row>
    <row r="24024" spans="11:14" x14ac:dyDescent="0.3">
      <c r="K24024" s="1">
        <v>44927</v>
      </c>
      <c r="M24024" t="e">
        <v>#N/A</v>
      </c>
      <c r="N24024" s="1">
        <v>44562</v>
      </c>
    </row>
    <row r="24025" spans="11:14" x14ac:dyDescent="0.3">
      <c r="K24025" s="1">
        <v>44927</v>
      </c>
      <c r="M24025" t="e">
        <v>#N/A</v>
      </c>
      <c r="N24025" s="1">
        <v>44562</v>
      </c>
    </row>
    <row r="24026" spans="11:14" x14ac:dyDescent="0.3">
      <c r="K24026" s="1">
        <v>44927</v>
      </c>
      <c r="M24026" t="e">
        <v>#N/A</v>
      </c>
      <c r="N24026" s="1">
        <v>44562</v>
      </c>
    </row>
    <row r="24027" spans="11:14" x14ac:dyDescent="0.3">
      <c r="K24027" s="1">
        <v>44927</v>
      </c>
      <c r="M24027" t="e">
        <v>#N/A</v>
      </c>
      <c r="N24027" s="1">
        <v>44562</v>
      </c>
    </row>
    <row r="24028" spans="11:14" x14ac:dyDescent="0.3">
      <c r="K24028" s="1">
        <v>44927</v>
      </c>
      <c r="M24028" t="e">
        <v>#N/A</v>
      </c>
      <c r="N24028" s="1">
        <v>44562</v>
      </c>
    </row>
    <row r="24029" spans="11:14" x14ac:dyDescent="0.3">
      <c r="K24029" s="1">
        <v>44927</v>
      </c>
      <c r="M24029" t="e">
        <v>#N/A</v>
      </c>
      <c r="N24029" s="1">
        <v>44562</v>
      </c>
    </row>
    <row r="24030" spans="11:14" x14ac:dyDescent="0.3">
      <c r="K24030" s="1">
        <v>44927</v>
      </c>
      <c r="M24030" t="e">
        <v>#N/A</v>
      </c>
      <c r="N24030" s="1">
        <v>44562</v>
      </c>
    </row>
    <row r="24031" spans="11:14" x14ac:dyDescent="0.3">
      <c r="K24031" s="1">
        <v>44927</v>
      </c>
      <c r="M24031" t="e">
        <v>#N/A</v>
      </c>
      <c r="N24031" s="1">
        <v>44562</v>
      </c>
    </row>
    <row r="24032" spans="11:14" x14ac:dyDescent="0.3">
      <c r="K24032" s="1">
        <v>44927</v>
      </c>
      <c r="M24032" t="e">
        <v>#N/A</v>
      </c>
      <c r="N24032" s="1">
        <v>44562</v>
      </c>
    </row>
    <row r="24033" spans="11:14" x14ac:dyDescent="0.3">
      <c r="K24033" s="1">
        <v>44927</v>
      </c>
      <c r="M24033" t="e">
        <v>#N/A</v>
      </c>
      <c r="N24033" s="1">
        <v>44562</v>
      </c>
    </row>
    <row r="24034" spans="11:14" x14ac:dyDescent="0.3">
      <c r="K24034" s="1">
        <v>44927</v>
      </c>
      <c r="M24034" t="e">
        <v>#N/A</v>
      </c>
      <c r="N24034" s="1">
        <v>44562</v>
      </c>
    </row>
    <row r="24035" spans="11:14" x14ac:dyDescent="0.3">
      <c r="K24035" s="1">
        <v>44927</v>
      </c>
      <c r="M24035" t="e">
        <v>#N/A</v>
      </c>
      <c r="N24035" s="1">
        <v>44562</v>
      </c>
    </row>
    <row r="24036" spans="11:14" x14ac:dyDescent="0.3">
      <c r="K24036" s="1">
        <v>44927</v>
      </c>
      <c r="M24036" t="e">
        <v>#N/A</v>
      </c>
      <c r="N24036" s="1">
        <v>44562</v>
      </c>
    </row>
    <row r="24037" spans="11:14" x14ac:dyDescent="0.3">
      <c r="K24037" s="1">
        <v>44927</v>
      </c>
      <c r="M24037" t="e">
        <v>#N/A</v>
      </c>
      <c r="N24037" s="1">
        <v>44562</v>
      </c>
    </row>
    <row r="24038" spans="11:14" x14ac:dyDescent="0.3">
      <c r="K24038" s="1">
        <v>44927</v>
      </c>
      <c r="M24038" t="e">
        <v>#N/A</v>
      </c>
      <c r="N24038" s="1">
        <v>44562</v>
      </c>
    </row>
    <row r="24039" spans="11:14" x14ac:dyDescent="0.3">
      <c r="K24039" s="1">
        <v>44927</v>
      </c>
      <c r="M24039" t="e">
        <v>#N/A</v>
      </c>
      <c r="N24039" s="1">
        <v>44562</v>
      </c>
    </row>
    <row r="24040" spans="11:14" x14ac:dyDescent="0.3">
      <c r="K24040" s="1">
        <v>44927</v>
      </c>
      <c r="M24040" t="e">
        <v>#N/A</v>
      </c>
      <c r="N24040" s="1">
        <v>44562</v>
      </c>
    </row>
    <row r="24041" spans="11:14" x14ac:dyDescent="0.3">
      <c r="K24041" s="1">
        <v>44927</v>
      </c>
      <c r="M24041" t="e">
        <v>#N/A</v>
      </c>
      <c r="N24041" s="1">
        <v>44562</v>
      </c>
    </row>
    <row r="24042" spans="11:14" x14ac:dyDescent="0.3">
      <c r="K24042" s="1">
        <v>44927</v>
      </c>
      <c r="M24042" t="e">
        <v>#N/A</v>
      </c>
      <c r="N24042" s="1">
        <v>44562</v>
      </c>
    </row>
    <row r="24043" spans="11:14" x14ac:dyDescent="0.3">
      <c r="K24043" s="1">
        <v>44927</v>
      </c>
      <c r="M24043" t="e">
        <v>#N/A</v>
      </c>
      <c r="N24043" s="1">
        <v>44562</v>
      </c>
    </row>
    <row r="24044" spans="11:14" x14ac:dyDescent="0.3">
      <c r="K24044" s="1">
        <v>44927</v>
      </c>
      <c r="M24044" t="e">
        <v>#N/A</v>
      </c>
      <c r="N24044" s="1">
        <v>44562</v>
      </c>
    </row>
    <row r="24045" spans="11:14" x14ac:dyDescent="0.3">
      <c r="K24045" s="1">
        <v>44927</v>
      </c>
      <c r="M24045" t="e">
        <v>#N/A</v>
      </c>
      <c r="N24045" s="1">
        <v>44562</v>
      </c>
    </row>
    <row r="24046" spans="11:14" x14ac:dyDescent="0.3">
      <c r="K24046" s="1">
        <v>44927</v>
      </c>
      <c r="M24046" t="e">
        <v>#N/A</v>
      </c>
      <c r="N24046" s="1">
        <v>44562</v>
      </c>
    </row>
    <row r="24047" spans="11:14" x14ac:dyDescent="0.3">
      <c r="K24047" s="1">
        <v>44927</v>
      </c>
      <c r="M24047" t="e">
        <v>#N/A</v>
      </c>
      <c r="N24047" s="1">
        <v>44562</v>
      </c>
    </row>
    <row r="24048" spans="11:14" x14ac:dyDescent="0.3">
      <c r="K24048" s="1">
        <v>44927</v>
      </c>
      <c r="M24048" t="e">
        <v>#N/A</v>
      </c>
      <c r="N24048" s="1">
        <v>44562</v>
      </c>
    </row>
    <row r="24049" spans="11:14" x14ac:dyDescent="0.3">
      <c r="K24049" s="1">
        <v>44927</v>
      </c>
      <c r="M24049" t="e">
        <v>#N/A</v>
      </c>
      <c r="N24049" s="1">
        <v>44562</v>
      </c>
    </row>
    <row r="24050" spans="11:14" x14ac:dyDescent="0.3">
      <c r="K24050" s="1">
        <v>44927</v>
      </c>
      <c r="M24050" t="e">
        <v>#N/A</v>
      </c>
      <c r="N24050" s="1">
        <v>44562</v>
      </c>
    </row>
    <row r="24051" spans="11:14" x14ac:dyDescent="0.3">
      <c r="K24051" s="1">
        <v>44927</v>
      </c>
      <c r="M24051" t="e">
        <v>#N/A</v>
      </c>
      <c r="N24051" s="1">
        <v>44562</v>
      </c>
    </row>
    <row r="24052" spans="11:14" x14ac:dyDescent="0.3">
      <c r="K24052" s="1">
        <v>44927</v>
      </c>
      <c r="M24052" t="e">
        <v>#N/A</v>
      </c>
      <c r="N24052" s="1">
        <v>44562</v>
      </c>
    </row>
    <row r="24053" spans="11:14" x14ac:dyDescent="0.3">
      <c r="K24053" s="1">
        <v>44927</v>
      </c>
      <c r="M24053" t="e">
        <v>#N/A</v>
      </c>
      <c r="N24053" s="1">
        <v>44562</v>
      </c>
    </row>
    <row r="24054" spans="11:14" x14ac:dyDescent="0.3">
      <c r="K24054" s="1">
        <v>44927</v>
      </c>
      <c r="M24054" t="e">
        <v>#N/A</v>
      </c>
      <c r="N24054" s="1">
        <v>44562</v>
      </c>
    </row>
    <row r="24055" spans="11:14" x14ac:dyDescent="0.3">
      <c r="K24055" s="1">
        <v>44927</v>
      </c>
      <c r="M24055" t="e">
        <v>#N/A</v>
      </c>
      <c r="N24055" s="1">
        <v>44562</v>
      </c>
    </row>
    <row r="24056" spans="11:14" x14ac:dyDescent="0.3">
      <c r="K24056" s="1">
        <v>44927</v>
      </c>
      <c r="M24056" t="e">
        <v>#N/A</v>
      </c>
      <c r="N24056" s="1">
        <v>44562</v>
      </c>
    </row>
    <row r="24057" spans="11:14" x14ac:dyDescent="0.3">
      <c r="K24057" s="1">
        <v>44927</v>
      </c>
      <c r="M24057" t="e">
        <v>#N/A</v>
      </c>
      <c r="N24057" s="1">
        <v>44562</v>
      </c>
    </row>
    <row r="24058" spans="11:14" x14ac:dyDescent="0.3">
      <c r="K24058" s="1">
        <v>44927</v>
      </c>
      <c r="M24058" t="e">
        <v>#N/A</v>
      </c>
      <c r="N24058" s="1">
        <v>44562</v>
      </c>
    </row>
    <row r="24059" spans="11:14" x14ac:dyDescent="0.3">
      <c r="K24059" s="1">
        <v>44927</v>
      </c>
      <c r="M24059" t="e">
        <v>#N/A</v>
      </c>
      <c r="N24059" s="1">
        <v>44562</v>
      </c>
    </row>
    <row r="24060" spans="11:14" x14ac:dyDescent="0.3">
      <c r="K24060" s="1">
        <v>44927</v>
      </c>
      <c r="M24060" t="e">
        <v>#N/A</v>
      </c>
      <c r="N24060" s="1">
        <v>44562</v>
      </c>
    </row>
    <row r="24061" spans="11:14" x14ac:dyDescent="0.3">
      <c r="K24061" s="1">
        <v>44927</v>
      </c>
      <c r="M24061" t="e">
        <v>#N/A</v>
      </c>
      <c r="N24061" s="1">
        <v>44562</v>
      </c>
    </row>
    <row r="24062" spans="11:14" x14ac:dyDescent="0.3">
      <c r="K24062" s="1">
        <v>44927</v>
      </c>
      <c r="M24062" t="e">
        <v>#N/A</v>
      </c>
      <c r="N24062" s="1">
        <v>44562</v>
      </c>
    </row>
    <row r="24063" spans="11:14" x14ac:dyDescent="0.3">
      <c r="K24063" s="1">
        <v>44927</v>
      </c>
      <c r="M24063" t="e">
        <v>#N/A</v>
      </c>
      <c r="N24063" s="1">
        <v>44562</v>
      </c>
    </row>
    <row r="24064" spans="11:14" x14ac:dyDescent="0.3">
      <c r="K24064" s="1">
        <v>44927</v>
      </c>
      <c r="M24064" t="e">
        <v>#N/A</v>
      </c>
      <c r="N24064" s="1">
        <v>44562</v>
      </c>
    </row>
    <row r="24065" spans="11:14" x14ac:dyDescent="0.3">
      <c r="K24065" s="1">
        <v>44927</v>
      </c>
      <c r="M24065" t="e">
        <v>#N/A</v>
      </c>
      <c r="N24065" s="1">
        <v>44562</v>
      </c>
    </row>
    <row r="24066" spans="11:14" x14ac:dyDescent="0.3">
      <c r="K24066" s="1">
        <v>44927</v>
      </c>
      <c r="M24066" t="e">
        <v>#N/A</v>
      </c>
      <c r="N24066" s="1">
        <v>44562</v>
      </c>
    </row>
    <row r="24067" spans="11:14" x14ac:dyDescent="0.3">
      <c r="K24067" s="1">
        <v>44927</v>
      </c>
      <c r="M24067" t="e">
        <v>#N/A</v>
      </c>
      <c r="N24067" s="1">
        <v>44562</v>
      </c>
    </row>
    <row r="24068" spans="11:14" x14ac:dyDescent="0.3">
      <c r="K24068" s="1">
        <v>44927</v>
      </c>
      <c r="M24068" t="e">
        <v>#N/A</v>
      </c>
      <c r="N24068" s="1">
        <v>44562</v>
      </c>
    </row>
    <row r="24069" spans="11:14" x14ac:dyDescent="0.3">
      <c r="K24069" s="1">
        <v>44927</v>
      </c>
      <c r="M24069" t="e">
        <v>#N/A</v>
      </c>
      <c r="N24069" s="1">
        <v>44562</v>
      </c>
    </row>
    <row r="24070" spans="11:14" x14ac:dyDescent="0.3">
      <c r="K24070" s="1">
        <v>44927</v>
      </c>
      <c r="M24070" t="e">
        <v>#N/A</v>
      </c>
      <c r="N24070" s="1">
        <v>44562</v>
      </c>
    </row>
    <row r="24071" spans="11:14" x14ac:dyDescent="0.3">
      <c r="K24071" s="1">
        <v>44927</v>
      </c>
      <c r="M24071" t="e">
        <v>#N/A</v>
      </c>
      <c r="N24071" s="1">
        <v>44562</v>
      </c>
    </row>
    <row r="24072" spans="11:14" x14ac:dyDescent="0.3">
      <c r="K24072" s="1">
        <v>44927</v>
      </c>
      <c r="M24072" t="e">
        <v>#N/A</v>
      </c>
      <c r="N24072" s="1">
        <v>44562</v>
      </c>
    </row>
    <row r="24073" spans="11:14" x14ac:dyDescent="0.3">
      <c r="K24073" s="1">
        <v>44927</v>
      </c>
      <c r="M24073" t="e">
        <v>#N/A</v>
      </c>
      <c r="N24073" s="1">
        <v>44562</v>
      </c>
    </row>
    <row r="24074" spans="11:14" x14ac:dyDescent="0.3">
      <c r="K24074" s="1">
        <v>44927</v>
      </c>
      <c r="M24074" t="e">
        <v>#N/A</v>
      </c>
      <c r="N24074" s="1">
        <v>44562</v>
      </c>
    </row>
    <row r="24075" spans="11:14" x14ac:dyDescent="0.3">
      <c r="K24075" s="1">
        <v>44927</v>
      </c>
      <c r="M24075" t="e">
        <v>#N/A</v>
      </c>
      <c r="N24075" s="1">
        <v>44562</v>
      </c>
    </row>
    <row r="24076" spans="11:14" x14ac:dyDescent="0.3">
      <c r="K24076" s="1">
        <v>44927</v>
      </c>
      <c r="M24076" t="e">
        <v>#N/A</v>
      </c>
      <c r="N24076" s="1">
        <v>44562</v>
      </c>
    </row>
    <row r="24077" spans="11:14" x14ac:dyDescent="0.3">
      <c r="K24077" s="1">
        <v>44927</v>
      </c>
      <c r="M24077" t="e">
        <v>#N/A</v>
      </c>
      <c r="N24077" s="1">
        <v>44562</v>
      </c>
    </row>
    <row r="24078" spans="11:14" x14ac:dyDescent="0.3">
      <c r="K24078" s="1">
        <v>44927</v>
      </c>
      <c r="M24078" t="e">
        <v>#N/A</v>
      </c>
      <c r="N24078" s="1">
        <v>44562</v>
      </c>
    </row>
    <row r="24079" spans="11:14" x14ac:dyDescent="0.3">
      <c r="K24079" s="1">
        <v>44927</v>
      </c>
      <c r="M24079" t="e">
        <v>#N/A</v>
      </c>
      <c r="N24079" s="1">
        <v>44562</v>
      </c>
    </row>
    <row r="24080" spans="11:14" x14ac:dyDescent="0.3">
      <c r="K24080" s="1">
        <v>44927</v>
      </c>
      <c r="M24080" t="e">
        <v>#N/A</v>
      </c>
      <c r="N24080" s="1">
        <v>44562</v>
      </c>
    </row>
    <row r="24081" spans="11:14" x14ac:dyDescent="0.3">
      <c r="K24081" s="1">
        <v>44927</v>
      </c>
      <c r="M24081" t="e">
        <v>#N/A</v>
      </c>
      <c r="N24081" s="1">
        <v>44562</v>
      </c>
    </row>
    <row r="24082" spans="11:14" x14ac:dyDescent="0.3">
      <c r="K24082" s="1">
        <v>44927</v>
      </c>
      <c r="M24082" t="e">
        <v>#N/A</v>
      </c>
      <c r="N24082" s="1">
        <v>44562</v>
      </c>
    </row>
    <row r="24083" spans="11:14" x14ac:dyDescent="0.3">
      <c r="K24083" s="1">
        <v>44927</v>
      </c>
      <c r="M24083" t="e">
        <v>#N/A</v>
      </c>
      <c r="N24083" s="1">
        <v>44562</v>
      </c>
    </row>
    <row r="24084" spans="11:14" x14ac:dyDescent="0.3">
      <c r="K24084" s="1">
        <v>44927</v>
      </c>
      <c r="M24084" t="e">
        <v>#N/A</v>
      </c>
      <c r="N24084" s="1">
        <v>44562</v>
      </c>
    </row>
    <row r="24085" spans="11:14" x14ac:dyDescent="0.3">
      <c r="K24085" s="1">
        <v>44927</v>
      </c>
      <c r="M24085" t="e">
        <v>#N/A</v>
      </c>
      <c r="N24085" s="1">
        <v>44562</v>
      </c>
    </row>
    <row r="24086" spans="11:14" x14ac:dyDescent="0.3">
      <c r="K24086" s="1">
        <v>44927</v>
      </c>
      <c r="M24086" t="e">
        <v>#N/A</v>
      </c>
      <c r="N24086" s="1">
        <v>44562</v>
      </c>
    </row>
    <row r="24087" spans="11:14" x14ac:dyDescent="0.3">
      <c r="K24087" s="1">
        <v>44927</v>
      </c>
      <c r="M24087" t="e">
        <v>#N/A</v>
      </c>
      <c r="N24087" s="1">
        <v>44562</v>
      </c>
    </row>
    <row r="24088" spans="11:14" x14ac:dyDescent="0.3">
      <c r="K24088" s="1">
        <v>44927</v>
      </c>
      <c r="M24088" t="e">
        <v>#N/A</v>
      </c>
      <c r="N24088" s="1">
        <v>44562</v>
      </c>
    </row>
    <row r="24089" spans="11:14" x14ac:dyDescent="0.3">
      <c r="K24089" s="1">
        <v>44927</v>
      </c>
      <c r="M24089" t="e">
        <v>#N/A</v>
      </c>
      <c r="N24089" s="1">
        <v>44562</v>
      </c>
    </row>
    <row r="24090" spans="11:14" x14ac:dyDescent="0.3">
      <c r="K24090" s="1">
        <v>44927</v>
      </c>
      <c r="M24090" t="e">
        <v>#N/A</v>
      </c>
      <c r="N24090" s="1">
        <v>44562</v>
      </c>
    </row>
    <row r="24091" spans="11:14" x14ac:dyDescent="0.3">
      <c r="K24091" s="1">
        <v>44927</v>
      </c>
      <c r="M24091" t="e">
        <v>#N/A</v>
      </c>
      <c r="N24091" s="1">
        <v>44562</v>
      </c>
    </row>
    <row r="24092" spans="11:14" x14ac:dyDescent="0.3">
      <c r="K24092" s="1">
        <v>44927</v>
      </c>
      <c r="M24092" t="e">
        <v>#N/A</v>
      </c>
      <c r="N24092" s="1">
        <v>44562</v>
      </c>
    </row>
    <row r="24093" spans="11:14" x14ac:dyDescent="0.3">
      <c r="K24093" s="1">
        <v>44927</v>
      </c>
      <c r="M24093" t="e">
        <v>#N/A</v>
      </c>
      <c r="N24093" s="1">
        <v>44562</v>
      </c>
    </row>
    <row r="24094" spans="11:14" x14ac:dyDescent="0.3">
      <c r="K24094" s="1">
        <v>44927</v>
      </c>
      <c r="M24094" t="e">
        <v>#N/A</v>
      </c>
      <c r="N24094" s="1">
        <v>44562</v>
      </c>
    </row>
    <row r="24095" spans="11:14" x14ac:dyDescent="0.3">
      <c r="K24095" s="1">
        <v>44927</v>
      </c>
      <c r="M24095" t="e">
        <v>#N/A</v>
      </c>
      <c r="N24095" s="1">
        <v>44562</v>
      </c>
    </row>
    <row r="24096" spans="11:14" x14ac:dyDescent="0.3">
      <c r="K24096" s="1">
        <v>44927</v>
      </c>
      <c r="M24096" t="e">
        <v>#N/A</v>
      </c>
      <c r="N24096" s="1">
        <v>44562</v>
      </c>
    </row>
    <row r="24097" spans="11:14" x14ac:dyDescent="0.3">
      <c r="K24097" s="1">
        <v>44927</v>
      </c>
      <c r="M24097" t="e">
        <v>#N/A</v>
      </c>
      <c r="N24097" s="1">
        <v>44562</v>
      </c>
    </row>
    <row r="24098" spans="11:14" x14ac:dyDescent="0.3">
      <c r="K24098" s="1">
        <v>44927</v>
      </c>
      <c r="M24098" t="e">
        <v>#N/A</v>
      </c>
      <c r="N24098" s="1">
        <v>44562</v>
      </c>
    </row>
    <row r="24099" spans="11:14" x14ac:dyDescent="0.3">
      <c r="K24099" s="1">
        <v>44927</v>
      </c>
      <c r="M24099" t="e">
        <v>#N/A</v>
      </c>
      <c r="N24099" s="1">
        <v>44562</v>
      </c>
    </row>
    <row r="24100" spans="11:14" x14ac:dyDescent="0.3">
      <c r="K24100" s="1">
        <v>44927</v>
      </c>
      <c r="M24100" t="e">
        <v>#N/A</v>
      </c>
      <c r="N24100" s="1">
        <v>44562</v>
      </c>
    </row>
    <row r="24101" spans="11:14" x14ac:dyDescent="0.3">
      <c r="K24101" s="1">
        <v>44927</v>
      </c>
      <c r="M24101" t="e">
        <v>#N/A</v>
      </c>
      <c r="N24101" s="1">
        <v>44562</v>
      </c>
    </row>
    <row r="24102" spans="11:14" x14ac:dyDescent="0.3">
      <c r="K24102" s="1">
        <v>44927</v>
      </c>
      <c r="M24102" t="e">
        <v>#N/A</v>
      </c>
      <c r="N24102" s="1">
        <v>44562</v>
      </c>
    </row>
    <row r="24103" spans="11:14" x14ac:dyDescent="0.3">
      <c r="K24103" s="1">
        <v>44927</v>
      </c>
      <c r="M24103" t="e">
        <v>#N/A</v>
      </c>
      <c r="N24103" s="1">
        <v>44562</v>
      </c>
    </row>
    <row r="24104" spans="11:14" x14ac:dyDescent="0.3">
      <c r="K24104" s="1">
        <v>44927</v>
      </c>
      <c r="M24104" t="e">
        <v>#N/A</v>
      </c>
      <c r="N24104" s="1">
        <v>44562</v>
      </c>
    </row>
    <row r="24105" spans="11:14" x14ac:dyDescent="0.3">
      <c r="K24105" s="1">
        <v>44927</v>
      </c>
      <c r="M24105" t="e">
        <v>#N/A</v>
      </c>
      <c r="N24105" s="1">
        <v>44562</v>
      </c>
    </row>
    <row r="24106" spans="11:14" x14ac:dyDescent="0.3">
      <c r="K24106" s="1">
        <v>44927</v>
      </c>
      <c r="M24106" t="e">
        <v>#N/A</v>
      </c>
      <c r="N24106" s="1">
        <v>44562</v>
      </c>
    </row>
    <row r="24107" spans="11:14" x14ac:dyDescent="0.3">
      <c r="K24107" s="1">
        <v>44927</v>
      </c>
      <c r="M24107" t="e">
        <v>#N/A</v>
      </c>
      <c r="N24107" s="1">
        <v>44562</v>
      </c>
    </row>
    <row r="24108" spans="11:14" x14ac:dyDescent="0.3">
      <c r="K24108" s="1">
        <v>44927</v>
      </c>
      <c r="M24108" t="e">
        <v>#N/A</v>
      </c>
      <c r="N24108" s="1">
        <v>44562</v>
      </c>
    </row>
    <row r="24109" spans="11:14" x14ac:dyDescent="0.3">
      <c r="K24109" s="1">
        <v>44927</v>
      </c>
      <c r="M24109" t="e">
        <v>#N/A</v>
      </c>
      <c r="N24109" s="1">
        <v>44562</v>
      </c>
    </row>
    <row r="24110" spans="11:14" x14ac:dyDescent="0.3">
      <c r="K24110" s="1">
        <v>44927</v>
      </c>
      <c r="M24110" t="e">
        <v>#N/A</v>
      </c>
      <c r="N24110" s="1">
        <v>44562</v>
      </c>
    </row>
    <row r="24111" spans="11:14" x14ac:dyDescent="0.3">
      <c r="K24111" s="1">
        <v>44927</v>
      </c>
      <c r="M24111" t="e">
        <v>#N/A</v>
      </c>
      <c r="N24111" s="1">
        <v>44562</v>
      </c>
    </row>
    <row r="24112" spans="11:14" x14ac:dyDescent="0.3">
      <c r="K24112" s="1">
        <v>44927</v>
      </c>
      <c r="M24112" t="e">
        <v>#N/A</v>
      </c>
      <c r="N24112" s="1">
        <v>44562</v>
      </c>
    </row>
    <row r="24113" spans="11:14" x14ac:dyDescent="0.3">
      <c r="K24113" s="1">
        <v>44927</v>
      </c>
      <c r="M24113" t="e">
        <v>#N/A</v>
      </c>
      <c r="N24113" s="1">
        <v>44562</v>
      </c>
    </row>
    <row r="24114" spans="11:14" x14ac:dyDescent="0.3">
      <c r="K24114" s="1">
        <v>44927</v>
      </c>
      <c r="M24114" t="e">
        <v>#N/A</v>
      </c>
      <c r="N24114" s="1">
        <v>44562</v>
      </c>
    </row>
    <row r="24115" spans="11:14" x14ac:dyDescent="0.3">
      <c r="K24115" s="1">
        <v>44927</v>
      </c>
      <c r="M24115" t="e">
        <v>#N/A</v>
      </c>
      <c r="N24115" s="1">
        <v>44562</v>
      </c>
    </row>
    <row r="24116" spans="11:14" x14ac:dyDescent="0.3">
      <c r="K24116" s="1">
        <v>44927</v>
      </c>
      <c r="M24116" t="e">
        <v>#N/A</v>
      </c>
      <c r="N24116" s="1">
        <v>44562</v>
      </c>
    </row>
    <row r="24117" spans="11:14" x14ac:dyDescent="0.3">
      <c r="K24117" s="1">
        <v>44927</v>
      </c>
      <c r="M24117" t="e">
        <v>#N/A</v>
      </c>
      <c r="N24117" s="1">
        <v>44562</v>
      </c>
    </row>
    <row r="24118" spans="11:14" x14ac:dyDescent="0.3">
      <c r="K24118" s="1">
        <v>44927</v>
      </c>
      <c r="M24118" t="e">
        <v>#N/A</v>
      </c>
      <c r="N24118" s="1">
        <v>44562</v>
      </c>
    </row>
    <row r="24119" spans="11:14" x14ac:dyDescent="0.3">
      <c r="K24119" s="1">
        <v>44927</v>
      </c>
      <c r="M24119" t="e">
        <v>#N/A</v>
      </c>
      <c r="N24119" s="1">
        <v>44562</v>
      </c>
    </row>
    <row r="24120" spans="11:14" x14ac:dyDescent="0.3">
      <c r="K24120" s="1">
        <v>44927</v>
      </c>
      <c r="M24120" t="e">
        <v>#N/A</v>
      </c>
      <c r="N24120" s="1">
        <v>44562</v>
      </c>
    </row>
    <row r="24121" spans="11:14" x14ac:dyDescent="0.3">
      <c r="K24121" s="1">
        <v>44927</v>
      </c>
      <c r="M24121" t="e">
        <v>#N/A</v>
      </c>
      <c r="N24121" s="1">
        <v>44562</v>
      </c>
    </row>
    <row r="24122" spans="11:14" x14ac:dyDescent="0.3">
      <c r="K24122" s="1">
        <v>44927</v>
      </c>
      <c r="M24122" t="e">
        <v>#N/A</v>
      </c>
      <c r="N24122" s="1">
        <v>44562</v>
      </c>
    </row>
    <row r="24123" spans="11:14" x14ac:dyDescent="0.3">
      <c r="K24123" s="1">
        <v>44927</v>
      </c>
      <c r="M24123" t="e">
        <v>#N/A</v>
      </c>
      <c r="N24123" s="1">
        <v>44562</v>
      </c>
    </row>
    <row r="24124" spans="11:14" x14ac:dyDescent="0.3">
      <c r="K24124" s="1">
        <v>44927</v>
      </c>
      <c r="M24124" t="e">
        <v>#N/A</v>
      </c>
      <c r="N24124" s="1">
        <v>44562</v>
      </c>
    </row>
    <row r="24125" spans="11:14" x14ac:dyDescent="0.3">
      <c r="K24125" s="1">
        <v>44927</v>
      </c>
      <c r="M24125" t="e">
        <v>#N/A</v>
      </c>
      <c r="N24125" s="1">
        <v>44562</v>
      </c>
    </row>
    <row r="24126" spans="11:14" x14ac:dyDescent="0.3">
      <c r="K24126" s="1">
        <v>44927</v>
      </c>
      <c r="M24126" t="e">
        <v>#N/A</v>
      </c>
      <c r="N24126" s="1">
        <v>44562</v>
      </c>
    </row>
    <row r="24127" spans="11:14" x14ac:dyDescent="0.3">
      <c r="K24127" s="1">
        <v>44927</v>
      </c>
      <c r="M24127" t="e">
        <v>#N/A</v>
      </c>
      <c r="N24127" s="1">
        <v>44562</v>
      </c>
    </row>
    <row r="24128" spans="11:14" x14ac:dyDescent="0.3">
      <c r="K24128" s="1">
        <v>44927</v>
      </c>
      <c r="M24128" t="e">
        <v>#N/A</v>
      </c>
      <c r="N24128" s="1">
        <v>44562</v>
      </c>
    </row>
    <row r="24129" spans="11:14" x14ac:dyDescent="0.3">
      <c r="K24129" s="1">
        <v>44927</v>
      </c>
      <c r="M24129" t="e">
        <v>#N/A</v>
      </c>
      <c r="N24129" s="1">
        <v>44562</v>
      </c>
    </row>
    <row r="24130" spans="11:14" x14ac:dyDescent="0.3">
      <c r="K24130" s="1">
        <v>44927</v>
      </c>
      <c r="M24130" t="e">
        <v>#N/A</v>
      </c>
      <c r="N24130" s="1">
        <v>44562</v>
      </c>
    </row>
    <row r="24131" spans="11:14" x14ac:dyDescent="0.3">
      <c r="K24131" s="1">
        <v>44927</v>
      </c>
      <c r="M24131" t="e">
        <v>#N/A</v>
      </c>
      <c r="N24131" s="1">
        <v>44562</v>
      </c>
    </row>
    <row r="24132" spans="11:14" x14ac:dyDescent="0.3">
      <c r="M24132" t="e">
        <v>#N/A</v>
      </c>
      <c r="N24132" s="1">
        <v>44562</v>
      </c>
    </row>
    <row r="24133" spans="11:14" x14ac:dyDescent="0.3">
      <c r="M24133" t="e">
        <v>#N/A</v>
      </c>
      <c r="N24133" s="1">
        <v>44562</v>
      </c>
    </row>
    <row r="24134" spans="11:14" x14ac:dyDescent="0.3">
      <c r="M24134" t="e">
        <v>#N/A</v>
      </c>
      <c r="N24134" s="1">
        <v>44562</v>
      </c>
    </row>
    <row r="24135" spans="11:14" x14ac:dyDescent="0.3">
      <c r="M24135" t="e">
        <v>#N/A</v>
      </c>
      <c r="N24135" s="1">
        <v>44562</v>
      </c>
    </row>
    <row r="24136" spans="11:14" x14ac:dyDescent="0.3">
      <c r="M24136" t="e">
        <v>#N/A</v>
      </c>
      <c r="N24136" s="1">
        <v>44562</v>
      </c>
    </row>
    <row r="24137" spans="11:14" x14ac:dyDescent="0.3">
      <c r="M24137" t="e">
        <v>#N/A</v>
      </c>
      <c r="N24137" s="1">
        <v>44562</v>
      </c>
    </row>
    <row r="24138" spans="11:14" x14ac:dyDescent="0.3">
      <c r="M24138" t="e">
        <v>#N/A</v>
      </c>
      <c r="N24138" s="1">
        <v>44562</v>
      </c>
    </row>
    <row r="24139" spans="11:14" x14ac:dyDescent="0.3">
      <c r="M24139" t="e">
        <v>#N/A</v>
      </c>
      <c r="N24139" s="1">
        <v>44562</v>
      </c>
    </row>
    <row r="24140" spans="11:14" x14ac:dyDescent="0.3">
      <c r="M24140" t="e">
        <v>#N/A</v>
      </c>
      <c r="N24140" s="1">
        <v>44562</v>
      </c>
    </row>
    <row r="24141" spans="11:14" x14ac:dyDescent="0.3">
      <c r="M24141" t="e">
        <v>#N/A</v>
      </c>
      <c r="N24141" s="1">
        <v>44562</v>
      </c>
    </row>
    <row r="24142" spans="11:14" x14ac:dyDescent="0.3">
      <c r="M24142" t="e">
        <v>#N/A</v>
      </c>
      <c r="N24142" s="1">
        <v>44562</v>
      </c>
    </row>
    <row r="24143" spans="11:14" x14ac:dyDescent="0.3">
      <c r="M24143" t="e">
        <v>#N/A</v>
      </c>
      <c r="N24143" s="1">
        <v>44562</v>
      </c>
    </row>
    <row r="24144" spans="11:14" x14ac:dyDescent="0.3">
      <c r="M24144" t="e">
        <v>#N/A</v>
      </c>
      <c r="N24144" s="1">
        <v>44562</v>
      </c>
    </row>
    <row r="24145" spans="13:14" x14ac:dyDescent="0.3">
      <c r="M24145" t="e">
        <v>#N/A</v>
      </c>
      <c r="N24145" s="1">
        <v>44562</v>
      </c>
    </row>
    <row r="24146" spans="13:14" x14ac:dyDescent="0.3">
      <c r="M24146" t="e">
        <v>#N/A</v>
      </c>
      <c r="N24146" s="1">
        <v>44562</v>
      </c>
    </row>
    <row r="24147" spans="13:14" x14ac:dyDescent="0.3">
      <c r="M24147" t="e">
        <v>#N/A</v>
      </c>
      <c r="N24147" s="1">
        <v>44562</v>
      </c>
    </row>
    <row r="24148" spans="13:14" x14ac:dyDescent="0.3">
      <c r="M24148" t="e">
        <v>#N/A</v>
      </c>
      <c r="N24148" s="1">
        <v>44562</v>
      </c>
    </row>
    <row r="24149" spans="13:14" x14ac:dyDescent="0.3">
      <c r="M24149" t="e">
        <v>#N/A</v>
      </c>
      <c r="N24149" s="1">
        <v>44562</v>
      </c>
    </row>
    <row r="24150" spans="13:14" x14ac:dyDescent="0.3">
      <c r="M24150" t="e">
        <v>#N/A</v>
      </c>
      <c r="N24150" s="1">
        <v>44562</v>
      </c>
    </row>
    <row r="24151" spans="13:14" x14ac:dyDescent="0.3">
      <c r="M24151" t="e">
        <v>#N/A</v>
      </c>
      <c r="N24151" s="1">
        <v>44562</v>
      </c>
    </row>
    <row r="24152" spans="13:14" x14ac:dyDescent="0.3">
      <c r="M24152" t="e">
        <v>#N/A</v>
      </c>
      <c r="N24152" s="1">
        <v>44562</v>
      </c>
    </row>
    <row r="24153" spans="13:14" x14ac:dyDescent="0.3">
      <c r="M24153" t="e">
        <v>#N/A</v>
      </c>
      <c r="N24153" s="1">
        <v>44562</v>
      </c>
    </row>
    <row r="24154" spans="13:14" x14ac:dyDescent="0.3">
      <c r="M24154" t="e">
        <v>#N/A</v>
      </c>
      <c r="N24154" s="1">
        <v>44562</v>
      </c>
    </row>
    <row r="24155" spans="13:14" x14ac:dyDescent="0.3">
      <c r="M24155" t="e">
        <v>#N/A</v>
      </c>
      <c r="N24155" s="1">
        <v>44562</v>
      </c>
    </row>
    <row r="24156" spans="13:14" x14ac:dyDescent="0.3">
      <c r="M24156" t="e">
        <v>#N/A</v>
      </c>
      <c r="N24156" s="1">
        <v>44562</v>
      </c>
    </row>
    <row r="24157" spans="13:14" x14ac:dyDescent="0.3">
      <c r="M24157" t="e">
        <v>#N/A</v>
      </c>
      <c r="N24157" s="1">
        <v>44562</v>
      </c>
    </row>
    <row r="24158" spans="13:14" x14ac:dyDescent="0.3">
      <c r="M24158" t="e">
        <v>#N/A</v>
      </c>
      <c r="N24158" s="1">
        <v>44562</v>
      </c>
    </row>
    <row r="24159" spans="13:14" x14ac:dyDescent="0.3">
      <c r="M24159" t="e">
        <v>#N/A</v>
      </c>
      <c r="N24159" s="1">
        <v>44652</v>
      </c>
    </row>
    <row r="24160" spans="13:14" x14ac:dyDescent="0.3">
      <c r="M24160" t="e">
        <v>#N/A</v>
      </c>
      <c r="N24160" s="1">
        <v>44652</v>
      </c>
    </row>
    <row r="24161" spans="13:14" x14ac:dyDescent="0.3">
      <c r="M24161" t="e">
        <v>#N/A</v>
      </c>
      <c r="N24161" s="1">
        <v>44652</v>
      </c>
    </row>
    <row r="24162" spans="13:14" x14ac:dyDescent="0.3">
      <c r="M24162" t="e">
        <v>#N/A</v>
      </c>
      <c r="N24162" s="1">
        <v>44652</v>
      </c>
    </row>
    <row r="24163" spans="13:14" x14ac:dyDescent="0.3">
      <c r="M24163" t="e">
        <v>#N/A</v>
      </c>
      <c r="N24163" s="1">
        <v>44652</v>
      </c>
    </row>
    <row r="24164" spans="13:14" x14ac:dyDescent="0.3">
      <c r="M24164" t="e">
        <v>#N/A</v>
      </c>
      <c r="N24164" s="1">
        <v>44652</v>
      </c>
    </row>
    <row r="24165" spans="13:14" x14ac:dyDescent="0.3">
      <c r="M24165" t="e">
        <v>#N/A</v>
      </c>
      <c r="N24165" s="1">
        <v>44652</v>
      </c>
    </row>
    <row r="24166" spans="13:14" x14ac:dyDescent="0.3">
      <c r="M24166" t="e">
        <v>#N/A</v>
      </c>
      <c r="N24166" s="1">
        <v>44652</v>
      </c>
    </row>
    <row r="24167" spans="13:14" x14ac:dyDescent="0.3">
      <c r="M24167" t="e">
        <v>#N/A</v>
      </c>
      <c r="N24167" s="1">
        <v>44652</v>
      </c>
    </row>
    <row r="24168" spans="13:14" x14ac:dyDescent="0.3">
      <c r="M24168" t="e">
        <v>#N/A</v>
      </c>
      <c r="N24168" s="1">
        <v>44652</v>
      </c>
    </row>
    <row r="24169" spans="13:14" x14ac:dyDescent="0.3">
      <c r="M24169" t="e">
        <v>#N/A</v>
      </c>
      <c r="N24169" s="1">
        <v>44652</v>
      </c>
    </row>
    <row r="24170" spans="13:14" x14ac:dyDescent="0.3">
      <c r="M24170" t="e">
        <v>#N/A</v>
      </c>
      <c r="N24170" s="1">
        <v>44652</v>
      </c>
    </row>
    <row r="24171" spans="13:14" x14ac:dyDescent="0.3">
      <c r="M24171" t="e">
        <v>#N/A</v>
      </c>
      <c r="N24171" s="1">
        <v>44652</v>
      </c>
    </row>
    <row r="24172" spans="13:14" x14ac:dyDescent="0.3">
      <c r="M24172" t="e">
        <v>#N/A</v>
      </c>
      <c r="N24172" s="1">
        <v>44652</v>
      </c>
    </row>
    <row r="24173" spans="13:14" x14ac:dyDescent="0.3">
      <c r="M24173" t="e">
        <v>#N/A</v>
      </c>
      <c r="N24173" s="1">
        <v>44652</v>
      </c>
    </row>
    <row r="24174" spans="13:14" x14ac:dyDescent="0.3">
      <c r="M24174" t="e">
        <v>#N/A</v>
      </c>
      <c r="N24174" s="1">
        <v>44652</v>
      </c>
    </row>
    <row r="24175" spans="13:14" x14ac:dyDescent="0.3">
      <c r="M24175" t="e">
        <v>#N/A</v>
      </c>
      <c r="N24175" s="1">
        <v>44652</v>
      </c>
    </row>
    <row r="24176" spans="13:14" x14ac:dyDescent="0.3">
      <c r="M24176" t="e">
        <v>#N/A</v>
      </c>
      <c r="N24176" s="1">
        <v>44652</v>
      </c>
    </row>
    <row r="24177" spans="13:14" x14ac:dyDescent="0.3">
      <c r="M24177" t="e">
        <v>#N/A</v>
      </c>
      <c r="N24177" s="1">
        <v>44652</v>
      </c>
    </row>
    <row r="24178" spans="13:14" x14ac:dyDescent="0.3">
      <c r="M24178" t="e">
        <v>#N/A</v>
      </c>
      <c r="N24178" s="1">
        <v>44652</v>
      </c>
    </row>
    <row r="24179" spans="13:14" x14ac:dyDescent="0.3">
      <c r="M24179" t="e">
        <v>#N/A</v>
      </c>
      <c r="N24179" s="1">
        <v>44652</v>
      </c>
    </row>
    <row r="24180" spans="13:14" x14ac:dyDescent="0.3">
      <c r="M24180" t="e">
        <v>#N/A</v>
      </c>
      <c r="N24180" s="1">
        <v>44652</v>
      </c>
    </row>
    <row r="24181" spans="13:14" x14ac:dyDescent="0.3">
      <c r="M24181" t="e">
        <v>#N/A</v>
      </c>
      <c r="N24181" s="1">
        <v>44652</v>
      </c>
    </row>
    <row r="24182" spans="13:14" x14ac:dyDescent="0.3">
      <c r="M24182" t="e">
        <v>#N/A</v>
      </c>
      <c r="N24182" s="1">
        <v>44652</v>
      </c>
    </row>
    <row r="24183" spans="13:14" x14ac:dyDescent="0.3">
      <c r="M24183" t="e">
        <v>#N/A</v>
      </c>
      <c r="N24183" s="1">
        <v>44652</v>
      </c>
    </row>
    <row r="24184" spans="13:14" x14ac:dyDescent="0.3">
      <c r="M24184" t="e">
        <v>#N/A</v>
      </c>
      <c r="N24184" s="1">
        <v>44652</v>
      </c>
    </row>
    <row r="24185" spans="13:14" x14ac:dyDescent="0.3">
      <c r="M24185" t="e">
        <v>#N/A</v>
      </c>
      <c r="N24185" s="1">
        <v>44652</v>
      </c>
    </row>
    <row r="24186" spans="13:14" x14ac:dyDescent="0.3">
      <c r="M24186" t="e">
        <v>#N/A</v>
      </c>
      <c r="N24186" s="1">
        <v>44652</v>
      </c>
    </row>
    <row r="24187" spans="13:14" x14ac:dyDescent="0.3">
      <c r="M24187" t="e">
        <v>#N/A</v>
      </c>
      <c r="N24187" s="1">
        <v>44652</v>
      </c>
    </row>
    <row r="24188" spans="13:14" x14ac:dyDescent="0.3">
      <c r="M24188" t="e">
        <v>#N/A</v>
      </c>
      <c r="N24188" s="1">
        <v>44652</v>
      </c>
    </row>
    <row r="24189" spans="13:14" x14ac:dyDescent="0.3">
      <c r="M24189" t="e">
        <v>#N/A</v>
      </c>
      <c r="N24189" s="1">
        <v>44652</v>
      </c>
    </row>
    <row r="24190" spans="13:14" x14ac:dyDescent="0.3">
      <c r="M24190" t="e">
        <v>#N/A</v>
      </c>
      <c r="N24190" s="1">
        <v>44652</v>
      </c>
    </row>
    <row r="24191" spans="13:14" x14ac:dyDescent="0.3">
      <c r="M24191" t="e">
        <v>#N/A</v>
      </c>
      <c r="N24191" s="1">
        <v>44652</v>
      </c>
    </row>
    <row r="24192" spans="13:14" x14ac:dyDescent="0.3">
      <c r="M24192" t="e">
        <v>#N/A</v>
      </c>
      <c r="N24192" s="1">
        <v>44652</v>
      </c>
    </row>
    <row r="24193" spans="13:14" x14ac:dyDescent="0.3">
      <c r="M24193" t="e">
        <v>#N/A</v>
      </c>
      <c r="N24193" s="1">
        <v>44652</v>
      </c>
    </row>
    <row r="24194" spans="13:14" x14ac:dyDescent="0.3">
      <c r="M24194" t="e">
        <v>#N/A</v>
      </c>
      <c r="N24194" s="1">
        <v>44652</v>
      </c>
    </row>
    <row r="24195" spans="13:14" x14ac:dyDescent="0.3">
      <c r="M24195" t="e">
        <v>#N/A</v>
      </c>
      <c r="N24195" s="1">
        <v>44652</v>
      </c>
    </row>
    <row r="24196" spans="13:14" x14ac:dyDescent="0.3">
      <c r="M24196" t="e">
        <v>#N/A</v>
      </c>
      <c r="N24196" s="1">
        <v>44652</v>
      </c>
    </row>
    <row r="24197" spans="13:14" x14ac:dyDescent="0.3">
      <c r="M24197" t="e">
        <v>#N/A</v>
      </c>
      <c r="N24197" s="1">
        <v>44652</v>
      </c>
    </row>
    <row r="24198" spans="13:14" x14ac:dyDescent="0.3">
      <c r="M24198" t="e">
        <v>#N/A</v>
      </c>
      <c r="N24198" s="1">
        <v>44652</v>
      </c>
    </row>
    <row r="24199" spans="13:14" x14ac:dyDescent="0.3">
      <c r="M24199" t="e">
        <v>#N/A</v>
      </c>
      <c r="N24199" s="1">
        <v>44652</v>
      </c>
    </row>
    <row r="24200" spans="13:14" x14ac:dyDescent="0.3">
      <c r="M24200" t="e">
        <v>#N/A</v>
      </c>
      <c r="N24200" s="1">
        <v>44652</v>
      </c>
    </row>
    <row r="24201" spans="13:14" x14ac:dyDescent="0.3">
      <c r="M24201" t="e">
        <v>#N/A</v>
      </c>
      <c r="N24201" s="1">
        <v>44652</v>
      </c>
    </row>
    <row r="24202" spans="13:14" x14ac:dyDescent="0.3">
      <c r="M24202" t="e">
        <v>#N/A</v>
      </c>
      <c r="N24202" s="1">
        <v>44652</v>
      </c>
    </row>
    <row r="24203" spans="13:14" x14ac:dyDescent="0.3">
      <c r="M24203" t="e">
        <v>#N/A</v>
      </c>
      <c r="N24203" s="1">
        <v>44652</v>
      </c>
    </row>
    <row r="24204" spans="13:14" x14ac:dyDescent="0.3">
      <c r="M24204" t="e">
        <v>#N/A</v>
      </c>
      <c r="N24204" s="1">
        <v>44652</v>
      </c>
    </row>
    <row r="24205" spans="13:14" x14ac:dyDescent="0.3">
      <c r="M24205" t="e">
        <v>#N/A</v>
      </c>
      <c r="N24205" s="1">
        <v>44652</v>
      </c>
    </row>
    <row r="24206" spans="13:14" x14ac:dyDescent="0.3">
      <c r="M24206" t="e">
        <v>#N/A</v>
      </c>
      <c r="N24206" s="1">
        <v>44652</v>
      </c>
    </row>
    <row r="24207" spans="13:14" x14ac:dyDescent="0.3">
      <c r="M24207" t="e">
        <v>#N/A</v>
      </c>
      <c r="N24207" s="1">
        <v>44652</v>
      </c>
    </row>
    <row r="24208" spans="13:14" x14ac:dyDescent="0.3">
      <c r="M24208" t="e">
        <v>#N/A</v>
      </c>
      <c r="N24208" s="1">
        <v>44652</v>
      </c>
    </row>
    <row r="24209" spans="13:14" x14ac:dyDescent="0.3">
      <c r="M24209" t="e">
        <v>#N/A</v>
      </c>
      <c r="N24209" s="1">
        <v>44652</v>
      </c>
    </row>
    <row r="24210" spans="13:14" x14ac:dyDescent="0.3">
      <c r="M24210" t="e">
        <v>#N/A</v>
      </c>
      <c r="N24210" s="1">
        <v>44652</v>
      </c>
    </row>
    <row r="24211" spans="13:14" x14ac:dyDescent="0.3">
      <c r="M24211" t="e">
        <v>#N/A</v>
      </c>
      <c r="N24211" s="1">
        <v>44652</v>
      </c>
    </row>
    <row r="24212" spans="13:14" x14ac:dyDescent="0.3">
      <c r="M24212" t="e">
        <v>#N/A</v>
      </c>
      <c r="N24212" s="1">
        <v>44652</v>
      </c>
    </row>
    <row r="24213" spans="13:14" x14ac:dyDescent="0.3">
      <c r="M24213" t="e">
        <v>#N/A</v>
      </c>
      <c r="N24213" s="1">
        <v>44652</v>
      </c>
    </row>
    <row r="24214" spans="13:14" x14ac:dyDescent="0.3">
      <c r="M24214" t="e">
        <v>#N/A</v>
      </c>
      <c r="N24214" s="1">
        <v>44652</v>
      </c>
    </row>
    <row r="24215" spans="13:14" x14ac:dyDescent="0.3">
      <c r="M24215" t="e">
        <v>#N/A</v>
      </c>
      <c r="N24215" s="1">
        <v>44652</v>
      </c>
    </row>
    <row r="24216" spans="13:14" x14ac:dyDescent="0.3">
      <c r="M24216" t="e">
        <v>#N/A</v>
      </c>
      <c r="N24216" s="1">
        <v>44652</v>
      </c>
    </row>
    <row r="24217" spans="13:14" x14ac:dyDescent="0.3">
      <c r="M24217" t="e">
        <v>#N/A</v>
      </c>
      <c r="N24217" s="1">
        <v>44652</v>
      </c>
    </row>
    <row r="24218" spans="13:14" x14ac:dyDescent="0.3">
      <c r="M24218" t="e">
        <v>#N/A</v>
      </c>
      <c r="N24218" s="1">
        <v>44652</v>
      </c>
    </row>
    <row r="24219" spans="13:14" x14ac:dyDescent="0.3">
      <c r="M24219" t="e">
        <v>#N/A</v>
      </c>
      <c r="N24219" s="1">
        <v>44652</v>
      </c>
    </row>
    <row r="24220" spans="13:14" x14ac:dyDescent="0.3">
      <c r="M24220" t="e">
        <v>#N/A</v>
      </c>
      <c r="N24220" s="1">
        <v>44652</v>
      </c>
    </row>
    <row r="24221" spans="13:14" x14ac:dyDescent="0.3">
      <c r="M24221" t="e">
        <v>#N/A</v>
      </c>
      <c r="N24221" s="1">
        <v>44652</v>
      </c>
    </row>
    <row r="24222" spans="13:14" x14ac:dyDescent="0.3">
      <c r="M24222" t="e">
        <v>#N/A</v>
      </c>
      <c r="N24222" s="1">
        <v>44652</v>
      </c>
    </row>
    <row r="24223" spans="13:14" x14ac:dyDescent="0.3">
      <c r="M24223" t="e">
        <v>#N/A</v>
      </c>
      <c r="N24223" s="1">
        <v>44652</v>
      </c>
    </row>
    <row r="24224" spans="13:14" x14ac:dyDescent="0.3">
      <c r="M24224" t="e">
        <v>#N/A</v>
      </c>
      <c r="N24224" s="1">
        <v>44652</v>
      </c>
    </row>
    <row r="24225" spans="13:14" x14ac:dyDescent="0.3">
      <c r="M24225" t="e">
        <v>#N/A</v>
      </c>
      <c r="N24225" s="1">
        <v>44652</v>
      </c>
    </row>
    <row r="24226" spans="13:14" x14ac:dyDescent="0.3">
      <c r="M24226" t="e">
        <v>#N/A</v>
      </c>
      <c r="N24226" s="1">
        <v>44652</v>
      </c>
    </row>
    <row r="24227" spans="13:14" x14ac:dyDescent="0.3">
      <c r="M24227" t="e">
        <v>#N/A</v>
      </c>
      <c r="N24227" s="1">
        <v>44652</v>
      </c>
    </row>
    <row r="24228" spans="13:14" x14ac:dyDescent="0.3">
      <c r="M24228" t="e">
        <v>#N/A</v>
      </c>
      <c r="N24228" s="1">
        <v>44652</v>
      </c>
    </row>
    <row r="24229" spans="13:14" x14ac:dyDescent="0.3">
      <c r="M24229" t="e">
        <v>#N/A</v>
      </c>
      <c r="N24229" s="1">
        <v>44652</v>
      </c>
    </row>
    <row r="24230" spans="13:14" x14ac:dyDescent="0.3">
      <c r="M24230" t="e">
        <v>#N/A</v>
      </c>
      <c r="N24230" s="1">
        <v>44652</v>
      </c>
    </row>
    <row r="24231" spans="13:14" x14ac:dyDescent="0.3">
      <c r="M24231" t="e">
        <v>#N/A</v>
      </c>
      <c r="N24231" s="1">
        <v>44652</v>
      </c>
    </row>
    <row r="24232" spans="13:14" x14ac:dyDescent="0.3">
      <c r="M24232" t="e">
        <v>#N/A</v>
      </c>
      <c r="N24232" s="1">
        <v>44652</v>
      </c>
    </row>
    <row r="24233" spans="13:14" x14ac:dyDescent="0.3">
      <c r="M24233" t="e">
        <v>#N/A</v>
      </c>
      <c r="N24233" s="1">
        <v>44652</v>
      </c>
    </row>
    <row r="24234" spans="13:14" x14ac:dyDescent="0.3">
      <c r="M24234" t="e">
        <v>#N/A</v>
      </c>
      <c r="N24234" s="1">
        <v>44652</v>
      </c>
    </row>
    <row r="24235" spans="13:14" x14ac:dyDescent="0.3">
      <c r="M24235" t="e">
        <v>#N/A</v>
      </c>
      <c r="N24235" s="1">
        <v>44652</v>
      </c>
    </row>
    <row r="24236" spans="13:14" x14ac:dyDescent="0.3">
      <c r="M24236" t="e">
        <v>#N/A</v>
      </c>
      <c r="N24236" s="1">
        <v>44652</v>
      </c>
    </row>
    <row r="24237" spans="13:14" x14ac:dyDescent="0.3">
      <c r="M24237" t="e">
        <v>#N/A</v>
      </c>
      <c r="N24237" s="1">
        <v>44652</v>
      </c>
    </row>
    <row r="24238" spans="13:14" x14ac:dyDescent="0.3">
      <c r="M24238" t="e">
        <v>#N/A</v>
      </c>
      <c r="N24238" s="1">
        <v>44652</v>
      </c>
    </row>
    <row r="24239" spans="13:14" x14ac:dyDescent="0.3">
      <c r="M24239" t="e">
        <v>#N/A</v>
      </c>
      <c r="N24239" s="1">
        <v>44652</v>
      </c>
    </row>
    <row r="24240" spans="13:14" x14ac:dyDescent="0.3">
      <c r="M24240" t="e">
        <v>#N/A</v>
      </c>
      <c r="N24240" s="1">
        <v>44652</v>
      </c>
    </row>
    <row r="24241" spans="13:14" x14ac:dyDescent="0.3">
      <c r="M24241" t="e">
        <v>#N/A</v>
      </c>
      <c r="N24241" s="1">
        <v>44652</v>
      </c>
    </row>
    <row r="24242" spans="13:14" x14ac:dyDescent="0.3">
      <c r="M24242" t="e">
        <v>#N/A</v>
      </c>
      <c r="N24242" s="1">
        <v>44652</v>
      </c>
    </row>
    <row r="24243" spans="13:14" x14ac:dyDescent="0.3">
      <c r="M24243" t="e">
        <v>#N/A</v>
      </c>
      <c r="N24243" s="1">
        <v>44652</v>
      </c>
    </row>
    <row r="24244" spans="13:14" x14ac:dyDescent="0.3">
      <c r="M24244" t="e">
        <v>#N/A</v>
      </c>
      <c r="N24244" s="1">
        <v>44652</v>
      </c>
    </row>
    <row r="24245" spans="13:14" x14ac:dyDescent="0.3">
      <c r="M24245" t="e">
        <v>#N/A</v>
      </c>
      <c r="N24245" s="1">
        <v>44652</v>
      </c>
    </row>
    <row r="24246" spans="13:14" x14ac:dyDescent="0.3">
      <c r="M24246" t="e">
        <v>#N/A</v>
      </c>
      <c r="N24246" s="1">
        <v>44652</v>
      </c>
    </row>
    <row r="24247" spans="13:14" x14ac:dyDescent="0.3">
      <c r="M24247" t="e">
        <v>#N/A</v>
      </c>
      <c r="N24247" s="1">
        <v>44652</v>
      </c>
    </row>
    <row r="24248" spans="13:14" x14ac:dyDescent="0.3">
      <c r="M24248" t="e">
        <v>#N/A</v>
      </c>
      <c r="N24248" s="1">
        <v>44652</v>
      </c>
    </row>
    <row r="24249" spans="13:14" x14ac:dyDescent="0.3">
      <c r="M24249" t="e">
        <v>#N/A</v>
      </c>
      <c r="N24249" s="1">
        <v>44652</v>
      </c>
    </row>
    <row r="24250" spans="13:14" x14ac:dyDescent="0.3">
      <c r="M24250" t="e">
        <v>#N/A</v>
      </c>
      <c r="N24250" s="1">
        <v>44652</v>
      </c>
    </row>
    <row r="24251" spans="13:14" x14ac:dyDescent="0.3">
      <c r="M24251" t="e">
        <v>#N/A</v>
      </c>
      <c r="N24251" s="1">
        <v>44652</v>
      </c>
    </row>
    <row r="24252" spans="13:14" x14ac:dyDescent="0.3">
      <c r="M24252" t="e">
        <v>#N/A</v>
      </c>
      <c r="N24252" s="1">
        <v>44652</v>
      </c>
    </row>
    <row r="24253" spans="13:14" x14ac:dyDescent="0.3">
      <c r="M24253" t="e">
        <v>#N/A</v>
      </c>
      <c r="N24253" s="1">
        <v>44652</v>
      </c>
    </row>
    <row r="24254" spans="13:14" x14ac:dyDescent="0.3">
      <c r="M24254" t="e">
        <v>#N/A</v>
      </c>
      <c r="N24254" s="1">
        <v>44652</v>
      </c>
    </row>
    <row r="24255" spans="13:14" x14ac:dyDescent="0.3">
      <c r="M24255" t="e">
        <v>#N/A</v>
      </c>
      <c r="N24255" s="1">
        <v>44652</v>
      </c>
    </row>
    <row r="24256" spans="13:14" x14ac:dyDescent="0.3">
      <c r="M24256" t="e">
        <v>#N/A</v>
      </c>
      <c r="N24256" s="1">
        <v>44652</v>
      </c>
    </row>
    <row r="24257" spans="13:14" x14ac:dyDescent="0.3">
      <c r="M24257" t="e">
        <v>#N/A</v>
      </c>
      <c r="N24257" s="1">
        <v>44652</v>
      </c>
    </row>
    <row r="24258" spans="13:14" x14ac:dyDescent="0.3">
      <c r="M24258" t="e">
        <v>#N/A</v>
      </c>
      <c r="N24258" s="1">
        <v>44652</v>
      </c>
    </row>
    <row r="24259" spans="13:14" x14ac:dyDescent="0.3">
      <c r="M24259" t="e">
        <v>#N/A</v>
      </c>
      <c r="N24259" s="1">
        <v>44652</v>
      </c>
    </row>
    <row r="24260" spans="13:14" x14ac:dyDescent="0.3">
      <c r="M24260" t="e">
        <v>#N/A</v>
      </c>
      <c r="N24260" s="1">
        <v>44652</v>
      </c>
    </row>
    <row r="24261" spans="13:14" x14ac:dyDescent="0.3">
      <c r="M24261" t="e">
        <v>#N/A</v>
      </c>
      <c r="N24261" s="1">
        <v>44652</v>
      </c>
    </row>
    <row r="24262" spans="13:14" x14ac:dyDescent="0.3">
      <c r="M24262" t="e">
        <v>#N/A</v>
      </c>
      <c r="N24262" s="1">
        <v>44652</v>
      </c>
    </row>
    <row r="24263" spans="13:14" x14ac:dyDescent="0.3">
      <c r="M24263" t="e">
        <v>#N/A</v>
      </c>
      <c r="N24263" s="1">
        <v>44652</v>
      </c>
    </row>
    <row r="24264" spans="13:14" x14ac:dyDescent="0.3">
      <c r="M24264" t="e">
        <v>#N/A</v>
      </c>
      <c r="N24264" s="1">
        <v>44652</v>
      </c>
    </row>
    <row r="24265" spans="13:14" x14ac:dyDescent="0.3">
      <c r="M24265" t="e">
        <v>#N/A</v>
      </c>
      <c r="N24265" s="1">
        <v>44652</v>
      </c>
    </row>
    <row r="24266" spans="13:14" x14ac:dyDescent="0.3">
      <c r="M24266" t="e">
        <v>#N/A</v>
      </c>
      <c r="N24266" s="1">
        <v>44652</v>
      </c>
    </row>
    <row r="24267" spans="13:14" x14ac:dyDescent="0.3">
      <c r="M24267" t="e">
        <v>#N/A</v>
      </c>
      <c r="N24267" s="1">
        <v>44652</v>
      </c>
    </row>
    <row r="24268" spans="13:14" x14ac:dyDescent="0.3">
      <c r="M24268" t="e">
        <v>#N/A</v>
      </c>
      <c r="N24268" s="1">
        <v>44652</v>
      </c>
    </row>
    <row r="24269" spans="13:14" x14ac:dyDescent="0.3">
      <c r="M24269" t="e">
        <v>#N/A</v>
      </c>
      <c r="N24269" s="1">
        <v>44652</v>
      </c>
    </row>
    <row r="24270" spans="13:14" x14ac:dyDescent="0.3">
      <c r="M24270" t="e">
        <v>#N/A</v>
      </c>
      <c r="N24270" s="1">
        <v>44652</v>
      </c>
    </row>
    <row r="24271" spans="13:14" x14ac:dyDescent="0.3">
      <c r="M24271" t="e">
        <v>#N/A</v>
      </c>
      <c r="N24271" s="1">
        <v>44652</v>
      </c>
    </row>
    <row r="24272" spans="13:14" x14ac:dyDescent="0.3">
      <c r="M24272" t="e">
        <v>#N/A</v>
      </c>
      <c r="N24272" s="1">
        <v>44652</v>
      </c>
    </row>
    <row r="24273" spans="13:14" x14ac:dyDescent="0.3">
      <c r="M24273" t="e">
        <v>#N/A</v>
      </c>
      <c r="N24273" s="1">
        <v>44652</v>
      </c>
    </row>
    <row r="24274" spans="13:14" x14ac:dyDescent="0.3">
      <c r="M24274" t="e">
        <v>#N/A</v>
      </c>
      <c r="N24274" s="1">
        <v>44652</v>
      </c>
    </row>
    <row r="24275" spans="13:14" x14ac:dyDescent="0.3">
      <c r="M24275" t="e">
        <v>#N/A</v>
      </c>
      <c r="N24275" s="1">
        <v>44652</v>
      </c>
    </row>
    <row r="24276" spans="13:14" x14ac:dyDescent="0.3">
      <c r="M24276" t="e">
        <v>#N/A</v>
      </c>
      <c r="N24276" s="1">
        <v>44652</v>
      </c>
    </row>
    <row r="24277" spans="13:14" x14ac:dyDescent="0.3">
      <c r="M24277" t="e">
        <v>#N/A</v>
      </c>
      <c r="N24277" s="1">
        <v>44652</v>
      </c>
    </row>
    <row r="24278" spans="13:14" x14ac:dyDescent="0.3">
      <c r="M24278" t="e">
        <v>#N/A</v>
      </c>
      <c r="N24278" s="1">
        <v>44652</v>
      </c>
    </row>
    <row r="24279" spans="13:14" x14ac:dyDescent="0.3">
      <c r="M24279" t="e">
        <v>#N/A</v>
      </c>
      <c r="N24279" s="1">
        <v>44652</v>
      </c>
    </row>
    <row r="24280" spans="13:14" x14ac:dyDescent="0.3">
      <c r="M24280" t="e">
        <v>#N/A</v>
      </c>
      <c r="N24280" s="1">
        <v>44652</v>
      </c>
    </row>
    <row r="24281" spans="13:14" x14ac:dyDescent="0.3">
      <c r="M24281" t="e">
        <v>#N/A</v>
      </c>
      <c r="N24281" s="1">
        <v>44652</v>
      </c>
    </row>
    <row r="24282" spans="13:14" x14ac:dyDescent="0.3">
      <c r="M24282" t="e">
        <v>#N/A</v>
      </c>
      <c r="N24282" s="1">
        <v>44652</v>
      </c>
    </row>
    <row r="24283" spans="13:14" x14ac:dyDescent="0.3">
      <c r="M24283" t="e">
        <v>#N/A</v>
      </c>
      <c r="N24283" s="1">
        <v>44652</v>
      </c>
    </row>
    <row r="24284" spans="13:14" x14ac:dyDescent="0.3">
      <c r="M24284" t="e">
        <v>#N/A</v>
      </c>
      <c r="N24284" s="1">
        <v>44652</v>
      </c>
    </row>
    <row r="24285" spans="13:14" x14ac:dyDescent="0.3">
      <c r="M24285" t="e">
        <v>#N/A</v>
      </c>
      <c r="N24285" s="1">
        <v>44652</v>
      </c>
    </row>
    <row r="24286" spans="13:14" x14ac:dyDescent="0.3">
      <c r="M24286" t="e">
        <v>#N/A</v>
      </c>
      <c r="N24286" s="1">
        <v>44652</v>
      </c>
    </row>
    <row r="24287" spans="13:14" x14ac:dyDescent="0.3">
      <c r="M24287" t="e">
        <v>#N/A</v>
      </c>
      <c r="N24287" s="1">
        <v>44652</v>
      </c>
    </row>
    <row r="24288" spans="13:14" x14ac:dyDescent="0.3">
      <c r="M24288" t="e">
        <v>#N/A</v>
      </c>
      <c r="N24288" s="1">
        <v>44652</v>
      </c>
    </row>
    <row r="24289" spans="13:14" x14ac:dyDescent="0.3">
      <c r="M24289" t="e">
        <v>#N/A</v>
      </c>
      <c r="N24289" s="1">
        <v>44652</v>
      </c>
    </row>
    <row r="24290" spans="13:14" x14ac:dyDescent="0.3">
      <c r="M24290" t="e">
        <v>#N/A</v>
      </c>
      <c r="N24290" s="1">
        <v>44652</v>
      </c>
    </row>
    <row r="24291" spans="13:14" x14ac:dyDescent="0.3">
      <c r="M24291" t="e">
        <v>#N/A</v>
      </c>
      <c r="N24291" s="1">
        <v>44652</v>
      </c>
    </row>
    <row r="24292" spans="13:14" x14ac:dyDescent="0.3">
      <c r="M24292" t="e">
        <v>#N/A</v>
      </c>
      <c r="N24292" s="1">
        <v>44652</v>
      </c>
    </row>
    <row r="24293" spans="13:14" x14ac:dyDescent="0.3">
      <c r="M24293" t="e">
        <v>#N/A</v>
      </c>
      <c r="N24293" s="1">
        <v>44652</v>
      </c>
    </row>
    <row r="24294" spans="13:14" x14ac:dyDescent="0.3">
      <c r="M24294" t="e">
        <v>#N/A</v>
      </c>
      <c r="N24294" s="1">
        <v>44652</v>
      </c>
    </row>
    <row r="24295" spans="13:14" x14ac:dyDescent="0.3">
      <c r="M24295" t="e">
        <v>#N/A</v>
      </c>
      <c r="N24295" s="1">
        <v>44652</v>
      </c>
    </row>
    <row r="24296" spans="13:14" x14ac:dyDescent="0.3">
      <c r="M24296" t="e">
        <v>#N/A</v>
      </c>
      <c r="N24296" s="1">
        <v>44652</v>
      </c>
    </row>
    <row r="24297" spans="13:14" x14ac:dyDescent="0.3">
      <c r="M24297" t="e">
        <v>#N/A</v>
      </c>
      <c r="N24297" s="1">
        <v>44652</v>
      </c>
    </row>
    <row r="24298" spans="13:14" x14ac:dyDescent="0.3">
      <c r="M24298" t="e">
        <v>#N/A</v>
      </c>
      <c r="N24298" s="1">
        <v>44652</v>
      </c>
    </row>
    <row r="24299" spans="13:14" x14ac:dyDescent="0.3">
      <c r="M24299" t="e">
        <v>#N/A</v>
      </c>
      <c r="N24299" s="1">
        <v>44652</v>
      </c>
    </row>
    <row r="24300" spans="13:14" x14ac:dyDescent="0.3">
      <c r="M24300" t="e">
        <v>#N/A</v>
      </c>
      <c r="N24300" s="1">
        <v>44652</v>
      </c>
    </row>
    <row r="24301" spans="13:14" x14ac:dyDescent="0.3">
      <c r="M24301" t="e">
        <v>#N/A</v>
      </c>
      <c r="N24301" s="1">
        <v>44652</v>
      </c>
    </row>
    <row r="24302" spans="13:14" x14ac:dyDescent="0.3">
      <c r="M24302" t="e">
        <v>#N/A</v>
      </c>
      <c r="N24302" s="1">
        <v>44652</v>
      </c>
    </row>
    <row r="24303" spans="13:14" x14ac:dyDescent="0.3">
      <c r="M24303" t="e">
        <v>#N/A</v>
      </c>
      <c r="N24303" s="1">
        <v>44652</v>
      </c>
    </row>
    <row r="24304" spans="13:14" x14ac:dyDescent="0.3">
      <c r="M24304" t="e">
        <v>#N/A</v>
      </c>
      <c r="N24304" s="1">
        <v>44652</v>
      </c>
    </row>
    <row r="24305" spans="13:14" x14ac:dyDescent="0.3">
      <c r="M24305" t="e">
        <v>#N/A</v>
      </c>
      <c r="N24305" s="1">
        <v>44652</v>
      </c>
    </row>
    <row r="24306" spans="13:14" x14ac:dyDescent="0.3">
      <c r="M24306" t="e">
        <v>#N/A</v>
      </c>
      <c r="N24306" s="1">
        <v>44652</v>
      </c>
    </row>
    <row r="24307" spans="13:14" x14ac:dyDescent="0.3">
      <c r="M24307" t="e">
        <v>#N/A</v>
      </c>
      <c r="N24307" s="1">
        <v>44652</v>
      </c>
    </row>
    <row r="24308" spans="13:14" x14ac:dyDescent="0.3">
      <c r="M24308" t="e">
        <v>#N/A</v>
      </c>
      <c r="N24308" s="1">
        <v>44652</v>
      </c>
    </row>
    <row r="24309" spans="13:14" x14ac:dyDescent="0.3">
      <c r="M24309" t="e">
        <v>#N/A</v>
      </c>
      <c r="N24309" s="1">
        <v>44652</v>
      </c>
    </row>
    <row r="24310" spans="13:14" x14ac:dyDescent="0.3">
      <c r="M24310" t="e">
        <v>#N/A</v>
      </c>
      <c r="N24310" s="1">
        <v>44652</v>
      </c>
    </row>
    <row r="24311" spans="13:14" x14ac:dyDescent="0.3">
      <c r="M24311" t="e">
        <v>#N/A</v>
      </c>
      <c r="N24311" s="1">
        <v>44652</v>
      </c>
    </row>
    <row r="24312" spans="13:14" x14ac:dyDescent="0.3">
      <c r="M24312" t="e">
        <v>#N/A</v>
      </c>
      <c r="N24312" s="1">
        <v>44652</v>
      </c>
    </row>
    <row r="24313" spans="13:14" x14ac:dyDescent="0.3">
      <c r="M24313" t="e">
        <v>#N/A</v>
      </c>
      <c r="N24313" s="1">
        <v>44652</v>
      </c>
    </row>
    <row r="24314" spans="13:14" x14ac:dyDescent="0.3">
      <c r="M24314" t="e">
        <v>#N/A</v>
      </c>
      <c r="N24314" s="1">
        <v>44652</v>
      </c>
    </row>
    <row r="24315" spans="13:14" x14ac:dyDescent="0.3">
      <c r="M24315" t="e">
        <v>#N/A</v>
      </c>
      <c r="N24315" s="1">
        <v>44652</v>
      </c>
    </row>
    <row r="24316" spans="13:14" x14ac:dyDescent="0.3">
      <c r="M24316" t="e">
        <v>#N/A</v>
      </c>
      <c r="N24316" s="1">
        <v>44652</v>
      </c>
    </row>
    <row r="24317" spans="13:14" x14ac:dyDescent="0.3">
      <c r="M24317" t="e">
        <v>#N/A</v>
      </c>
      <c r="N24317" s="1">
        <v>44652</v>
      </c>
    </row>
    <row r="24318" spans="13:14" x14ac:dyDescent="0.3">
      <c r="M24318" t="e">
        <v>#N/A</v>
      </c>
      <c r="N24318" s="1">
        <v>44652</v>
      </c>
    </row>
    <row r="24319" spans="13:14" x14ac:dyDescent="0.3">
      <c r="M24319" t="e">
        <v>#N/A</v>
      </c>
      <c r="N24319" s="1">
        <v>44652</v>
      </c>
    </row>
    <row r="24320" spans="13:14" x14ac:dyDescent="0.3">
      <c r="M24320" t="e">
        <v>#N/A</v>
      </c>
      <c r="N24320" s="1">
        <v>44652</v>
      </c>
    </row>
    <row r="24321" spans="13:14" x14ac:dyDescent="0.3">
      <c r="M24321" t="e">
        <v>#N/A</v>
      </c>
      <c r="N24321" s="1">
        <v>44652</v>
      </c>
    </row>
    <row r="24322" spans="13:14" x14ac:dyDescent="0.3">
      <c r="M24322" t="e">
        <v>#N/A</v>
      </c>
      <c r="N24322" s="1">
        <v>44652</v>
      </c>
    </row>
    <row r="24323" spans="13:14" x14ac:dyDescent="0.3">
      <c r="M24323" t="e">
        <v>#N/A</v>
      </c>
      <c r="N24323" s="1">
        <v>44652</v>
      </c>
    </row>
    <row r="24324" spans="13:14" x14ac:dyDescent="0.3">
      <c r="M24324" t="e">
        <v>#N/A</v>
      </c>
      <c r="N24324" s="1">
        <v>44652</v>
      </c>
    </row>
    <row r="24325" spans="13:14" x14ac:dyDescent="0.3">
      <c r="M24325" t="e">
        <v>#N/A</v>
      </c>
      <c r="N24325" s="1">
        <v>44652</v>
      </c>
    </row>
    <row r="24326" spans="13:14" x14ac:dyDescent="0.3">
      <c r="M24326" t="e">
        <v>#N/A</v>
      </c>
      <c r="N24326" s="1">
        <v>44652</v>
      </c>
    </row>
    <row r="24327" spans="13:14" x14ac:dyDescent="0.3">
      <c r="M24327" t="e">
        <v>#N/A</v>
      </c>
      <c r="N24327" s="1">
        <v>44652</v>
      </c>
    </row>
    <row r="24328" spans="13:14" x14ac:dyDescent="0.3">
      <c r="M24328" t="e">
        <v>#N/A</v>
      </c>
      <c r="N24328" s="1">
        <v>44652</v>
      </c>
    </row>
    <row r="24329" spans="13:14" x14ac:dyDescent="0.3">
      <c r="M24329" t="e">
        <v>#N/A</v>
      </c>
      <c r="N24329" s="1">
        <v>44652</v>
      </c>
    </row>
    <row r="24330" spans="13:14" x14ac:dyDescent="0.3">
      <c r="M24330" t="e">
        <v>#N/A</v>
      </c>
      <c r="N24330" s="1">
        <v>44652</v>
      </c>
    </row>
    <row r="24331" spans="13:14" x14ac:dyDescent="0.3">
      <c r="M24331" t="e">
        <v>#N/A</v>
      </c>
      <c r="N24331" s="1">
        <v>44652</v>
      </c>
    </row>
    <row r="24332" spans="13:14" x14ac:dyDescent="0.3">
      <c r="M24332" t="e">
        <v>#N/A</v>
      </c>
      <c r="N24332" s="1">
        <v>44652</v>
      </c>
    </row>
    <row r="24333" spans="13:14" x14ac:dyDescent="0.3">
      <c r="M24333" t="e">
        <v>#N/A</v>
      </c>
      <c r="N24333" s="1">
        <v>44652</v>
      </c>
    </row>
    <row r="24334" spans="13:14" x14ac:dyDescent="0.3">
      <c r="M24334" t="e">
        <v>#N/A</v>
      </c>
      <c r="N24334" s="1">
        <v>44652</v>
      </c>
    </row>
    <row r="24335" spans="13:14" x14ac:dyDescent="0.3">
      <c r="M24335" t="e">
        <v>#N/A</v>
      </c>
      <c r="N24335" s="1">
        <v>44652</v>
      </c>
    </row>
    <row r="24336" spans="13:14" x14ac:dyDescent="0.3">
      <c r="M24336" t="e">
        <v>#N/A</v>
      </c>
      <c r="N24336" s="1">
        <v>44652</v>
      </c>
    </row>
    <row r="24337" spans="13:14" x14ac:dyDescent="0.3">
      <c r="M24337" t="e">
        <v>#N/A</v>
      </c>
      <c r="N24337" s="1">
        <v>44652</v>
      </c>
    </row>
    <row r="24338" spans="13:14" x14ac:dyDescent="0.3">
      <c r="M24338" t="e">
        <v>#N/A</v>
      </c>
      <c r="N24338" s="1">
        <v>44652</v>
      </c>
    </row>
    <row r="24339" spans="13:14" x14ac:dyDescent="0.3">
      <c r="M24339" t="e">
        <v>#N/A</v>
      </c>
      <c r="N24339" s="1">
        <v>44652</v>
      </c>
    </row>
    <row r="24340" spans="13:14" x14ac:dyDescent="0.3">
      <c r="M24340" t="e">
        <v>#N/A</v>
      </c>
      <c r="N24340" s="1">
        <v>44652</v>
      </c>
    </row>
    <row r="24341" spans="13:14" x14ac:dyDescent="0.3">
      <c r="M24341" t="e">
        <v>#N/A</v>
      </c>
      <c r="N24341" s="1">
        <v>44652</v>
      </c>
    </row>
    <row r="24342" spans="13:14" x14ac:dyDescent="0.3">
      <c r="M24342" t="e">
        <v>#N/A</v>
      </c>
      <c r="N24342" s="1">
        <v>44652</v>
      </c>
    </row>
    <row r="24343" spans="13:14" x14ac:dyDescent="0.3">
      <c r="M24343" t="e">
        <v>#N/A</v>
      </c>
      <c r="N24343" s="1">
        <v>44652</v>
      </c>
    </row>
    <row r="24344" spans="13:14" x14ac:dyDescent="0.3">
      <c r="M24344" t="e">
        <v>#N/A</v>
      </c>
      <c r="N24344" s="1">
        <v>44652</v>
      </c>
    </row>
    <row r="24345" spans="13:14" x14ac:dyDescent="0.3">
      <c r="M24345" t="e">
        <v>#N/A</v>
      </c>
      <c r="N24345" s="1">
        <v>44652</v>
      </c>
    </row>
    <row r="24346" spans="13:14" x14ac:dyDescent="0.3">
      <c r="M24346" t="e">
        <v>#N/A</v>
      </c>
      <c r="N24346" s="1">
        <v>44652</v>
      </c>
    </row>
    <row r="24347" spans="13:14" x14ac:dyDescent="0.3">
      <c r="M24347" t="e">
        <v>#N/A</v>
      </c>
      <c r="N24347" s="1">
        <v>44652</v>
      </c>
    </row>
    <row r="24348" spans="13:14" x14ac:dyDescent="0.3">
      <c r="M24348" t="e">
        <v>#N/A</v>
      </c>
      <c r="N24348" s="1">
        <v>44652</v>
      </c>
    </row>
    <row r="24349" spans="13:14" x14ac:dyDescent="0.3">
      <c r="M24349" t="e">
        <v>#N/A</v>
      </c>
      <c r="N24349" s="1">
        <v>44652</v>
      </c>
    </row>
    <row r="24350" spans="13:14" x14ac:dyDescent="0.3">
      <c r="M24350" t="e">
        <v>#N/A</v>
      </c>
      <c r="N24350" s="1">
        <v>44652</v>
      </c>
    </row>
    <row r="24351" spans="13:14" x14ac:dyDescent="0.3">
      <c r="M24351" t="e">
        <v>#N/A</v>
      </c>
      <c r="N24351" s="1">
        <v>44652</v>
      </c>
    </row>
    <row r="24352" spans="13:14" x14ac:dyDescent="0.3">
      <c r="M24352" t="e">
        <v>#N/A</v>
      </c>
      <c r="N24352" s="1">
        <v>44652</v>
      </c>
    </row>
    <row r="24353" spans="13:14" x14ac:dyDescent="0.3">
      <c r="M24353" t="e">
        <v>#N/A</v>
      </c>
      <c r="N24353" s="1">
        <v>44652</v>
      </c>
    </row>
    <row r="24354" spans="13:14" x14ac:dyDescent="0.3">
      <c r="M24354" t="e">
        <v>#N/A</v>
      </c>
      <c r="N24354" s="1">
        <v>44652</v>
      </c>
    </row>
    <row r="24355" spans="13:14" x14ac:dyDescent="0.3">
      <c r="M24355" t="e">
        <v>#N/A</v>
      </c>
      <c r="N24355" s="1">
        <v>44652</v>
      </c>
    </row>
    <row r="24356" spans="13:14" x14ac:dyDescent="0.3">
      <c r="M24356" t="e">
        <v>#N/A</v>
      </c>
      <c r="N24356" s="1">
        <v>44652</v>
      </c>
    </row>
    <row r="24357" spans="13:14" x14ac:dyDescent="0.3">
      <c r="M24357" t="e">
        <v>#N/A</v>
      </c>
      <c r="N24357" s="1">
        <v>44652</v>
      </c>
    </row>
    <row r="24358" spans="13:14" x14ac:dyDescent="0.3">
      <c r="M24358" t="e">
        <v>#N/A</v>
      </c>
      <c r="N24358" s="1">
        <v>44652</v>
      </c>
    </row>
    <row r="24359" spans="13:14" x14ac:dyDescent="0.3">
      <c r="M24359" t="e">
        <v>#N/A</v>
      </c>
      <c r="N24359" s="1">
        <v>44652</v>
      </c>
    </row>
    <row r="24360" spans="13:14" x14ac:dyDescent="0.3">
      <c r="M24360" t="e">
        <v>#N/A</v>
      </c>
      <c r="N24360" s="1">
        <v>44652</v>
      </c>
    </row>
    <row r="24361" spans="13:14" x14ac:dyDescent="0.3">
      <c r="M24361" t="e">
        <v>#N/A</v>
      </c>
      <c r="N24361" s="1">
        <v>44652</v>
      </c>
    </row>
    <row r="24362" spans="13:14" x14ac:dyDescent="0.3">
      <c r="M24362" t="e">
        <v>#N/A</v>
      </c>
      <c r="N24362" s="1">
        <v>44652</v>
      </c>
    </row>
    <row r="24363" spans="13:14" x14ac:dyDescent="0.3">
      <c r="M24363" t="e">
        <v>#N/A</v>
      </c>
      <c r="N24363" s="1">
        <v>44652</v>
      </c>
    </row>
    <row r="24364" spans="13:14" x14ac:dyDescent="0.3">
      <c r="M24364" t="e">
        <v>#N/A</v>
      </c>
      <c r="N24364" s="1">
        <v>44652</v>
      </c>
    </row>
    <row r="24365" spans="13:14" x14ac:dyDescent="0.3">
      <c r="M24365" t="e">
        <v>#N/A</v>
      </c>
      <c r="N24365" s="1">
        <v>44652</v>
      </c>
    </row>
    <row r="24366" spans="13:14" x14ac:dyDescent="0.3">
      <c r="M24366" t="e">
        <v>#N/A</v>
      </c>
      <c r="N24366" s="1">
        <v>44652</v>
      </c>
    </row>
    <row r="24367" spans="13:14" x14ac:dyDescent="0.3">
      <c r="M24367" t="e">
        <v>#N/A</v>
      </c>
      <c r="N24367" s="1">
        <v>44652</v>
      </c>
    </row>
    <row r="24368" spans="13:14" x14ac:dyDescent="0.3">
      <c r="M24368" t="e">
        <v>#N/A</v>
      </c>
      <c r="N24368" s="1">
        <v>44652</v>
      </c>
    </row>
    <row r="24369" spans="13:14" x14ac:dyDescent="0.3">
      <c r="M24369" t="e">
        <v>#N/A</v>
      </c>
      <c r="N24369" s="1">
        <v>44652</v>
      </c>
    </row>
    <row r="24370" spans="13:14" x14ac:dyDescent="0.3">
      <c r="M24370" t="e">
        <v>#N/A</v>
      </c>
      <c r="N24370" s="1">
        <v>44652</v>
      </c>
    </row>
    <row r="24371" spans="13:14" x14ac:dyDescent="0.3">
      <c r="M24371" t="e">
        <v>#N/A</v>
      </c>
      <c r="N24371" s="1">
        <v>44652</v>
      </c>
    </row>
    <row r="24372" spans="13:14" x14ac:dyDescent="0.3">
      <c r="M24372" t="e">
        <v>#N/A</v>
      </c>
      <c r="N24372" s="1">
        <v>44652</v>
      </c>
    </row>
    <row r="24373" spans="13:14" x14ac:dyDescent="0.3">
      <c r="M24373" t="e">
        <v>#N/A</v>
      </c>
      <c r="N24373" s="1">
        <v>44652</v>
      </c>
    </row>
    <row r="24374" spans="13:14" x14ac:dyDescent="0.3">
      <c r="M24374" t="e">
        <v>#N/A</v>
      </c>
      <c r="N24374" s="1">
        <v>44652</v>
      </c>
    </row>
    <row r="24375" spans="13:14" x14ac:dyDescent="0.3">
      <c r="M24375" t="e">
        <v>#N/A</v>
      </c>
      <c r="N24375" s="1">
        <v>44652</v>
      </c>
    </row>
    <row r="24376" spans="13:14" x14ac:dyDescent="0.3">
      <c r="M24376" t="e">
        <v>#N/A</v>
      </c>
      <c r="N24376" s="1">
        <v>44652</v>
      </c>
    </row>
    <row r="24377" spans="13:14" x14ac:dyDescent="0.3">
      <c r="M24377" t="e">
        <v>#N/A</v>
      </c>
      <c r="N24377" s="1">
        <v>44652</v>
      </c>
    </row>
    <row r="24378" spans="13:14" x14ac:dyDescent="0.3">
      <c r="M24378" t="e">
        <v>#N/A</v>
      </c>
      <c r="N24378" s="1">
        <v>44652</v>
      </c>
    </row>
    <row r="24379" spans="13:14" x14ac:dyDescent="0.3">
      <c r="M24379" t="e">
        <v>#N/A</v>
      </c>
      <c r="N24379" s="1">
        <v>44652</v>
      </c>
    </row>
    <row r="24380" spans="13:14" x14ac:dyDescent="0.3">
      <c r="M24380" t="e">
        <v>#N/A</v>
      </c>
      <c r="N24380" s="1">
        <v>44652</v>
      </c>
    </row>
    <row r="24381" spans="13:14" x14ac:dyDescent="0.3">
      <c r="M24381" t="e">
        <v>#N/A</v>
      </c>
      <c r="N24381" s="1">
        <v>44652</v>
      </c>
    </row>
    <row r="24382" spans="13:14" x14ac:dyDescent="0.3">
      <c r="M24382" t="e">
        <v>#N/A</v>
      </c>
      <c r="N24382" s="1">
        <v>44652</v>
      </c>
    </row>
    <row r="24383" spans="13:14" x14ac:dyDescent="0.3">
      <c r="M24383" t="e">
        <v>#N/A</v>
      </c>
      <c r="N24383" s="1">
        <v>44652</v>
      </c>
    </row>
    <row r="24384" spans="13:14" x14ac:dyDescent="0.3">
      <c r="M24384" t="e">
        <v>#N/A</v>
      </c>
      <c r="N24384" s="1">
        <v>44652</v>
      </c>
    </row>
    <row r="24385" spans="13:14" x14ac:dyDescent="0.3">
      <c r="M24385" t="e">
        <v>#N/A</v>
      </c>
      <c r="N24385" s="1">
        <v>44652</v>
      </c>
    </row>
    <row r="24386" spans="13:14" x14ac:dyDescent="0.3">
      <c r="M24386" t="e">
        <v>#N/A</v>
      </c>
      <c r="N24386" s="1">
        <v>44652</v>
      </c>
    </row>
    <row r="24387" spans="13:14" x14ac:dyDescent="0.3">
      <c r="M24387" t="e">
        <v>#N/A</v>
      </c>
      <c r="N24387" s="1">
        <v>44652</v>
      </c>
    </row>
    <row r="24388" spans="13:14" x14ac:dyDescent="0.3">
      <c r="M24388" t="e">
        <v>#N/A</v>
      </c>
      <c r="N24388" s="1">
        <v>44652</v>
      </c>
    </row>
    <row r="24389" spans="13:14" x14ac:dyDescent="0.3">
      <c r="M24389" t="e">
        <v>#N/A</v>
      </c>
      <c r="N24389" s="1">
        <v>44652</v>
      </c>
    </row>
    <row r="24390" spans="13:14" x14ac:dyDescent="0.3">
      <c r="M24390" t="e">
        <v>#N/A</v>
      </c>
      <c r="N24390" s="1">
        <v>44652</v>
      </c>
    </row>
    <row r="24391" spans="13:14" x14ac:dyDescent="0.3">
      <c r="M24391" t="e">
        <v>#N/A</v>
      </c>
      <c r="N24391" s="1">
        <v>44652</v>
      </c>
    </row>
    <row r="24392" spans="13:14" x14ac:dyDescent="0.3">
      <c r="M24392" t="e">
        <v>#N/A</v>
      </c>
      <c r="N24392" s="1">
        <v>44652</v>
      </c>
    </row>
    <row r="24393" spans="13:14" x14ac:dyDescent="0.3">
      <c r="M24393" t="e">
        <v>#N/A</v>
      </c>
      <c r="N24393" s="1">
        <v>44652</v>
      </c>
    </row>
    <row r="24394" spans="13:14" x14ac:dyDescent="0.3">
      <c r="M24394" t="e">
        <v>#N/A</v>
      </c>
      <c r="N24394" s="1">
        <v>44652</v>
      </c>
    </row>
    <row r="24395" spans="13:14" x14ac:dyDescent="0.3">
      <c r="M24395" t="e">
        <v>#N/A</v>
      </c>
      <c r="N24395" s="1">
        <v>44652</v>
      </c>
    </row>
    <row r="24396" spans="13:14" x14ac:dyDescent="0.3">
      <c r="M24396" t="e">
        <v>#N/A</v>
      </c>
      <c r="N24396" s="1">
        <v>44652</v>
      </c>
    </row>
    <row r="24397" spans="13:14" x14ac:dyDescent="0.3">
      <c r="M24397" t="e">
        <v>#N/A</v>
      </c>
      <c r="N24397" s="1">
        <v>44652</v>
      </c>
    </row>
    <row r="24398" spans="13:14" x14ac:dyDescent="0.3">
      <c r="M24398" t="e">
        <v>#N/A</v>
      </c>
      <c r="N24398" s="1">
        <v>44652</v>
      </c>
    </row>
    <row r="24399" spans="13:14" x14ac:dyDescent="0.3">
      <c r="M24399" t="e">
        <v>#N/A</v>
      </c>
      <c r="N24399" s="1">
        <v>44652</v>
      </c>
    </row>
    <row r="24400" spans="13:14" x14ac:dyDescent="0.3">
      <c r="M24400" t="e">
        <v>#N/A</v>
      </c>
      <c r="N24400" s="1">
        <v>44652</v>
      </c>
    </row>
    <row r="24401" spans="13:14" x14ac:dyDescent="0.3">
      <c r="M24401" t="e">
        <v>#N/A</v>
      </c>
      <c r="N24401" s="1">
        <v>44652</v>
      </c>
    </row>
    <row r="24402" spans="13:14" x14ac:dyDescent="0.3">
      <c r="M24402" t="e">
        <v>#N/A</v>
      </c>
      <c r="N24402" s="1">
        <v>44652</v>
      </c>
    </row>
    <row r="24403" spans="13:14" x14ac:dyDescent="0.3">
      <c r="M24403" t="e">
        <v>#N/A</v>
      </c>
      <c r="N24403" s="1">
        <v>44652</v>
      </c>
    </row>
    <row r="24404" spans="13:14" x14ac:dyDescent="0.3">
      <c r="M24404" t="e">
        <v>#N/A</v>
      </c>
      <c r="N24404" s="1">
        <v>44652</v>
      </c>
    </row>
    <row r="24405" spans="13:14" x14ac:dyDescent="0.3">
      <c r="M24405" t="e">
        <v>#N/A</v>
      </c>
      <c r="N24405" s="1">
        <v>44652</v>
      </c>
    </row>
    <row r="24406" spans="13:14" x14ac:dyDescent="0.3">
      <c r="M24406" t="e">
        <v>#N/A</v>
      </c>
      <c r="N24406" s="1">
        <v>44652</v>
      </c>
    </row>
    <row r="24407" spans="13:14" x14ac:dyDescent="0.3">
      <c r="M24407" t="e">
        <v>#N/A</v>
      </c>
      <c r="N24407" s="1">
        <v>44652</v>
      </c>
    </row>
    <row r="24408" spans="13:14" x14ac:dyDescent="0.3">
      <c r="M24408" t="e">
        <v>#N/A</v>
      </c>
      <c r="N24408" s="1">
        <v>44652</v>
      </c>
    </row>
    <row r="24409" spans="13:14" x14ac:dyDescent="0.3">
      <c r="M24409" t="e">
        <v>#N/A</v>
      </c>
      <c r="N24409" s="1">
        <v>44652</v>
      </c>
    </row>
    <row r="24410" spans="13:14" x14ac:dyDescent="0.3">
      <c r="M24410" t="e">
        <v>#N/A</v>
      </c>
      <c r="N24410" s="1">
        <v>44652</v>
      </c>
    </row>
    <row r="24411" spans="13:14" x14ac:dyDescent="0.3">
      <c r="M24411" t="e">
        <v>#N/A</v>
      </c>
      <c r="N24411" s="1">
        <v>44652</v>
      </c>
    </row>
    <row r="24412" spans="13:14" x14ac:dyDescent="0.3">
      <c r="M24412" t="e">
        <v>#N/A</v>
      </c>
      <c r="N24412" s="1">
        <v>44652</v>
      </c>
    </row>
    <row r="24413" spans="13:14" x14ac:dyDescent="0.3">
      <c r="M24413" t="e">
        <v>#N/A</v>
      </c>
      <c r="N24413" s="1">
        <v>44652</v>
      </c>
    </row>
    <row r="24414" spans="13:14" x14ac:dyDescent="0.3">
      <c r="M24414" t="e">
        <v>#N/A</v>
      </c>
      <c r="N24414" s="1">
        <v>44652</v>
      </c>
    </row>
    <row r="24415" spans="13:14" x14ac:dyDescent="0.3">
      <c r="M24415" t="e">
        <v>#N/A</v>
      </c>
      <c r="N24415" s="1">
        <v>44652</v>
      </c>
    </row>
    <row r="24416" spans="13:14" x14ac:dyDescent="0.3">
      <c r="M24416" t="e">
        <v>#N/A</v>
      </c>
      <c r="N24416" s="1">
        <v>44652</v>
      </c>
    </row>
    <row r="24417" spans="13:14" x14ac:dyDescent="0.3">
      <c r="M24417" t="e">
        <v>#N/A</v>
      </c>
      <c r="N24417" s="1">
        <v>44652</v>
      </c>
    </row>
    <row r="24418" spans="13:14" x14ac:dyDescent="0.3">
      <c r="M24418" t="e">
        <v>#N/A</v>
      </c>
      <c r="N24418" s="1">
        <v>44652</v>
      </c>
    </row>
    <row r="24419" spans="13:14" x14ac:dyDescent="0.3">
      <c r="M24419" t="e">
        <v>#N/A</v>
      </c>
      <c r="N24419" s="1">
        <v>44652</v>
      </c>
    </row>
    <row r="24420" spans="13:14" x14ac:dyDescent="0.3">
      <c r="M24420" t="e">
        <v>#N/A</v>
      </c>
      <c r="N24420" s="1">
        <v>44652</v>
      </c>
    </row>
    <row r="24421" spans="13:14" x14ac:dyDescent="0.3">
      <c r="M24421" t="e">
        <v>#N/A</v>
      </c>
      <c r="N24421" s="1">
        <v>44652</v>
      </c>
    </row>
    <row r="24422" spans="13:14" x14ac:dyDescent="0.3">
      <c r="M24422" t="e">
        <v>#N/A</v>
      </c>
      <c r="N24422" s="1">
        <v>44652</v>
      </c>
    </row>
    <row r="24423" spans="13:14" x14ac:dyDescent="0.3">
      <c r="M24423" t="e">
        <v>#N/A</v>
      </c>
      <c r="N24423" s="1">
        <v>44652</v>
      </c>
    </row>
    <row r="24424" spans="13:14" x14ac:dyDescent="0.3">
      <c r="M24424" t="e">
        <v>#N/A</v>
      </c>
      <c r="N24424" s="1">
        <v>44652</v>
      </c>
    </row>
    <row r="24425" spans="13:14" x14ac:dyDescent="0.3">
      <c r="M24425" t="e">
        <v>#N/A</v>
      </c>
      <c r="N24425" s="1">
        <v>44652</v>
      </c>
    </row>
    <row r="24426" spans="13:14" x14ac:dyDescent="0.3">
      <c r="M24426" t="e">
        <v>#N/A</v>
      </c>
      <c r="N24426" s="1">
        <v>44652</v>
      </c>
    </row>
    <row r="24427" spans="13:14" x14ac:dyDescent="0.3">
      <c r="M24427" t="e">
        <v>#N/A</v>
      </c>
      <c r="N24427" s="1">
        <v>44652</v>
      </c>
    </row>
    <row r="24428" spans="13:14" x14ac:dyDescent="0.3">
      <c r="M24428" t="e">
        <v>#N/A</v>
      </c>
      <c r="N24428" s="1">
        <v>44652</v>
      </c>
    </row>
    <row r="24429" spans="13:14" x14ac:dyDescent="0.3">
      <c r="M24429" t="e">
        <v>#N/A</v>
      </c>
      <c r="N24429" s="1">
        <v>44652</v>
      </c>
    </row>
    <row r="24430" spans="13:14" x14ac:dyDescent="0.3">
      <c r="M24430" t="e">
        <v>#N/A</v>
      </c>
      <c r="N24430" s="1">
        <v>44652</v>
      </c>
    </row>
    <row r="24431" spans="13:14" x14ac:dyDescent="0.3">
      <c r="M24431" t="e">
        <v>#N/A</v>
      </c>
      <c r="N24431" s="1">
        <v>44652</v>
      </c>
    </row>
    <row r="24432" spans="13:14" x14ac:dyDescent="0.3">
      <c r="M24432" t="e">
        <v>#N/A</v>
      </c>
      <c r="N24432" s="1">
        <v>44652</v>
      </c>
    </row>
    <row r="24433" spans="13:14" x14ac:dyDescent="0.3">
      <c r="M24433" t="e">
        <v>#N/A</v>
      </c>
      <c r="N24433" s="1">
        <v>44652</v>
      </c>
    </row>
    <row r="24434" spans="13:14" x14ac:dyDescent="0.3">
      <c r="M24434" t="e">
        <v>#N/A</v>
      </c>
      <c r="N24434" s="1">
        <v>44652</v>
      </c>
    </row>
    <row r="24435" spans="13:14" x14ac:dyDescent="0.3">
      <c r="M24435" t="e">
        <v>#N/A</v>
      </c>
      <c r="N24435" s="1">
        <v>44652</v>
      </c>
    </row>
    <row r="24436" spans="13:14" x14ac:dyDescent="0.3">
      <c r="M24436" t="e">
        <v>#N/A</v>
      </c>
      <c r="N24436" s="1">
        <v>44652</v>
      </c>
    </row>
    <row r="24437" spans="13:14" x14ac:dyDescent="0.3">
      <c r="M24437" t="e">
        <v>#N/A</v>
      </c>
      <c r="N24437" s="1">
        <v>44652</v>
      </c>
    </row>
    <row r="24438" spans="13:14" x14ac:dyDescent="0.3">
      <c r="M24438" t="e">
        <v>#N/A</v>
      </c>
      <c r="N24438" s="1">
        <v>44652</v>
      </c>
    </row>
    <row r="24439" spans="13:14" x14ac:dyDescent="0.3">
      <c r="M24439" t="e">
        <v>#N/A</v>
      </c>
      <c r="N24439" s="1">
        <v>44652</v>
      </c>
    </row>
    <row r="24440" spans="13:14" x14ac:dyDescent="0.3">
      <c r="M24440" t="e">
        <v>#N/A</v>
      </c>
      <c r="N24440" s="1">
        <v>44652</v>
      </c>
    </row>
    <row r="24441" spans="13:14" x14ac:dyDescent="0.3">
      <c r="M24441" t="e">
        <v>#N/A</v>
      </c>
      <c r="N24441" s="1">
        <v>44652</v>
      </c>
    </row>
    <row r="24442" spans="13:14" x14ac:dyDescent="0.3">
      <c r="M24442" t="e">
        <v>#N/A</v>
      </c>
      <c r="N24442" s="1">
        <v>44652</v>
      </c>
    </row>
    <row r="24443" spans="13:14" x14ac:dyDescent="0.3">
      <c r="M24443" t="e">
        <v>#N/A</v>
      </c>
      <c r="N24443" s="1">
        <v>44652</v>
      </c>
    </row>
    <row r="24444" spans="13:14" x14ac:dyDescent="0.3">
      <c r="M24444" t="e">
        <v>#N/A</v>
      </c>
      <c r="N24444" s="1">
        <v>44652</v>
      </c>
    </row>
    <row r="24445" spans="13:14" x14ac:dyDescent="0.3">
      <c r="M24445" t="e">
        <v>#N/A</v>
      </c>
      <c r="N24445" s="1">
        <v>44652</v>
      </c>
    </row>
    <row r="24446" spans="13:14" x14ac:dyDescent="0.3">
      <c r="M24446" t="e">
        <v>#N/A</v>
      </c>
      <c r="N24446" s="1">
        <v>44652</v>
      </c>
    </row>
    <row r="24447" spans="13:14" x14ac:dyDescent="0.3">
      <c r="M24447" t="e">
        <v>#N/A</v>
      </c>
      <c r="N24447" s="1">
        <v>44652</v>
      </c>
    </row>
    <row r="24448" spans="13:14" x14ac:dyDescent="0.3">
      <c r="M24448" t="e">
        <v>#N/A</v>
      </c>
      <c r="N24448" s="1">
        <v>44652</v>
      </c>
    </row>
    <row r="24449" spans="13:14" x14ac:dyDescent="0.3">
      <c r="M24449" t="e">
        <v>#N/A</v>
      </c>
      <c r="N24449" s="1">
        <v>44652</v>
      </c>
    </row>
    <row r="24450" spans="13:14" x14ac:dyDescent="0.3">
      <c r="M24450" t="e">
        <v>#N/A</v>
      </c>
      <c r="N24450" s="1">
        <v>44652</v>
      </c>
    </row>
    <row r="24451" spans="13:14" x14ac:dyDescent="0.3">
      <c r="M24451" t="e">
        <v>#N/A</v>
      </c>
      <c r="N24451" s="1">
        <v>44652</v>
      </c>
    </row>
    <row r="24452" spans="13:14" x14ac:dyDescent="0.3">
      <c r="M24452" t="e">
        <v>#N/A</v>
      </c>
      <c r="N24452" s="1">
        <v>44652</v>
      </c>
    </row>
    <row r="24453" spans="13:14" x14ac:dyDescent="0.3">
      <c r="M24453" t="e">
        <v>#N/A</v>
      </c>
      <c r="N24453" s="1">
        <v>44652</v>
      </c>
    </row>
    <row r="24454" spans="13:14" x14ac:dyDescent="0.3">
      <c r="M24454" t="e">
        <v>#N/A</v>
      </c>
      <c r="N24454" s="1">
        <v>44652</v>
      </c>
    </row>
    <row r="24455" spans="13:14" x14ac:dyDescent="0.3">
      <c r="M24455" t="e">
        <v>#N/A</v>
      </c>
      <c r="N24455" s="1">
        <v>44652</v>
      </c>
    </row>
    <row r="24456" spans="13:14" x14ac:dyDescent="0.3">
      <c r="M24456" t="e">
        <v>#N/A</v>
      </c>
      <c r="N24456" s="1">
        <v>44652</v>
      </c>
    </row>
    <row r="24457" spans="13:14" x14ac:dyDescent="0.3">
      <c r="M24457" t="e">
        <v>#N/A</v>
      </c>
      <c r="N24457" s="1">
        <v>44652</v>
      </c>
    </row>
    <row r="24458" spans="13:14" x14ac:dyDescent="0.3">
      <c r="M24458" t="e">
        <v>#N/A</v>
      </c>
      <c r="N24458" s="1">
        <v>44652</v>
      </c>
    </row>
    <row r="24459" spans="13:14" x14ac:dyDescent="0.3">
      <c r="M24459" t="e">
        <v>#N/A</v>
      </c>
      <c r="N24459" s="1">
        <v>44652</v>
      </c>
    </row>
    <row r="24460" spans="13:14" x14ac:dyDescent="0.3">
      <c r="M24460" t="e">
        <v>#N/A</v>
      </c>
      <c r="N24460" s="1">
        <v>44652</v>
      </c>
    </row>
    <row r="24461" spans="13:14" x14ac:dyDescent="0.3">
      <c r="M24461" t="e">
        <v>#N/A</v>
      </c>
      <c r="N24461" s="1">
        <v>44652</v>
      </c>
    </row>
    <row r="24462" spans="13:14" x14ac:dyDescent="0.3">
      <c r="M24462" t="e">
        <v>#N/A</v>
      </c>
      <c r="N24462" s="1">
        <v>44652</v>
      </c>
    </row>
    <row r="24463" spans="13:14" x14ac:dyDescent="0.3">
      <c r="M24463" t="e">
        <v>#N/A</v>
      </c>
      <c r="N24463" s="1">
        <v>44652</v>
      </c>
    </row>
    <row r="24464" spans="13:14" x14ac:dyDescent="0.3">
      <c r="M24464" t="e">
        <v>#N/A</v>
      </c>
      <c r="N24464" s="1">
        <v>44652</v>
      </c>
    </row>
    <row r="24465" spans="13:14" x14ac:dyDescent="0.3">
      <c r="M24465" t="e">
        <v>#N/A</v>
      </c>
      <c r="N24465" s="1">
        <v>44652</v>
      </c>
    </row>
    <row r="24466" spans="13:14" x14ac:dyDescent="0.3">
      <c r="M24466" t="e">
        <v>#N/A</v>
      </c>
      <c r="N24466" s="1">
        <v>44652</v>
      </c>
    </row>
    <row r="24467" spans="13:14" x14ac:dyDescent="0.3">
      <c r="M24467" t="e">
        <v>#N/A</v>
      </c>
      <c r="N24467" s="1">
        <v>44743</v>
      </c>
    </row>
    <row r="24468" spans="13:14" x14ac:dyDescent="0.3">
      <c r="M24468" t="e">
        <v>#N/A</v>
      </c>
      <c r="N24468" s="1">
        <v>44743</v>
      </c>
    </row>
    <row r="24469" spans="13:14" x14ac:dyDescent="0.3">
      <c r="M24469" t="e">
        <v>#N/A</v>
      </c>
      <c r="N24469" s="1">
        <v>44743</v>
      </c>
    </row>
    <row r="24470" spans="13:14" x14ac:dyDescent="0.3">
      <c r="M24470" t="e">
        <v>#N/A</v>
      </c>
      <c r="N24470" s="1">
        <v>44743</v>
      </c>
    </row>
    <row r="24471" spans="13:14" x14ac:dyDescent="0.3">
      <c r="M24471" t="e">
        <v>#N/A</v>
      </c>
      <c r="N24471" s="1">
        <v>44743</v>
      </c>
    </row>
    <row r="24472" spans="13:14" x14ac:dyDescent="0.3">
      <c r="M24472" t="e">
        <v>#N/A</v>
      </c>
      <c r="N24472" s="1">
        <v>44743</v>
      </c>
    </row>
    <row r="24473" spans="13:14" x14ac:dyDescent="0.3">
      <c r="M24473" t="e">
        <v>#N/A</v>
      </c>
      <c r="N24473" s="1">
        <v>44743</v>
      </c>
    </row>
    <row r="24474" spans="13:14" x14ac:dyDescent="0.3">
      <c r="M24474" t="e">
        <v>#N/A</v>
      </c>
      <c r="N24474" s="1">
        <v>44743</v>
      </c>
    </row>
    <row r="24475" spans="13:14" x14ac:dyDescent="0.3">
      <c r="M24475" t="e">
        <v>#N/A</v>
      </c>
      <c r="N24475" s="1">
        <v>44743</v>
      </c>
    </row>
    <row r="24476" spans="13:14" x14ac:dyDescent="0.3">
      <c r="M24476" t="e">
        <v>#N/A</v>
      </c>
      <c r="N24476" s="1">
        <v>44743</v>
      </c>
    </row>
    <row r="24477" spans="13:14" x14ac:dyDescent="0.3">
      <c r="M24477" t="e">
        <v>#N/A</v>
      </c>
      <c r="N24477" s="1">
        <v>44743</v>
      </c>
    </row>
    <row r="24478" spans="13:14" x14ac:dyDescent="0.3">
      <c r="M24478" t="e">
        <v>#N/A</v>
      </c>
      <c r="N24478" s="1">
        <v>44743</v>
      </c>
    </row>
    <row r="24479" spans="13:14" x14ac:dyDescent="0.3">
      <c r="M24479" t="e">
        <v>#N/A</v>
      </c>
      <c r="N24479" s="1">
        <v>44743</v>
      </c>
    </row>
    <row r="24480" spans="13:14" x14ac:dyDescent="0.3">
      <c r="M24480" t="e">
        <v>#N/A</v>
      </c>
      <c r="N24480" s="1">
        <v>44743</v>
      </c>
    </row>
    <row r="24481" spans="13:14" x14ac:dyDescent="0.3">
      <c r="M24481" t="e">
        <v>#N/A</v>
      </c>
      <c r="N24481" s="1">
        <v>44743</v>
      </c>
    </row>
    <row r="24482" spans="13:14" x14ac:dyDescent="0.3">
      <c r="M24482" t="e">
        <v>#N/A</v>
      </c>
      <c r="N24482" s="1">
        <v>44743</v>
      </c>
    </row>
    <row r="24483" spans="13:14" x14ac:dyDescent="0.3">
      <c r="M24483" t="e">
        <v>#N/A</v>
      </c>
      <c r="N24483" s="1">
        <v>44743</v>
      </c>
    </row>
    <row r="24484" spans="13:14" x14ac:dyDescent="0.3">
      <c r="M24484" t="e">
        <v>#N/A</v>
      </c>
      <c r="N24484" s="1">
        <v>44743</v>
      </c>
    </row>
    <row r="24485" spans="13:14" x14ac:dyDescent="0.3">
      <c r="M24485" t="e">
        <v>#N/A</v>
      </c>
      <c r="N24485" s="1">
        <v>44743</v>
      </c>
    </row>
    <row r="24486" spans="13:14" x14ac:dyDescent="0.3">
      <c r="M24486" t="e">
        <v>#N/A</v>
      </c>
      <c r="N24486" s="1">
        <v>44743</v>
      </c>
    </row>
    <row r="24487" spans="13:14" x14ac:dyDescent="0.3">
      <c r="M24487" t="e">
        <v>#N/A</v>
      </c>
      <c r="N24487" s="1">
        <v>44743</v>
      </c>
    </row>
    <row r="24488" spans="13:14" x14ac:dyDescent="0.3">
      <c r="M24488" t="e">
        <v>#N/A</v>
      </c>
      <c r="N24488" s="1">
        <v>44743</v>
      </c>
    </row>
    <row r="24489" spans="13:14" x14ac:dyDescent="0.3">
      <c r="M24489" t="e">
        <v>#N/A</v>
      </c>
      <c r="N24489" s="1">
        <v>44743</v>
      </c>
    </row>
    <row r="24490" spans="13:14" x14ac:dyDescent="0.3">
      <c r="M24490" t="e">
        <v>#N/A</v>
      </c>
      <c r="N24490" s="1">
        <v>44743</v>
      </c>
    </row>
    <row r="24491" spans="13:14" x14ac:dyDescent="0.3">
      <c r="M24491" t="e">
        <v>#N/A</v>
      </c>
      <c r="N24491" s="1">
        <v>44743</v>
      </c>
    </row>
    <row r="24492" spans="13:14" x14ac:dyDescent="0.3">
      <c r="M24492" t="e">
        <v>#N/A</v>
      </c>
      <c r="N24492" s="1">
        <v>44743</v>
      </c>
    </row>
    <row r="24493" spans="13:14" x14ac:dyDescent="0.3">
      <c r="M24493" t="e">
        <v>#N/A</v>
      </c>
      <c r="N24493" s="1">
        <v>44743</v>
      </c>
    </row>
    <row r="24494" spans="13:14" x14ac:dyDescent="0.3">
      <c r="M24494" t="e">
        <v>#N/A</v>
      </c>
      <c r="N24494" s="1">
        <v>44743</v>
      </c>
    </row>
    <row r="24495" spans="13:14" x14ac:dyDescent="0.3">
      <c r="M24495" t="e">
        <v>#N/A</v>
      </c>
      <c r="N24495" s="1">
        <v>44743</v>
      </c>
    </row>
    <row r="24496" spans="13:14" x14ac:dyDescent="0.3">
      <c r="M24496" t="e">
        <v>#N/A</v>
      </c>
      <c r="N24496" s="1">
        <v>44743</v>
      </c>
    </row>
    <row r="24497" spans="13:14" x14ac:dyDescent="0.3">
      <c r="M24497" t="e">
        <v>#N/A</v>
      </c>
      <c r="N24497" s="1">
        <v>44743</v>
      </c>
    </row>
    <row r="24498" spans="13:14" x14ac:dyDescent="0.3">
      <c r="M24498" t="e">
        <v>#N/A</v>
      </c>
      <c r="N24498" s="1">
        <v>44743</v>
      </c>
    </row>
    <row r="24499" spans="13:14" x14ac:dyDescent="0.3">
      <c r="M24499" t="e">
        <v>#N/A</v>
      </c>
      <c r="N24499" s="1">
        <v>44743</v>
      </c>
    </row>
    <row r="24500" spans="13:14" x14ac:dyDescent="0.3">
      <c r="M24500" t="e">
        <v>#N/A</v>
      </c>
      <c r="N24500" s="1">
        <v>44743</v>
      </c>
    </row>
    <row r="24501" spans="13:14" x14ac:dyDescent="0.3">
      <c r="M24501" t="e">
        <v>#N/A</v>
      </c>
      <c r="N24501" s="1">
        <v>44743</v>
      </c>
    </row>
    <row r="24502" spans="13:14" x14ac:dyDescent="0.3">
      <c r="M24502" t="e">
        <v>#N/A</v>
      </c>
      <c r="N24502" s="1">
        <v>44743</v>
      </c>
    </row>
    <row r="24503" spans="13:14" x14ac:dyDescent="0.3">
      <c r="M24503" t="e">
        <v>#N/A</v>
      </c>
      <c r="N24503" s="1">
        <v>44743</v>
      </c>
    </row>
    <row r="24504" spans="13:14" x14ac:dyDescent="0.3">
      <c r="M24504" t="e">
        <v>#N/A</v>
      </c>
      <c r="N24504" s="1">
        <v>44743</v>
      </c>
    </row>
    <row r="24505" spans="13:14" x14ac:dyDescent="0.3">
      <c r="M24505" t="e">
        <v>#N/A</v>
      </c>
      <c r="N24505" s="1">
        <v>44743</v>
      </c>
    </row>
    <row r="24506" spans="13:14" x14ac:dyDescent="0.3">
      <c r="M24506" t="e">
        <v>#N/A</v>
      </c>
      <c r="N24506" s="1">
        <v>44743</v>
      </c>
    </row>
    <row r="24507" spans="13:14" x14ac:dyDescent="0.3">
      <c r="M24507" t="e">
        <v>#N/A</v>
      </c>
      <c r="N24507" s="1">
        <v>44743</v>
      </c>
    </row>
    <row r="24508" spans="13:14" x14ac:dyDescent="0.3">
      <c r="M24508" t="e">
        <v>#N/A</v>
      </c>
      <c r="N24508" s="1">
        <v>44743</v>
      </c>
    </row>
    <row r="24509" spans="13:14" x14ac:dyDescent="0.3">
      <c r="M24509" t="e">
        <v>#N/A</v>
      </c>
      <c r="N24509" s="1">
        <v>44743</v>
      </c>
    </row>
    <row r="24510" spans="13:14" x14ac:dyDescent="0.3">
      <c r="M24510" t="e">
        <v>#N/A</v>
      </c>
      <c r="N24510" s="1">
        <v>44743</v>
      </c>
    </row>
    <row r="24511" spans="13:14" x14ac:dyDescent="0.3">
      <c r="M24511" t="e">
        <v>#N/A</v>
      </c>
      <c r="N24511" s="1">
        <v>44743</v>
      </c>
    </row>
    <row r="24512" spans="13:14" x14ac:dyDescent="0.3">
      <c r="M24512" t="e">
        <v>#N/A</v>
      </c>
      <c r="N24512" s="1">
        <v>44743</v>
      </c>
    </row>
    <row r="24513" spans="13:14" x14ac:dyDescent="0.3">
      <c r="M24513" t="e">
        <v>#N/A</v>
      </c>
      <c r="N24513" s="1">
        <v>44743</v>
      </c>
    </row>
    <row r="24514" spans="13:14" x14ac:dyDescent="0.3">
      <c r="M24514" t="e">
        <v>#N/A</v>
      </c>
      <c r="N24514" s="1">
        <v>44743</v>
      </c>
    </row>
    <row r="24515" spans="13:14" x14ac:dyDescent="0.3">
      <c r="M24515" t="e">
        <v>#N/A</v>
      </c>
      <c r="N24515" s="1">
        <v>44743</v>
      </c>
    </row>
    <row r="24516" spans="13:14" x14ac:dyDescent="0.3">
      <c r="M24516" t="e">
        <v>#N/A</v>
      </c>
      <c r="N24516" s="1">
        <v>44743</v>
      </c>
    </row>
    <row r="24517" spans="13:14" x14ac:dyDescent="0.3">
      <c r="M24517" t="e">
        <v>#N/A</v>
      </c>
      <c r="N24517" s="1">
        <v>44743</v>
      </c>
    </row>
    <row r="24518" spans="13:14" x14ac:dyDescent="0.3">
      <c r="M24518" t="e">
        <v>#N/A</v>
      </c>
      <c r="N24518" s="1">
        <v>44743</v>
      </c>
    </row>
    <row r="24519" spans="13:14" x14ac:dyDescent="0.3">
      <c r="M24519" t="e">
        <v>#N/A</v>
      </c>
      <c r="N24519" s="1">
        <v>44743</v>
      </c>
    </row>
    <row r="24520" spans="13:14" x14ac:dyDescent="0.3">
      <c r="M24520" t="e">
        <v>#N/A</v>
      </c>
      <c r="N24520" s="1">
        <v>44743</v>
      </c>
    </row>
    <row r="24521" spans="13:14" x14ac:dyDescent="0.3">
      <c r="M24521" t="e">
        <v>#N/A</v>
      </c>
      <c r="N24521" s="1">
        <v>44743</v>
      </c>
    </row>
    <row r="24522" spans="13:14" x14ac:dyDescent="0.3">
      <c r="M24522" t="e">
        <v>#N/A</v>
      </c>
      <c r="N24522" s="1">
        <v>44743</v>
      </c>
    </row>
    <row r="24523" spans="13:14" x14ac:dyDescent="0.3">
      <c r="M24523" t="e">
        <v>#N/A</v>
      </c>
      <c r="N24523" s="1">
        <v>44743</v>
      </c>
    </row>
    <row r="24524" spans="13:14" x14ac:dyDescent="0.3">
      <c r="M24524" t="e">
        <v>#N/A</v>
      </c>
      <c r="N24524" s="1">
        <v>44743</v>
      </c>
    </row>
    <row r="24525" spans="13:14" x14ac:dyDescent="0.3">
      <c r="M24525" t="e">
        <v>#N/A</v>
      </c>
      <c r="N24525" s="1">
        <v>44743</v>
      </c>
    </row>
    <row r="24526" spans="13:14" x14ac:dyDescent="0.3">
      <c r="M24526" t="e">
        <v>#N/A</v>
      </c>
      <c r="N24526" s="1">
        <v>44743</v>
      </c>
    </row>
    <row r="24527" spans="13:14" x14ac:dyDescent="0.3">
      <c r="M24527" t="e">
        <v>#N/A</v>
      </c>
      <c r="N24527" s="1">
        <v>44743</v>
      </c>
    </row>
    <row r="24528" spans="13:14" x14ac:dyDescent="0.3">
      <c r="M24528" t="e">
        <v>#N/A</v>
      </c>
      <c r="N24528" s="1">
        <v>44743</v>
      </c>
    </row>
    <row r="24529" spans="13:14" x14ac:dyDescent="0.3">
      <c r="M24529" t="e">
        <v>#N/A</v>
      </c>
      <c r="N24529" s="1">
        <v>44743</v>
      </c>
    </row>
    <row r="24530" spans="13:14" x14ac:dyDescent="0.3">
      <c r="M24530" t="e">
        <v>#N/A</v>
      </c>
      <c r="N24530" s="1">
        <v>44743</v>
      </c>
    </row>
    <row r="24531" spans="13:14" x14ac:dyDescent="0.3">
      <c r="M24531" t="e">
        <v>#N/A</v>
      </c>
      <c r="N24531" s="1">
        <v>44743</v>
      </c>
    </row>
    <row r="24532" spans="13:14" x14ac:dyDescent="0.3">
      <c r="M24532" t="e">
        <v>#N/A</v>
      </c>
      <c r="N24532" s="1">
        <v>44743</v>
      </c>
    </row>
    <row r="24533" spans="13:14" x14ac:dyDescent="0.3">
      <c r="M24533" t="e">
        <v>#N/A</v>
      </c>
      <c r="N24533" s="1">
        <v>44743</v>
      </c>
    </row>
    <row r="24534" spans="13:14" x14ac:dyDescent="0.3">
      <c r="M24534" t="e">
        <v>#N/A</v>
      </c>
      <c r="N24534" s="1">
        <v>44743</v>
      </c>
    </row>
    <row r="24535" spans="13:14" x14ac:dyDescent="0.3">
      <c r="M24535" t="e">
        <v>#N/A</v>
      </c>
      <c r="N24535" s="1">
        <v>44743</v>
      </c>
    </row>
    <row r="24536" spans="13:14" x14ac:dyDescent="0.3">
      <c r="M24536" t="e">
        <v>#N/A</v>
      </c>
      <c r="N24536" s="1">
        <v>44743</v>
      </c>
    </row>
    <row r="24537" spans="13:14" x14ac:dyDescent="0.3">
      <c r="M24537" t="e">
        <v>#N/A</v>
      </c>
      <c r="N24537" s="1">
        <v>44743</v>
      </c>
    </row>
    <row r="24538" spans="13:14" x14ac:dyDescent="0.3">
      <c r="M24538" t="e">
        <v>#N/A</v>
      </c>
      <c r="N24538" s="1">
        <v>44743</v>
      </c>
    </row>
    <row r="24539" spans="13:14" x14ac:dyDescent="0.3">
      <c r="M24539" t="e">
        <v>#N/A</v>
      </c>
      <c r="N24539" s="1">
        <v>44743</v>
      </c>
    </row>
    <row r="24540" spans="13:14" x14ac:dyDescent="0.3">
      <c r="M24540" t="e">
        <v>#N/A</v>
      </c>
      <c r="N24540" s="1">
        <v>44743</v>
      </c>
    </row>
    <row r="24541" spans="13:14" x14ac:dyDescent="0.3">
      <c r="M24541" t="e">
        <v>#N/A</v>
      </c>
      <c r="N24541" s="1">
        <v>44743</v>
      </c>
    </row>
    <row r="24542" spans="13:14" x14ac:dyDescent="0.3">
      <c r="M24542" t="e">
        <v>#N/A</v>
      </c>
      <c r="N24542" s="1">
        <v>44743</v>
      </c>
    </row>
    <row r="24543" spans="13:14" x14ac:dyDescent="0.3">
      <c r="M24543" t="e">
        <v>#N/A</v>
      </c>
      <c r="N24543" s="1">
        <v>44743</v>
      </c>
    </row>
    <row r="24544" spans="13:14" x14ac:dyDescent="0.3">
      <c r="M24544" t="e">
        <v>#N/A</v>
      </c>
      <c r="N24544" s="1">
        <v>44743</v>
      </c>
    </row>
    <row r="24545" spans="13:14" x14ac:dyDescent="0.3">
      <c r="M24545" t="e">
        <v>#N/A</v>
      </c>
      <c r="N24545" s="1">
        <v>44743</v>
      </c>
    </row>
    <row r="24546" spans="13:14" x14ac:dyDescent="0.3">
      <c r="M24546" t="e">
        <v>#N/A</v>
      </c>
      <c r="N24546" s="1">
        <v>44743</v>
      </c>
    </row>
    <row r="24547" spans="13:14" x14ac:dyDescent="0.3">
      <c r="M24547" t="e">
        <v>#N/A</v>
      </c>
      <c r="N24547" s="1">
        <v>44743</v>
      </c>
    </row>
    <row r="24548" spans="13:14" x14ac:dyDescent="0.3">
      <c r="M24548" t="e">
        <v>#N/A</v>
      </c>
      <c r="N24548" s="1">
        <v>44743</v>
      </c>
    </row>
    <row r="24549" spans="13:14" x14ac:dyDescent="0.3">
      <c r="M24549" t="e">
        <v>#N/A</v>
      </c>
      <c r="N24549" s="1">
        <v>44743</v>
      </c>
    </row>
    <row r="24550" spans="13:14" x14ac:dyDescent="0.3">
      <c r="M24550" t="e">
        <v>#N/A</v>
      </c>
      <c r="N24550" s="1">
        <v>44743</v>
      </c>
    </row>
    <row r="24551" spans="13:14" x14ac:dyDescent="0.3">
      <c r="M24551" t="e">
        <v>#N/A</v>
      </c>
      <c r="N24551" s="1">
        <v>44743</v>
      </c>
    </row>
    <row r="24552" spans="13:14" x14ac:dyDescent="0.3">
      <c r="M24552" t="e">
        <v>#N/A</v>
      </c>
      <c r="N24552" s="1">
        <v>44743</v>
      </c>
    </row>
    <row r="24553" spans="13:14" x14ac:dyDescent="0.3">
      <c r="M24553" t="e">
        <v>#N/A</v>
      </c>
      <c r="N24553" s="1">
        <v>44743</v>
      </c>
    </row>
    <row r="24554" spans="13:14" x14ac:dyDescent="0.3">
      <c r="M24554" t="e">
        <v>#N/A</v>
      </c>
      <c r="N24554" s="1">
        <v>44743</v>
      </c>
    </row>
    <row r="24555" spans="13:14" x14ac:dyDescent="0.3">
      <c r="M24555" t="e">
        <v>#N/A</v>
      </c>
      <c r="N24555" s="1">
        <v>44743</v>
      </c>
    </row>
    <row r="24556" spans="13:14" x14ac:dyDescent="0.3">
      <c r="M24556" t="e">
        <v>#N/A</v>
      </c>
      <c r="N24556" s="1">
        <v>44743</v>
      </c>
    </row>
    <row r="24557" spans="13:14" x14ac:dyDescent="0.3">
      <c r="M24557" t="e">
        <v>#N/A</v>
      </c>
      <c r="N24557" s="1">
        <v>44743</v>
      </c>
    </row>
    <row r="24558" spans="13:14" x14ac:dyDescent="0.3">
      <c r="M24558" t="e">
        <v>#N/A</v>
      </c>
      <c r="N24558" s="1">
        <v>44743</v>
      </c>
    </row>
    <row r="24559" spans="13:14" x14ac:dyDescent="0.3">
      <c r="M24559" t="e">
        <v>#N/A</v>
      </c>
      <c r="N24559" s="1">
        <v>44743</v>
      </c>
    </row>
    <row r="24560" spans="13:14" x14ac:dyDescent="0.3">
      <c r="M24560" t="e">
        <v>#N/A</v>
      </c>
      <c r="N24560" s="1">
        <v>44743</v>
      </c>
    </row>
    <row r="24561" spans="13:14" x14ac:dyDescent="0.3">
      <c r="M24561" t="e">
        <v>#N/A</v>
      </c>
      <c r="N24561" s="1">
        <v>44743</v>
      </c>
    </row>
    <row r="24562" spans="13:14" x14ac:dyDescent="0.3">
      <c r="M24562" t="e">
        <v>#N/A</v>
      </c>
      <c r="N24562" s="1">
        <v>44743</v>
      </c>
    </row>
    <row r="24563" spans="13:14" x14ac:dyDescent="0.3">
      <c r="M24563" t="e">
        <v>#N/A</v>
      </c>
      <c r="N24563" s="1">
        <v>44743</v>
      </c>
    </row>
    <row r="24564" spans="13:14" x14ac:dyDescent="0.3">
      <c r="M24564" t="e">
        <v>#N/A</v>
      </c>
      <c r="N24564" s="1">
        <v>44743</v>
      </c>
    </row>
    <row r="24565" spans="13:14" x14ac:dyDescent="0.3">
      <c r="M24565" t="e">
        <v>#N/A</v>
      </c>
      <c r="N24565" s="1">
        <v>44743</v>
      </c>
    </row>
    <row r="24566" spans="13:14" x14ac:dyDescent="0.3">
      <c r="M24566" t="e">
        <v>#N/A</v>
      </c>
      <c r="N24566" s="1">
        <v>44743</v>
      </c>
    </row>
    <row r="24567" spans="13:14" x14ac:dyDescent="0.3">
      <c r="M24567" t="e">
        <v>#N/A</v>
      </c>
      <c r="N24567" s="1">
        <v>44743</v>
      </c>
    </row>
    <row r="24568" spans="13:14" x14ac:dyDescent="0.3">
      <c r="M24568" t="e">
        <v>#N/A</v>
      </c>
      <c r="N24568" s="1">
        <v>44743</v>
      </c>
    </row>
    <row r="24569" spans="13:14" x14ac:dyDescent="0.3">
      <c r="M24569" t="e">
        <v>#N/A</v>
      </c>
      <c r="N24569" s="1">
        <v>44743</v>
      </c>
    </row>
    <row r="24570" spans="13:14" x14ac:dyDescent="0.3">
      <c r="M24570" t="e">
        <v>#N/A</v>
      </c>
      <c r="N24570" s="1">
        <v>44743</v>
      </c>
    </row>
    <row r="24571" spans="13:14" x14ac:dyDescent="0.3">
      <c r="M24571" t="e">
        <v>#N/A</v>
      </c>
      <c r="N24571" s="1">
        <v>44743</v>
      </c>
    </row>
    <row r="24572" spans="13:14" x14ac:dyDescent="0.3">
      <c r="M24572" t="e">
        <v>#N/A</v>
      </c>
      <c r="N24572" s="1">
        <v>44743</v>
      </c>
    </row>
    <row r="24573" spans="13:14" x14ac:dyDescent="0.3">
      <c r="M24573" t="e">
        <v>#N/A</v>
      </c>
      <c r="N24573" s="1">
        <v>44743</v>
      </c>
    </row>
    <row r="24574" spans="13:14" x14ac:dyDescent="0.3">
      <c r="M24574" t="e">
        <v>#N/A</v>
      </c>
      <c r="N24574" s="1">
        <v>44743</v>
      </c>
    </row>
    <row r="24575" spans="13:14" x14ac:dyDescent="0.3">
      <c r="M24575" t="e">
        <v>#N/A</v>
      </c>
      <c r="N24575" s="1">
        <v>44743</v>
      </c>
    </row>
    <row r="24576" spans="13:14" x14ac:dyDescent="0.3">
      <c r="M24576" t="e">
        <v>#N/A</v>
      </c>
      <c r="N24576" s="1">
        <v>44743</v>
      </c>
    </row>
    <row r="24577" spans="13:14" x14ac:dyDescent="0.3">
      <c r="M24577" t="e">
        <v>#N/A</v>
      </c>
      <c r="N24577" s="1">
        <v>44743</v>
      </c>
    </row>
    <row r="24578" spans="13:14" x14ac:dyDescent="0.3">
      <c r="M24578" t="e">
        <v>#N/A</v>
      </c>
      <c r="N24578" s="1">
        <v>44743</v>
      </c>
    </row>
    <row r="24579" spans="13:14" x14ac:dyDescent="0.3">
      <c r="M24579" t="e">
        <v>#N/A</v>
      </c>
      <c r="N24579" s="1">
        <v>44743</v>
      </c>
    </row>
    <row r="24580" spans="13:14" x14ac:dyDescent="0.3">
      <c r="M24580" t="e">
        <v>#N/A</v>
      </c>
      <c r="N24580" s="1">
        <v>44743</v>
      </c>
    </row>
    <row r="24581" spans="13:14" x14ac:dyDescent="0.3">
      <c r="M24581" t="e">
        <v>#N/A</v>
      </c>
      <c r="N24581" s="1">
        <v>44743</v>
      </c>
    </row>
    <row r="24582" spans="13:14" x14ac:dyDescent="0.3">
      <c r="M24582" t="e">
        <v>#N/A</v>
      </c>
      <c r="N24582" s="1">
        <v>44743</v>
      </c>
    </row>
    <row r="24583" spans="13:14" x14ac:dyDescent="0.3">
      <c r="M24583" t="e">
        <v>#N/A</v>
      </c>
      <c r="N24583" s="1">
        <v>44743</v>
      </c>
    </row>
    <row r="24584" spans="13:14" x14ac:dyDescent="0.3">
      <c r="M24584" t="e">
        <v>#N/A</v>
      </c>
      <c r="N24584" s="1">
        <v>44743</v>
      </c>
    </row>
    <row r="24585" spans="13:14" x14ac:dyDescent="0.3">
      <c r="M24585" t="e">
        <v>#N/A</v>
      </c>
      <c r="N24585" s="1">
        <v>44743</v>
      </c>
    </row>
    <row r="24586" spans="13:14" x14ac:dyDescent="0.3">
      <c r="M24586" t="e">
        <v>#N/A</v>
      </c>
      <c r="N24586" s="1">
        <v>44743</v>
      </c>
    </row>
    <row r="24587" spans="13:14" x14ac:dyDescent="0.3">
      <c r="M24587" t="e">
        <v>#N/A</v>
      </c>
      <c r="N24587" s="1">
        <v>44743</v>
      </c>
    </row>
    <row r="24588" spans="13:14" x14ac:dyDescent="0.3">
      <c r="M24588" t="e">
        <v>#N/A</v>
      </c>
      <c r="N24588" s="1">
        <v>44743</v>
      </c>
    </row>
    <row r="24589" spans="13:14" x14ac:dyDescent="0.3">
      <c r="M24589" t="e">
        <v>#N/A</v>
      </c>
      <c r="N24589" s="1">
        <v>44743</v>
      </c>
    </row>
    <row r="24590" spans="13:14" x14ac:dyDescent="0.3">
      <c r="M24590" t="e">
        <v>#N/A</v>
      </c>
      <c r="N24590" s="1">
        <v>44743</v>
      </c>
    </row>
    <row r="24591" spans="13:14" x14ac:dyDescent="0.3">
      <c r="M24591" t="e">
        <v>#N/A</v>
      </c>
      <c r="N24591" s="1">
        <v>44743</v>
      </c>
    </row>
    <row r="24592" spans="13:14" x14ac:dyDescent="0.3">
      <c r="M24592" t="e">
        <v>#N/A</v>
      </c>
      <c r="N24592" s="1">
        <v>44743</v>
      </c>
    </row>
    <row r="24593" spans="13:14" x14ac:dyDescent="0.3">
      <c r="M24593" t="e">
        <v>#N/A</v>
      </c>
      <c r="N24593" s="1">
        <v>44743</v>
      </c>
    </row>
    <row r="24594" spans="13:14" x14ac:dyDescent="0.3">
      <c r="M24594" t="e">
        <v>#N/A</v>
      </c>
      <c r="N24594" s="1">
        <v>44743</v>
      </c>
    </row>
    <row r="24595" spans="13:14" x14ac:dyDescent="0.3">
      <c r="M24595" t="e">
        <v>#N/A</v>
      </c>
      <c r="N24595" s="1">
        <v>44743</v>
      </c>
    </row>
    <row r="24596" spans="13:14" x14ac:dyDescent="0.3">
      <c r="M24596" t="e">
        <v>#N/A</v>
      </c>
      <c r="N24596" s="1">
        <v>44743</v>
      </c>
    </row>
    <row r="24597" spans="13:14" x14ac:dyDescent="0.3">
      <c r="M24597" t="e">
        <v>#N/A</v>
      </c>
      <c r="N24597" s="1">
        <v>44743</v>
      </c>
    </row>
    <row r="24598" spans="13:14" x14ac:dyDescent="0.3">
      <c r="M24598" t="e">
        <v>#N/A</v>
      </c>
      <c r="N24598" s="1">
        <v>44743</v>
      </c>
    </row>
    <row r="24599" spans="13:14" x14ac:dyDescent="0.3">
      <c r="M24599" t="e">
        <v>#N/A</v>
      </c>
      <c r="N24599" s="1">
        <v>44743</v>
      </c>
    </row>
    <row r="24600" spans="13:14" x14ac:dyDescent="0.3">
      <c r="M24600" t="e">
        <v>#N/A</v>
      </c>
      <c r="N24600" s="1">
        <v>44743</v>
      </c>
    </row>
    <row r="24601" spans="13:14" x14ac:dyDescent="0.3">
      <c r="M24601" t="e">
        <v>#N/A</v>
      </c>
      <c r="N24601" s="1">
        <v>44743</v>
      </c>
    </row>
    <row r="24602" spans="13:14" x14ac:dyDescent="0.3">
      <c r="M24602" t="e">
        <v>#N/A</v>
      </c>
      <c r="N24602" s="1">
        <v>44743</v>
      </c>
    </row>
    <row r="24603" spans="13:14" x14ac:dyDescent="0.3">
      <c r="M24603" t="e">
        <v>#N/A</v>
      </c>
      <c r="N24603" s="1">
        <v>44743</v>
      </c>
    </row>
    <row r="24604" spans="13:14" x14ac:dyDescent="0.3">
      <c r="M24604" t="e">
        <v>#N/A</v>
      </c>
      <c r="N24604" s="1">
        <v>44743</v>
      </c>
    </row>
    <row r="24605" spans="13:14" x14ac:dyDescent="0.3">
      <c r="M24605" t="e">
        <v>#N/A</v>
      </c>
      <c r="N24605" s="1">
        <v>44743</v>
      </c>
    </row>
    <row r="24606" spans="13:14" x14ac:dyDescent="0.3">
      <c r="M24606" t="e">
        <v>#N/A</v>
      </c>
      <c r="N24606" s="1">
        <v>44743</v>
      </c>
    </row>
    <row r="24607" spans="13:14" x14ac:dyDescent="0.3">
      <c r="M24607" t="e">
        <v>#N/A</v>
      </c>
      <c r="N24607" s="1">
        <v>44743</v>
      </c>
    </row>
    <row r="24608" spans="13:14" x14ac:dyDescent="0.3">
      <c r="M24608" t="e">
        <v>#N/A</v>
      </c>
      <c r="N24608" s="1">
        <v>44743</v>
      </c>
    </row>
    <row r="24609" spans="13:14" x14ac:dyDescent="0.3">
      <c r="M24609" t="e">
        <v>#N/A</v>
      </c>
      <c r="N24609" s="1">
        <v>44743</v>
      </c>
    </row>
    <row r="24610" spans="13:14" x14ac:dyDescent="0.3">
      <c r="M24610" t="e">
        <v>#N/A</v>
      </c>
      <c r="N24610" s="1">
        <v>44743</v>
      </c>
    </row>
    <row r="24611" spans="13:14" x14ac:dyDescent="0.3">
      <c r="M24611" t="e">
        <v>#N/A</v>
      </c>
      <c r="N24611" s="1">
        <v>44743</v>
      </c>
    </row>
    <row r="24612" spans="13:14" x14ac:dyDescent="0.3">
      <c r="M24612" t="e">
        <v>#N/A</v>
      </c>
      <c r="N24612" s="1">
        <v>44743</v>
      </c>
    </row>
    <row r="24613" spans="13:14" x14ac:dyDescent="0.3">
      <c r="M24613" t="e">
        <v>#N/A</v>
      </c>
      <c r="N24613" s="1">
        <v>44743</v>
      </c>
    </row>
    <row r="24614" spans="13:14" x14ac:dyDescent="0.3">
      <c r="M24614" t="e">
        <v>#N/A</v>
      </c>
      <c r="N24614" s="1">
        <v>44743</v>
      </c>
    </row>
    <row r="24615" spans="13:14" x14ac:dyDescent="0.3">
      <c r="M24615" t="e">
        <v>#N/A</v>
      </c>
      <c r="N24615" s="1">
        <v>44743</v>
      </c>
    </row>
    <row r="24616" spans="13:14" x14ac:dyDescent="0.3">
      <c r="M24616" t="e">
        <v>#N/A</v>
      </c>
      <c r="N24616" s="1">
        <v>44743</v>
      </c>
    </row>
    <row r="24617" spans="13:14" x14ac:dyDescent="0.3">
      <c r="M24617" t="e">
        <v>#N/A</v>
      </c>
      <c r="N24617" s="1">
        <v>44743</v>
      </c>
    </row>
    <row r="24618" spans="13:14" x14ac:dyDescent="0.3">
      <c r="M24618" t="e">
        <v>#N/A</v>
      </c>
      <c r="N24618" s="1">
        <v>44743</v>
      </c>
    </row>
    <row r="24619" spans="13:14" x14ac:dyDescent="0.3">
      <c r="M24619" t="e">
        <v>#N/A</v>
      </c>
      <c r="N24619" s="1">
        <v>44743</v>
      </c>
    </row>
    <row r="24620" spans="13:14" x14ac:dyDescent="0.3">
      <c r="M24620" t="e">
        <v>#N/A</v>
      </c>
      <c r="N24620" s="1">
        <v>44743</v>
      </c>
    </row>
    <row r="24621" spans="13:14" x14ac:dyDescent="0.3">
      <c r="M24621" t="e">
        <v>#N/A</v>
      </c>
      <c r="N24621" s="1">
        <v>44743</v>
      </c>
    </row>
    <row r="24622" spans="13:14" x14ac:dyDescent="0.3">
      <c r="M24622" t="e">
        <v>#N/A</v>
      </c>
      <c r="N24622" s="1">
        <v>44743</v>
      </c>
    </row>
    <row r="24623" spans="13:14" x14ac:dyDescent="0.3">
      <c r="M24623" t="e">
        <v>#N/A</v>
      </c>
      <c r="N24623" s="1">
        <v>44743</v>
      </c>
    </row>
    <row r="24624" spans="13:14" x14ac:dyDescent="0.3">
      <c r="M24624" t="e">
        <v>#N/A</v>
      </c>
      <c r="N24624" s="1">
        <v>44743</v>
      </c>
    </row>
    <row r="24625" spans="13:14" x14ac:dyDescent="0.3">
      <c r="M24625" t="e">
        <v>#N/A</v>
      </c>
      <c r="N24625" s="1">
        <v>44743</v>
      </c>
    </row>
    <row r="24626" spans="13:14" x14ac:dyDescent="0.3">
      <c r="M24626" t="e">
        <v>#N/A</v>
      </c>
      <c r="N24626" s="1">
        <v>44743</v>
      </c>
    </row>
    <row r="24627" spans="13:14" x14ac:dyDescent="0.3">
      <c r="M24627" t="e">
        <v>#N/A</v>
      </c>
      <c r="N24627" s="1">
        <v>44743</v>
      </c>
    </row>
    <row r="24628" spans="13:14" x14ac:dyDescent="0.3">
      <c r="M24628" t="e">
        <v>#N/A</v>
      </c>
      <c r="N24628" s="1">
        <v>44743</v>
      </c>
    </row>
    <row r="24629" spans="13:14" x14ac:dyDescent="0.3">
      <c r="M24629" t="e">
        <v>#N/A</v>
      </c>
      <c r="N24629" s="1">
        <v>44743</v>
      </c>
    </row>
    <row r="24630" spans="13:14" x14ac:dyDescent="0.3">
      <c r="M24630" t="e">
        <v>#N/A</v>
      </c>
      <c r="N24630" s="1">
        <v>44743</v>
      </c>
    </row>
    <row r="24631" spans="13:14" x14ac:dyDescent="0.3">
      <c r="M24631" t="e">
        <v>#N/A</v>
      </c>
      <c r="N24631" s="1">
        <v>44743</v>
      </c>
    </row>
    <row r="24632" spans="13:14" x14ac:dyDescent="0.3">
      <c r="M24632" t="e">
        <v>#N/A</v>
      </c>
      <c r="N24632" s="1">
        <v>44743</v>
      </c>
    </row>
    <row r="24633" spans="13:14" x14ac:dyDescent="0.3">
      <c r="M24633" t="e">
        <v>#N/A</v>
      </c>
      <c r="N24633" s="1">
        <v>44743</v>
      </c>
    </row>
    <row r="24634" spans="13:14" x14ac:dyDescent="0.3">
      <c r="M24634" t="e">
        <v>#N/A</v>
      </c>
      <c r="N24634" s="1">
        <v>44743</v>
      </c>
    </row>
    <row r="24635" spans="13:14" x14ac:dyDescent="0.3">
      <c r="M24635" t="e">
        <v>#N/A</v>
      </c>
      <c r="N24635" s="1">
        <v>44743</v>
      </c>
    </row>
    <row r="24636" spans="13:14" x14ac:dyDescent="0.3">
      <c r="M24636" t="e">
        <v>#N/A</v>
      </c>
      <c r="N24636" s="1">
        <v>44743</v>
      </c>
    </row>
    <row r="24637" spans="13:14" x14ac:dyDescent="0.3">
      <c r="M24637" t="e">
        <v>#N/A</v>
      </c>
      <c r="N24637" s="1">
        <v>44743</v>
      </c>
    </row>
    <row r="24638" spans="13:14" x14ac:dyDescent="0.3">
      <c r="M24638" t="e">
        <v>#N/A</v>
      </c>
      <c r="N24638" s="1">
        <v>44743</v>
      </c>
    </row>
    <row r="24639" spans="13:14" x14ac:dyDescent="0.3">
      <c r="M24639" t="e">
        <v>#N/A</v>
      </c>
      <c r="N24639" s="1">
        <v>44743</v>
      </c>
    </row>
    <row r="24640" spans="13:14" x14ac:dyDescent="0.3">
      <c r="M24640" t="e">
        <v>#N/A</v>
      </c>
      <c r="N24640" s="1">
        <v>44743</v>
      </c>
    </row>
    <row r="24641" spans="13:14" x14ac:dyDescent="0.3">
      <c r="M24641" t="e">
        <v>#N/A</v>
      </c>
      <c r="N24641" s="1">
        <v>44743</v>
      </c>
    </row>
    <row r="24642" spans="13:14" x14ac:dyDescent="0.3">
      <c r="M24642" t="e">
        <v>#N/A</v>
      </c>
      <c r="N24642" s="1">
        <v>44743</v>
      </c>
    </row>
    <row r="24643" spans="13:14" x14ac:dyDescent="0.3">
      <c r="M24643" t="e">
        <v>#N/A</v>
      </c>
      <c r="N24643" s="1">
        <v>44743</v>
      </c>
    </row>
    <row r="24644" spans="13:14" x14ac:dyDescent="0.3">
      <c r="M24644" t="e">
        <v>#N/A</v>
      </c>
      <c r="N24644" s="1">
        <v>44743</v>
      </c>
    </row>
    <row r="24645" spans="13:14" x14ac:dyDescent="0.3">
      <c r="M24645" t="e">
        <v>#N/A</v>
      </c>
      <c r="N24645" s="1">
        <v>44743</v>
      </c>
    </row>
    <row r="24646" spans="13:14" x14ac:dyDescent="0.3">
      <c r="M24646" t="e">
        <v>#N/A</v>
      </c>
      <c r="N24646" s="1">
        <v>44743</v>
      </c>
    </row>
    <row r="24647" spans="13:14" x14ac:dyDescent="0.3">
      <c r="M24647" t="e">
        <v>#N/A</v>
      </c>
      <c r="N24647" s="1">
        <v>44743</v>
      </c>
    </row>
    <row r="24648" spans="13:14" x14ac:dyDescent="0.3">
      <c r="M24648" t="e">
        <v>#N/A</v>
      </c>
      <c r="N24648" s="1">
        <v>44743</v>
      </c>
    </row>
    <row r="24649" spans="13:14" x14ac:dyDescent="0.3">
      <c r="M24649" t="e">
        <v>#N/A</v>
      </c>
      <c r="N24649" s="1">
        <v>44743</v>
      </c>
    </row>
    <row r="24650" spans="13:14" x14ac:dyDescent="0.3">
      <c r="M24650" t="e">
        <v>#N/A</v>
      </c>
      <c r="N24650" s="1">
        <v>44743</v>
      </c>
    </row>
    <row r="24651" spans="13:14" x14ac:dyDescent="0.3">
      <c r="M24651" t="e">
        <v>#N/A</v>
      </c>
      <c r="N24651" s="1">
        <v>44743</v>
      </c>
    </row>
    <row r="24652" spans="13:14" x14ac:dyDescent="0.3">
      <c r="M24652" t="e">
        <v>#N/A</v>
      </c>
      <c r="N24652" s="1">
        <v>44743</v>
      </c>
    </row>
    <row r="24653" spans="13:14" x14ac:dyDescent="0.3">
      <c r="M24653" t="e">
        <v>#N/A</v>
      </c>
      <c r="N24653" s="1">
        <v>44743</v>
      </c>
    </row>
    <row r="24654" spans="13:14" x14ac:dyDescent="0.3">
      <c r="M24654" t="e">
        <v>#N/A</v>
      </c>
      <c r="N24654" s="1">
        <v>44743</v>
      </c>
    </row>
    <row r="24655" spans="13:14" x14ac:dyDescent="0.3">
      <c r="M24655" t="e">
        <v>#N/A</v>
      </c>
      <c r="N24655" s="1">
        <v>44743</v>
      </c>
    </row>
    <row r="24656" spans="13:14" x14ac:dyDescent="0.3">
      <c r="M24656" t="e">
        <v>#N/A</v>
      </c>
      <c r="N24656" s="1">
        <v>44743</v>
      </c>
    </row>
    <row r="24657" spans="13:14" x14ac:dyDescent="0.3">
      <c r="M24657" t="e">
        <v>#N/A</v>
      </c>
      <c r="N24657" s="1">
        <v>44743</v>
      </c>
    </row>
    <row r="24658" spans="13:14" x14ac:dyDescent="0.3">
      <c r="M24658" t="e">
        <v>#N/A</v>
      </c>
      <c r="N24658" s="1">
        <v>44743</v>
      </c>
    </row>
    <row r="24659" spans="13:14" x14ac:dyDescent="0.3">
      <c r="M24659" t="e">
        <v>#N/A</v>
      </c>
      <c r="N24659" s="1">
        <v>44743</v>
      </c>
    </row>
    <row r="24660" spans="13:14" x14ac:dyDescent="0.3">
      <c r="M24660" t="e">
        <v>#N/A</v>
      </c>
      <c r="N24660" s="1">
        <v>44743</v>
      </c>
    </row>
    <row r="24661" spans="13:14" x14ac:dyDescent="0.3">
      <c r="M24661" t="e">
        <v>#N/A</v>
      </c>
      <c r="N24661" s="1">
        <v>44743</v>
      </c>
    </row>
    <row r="24662" spans="13:14" x14ac:dyDescent="0.3">
      <c r="M24662" t="e">
        <v>#N/A</v>
      </c>
      <c r="N24662" s="1">
        <v>44743</v>
      </c>
    </row>
    <row r="24663" spans="13:14" x14ac:dyDescent="0.3">
      <c r="M24663" t="e">
        <v>#N/A</v>
      </c>
      <c r="N24663" s="1">
        <v>44743</v>
      </c>
    </row>
    <row r="24664" spans="13:14" x14ac:dyDescent="0.3">
      <c r="M24664" t="e">
        <v>#N/A</v>
      </c>
      <c r="N24664" s="1">
        <v>44743</v>
      </c>
    </row>
    <row r="24665" spans="13:14" x14ac:dyDescent="0.3">
      <c r="M24665" t="e">
        <v>#N/A</v>
      </c>
      <c r="N24665" s="1">
        <v>44743</v>
      </c>
    </row>
    <row r="24666" spans="13:14" x14ac:dyDescent="0.3">
      <c r="M24666" t="e">
        <v>#N/A</v>
      </c>
      <c r="N24666" s="1">
        <v>44743</v>
      </c>
    </row>
    <row r="24667" spans="13:14" x14ac:dyDescent="0.3">
      <c r="M24667" t="e">
        <v>#N/A</v>
      </c>
      <c r="N24667" s="1">
        <v>44743</v>
      </c>
    </row>
    <row r="24668" spans="13:14" x14ac:dyDescent="0.3">
      <c r="M24668" t="e">
        <v>#N/A</v>
      </c>
      <c r="N24668" s="1">
        <v>44743</v>
      </c>
    </row>
    <row r="24669" spans="13:14" x14ac:dyDescent="0.3">
      <c r="M24669" t="e">
        <v>#N/A</v>
      </c>
      <c r="N24669" s="1">
        <v>44743</v>
      </c>
    </row>
    <row r="24670" spans="13:14" x14ac:dyDescent="0.3">
      <c r="M24670" t="e">
        <v>#N/A</v>
      </c>
      <c r="N24670" s="1">
        <v>44743</v>
      </c>
    </row>
    <row r="24671" spans="13:14" x14ac:dyDescent="0.3">
      <c r="M24671" t="e">
        <v>#N/A</v>
      </c>
      <c r="N24671" s="1">
        <v>44743</v>
      </c>
    </row>
    <row r="24672" spans="13:14" x14ac:dyDescent="0.3">
      <c r="M24672" t="e">
        <v>#N/A</v>
      </c>
      <c r="N24672" s="1">
        <v>44743</v>
      </c>
    </row>
    <row r="24673" spans="13:14" x14ac:dyDescent="0.3">
      <c r="M24673" t="e">
        <v>#N/A</v>
      </c>
      <c r="N24673" s="1">
        <v>44743</v>
      </c>
    </row>
    <row r="24674" spans="13:14" x14ac:dyDescent="0.3">
      <c r="M24674" t="e">
        <v>#N/A</v>
      </c>
      <c r="N24674" s="1">
        <v>44743</v>
      </c>
    </row>
    <row r="24675" spans="13:14" x14ac:dyDescent="0.3">
      <c r="M24675" t="e">
        <v>#N/A</v>
      </c>
      <c r="N24675" s="1">
        <v>44743</v>
      </c>
    </row>
    <row r="24676" spans="13:14" x14ac:dyDescent="0.3">
      <c r="M24676" t="e">
        <v>#N/A</v>
      </c>
      <c r="N24676" s="1">
        <v>44743</v>
      </c>
    </row>
    <row r="24677" spans="13:14" x14ac:dyDescent="0.3">
      <c r="M24677" t="e">
        <v>#N/A</v>
      </c>
      <c r="N24677" s="1">
        <v>44743</v>
      </c>
    </row>
    <row r="24678" spans="13:14" x14ac:dyDescent="0.3">
      <c r="M24678" t="e">
        <v>#N/A</v>
      </c>
      <c r="N24678" s="1">
        <v>44743</v>
      </c>
    </row>
    <row r="24679" spans="13:14" x14ac:dyDescent="0.3">
      <c r="M24679" t="e">
        <v>#N/A</v>
      </c>
      <c r="N24679" s="1">
        <v>44743</v>
      </c>
    </row>
    <row r="24680" spans="13:14" x14ac:dyDescent="0.3">
      <c r="M24680" t="e">
        <v>#N/A</v>
      </c>
      <c r="N24680" s="1">
        <v>44743</v>
      </c>
    </row>
    <row r="24681" spans="13:14" x14ac:dyDescent="0.3">
      <c r="M24681" t="e">
        <v>#N/A</v>
      </c>
      <c r="N24681" s="1">
        <v>44743</v>
      </c>
    </row>
    <row r="24682" spans="13:14" x14ac:dyDescent="0.3">
      <c r="M24682" t="e">
        <v>#N/A</v>
      </c>
      <c r="N24682" s="1">
        <v>44743</v>
      </c>
    </row>
    <row r="24683" spans="13:14" x14ac:dyDescent="0.3">
      <c r="M24683" t="e">
        <v>#N/A</v>
      </c>
      <c r="N24683" s="1">
        <v>44743</v>
      </c>
    </row>
    <row r="24684" spans="13:14" x14ac:dyDescent="0.3">
      <c r="M24684" t="e">
        <v>#N/A</v>
      </c>
      <c r="N24684" s="1">
        <v>44743</v>
      </c>
    </row>
    <row r="24685" spans="13:14" x14ac:dyDescent="0.3">
      <c r="M24685" t="e">
        <v>#N/A</v>
      </c>
      <c r="N24685" s="1">
        <v>44743</v>
      </c>
    </row>
    <row r="24686" spans="13:14" x14ac:dyDescent="0.3">
      <c r="M24686" t="e">
        <v>#N/A</v>
      </c>
      <c r="N24686" s="1">
        <v>44743</v>
      </c>
    </row>
    <row r="24687" spans="13:14" x14ac:dyDescent="0.3">
      <c r="M24687" t="e">
        <v>#N/A</v>
      </c>
      <c r="N24687" s="1">
        <v>44743</v>
      </c>
    </row>
    <row r="24688" spans="13:14" x14ac:dyDescent="0.3">
      <c r="M24688" t="e">
        <v>#N/A</v>
      </c>
      <c r="N24688" s="1">
        <v>44743</v>
      </c>
    </row>
    <row r="24689" spans="13:14" x14ac:dyDescent="0.3">
      <c r="M24689" t="e">
        <v>#N/A</v>
      </c>
      <c r="N24689" s="1">
        <v>44743</v>
      </c>
    </row>
    <row r="24690" spans="13:14" x14ac:dyDescent="0.3">
      <c r="M24690" t="e">
        <v>#N/A</v>
      </c>
      <c r="N24690" s="1">
        <v>44743</v>
      </c>
    </row>
    <row r="24691" spans="13:14" x14ac:dyDescent="0.3">
      <c r="M24691" t="e">
        <v>#N/A</v>
      </c>
      <c r="N24691" s="1">
        <v>44743</v>
      </c>
    </row>
    <row r="24692" spans="13:14" x14ac:dyDescent="0.3">
      <c r="M24692" t="e">
        <v>#N/A</v>
      </c>
      <c r="N24692" s="1">
        <v>44743</v>
      </c>
    </row>
    <row r="24693" spans="13:14" x14ac:dyDescent="0.3">
      <c r="M24693" t="e">
        <v>#N/A</v>
      </c>
      <c r="N24693" s="1">
        <v>44743</v>
      </c>
    </row>
    <row r="24694" spans="13:14" x14ac:dyDescent="0.3">
      <c r="M24694" t="e">
        <v>#N/A</v>
      </c>
      <c r="N24694" s="1">
        <v>44743</v>
      </c>
    </row>
    <row r="24695" spans="13:14" x14ac:dyDescent="0.3">
      <c r="M24695" t="e">
        <v>#N/A</v>
      </c>
      <c r="N24695" s="1">
        <v>44743</v>
      </c>
    </row>
    <row r="24696" spans="13:14" x14ac:dyDescent="0.3">
      <c r="M24696" t="e">
        <v>#N/A</v>
      </c>
      <c r="N24696" s="1">
        <v>44743</v>
      </c>
    </row>
    <row r="24697" spans="13:14" x14ac:dyDescent="0.3">
      <c r="M24697" t="e">
        <v>#N/A</v>
      </c>
      <c r="N24697" s="1">
        <v>44743</v>
      </c>
    </row>
    <row r="24698" spans="13:14" x14ac:dyDescent="0.3">
      <c r="M24698" t="e">
        <v>#N/A</v>
      </c>
      <c r="N24698" s="1">
        <v>44743</v>
      </c>
    </row>
    <row r="24699" spans="13:14" x14ac:dyDescent="0.3">
      <c r="M24699" t="e">
        <v>#N/A</v>
      </c>
      <c r="N24699" s="1">
        <v>44743</v>
      </c>
    </row>
    <row r="24700" spans="13:14" x14ac:dyDescent="0.3">
      <c r="M24700" t="e">
        <v>#N/A</v>
      </c>
      <c r="N24700" s="1">
        <v>44743</v>
      </c>
    </row>
    <row r="24701" spans="13:14" x14ac:dyDescent="0.3">
      <c r="M24701" t="e">
        <v>#N/A</v>
      </c>
      <c r="N24701" s="1">
        <v>44743</v>
      </c>
    </row>
    <row r="24702" spans="13:14" x14ac:dyDescent="0.3">
      <c r="M24702" t="e">
        <v>#N/A</v>
      </c>
      <c r="N24702" s="1">
        <v>44743</v>
      </c>
    </row>
    <row r="24703" spans="13:14" x14ac:dyDescent="0.3">
      <c r="M24703" t="e">
        <v>#N/A</v>
      </c>
      <c r="N24703" s="1">
        <v>44743</v>
      </c>
    </row>
    <row r="24704" spans="13:14" x14ac:dyDescent="0.3">
      <c r="M24704" t="e">
        <v>#N/A</v>
      </c>
      <c r="N24704" s="1">
        <v>44743</v>
      </c>
    </row>
    <row r="24705" spans="13:14" x14ac:dyDescent="0.3">
      <c r="M24705" t="e">
        <v>#N/A</v>
      </c>
      <c r="N24705" s="1">
        <v>44743</v>
      </c>
    </row>
    <row r="24706" spans="13:14" x14ac:dyDescent="0.3">
      <c r="M24706" t="e">
        <v>#N/A</v>
      </c>
      <c r="N24706" s="1">
        <v>44743</v>
      </c>
    </row>
    <row r="24707" spans="13:14" x14ac:dyDescent="0.3">
      <c r="M24707" t="e">
        <v>#N/A</v>
      </c>
      <c r="N24707" s="1">
        <v>44743</v>
      </c>
    </row>
    <row r="24708" spans="13:14" x14ac:dyDescent="0.3">
      <c r="M24708" t="e">
        <v>#N/A</v>
      </c>
      <c r="N24708" s="1">
        <v>44743</v>
      </c>
    </row>
    <row r="24709" spans="13:14" x14ac:dyDescent="0.3">
      <c r="M24709" t="e">
        <v>#N/A</v>
      </c>
      <c r="N24709" s="1">
        <v>44743</v>
      </c>
    </row>
    <row r="24710" spans="13:14" x14ac:dyDescent="0.3">
      <c r="M24710" t="e">
        <v>#N/A</v>
      </c>
      <c r="N24710" s="1">
        <v>44743</v>
      </c>
    </row>
    <row r="24711" spans="13:14" x14ac:dyDescent="0.3">
      <c r="M24711" t="e">
        <v>#N/A</v>
      </c>
      <c r="N24711" s="1">
        <v>44743</v>
      </c>
    </row>
    <row r="24712" spans="13:14" x14ac:dyDescent="0.3">
      <c r="M24712" t="e">
        <v>#N/A</v>
      </c>
      <c r="N24712" s="1">
        <v>44743</v>
      </c>
    </row>
    <row r="24713" spans="13:14" x14ac:dyDescent="0.3">
      <c r="M24713" t="e">
        <v>#N/A</v>
      </c>
      <c r="N24713" s="1">
        <v>44743</v>
      </c>
    </row>
    <row r="24714" spans="13:14" x14ac:dyDescent="0.3">
      <c r="M24714" t="e">
        <v>#N/A</v>
      </c>
      <c r="N24714" s="1">
        <v>44743</v>
      </c>
    </row>
    <row r="24715" spans="13:14" x14ac:dyDescent="0.3">
      <c r="M24715" t="e">
        <v>#N/A</v>
      </c>
      <c r="N24715" s="1">
        <v>44743</v>
      </c>
    </row>
    <row r="24716" spans="13:14" x14ac:dyDescent="0.3">
      <c r="M24716" t="e">
        <v>#N/A</v>
      </c>
      <c r="N24716" s="1">
        <v>44743</v>
      </c>
    </row>
    <row r="24717" spans="13:14" x14ac:dyDescent="0.3">
      <c r="M24717" t="e">
        <v>#N/A</v>
      </c>
      <c r="N24717" s="1">
        <v>44743</v>
      </c>
    </row>
    <row r="24718" spans="13:14" x14ac:dyDescent="0.3">
      <c r="M24718" t="e">
        <v>#N/A</v>
      </c>
      <c r="N24718" s="1">
        <v>44743</v>
      </c>
    </row>
    <row r="24719" spans="13:14" x14ac:dyDescent="0.3">
      <c r="M24719" t="e">
        <v>#N/A</v>
      </c>
      <c r="N24719" s="1">
        <v>44743</v>
      </c>
    </row>
    <row r="24720" spans="13:14" x14ac:dyDescent="0.3">
      <c r="M24720" t="e">
        <v>#N/A</v>
      </c>
      <c r="N24720" s="1">
        <v>44743</v>
      </c>
    </row>
    <row r="24721" spans="13:14" x14ac:dyDescent="0.3">
      <c r="M24721" t="e">
        <v>#N/A</v>
      </c>
      <c r="N24721" s="1">
        <v>44743</v>
      </c>
    </row>
    <row r="24722" spans="13:14" x14ac:dyDescent="0.3">
      <c r="M24722" t="e">
        <v>#N/A</v>
      </c>
      <c r="N24722" s="1">
        <v>44743</v>
      </c>
    </row>
    <row r="24723" spans="13:14" x14ac:dyDescent="0.3">
      <c r="M24723" t="e">
        <v>#N/A</v>
      </c>
      <c r="N24723" s="1">
        <v>44743</v>
      </c>
    </row>
    <row r="24724" spans="13:14" x14ac:dyDescent="0.3">
      <c r="M24724" t="e">
        <v>#N/A</v>
      </c>
      <c r="N24724" s="1">
        <v>44743</v>
      </c>
    </row>
    <row r="24725" spans="13:14" x14ac:dyDescent="0.3">
      <c r="M24725" t="e">
        <v>#N/A</v>
      </c>
      <c r="N24725" s="1">
        <v>44743</v>
      </c>
    </row>
    <row r="24726" spans="13:14" x14ac:dyDescent="0.3">
      <c r="M24726" t="e">
        <v>#N/A</v>
      </c>
      <c r="N24726" s="1">
        <v>44743</v>
      </c>
    </row>
    <row r="24727" spans="13:14" x14ac:dyDescent="0.3">
      <c r="M24727" t="e">
        <v>#N/A</v>
      </c>
      <c r="N24727" s="1">
        <v>44743</v>
      </c>
    </row>
    <row r="24728" spans="13:14" x14ac:dyDescent="0.3">
      <c r="M24728" t="e">
        <v>#N/A</v>
      </c>
      <c r="N24728" s="1">
        <v>44743</v>
      </c>
    </row>
    <row r="24729" spans="13:14" x14ac:dyDescent="0.3">
      <c r="M24729" t="e">
        <v>#N/A</v>
      </c>
      <c r="N24729" s="1">
        <v>44743</v>
      </c>
    </row>
    <row r="24730" spans="13:14" x14ac:dyDescent="0.3">
      <c r="M24730" t="e">
        <v>#N/A</v>
      </c>
      <c r="N24730" s="1">
        <v>44743</v>
      </c>
    </row>
    <row r="24731" spans="13:14" x14ac:dyDescent="0.3">
      <c r="M24731" t="e">
        <v>#N/A</v>
      </c>
      <c r="N24731" s="1">
        <v>44743</v>
      </c>
    </row>
    <row r="24732" spans="13:14" x14ac:dyDescent="0.3">
      <c r="M24732" t="e">
        <v>#N/A</v>
      </c>
      <c r="N24732" s="1">
        <v>44743</v>
      </c>
    </row>
    <row r="24733" spans="13:14" x14ac:dyDescent="0.3">
      <c r="M24733" t="e">
        <v>#N/A</v>
      </c>
      <c r="N24733" s="1">
        <v>44743</v>
      </c>
    </row>
    <row r="24734" spans="13:14" x14ac:dyDescent="0.3">
      <c r="M24734" t="e">
        <v>#N/A</v>
      </c>
      <c r="N24734" s="1">
        <v>44743</v>
      </c>
    </row>
    <row r="24735" spans="13:14" x14ac:dyDescent="0.3">
      <c r="M24735" t="e">
        <v>#N/A</v>
      </c>
      <c r="N24735" s="1">
        <v>44743</v>
      </c>
    </row>
    <row r="24736" spans="13:14" x14ac:dyDescent="0.3">
      <c r="M24736" t="e">
        <v>#N/A</v>
      </c>
      <c r="N24736" s="1">
        <v>44743</v>
      </c>
    </row>
    <row r="24737" spans="13:14" x14ac:dyDescent="0.3">
      <c r="M24737" t="e">
        <v>#N/A</v>
      </c>
      <c r="N24737" s="1">
        <v>44743</v>
      </c>
    </row>
    <row r="24738" spans="13:14" x14ac:dyDescent="0.3">
      <c r="M24738" t="e">
        <v>#N/A</v>
      </c>
      <c r="N24738" s="1">
        <v>44743</v>
      </c>
    </row>
    <row r="24739" spans="13:14" x14ac:dyDescent="0.3">
      <c r="M24739" t="e">
        <v>#N/A</v>
      </c>
      <c r="N24739" s="1">
        <v>44743</v>
      </c>
    </row>
    <row r="24740" spans="13:14" x14ac:dyDescent="0.3">
      <c r="M24740" t="e">
        <v>#N/A</v>
      </c>
      <c r="N24740" s="1">
        <v>44743</v>
      </c>
    </row>
    <row r="24741" spans="13:14" x14ac:dyDescent="0.3">
      <c r="M24741" t="e">
        <v>#N/A</v>
      </c>
      <c r="N24741" s="1">
        <v>44743</v>
      </c>
    </row>
    <row r="24742" spans="13:14" x14ac:dyDescent="0.3">
      <c r="M24742" t="e">
        <v>#N/A</v>
      </c>
      <c r="N24742" s="1">
        <v>44743</v>
      </c>
    </row>
    <row r="24743" spans="13:14" x14ac:dyDescent="0.3">
      <c r="M24743" t="e">
        <v>#N/A</v>
      </c>
      <c r="N24743" s="1">
        <v>44743</v>
      </c>
    </row>
    <row r="24744" spans="13:14" x14ac:dyDescent="0.3">
      <c r="M24744" t="e">
        <v>#N/A</v>
      </c>
      <c r="N24744" s="1">
        <v>44743</v>
      </c>
    </row>
    <row r="24745" spans="13:14" x14ac:dyDescent="0.3">
      <c r="M24745" t="e">
        <v>#N/A</v>
      </c>
      <c r="N24745" s="1">
        <v>44743</v>
      </c>
    </row>
    <row r="24746" spans="13:14" x14ac:dyDescent="0.3">
      <c r="M24746" t="e">
        <v>#N/A</v>
      </c>
      <c r="N24746" s="1">
        <v>44743</v>
      </c>
    </row>
    <row r="24747" spans="13:14" x14ac:dyDescent="0.3">
      <c r="M24747" t="e">
        <v>#N/A</v>
      </c>
      <c r="N24747" s="1">
        <v>44743</v>
      </c>
    </row>
    <row r="24748" spans="13:14" x14ac:dyDescent="0.3">
      <c r="M24748" t="e">
        <v>#N/A</v>
      </c>
      <c r="N24748" s="1">
        <v>44743</v>
      </c>
    </row>
    <row r="24749" spans="13:14" x14ac:dyDescent="0.3">
      <c r="M24749" t="e">
        <v>#N/A</v>
      </c>
      <c r="N24749" s="1">
        <v>44743</v>
      </c>
    </row>
    <row r="24750" spans="13:14" x14ac:dyDescent="0.3">
      <c r="M24750" t="e">
        <v>#N/A</v>
      </c>
      <c r="N24750" s="1">
        <v>44743</v>
      </c>
    </row>
    <row r="24751" spans="13:14" x14ac:dyDescent="0.3">
      <c r="M24751" t="e">
        <v>#N/A</v>
      </c>
      <c r="N24751" s="1">
        <v>44743</v>
      </c>
    </row>
    <row r="24752" spans="13:14" x14ac:dyDescent="0.3">
      <c r="M24752" t="e">
        <v>#N/A</v>
      </c>
      <c r="N24752" s="1">
        <v>44743</v>
      </c>
    </row>
    <row r="24753" spans="13:14" x14ac:dyDescent="0.3">
      <c r="M24753" t="e">
        <v>#N/A</v>
      </c>
      <c r="N24753" s="1">
        <v>44743</v>
      </c>
    </row>
    <row r="24754" spans="13:14" x14ac:dyDescent="0.3">
      <c r="M24754" t="e">
        <v>#N/A</v>
      </c>
      <c r="N24754" s="1">
        <v>44743</v>
      </c>
    </row>
    <row r="24755" spans="13:14" x14ac:dyDescent="0.3">
      <c r="M24755" t="e">
        <v>#N/A</v>
      </c>
      <c r="N24755" s="1">
        <v>44743</v>
      </c>
    </row>
    <row r="24756" spans="13:14" x14ac:dyDescent="0.3">
      <c r="M24756" t="e">
        <v>#N/A</v>
      </c>
      <c r="N24756" s="1">
        <v>44743</v>
      </c>
    </row>
    <row r="24757" spans="13:14" x14ac:dyDescent="0.3">
      <c r="M24757" t="e">
        <v>#N/A</v>
      </c>
      <c r="N24757" s="1">
        <v>44743</v>
      </c>
    </row>
    <row r="24758" spans="13:14" x14ac:dyDescent="0.3">
      <c r="M24758" t="e">
        <v>#N/A</v>
      </c>
      <c r="N24758" s="1">
        <v>44743</v>
      </c>
    </row>
    <row r="24759" spans="13:14" x14ac:dyDescent="0.3">
      <c r="M24759" t="e">
        <v>#N/A</v>
      </c>
      <c r="N24759" s="1">
        <v>44743</v>
      </c>
    </row>
    <row r="24760" spans="13:14" x14ac:dyDescent="0.3">
      <c r="M24760" t="e">
        <v>#N/A</v>
      </c>
      <c r="N24760" s="1">
        <v>44743</v>
      </c>
    </row>
    <row r="24761" spans="13:14" x14ac:dyDescent="0.3">
      <c r="M24761" t="e">
        <v>#N/A</v>
      </c>
      <c r="N24761" s="1">
        <v>44743</v>
      </c>
    </row>
    <row r="24762" spans="13:14" x14ac:dyDescent="0.3">
      <c r="M24762" t="e">
        <v>#N/A</v>
      </c>
      <c r="N24762" s="1">
        <v>44743</v>
      </c>
    </row>
    <row r="24763" spans="13:14" x14ac:dyDescent="0.3">
      <c r="M24763" t="e">
        <v>#N/A</v>
      </c>
      <c r="N24763" s="1">
        <v>44743</v>
      </c>
    </row>
    <row r="24764" spans="13:14" x14ac:dyDescent="0.3">
      <c r="M24764" t="e">
        <v>#N/A</v>
      </c>
      <c r="N24764" s="1">
        <v>44743</v>
      </c>
    </row>
    <row r="24765" spans="13:14" x14ac:dyDescent="0.3">
      <c r="M24765" t="e">
        <v>#N/A</v>
      </c>
      <c r="N24765" s="1">
        <v>44743</v>
      </c>
    </row>
    <row r="24766" spans="13:14" x14ac:dyDescent="0.3">
      <c r="M24766" t="e">
        <v>#N/A</v>
      </c>
      <c r="N24766" s="1">
        <v>44743</v>
      </c>
    </row>
    <row r="24767" spans="13:14" x14ac:dyDescent="0.3">
      <c r="M24767" t="e">
        <v>#N/A</v>
      </c>
      <c r="N24767" s="1">
        <v>44743</v>
      </c>
    </row>
    <row r="24768" spans="13:14" x14ac:dyDescent="0.3">
      <c r="M24768" t="e">
        <v>#N/A</v>
      </c>
      <c r="N24768" s="1">
        <v>44743</v>
      </c>
    </row>
    <row r="24769" spans="13:14" x14ac:dyDescent="0.3">
      <c r="M24769" t="e">
        <v>#N/A</v>
      </c>
      <c r="N24769" s="1">
        <v>44743</v>
      </c>
    </row>
    <row r="24770" spans="13:14" x14ac:dyDescent="0.3">
      <c r="M24770" t="e">
        <v>#N/A</v>
      </c>
      <c r="N24770" s="1">
        <v>44743</v>
      </c>
    </row>
    <row r="24771" spans="13:14" x14ac:dyDescent="0.3">
      <c r="M24771" t="e">
        <v>#N/A</v>
      </c>
      <c r="N24771" s="1">
        <v>44743</v>
      </c>
    </row>
    <row r="24772" spans="13:14" x14ac:dyDescent="0.3">
      <c r="M24772" t="e">
        <v>#N/A</v>
      </c>
      <c r="N24772" s="1">
        <v>44743</v>
      </c>
    </row>
    <row r="24773" spans="13:14" x14ac:dyDescent="0.3">
      <c r="M24773" t="e">
        <v>#N/A</v>
      </c>
      <c r="N24773" s="1">
        <v>44743</v>
      </c>
    </row>
    <row r="24774" spans="13:14" x14ac:dyDescent="0.3">
      <c r="M24774" t="e">
        <v>#N/A</v>
      </c>
      <c r="N24774" s="1">
        <v>44743</v>
      </c>
    </row>
    <row r="24775" spans="13:14" x14ac:dyDescent="0.3">
      <c r="M24775" t="e">
        <v>#N/A</v>
      </c>
      <c r="N24775" s="1">
        <v>44743</v>
      </c>
    </row>
    <row r="24776" spans="13:14" x14ac:dyDescent="0.3">
      <c r="M24776" t="e">
        <v>#N/A</v>
      </c>
      <c r="N24776" s="1">
        <v>44743</v>
      </c>
    </row>
    <row r="24777" spans="13:14" x14ac:dyDescent="0.3">
      <c r="M24777" t="e">
        <v>#N/A</v>
      </c>
      <c r="N24777" s="1">
        <v>44743</v>
      </c>
    </row>
    <row r="24778" spans="13:14" x14ac:dyDescent="0.3">
      <c r="M24778" t="e">
        <v>#N/A</v>
      </c>
      <c r="N24778" s="1">
        <v>44743</v>
      </c>
    </row>
    <row r="24779" spans="13:14" x14ac:dyDescent="0.3">
      <c r="M24779" t="e">
        <v>#N/A</v>
      </c>
      <c r="N24779" s="1">
        <v>44743</v>
      </c>
    </row>
    <row r="24780" spans="13:14" x14ac:dyDescent="0.3">
      <c r="M24780" t="e">
        <v>#N/A</v>
      </c>
      <c r="N24780" s="1">
        <v>44743</v>
      </c>
    </row>
    <row r="24781" spans="13:14" x14ac:dyDescent="0.3">
      <c r="M24781" t="e">
        <v>#N/A</v>
      </c>
      <c r="N24781" s="1">
        <v>44743</v>
      </c>
    </row>
    <row r="24782" spans="13:14" x14ac:dyDescent="0.3">
      <c r="M24782" t="e">
        <v>#N/A</v>
      </c>
      <c r="N24782" s="1">
        <v>44743</v>
      </c>
    </row>
    <row r="24783" spans="13:14" x14ac:dyDescent="0.3">
      <c r="M24783" t="e">
        <v>#N/A</v>
      </c>
      <c r="N24783" s="1">
        <v>44743</v>
      </c>
    </row>
    <row r="24784" spans="13:14" x14ac:dyDescent="0.3">
      <c r="M24784" t="e">
        <v>#N/A</v>
      </c>
      <c r="N24784" s="1">
        <v>44743</v>
      </c>
    </row>
    <row r="24785" spans="13:14" x14ac:dyDescent="0.3">
      <c r="M24785" t="e">
        <v>#N/A</v>
      </c>
      <c r="N24785" s="1">
        <v>44743</v>
      </c>
    </row>
    <row r="24786" spans="13:14" x14ac:dyDescent="0.3">
      <c r="M24786" t="e">
        <v>#N/A</v>
      </c>
      <c r="N24786" s="1">
        <v>44835</v>
      </c>
    </row>
    <row r="24787" spans="13:14" x14ac:dyDescent="0.3">
      <c r="M24787" t="e">
        <v>#N/A</v>
      </c>
      <c r="N24787" s="1">
        <v>44835</v>
      </c>
    </row>
    <row r="24788" spans="13:14" x14ac:dyDescent="0.3">
      <c r="M24788" t="e">
        <v>#N/A</v>
      </c>
      <c r="N24788" s="1">
        <v>44835</v>
      </c>
    </row>
    <row r="24789" spans="13:14" x14ac:dyDescent="0.3">
      <c r="M24789" t="e">
        <v>#N/A</v>
      </c>
      <c r="N24789" s="1">
        <v>44835</v>
      </c>
    </row>
    <row r="24790" spans="13:14" x14ac:dyDescent="0.3">
      <c r="M24790" t="e">
        <v>#N/A</v>
      </c>
      <c r="N24790" s="1">
        <v>44835</v>
      </c>
    </row>
    <row r="24791" spans="13:14" x14ac:dyDescent="0.3">
      <c r="M24791" t="e">
        <v>#N/A</v>
      </c>
      <c r="N24791" s="1">
        <v>44835</v>
      </c>
    </row>
    <row r="24792" spans="13:14" x14ac:dyDescent="0.3">
      <c r="M24792" t="e">
        <v>#N/A</v>
      </c>
      <c r="N24792" s="1">
        <v>44835</v>
      </c>
    </row>
    <row r="24793" spans="13:14" x14ac:dyDescent="0.3">
      <c r="M24793" t="e">
        <v>#N/A</v>
      </c>
      <c r="N24793" s="1">
        <v>44835</v>
      </c>
    </row>
    <row r="24794" spans="13:14" x14ac:dyDescent="0.3">
      <c r="M24794" t="e">
        <v>#N/A</v>
      </c>
      <c r="N24794" s="1">
        <v>44835</v>
      </c>
    </row>
    <row r="24795" spans="13:14" x14ac:dyDescent="0.3">
      <c r="M24795" t="e">
        <v>#N/A</v>
      </c>
      <c r="N24795" s="1">
        <v>44835</v>
      </c>
    </row>
    <row r="24796" spans="13:14" x14ac:dyDescent="0.3">
      <c r="M24796" t="e">
        <v>#N/A</v>
      </c>
      <c r="N24796" s="1">
        <v>44835</v>
      </c>
    </row>
    <row r="24797" spans="13:14" x14ac:dyDescent="0.3">
      <c r="M24797" t="e">
        <v>#N/A</v>
      </c>
      <c r="N24797" s="1">
        <v>44835</v>
      </c>
    </row>
    <row r="24798" spans="13:14" x14ac:dyDescent="0.3">
      <c r="M24798" t="e">
        <v>#N/A</v>
      </c>
      <c r="N24798" s="1">
        <v>44835</v>
      </c>
    </row>
    <row r="24799" spans="13:14" x14ac:dyDescent="0.3">
      <c r="M24799" t="e">
        <v>#N/A</v>
      </c>
      <c r="N24799" s="1">
        <v>44835</v>
      </c>
    </row>
    <row r="24800" spans="13:14" x14ac:dyDescent="0.3">
      <c r="M24800" t="e">
        <v>#N/A</v>
      </c>
      <c r="N24800" s="1">
        <v>44835</v>
      </c>
    </row>
    <row r="24801" spans="13:14" x14ac:dyDescent="0.3">
      <c r="M24801" t="e">
        <v>#N/A</v>
      </c>
      <c r="N24801" s="1">
        <v>44835</v>
      </c>
    </row>
    <row r="24802" spans="13:14" x14ac:dyDescent="0.3">
      <c r="M24802" t="e">
        <v>#N/A</v>
      </c>
      <c r="N24802" s="1">
        <v>44835</v>
      </c>
    </row>
    <row r="24803" spans="13:14" x14ac:dyDescent="0.3">
      <c r="M24803" t="e">
        <v>#N/A</v>
      </c>
      <c r="N24803" s="1">
        <v>44835</v>
      </c>
    </row>
    <row r="24804" spans="13:14" x14ac:dyDescent="0.3">
      <c r="M24804" t="e">
        <v>#N/A</v>
      </c>
      <c r="N24804" s="1">
        <v>44835</v>
      </c>
    </row>
    <row r="24805" spans="13:14" x14ac:dyDescent="0.3">
      <c r="M24805" t="e">
        <v>#N/A</v>
      </c>
      <c r="N24805" s="1">
        <v>44835</v>
      </c>
    </row>
    <row r="24806" spans="13:14" x14ac:dyDescent="0.3">
      <c r="M24806" t="e">
        <v>#N/A</v>
      </c>
      <c r="N24806" s="1">
        <v>44835</v>
      </c>
    </row>
    <row r="24807" spans="13:14" x14ac:dyDescent="0.3">
      <c r="M24807" t="e">
        <v>#N/A</v>
      </c>
      <c r="N24807" s="1">
        <v>44835</v>
      </c>
    </row>
    <row r="24808" spans="13:14" x14ac:dyDescent="0.3">
      <c r="M24808" t="e">
        <v>#N/A</v>
      </c>
      <c r="N24808" s="1">
        <v>44835</v>
      </c>
    </row>
    <row r="24809" spans="13:14" x14ac:dyDescent="0.3">
      <c r="M24809" t="e">
        <v>#N/A</v>
      </c>
      <c r="N24809" s="1">
        <v>44835</v>
      </c>
    </row>
    <row r="24810" spans="13:14" x14ac:dyDescent="0.3">
      <c r="M24810" t="e">
        <v>#N/A</v>
      </c>
      <c r="N24810" s="1">
        <v>44835</v>
      </c>
    </row>
    <row r="24811" spans="13:14" x14ac:dyDescent="0.3">
      <c r="M24811" t="e">
        <v>#N/A</v>
      </c>
      <c r="N24811" s="1">
        <v>44835</v>
      </c>
    </row>
    <row r="24812" spans="13:14" x14ac:dyDescent="0.3">
      <c r="M24812" t="e">
        <v>#N/A</v>
      </c>
      <c r="N24812" s="1">
        <v>44835</v>
      </c>
    </row>
    <row r="24813" spans="13:14" x14ac:dyDescent="0.3">
      <c r="M24813" t="e">
        <v>#N/A</v>
      </c>
      <c r="N24813" s="1">
        <v>44835</v>
      </c>
    </row>
    <row r="24814" spans="13:14" x14ac:dyDescent="0.3">
      <c r="M24814" t="e">
        <v>#N/A</v>
      </c>
      <c r="N24814" s="1">
        <v>44835</v>
      </c>
    </row>
    <row r="24815" spans="13:14" x14ac:dyDescent="0.3">
      <c r="M24815" t="e">
        <v>#N/A</v>
      </c>
      <c r="N24815" s="1">
        <v>44835</v>
      </c>
    </row>
    <row r="24816" spans="13:14" x14ac:dyDescent="0.3">
      <c r="M24816" t="e">
        <v>#N/A</v>
      </c>
      <c r="N24816" s="1">
        <v>44835</v>
      </c>
    </row>
    <row r="24817" spans="13:14" x14ac:dyDescent="0.3">
      <c r="M24817" t="e">
        <v>#N/A</v>
      </c>
      <c r="N24817" s="1">
        <v>44835</v>
      </c>
    </row>
    <row r="24818" spans="13:14" x14ac:dyDescent="0.3">
      <c r="M24818" t="e">
        <v>#N/A</v>
      </c>
      <c r="N24818" s="1">
        <v>44835</v>
      </c>
    </row>
    <row r="24819" spans="13:14" x14ac:dyDescent="0.3">
      <c r="M24819" t="e">
        <v>#N/A</v>
      </c>
      <c r="N24819" s="1">
        <v>44835</v>
      </c>
    </row>
    <row r="24820" spans="13:14" x14ac:dyDescent="0.3">
      <c r="M24820" t="e">
        <v>#N/A</v>
      </c>
      <c r="N24820" s="1">
        <v>44835</v>
      </c>
    </row>
    <row r="24821" spans="13:14" x14ac:dyDescent="0.3">
      <c r="M24821" t="e">
        <v>#N/A</v>
      </c>
      <c r="N24821" s="1">
        <v>44835</v>
      </c>
    </row>
    <row r="24822" spans="13:14" x14ac:dyDescent="0.3">
      <c r="M24822" t="e">
        <v>#N/A</v>
      </c>
      <c r="N24822" s="1">
        <v>44835</v>
      </c>
    </row>
    <row r="24823" spans="13:14" x14ac:dyDescent="0.3">
      <c r="M24823" t="e">
        <v>#N/A</v>
      </c>
      <c r="N24823" s="1">
        <v>44835</v>
      </c>
    </row>
    <row r="24824" spans="13:14" x14ac:dyDescent="0.3">
      <c r="M24824" t="e">
        <v>#N/A</v>
      </c>
      <c r="N24824" s="1">
        <v>44835</v>
      </c>
    </row>
    <row r="24825" spans="13:14" x14ac:dyDescent="0.3">
      <c r="M24825" t="e">
        <v>#N/A</v>
      </c>
      <c r="N24825" s="1">
        <v>44835</v>
      </c>
    </row>
    <row r="24826" spans="13:14" x14ac:dyDescent="0.3">
      <c r="M24826" t="e">
        <v>#N/A</v>
      </c>
      <c r="N24826" s="1">
        <v>44835</v>
      </c>
    </row>
    <row r="24827" spans="13:14" x14ac:dyDescent="0.3">
      <c r="M24827" t="e">
        <v>#N/A</v>
      </c>
      <c r="N24827" s="1">
        <v>44835</v>
      </c>
    </row>
    <row r="24828" spans="13:14" x14ac:dyDescent="0.3">
      <c r="M24828" t="e">
        <v>#N/A</v>
      </c>
      <c r="N24828" s="1">
        <v>44835</v>
      </c>
    </row>
    <row r="24829" spans="13:14" x14ac:dyDescent="0.3">
      <c r="M24829" t="e">
        <v>#N/A</v>
      </c>
      <c r="N24829" s="1">
        <v>44835</v>
      </c>
    </row>
    <row r="24830" spans="13:14" x14ac:dyDescent="0.3">
      <c r="M24830" t="e">
        <v>#N/A</v>
      </c>
      <c r="N24830" s="1">
        <v>44835</v>
      </c>
    </row>
    <row r="24831" spans="13:14" x14ac:dyDescent="0.3">
      <c r="M24831" t="e">
        <v>#N/A</v>
      </c>
      <c r="N24831" s="1">
        <v>44835</v>
      </c>
    </row>
    <row r="24832" spans="13:14" x14ac:dyDescent="0.3">
      <c r="M24832" t="e">
        <v>#N/A</v>
      </c>
      <c r="N24832" s="1">
        <v>44835</v>
      </c>
    </row>
    <row r="24833" spans="13:14" x14ac:dyDescent="0.3">
      <c r="M24833" t="e">
        <v>#N/A</v>
      </c>
      <c r="N24833" s="1">
        <v>44835</v>
      </c>
    </row>
    <row r="24834" spans="13:14" x14ac:dyDescent="0.3">
      <c r="M24834" t="e">
        <v>#N/A</v>
      </c>
      <c r="N24834" s="1">
        <v>44835</v>
      </c>
    </row>
    <row r="24835" spans="13:14" x14ac:dyDescent="0.3">
      <c r="M24835" t="e">
        <v>#N/A</v>
      </c>
      <c r="N24835" s="1">
        <v>44835</v>
      </c>
    </row>
    <row r="24836" spans="13:14" x14ac:dyDescent="0.3">
      <c r="M24836" t="e">
        <v>#N/A</v>
      </c>
      <c r="N24836" s="1">
        <v>44835</v>
      </c>
    </row>
    <row r="24837" spans="13:14" x14ac:dyDescent="0.3">
      <c r="M24837" t="e">
        <v>#N/A</v>
      </c>
      <c r="N24837" s="1">
        <v>44835</v>
      </c>
    </row>
    <row r="24838" spans="13:14" x14ac:dyDescent="0.3">
      <c r="M24838" t="e">
        <v>#N/A</v>
      </c>
      <c r="N24838" s="1">
        <v>44835</v>
      </c>
    </row>
    <row r="24839" spans="13:14" x14ac:dyDescent="0.3">
      <c r="M24839" t="e">
        <v>#N/A</v>
      </c>
      <c r="N24839" s="1">
        <v>44835</v>
      </c>
    </row>
    <row r="24840" spans="13:14" x14ac:dyDescent="0.3">
      <c r="M24840" t="e">
        <v>#N/A</v>
      </c>
      <c r="N24840" s="1">
        <v>44835</v>
      </c>
    </row>
    <row r="24841" spans="13:14" x14ac:dyDescent="0.3">
      <c r="M24841" t="e">
        <v>#N/A</v>
      </c>
      <c r="N24841" s="1">
        <v>44835</v>
      </c>
    </row>
    <row r="24842" spans="13:14" x14ac:dyDescent="0.3">
      <c r="M24842" t="e">
        <v>#N/A</v>
      </c>
      <c r="N24842" s="1">
        <v>44835</v>
      </c>
    </row>
    <row r="24843" spans="13:14" x14ac:dyDescent="0.3">
      <c r="M24843" t="e">
        <v>#N/A</v>
      </c>
      <c r="N24843" s="1">
        <v>44835</v>
      </c>
    </row>
    <row r="24844" spans="13:14" x14ac:dyDescent="0.3">
      <c r="M24844" t="e">
        <v>#N/A</v>
      </c>
      <c r="N24844" s="1">
        <v>44835</v>
      </c>
    </row>
    <row r="24845" spans="13:14" x14ac:dyDescent="0.3">
      <c r="M24845" t="e">
        <v>#N/A</v>
      </c>
      <c r="N24845" s="1">
        <v>44835</v>
      </c>
    </row>
    <row r="24846" spans="13:14" x14ac:dyDescent="0.3">
      <c r="M24846" t="e">
        <v>#N/A</v>
      </c>
      <c r="N24846" s="1">
        <v>44835</v>
      </c>
    </row>
    <row r="24847" spans="13:14" x14ac:dyDescent="0.3">
      <c r="M24847" t="e">
        <v>#N/A</v>
      </c>
      <c r="N24847" s="1">
        <v>44835</v>
      </c>
    </row>
    <row r="24848" spans="13:14" x14ac:dyDescent="0.3">
      <c r="M24848" t="e">
        <v>#N/A</v>
      </c>
      <c r="N24848" s="1">
        <v>44835</v>
      </c>
    </row>
    <row r="24849" spans="13:14" x14ac:dyDescent="0.3">
      <c r="M24849" t="e">
        <v>#N/A</v>
      </c>
      <c r="N24849" s="1">
        <v>44835</v>
      </c>
    </row>
    <row r="24850" spans="13:14" x14ac:dyDescent="0.3">
      <c r="M24850" t="e">
        <v>#N/A</v>
      </c>
      <c r="N24850" s="1">
        <v>44835</v>
      </c>
    </row>
    <row r="24851" spans="13:14" x14ac:dyDescent="0.3">
      <c r="M24851" t="e">
        <v>#N/A</v>
      </c>
      <c r="N24851" s="1">
        <v>44835</v>
      </c>
    </row>
    <row r="24852" spans="13:14" x14ac:dyDescent="0.3">
      <c r="M24852" t="e">
        <v>#N/A</v>
      </c>
      <c r="N24852" s="1">
        <v>44835</v>
      </c>
    </row>
    <row r="24853" spans="13:14" x14ac:dyDescent="0.3">
      <c r="M24853" t="e">
        <v>#N/A</v>
      </c>
      <c r="N24853" s="1">
        <v>44835</v>
      </c>
    </row>
    <row r="24854" spans="13:14" x14ac:dyDescent="0.3">
      <c r="M24854" t="e">
        <v>#N/A</v>
      </c>
      <c r="N24854" s="1">
        <v>44835</v>
      </c>
    </row>
    <row r="24855" spans="13:14" x14ac:dyDescent="0.3">
      <c r="M24855" t="e">
        <v>#N/A</v>
      </c>
      <c r="N24855" s="1">
        <v>44835</v>
      </c>
    </row>
    <row r="24856" spans="13:14" x14ac:dyDescent="0.3">
      <c r="M24856" t="e">
        <v>#N/A</v>
      </c>
      <c r="N24856" s="1">
        <v>44835</v>
      </c>
    </row>
    <row r="24857" spans="13:14" x14ac:dyDescent="0.3">
      <c r="M24857" t="e">
        <v>#N/A</v>
      </c>
      <c r="N24857" s="1">
        <v>44835</v>
      </c>
    </row>
    <row r="24858" spans="13:14" x14ac:dyDescent="0.3">
      <c r="M24858" t="e">
        <v>#N/A</v>
      </c>
      <c r="N24858" s="1">
        <v>44835</v>
      </c>
    </row>
    <row r="24859" spans="13:14" x14ac:dyDescent="0.3">
      <c r="M24859" t="e">
        <v>#N/A</v>
      </c>
      <c r="N24859" s="1">
        <v>44835</v>
      </c>
    </row>
    <row r="24860" spans="13:14" x14ac:dyDescent="0.3">
      <c r="M24860" t="e">
        <v>#N/A</v>
      </c>
      <c r="N24860" s="1">
        <v>44835</v>
      </c>
    </row>
    <row r="24861" spans="13:14" x14ac:dyDescent="0.3">
      <c r="M24861" t="e">
        <v>#N/A</v>
      </c>
      <c r="N24861" s="1">
        <v>44835</v>
      </c>
    </row>
    <row r="24862" spans="13:14" x14ac:dyDescent="0.3">
      <c r="M24862" t="e">
        <v>#N/A</v>
      </c>
      <c r="N24862" s="1">
        <v>44835</v>
      </c>
    </row>
    <row r="24863" spans="13:14" x14ac:dyDescent="0.3">
      <c r="M24863" t="e">
        <v>#N/A</v>
      </c>
      <c r="N24863" s="1">
        <v>44835</v>
      </c>
    </row>
    <row r="24864" spans="13:14" x14ac:dyDescent="0.3">
      <c r="M24864" t="e">
        <v>#N/A</v>
      </c>
      <c r="N24864" s="1">
        <v>44835</v>
      </c>
    </row>
    <row r="24865" spans="13:14" x14ac:dyDescent="0.3">
      <c r="M24865" t="e">
        <v>#N/A</v>
      </c>
      <c r="N24865" s="1">
        <v>44835</v>
      </c>
    </row>
    <row r="24866" spans="13:14" x14ac:dyDescent="0.3">
      <c r="M24866" t="e">
        <v>#N/A</v>
      </c>
      <c r="N24866" s="1">
        <v>44835</v>
      </c>
    </row>
    <row r="24867" spans="13:14" x14ac:dyDescent="0.3">
      <c r="M24867" t="e">
        <v>#N/A</v>
      </c>
      <c r="N24867" s="1">
        <v>44835</v>
      </c>
    </row>
    <row r="24868" spans="13:14" x14ac:dyDescent="0.3">
      <c r="M24868" t="e">
        <v>#N/A</v>
      </c>
      <c r="N24868" s="1">
        <v>44835</v>
      </c>
    </row>
    <row r="24869" spans="13:14" x14ac:dyDescent="0.3">
      <c r="M24869" t="e">
        <v>#N/A</v>
      </c>
      <c r="N24869" s="1">
        <v>44835</v>
      </c>
    </row>
    <row r="24870" spans="13:14" x14ac:dyDescent="0.3">
      <c r="M24870" t="e">
        <v>#N/A</v>
      </c>
      <c r="N24870" s="1">
        <v>44835</v>
      </c>
    </row>
    <row r="24871" spans="13:14" x14ac:dyDescent="0.3">
      <c r="M24871" t="e">
        <v>#N/A</v>
      </c>
      <c r="N24871" s="1">
        <v>44835</v>
      </c>
    </row>
    <row r="24872" spans="13:14" x14ac:dyDescent="0.3">
      <c r="M24872" t="e">
        <v>#N/A</v>
      </c>
      <c r="N24872" s="1">
        <v>44835</v>
      </c>
    </row>
    <row r="24873" spans="13:14" x14ac:dyDescent="0.3">
      <c r="M24873" t="e">
        <v>#N/A</v>
      </c>
      <c r="N24873" s="1">
        <v>44835</v>
      </c>
    </row>
    <row r="24874" spans="13:14" x14ac:dyDescent="0.3">
      <c r="M24874" t="e">
        <v>#N/A</v>
      </c>
      <c r="N24874" s="1">
        <v>44835</v>
      </c>
    </row>
    <row r="24875" spans="13:14" x14ac:dyDescent="0.3">
      <c r="M24875" t="e">
        <v>#N/A</v>
      </c>
      <c r="N24875" s="1">
        <v>44835</v>
      </c>
    </row>
    <row r="24876" spans="13:14" x14ac:dyDescent="0.3">
      <c r="M24876" t="e">
        <v>#N/A</v>
      </c>
      <c r="N24876" s="1">
        <v>44835</v>
      </c>
    </row>
    <row r="24877" spans="13:14" x14ac:dyDescent="0.3">
      <c r="M24877" t="e">
        <v>#N/A</v>
      </c>
      <c r="N24877" s="1">
        <v>44835</v>
      </c>
    </row>
    <row r="24878" spans="13:14" x14ac:dyDescent="0.3">
      <c r="M24878" t="e">
        <v>#N/A</v>
      </c>
      <c r="N24878" s="1">
        <v>44835</v>
      </c>
    </row>
    <row r="24879" spans="13:14" x14ac:dyDescent="0.3">
      <c r="M24879" t="e">
        <v>#N/A</v>
      </c>
      <c r="N24879" s="1">
        <v>44835</v>
      </c>
    </row>
    <row r="24880" spans="13:14" x14ac:dyDescent="0.3">
      <c r="M24880" t="e">
        <v>#N/A</v>
      </c>
      <c r="N24880" s="1">
        <v>44835</v>
      </c>
    </row>
    <row r="24881" spans="13:14" x14ac:dyDescent="0.3">
      <c r="M24881" t="e">
        <v>#N/A</v>
      </c>
      <c r="N24881" s="1">
        <v>44835</v>
      </c>
    </row>
    <row r="24882" spans="13:14" x14ac:dyDescent="0.3">
      <c r="M24882" t="e">
        <v>#N/A</v>
      </c>
      <c r="N24882" s="1">
        <v>44835</v>
      </c>
    </row>
    <row r="24883" spans="13:14" x14ac:dyDescent="0.3">
      <c r="M24883" t="e">
        <v>#N/A</v>
      </c>
      <c r="N24883" s="1">
        <v>44835</v>
      </c>
    </row>
    <row r="24884" spans="13:14" x14ac:dyDescent="0.3">
      <c r="M24884" t="e">
        <v>#N/A</v>
      </c>
      <c r="N24884" s="1">
        <v>44835</v>
      </c>
    </row>
    <row r="24885" spans="13:14" x14ac:dyDescent="0.3">
      <c r="M24885" t="e">
        <v>#N/A</v>
      </c>
      <c r="N24885" s="1">
        <v>44835</v>
      </c>
    </row>
    <row r="24886" spans="13:14" x14ac:dyDescent="0.3">
      <c r="M24886" t="e">
        <v>#N/A</v>
      </c>
      <c r="N24886" s="1">
        <v>44835</v>
      </c>
    </row>
    <row r="24887" spans="13:14" x14ac:dyDescent="0.3">
      <c r="M24887" t="e">
        <v>#N/A</v>
      </c>
      <c r="N24887" s="1">
        <v>44835</v>
      </c>
    </row>
    <row r="24888" spans="13:14" x14ac:dyDescent="0.3">
      <c r="M24888" t="e">
        <v>#N/A</v>
      </c>
      <c r="N24888" s="1">
        <v>44835</v>
      </c>
    </row>
    <row r="24889" spans="13:14" x14ac:dyDescent="0.3">
      <c r="M24889" t="e">
        <v>#N/A</v>
      </c>
      <c r="N24889" s="1">
        <v>44835</v>
      </c>
    </row>
    <row r="24890" spans="13:14" x14ac:dyDescent="0.3">
      <c r="M24890" t="e">
        <v>#N/A</v>
      </c>
      <c r="N24890" s="1">
        <v>44835</v>
      </c>
    </row>
    <row r="24891" spans="13:14" x14ac:dyDescent="0.3">
      <c r="M24891" t="e">
        <v>#N/A</v>
      </c>
      <c r="N24891" s="1">
        <v>44835</v>
      </c>
    </row>
    <row r="24892" spans="13:14" x14ac:dyDescent="0.3">
      <c r="M24892" t="e">
        <v>#N/A</v>
      </c>
      <c r="N24892" s="1">
        <v>44835</v>
      </c>
    </row>
    <row r="24893" spans="13:14" x14ac:dyDescent="0.3">
      <c r="M24893" t="e">
        <v>#N/A</v>
      </c>
      <c r="N24893" s="1">
        <v>44835</v>
      </c>
    </row>
    <row r="24894" spans="13:14" x14ac:dyDescent="0.3">
      <c r="M24894" t="e">
        <v>#N/A</v>
      </c>
      <c r="N24894" s="1">
        <v>44835</v>
      </c>
    </row>
    <row r="24895" spans="13:14" x14ac:dyDescent="0.3">
      <c r="M24895" t="e">
        <v>#N/A</v>
      </c>
      <c r="N24895" s="1">
        <v>44835</v>
      </c>
    </row>
    <row r="24896" spans="13:14" x14ac:dyDescent="0.3">
      <c r="M24896" t="e">
        <v>#N/A</v>
      </c>
      <c r="N24896" s="1">
        <v>44835</v>
      </c>
    </row>
    <row r="24897" spans="13:14" x14ac:dyDescent="0.3">
      <c r="M24897" t="e">
        <v>#N/A</v>
      </c>
      <c r="N24897" s="1">
        <v>44835</v>
      </c>
    </row>
    <row r="24898" spans="13:14" x14ac:dyDescent="0.3">
      <c r="M24898" t="e">
        <v>#N/A</v>
      </c>
      <c r="N24898" s="1">
        <v>44835</v>
      </c>
    </row>
    <row r="24899" spans="13:14" x14ac:dyDescent="0.3">
      <c r="M24899" t="e">
        <v>#N/A</v>
      </c>
      <c r="N24899" s="1">
        <v>44835</v>
      </c>
    </row>
    <row r="24900" spans="13:14" x14ac:dyDescent="0.3">
      <c r="M24900" t="e">
        <v>#N/A</v>
      </c>
      <c r="N24900" s="1">
        <v>44835</v>
      </c>
    </row>
    <row r="24901" spans="13:14" x14ac:dyDescent="0.3">
      <c r="M24901" t="e">
        <v>#N/A</v>
      </c>
      <c r="N24901" s="1">
        <v>44835</v>
      </c>
    </row>
    <row r="24902" spans="13:14" x14ac:dyDescent="0.3">
      <c r="M24902" t="e">
        <v>#N/A</v>
      </c>
      <c r="N24902" s="1">
        <v>44835</v>
      </c>
    </row>
    <row r="24903" spans="13:14" x14ac:dyDescent="0.3">
      <c r="M24903" t="e">
        <v>#N/A</v>
      </c>
      <c r="N24903" s="1">
        <v>44835</v>
      </c>
    </row>
    <row r="24904" spans="13:14" x14ac:dyDescent="0.3">
      <c r="M24904" t="e">
        <v>#N/A</v>
      </c>
      <c r="N24904" s="1">
        <v>44835</v>
      </c>
    </row>
    <row r="24905" spans="13:14" x14ac:dyDescent="0.3">
      <c r="M24905" t="e">
        <v>#N/A</v>
      </c>
      <c r="N24905" s="1">
        <v>44835</v>
      </c>
    </row>
    <row r="24906" spans="13:14" x14ac:dyDescent="0.3">
      <c r="M24906" t="e">
        <v>#N/A</v>
      </c>
      <c r="N24906" s="1">
        <v>44835</v>
      </c>
    </row>
    <row r="24907" spans="13:14" x14ac:dyDescent="0.3">
      <c r="M24907" t="e">
        <v>#N/A</v>
      </c>
      <c r="N24907" s="1">
        <v>44835</v>
      </c>
    </row>
    <row r="24908" spans="13:14" x14ac:dyDescent="0.3">
      <c r="M24908" t="e">
        <v>#N/A</v>
      </c>
      <c r="N24908" s="1">
        <v>44835</v>
      </c>
    </row>
    <row r="24909" spans="13:14" x14ac:dyDescent="0.3">
      <c r="M24909" t="e">
        <v>#N/A</v>
      </c>
      <c r="N24909" s="1">
        <v>44835</v>
      </c>
    </row>
    <row r="24910" spans="13:14" x14ac:dyDescent="0.3">
      <c r="M24910" t="e">
        <v>#N/A</v>
      </c>
      <c r="N24910" s="1">
        <v>44835</v>
      </c>
    </row>
    <row r="24911" spans="13:14" x14ac:dyDescent="0.3">
      <c r="M24911" t="e">
        <v>#N/A</v>
      </c>
      <c r="N24911" s="1">
        <v>44835</v>
      </c>
    </row>
    <row r="24912" spans="13:14" x14ac:dyDescent="0.3">
      <c r="M24912" t="e">
        <v>#N/A</v>
      </c>
      <c r="N24912" s="1">
        <v>44835</v>
      </c>
    </row>
    <row r="24913" spans="13:14" x14ac:dyDescent="0.3">
      <c r="M24913" t="e">
        <v>#N/A</v>
      </c>
      <c r="N24913" s="1">
        <v>44835</v>
      </c>
    </row>
    <row r="24914" spans="13:14" x14ac:dyDescent="0.3">
      <c r="M24914" t="e">
        <v>#N/A</v>
      </c>
      <c r="N24914" s="1">
        <v>44835</v>
      </c>
    </row>
    <row r="24915" spans="13:14" x14ac:dyDescent="0.3">
      <c r="M24915" t="e">
        <v>#N/A</v>
      </c>
      <c r="N24915" s="1">
        <v>44835</v>
      </c>
    </row>
    <row r="24916" spans="13:14" x14ac:dyDescent="0.3">
      <c r="M24916" t="e">
        <v>#N/A</v>
      </c>
      <c r="N24916" s="1">
        <v>44835</v>
      </c>
    </row>
    <row r="24917" spans="13:14" x14ac:dyDescent="0.3">
      <c r="M24917" t="e">
        <v>#N/A</v>
      </c>
      <c r="N24917" s="1">
        <v>44835</v>
      </c>
    </row>
    <row r="24918" spans="13:14" x14ac:dyDescent="0.3">
      <c r="M24918" t="e">
        <v>#N/A</v>
      </c>
      <c r="N24918" s="1">
        <v>44835</v>
      </c>
    </row>
    <row r="24919" spans="13:14" x14ac:dyDescent="0.3">
      <c r="M24919" t="e">
        <v>#N/A</v>
      </c>
      <c r="N24919" s="1">
        <v>44835</v>
      </c>
    </row>
    <row r="24920" spans="13:14" x14ac:dyDescent="0.3">
      <c r="M24920" t="e">
        <v>#N/A</v>
      </c>
      <c r="N24920" s="1">
        <v>44835</v>
      </c>
    </row>
    <row r="24921" spans="13:14" x14ac:dyDescent="0.3">
      <c r="M24921" t="e">
        <v>#N/A</v>
      </c>
      <c r="N24921" s="1">
        <v>44835</v>
      </c>
    </row>
    <row r="24922" spans="13:14" x14ac:dyDescent="0.3">
      <c r="M24922" t="e">
        <v>#N/A</v>
      </c>
      <c r="N24922" s="1">
        <v>44835</v>
      </c>
    </row>
    <row r="24923" spans="13:14" x14ac:dyDescent="0.3">
      <c r="M24923" t="e">
        <v>#N/A</v>
      </c>
      <c r="N24923" s="1">
        <v>44835</v>
      </c>
    </row>
    <row r="24924" spans="13:14" x14ac:dyDescent="0.3">
      <c r="M24924" t="e">
        <v>#N/A</v>
      </c>
      <c r="N24924" s="1">
        <v>44835</v>
      </c>
    </row>
    <row r="24925" spans="13:14" x14ac:dyDescent="0.3">
      <c r="M24925" t="e">
        <v>#N/A</v>
      </c>
      <c r="N24925" s="1">
        <v>44835</v>
      </c>
    </row>
    <row r="24926" spans="13:14" x14ac:dyDescent="0.3">
      <c r="M24926" t="e">
        <v>#N/A</v>
      </c>
      <c r="N24926" s="1">
        <v>44835</v>
      </c>
    </row>
    <row r="24927" spans="13:14" x14ac:dyDescent="0.3">
      <c r="M24927" t="e">
        <v>#N/A</v>
      </c>
      <c r="N24927" s="1">
        <v>44835</v>
      </c>
    </row>
    <row r="24928" spans="13:14" x14ac:dyDescent="0.3">
      <c r="M24928" t="e">
        <v>#N/A</v>
      </c>
      <c r="N24928" s="1">
        <v>44835</v>
      </c>
    </row>
    <row r="24929" spans="13:14" x14ac:dyDescent="0.3">
      <c r="M24929" t="e">
        <v>#N/A</v>
      </c>
      <c r="N24929" s="1">
        <v>44835</v>
      </c>
    </row>
    <row r="24930" spans="13:14" x14ac:dyDescent="0.3">
      <c r="M24930" t="e">
        <v>#N/A</v>
      </c>
      <c r="N24930" s="1">
        <v>44835</v>
      </c>
    </row>
    <row r="24931" spans="13:14" x14ac:dyDescent="0.3">
      <c r="M24931" t="e">
        <v>#N/A</v>
      </c>
      <c r="N24931" s="1">
        <v>44835</v>
      </c>
    </row>
    <row r="24932" spans="13:14" x14ac:dyDescent="0.3">
      <c r="M24932" t="e">
        <v>#N/A</v>
      </c>
      <c r="N24932" s="1">
        <v>44835</v>
      </c>
    </row>
    <row r="24933" spans="13:14" x14ac:dyDescent="0.3">
      <c r="M24933" t="e">
        <v>#N/A</v>
      </c>
      <c r="N24933" s="1">
        <v>44835</v>
      </c>
    </row>
    <row r="24934" spans="13:14" x14ac:dyDescent="0.3">
      <c r="M24934" t="e">
        <v>#N/A</v>
      </c>
      <c r="N24934" s="1">
        <v>44835</v>
      </c>
    </row>
    <row r="24935" spans="13:14" x14ac:dyDescent="0.3">
      <c r="M24935" t="e">
        <v>#N/A</v>
      </c>
      <c r="N24935" s="1">
        <v>44835</v>
      </c>
    </row>
    <row r="24936" spans="13:14" x14ac:dyDescent="0.3">
      <c r="M24936" t="e">
        <v>#N/A</v>
      </c>
      <c r="N24936" s="1">
        <v>44835</v>
      </c>
    </row>
    <row r="24937" spans="13:14" x14ac:dyDescent="0.3">
      <c r="M24937" t="e">
        <v>#N/A</v>
      </c>
      <c r="N24937" s="1">
        <v>44835</v>
      </c>
    </row>
    <row r="24938" spans="13:14" x14ac:dyDescent="0.3">
      <c r="M24938" t="e">
        <v>#N/A</v>
      </c>
      <c r="N24938" s="1">
        <v>44835</v>
      </c>
    </row>
    <row r="24939" spans="13:14" x14ac:dyDescent="0.3">
      <c r="M24939" t="e">
        <v>#N/A</v>
      </c>
      <c r="N24939" s="1">
        <v>44835</v>
      </c>
    </row>
    <row r="24940" spans="13:14" x14ac:dyDescent="0.3">
      <c r="M24940" t="e">
        <v>#N/A</v>
      </c>
      <c r="N24940" s="1">
        <v>44835</v>
      </c>
    </row>
    <row r="24941" spans="13:14" x14ac:dyDescent="0.3">
      <c r="M24941" t="e">
        <v>#N/A</v>
      </c>
      <c r="N24941" s="1">
        <v>44835</v>
      </c>
    </row>
    <row r="24942" spans="13:14" x14ac:dyDescent="0.3">
      <c r="M24942" t="e">
        <v>#N/A</v>
      </c>
      <c r="N24942" s="1">
        <v>44835</v>
      </c>
    </row>
    <row r="24943" spans="13:14" x14ac:dyDescent="0.3">
      <c r="M24943" t="e">
        <v>#N/A</v>
      </c>
      <c r="N24943" s="1">
        <v>44835</v>
      </c>
    </row>
    <row r="24944" spans="13:14" x14ac:dyDescent="0.3">
      <c r="M24944" t="e">
        <v>#N/A</v>
      </c>
      <c r="N24944" s="1">
        <v>44835</v>
      </c>
    </row>
    <row r="24945" spans="13:14" x14ac:dyDescent="0.3">
      <c r="M24945" t="e">
        <v>#N/A</v>
      </c>
      <c r="N24945" s="1">
        <v>44835</v>
      </c>
    </row>
    <row r="24946" spans="13:14" x14ac:dyDescent="0.3">
      <c r="M24946" t="e">
        <v>#N/A</v>
      </c>
      <c r="N24946" s="1">
        <v>44835</v>
      </c>
    </row>
    <row r="24947" spans="13:14" x14ac:dyDescent="0.3">
      <c r="M24947" t="e">
        <v>#N/A</v>
      </c>
      <c r="N24947" s="1">
        <v>44835</v>
      </c>
    </row>
    <row r="24948" spans="13:14" x14ac:dyDescent="0.3">
      <c r="M24948" t="e">
        <v>#N/A</v>
      </c>
      <c r="N24948" s="1">
        <v>44835</v>
      </c>
    </row>
    <row r="24949" spans="13:14" x14ac:dyDescent="0.3">
      <c r="M24949" t="e">
        <v>#N/A</v>
      </c>
      <c r="N24949" s="1">
        <v>44835</v>
      </c>
    </row>
    <row r="24950" spans="13:14" x14ac:dyDescent="0.3">
      <c r="M24950" t="e">
        <v>#N/A</v>
      </c>
      <c r="N24950" s="1">
        <v>44835</v>
      </c>
    </row>
    <row r="24951" spans="13:14" x14ac:dyDescent="0.3">
      <c r="M24951" t="e">
        <v>#N/A</v>
      </c>
      <c r="N24951" s="1">
        <v>44835</v>
      </c>
    </row>
    <row r="24952" spans="13:14" x14ac:dyDescent="0.3">
      <c r="M24952" t="e">
        <v>#N/A</v>
      </c>
      <c r="N24952" s="1">
        <v>44835</v>
      </c>
    </row>
    <row r="24953" spans="13:14" x14ac:dyDescent="0.3">
      <c r="M24953" t="e">
        <v>#N/A</v>
      </c>
      <c r="N24953" s="1">
        <v>44835</v>
      </c>
    </row>
    <row r="24954" spans="13:14" x14ac:dyDescent="0.3">
      <c r="M24954" t="e">
        <v>#N/A</v>
      </c>
      <c r="N24954" s="1">
        <v>44835</v>
      </c>
    </row>
    <row r="24955" spans="13:14" x14ac:dyDescent="0.3">
      <c r="M24955" t="e">
        <v>#N/A</v>
      </c>
      <c r="N24955" s="1">
        <v>44835</v>
      </c>
    </row>
    <row r="24956" spans="13:14" x14ac:dyDescent="0.3">
      <c r="M24956" t="e">
        <v>#N/A</v>
      </c>
      <c r="N24956" s="1">
        <v>44835</v>
      </c>
    </row>
    <row r="24957" spans="13:14" x14ac:dyDescent="0.3">
      <c r="M24957" t="e">
        <v>#N/A</v>
      </c>
      <c r="N24957" s="1">
        <v>44835</v>
      </c>
    </row>
    <row r="24958" spans="13:14" x14ac:dyDescent="0.3">
      <c r="M24958" t="e">
        <v>#N/A</v>
      </c>
      <c r="N24958" s="1">
        <v>44835</v>
      </c>
    </row>
    <row r="24959" spans="13:14" x14ac:dyDescent="0.3">
      <c r="M24959" t="e">
        <v>#N/A</v>
      </c>
      <c r="N24959" s="1">
        <v>44835</v>
      </c>
    </row>
    <row r="24960" spans="13:14" x14ac:dyDescent="0.3">
      <c r="M24960" t="e">
        <v>#N/A</v>
      </c>
      <c r="N24960" s="1">
        <v>44835</v>
      </c>
    </row>
    <row r="24961" spans="13:14" x14ac:dyDescent="0.3">
      <c r="M24961" t="e">
        <v>#N/A</v>
      </c>
      <c r="N24961" s="1">
        <v>44835</v>
      </c>
    </row>
    <row r="24962" spans="13:14" x14ac:dyDescent="0.3">
      <c r="M24962" t="e">
        <v>#N/A</v>
      </c>
      <c r="N24962" s="1">
        <v>44835</v>
      </c>
    </row>
    <row r="24963" spans="13:14" x14ac:dyDescent="0.3">
      <c r="M24963" t="e">
        <v>#N/A</v>
      </c>
      <c r="N24963" s="1">
        <v>44835</v>
      </c>
    </row>
    <row r="24964" spans="13:14" x14ac:dyDescent="0.3">
      <c r="M24964" t="e">
        <v>#N/A</v>
      </c>
      <c r="N24964" s="1">
        <v>44835</v>
      </c>
    </row>
    <row r="24965" spans="13:14" x14ac:dyDescent="0.3">
      <c r="M24965" t="e">
        <v>#N/A</v>
      </c>
      <c r="N24965" s="1">
        <v>44835</v>
      </c>
    </row>
    <row r="24966" spans="13:14" x14ac:dyDescent="0.3">
      <c r="M24966" t="e">
        <v>#N/A</v>
      </c>
      <c r="N24966" s="1">
        <v>44835</v>
      </c>
    </row>
    <row r="24967" spans="13:14" x14ac:dyDescent="0.3">
      <c r="M24967" t="e">
        <v>#N/A</v>
      </c>
      <c r="N24967" s="1">
        <v>44835</v>
      </c>
    </row>
    <row r="24968" spans="13:14" x14ac:dyDescent="0.3">
      <c r="M24968" t="e">
        <v>#N/A</v>
      </c>
      <c r="N24968" s="1">
        <v>44835</v>
      </c>
    </row>
    <row r="24969" spans="13:14" x14ac:dyDescent="0.3">
      <c r="M24969" t="e">
        <v>#N/A</v>
      </c>
      <c r="N24969" s="1">
        <v>44835</v>
      </c>
    </row>
    <row r="24970" spans="13:14" x14ac:dyDescent="0.3">
      <c r="M24970" t="e">
        <v>#N/A</v>
      </c>
      <c r="N24970" s="1">
        <v>44835</v>
      </c>
    </row>
    <row r="24971" spans="13:14" x14ac:dyDescent="0.3">
      <c r="M24971" t="e">
        <v>#N/A</v>
      </c>
      <c r="N24971" s="1">
        <v>44835</v>
      </c>
    </row>
    <row r="24972" spans="13:14" x14ac:dyDescent="0.3">
      <c r="M24972" t="e">
        <v>#N/A</v>
      </c>
      <c r="N24972" s="1">
        <v>44835</v>
      </c>
    </row>
    <row r="24973" spans="13:14" x14ac:dyDescent="0.3">
      <c r="M24973" t="e">
        <v>#N/A</v>
      </c>
      <c r="N24973" s="1">
        <v>44835</v>
      </c>
    </row>
    <row r="24974" spans="13:14" x14ac:dyDescent="0.3">
      <c r="M24974" t="e">
        <v>#N/A</v>
      </c>
      <c r="N24974" s="1">
        <v>44835</v>
      </c>
    </row>
    <row r="24975" spans="13:14" x14ac:dyDescent="0.3">
      <c r="M24975" t="e">
        <v>#N/A</v>
      </c>
      <c r="N24975" s="1">
        <v>44835</v>
      </c>
    </row>
    <row r="24976" spans="13:14" x14ac:dyDescent="0.3">
      <c r="M24976" t="e">
        <v>#N/A</v>
      </c>
      <c r="N24976" s="1">
        <v>44835</v>
      </c>
    </row>
    <row r="24977" spans="13:14" x14ac:dyDescent="0.3">
      <c r="M24977" t="e">
        <v>#N/A</v>
      </c>
      <c r="N24977" s="1">
        <v>44835</v>
      </c>
    </row>
    <row r="24978" spans="13:14" x14ac:dyDescent="0.3">
      <c r="M24978" t="e">
        <v>#N/A</v>
      </c>
      <c r="N24978" s="1">
        <v>44835</v>
      </c>
    </row>
    <row r="24979" spans="13:14" x14ac:dyDescent="0.3">
      <c r="M24979" t="e">
        <v>#N/A</v>
      </c>
      <c r="N24979" s="1">
        <v>44835</v>
      </c>
    </row>
    <row r="24980" spans="13:14" x14ac:dyDescent="0.3">
      <c r="M24980" t="e">
        <v>#N/A</v>
      </c>
      <c r="N24980" s="1">
        <v>44835</v>
      </c>
    </row>
    <row r="24981" spans="13:14" x14ac:dyDescent="0.3">
      <c r="M24981" t="e">
        <v>#N/A</v>
      </c>
      <c r="N24981" s="1">
        <v>44835</v>
      </c>
    </row>
    <row r="24982" spans="13:14" x14ac:dyDescent="0.3">
      <c r="M24982" t="e">
        <v>#N/A</v>
      </c>
      <c r="N24982" s="1">
        <v>44835</v>
      </c>
    </row>
    <row r="24983" spans="13:14" x14ac:dyDescent="0.3">
      <c r="M24983" t="e">
        <v>#N/A</v>
      </c>
      <c r="N24983" s="1">
        <v>44835</v>
      </c>
    </row>
    <row r="24984" spans="13:14" x14ac:dyDescent="0.3">
      <c r="M24984" t="e">
        <v>#N/A</v>
      </c>
      <c r="N24984" s="1">
        <v>44835</v>
      </c>
    </row>
    <row r="24985" spans="13:14" x14ac:dyDescent="0.3">
      <c r="M24985" t="e">
        <v>#N/A</v>
      </c>
      <c r="N24985" s="1">
        <v>44835</v>
      </c>
    </row>
    <row r="24986" spans="13:14" x14ac:dyDescent="0.3">
      <c r="M24986" t="e">
        <v>#N/A</v>
      </c>
      <c r="N24986" s="1">
        <v>44835</v>
      </c>
    </row>
    <row r="24987" spans="13:14" x14ac:dyDescent="0.3">
      <c r="M24987" t="e">
        <v>#N/A</v>
      </c>
      <c r="N24987" s="1">
        <v>44835</v>
      </c>
    </row>
    <row r="24988" spans="13:14" x14ac:dyDescent="0.3">
      <c r="M24988" t="e">
        <v>#N/A</v>
      </c>
      <c r="N24988" s="1">
        <v>44835</v>
      </c>
    </row>
    <row r="24989" spans="13:14" x14ac:dyDescent="0.3">
      <c r="M24989" t="e">
        <v>#N/A</v>
      </c>
      <c r="N24989" s="1">
        <v>44835</v>
      </c>
    </row>
    <row r="24990" spans="13:14" x14ac:dyDescent="0.3">
      <c r="M24990" t="e">
        <v>#N/A</v>
      </c>
      <c r="N24990" s="1">
        <v>44835</v>
      </c>
    </row>
    <row r="24991" spans="13:14" x14ac:dyDescent="0.3">
      <c r="M24991" t="e">
        <v>#N/A</v>
      </c>
      <c r="N24991" s="1">
        <v>44835</v>
      </c>
    </row>
    <row r="24992" spans="13:14" x14ac:dyDescent="0.3">
      <c r="M24992" t="e">
        <v>#N/A</v>
      </c>
      <c r="N24992" s="1">
        <v>44835</v>
      </c>
    </row>
    <row r="24993" spans="13:14" x14ac:dyDescent="0.3">
      <c r="M24993" t="e">
        <v>#N/A</v>
      </c>
      <c r="N24993" s="1">
        <v>44835</v>
      </c>
    </row>
    <row r="24994" spans="13:14" x14ac:dyDescent="0.3">
      <c r="M24994" t="e">
        <v>#N/A</v>
      </c>
      <c r="N24994" s="1">
        <v>44835</v>
      </c>
    </row>
    <row r="24995" spans="13:14" x14ac:dyDescent="0.3">
      <c r="M24995" t="e">
        <v>#N/A</v>
      </c>
      <c r="N24995" s="1">
        <v>44835</v>
      </c>
    </row>
    <row r="24996" spans="13:14" x14ac:dyDescent="0.3">
      <c r="M24996" t="e">
        <v>#N/A</v>
      </c>
      <c r="N24996" s="1">
        <v>44835</v>
      </c>
    </row>
    <row r="24997" spans="13:14" x14ac:dyDescent="0.3">
      <c r="M24997" t="e">
        <v>#N/A</v>
      </c>
      <c r="N24997" s="1">
        <v>44835</v>
      </c>
    </row>
    <row r="24998" spans="13:14" x14ac:dyDescent="0.3">
      <c r="M24998" t="e">
        <v>#N/A</v>
      </c>
      <c r="N24998" s="1">
        <v>44835</v>
      </c>
    </row>
    <row r="24999" spans="13:14" x14ac:dyDescent="0.3">
      <c r="M24999" t="e">
        <v>#N/A</v>
      </c>
      <c r="N24999" s="1">
        <v>44835</v>
      </c>
    </row>
    <row r="25000" spans="13:14" x14ac:dyDescent="0.3">
      <c r="M25000" t="e">
        <v>#N/A</v>
      </c>
      <c r="N25000" s="1">
        <v>44835</v>
      </c>
    </row>
    <row r="25001" spans="13:14" x14ac:dyDescent="0.3">
      <c r="M25001" t="e">
        <v>#N/A</v>
      </c>
      <c r="N25001" s="1">
        <v>44835</v>
      </c>
    </row>
    <row r="25002" spans="13:14" x14ac:dyDescent="0.3">
      <c r="M25002" t="e">
        <v>#N/A</v>
      </c>
      <c r="N25002" s="1">
        <v>44835</v>
      </c>
    </row>
    <row r="25003" spans="13:14" x14ac:dyDescent="0.3">
      <c r="M25003" t="e">
        <v>#N/A</v>
      </c>
      <c r="N25003" s="1">
        <v>44835</v>
      </c>
    </row>
    <row r="25004" spans="13:14" x14ac:dyDescent="0.3">
      <c r="M25004" t="e">
        <v>#N/A</v>
      </c>
      <c r="N25004" s="1">
        <v>44835</v>
      </c>
    </row>
    <row r="25005" spans="13:14" x14ac:dyDescent="0.3">
      <c r="M25005" t="e">
        <v>#N/A</v>
      </c>
      <c r="N25005" s="1">
        <v>44835</v>
      </c>
    </row>
    <row r="25006" spans="13:14" x14ac:dyDescent="0.3">
      <c r="M25006" t="e">
        <v>#N/A</v>
      </c>
      <c r="N25006" s="1">
        <v>44835</v>
      </c>
    </row>
    <row r="25007" spans="13:14" x14ac:dyDescent="0.3">
      <c r="M25007" t="e">
        <v>#N/A</v>
      </c>
      <c r="N25007" s="1">
        <v>44835</v>
      </c>
    </row>
    <row r="25008" spans="13:14" x14ac:dyDescent="0.3">
      <c r="M25008" t="e">
        <v>#N/A</v>
      </c>
      <c r="N25008" s="1">
        <v>44835</v>
      </c>
    </row>
    <row r="25009" spans="13:14" x14ac:dyDescent="0.3">
      <c r="M25009" t="e">
        <v>#N/A</v>
      </c>
      <c r="N25009" s="1">
        <v>44835</v>
      </c>
    </row>
    <row r="25010" spans="13:14" x14ac:dyDescent="0.3">
      <c r="M25010" t="e">
        <v>#N/A</v>
      </c>
      <c r="N25010" s="1">
        <v>44835</v>
      </c>
    </row>
    <row r="25011" spans="13:14" x14ac:dyDescent="0.3">
      <c r="M25011" t="e">
        <v>#N/A</v>
      </c>
      <c r="N25011" s="1">
        <v>44835</v>
      </c>
    </row>
    <row r="25012" spans="13:14" x14ac:dyDescent="0.3">
      <c r="M25012" t="e">
        <v>#N/A</v>
      </c>
      <c r="N25012" s="1">
        <v>44835</v>
      </c>
    </row>
    <row r="25013" spans="13:14" x14ac:dyDescent="0.3">
      <c r="M25013" t="e">
        <v>#N/A</v>
      </c>
      <c r="N25013" s="1">
        <v>44835</v>
      </c>
    </row>
    <row r="25014" spans="13:14" x14ac:dyDescent="0.3">
      <c r="M25014" t="e">
        <v>#N/A</v>
      </c>
      <c r="N25014" s="1">
        <v>44835</v>
      </c>
    </row>
    <row r="25015" spans="13:14" x14ac:dyDescent="0.3">
      <c r="M25015" t="e">
        <v>#N/A</v>
      </c>
      <c r="N25015" s="1">
        <v>44835</v>
      </c>
    </row>
    <row r="25016" spans="13:14" x14ac:dyDescent="0.3">
      <c r="M25016" t="e">
        <v>#N/A</v>
      </c>
      <c r="N25016" s="1">
        <v>44835</v>
      </c>
    </row>
    <row r="25017" spans="13:14" x14ac:dyDescent="0.3">
      <c r="M25017" t="e">
        <v>#N/A</v>
      </c>
      <c r="N25017" s="1">
        <v>44835</v>
      </c>
    </row>
    <row r="25018" spans="13:14" x14ac:dyDescent="0.3">
      <c r="M25018" t="e">
        <v>#N/A</v>
      </c>
      <c r="N25018" s="1">
        <v>44835</v>
      </c>
    </row>
    <row r="25019" spans="13:14" x14ac:dyDescent="0.3">
      <c r="M25019" t="e">
        <v>#N/A</v>
      </c>
      <c r="N25019" s="1">
        <v>44835</v>
      </c>
    </row>
    <row r="25020" spans="13:14" x14ac:dyDescent="0.3">
      <c r="M25020" t="e">
        <v>#N/A</v>
      </c>
      <c r="N25020" s="1">
        <v>44835</v>
      </c>
    </row>
    <row r="25021" spans="13:14" x14ac:dyDescent="0.3">
      <c r="M25021" t="e">
        <v>#N/A</v>
      </c>
      <c r="N25021" s="1">
        <v>44835</v>
      </c>
    </row>
    <row r="25022" spans="13:14" x14ac:dyDescent="0.3">
      <c r="M25022" t="e">
        <v>#N/A</v>
      </c>
      <c r="N25022" s="1">
        <v>44835</v>
      </c>
    </row>
    <row r="25023" spans="13:14" x14ac:dyDescent="0.3">
      <c r="M25023" t="e">
        <v>#N/A</v>
      </c>
      <c r="N25023" s="1">
        <v>44835</v>
      </c>
    </row>
    <row r="25024" spans="13:14" x14ac:dyDescent="0.3">
      <c r="M25024" t="e">
        <v>#N/A</v>
      </c>
      <c r="N25024" s="1">
        <v>44835</v>
      </c>
    </row>
    <row r="25025" spans="13:14" x14ac:dyDescent="0.3">
      <c r="M25025" t="e">
        <v>#N/A</v>
      </c>
      <c r="N25025" s="1">
        <v>44835</v>
      </c>
    </row>
    <row r="25026" spans="13:14" x14ac:dyDescent="0.3">
      <c r="M25026" t="e">
        <v>#N/A</v>
      </c>
      <c r="N25026" s="1">
        <v>44835</v>
      </c>
    </row>
    <row r="25027" spans="13:14" x14ac:dyDescent="0.3">
      <c r="M25027" t="e">
        <v>#N/A</v>
      </c>
      <c r="N25027" s="1">
        <v>44835</v>
      </c>
    </row>
    <row r="25028" spans="13:14" x14ac:dyDescent="0.3">
      <c r="M25028" t="e">
        <v>#N/A</v>
      </c>
      <c r="N25028" s="1">
        <v>44835</v>
      </c>
    </row>
    <row r="25029" spans="13:14" x14ac:dyDescent="0.3">
      <c r="M25029" t="e">
        <v>#N/A</v>
      </c>
      <c r="N25029" s="1">
        <v>44835</v>
      </c>
    </row>
    <row r="25030" spans="13:14" x14ac:dyDescent="0.3">
      <c r="M25030" t="e">
        <v>#N/A</v>
      </c>
      <c r="N25030" s="1">
        <v>44835</v>
      </c>
    </row>
    <row r="25031" spans="13:14" x14ac:dyDescent="0.3">
      <c r="M25031" t="e">
        <v>#N/A</v>
      </c>
      <c r="N25031" s="1">
        <v>44835</v>
      </c>
    </row>
    <row r="25032" spans="13:14" x14ac:dyDescent="0.3">
      <c r="M25032" t="e">
        <v>#N/A</v>
      </c>
      <c r="N25032" s="1">
        <v>44835</v>
      </c>
    </row>
    <row r="25033" spans="13:14" x14ac:dyDescent="0.3">
      <c r="M25033" t="e">
        <v>#N/A</v>
      </c>
      <c r="N25033" s="1">
        <v>44835</v>
      </c>
    </row>
    <row r="25034" spans="13:14" x14ac:dyDescent="0.3">
      <c r="M25034" t="e">
        <v>#N/A</v>
      </c>
      <c r="N25034" s="1">
        <v>44835</v>
      </c>
    </row>
    <row r="25035" spans="13:14" x14ac:dyDescent="0.3">
      <c r="M25035" t="e">
        <v>#N/A</v>
      </c>
      <c r="N25035" s="1">
        <v>44835</v>
      </c>
    </row>
    <row r="25036" spans="13:14" x14ac:dyDescent="0.3">
      <c r="M25036" t="e">
        <v>#N/A</v>
      </c>
      <c r="N25036" s="1">
        <v>44835</v>
      </c>
    </row>
    <row r="25037" spans="13:14" x14ac:dyDescent="0.3">
      <c r="M25037" t="e">
        <v>#N/A</v>
      </c>
      <c r="N25037" s="1">
        <v>44835</v>
      </c>
    </row>
    <row r="25038" spans="13:14" x14ac:dyDescent="0.3">
      <c r="M25038" t="e">
        <v>#N/A</v>
      </c>
      <c r="N25038" s="1">
        <v>44835</v>
      </c>
    </row>
    <row r="25039" spans="13:14" x14ac:dyDescent="0.3">
      <c r="M25039" t="e">
        <v>#N/A</v>
      </c>
      <c r="N25039" s="1">
        <v>44835</v>
      </c>
    </row>
    <row r="25040" spans="13:14" x14ac:dyDescent="0.3">
      <c r="M25040" t="e">
        <v>#N/A</v>
      </c>
      <c r="N25040" s="1">
        <v>44835</v>
      </c>
    </row>
    <row r="25041" spans="13:14" x14ac:dyDescent="0.3">
      <c r="M25041" t="e">
        <v>#N/A</v>
      </c>
      <c r="N25041" s="1">
        <v>44835</v>
      </c>
    </row>
    <row r="25042" spans="13:14" x14ac:dyDescent="0.3">
      <c r="M25042" t="e">
        <v>#N/A</v>
      </c>
      <c r="N25042" s="1">
        <v>44835</v>
      </c>
    </row>
    <row r="25043" spans="13:14" x14ac:dyDescent="0.3">
      <c r="M25043" t="e">
        <v>#N/A</v>
      </c>
      <c r="N25043" s="1">
        <v>44835</v>
      </c>
    </row>
    <row r="25044" spans="13:14" x14ac:dyDescent="0.3">
      <c r="M25044" t="e">
        <v>#N/A</v>
      </c>
      <c r="N25044" s="1">
        <v>44835</v>
      </c>
    </row>
    <row r="25045" spans="13:14" x14ac:dyDescent="0.3">
      <c r="M25045" t="e">
        <v>#N/A</v>
      </c>
      <c r="N25045" s="1">
        <v>44835</v>
      </c>
    </row>
    <row r="25046" spans="13:14" x14ac:dyDescent="0.3">
      <c r="M25046" t="e">
        <v>#N/A</v>
      </c>
      <c r="N25046" s="1">
        <v>44835</v>
      </c>
    </row>
    <row r="25047" spans="13:14" x14ac:dyDescent="0.3">
      <c r="M25047" t="e">
        <v>#N/A</v>
      </c>
      <c r="N25047" s="1">
        <v>44835</v>
      </c>
    </row>
    <row r="25048" spans="13:14" x14ac:dyDescent="0.3">
      <c r="M25048" t="e">
        <v>#N/A</v>
      </c>
      <c r="N25048" s="1">
        <v>44835</v>
      </c>
    </row>
    <row r="25049" spans="13:14" x14ac:dyDescent="0.3">
      <c r="M25049" t="e">
        <v>#N/A</v>
      </c>
      <c r="N25049" s="1">
        <v>44835</v>
      </c>
    </row>
    <row r="25050" spans="13:14" x14ac:dyDescent="0.3">
      <c r="M25050" t="e">
        <v>#N/A</v>
      </c>
      <c r="N25050" s="1">
        <v>44835</v>
      </c>
    </row>
    <row r="25051" spans="13:14" x14ac:dyDescent="0.3">
      <c r="M25051" t="e">
        <v>#N/A</v>
      </c>
      <c r="N25051" s="1">
        <v>44835</v>
      </c>
    </row>
    <row r="25052" spans="13:14" x14ac:dyDescent="0.3">
      <c r="M25052" t="e">
        <v>#N/A</v>
      </c>
      <c r="N25052" s="1">
        <v>44835</v>
      </c>
    </row>
    <row r="25053" spans="13:14" x14ac:dyDescent="0.3">
      <c r="M25053" t="e">
        <v>#N/A</v>
      </c>
      <c r="N25053" s="1">
        <v>44835</v>
      </c>
    </row>
    <row r="25054" spans="13:14" x14ac:dyDescent="0.3">
      <c r="M25054" t="e">
        <v>#N/A</v>
      </c>
      <c r="N25054" s="1">
        <v>44835</v>
      </c>
    </row>
    <row r="25055" spans="13:14" x14ac:dyDescent="0.3">
      <c r="M25055" t="e">
        <v>#N/A</v>
      </c>
      <c r="N25055" s="1">
        <v>44835</v>
      </c>
    </row>
    <row r="25056" spans="13:14" x14ac:dyDescent="0.3">
      <c r="M25056" t="e">
        <v>#N/A</v>
      </c>
      <c r="N25056" s="1">
        <v>44835</v>
      </c>
    </row>
    <row r="25057" spans="13:14" x14ac:dyDescent="0.3">
      <c r="M25057" t="e">
        <v>#N/A</v>
      </c>
      <c r="N25057" s="1">
        <v>44835</v>
      </c>
    </row>
    <row r="25058" spans="13:14" x14ac:dyDescent="0.3">
      <c r="M25058" t="e">
        <v>#N/A</v>
      </c>
      <c r="N25058" s="1">
        <v>44835</v>
      </c>
    </row>
    <row r="25059" spans="13:14" x14ac:dyDescent="0.3">
      <c r="M25059" t="e">
        <v>#N/A</v>
      </c>
      <c r="N25059" s="1">
        <v>44835</v>
      </c>
    </row>
    <row r="25060" spans="13:14" x14ac:dyDescent="0.3">
      <c r="M25060" t="e">
        <v>#N/A</v>
      </c>
      <c r="N25060" s="1">
        <v>44835</v>
      </c>
    </row>
    <row r="25061" spans="13:14" x14ac:dyDescent="0.3">
      <c r="M25061" t="e">
        <v>#N/A</v>
      </c>
      <c r="N25061" s="1">
        <v>44835</v>
      </c>
    </row>
    <row r="25062" spans="13:14" x14ac:dyDescent="0.3">
      <c r="M25062" t="e">
        <v>#N/A</v>
      </c>
      <c r="N25062" s="1">
        <v>44835</v>
      </c>
    </row>
    <row r="25063" spans="13:14" x14ac:dyDescent="0.3">
      <c r="M25063" t="e">
        <v>#N/A</v>
      </c>
      <c r="N25063" s="1">
        <v>44835</v>
      </c>
    </row>
    <row r="25064" spans="13:14" x14ac:dyDescent="0.3">
      <c r="M25064" t="e">
        <v>#N/A</v>
      </c>
      <c r="N25064" s="1">
        <v>44835</v>
      </c>
    </row>
    <row r="25065" spans="13:14" x14ac:dyDescent="0.3">
      <c r="M25065" t="e">
        <v>#N/A</v>
      </c>
      <c r="N25065" s="1">
        <v>44835</v>
      </c>
    </row>
    <row r="25066" spans="13:14" x14ac:dyDescent="0.3">
      <c r="M25066" t="e">
        <v>#N/A</v>
      </c>
      <c r="N25066" s="1">
        <v>44835</v>
      </c>
    </row>
    <row r="25067" spans="13:14" x14ac:dyDescent="0.3">
      <c r="M25067" t="e">
        <v>#N/A</v>
      </c>
      <c r="N25067" s="1">
        <v>44835</v>
      </c>
    </row>
    <row r="25068" spans="13:14" x14ac:dyDescent="0.3">
      <c r="M25068" t="e">
        <v>#N/A</v>
      </c>
      <c r="N25068" s="1">
        <v>44835</v>
      </c>
    </row>
    <row r="25069" spans="13:14" x14ac:dyDescent="0.3">
      <c r="M25069" t="e">
        <v>#N/A</v>
      </c>
      <c r="N25069" s="1">
        <v>44835</v>
      </c>
    </row>
    <row r="25070" spans="13:14" x14ac:dyDescent="0.3">
      <c r="M25070" t="e">
        <v>#N/A</v>
      </c>
      <c r="N25070" s="1">
        <v>44835</v>
      </c>
    </row>
    <row r="25071" spans="13:14" x14ac:dyDescent="0.3">
      <c r="M25071" t="e">
        <v>#N/A</v>
      </c>
      <c r="N25071" s="1">
        <v>44835</v>
      </c>
    </row>
    <row r="25072" spans="13:14" x14ac:dyDescent="0.3">
      <c r="M25072" t="e">
        <v>#N/A</v>
      </c>
      <c r="N25072" s="1">
        <v>44835</v>
      </c>
    </row>
    <row r="25073" spans="13:14" x14ac:dyDescent="0.3">
      <c r="M25073" t="e">
        <v>#N/A</v>
      </c>
      <c r="N25073" s="1">
        <v>44835</v>
      </c>
    </row>
    <row r="25074" spans="13:14" x14ac:dyDescent="0.3">
      <c r="M25074" t="e">
        <v>#N/A</v>
      </c>
      <c r="N25074" s="1">
        <v>44835</v>
      </c>
    </row>
    <row r="25075" spans="13:14" x14ac:dyDescent="0.3">
      <c r="M25075" t="e">
        <v>#N/A</v>
      </c>
      <c r="N25075" s="1">
        <v>44835</v>
      </c>
    </row>
    <row r="25076" spans="13:14" x14ac:dyDescent="0.3">
      <c r="M25076" t="e">
        <v>#N/A</v>
      </c>
      <c r="N25076" s="1">
        <v>44835</v>
      </c>
    </row>
    <row r="25077" spans="13:14" x14ac:dyDescent="0.3">
      <c r="M25077" t="e">
        <v>#N/A</v>
      </c>
      <c r="N25077" s="1">
        <v>44835</v>
      </c>
    </row>
    <row r="25078" spans="13:14" x14ac:dyDescent="0.3">
      <c r="M25078" t="e">
        <v>#N/A</v>
      </c>
      <c r="N25078" s="1">
        <v>44835</v>
      </c>
    </row>
    <row r="25079" spans="13:14" x14ac:dyDescent="0.3">
      <c r="M25079" t="e">
        <v>#N/A</v>
      </c>
      <c r="N25079" s="1">
        <v>44835</v>
      </c>
    </row>
    <row r="25080" spans="13:14" x14ac:dyDescent="0.3">
      <c r="M25080" t="e">
        <v>#N/A</v>
      </c>
      <c r="N25080" s="1">
        <v>44835</v>
      </c>
    </row>
    <row r="25081" spans="13:14" x14ac:dyDescent="0.3">
      <c r="M25081" t="e">
        <v>#N/A</v>
      </c>
      <c r="N25081" s="1">
        <v>44835</v>
      </c>
    </row>
    <row r="25082" spans="13:14" x14ac:dyDescent="0.3">
      <c r="M25082" t="e">
        <v>#N/A</v>
      </c>
      <c r="N25082" s="1">
        <v>44835</v>
      </c>
    </row>
    <row r="25083" spans="13:14" x14ac:dyDescent="0.3">
      <c r="M25083" t="e">
        <v>#N/A</v>
      </c>
      <c r="N25083" s="1">
        <v>44835</v>
      </c>
    </row>
    <row r="25084" spans="13:14" x14ac:dyDescent="0.3">
      <c r="M25084" t="e">
        <v>#N/A</v>
      </c>
      <c r="N25084" s="1">
        <v>44835</v>
      </c>
    </row>
    <row r="25085" spans="13:14" x14ac:dyDescent="0.3">
      <c r="M25085" t="e">
        <v>#N/A</v>
      </c>
      <c r="N25085" s="1">
        <v>44835</v>
      </c>
    </row>
    <row r="25086" spans="13:14" x14ac:dyDescent="0.3">
      <c r="M25086" t="e">
        <v>#N/A</v>
      </c>
      <c r="N25086" s="1">
        <v>44835</v>
      </c>
    </row>
    <row r="25087" spans="13:14" x14ac:dyDescent="0.3">
      <c r="M25087" t="e">
        <v>#N/A</v>
      </c>
      <c r="N25087" s="1">
        <v>44835</v>
      </c>
    </row>
    <row r="25088" spans="13:14" x14ac:dyDescent="0.3">
      <c r="M25088" t="e">
        <v>#N/A</v>
      </c>
      <c r="N25088" s="1">
        <v>44835</v>
      </c>
    </row>
    <row r="25089" spans="13:14" x14ac:dyDescent="0.3">
      <c r="M25089" t="e">
        <v>#N/A</v>
      </c>
      <c r="N25089" s="1">
        <v>44835</v>
      </c>
    </row>
    <row r="25090" spans="13:14" x14ac:dyDescent="0.3">
      <c r="M25090" t="e">
        <v>#N/A</v>
      </c>
      <c r="N25090" s="1">
        <v>44835</v>
      </c>
    </row>
    <row r="25091" spans="13:14" x14ac:dyDescent="0.3">
      <c r="M25091" t="e">
        <v>#N/A</v>
      </c>
      <c r="N25091" s="1">
        <v>44835</v>
      </c>
    </row>
    <row r="25092" spans="13:14" x14ac:dyDescent="0.3">
      <c r="M25092" t="e">
        <v>#N/A</v>
      </c>
      <c r="N25092" s="1">
        <v>44835</v>
      </c>
    </row>
    <row r="25093" spans="13:14" x14ac:dyDescent="0.3">
      <c r="M25093" t="e">
        <v>#N/A</v>
      </c>
      <c r="N25093" s="1">
        <v>44835</v>
      </c>
    </row>
    <row r="25094" spans="13:14" x14ac:dyDescent="0.3">
      <c r="M25094" t="e">
        <v>#N/A</v>
      </c>
      <c r="N25094" s="1">
        <v>44835</v>
      </c>
    </row>
    <row r="25095" spans="13:14" x14ac:dyDescent="0.3">
      <c r="M25095" t="e">
        <v>#N/A</v>
      </c>
      <c r="N25095" s="1">
        <v>44835</v>
      </c>
    </row>
    <row r="25096" spans="13:14" x14ac:dyDescent="0.3">
      <c r="M25096" t="e">
        <v>#N/A</v>
      </c>
      <c r="N25096" s="1">
        <v>44835</v>
      </c>
    </row>
    <row r="25097" spans="13:14" x14ac:dyDescent="0.3">
      <c r="M25097" t="e">
        <v>#N/A</v>
      </c>
      <c r="N25097" s="1">
        <v>44835</v>
      </c>
    </row>
    <row r="25098" spans="13:14" x14ac:dyDescent="0.3">
      <c r="M25098" t="e">
        <v>#N/A</v>
      </c>
      <c r="N25098" s="1">
        <v>44835</v>
      </c>
    </row>
    <row r="25099" spans="13:14" x14ac:dyDescent="0.3">
      <c r="M25099" t="e">
        <v>#N/A</v>
      </c>
      <c r="N25099" s="1">
        <v>44835</v>
      </c>
    </row>
    <row r="25100" spans="13:14" x14ac:dyDescent="0.3">
      <c r="M25100" t="e">
        <v>#N/A</v>
      </c>
      <c r="N25100" s="1">
        <v>44835</v>
      </c>
    </row>
    <row r="25101" spans="13:14" x14ac:dyDescent="0.3">
      <c r="M25101" t="e">
        <v>#N/A</v>
      </c>
      <c r="N25101" s="1">
        <v>44835</v>
      </c>
    </row>
    <row r="25102" spans="13:14" x14ac:dyDescent="0.3">
      <c r="M25102" t="e">
        <v>#N/A</v>
      </c>
      <c r="N25102" s="1">
        <v>44835</v>
      </c>
    </row>
    <row r="25103" spans="13:14" x14ac:dyDescent="0.3">
      <c r="M25103" t="e">
        <v>#N/A</v>
      </c>
      <c r="N25103" s="1">
        <v>44835</v>
      </c>
    </row>
    <row r="25104" spans="13:14" x14ac:dyDescent="0.3">
      <c r="M25104" t="e">
        <v>#N/A</v>
      </c>
      <c r="N25104" s="1">
        <v>44835</v>
      </c>
    </row>
    <row r="25105" spans="13:14" x14ac:dyDescent="0.3">
      <c r="M25105" t="e">
        <v>#N/A</v>
      </c>
      <c r="N25105" s="1">
        <v>44835</v>
      </c>
    </row>
    <row r="25106" spans="13:14" x14ac:dyDescent="0.3">
      <c r="M25106" t="e">
        <v>#N/A</v>
      </c>
      <c r="N25106" s="1">
        <v>44835</v>
      </c>
    </row>
    <row r="25107" spans="13:14" x14ac:dyDescent="0.3">
      <c r="M25107" t="e">
        <v>#N/A</v>
      </c>
      <c r="N25107" s="1">
        <v>44835</v>
      </c>
    </row>
    <row r="25108" spans="13:14" x14ac:dyDescent="0.3">
      <c r="M25108" t="e">
        <v>#N/A</v>
      </c>
      <c r="N25108" s="1">
        <v>44835</v>
      </c>
    </row>
    <row r="25109" spans="13:14" x14ac:dyDescent="0.3">
      <c r="M25109" t="e">
        <v>#N/A</v>
      </c>
      <c r="N25109" s="1">
        <v>44835</v>
      </c>
    </row>
    <row r="25110" spans="13:14" x14ac:dyDescent="0.3">
      <c r="M25110" t="e">
        <v>#N/A</v>
      </c>
      <c r="N25110" s="1">
        <v>44835</v>
      </c>
    </row>
    <row r="25111" spans="13:14" x14ac:dyDescent="0.3">
      <c r="M25111" t="e">
        <v>#N/A</v>
      </c>
      <c r="N25111" s="1">
        <v>44835</v>
      </c>
    </row>
    <row r="25112" spans="13:14" x14ac:dyDescent="0.3">
      <c r="M25112" t="e">
        <v>#N/A</v>
      </c>
      <c r="N25112" s="1">
        <v>44835</v>
      </c>
    </row>
    <row r="25113" spans="13:14" x14ac:dyDescent="0.3">
      <c r="M25113" t="e">
        <v>#N/A</v>
      </c>
      <c r="N25113" s="1">
        <v>44835</v>
      </c>
    </row>
    <row r="25114" spans="13:14" x14ac:dyDescent="0.3">
      <c r="M25114" t="e">
        <v>#N/A</v>
      </c>
      <c r="N25114" s="1">
        <v>44835</v>
      </c>
    </row>
    <row r="25115" spans="13:14" x14ac:dyDescent="0.3">
      <c r="M25115" t="e">
        <v>#N/A</v>
      </c>
      <c r="N25115" s="1">
        <v>44835</v>
      </c>
    </row>
    <row r="25116" spans="13:14" x14ac:dyDescent="0.3">
      <c r="M25116" t="e">
        <v>#N/A</v>
      </c>
      <c r="N25116" s="1">
        <v>44835</v>
      </c>
    </row>
    <row r="25117" spans="13:14" x14ac:dyDescent="0.3">
      <c r="M25117" t="e">
        <v>#N/A</v>
      </c>
      <c r="N25117" s="1">
        <v>44835</v>
      </c>
    </row>
    <row r="25118" spans="13:14" x14ac:dyDescent="0.3">
      <c r="M25118" t="e">
        <v>#N/A</v>
      </c>
      <c r="N25118" s="1">
        <v>44835</v>
      </c>
    </row>
    <row r="25119" spans="13:14" x14ac:dyDescent="0.3">
      <c r="M25119" t="e">
        <v>#N/A</v>
      </c>
      <c r="N25119" s="1">
        <v>44835</v>
      </c>
    </row>
    <row r="25120" spans="13:14" x14ac:dyDescent="0.3">
      <c r="M25120" t="e">
        <v>#N/A</v>
      </c>
      <c r="N25120" s="1">
        <v>44835</v>
      </c>
    </row>
    <row r="25121" spans="13:14" x14ac:dyDescent="0.3">
      <c r="M25121" t="e">
        <v>#N/A</v>
      </c>
      <c r="N25121" s="1">
        <v>44835</v>
      </c>
    </row>
    <row r="25122" spans="13:14" x14ac:dyDescent="0.3">
      <c r="M25122" t="e">
        <v>#N/A</v>
      </c>
      <c r="N25122" s="1">
        <v>44835</v>
      </c>
    </row>
    <row r="25123" spans="13:14" x14ac:dyDescent="0.3">
      <c r="M25123" t="e">
        <v>#N/A</v>
      </c>
      <c r="N25123" s="1">
        <v>44835</v>
      </c>
    </row>
    <row r="25124" spans="13:14" x14ac:dyDescent="0.3">
      <c r="M25124" t="e">
        <v>#N/A</v>
      </c>
      <c r="N25124" s="1">
        <v>44835</v>
      </c>
    </row>
    <row r="25125" spans="13:14" x14ac:dyDescent="0.3">
      <c r="M25125" t="e">
        <v>#N/A</v>
      </c>
      <c r="N25125" s="1">
        <v>44835</v>
      </c>
    </row>
    <row r="25126" spans="13:14" x14ac:dyDescent="0.3">
      <c r="M25126" t="e">
        <v>#N/A</v>
      </c>
      <c r="N25126" s="1">
        <v>44835</v>
      </c>
    </row>
    <row r="25127" spans="13:14" x14ac:dyDescent="0.3">
      <c r="M25127" t="e">
        <v>#N/A</v>
      </c>
      <c r="N25127" s="1">
        <v>44927</v>
      </c>
    </row>
    <row r="25128" spans="13:14" x14ac:dyDescent="0.3">
      <c r="M25128" t="e">
        <v>#N/A</v>
      </c>
      <c r="N25128" s="1">
        <v>44927</v>
      </c>
    </row>
    <row r="25129" spans="13:14" x14ac:dyDescent="0.3">
      <c r="M25129" t="e">
        <v>#N/A</v>
      </c>
      <c r="N25129" s="1">
        <v>44927</v>
      </c>
    </row>
    <row r="25130" spans="13:14" x14ac:dyDescent="0.3">
      <c r="M25130" t="e">
        <v>#N/A</v>
      </c>
      <c r="N25130" s="1">
        <v>44927</v>
      </c>
    </row>
    <row r="25131" spans="13:14" x14ac:dyDescent="0.3">
      <c r="M25131" t="e">
        <v>#N/A</v>
      </c>
      <c r="N25131" s="1">
        <v>44927</v>
      </c>
    </row>
    <row r="25132" spans="13:14" x14ac:dyDescent="0.3">
      <c r="M25132" t="e">
        <v>#N/A</v>
      </c>
      <c r="N25132" s="1">
        <v>44927</v>
      </c>
    </row>
    <row r="25133" spans="13:14" x14ac:dyDescent="0.3">
      <c r="M25133" t="e">
        <v>#N/A</v>
      </c>
      <c r="N25133" s="1">
        <v>44927</v>
      </c>
    </row>
    <row r="25134" spans="13:14" x14ac:dyDescent="0.3">
      <c r="M25134" t="e">
        <v>#N/A</v>
      </c>
      <c r="N25134" s="1">
        <v>44927</v>
      </c>
    </row>
    <row r="25135" spans="13:14" x14ac:dyDescent="0.3">
      <c r="M25135" t="e">
        <v>#N/A</v>
      </c>
      <c r="N25135" s="1">
        <v>44927</v>
      </c>
    </row>
    <row r="25136" spans="13:14" x14ac:dyDescent="0.3">
      <c r="M25136" t="e">
        <v>#N/A</v>
      </c>
      <c r="N25136" s="1">
        <v>44927</v>
      </c>
    </row>
    <row r="25137" spans="13:14" x14ac:dyDescent="0.3">
      <c r="M25137" t="e">
        <v>#N/A</v>
      </c>
      <c r="N25137" s="1">
        <v>44927</v>
      </c>
    </row>
    <row r="25138" spans="13:14" x14ac:dyDescent="0.3">
      <c r="M25138" t="e">
        <v>#N/A</v>
      </c>
      <c r="N25138" s="1">
        <v>44927</v>
      </c>
    </row>
    <row r="25139" spans="13:14" x14ac:dyDescent="0.3">
      <c r="M25139" t="e">
        <v>#N/A</v>
      </c>
      <c r="N25139" s="1">
        <v>44927</v>
      </c>
    </row>
    <row r="25140" spans="13:14" x14ac:dyDescent="0.3">
      <c r="M25140" t="e">
        <v>#N/A</v>
      </c>
      <c r="N25140" s="1">
        <v>44927</v>
      </c>
    </row>
    <row r="25141" spans="13:14" x14ac:dyDescent="0.3">
      <c r="M25141" t="e">
        <v>#N/A</v>
      </c>
      <c r="N25141" s="1">
        <v>44927</v>
      </c>
    </row>
    <row r="25142" spans="13:14" x14ac:dyDescent="0.3">
      <c r="M25142" t="e">
        <v>#N/A</v>
      </c>
      <c r="N25142" s="1">
        <v>44927</v>
      </c>
    </row>
    <row r="25143" spans="13:14" x14ac:dyDescent="0.3">
      <c r="M25143" t="e">
        <v>#N/A</v>
      </c>
      <c r="N25143" s="1">
        <v>44927</v>
      </c>
    </row>
    <row r="25144" spans="13:14" x14ac:dyDescent="0.3">
      <c r="M25144" t="e">
        <v>#N/A</v>
      </c>
      <c r="N25144" s="1">
        <v>44927</v>
      </c>
    </row>
    <row r="25145" spans="13:14" x14ac:dyDescent="0.3">
      <c r="M25145" t="e">
        <v>#N/A</v>
      </c>
      <c r="N25145" s="1">
        <v>44927</v>
      </c>
    </row>
    <row r="25146" spans="13:14" x14ac:dyDescent="0.3">
      <c r="M25146" t="e">
        <v>#N/A</v>
      </c>
      <c r="N25146" s="1">
        <v>44927</v>
      </c>
    </row>
    <row r="25147" spans="13:14" x14ac:dyDescent="0.3">
      <c r="M25147" t="e">
        <v>#N/A</v>
      </c>
      <c r="N25147" s="1">
        <v>44927</v>
      </c>
    </row>
    <row r="25148" spans="13:14" x14ac:dyDescent="0.3">
      <c r="M25148" t="e">
        <v>#N/A</v>
      </c>
      <c r="N25148" s="1">
        <v>44927</v>
      </c>
    </row>
    <row r="25149" spans="13:14" x14ac:dyDescent="0.3">
      <c r="M25149" t="e">
        <v>#N/A</v>
      </c>
      <c r="N25149" s="1">
        <v>44927</v>
      </c>
    </row>
    <row r="25150" spans="13:14" x14ac:dyDescent="0.3">
      <c r="M25150" t="e">
        <v>#N/A</v>
      </c>
      <c r="N25150" s="1">
        <v>44927</v>
      </c>
    </row>
    <row r="25151" spans="13:14" x14ac:dyDescent="0.3">
      <c r="M25151" t="e">
        <v>#N/A</v>
      </c>
      <c r="N25151" s="1">
        <v>44927</v>
      </c>
    </row>
    <row r="25152" spans="13:14" x14ac:dyDescent="0.3">
      <c r="M25152" t="e">
        <v>#N/A</v>
      </c>
      <c r="N25152" s="1">
        <v>44927</v>
      </c>
    </row>
    <row r="25153" spans="13:14" x14ac:dyDescent="0.3">
      <c r="M25153" t="e">
        <v>#N/A</v>
      </c>
      <c r="N25153" s="1">
        <v>44927</v>
      </c>
    </row>
    <row r="25154" spans="13:14" x14ac:dyDescent="0.3">
      <c r="M25154" t="e">
        <v>#N/A</v>
      </c>
      <c r="N25154" s="1">
        <v>44927</v>
      </c>
    </row>
    <row r="25155" spans="13:14" x14ac:dyDescent="0.3">
      <c r="M25155" t="e">
        <v>#N/A</v>
      </c>
      <c r="N25155" s="1">
        <v>44927</v>
      </c>
    </row>
    <row r="25156" spans="13:14" x14ac:dyDescent="0.3">
      <c r="M25156" t="e">
        <v>#N/A</v>
      </c>
      <c r="N25156" s="1">
        <v>44927</v>
      </c>
    </row>
    <row r="25157" spans="13:14" x14ac:dyDescent="0.3">
      <c r="M25157" t="e">
        <v>#N/A</v>
      </c>
      <c r="N25157" s="1">
        <v>44927</v>
      </c>
    </row>
    <row r="25158" spans="13:14" x14ac:dyDescent="0.3">
      <c r="M25158" t="e">
        <v>#N/A</v>
      </c>
      <c r="N25158" s="1">
        <v>44927</v>
      </c>
    </row>
    <row r="25159" spans="13:14" x14ac:dyDescent="0.3">
      <c r="M25159" t="e">
        <v>#N/A</v>
      </c>
      <c r="N25159" s="1">
        <v>44927</v>
      </c>
    </row>
    <row r="25160" spans="13:14" x14ac:dyDescent="0.3">
      <c r="M25160" t="e">
        <v>#N/A</v>
      </c>
      <c r="N25160" s="1">
        <v>44927</v>
      </c>
    </row>
    <row r="25161" spans="13:14" x14ac:dyDescent="0.3">
      <c r="M25161" t="e">
        <v>#N/A</v>
      </c>
      <c r="N25161" s="1">
        <v>44927</v>
      </c>
    </row>
    <row r="25162" spans="13:14" x14ac:dyDescent="0.3">
      <c r="M25162" t="e">
        <v>#N/A</v>
      </c>
      <c r="N25162" s="1">
        <v>44927</v>
      </c>
    </row>
    <row r="25163" spans="13:14" x14ac:dyDescent="0.3">
      <c r="M25163" t="e">
        <v>#N/A</v>
      </c>
      <c r="N25163" s="1">
        <v>44927</v>
      </c>
    </row>
    <row r="25164" spans="13:14" x14ac:dyDescent="0.3">
      <c r="M25164" t="e">
        <v>#N/A</v>
      </c>
      <c r="N25164" s="1">
        <v>44927</v>
      </c>
    </row>
    <row r="25165" spans="13:14" x14ac:dyDescent="0.3">
      <c r="M25165" t="e">
        <v>#N/A</v>
      </c>
      <c r="N25165" s="1">
        <v>44927</v>
      </c>
    </row>
    <row r="25166" spans="13:14" x14ac:dyDescent="0.3">
      <c r="M25166" t="e">
        <v>#N/A</v>
      </c>
      <c r="N25166" s="1">
        <v>44927</v>
      </c>
    </row>
    <row r="25167" spans="13:14" x14ac:dyDescent="0.3">
      <c r="M25167" t="e">
        <v>#N/A</v>
      </c>
      <c r="N25167" s="1">
        <v>44927</v>
      </c>
    </row>
    <row r="25168" spans="13:14" x14ac:dyDescent="0.3">
      <c r="M25168" t="e">
        <v>#N/A</v>
      </c>
      <c r="N25168" s="1">
        <v>44927</v>
      </c>
    </row>
    <row r="25169" spans="13:14" x14ac:dyDescent="0.3">
      <c r="M25169" t="e">
        <v>#N/A</v>
      </c>
      <c r="N25169" s="1">
        <v>44927</v>
      </c>
    </row>
    <row r="25170" spans="13:14" x14ac:dyDescent="0.3">
      <c r="M25170" t="e">
        <v>#N/A</v>
      </c>
      <c r="N25170" s="1">
        <v>44927</v>
      </c>
    </row>
    <row r="25171" spans="13:14" x14ac:dyDescent="0.3">
      <c r="M25171" t="e">
        <v>#N/A</v>
      </c>
      <c r="N25171" s="1">
        <v>44927</v>
      </c>
    </row>
    <row r="25172" spans="13:14" x14ac:dyDescent="0.3">
      <c r="M25172" t="e">
        <v>#N/A</v>
      </c>
      <c r="N25172" s="1">
        <v>44927</v>
      </c>
    </row>
    <row r="25173" spans="13:14" x14ac:dyDescent="0.3">
      <c r="M25173" t="e">
        <v>#N/A</v>
      </c>
      <c r="N25173" s="1">
        <v>44927</v>
      </c>
    </row>
    <row r="25174" spans="13:14" x14ac:dyDescent="0.3">
      <c r="M25174" t="e">
        <v>#N/A</v>
      </c>
      <c r="N25174" s="1">
        <v>44927</v>
      </c>
    </row>
    <row r="25175" spans="13:14" x14ac:dyDescent="0.3">
      <c r="M25175" t="e">
        <v>#N/A</v>
      </c>
      <c r="N25175" s="1">
        <v>44927</v>
      </c>
    </row>
    <row r="25176" spans="13:14" x14ac:dyDescent="0.3">
      <c r="M25176" t="e">
        <v>#N/A</v>
      </c>
      <c r="N25176" s="1">
        <v>44927</v>
      </c>
    </row>
    <row r="25177" spans="13:14" x14ac:dyDescent="0.3">
      <c r="M25177" t="e">
        <v>#N/A</v>
      </c>
      <c r="N25177" s="1">
        <v>44927</v>
      </c>
    </row>
    <row r="25178" spans="13:14" x14ac:dyDescent="0.3">
      <c r="M25178" t="e">
        <v>#N/A</v>
      </c>
      <c r="N25178" s="1">
        <v>44927</v>
      </c>
    </row>
    <row r="25179" spans="13:14" x14ac:dyDescent="0.3">
      <c r="M25179" t="e">
        <v>#N/A</v>
      </c>
      <c r="N25179" s="1">
        <v>44927</v>
      </c>
    </row>
    <row r="25180" spans="13:14" x14ac:dyDescent="0.3">
      <c r="M25180" t="e">
        <v>#N/A</v>
      </c>
      <c r="N25180" s="1">
        <v>44927</v>
      </c>
    </row>
    <row r="25181" spans="13:14" x14ac:dyDescent="0.3">
      <c r="M25181" t="e">
        <v>#N/A</v>
      </c>
      <c r="N25181" s="1">
        <v>44927</v>
      </c>
    </row>
    <row r="25182" spans="13:14" x14ac:dyDescent="0.3">
      <c r="M25182" t="e">
        <v>#N/A</v>
      </c>
      <c r="N25182" s="1">
        <v>44927</v>
      </c>
    </row>
    <row r="25183" spans="13:14" x14ac:dyDescent="0.3">
      <c r="M25183" t="e">
        <v>#N/A</v>
      </c>
      <c r="N25183" s="1">
        <v>44927</v>
      </c>
    </row>
    <row r="25184" spans="13:14" x14ac:dyDescent="0.3">
      <c r="M25184" t="e">
        <v>#N/A</v>
      </c>
      <c r="N25184" s="1">
        <v>44927</v>
      </c>
    </row>
    <row r="25185" spans="13:14" x14ac:dyDescent="0.3">
      <c r="M25185" t="e">
        <v>#N/A</v>
      </c>
      <c r="N25185" s="1">
        <v>44927</v>
      </c>
    </row>
    <row r="25186" spans="13:14" x14ac:dyDescent="0.3">
      <c r="M25186" t="e">
        <v>#N/A</v>
      </c>
      <c r="N25186" s="1">
        <v>44927</v>
      </c>
    </row>
    <row r="25187" spans="13:14" x14ac:dyDescent="0.3">
      <c r="M25187" t="e">
        <v>#N/A</v>
      </c>
      <c r="N25187" s="1">
        <v>44927</v>
      </c>
    </row>
    <row r="25188" spans="13:14" x14ac:dyDescent="0.3">
      <c r="M25188" t="e">
        <v>#N/A</v>
      </c>
      <c r="N25188" s="1">
        <v>44927</v>
      </c>
    </row>
    <row r="25189" spans="13:14" x14ac:dyDescent="0.3">
      <c r="M25189" t="e">
        <v>#N/A</v>
      </c>
      <c r="N25189" s="1">
        <v>44927</v>
      </c>
    </row>
    <row r="25190" spans="13:14" x14ac:dyDescent="0.3">
      <c r="M25190" t="e">
        <v>#N/A</v>
      </c>
      <c r="N25190" s="1">
        <v>44927</v>
      </c>
    </row>
    <row r="25191" spans="13:14" x14ac:dyDescent="0.3">
      <c r="M25191" t="e">
        <v>#N/A</v>
      </c>
      <c r="N25191" s="1">
        <v>44927</v>
      </c>
    </row>
    <row r="25192" spans="13:14" x14ac:dyDescent="0.3">
      <c r="M25192" t="e">
        <v>#N/A</v>
      </c>
      <c r="N25192" s="1">
        <v>44927</v>
      </c>
    </row>
    <row r="25193" spans="13:14" x14ac:dyDescent="0.3">
      <c r="M25193" t="e">
        <v>#N/A</v>
      </c>
      <c r="N25193" s="1">
        <v>44927</v>
      </c>
    </row>
    <row r="25194" spans="13:14" x14ac:dyDescent="0.3">
      <c r="M25194" t="e">
        <v>#N/A</v>
      </c>
      <c r="N25194" s="1">
        <v>44927</v>
      </c>
    </row>
    <row r="25195" spans="13:14" x14ac:dyDescent="0.3">
      <c r="M25195" t="e">
        <v>#N/A</v>
      </c>
      <c r="N25195" s="1">
        <v>44927</v>
      </c>
    </row>
    <row r="25196" spans="13:14" x14ac:dyDescent="0.3">
      <c r="M25196" t="e">
        <v>#N/A</v>
      </c>
      <c r="N25196" s="1">
        <v>44927</v>
      </c>
    </row>
    <row r="25197" spans="13:14" x14ac:dyDescent="0.3">
      <c r="M25197" t="e">
        <v>#N/A</v>
      </c>
      <c r="N25197" s="1">
        <v>44927</v>
      </c>
    </row>
    <row r="25198" spans="13:14" x14ac:dyDescent="0.3">
      <c r="M25198" t="e">
        <v>#N/A</v>
      </c>
      <c r="N25198" s="1">
        <v>44927</v>
      </c>
    </row>
    <row r="25199" spans="13:14" x14ac:dyDescent="0.3">
      <c r="M25199" t="e">
        <v>#N/A</v>
      </c>
      <c r="N25199" s="1">
        <v>44927</v>
      </c>
    </row>
    <row r="25200" spans="13:14" x14ac:dyDescent="0.3">
      <c r="M25200" t="e">
        <v>#N/A</v>
      </c>
      <c r="N25200" s="1">
        <v>44927</v>
      </c>
    </row>
    <row r="25201" spans="13:14" x14ac:dyDescent="0.3">
      <c r="M25201" t="e">
        <v>#N/A</v>
      </c>
      <c r="N25201" s="1">
        <v>44927</v>
      </c>
    </row>
    <row r="25202" spans="13:14" x14ac:dyDescent="0.3">
      <c r="M25202" t="e">
        <v>#N/A</v>
      </c>
      <c r="N25202" s="1">
        <v>44927</v>
      </c>
    </row>
    <row r="25203" spans="13:14" x14ac:dyDescent="0.3">
      <c r="M25203" t="e">
        <v>#N/A</v>
      </c>
      <c r="N25203" s="1">
        <v>44927</v>
      </c>
    </row>
    <row r="25204" spans="13:14" x14ac:dyDescent="0.3">
      <c r="M25204" t="e">
        <v>#N/A</v>
      </c>
      <c r="N25204" s="1">
        <v>44927</v>
      </c>
    </row>
    <row r="25205" spans="13:14" x14ac:dyDescent="0.3">
      <c r="M25205" t="e">
        <v>#N/A</v>
      </c>
      <c r="N25205" s="1">
        <v>44927</v>
      </c>
    </row>
    <row r="25206" spans="13:14" x14ac:dyDescent="0.3">
      <c r="M25206" t="e">
        <v>#N/A</v>
      </c>
      <c r="N25206" s="1">
        <v>44927</v>
      </c>
    </row>
    <row r="25207" spans="13:14" x14ac:dyDescent="0.3">
      <c r="M25207" t="e">
        <v>#N/A</v>
      </c>
      <c r="N25207" s="1">
        <v>44927</v>
      </c>
    </row>
    <row r="25208" spans="13:14" x14ac:dyDescent="0.3">
      <c r="M25208" t="e">
        <v>#N/A</v>
      </c>
      <c r="N25208" s="1">
        <v>44927</v>
      </c>
    </row>
    <row r="25209" spans="13:14" x14ac:dyDescent="0.3">
      <c r="M25209" t="e">
        <v>#N/A</v>
      </c>
      <c r="N25209" s="1">
        <v>44927</v>
      </c>
    </row>
    <row r="25210" spans="13:14" x14ac:dyDescent="0.3">
      <c r="M25210" t="e">
        <v>#N/A</v>
      </c>
      <c r="N25210" s="1">
        <v>44927</v>
      </c>
    </row>
    <row r="25211" spans="13:14" x14ac:dyDescent="0.3">
      <c r="M25211" t="e">
        <v>#N/A</v>
      </c>
      <c r="N25211" s="1">
        <v>44927</v>
      </c>
    </row>
    <row r="25212" spans="13:14" x14ac:dyDescent="0.3">
      <c r="M25212" t="e">
        <v>#N/A</v>
      </c>
      <c r="N25212" s="1">
        <v>44927</v>
      </c>
    </row>
    <row r="25213" spans="13:14" x14ac:dyDescent="0.3">
      <c r="M25213" t="e">
        <v>#N/A</v>
      </c>
      <c r="N25213" s="1">
        <v>44927</v>
      </c>
    </row>
    <row r="25214" spans="13:14" x14ac:dyDescent="0.3">
      <c r="M25214" t="e">
        <v>#N/A</v>
      </c>
      <c r="N25214" s="1">
        <v>44927</v>
      </c>
    </row>
    <row r="25215" spans="13:14" x14ac:dyDescent="0.3">
      <c r="M25215" t="e">
        <v>#N/A</v>
      </c>
      <c r="N25215" s="1">
        <v>44927</v>
      </c>
    </row>
    <row r="25216" spans="13:14" x14ac:dyDescent="0.3">
      <c r="M25216" t="e">
        <v>#N/A</v>
      </c>
      <c r="N25216" s="1">
        <v>44927</v>
      </c>
    </row>
    <row r="25217" spans="13:14" x14ac:dyDescent="0.3">
      <c r="M25217" t="e">
        <v>#N/A</v>
      </c>
      <c r="N25217" s="1">
        <v>44927</v>
      </c>
    </row>
    <row r="25218" spans="13:14" x14ac:dyDescent="0.3">
      <c r="M25218" t="e">
        <v>#N/A</v>
      </c>
      <c r="N25218" s="1">
        <v>44927</v>
      </c>
    </row>
    <row r="25219" spans="13:14" x14ac:dyDescent="0.3">
      <c r="M25219" t="e">
        <v>#N/A</v>
      </c>
      <c r="N25219" s="1">
        <v>44927</v>
      </c>
    </row>
    <row r="25220" spans="13:14" x14ac:dyDescent="0.3">
      <c r="M25220" t="e">
        <v>#N/A</v>
      </c>
      <c r="N25220" s="1">
        <v>44927</v>
      </c>
    </row>
    <row r="25221" spans="13:14" x14ac:dyDescent="0.3">
      <c r="M25221" t="e">
        <v>#N/A</v>
      </c>
      <c r="N25221" s="1">
        <v>44927</v>
      </c>
    </row>
    <row r="25222" spans="13:14" x14ac:dyDescent="0.3">
      <c r="M25222" t="e">
        <v>#N/A</v>
      </c>
      <c r="N25222" s="1">
        <v>44927</v>
      </c>
    </row>
    <row r="25223" spans="13:14" x14ac:dyDescent="0.3">
      <c r="M25223" t="e">
        <v>#N/A</v>
      </c>
      <c r="N25223" s="1">
        <v>44927</v>
      </c>
    </row>
    <row r="25224" spans="13:14" x14ac:dyDescent="0.3">
      <c r="M25224" t="e">
        <v>#N/A</v>
      </c>
      <c r="N25224" s="1">
        <v>44927</v>
      </c>
    </row>
    <row r="25225" spans="13:14" x14ac:dyDescent="0.3">
      <c r="M25225" t="e">
        <v>#N/A</v>
      </c>
      <c r="N25225" s="1">
        <v>44927</v>
      </c>
    </row>
    <row r="25226" spans="13:14" x14ac:dyDescent="0.3">
      <c r="M25226" t="e">
        <v>#N/A</v>
      </c>
      <c r="N25226" s="1">
        <v>44927</v>
      </c>
    </row>
    <row r="25227" spans="13:14" x14ac:dyDescent="0.3">
      <c r="M25227" t="e">
        <v>#N/A</v>
      </c>
      <c r="N25227" s="1">
        <v>44927</v>
      </c>
    </row>
    <row r="25228" spans="13:14" x14ac:dyDescent="0.3">
      <c r="M25228" t="e">
        <v>#N/A</v>
      </c>
      <c r="N25228" s="1">
        <v>44927</v>
      </c>
    </row>
    <row r="25229" spans="13:14" x14ac:dyDescent="0.3">
      <c r="M25229" t="e">
        <v>#N/A</v>
      </c>
      <c r="N25229" s="1">
        <v>44927</v>
      </c>
    </row>
    <row r="25230" spans="13:14" x14ac:dyDescent="0.3">
      <c r="M25230" t="e">
        <v>#N/A</v>
      </c>
      <c r="N25230" s="1">
        <v>44927</v>
      </c>
    </row>
    <row r="25231" spans="13:14" x14ac:dyDescent="0.3">
      <c r="M25231" t="e">
        <v>#N/A</v>
      </c>
      <c r="N25231" s="1">
        <v>44927</v>
      </c>
    </row>
    <row r="25232" spans="13:14" x14ac:dyDescent="0.3">
      <c r="M25232" t="e">
        <v>#N/A</v>
      </c>
      <c r="N25232" s="1">
        <v>44927</v>
      </c>
    </row>
    <row r="25233" spans="13:14" x14ac:dyDescent="0.3">
      <c r="M25233" t="e">
        <v>#N/A</v>
      </c>
      <c r="N25233" s="1">
        <v>44927</v>
      </c>
    </row>
    <row r="25234" spans="13:14" x14ac:dyDescent="0.3">
      <c r="M25234" t="e">
        <v>#N/A</v>
      </c>
      <c r="N25234" s="1">
        <v>44927</v>
      </c>
    </row>
    <row r="25235" spans="13:14" x14ac:dyDescent="0.3">
      <c r="M25235" t="e">
        <v>#N/A</v>
      </c>
      <c r="N25235" s="1">
        <v>44927</v>
      </c>
    </row>
    <row r="25236" spans="13:14" x14ac:dyDescent="0.3">
      <c r="M25236" t="e">
        <v>#N/A</v>
      </c>
      <c r="N25236" s="1">
        <v>44927</v>
      </c>
    </row>
    <row r="25237" spans="13:14" x14ac:dyDescent="0.3">
      <c r="M25237" t="e">
        <v>#N/A</v>
      </c>
      <c r="N25237" s="1">
        <v>44927</v>
      </c>
    </row>
    <row r="25238" spans="13:14" x14ac:dyDescent="0.3">
      <c r="M25238" t="e">
        <v>#N/A</v>
      </c>
      <c r="N25238" s="1">
        <v>44927</v>
      </c>
    </row>
    <row r="25239" spans="13:14" x14ac:dyDescent="0.3">
      <c r="M25239" t="e">
        <v>#N/A</v>
      </c>
      <c r="N25239" s="1">
        <v>44927</v>
      </c>
    </row>
    <row r="25240" spans="13:14" x14ac:dyDescent="0.3">
      <c r="M25240" t="e">
        <v>#N/A</v>
      </c>
      <c r="N25240" s="1">
        <v>44927</v>
      </c>
    </row>
    <row r="25241" spans="13:14" x14ac:dyDescent="0.3">
      <c r="M25241" t="e">
        <v>#N/A</v>
      </c>
      <c r="N25241" s="1">
        <v>44927</v>
      </c>
    </row>
    <row r="25242" spans="13:14" x14ac:dyDescent="0.3">
      <c r="M25242" t="e">
        <v>#N/A</v>
      </c>
      <c r="N25242" s="1">
        <v>44927</v>
      </c>
    </row>
    <row r="25243" spans="13:14" x14ac:dyDescent="0.3">
      <c r="M25243" t="e">
        <v>#N/A</v>
      </c>
      <c r="N25243" s="1">
        <v>44927</v>
      </c>
    </row>
    <row r="25244" spans="13:14" x14ac:dyDescent="0.3">
      <c r="M25244" t="e">
        <v>#N/A</v>
      </c>
      <c r="N25244" s="1">
        <v>44927</v>
      </c>
    </row>
    <row r="25245" spans="13:14" x14ac:dyDescent="0.3">
      <c r="M25245" t="e">
        <v>#N/A</v>
      </c>
      <c r="N25245" s="1">
        <v>44927</v>
      </c>
    </row>
    <row r="25246" spans="13:14" x14ac:dyDescent="0.3">
      <c r="M25246" t="e">
        <v>#N/A</v>
      </c>
      <c r="N25246" s="1">
        <v>44927</v>
      </c>
    </row>
    <row r="25247" spans="13:14" x14ac:dyDescent="0.3">
      <c r="M25247" t="e">
        <v>#N/A</v>
      </c>
      <c r="N25247" s="1">
        <v>44927</v>
      </c>
    </row>
    <row r="25248" spans="13:14" x14ac:dyDescent="0.3">
      <c r="M25248" t="e">
        <v>#N/A</v>
      </c>
      <c r="N25248" s="1">
        <v>44927</v>
      </c>
    </row>
    <row r="25249" spans="13:14" x14ac:dyDescent="0.3">
      <c r="M25249" t="e">
        <v>#N/A</v>
      </c>
      <c r="N25249" s="1">
        <v>44927</v>
      </c>
    </row>
    <row r="25250" spans="13:14" x14ac:dyDescent="0.3">
      <c r="M25250" t="e">
        <v>#N/A</v>
      </c>
      <c r="N25250" s="1">
        <v>44927</v>
      </c>
    </row>
    <row r="25251" spans="13:14" x14ac:dyDescent="0.3">
      <c r="M25251" t="e">
        <v>#N/A</v>
      </c>
      <c r="N25251" s="1">
        <v>44927</v>
      </c>
    </row>
    <row r="25252" spans="13:14" x14ac:dyDescent="0.3">
      <c r="M25252" t="e">
        <v>#N/A</v>
      </c>
      <c r="N25252" s="1">
        <v>44927</v>
      </c>
    </row>
    <row r="25253" spans="13:14" x14ac:dyDescent="0.3">
      <c r="M25253" t="e">
        <v>#N/A</v>
      </c>
      <c r="N25253" s="1">
        <v>44927</v>
      </c>
    </row>
    <row r="25254" spans="13:14" x14ac:dyDescent="0.3">
      <c r="M25254" t="e">
        <v>#N/A</v>
      </c>
      <c r="N25254" s="1">
        <v>44927</v>
      </c>
    </row>
    <row r="25255" spans="13:14" x14ac:dyDescent="0.3">
      <c r="M25255" t="e">
        <v>#N/A</v>
      </c>
      <c r="N25255" s="1">
        <v>44927</v>
      </c>
    </row>
    <row r="25256" spans="13:14" x14ac:dyDescent="0.3">
      <c r="M25256" t="e">
        <v>#N/A</v>
      </c>
      <c r="N25256" s="1">
        <v>44927</v>
      </c>
    </row>
    <row r="25257" spans="13:14" x14ac:dyDescent="0.3">
      <c r="M25257" t="e">
        <v>#N/A</v>
      </c>
      <c r="N25257" s="1">
        <v>44927</v>
      </c>
    </row>
    <row r="25258" spans="13:14" x14ac:dyDescent="0.3">
      <c r="M25258" t="e">
        <v>#N/A</v>
      </c>
      <c r="N25258" s="1">
        <v>44927</v>
      </c>
    </row>
    <row r="25259" spans="13:14" x14ac:dyDescent="0.3">
      <c r="M25259" t="e">
        <v>#N/A</v>
      </c>
      <c r="N25259" s="1">
        <v>44927</v>
      </c>
    </row>
    <row r="25260" spans="13:14" x14ac:dyDescent="0.3">
      <c r="M25260" t="e">
        <v>#N/A</v>
      </c>
      <c r="N25260" s="1">
        <v>44927</v>
      </c>
    </row>
    <row r="25261" spans="13:14" x14ac:dyDescent="0.3">
      <c r="M25261" t="e">
        <v>#N/A</v>
      </c>
      <c r="N25261" s="1">
        <v>44927</v>
      </c>
    </row>
    <row r="25262" spans="13:14" x14ac:dyDescent="0.3">
      <c r="M25262" t="e">
        <v>#N/A</v>
      </c>
      <c r="N25262" s="1">
        <v>44927</v>
      </c>
    </row>
    <row r="25263" spans="13:14" x14ac:dyDescent="0.3">
      <c r="M25263" t="e">
        <v>#N/A</v>
      </c>
      <c r="N25263" s="1">
        <v>44927</v>
      </c>
    </row>
    <row r="25264" spans="13:14" x14ac:dyDescent="0.3">
      <c r="M25264" t="e">
        <v>#N/A</v>
      </c>
      <c r="N25264" s="1">
        <v>44927</v>
      </c>
    </row>
    <row r="25265" spans="13:14" x14ac:dyDescent="0.3">
      <c r="M25265" t="e">
        <v>#N/A</v>
      </c>
      <c r="N25265" s="1">
        <v>44927</v>
      </c>
    </row>
    <row r="25266" spans="13:14" x14ac:dyDescent="0.3">
      <c r="M25266" t="e">
        <v>#N/A</v>
      </c>
      <c r="N25266" s="1">
        <v>44927</v>
      </c>
    </row>
    <row r="25267" spans="13:14" x14ac:dyDescent="0.3">
      <c r="M25267" t="e">
        <v>#N/A</v>
      </c>
      <c r="N25267" s="1">
        <v>44927</v>
      </c>
    </row>
    <row r="25268" spans="13:14" x14ac:dyDescent="0.3">
      <c r="M25268" t="e">
        <v>#N/A</v>
      </c>
      <c r="N25268" s="1">
        <v>44927</v>
      </c>
    </row>
    <row r="25269" spans="13:14" x14ac:dyDescent="0.3">
      <c r="M25269" t="e">
        <v>#N/A</v>
      </c>
      <c r="N25269" s="1">
        <v>44927</v>
      </c>
    </row>
    <row r="25270" spans="13:14" x14ac:dyDescent="0.3">
      <c r="M25270" t="e">
        <v>#N/A</v>
      </c>
      <c r="N25270" s="1">
        <v>44927</v>
      </c>
    </row>
    <row r="25271" spans="13:14" x14ac:dyDescent="0.3">
      <c r="M25271" t="e">
        <v>#N/A</v>
      </c>
      <c r="N25271" s="1">
        <v>44927</v>
      </c>
    </row>
    <row r="25272" spans="13:14" x14ac:dyDescent="0.3">
      <c r="M25272" t="e">
        <v>#N/A</v>
      </c>
      <c r="N25272" s="1">
        <v>44927</v>
      </c>
    </row>
    <row r="25273" spans="13:14" x14ac:dyDescent="0.3">
      <c r="M25273" t="e">
        <v>#N/A</v>
      </c>
      <c r="N25273" s="1">
        <v>44927</v>
      </c>
    </row>
    <row r="25274" spans="13:14" x14ac:dyDescent="0.3">
      <c r="M25274" t="e">
        <v>#N/A</v>
      </c>
      <c r="N25274" s="1">
        <v>44927</v>
      </c>
    </row>
    <row r="25275" spans="13:14" x14ac:dyDescent="0.3">
      <c r="M25275" t="e">
        <v>#N/A</v>
      </c>
      <c r="N25275" s="1">
        <v>44927</v>
      </c>
    </row>
    <row r="25276" spans="13:14" x14ac:dyDescent="0.3">
      <c r="M25276" t="e">
        <v>#N/A</v>
      </c>
      <c r="N25276" s="1">
        <v>44927</v>
      </c>
    </row>
    <row r="25277" spans="13:14" x14ac:dyDescent="0.3">
      <c r="M25277" t="e">
        <v>#N/A</v>
      </c>
      <c r="N25277" s="1">
        <v>44927</v>
      </c>
    </row>
    <row r="25278" spans="13:14" x14ac:dyDescent="0.3">
      <c r="M25278" t="e">
        <v>#N/A</v>
      </c>
      <c r="N25278" s="1">
        <v>44927</v>
      </c>
    </row>
    <row r="25279" spans="13:14" x14ac:dyDescent="0.3">
      <c r="M25279" t="e">
        <v>#N/A</v>
      </c>
      <c r="N25279" s="1">
        <v>44927</v>
      </c>
    </row>
    <row r="25280" spans="13:14" x14ac:dyDescent="0.3">
      <c r="M25280" t="e">
        <v>#N/A</v>
      </c>
      <c r="N25280" s="1">
        <v>44927</v>
      </c>
    </row>
    <row r="25281" spans="13:14" x14ac:dyDescent="0.3">
      <c r="M25281" t="e">
        <v>#N/A</v>
      </c>
      <c r="N25281" s="1">
        <v>44927</v>
      </c>
    </row>
    <row r="25282" spans="13:14" x14ac:dyDescent="0.3">
      <c r="M25282" t="e">
        <v>#N/A</v>
      </c>
      <c r="N25282" s="1">
        <v>44927</v>
      </c>
    </row>
    <row r="25283" spans="13:14" x14ac:dyDescent="0.3">
      <c r="M25283" t="e">
        <v>#N/A</v>
      </c>
      <c r="N25283" s="1">
        <v>44927</v>
      </c>
    </row>
    <row r="25284" spans="13:14" x14ac:dyDescent="0.3">
      <c r="M25284" t="e">
        <v>#N/A</v>
      </c>
      <c r="N25284" s="1">
        <v>44927</v>
      </c>
    </row>
    <row r="25285" spans="13:14" x14ac:dyDescent="0.3">
      <c r="M25285" t="e">
        <v>#N/A</v>
      </c>
      <c r="N25285" s="1">
        <v>44927</v>
      </c>
    </row>
    <row r="25286" spans="13:14" x14ac:dyDescent="0.3">
      <c r="M25286" t="e">
        <v>#N/A</v>
      </c>
      <c r="N25286" s="1">
        <v>44927</v>
      </c>
    </row>
    <row r="25287" spans="13:14" x14ac:dyDescent="0.3">
      <c r="M25287" t="e">
        <v>#N/A</v>
      </c>
      <c r="N25287" s="1">
        <v>44927</v>
      </c>
    </row>
    <row r="25288" spans="13:14" x14ac:dyDescent="0.3">
      <c r="M25288" t="e">
        <v>#N/A</v>
      </c>
      <c r="N25288" s="1">
        <v>44927</v>
      </c>
    </row>
    <row r="25289" spans="13:14" x14ac:dyDescent="0.3">
      <c r="M25289" t="e">
        <v>#N/A</v>
      </c>
      <c r="N25289" s="1">
        <v>44927</v>
      </c>
    </row>
    <row r="25290" spans="13:14" x14ac:dyDescent="0.3">
      <c r="M25290" t="e">
        <v>#N/A</v>
      </c>
      <c r="N25290" s="1">
        <v>44927</v>
      </c>
    </row>
    <row r="25291" spans="13:14" x14ac:dyDescent="0.3">
      <c r="M25291" t="e">
        <v>#N/A</v>
      </c>
      <c r="N25291" s="1">
        <v>44927</v>
      </c>
    </row>
    <row r="25292" spans="13:14" x14ac:dyDescent="0.3">
      <c r="M25292" t="e">
        <v>#N/A</v>
      </c>
      <c r="N25292" s="1">
        <v>44927</v>
      </c>
    </row>
    <row r="25293" spans="13:14" x14ac:dyDescent="0.3">
      <c r="M25293" t="e">
        <v>#N/A</v>
      </c>
      <c r="N25293" s="1">
        <v>44927</v>
      </c>
    </row>
    <row r="25294" spans="13:14" x14ac:dyDescent="0.3">
      <c r="M25294" t="e">
        <v>#N/A</v>
      </c>
      <c r="N25294" s="1">
        <v>44927</v>
      </c>
    </row>
    <row r="25295" spans="13:14" x14ac:dyDescent="0.3">
      <c r="M25295" t="e">
        <v>#N/A</v>
      </c>
      <c r="N25295" s="1">
        <v>44927</v>
      </c>
    </row>
    <row r="25296" spans="13:14" x14ac:dyDescent="0.3">
      <c r="M25296" t="e">
        <v>#N/A</v>
      </c>
      <c r="N25296" s="1">
        <v>44927</v>
      </c>
    </row>
    <row r="25297" spans="13:14" x14ac:dyDescent="0.3">
      <c r="M25297" t="e">
        <v>#N/A</v>
      </c>
      <c r="N25297" s="1">
        <v>44927</v>
      </c>
    </row>
    <row r="25298" spans="13:14" x14ac:dyDescent="0.3">
      <c r="M25298" t="e">
        <v>#N/A</v>
      </c>
      <c r="N25298" s="1">
        <v>44927</v>
      </c>
    </row>
    <row r="25299" spans="13:14" x14ac:dyDescent="0.3">
      <c r="M25299" t="e">
        <v>#N/A</v>
      </c>
      <c r="N25299" s="1">
        <v>44927</v>
      </c>
    </row>
    <row r="25300" spans="13:14" x14ac:dyDescent="0.3">
      <c r="M25300" t="e">
        <v>#N/A</v>
      </c>
      <c r="N25300" s="1">
        <v>44927</v>
      </c>
    </row>
    <row r="25301" spans="13:14" x14ac:dyDescent="0.3">
      <c r="M25301" t="e">
        <v>#N/A</v>
      </c>
      <c r="N25301" s="1">
        <v>44927</v>
      </c>
    </row>
    <row r="25302" spans="13:14" x14ac:dyDescent="0.3">
      <c r="M25302" t="e">
        <v>#N/A</v>
      </c>
      <c r="N25302" s="1">
        <v>44927</v>
      </c>
    </row>
    <row r="25303" spans="13:14" x14ac:dyDescent="0.3">
      <c r="M25303" t="e">
        <v>#N/A</v>
      </c>
      <c r="N25303" s="1">
        <v>44927</v>
      </c>
    </row>
    <row r="25304" spans="13:14" x14ac:dyDescent="0.3">
      <c r="M25304" t="e">
        <v>#N/A</v>
      </c>
      <c r="N25304" s="1">
        <v>44927</v>
      </c>
    </row>
    <row r="25305" spans="13:14" x14ac:dyDescent="0.3">
      <c r="M25305" t="e">
        <v>#N/A</v>
      </c>
      <c r="N25305" s="1">
        <v>44927</v>
      </c>
    </row>
    <row r="25306" spans="13:14" x14ac:dyDescent="0.3">
      <c r="M25306" t="e">
        <v>#N/A</v>
      </c>
      <c r="N25306" s="1">
        <v>44927</v>
      </c>
    </row>
    <row r="25307" spans="13:14" x14ac:dyDescent="0.3">
      <c r="M25307" t="e">
        <v>#N/A</v>
      </c>
      <c r="N25307" s="1">
        <v>44927</v>
      </c>
    </row>
    <row r="25308" spans="13:14" x14ac:dyDescent="0.3">
      <c r="M25308" t="e">
        <v>#N/A</v>
      </c>
      <c r="N25308" s="1">
        <v>44927</v>
      </c>
    </row>
    <row r="25309" spans="13:14" x14ac:dyDescent="0.3">
      <c r="M25309" t="e">
        <v>#N/A</v>
      </c>
      <c r="N25309" s="1">
        <v>44927</v>
      </c>
    </row>
    <row r="25310" spans="13:14" x14ac:dyDescent="0.3">
      <c r="M25310" t="e">
        <v>#N/A</v>
      </c>
      <c r="N25310" s="1">
        <v>44927</v>
      </c>
    </row>
    <row r="25311" spans="13:14" x14ac:dyDescent="0.3">
      <c r="M25311" t="e">
        <v>#N/A</v>
      </c>
      <c r="N25311" s="1">
        <v>44927</v>
      </c>
    </row>
    <row r="25312" spans="13:14" x14ac:dyDescent="0.3">
      <c r="M25312" t="e">
        <v>#N/A</v>
      </c>
      <c r="N25312" s="1">
        <v>44927</v>
      </c>
    </row>
    <row r="25313" spans="13:14" x14ac:dyDescent="0.3">
      <c r="M25313" t="e">
        <v>#N/A</v>
      </c>
      <c r="N25313" s="1">
        <v>44927</v>
      </c>
    </row>
    <row r="25314" spans="13:14" x14ac:dyDescent="0.3">
      <c r="M25314" t="e">
        <v>#N/A</v>
      </c>
      <c r="N25314" s="1">
        <v>44927</v>
      </c>
    </row>
    <row r="25315" spans="13:14" x14ac:dyDescent="0.3">
      <c r="M25315" t="e">
        <v>#N/A</v>
      </c>
      <c r="N25315" s="1">
        <v>44927</v>
      </c>
    </row>
    <row r="25316" spans="13:14" x14ac:dyDescent="0.3">
      <c r="M25316" t="e">
        <v>#N/A</v>
      </c>
      <c r="N25316" s="1">
        <v>44927</v>
      </c>
    </row>
    <row r="25317" spans="13:14" x14ac:dyDescent="0.3">
      <c r="M25317" t="e">
        <v>#N/A</v>
      </c>
      <c r="N25317" s="1">
        <v>44927</v>
      </c>
    </row>
    <row r="25318" spans="13:14" x14ac:dyDescent="0.3">
      <c r="M25318" t="e">
        <v>#N/A</v>
      </c>
      <c r="N25318" s="1">
        <v>44927</v>
      </c>
    </row>
    <row r="25319" spans="13:14" x14ac:dyDescent="0.3">
      <c r="M25319" t="e">
        <v>#N/A</v>
      </c>
      <c r="N25319" s="1">
        <v>44927</v>
      </c>
    </row>
    <row r="25320" spans="13:14" x14ac:dyDescent="0.3">
      <c r="M25320" t="e">
        <v>#N/A</v>
      </c>
      <c r="N25320" s="1">
        <v>44927</v>
      </c>
    </row>
    <row r="25321" spans="13:14" x14ac:dyDescent="0.3">
      <c r="M25321" t="e">
        <v>#N/A</v>
      </c>
      <c r="N25321" s="1">
        <v>44927</v>
      </c>
    </row>
    <row r="25322" spans="13:14" x14ac:dyDescent="0.3">
      <c r="M25322" t="e">
        <v>#N/A</v>
      </c>
      <c r="N25322" s="1">
        <v>44927</v>
      </c>
    </row>
    <row r="25323" spans="13:14" x14ac:dyDescent="0.3">
      <c r="M25323" t="e">
        <v>#N/A</v>
      </c>
      <c r="N25323" s="1">
        <v>44927</v>
      </c>
    </row>
    <row r="25324" spans="13:14" x14ac:dyDescent="0.3">
      <c r="M25324" t="e">
        <v>#N/A</v>
      </c>
      <c r="N25324" s="1">
        <v>44927</v>
      </c>
    </row>
    <row r="25325" spans="13:14" x14ac:dyDescent="0.3">
      <c r="M25325" t="e">
        <v>#N/A</v>
      </c>
      <c r="N25325" s="1">
        <v>44927</v>
      </c>
    </row>
    <row r="25326" spans="13:14" x14ac:dyDescent="0.3">
      <c r="M25326" t="e">
        <v>#N/A</v>
      </c>
      <c r="N25326" s="1">
        <v>44927</v>
      </c>
    </row>
    <row r="25327" spans="13:14" x14ac:dyDescent="0.3">
      <c r="M25327" t="e">
        <v>#N/A</v>
      </c>
      <c r="N25327" s="1">
        <v>44927</v>
      </c>
    </row>
    <row r="25328" spans="13:14" x14ac:dyDescent="0.3">
      <c r="M25328" t="e">
        <v>#N/A</v>
      </c>
      <c r="N25328" s="1">
        <v>44927</v>
      </c>
    </row>
    <row r="25329" spans="13:14" x14ac:dyDescent="0.3">
      <c r="M25329" t="e">
        <v>#N/A</v>
      </c>
      <c r="N25329" s="1">
        <v>44927</v>
      </c>
    </row>
    <row r="25330" spans="13:14" x14ac:dyDescent="0.3">
      <c r="M25330" t="e">
        <v>#N/A</v>
      </c>
      <c r="N25330" s="1">
        <v>44927</v>
      </c>
    </row>
    <row r="25331" spans="13:14" x14ac:dyDescent="0.3">
      <c r="M25331" t="e">
        <v>#N/A</v>
      </c>
      <c r="N25331" s="1">
        <v>44927</v>
      </c>
    </row>
    <row r="25332" spans="13:14" x14ac:dyDescent="0.3">
      <c r="M25332" t="e">
        <v>#N/A</v>
      </c>
      <c r="N25332" s="1">
        <v>44927</v>
      </c>
    </row>
    <row r="25333" spans="13:14" x14ac:dyDescent="0.3">
      <c r="M25333" t="e">
        <v>#N/A</v>
      </c>
      <c r="N25333" s="1">
        <v>44927</v>
      </c>
    </row>
    <row r="25334" spans="13:14" x14ac:dyDescent="0.3">
      <c r="M25334" t="e">
        <v>#N/A</v>
      </c>
      <c r="N25334" s="1">
        <v>44927</v>
      </c>
    </row>
    <row r="25335" spans="13:14" x14ac:dyDescent="0.3">
      <c r="M25335" t="e">
        <v>#N/A</v>
      </c>
      <c r="N25335" s="1">
        <v>44927</v>
      </c>
    </row>
    <row r="25336" spans="13:14" x14ac:dyDescent="0.3">
      <c r="M25336" t="e">
        <v>#N/A</v>
      </c>
      <c r="N25336" s="1">
        <v>44927</v>
      </c>
    </row>
    <row r="25337" spans="13:14" x14ac:dyDescent="0.3">
      <c r="M25337" t="e">
        <v>#N/A</v>
      </c>
      <c r="N25337" s="1">
        <v>44927</v>
      </c>
    </row>
    <row r="25338" spans="13:14" x14ac:dyDescent="0.3">
      <c r="M25338" t="e">
        <v>#N/A</v>
      </c>
      <c r="N25338" s="1">
        <v>44927</v>
      </c>
    </row>
    <row r="25339" spans="13:14" x14ac:dyDescent="0.3">
      <c r="M25339" t="e">
        <v>#N/A</v>
      </c>
      <c r="N25339" s="1">
        <v>44927</v>
      </c>
    </row>
    <row r="25340" spans="13:14" x14ac:dyDescent="0.3">
      <c r="M25340" t="e">
        <v>#N/A</v>
      </c>
      <c r="N25340" s="1">
        <v>44927</v>
      </c>
    </row>
    <row r="25341" spans="13:14" x14ac:dyDescent="0.3">
      <c r="M25341" t="e">
        <v>#N/A</v>
      </c>
      <c r="N25341" s="1">
        <v>44927</v>
      </c>
    </row>
    <row r="25342" spans="13:14" x14ac:dyDescent="0.3">
      <c r="M25342" t="e">
        <v>#N/A</v>
      </c>
      <c r="N25342" s="1">
        <v>44927</v>
      </c>
    </row>
    <row r="25343" spans="13:14" x14ac:dyDescent="0.3">
      <c r="M25343" t="e">
        <v>#N/A</v>
      </c>
      <c r="N25343" s="1">
        <v>44927</v>
      </c>
    </row>
    <row r="25344" spans="13:14" x14ac:dyDescent="0.3">
      <c r="M25344" t="e">
        <v>#N/A</v>
      </c>
      <c r="N25344" s="1">
        <v>44927</v>
      </c>
    </row>
    <row r="25345" spans="13:14" x14ac:dyDescent="0.3">
      <c r="M25345" t="e">
        <v>#N/A</v>
      </c>
      <c r="N25345" s="1">
        <v>44927</v>
      </c>
    </row>
    <row r="25346" spans="13:14" x14ac:dyDescent="0.3">
      <c r="M25346" t="e">
        <v>#N/A</v>
      </c>
      <c r="N25346" s="1">
        <v>44927</v>
      </c>
    </row>
    <row r="25347" spans="13:14" x14ac:dyDescent="0.3">
      <c r="M25347" t="e">
        <v>#N/A</v>
      </c>
      <c r="N25347" s="1">
        <v>44927</v>
      </c>
    </row>
    <row r="25348" spans="13:14" x14ac:dyDescent="0.3">
      <c r="M25348" t="e">
        <v>#N/A</v>
      </c>
      <c r="N25348" s="1">
        <v>44927</v>
      </c>
    </row>
    <row r="25349" spans="13:14" x14ac:dyDescent="0.3">
      <c r="M25349" t="e">
        <v>#N/A</v>
      </c>
      <c r="N25349" s="1">
        <v>44927</v>
      </c>
    </row>
    <row r="25350" spans="13:14" x14ac:dyDescent="0.3">
      <c r="M25350" t="e">
        <v>#N/A</v>
      </c>
      <c r="N25350" s="1">
        <v>44927</v>
      </c>
    </row>
    <row r="25351" spans="13:14" x14ac:dyDescent="0.3">
      <c r="M25351" t="e">
        <v>#N/A</v>
      </c>
      <c r="N25351" s="1">
        <v>44927</v>
      </c>
    </row>
    <row r="25352" spans="13:14" x14ac:dyDescent="0.3">
      <c r="M25352" t="e">
        <v>#N/A</v>
      </c>
      <c r="N25352" s="1">
        <v>44927</v>
      </c>
    </row>
    <row r="25353" spans="13:14" x14ac:dyDescent="0.3">
      <c r="M25353" t="e">
        <v>#N/A</v>
      </c>
      <c r="N25353" s="1">
        <v>44927</v>
      </c>
    </row>
    <row r="25354" spans="13:14" x14ac:dyDescent="0.3">
      <c r="M25354" t="e">
        <v>#N/A</v>
      </c>
      <c r="N25354" s="1">
        <v>44927</v>
      </c>
    </row>
    <row r="25355" spans="13:14" x14ac:dyDescent="0.3">
      <c r="M25355" t="e">
        <v>#N/A</v>
      </c>
      <c r="N25355" s="1">
        <v>44927</v>
      </c>
    </row>
    <row r="25356" spans="13:14" x14ac:dyDescent="0.3">
      <c r="M25356" t="e">
        <v>#N/A</v>
      </c>
      <c r="N25356" s="1">
        <v>44927</v>
      </c>
    </row>
    <row r="25357" spans="13:14" x14ac:dyDescent="0.3">
      <c r="M25357" t="e">
        <v>#N/A</v>
      </c>
      <c r="N25357" s="1">
        <v>44927</v>
      </c>
    </row>
    <row r="25358" spans="13:14" x14ac:dyDescent="0.3">
      <c r="M25358" t="e">
        <v>#N/A</v>
      </c>
      <c r="N25358" s="1">
        <v>44927</v>
      </c>
    </row>
    <row r="25359" spans="13:14" x14ac:dyDescent="0.3">
      <c r="M25359" t="e">
        <v>#N/A</v>
      </c>
      <c r="N25359" s="1">
        <v>44927</v>
      </c>
    </row>
    <row r="25360" spans="13:14" x14ac:dyDescent="0.3">
      <c r="M25360" t="e">
        <v>#N/A</v>
      </c>
      <c r="N25360" s="1">
        <v>44927</v>
      </c>
    </row>
    <row r="25361" spans="13:14" x14ac:dyDescent="0.3">
      <c r="M25361" t="e">
        <v>#N/A</v>
      </c>
      <c r="N25361" s="1">
        <v>44927</v>
      </c>
    </row>
    <row r="25362" spans="13:14" x14ac:dyDescent="0.3">
      <c r="M25362" t="e">
        <v>#N/A</v>
      </c>
      <c r="N25362" s="1">
        <v>44927</v>
      </c>
    </row>
    <row r="25363" spans="13:14" x14ac:dyDescent="0.3">
      <c r="M25363" t="e">
        <v>#N/A</v>
      </c>
      <c r="N25363" s="1">
        <v>44927</v>
      </c>
    </row>
    <row r="25364" spans="13:14" x14ac:dyDescent="0.3">
      <c r="M25364" t="e">
        <v>#N/A</v>
      </c>
      <c r="N25364" s="1">
        <v>44927</v>
      </c>
    </row>
    <row r="25365" spans="13:14" x14ac:dyDescent="0.3">
      <c r="M25365" t="e">
        <v>#N/A</v>
      </c>
      <c r="N25365" s="1">
        <v>44927</v>
      </c>
    </row>
    <row r="25366" spans="13:14" x14ac:dyDescent="0.3">
      <c r="M25366" t="e">
        <v>#N/A</v>
      </c>
      <c r="N25366" s="1">
        <v>44927</v>
      </c>
    </row>
    <row r="25367" spans="13:14" x14ac:dyDescent="0.3">
      <c r="M25367" t="e">
        <v>#N/A</v>
      </c>
      <c r="N25367" s="1">
        <v>44927</v>
      </c>
    </row>
    <row r="25368" spans="13:14" x14ac:dyDescent="0.3">
      <c r="M25368" t="e">
        <v>#N/A</v>
      </c>
      <c r="N25368" s="1">
        <v>44927</v>
      </c>
    </row>
    <row r="25369" spans="13:14" x14ac:dyDescent="0.3">
      <c r="M25369" t="e">
        <v>#N/A</v>
      </c>
      <c r="N25369" s="1">
        <v>44927</v>
      </c>
    </row>
    <row r="25370" spans="13:14" x14ac:dyDescent="0.3">
      <c r="M25370" t="e">
        <v>#N/A</v>
      </c>
      <c r="N25370" s="1">
        <v>44927</v>
      </c>
    </row>
    <row r="25371" spans="13:14" x14ac:dyDescent="0.3">
      <c r="M25371" t="e">
        <v>#N/A</v>
      </c>
      <c r="N25371" s="1">
        <v>44927</v>
      </c>
    </row>
    <row r="25372" spans="13:14" x14ac:dyDescent="0.3">
      <c r="M25372" t="e">
        <v>#N/A</v>
      </c>
      <c r="N25372" s="1">
        <v>44927</v>
      </c>
    </row>
    <row r="25373" spans="13:14" x14ac:dyDescent="0.3">
      <c r="M25373" t="e">
        <v>#N/A</v>
      </c>
      <c r="N25373" s="1">
        <v>44927</v>
      </c>
    </row>
    <row r="25374" spans="13:14" x14ac:dyDescent="0.3">
      <c r="M25374" t="e">
        <v>#N/A</v>
      </c>
      <c r="N25374" s="1">
        <v>44927</v>
      </c>
    </row>
    <row r="25375" spans="13:14" x14ac:dyDescent="0.3">
      <c r="M25375" t="e">
        <v>#N/A</v>
      </c>
      <c r="N25375" s="1">
        <v>44927</v>
      </c>
    </row>
    <row r="25376" spans="13:14" x14ac:dyDescent="0.3">
      <c r="M25376" t="e">
        <v>#N/A</v>
      </c>
      <c r="N25376" s="1">
        <v>44927</v>
      </c>
    </row>
    <row r="25377" spans="13:14" x14ac:dyDescent="0.3">
      <c r="M25377" t="e">
        <v>#N/A</v>
      </c>
      <c r="N25377" s="1">
        <v>44927</v>
      </c>
    </row>
    <row r="25378" spans="13:14" x14ac:dyDescent="0.3">
      <c r="M25378" t="e">
        <v>#N/A</v>
      </c>
      <c r="N25378" s="1">
        <v>44927</v>
      </c>
    </row>
    <row r="25379" spans="13:14" x14ac:dyDescent="0.3">
      <c r="M25379" t="e">
        <v>#N/A</v>
      </c>
      <c r="N25379" s="1">
        <v>44927</v>
      </c>
    </row>
    <row r="25380" spans="13:14" x14ac:dyDescent="0.3">
      <c r="M25380" t="e">
        <v>#N/A</v>
      </c>
      <c r="N25380" s="1">
        <v>44927</v>
      </c>
    </row>
    <row r="25381" spans="13:14" x14ac:dyDescent="0.3">
      <c r="M25381" t="e">
        <v>#N/A</v>
      </c>
      <c r="N25381" s="1">
        <v>44927</v>
      </c>
    </row>
    <row r="25382" spans="13:14" x14ac:dyDescent="0.3">
      <c r="M25382" t="e">
        <v>#N/A</v>
      </c>
      <c r="N25382" s="1">
        <v>44927</v>
      </c>
    </row>
    <row r="25383" spans="13:14" x14ac:dyDescent="0.3">
      <c r="M25383" t="e">
        <v>#N/A</v>
      </c>
      <c r="N25383" s="1">
        <v>44927</v>
      </c>
    </row>
    <row r="25384" spans="13:14" x14ac:dyDescent="0.3">
      <c r="M25384" t="e">
        <v>#N/A</v>
      </c>
      <c r="N25384" s="1">
        <v>44927</v>
      </c>
    </row>
    <row r="25385" spans="13:14" x14ac:dyDescent="0.3">
      <c r="M25385" t="e">
        <v>#N/A</v>
      </c>
      <c r="N25385" s="1">
        <v>44927</v>
      </c>
    </row>
    <row r="25386" spans="13:14" x14ac:dyDescent="0.3">
      <c r="M25386" t="e">
        <v>#N/A</v>
      </c>
      <c r="N25386" s="1">
        <v>44927</v>
      </c>
    </row>
    <row r="25387" spans="13:14" x14ac:dyDescent="0.3">
      <c r="M25387" t="e">
        <v>#N/A</v>
      </c>
      <c r="N25387" s="1">
        <v>44927</v>
      </c>
    </row>
    <row r="25388" spans="13:14" x14ac:dyDescent="0.3">
      <c r="M25388" t="e">
        <v>#N/A</v>
      </c>
      <c r="N25388" s="1">
        <v>44927</v>
      </c>
    </row>
    <row r="25389" spans="13:14" x14ac:dyDescent="0.3">
      <c r="M25389" t="e">
        <v>#N/A</v>
      </c>
      <c r="N25389" s="1">
        <v>44927</v>
      </c>
    </row>
    <row r="25390" spans="13:14" x14ac:dyDescent="0.3">
      <c r="M25390" t="e">
        <v>#N/A</v>
      </c>
      <c r="N25390" s="1">
        <v>44927</v>
      </c>
    </row>
    <row r="25391" spans="13:14" x14ac:dyDescent="0.3">
      <c r="M25391" t="e">
        <v>#N/A</v>
      </c>
      <c r="N25391" s="1">
        <v>44927</v>
      </c>
    </row>
    <row r="25392" spans="13:14" x14ac:dyDescent="0.3">
      <c r="M25392" t="e">
        <v>#N/A</v>
      </c>
      <c r="N25392" s="1">
        <v>44927</v>
      </c>
    </row>
    <row r="25393" spans="13:14" x14ac:dyDescent="0.3">
      <c r="M25393" t="e">
        <v>#N/A</v>
      </c>
      <c r="N25393" s="1">
        <v>44927</v>
      </c>
    </row>
    <row r="25394" spans="13:14" x14ac:dyDescent="0.3">
      <c r="M25394" t="e">
        <v>#N/A</v>
      </c>
      <c r="N25394" s="1">
        <v>44927</v>
      </c>
    </row>
    <row r="25395" spans="13:14" x14ac:dyDescent="0.3">
      <c r="M25395" t="e">
        <v>#N/A</v>
      </c>
      <c r="N25395" s="1">
        <v>44927</v>
      </c>
    </row>
    <row r="25396" spans="13:14" x14ac:dyDescent="0.3">
      <c r="M25396" t="e">
        <v>#N/A</v>
      </c>
      <c r="N25396" s="1">
        <v>44927</v>
      </c>
    </row>
    <row r="25397" spans="13:14" x14ac:dyDescent="0.3">
      <c r="M25397" t="e">
        <v>#N/A</v>
      </c>
      <c r="N25397" s="1">
        <v>44927</v>
      </c>
    </row>
    <row r="25398" spans="13:14" x14ac:dyDescent="0.3">
      <c r="M25398" t="e">
        <v>#N/A</v>
      </c>
      <c r="N25398" s="1">
        <v>44927</v>
      </c>
    </row>
    <row r="25399" spans="13:14" x14ac:dyDescent="0.3">
      <c r="M25399" t="e">
        <v>#N/A</v>
      </c>
      <c r="N25399" s="1">
        <v>44927</v>
      </c>
    </row>
    <row r="25400" spans="13:14" x14ac:dyDescent="0.3">
      <c r="M25400" t="e">
        <v>#N/A</v>
      </c>
      <c r="N25400" s="1">
        <v>44927</v>
      </c>
    </row>
    <row r="25401" spans="13:14" x14ac:dyDescent="0.3">
      <c r="M25401" t="e">
        <v>#N/A</v>
      </c>
      <c r="N25401" s="1">
        <v>44927</v>
      </c>
    </row>
    <row r="25402" spans="13:14" x14ac:dyDescent="0.3">
      <c r="M25402" t="e">
        <v>#N/A</v>
      </c>
      <c r="N25402" s="1">
        <v>44927</v>
      </c>
    </row>
    <row r="25403" spans="13:14" x14ac:dyDescent="0.3">
      <c r="M25403" t="e">
        <v>#N/A</v>
      </c>
      <c r="N25403" s="1">
        <v>44927</v>
      </c>
    </row>
    <row r="25404" spans="13:14" x14ac:dyDescent="0.3">
      <c r="M25404" t="e">
        <v>#N/A</v>
      </c>
      <c r="N25404" s="1">
        <v>44927</v>
      </c>
    </row>
    <row r="25405" spans="13:14" x14ac:dyDescent="0.3">
      <c r="M25405" t="e">
        <v>#N/A</v>
      </c>
      <c r="N25405" s="1">
        <v>44927</v>
      </c>
    </row>
    <row r="25406" spans="13:14" x14ac:dyDescent="0.3">
      <c r="M25406" t="e">
        <v>#N/A</v>
      </c>
      <c r="N25406" s="1">
        <v>44927</v>
      </c>
    </row>
    <row r="25407" spans="13:14" x14ac:dyDescent="0.3">
      <c r="M25407" t="e">
        <v>#N/A</v>
      </c>
      <c r="N25407" s="1">
        <v>44927</v>
      </c>
    </row>
    <row r="25408" spans="13:14" x14ac:dyDescent="0.3">
      <c r="M25408" t="e">
        <v>#N/A</v>
      </c>
      <c r="N25408" s="1">
        <v>44927</v>
      </c>
    </row>
    <row r="25409" spans="13:14" x14ac:dyDescent="0.3">
      <c r="M25409" t="e">
        <v>#N/A</v>
      </c>
      <c r="N25409" s="1">
        <v>44927</v>
      </c>
    </row>
    <row r="25410" spans="13:14" x14ac:dyDescent="0.3">
      <c r="M25410" t="e">
        <v>#N/A</v>
      </c>
      <c r="N25410" s="1">
        <v>44927</v>
      </c>
    </row>
    <row r="25411" spans="13:14" x14ac:dyDescent="0.3">
      <c r="M25411" t="e">
        <v>#N/A</v>
      </c>
      <c r="N25411" s="1">
        <v>44927</v>
      </c>
    </row>
    <row r="25412" spans="13:14" x14ac:dyDescent="0.3">
      <c r="M25412" t="e">
        <v>#N/A</v>
      </c>
      <c r="N25412" s="1">
        <v>44927</v>
      </c>
    </row>
    <row r="25413" spans="13:14" x14ac:dyDescent="0.3">
      <c r="M25413" t="e">
        <v>#N/A</v>
      </c>
      <c r="N25413" s="1">
        <v>44927</v>
      </c>
    </row>
    <row r="25414" spans="13:14" x14ac:dyDescent="0.3">
      <c r="M25414" t="e">
        <v>#N/A</v>
      </c>
      <c r="N25414" s="1">
        <v>44927</v>
      </c>
    </row>
    <row r="25415" spans="13:14" x14ac:dyDescent="0.3">
      <c r="M25415" t="e">
        <v>#N/A</v>
      </c>
      <c r="N25415" s="1">
        <v>44927</v>
      </c>
    </row>
    <row r="25416" spans="13:14" x14ac:dyDescent="0.3">
      <c r="M25416" t="e">
        <v>#N/A</v>
      </c>
      <c r="N25416" s="1">
        <v>44927</v>
      </c>
    </row>
    <row r="25417" spans="13:14" x14ac:dyDescent="0.3">
      <c r="M25417" t="e">
        <v>#N/A</v>
      </c>
      <c r="N25417" s="1">
        <v>44927</v>
      </c>
    </row>
    <row r="25418" spans="13:14" x14ac:dyDescent="0.3">
      <c r="M25418" t="e">
        <v>#N/A</v>
      </c>
      <c r="N25418" s="1">
        <v>44927</v>
      </c>
    </row>
    <row r="25419" spans="13:14" x14ac:dyDescent="0.3">
      <c r="M25419" t="e">
        <v>#N/A</v>
      </c>
      <c r="N25419" s="1">
        <v>44927</v>
      </c>
    </row>
    <row r="25420" spans="13:14" x14ac:dyDescent="0.3">
      <c r="M25420" t="e">
        <v>#N/A</v>
      </c>
      <c r="N25420" s="1">
        <v>44927</v>
      </c>
    </row>
    <row r="25421" spans="13:14" x14ac:dyDescent="0.3">
      <c r="M25421" t="e">
        <v>#N/A</v>
      </c>
      <c r="N25421" s="1">
        <v>44927</v>
      </c>
    </row>
    <row r="25422" spans="13:14" x14ac:dyDescent="0.3">
      <c r="M25422" t="e">
        <v>#N/A</v>
      </c>
      <c r="N25422" s="1">
        <v>44927</v>
      </c>
    </row>
    <row r="25423" spans="13:14" x14ac:dyDescent="0.3">
      <c r="M25423" t="e">
        <v>#N/A</v>
      </c>
      <c r="N25423" s="1">
        <v>44927</v>
      </c>
    </row>
    <row r="25424" spans="13:14" x14ac:dyDescent="0.3">
      <c r="M25424" t="e">
        <v>#N/A</v>
      </c>
      <c r="N25424" s="1">
        <v>44927</v>
      </c>
    </row>
    <row r="25425" spans="13:14" x14ac:dyDescent="0.3">
      <c r="M25425" t="e">
        <v>#N/A</v>
      </c>
      <c r="N25425" s="1">
        <v>44927</v>
      </c>
    </row>
    <row r="25426" spans="13:14" x14ac:dyDescent="0.3">
      <c r="M25426" t="e">
        <v>#N/A</v>
      </c>
      <c r="N25426" s="1">
        <v>44927</v>
      </c>
    </row>
    <row r="25427" spans="13:14" x14ac:dyDescent="0.3">
      <c r="M25427" t="e">
        <v>#N/A</v>
      </c>
      <c r="N25427" s="1">
        <v>44927</v>
      </c>
    </row>
    <row r="25428" spans="13:14" x14ac:dyDescent="0.3">
      <c r="M25428" t="e">
        <v>#N/A</v>
      </c>
      <c r="N25428" s="1">
        <v>44927</v>
      </c>
    </row>
    <row r="25429" spans="13:14" x14ac:dyDescent="0.3">
      <c r="M25429" t="e">
        <v>#N/A</v>
      </c>
      <c r="N25429" s="1">
        <v>44927</v>
      </c>
    </row>
    <row r="25430" spans="13:14" x14ac:dyDescent="0.3">
      <c r="M25430" t="e">
        <v>#N/A</v>
      </c>
      <c r="N25430" s="1">
        <v>44927</v>
      </c>
    </row>
    <row r="25431" spans="13:14" x14ac:dyDescent="0.3">
      <c r="M25431" t="e">
        <v>#N/A</v>
      </c>
      <c r="N25431" s="1">
        <v>44927</v>
      </c>
    </row>
    <row r="25432" spans="13:14" x14ac:dyDescent="0.3">
      <c r="M25432" t="e">
        <v>#N/A</v>
      </c>
      <c r="N25432" s="1">
        <v>44927</v>
      </c>
    </row>
    <row r="25433" spans="13:14" x14ac:dyDescent="0.3">
      <c r="M25433" t="e">
        <v>#N/A</v>
      </c>
      <c r="N25433" s="1">
        <v>44927</v>
      </c>
    </row>
    <row r="25434" spans="13:14" x14ac:dyDescent="0.3">
      <c r="M25434" t="e">
        <v>#N/A</v>
      </c>
      <c r="N25434" s="1">
        <v>44927</v>
      </c>
    </row>
    <row r="25435" spans="13:14" x14ac:dyDescent="0.3">
      <c r="M25435" t="e">
        <v>#N/A</v>
      </c>
      <c r="N25435" s="1">
        <v>44927</v>
      </c>
    </row>
    <row r="25436" spans="13:14" x14ac:dyDescent="0.3">
      <c r="M25436" t="e">
        <v>#N/A</v>
      </c>
      <c r="N25436" s="1">
        <v>44927</v>
      </c>
    </row>
    <row r="25437" spans="13:14" x14ac:dyDescent="0.3">
      <c r="M25437" t="e">
        <v>#N/A</v>
      </c>
      <c r="N25437" s="1">
        <v>44927</v>
      </c>
    </row>
    <row r="25438" spans="13:14" x14ac:dyDescent="0.3">
      <c r="M25438" t="e">
        <v>#N/A</v>
      </c>
      <c r="N25438" s="1">
        <v>44927</v>
      </c>
    </row>
    <row r="25439" spans="13:14" x14ac:dyDescent="0.3">
      <c r="M25439" t="e">
        <v>#N/A</v>
      </c>
      <c r="N25439" s="1">
        <v>44927</v>
      </c>
    </row>
    <row r="25440" spans="13:14" x14ac:dyDescent="0.3">
      <c r="M25440" t="e">
        <v>#N/A</v>
      </c>
      <c r="N25440" s="1">
        <v>44927</v>
      </c>
    </row>
    <row r="25441" spans="13:14" x14ac:dyDescent="0.3">
      <c r="M25441" t="e">
        <v>#N/A</v>
      </c>
      <c r="N25441" s="1">
        <v>44927</v>
      </c>
    </row>
    <row r="25442" spans="13:14" x14ac:dyDescent="0.3">
      <c r="M25442" t="e">
        <v>#N/A</v>
      </c>
      <c r="N25442" s="1">
        <v>44927</v>
      </c>
    </row>
    <row r="25443" spans="13:14" x14ac:dyDescent="0.3">
      <c r="M25443" t="e">
        <v>#N/A</v>
      </c>
      <c r="N25443" s="1">
        <v>44927</v>
      </c>
    </row>
    <row r="25444" spans="13:14" x14ac:dyDescent="0.3">
      <c r="M25444" t="e">
        <v>#N/A</v>
      </c>
      <c r="N25444" s="1">
        <v>44927</v>
      </c>
    </row>
    <row r="25445" spans="13:14" x14ac:dyDescent="0.3">
      <c r="M25445" t="e">
        <v>#N/A</v>
      </c>
      <c r="N25445" s="1">
        <v>44927</v>
      </c>
    </row>
    <row r="25446" spans="13:14" x14ac:dyDescent="0.3">
      <c r="M25446" t="e">
        <v>#N/A</v>
      </c>
      <c r="N25446" s="1">
        <v>44927</v>
      </c>
    </row>
    <row r="25447" spans="13:14" x14ac:dyDescent="0.3">
      <c r="M25447" t="e">
        <v>#N/A</v>
      </c>
      <c r="N25447" s="1">
        <v>44927</v>
      </c>
    </row>
    <row r="25448" spans="13:14" x14ac:dyDescent="0.3">
      <c r="M25448" t="e">
        <v>#N/A</v>
      </c>
      <c r="N25448" s="1">
        <v>44927</v>
      </c>
    </row>
    <row r="25449" spans="13:14" x14ac:dyDescent="0.3">
      <c r="M25449" t="e">
        <v>#N/A</v>
      </c>
      <c r="N25449" s="1">
        <v>44927</v>
      </c>
    </row>
    <row r="25450" spans="13:14" x14ac:dyDescent="0.3">
      <c r="M25450" t="e">
        <v>#N/A</v>
      </c>
      <c r="N25450" s="1">
        <v>44927</v>
      </c>
    </row>
    <row r="25451" spans="13:14" x14ac:dyDescent="0.3">
      <c r="M25451" t="e">
        <v>#N/A</v>
      </c>
      <c r="N25451" s="1">
        <v>44927</v>
      </c>
    </row>
    <row r="25452" spans="13:14" x14ac:dyDescent="0.3">
      <c r="M25452" t="e">
        <v>#N/A</v>
      </c>
      <c r="N25452" s="1">
        <v>44927</v>
      </c>
    </row>
    <row r="25453" spans="13:14" x14ac:dyDescent="0.3">
      <c r="M25453" t="e">
        <v>#N/A</v>
      </c>
      <c r="N25453" s="1">
        <v>44927</v>
      </c>
    </row>
    <row r="25454" spans="13:14" x14ac:dyDescent="0.3">
      <c r="M25454" t="e">
        <v>#N/A</v>
      </c>
      <c r="N25454" s="1">
        <v>44927</v>
      </c>
    </row>
    <row r="25455" spans="13:14" x14ac:dyDescent="0.3">
      <c r="M25455" t="e">
        <v>#N/A</v>
      </c>
      <c r="N25455" s="1">
        <v>44927</v>
      </c>
    </row>
    <row r="25456" spans="13:14" x14ac:dyDescent="0.3">
      <c r="M25456" t="e">
        <v>#N/A</v>
      </c>
      <c r="N25456" s="1">
        <v>44927</v>
      </c>
    </row>
    <row r="25457" spans="13:14" x14ac:dyDescent="0.3">
      <c r="M25457" t="e">
        <v>#N/A</v>
      </c>
      <c r="N25457" s="1">
        <v>44927</v>
      </c>
    </row>
    <row r="25458" spans="13:14" x14ac:dyDescent="0.3">
      <c r="M25458" t="e">
        <v>#N/A</v>
      </c>
      <c r="N25458" s="1">
        <v>44927</v>
      </c>
    </row>
    <row r="25459" spans="13:14" x14ac:dyDescent="0.3">
      <c r="M25459" t="e">
        <v>#N/A</v>
      </c>
      <c r="N25459" s="1">
        <v>44927</v>
      </c>
    </row>
    <row r="25460" spans="13:14" x14ac:dyDescent="0.3">
      <c r="M25460" t="e">
        <v>#N/A</v>
      </c>
      <c r="N25460" s="1">
        <v>44927</v>
      </c>
    </row>
    <row r="25461" spans="13:14" x14ac:dyDescent="0.3">
      <c r="M25461" t="e">
        <v>#N/A</v>
      </c>
      <c r="N25461" s="1">
        <v>44927</v>
      </c>
    </row>
    <row r="25462" spans="13:14" x14ac:dyDescent="0.3">
      <c r="M25462" t="e">
        <v>#N/A</v>
      </c>
      <c r="N25462" s="1">
        <v>44927</v>
      </c>
    </row>
    <row r="25463" spans="13:14" x14ac:dyDescent="0.3">
      <c r="M25463" t="e">
        <v>#N/A</v>
      </c>
      <c r="N25463" s="1">
        <v>44927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M29" sqref="M29"/>
    </sheetView>
  </sheetViews>
  <sheetFormatPr defaultRowHeight="14.4" x14ac:dyDescent="0.3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M29" sqref="M29"/>
    </sheetView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Objectives</vt:lpstr>
      <vt:lpstr>MEF</vt:lpstr>
      <vt:lpstr>LGD_Chain Ladder</vt:lpstr>
      <vt:lpstr>Frye-Jacobs</vt:lpstr>
      <vt:lpstr>LGD Unsecured</vt:lpstr>
      <vt:lpstr>EAD Amort schedule</vt:lpstr>
      <vt:lpstr>LGD_Secured</vt:lpstr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Rasane</cp:lastModifiedBy>
  <dcterms:created xsi:type="dcterms:W3CDTF">2025-12-10T06:29:39Z</dcterms:created>
  <dcterms:modified xsi:type="dcterms:W3CDTF">2025-12-10T09:17:17Z</dcterms:modified>
</cp:coreProperties>
</file>